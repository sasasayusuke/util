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8800" windowHeight="12336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7" r:id="rId5"/>
    <sheet name="処理詳細_書き方" sheetId="19" state="hidden" r:id="rId6"/>
    <sheet name="(参考情報)処理詳細_請求書発行" sheetId="21" r:id="rId7"/>
    <sheet name="確認事項" sheetId="15" r:id="rId8"/>
    <sheet name="別紙_テンプレート" sheetId="16" r:id="rId9"/>
    <sheet name="別紙_印刷レイアウト" sheetId="20" r:id="rId10"/>
    <sheet name="参照" sheetId="12" state="hidden" r:id="rId11"/>
  </sheets>
  <definedNames>
    <definedName name="CoreCells">別紙_テンプレート!$A$43:$P$43</definedName>
    <definedName name="CoreCellsRow">別紙_テンプレート!$39:$73</definedName>
    <definedName name="_xlnm.Print_Area" localSheetId="1">概要!$A$1:$BN$31</definedName>
    <definedName name="_xlnm.Print_Area" localSheetId="3">項目一覧!$A$1:$BX$77</definedName>
    <definedName name="_xlnm.Print_Area" localSheetId="4">処理詳細!$A$1:$BR$591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8">別紙_テンプレート!$1:$2</definedName>
    <definedName name="_xlnm.Print_Titles" localSheetId="0">変更履歴!$1:$5</definedName>
    <definedName name="インボイス登録番号">別紙_テンプレート!$K$9</definedName>
    <definedName name="会社担当者">別紙_テンプレート!$K$15</definedName>
    <definedName name="会社担当者E_mail">別紙_テンプレート!$K$16</definedName>
    <definedName name="見積金額">別紙_テンプレート!$D$8</definedName>
    <definedName name="見積件名">別紙_テンプレート!$D$12</definedName>
    <definedName name="見積日" localSheetId="6">別紙_テンプレート!#REF!</definedName>
    <definedName name="見積日">別紙_テンプレート!#REF!</definedName>
    <definedName name="見積番号">別紙_テンプレート!$A$1</definedName>
    <definedName name="見積有効期限" localSheetId="6">別紙_テンプレート!#REF!</definedName>
    <definedName name="見積有効期限">別紙_テンプレート!#REF!</definedName>
    <definedName name="現場名" localSheetId="6">別紙_テンプレート!#REF!</definedName>
    <definedName name="現場名">別紙_テンプレート!#REF!</definedName>
    <definedName name="合計金額">別紙_テンプレート!$D$10</definedName>
    <definedName name="作成日">別紙_テンプレート!$O$1</definedName>
    <definedName name="支払条件">別紙_テンプレート!$D$16</definedName>
    <definedName name="受注区分" localSheetId="6">別紙_テンプレート!#REF!</definedName>
    <definedName name="受注区分">別紙_テンプレート!#REF!</definedName>
    <definedName name="受注先1" localSheetId="6">別紙_テンプレート!#REF!</definedName>
    <definedName name="受注先1">別紙_テンプレート!#REF!</definedName>
    <definedName name="受渡地">別紙_テンプレート!$D$15</definedName>
    <definedName name="消費税額">別紙_テンプレート!$D$9</definedName>
    <definedName name="消費税見出し">別紙_テンプレート!$A$9</definedName>
    <definedName name="担当者" localSheetId="6">別紙_テンプレート!#REF!</definedName>
    <definedName name="担当者">別紙_テンプレート!#REF!</definedName>
    <definedName name="担当者名">別紙_テンプレート!$K$15</definedName>
    <definedName name="店番">別紙_テンプレート!$F$15</definedName>
    <definedName name="得意先名1">別紙_テンプレート!$A$3</definedName>
    <definedName name="得意先名2">別紙_テンプレート!$A$4</definedName>
    <definedName name="納期">別紙_テンプレート!$D$14</definedName>
    <definedName name="納入先1">別紙_テンプレート!#REF!</definedName>
    <definedName name="納入先住所1">別紙_テンプレート!#REF!</definedName>
    <definedName name="備考">別紙_テンプレート!$D$17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1" l="1"/>
  <c r="BF3" i="21"/>
  <c r="BB3" i="21"/>
  <c r="AX3" i="21"/>
  <c r="L3" i="21"/>
  <c r="B3" i="21"/>
  <c r="BJ3" i="17" l="1"/>
  <c r="BF3" i="17"/>
  <c r="BB3" i="17"/>
  <c r="AX3" i="17"/>
  <c r="L3" i="17"/>
  <c r="B3" i="17"/>
  <c r="N73" i="16" l="1"/>
  <c r="K73" i="16"/>
  <c r="N72" i="16"/>
  <c r="K72" i="16"/>
  <c r="N71" i="16"/>
  <c r="K71" i="16"/>
  <c r="N70" i="16"/>
  <c r="K70" i="16"/>
  <c r="N69" i="16"/>
  <c r="K69" i="16"/>
  <c r="N68" i="16"/>
  <c r="K68" i="16"/>
  <c r="N67" i="16"/>
  <c r="K67" i="16"/>
  <c r="N66" i="16"/>
  <c r="K66" i="16"/>
  <c r="N65" i="16"/>
  <c r="K65" i="16"/>
  <c r="N64" i="16"/>
  <c r="K64" i="16"/>
  <c r="N63" i="16"/>
  <c r="K63" i="16"/>
  <c r="N62" i="16"/>
  <c r="K62" i="16"/>
  <c r="N61" i="16"/>
  <c r="K61" i="16"/>
  <c r="N60" i="16"/>
  <c r="K60" i="16"/>
  <c r="N59" i="16"/>
  <c r="K59" i="16"/>
  <c r="N58" i="16"/>
  <c r="K58" i="16"/>
  <c r="N57" i="16"/>
  <c r="K57" i="16"/>
  <c r="N56" i="16"/>
  <c r="K56" i="16"/>
  <c r="N55" i="16"/>
  <c r="K55" i="16"/>
  <c r="N54" i="16"/>
  <c r="K54" i="16"/>
  <c r="N53" i="16"/>
  <c r="K53" i="16"/>
  <c r="N52" i="16"/>
  <c r="K52" i="16"/>
  <c r="N51" i="16"/>
  <c r="K51" i="16"/>
  <c r="N50" i="16"/>
  <c r="K50" i="16"/>
  <c r="N49" i="16"/>
  <c r="K49" i="16"/>
  <c r="N48" i="16"/>
  <c r="K48" i="16"/>
  <c r="N47" i="16"/>
  <c r="K47" i="16"/>
  <c r="N46" i="16"/>
  <c r="K46" i="16"/>
  <c r="N45" i="16"/>
  <c r="K45" i="16"/>
  <c r="N44" i="16"/>
  <c r="K44" i="16"/>
  <c r="N43" i="16"/>
  <c r="K43" i="16"/>
  <c r="N42" i="16"/>
  <c r="K42" i="16"/>
  <c r="N38" i="16"/>
  <c r="K38" i="16"/>
  <c r="N37" i="16"/>
  <c r="K37" i="16"/>
  <c r="N36" i="16"/>
  <c r="K36" i="16"/>
  <c r="N35" i="16"/>
  <c r="K35" i="16"/>
  <c r="N34" i="16"/>
  <c r="K34" i="16"/>
  <c r="N33" i="16"/>
  <c r="K33" i="16"/>
  <c r="N32" i="16"/>
  <c r="K32" i="16"/>
  <c r="N31" i="16"/>
  <c r="K31" i="16"/>
  <c r="N30" i="16"/>
  <c r="K30" i="16"/>
  <c r="N29" i="16"/>
  <c r="K29" i="16"/>
  <c r="N28" i="16"/>
  <c r="K28" i="16"/>
  <c r="N27" i="16"/>
  <c r="K27" i="16"/>
  <c r="N26" i="16"/>
  <c r="K26" i="16"/>
  <c r="N25" i="16"/>
  <c r="K25" i="16"/>
  <c r="N24" i="16"/>
  <c r="K24" i="16"/>
  <c r="N23" i="16"/>
  <c r="K23" i="16"/>
  <c r="N22" i="16"/>
  <c r="K22" i="16"/>
  <c r="N21" i="16"/>
  <c r="K21" i="16"/>
  <c r="D10" i="16"/>
  <c r="BJ3" i="14" l="1"/>
  <c r="BF3" i="14"/>
  <c r="BB3" i="14"/>
  <c r="AX3" i="14"/>
  <c r="L3" i="14"/>
  <c r="B3" i="14"/>
  <c r="X3" i="1" l="1"/>
  <c r="X3" i="17" l="1"/>
  <c r="X3" i="21"/>
  <c r="X3" i="14"/>
  <c r="H3" i="1"/>
  <c r="R3" i="1"/>
  <c r="AK3" i="1"/>
  <c r="AK3" i="17" l="1"/>
  <c r="AK3" i="21"/>
  <c r="R3" i="17"/>
  <c r="R3" i="21"/>
  <c r="H3" i="17"/>
  <c r="H3" i="21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<sst xmlns="http://schemas.openxmlformats.org/spreadsheetml/2006/main" count="2615" uniqueCount="649">
  <si>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</si>
  <si>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</si>
  <si>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</si>
  <si>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</si>
  <si>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</si>
  <si>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</si>
  <si>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</si>
  <si>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</si>
  <si>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</si>
  <si>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</si>
  <si>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</si>
  <si>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</si>
  <si>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</si>
  <si>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</si>
  <si>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</si>
  <si>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</si>
  <si>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</si>
  <si>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</si>
  <si>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</si>
  <si>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</si>
  <si>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</si>
  <si>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</si>
  <si>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</si>
  <si>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</si>
  <si>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</si>
  <si>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</si>
  <si>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</si>
  <si>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</si>
  <si>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</si>
  <si>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</si>
  <si>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</si>
  <si>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</si>
  <si>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</si>
  <si>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</si>
  <si>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</si>
  <si>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</si>
  <si>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</si>
  <si>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</si>
  <si>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</si>
  <si>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</si>
  <si>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</si>
  <si>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</si>
  <si>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</si>
  <si>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</si>
  <si>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</si>
  <si>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</si>
  <si>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</si>
  <si>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</si>
  <si>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</si>
  <si>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</si>
  <si>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</si>
  <si>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</si>
  <si>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</si>
  <si>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Template_請求書.xlsx</t>
    <phoneticPr fontId="2"/>
  </si>
  <si>
    <t>-</t>
    <phoneticPr fontId="2"/>
  </si>
  <si>
    <t>-</t>
    <phoneticPr fontId="2"/>
  </si>
  <si>
    <t>　御　　請　　求　　書</t>
    <rPh sb="4" eb="5">
      <t>ショウ</t>
    </rPh>
    <rPh sb="7" eb="8">
      <t>モトム</t>
    </rPh>
    <phoneticPr fontId="12"/>
  </si>
  <si>
    <t>下記の通り御請求申し上げます。</t>
    <rPh sb="5" eb="8">
      <t>ゴセイキュウ</t>
    </rPh>
    <phoneticPr fontId="12"/>
  </si>
  <si>
    <t>御請求金額</t>
    <rPh sb="1" eb="3">
      <t>セイキュウ</t>
    </rPh>
    <phoneticPr fontId="12"/>
  </si>
  <si>
    <t>消費税等(10%)</t>
    <phoneticPr fontId="12"/>
  </si>
  <si>
    <t>合計</t>
  </si>
  <si>
    <t>〒360-0012</t>
  </si>
  <si>
    <t>埼玉県熊谷市上之2919-5</t>
  </si>
  <si>
    <t>件　　　名　：</t>
  </si>
  <si>
    <t>TEL 048-525-1171㈹</t>
    <phoneticPr fontId="12"/>
  </si>
  <si>
    <t>FAX 048-525-0008</t>
  </si>
  <si>
    <t>納　　　期　：</t>
  </si>
  <si>
    <t>受　渡　地　：</t>
  </si>
  <si>
    <t>担当：蓮見　明</t>
    <rPh sb="3" eb="5">
      <t>ハスミ</t>
    </rPh>
    <rPh sb="6" eb="7">
      <t>アキラ</t>
    </rPh>
    <phoneticPr fontId="12"/>
  </si>
  <si>
    <t>御支払条件　：</t>
  </si>
  <si>
    <t>E-mail：xxx@sanwashouken.co.jp</t>
    <phoneticPr fontId="12"/>
  </si>
  <si>
    <t>備　　　考　：</t>
  </si>
  <si>
    <t>　振込先</t>
    <rPh sb="1" eb="3">
      <t>フリコミ</t>
    </rPh>
    <rPh sb="3" eb="4">
      <t>サキ</t>
    </rPh>
    <phoneticPr fontId="12"/>
  </si>
  <si>
    <t>当座№0113747　㈱三和商研</t>
    <phoneticPr fontId="12"/>
  </si>
  <si>
    <t>(単位：円)</t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</si>
  <si>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</si>
  <si>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</si>
  <si>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</si>
  <si>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</si>
  <si>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</si>
  <si>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</si>
  <si>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</si>
  <si>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</si>
  <si>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</si>
  <si>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</si>
  <si>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</si>
  <si>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</si>
  <si>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見積番号</t>
    <rPh sb="0" eb="4">
      <t>ミツモリバンゴウ</t>
    </rPh>
    <phoneticPr fontId="1"/>
  </si>
  <si>
    <t>作成日</t>
    <rPh sb="0" eb="3">
      <t>サクセイビ</t>
    </rPh>
    <phoneticPr fontId="1"/>
  </si>
  <si>
    <t>得意先名1</t>
    <rPh sb="0" eb="4">
      <t>トクイサキメイ</t>
    </rPh>
    <phoneticPr fontId="1"/>
  </si>
  <si>
    <t>得意先名2</t>
    <rPh sb="0" eb="4">
      <t>トクイサキメイ</t>
    </rPh>
    <phoneticPr fontId="1"/>
  </si>
  <si>
    <t>御請求金額</t>
    <rPh sb="0" eb="5">
      <t>ゴセイキュウキンガク</t>
    </rPh>
    <phoneticPr fontId="1"/>
  </si>
  <si>
    <t>消費税等</t>
    <rPh sb="0" eb="4">
      <t>ショウヒゼイトウ</t>
    </rPh>
    <phoneticPr fontId="1"/>
  </si>
  <si>
    <t>合計</t>
    <rPh sb="0" eb="2">
      <t>ゴウケイ</t>
    </rPh>
    <phoneticPr fontId="1"/>
  </si>
  <si>
    <t>件名</t>
    <rPh sb="0" eb="2">
      <t>ケンメイ</t>
    </rPh>
    <phoneticPr fontId="1"/>
  </si>
  <si>
    <t>納期</t>
    <rPh sb="0" eb="2">
      <t>ノウキ</t>
    </rPh>
    <phoneticPr fontId="1"/>
  </si>
  <si>
    <t>受渡地</t>
    <rPh sb="0" eb="1">
      <t>ウ</t>
    </rPh>
    <rPh sb="1" eb="2">
      <t>ワタ</t>
    </rPh>
    <rPh sb="2" eb="3">
      <t>チ</t>
    </rPh>
    <phoneticPr fontId="1"/>
  </si>
  <si>
    <t>御支払条件</t>
    <rPh sb="0" eb="5">
      <t>オシハライジョウケン</t>
    </rPh>
    <phoneticPr fontId="1"/>
  </si>
  <si>
    <t>ウエルシア売場面積</t>
    <phoneticPr fontId="1"/>
  </si>
  <si>
    <t>売場面積</t>
    <rPh sb="0" eb="1">
      <t>ウ</t>
    </rPh>
    <rPh sb="1" eb="4">
      <t>バメンセキ</t>
    </rPh>
    <phoneticPr fontId="1"/>
  </si>
  <si>
    <t>インボイス登録番号</t>
    <rPh sb="5" eb="9">
      <t>トウロクバンゴウ</t>
    </rPh>
    <phoneticPr fontId="1"/>
  </si>
  <si>
    <t>会社郵便番号</t>
    <rPh sb="0" eb="6">
      <t>カイシャユウビンバンゴウ</t>
    </rPh>
    <phoneticPr fontId="1"/>
  </si>
  <si>
    <t>会社住所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</si>
  <si>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</si>
  <si>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会社FAX番号</t>
    <rPh sb="0" eb="2">
      <t>カイシャ</t>
    </rPh>
    <rPh sb="5" eb="7">
      <t>バンゴウ</t>
    </rPh>
    <phoneticPr fontId="1"/>
  </si>
  <si>
    <t>会社担当者</t>
    <rPh sb="0" eb="5">
      <t>カイシャタントウシャ</t>
    </rPh>
    <phoneticPr fontId="1"/>
  </si>
  <si>
    <t>会社担当者E_mail</t>
    <phoneticPr fontId="1"/>
  </si>
  <si>
    <t>SEQ</t>
    <phoneticPr fontId="1"/>
  </si>
  <si>
    <t>品名</t>
    <rPh sb="0" eb="2">
      <t>ヒンメイ</t>
    </rPh>
    <phoneticPr fontId="1"/>
  </si>
  <si>
    <t>製品</t>
    <rPh sb="0" eb="2">
      <t>セイヒン</t>
    </rPh>
    <phoneticPr fontId="1"/>
  </si>
  <si>
    <t>仕様</t>
    <rPh sb="0" eb="2">
      <t>シヨウ</t>
    </rPh>
    <phoneticPr fontId="1"/>
  </si>
  <si>
    <t>W</t>
    <phoneticPr fontId="1"/>
  </si>
  <si>
    <t>D</t>
    <phoneticPr fontId="1"/>
  </si>
  <si>
    <t>H</t>
    <phoneticPr fontId="1"/>
  </si>
  <si>
    <t>数量</t>
    <rPh sb="0" eb="2">
      <t>スウリョウ</t>
    </rPh>
    <phoneticPr fontId="1"/>
  </si>
  <si>
    <t>単価</t>
    <rPh sb="0" eb="2">
      <t>タンカ</t>
    </rPh>
    <phoneticPr fontId="1"/>
  </si>
  <si>
    <t>金額</t>
    <rPh sb="0" eb="2">
      <t>キンガク</t>
    </rPh>
    <phoneticPr fontId="1"/>
  </si>
  <si>
    <t>半角</t>
    <rPh sb="0" eb="2">
      <t>ハンカク</t>
    </rPh>
    <phoneticPr fontId="1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</si>
  <si>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</si>
  <si>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</si>
  <si>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単位</t>
    <rPh sb="0" eb="2">
      <t>タンイ</t>
    </rPh>
    <phoneticPr fontId="1"/>
  </si>
  <si>
    <t>金額合計</t>
    <rPh sb="0" eb="4">
      <t>キンガクゴウケイ</t>
    </rPh>
    <phoneticPr fontId="1"/>
  </si>
  <si>
    <t>TD見積.得意先名1,TD見積.得意先名2</t>
    <rPh sb="5" eb="9">
      <t>トクイサキメイ</t>
    </rPh>
    <rPh sb="16" eb="20">
      <t>トクイサキメイ</t>
    </rPh>
    <phoneticPr fontId="1"/>
  </si>
  <si>
    <t>店番</t>
    <phoneticPr fontId="1"/>
  </si>
  <si>
    <t>clsKaisya.cls</t>
    <phoneticPr fontId="1"/>
  </si>
  <si>
    <t>TM会社.インボイス登録番号</t>
    <rPh sb="2" eb="4">
      <t>カイシャ</t>
    </rPh>
    <rPh sb="10" eb="14">
      <t>トウロクバンゴウ</t>
    </rPh>
    <phoneticPr fontId="1"/>
  </si>
  <si>
    <t>[TD見積.ウエルシア売場面積] &amp; "坪"</t>
    <phoneticPr fontId="1"/>
  </si>
  <si>
    <t>"登録番号 " &amp; [TM会社.インボイス登録番号]</t>
    <phoneticPr fontId="1"/>
  </si>
  <si>
    <t xml:space="preserve"> [TM会社.インボイス登録番号]が空の場合は何も表示しない</t>
    <rPh sb="18" eb="19">
      <t>カラ</t>
    </rPh>
    <rPh sb="20" eb="22">
      <t>バアイ</t>
    </rPh>
    <rPh sb="23" eb="24">
      <t>ナニ</t>
    </rPh>
    <rPh sb="25" eb="27">
      <t>ヒョウジ</t>
    </rPh>
    <phoneticPr fontId="1"/>
  </si>
  <si>
    <t>担当：[TM担当者.問い合わせ先]</t>
    <rPh sb="6" eb="9">
      <t>タントウシャ</t>
    </rPh>
    <rPh sb="10" eb="11">
      <t>ト</t>
    </rPh>
    <rPh sb="12" eb="13">
      <t>ア</t>
    </rPh>
    <rPh sb="15" eb="16">
      <t>サキ</t>
    </rPh>
    <phoneticPr fontId="1"/>
  </si>
  <si>
    <t>空</t>
    <rPh sb="0" eb="1">
      <t>カラ</t>
    </rPh>
    <phoneticPr fontId="1"/>
  </si>
  <si>
    <t>通貨名</t>
    <phoneticPr fontId="1"/>
  </si>
  <si>
    <t>埼玉りそな銀行　熊谷支店</t>
    <phoneticPr fontId="12"/>
  </si>
  <si>
    <t>銀行名</t>
    <rPh sb="0" eb="3">
      <t>ギンコウメイ</t>
    </rPh>
    <phoneticPr fontId="1"/>
  </si>
  <si>
    <t>売上数量</t>
    <rPh sb="0" eb="4">
      <t>ウリアゲスウリョウ</t>
    </rPh>
    <phoneticPr fontId="1"/>
  </si>
  <si>
    <t>33.売上数量</t>
    <rPh sb="3" eb="7">
      <t>ウリアゲスウリョウ</t>
    </rPh>
    <phoneticPr fontId="1"/>
  </si>
  <si>
    <t>売上単価</t>
    <rPh sb="0" eb="4">
      <t>ウリアゲタンカ</t>
    </rPh>
    <phoneticPr fontId="1"/>
  </si>
  <si>
    <t>36.売上単価</t>
    <phoneticPr fontId="1"/>
  </si>
  <si>
    <t>整数の場合１の位まで表示、少数の場合小数点第２位まで表示</t>
    <rPh sb="0" eb="2">
      <t>セイスウ</t>
    </rPh>
    <rPh sb="3" eb="5">
      <t>バアイ</t>
    </rPh>
    <rPh sb="7" eb="8">
      <t>クライ</t>
    </rPh>
    <rPh sb="10" eb="12">
      <t>ヒョウジ</t>
    </rPh>
    <rPh sb="13" eb="15">
      <t>ショウスウ</t>
    </rPh>
    <rPh sb="16" eb="18">
      <t>バアイ</t>
    </rPh>
    <rPh sb="18" eb="21">
      <t>ショウスウテン</t>
    </rPh>
    <rPh sb="21" eb="22">
      <t>ダイ</t>
    </rPh>
    <rPh sb="23" eb="24">
      <t>イ</t>
    </rPh>
    <rPh sb="26" eb="28">
      <t>ヒョウジ</t>
    </rPh>
    <phoneticPr fontId="1"/>
  </si>
  <si>
    <t>999,999 or 999,999.99</t>
    <phoneticPr fontId="1"/>
  </si>
  <si>
    <t>38.金額</t>
    <rPh sb="3" eb="5">
      <t>キンガク</t>
    </rPh>
    <phoneticPr fontId="1"/>
  </si>
  <si>
    <t>[38.金額]の合計</t>
    <rPh sb="8" eb="10">
      <t>ゴウケイ</t>
    </rPh>
    <phoneticPr fontId="1"/>
  </si>
  <si>
    <t>\999,999-</t>
    <phoneticPr fontId="1"/>
  </si>
  <si>
    <t>消費税見出し</t>
    <phoneticPr fontId="1"/>
  </si>
  <si>
    <t>yyyy年mm月dd日</t>
    <phoneticPr fontId="1"/>
  </si>
  <si>
    <t>from</t>
    <phoneticPr fontId="2"/>
  </si>
  <si>
    <t>join</t>
    <phoneticPr fontId="2"/>
  </si>
  <si>
    <t>where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</si>
  <si>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</si>
  <si>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</si>
  <si>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</si>
  <si>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</si>
  <si>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</si>
  <si>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結合条件</t>
    <rPh sb="0" eb="2">
      <t>ケツゴウ</t>
    </rPh>
    <rPh sb="2" eb="4">
      <t>ジョウケン</t>
    </rPh>
    <phoneticPr fontId="2"/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</si>
  <si>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</si>
  <si>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</si>
  <si>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取得条件</t>
    <rPh sb="0" eb="2">
      <t>シュトク</t>
    </rPh>
    <rPh sb="2" eb="4">
      <t>ジョウケン</t>
    </rPh>
    <phoneticPr fontId="2"/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</si>
  <si>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</si>
  <si>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</si>
  <si>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</si>
  <si>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</si>
  <si>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</si>
  <si>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</si>
  <si>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</si>
  <si>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2.コメントでないもの</t>
    <phoneticPr fontId="2"/>
  </si>
  <si>
    <t>TD売上明細V2</t>
    <phoneticPr fontId="2"/>
  </si>
  <si>
    <t>group by</t>
    <phoneticPr fontId="2"/>
  </si>
  <si>
    <t>TD見積シート内訳</t>
    <phoneticPr fontId="2"/>
  </si>
  <si>
    <t>4.コメントCのもの</t>
    <phoneticPr fontId="2"/>
  </si>
  <si>
    <t>5.附属部材でコメントでないもの</t>
    <phoneticPr fontId="2"/>
  </si>
  <si>
    <t>6.附属部材でコメントAのもの</t>
    <phoneticPr fontId="2"/>
  </si>
  <si>
    <t>7.附属部材でコメントCのもの</t>
    <phoneticPr fontId="2"/>
  </si>
  <si>
    <t>3.コメントAのもの</t>
    <phoneticPr fontId="2"/>
  </si>
  <si>
    <t>union all</t>
    <phoneticPr fontId="2"/>
  </si>
  <si>
    <t>INNER JOIN</t>
    <phoneticPr fontId="2"/>
  </si>
  <si>
    <t>TD見積シートM</t>
    <phoneticPr fontId="2"/>
  </si>
  <si>
    <t>TD見積シート内訳</t>
    <phoneticPr fontId="2"/>
  </si>
  <si>
    <t>INNER JOIN</t>
    <phoneticPr fontId="2"/>
  </si>
  <si>
    <t>LEFT JOIN</t>
    <phoneticPr fontId="2"/>
  </si>
  <si>
    <t>TD見積シート内訳名称</t>
    <phoneticPr fontId="2"/>
  </si>
  <si>
    <t>AND</t>
    <phoneticPr fontId="2"/>
  </si>
  <si>
    <t>結合方式</t>
    <rPh sb="0" eb="2">
      <t>ケツゴウ</t>
    </rPh>
    <rPh sb="2" eb="4">
      <t>ホウシキ</t>
    </rPh>
    <phoneticPr fontId="2"/>
  </si>
  <si>
    <t>AND</t>
    <phoneticPr fontId="2"/>
  </si>
  <si>
    <t>AND</t>
    <phoneticPr fontId="2"/>
  </si>
  <si>
    <t>(</t>
    <phoneticPr fontId="2"/>
  </si>
  <si>
    <t>AND</t>
    <phoneticPr fontId="2"/>
  </si>
  <si>
    <t>OR</t>
    <phoneticPr fontId="2"/>
  </si>
  <si>
    <t>)</t>
    <phoneticPr fontId="2"/>
  </si>
  <si>
    <t>(</t>
    <phoneticPr fontId="2"/>
  </si>
  <si>
    <t>TD見積シート内訳</t>
    <phoneticPr fontId="2"/>
  </si>
  <si>
    <t>order by</t>
    <phoneticPr fontId="2"/>
  </si>
  <si>
    <t>AND</t>
    <phoneticPr fontId="2"/>
  </si>
  <si>
    <t>出精値引は除外</t>
    <rPh sb="4" eb="6">
      <t>ジョガイ</t>
    </rPh>
    <phoneticPr fontId="2"/>
  </si>
  <si>
    <t>(</t>
    <phoneticPr fontId="2"/>
  </si>
  <si>
    <t>TD見積シートM</t>
    <phoneticPr fontId="2"/>
  </si>
  <si>
    <t>OR</t>
    <phoneticPr fontId="2"/>
  </si>
  <si>
    <t>AND</t>
    <phoneticPr fontId="2"/>
  </si>
  <si>
    <t>order by</t>
    <phoneticPr fontId="2"/>
  </si>
  <si>
    <t>)</t>
    <phoneticPr fontId="2"/>
  </si>
  <si>
    <t>(</t>
    <phoneticPr fontId="2"/>
  </si>
  <si>
    <t>)</t>
    <phoneticPr fontId="2"/>
  </si>
  <si>
    <t>(</t>
    <phoneticPr fontId="2"/>
  </si>
  <si>
    <t>[13.客先在庫数_降順] &gt; 0</t>
  </si>
  <si>
    <t>9.売上明細</t>
  </si>
  <si>
    <t>[10.数量] &lt;&gt; 0</t>
  </si>
  <si>
    <t>[11.客先在庫数_昇順] &gt; 0</t>
  </si>
  <si>
    <t>[12.転用数_昇順] &gt; 0</t>
    <phoneticPr fontId="2"/>
  </si>
  <si>
    <t>[14.転用数_降順] &gt; 0</t>
    <phoneticPr fontId="2"/>
  </si>
  <si>
    <t>8.出精値引</t>
    <phoneticPr fontId="2"/>
  </si>
  <si>
    <t>TD見積.見積番号 = [画面.見積番号]</t>
  </si>
  <si>
    <t>TD見積.見積番号 = [画面.見積番号]</t>
    <rPh sb="13" eb="15">
      <t>ガメン</t>
    </rPh>
    <phoneticPr fontId="2"/>
  </si>
  <si>
    <t>TD売上v2.見積番号 = [画面.見積番号]</t>
    <rPh sb="15" eb="17">
      <t>ガメン</t>
    </rPh>
    <phoneticPr fontId="2"/>
  </si>
  <si>
    <t>TD見積.見積番号 = TD見積シートM.見積番号</t>
  </si>
  <si>
    <t>TD見積シートM.見積区分 NOT IN ('A','C','S')</t>
  </si>
  <si>
    <t>TD見積シートM.見積区分 = 'A'</t>
  </si>
  <si>
    <t>TD見積シートM.見積区分 = 'C'</t>
  </si>
  <si>
    <t>TD見積シートM.見積区分 = 'S'</t>
  </si>
  <si>
    <t>TD見積シートM.行番号 ASC</t>
  </si>
  <si>
    <t>TD見積シートM.行番号 DESC</t>
  </si>
  <si>
    <t>TD見積シートM.見積明細連番 = 9.売上明細.見積明細連番</t>
  </si>
  <si>
    <t>9.売上明細.特別区分 &lt;&gt; 'ZA'</t>
  </si>
  <si>
    <t>TD売上明細V2.特別区分 = 'ZA'</t>
    <phoneticPr fontId="2"/>
  </si>
  <si>
    <t>TD見積シートM.行番号 &lt;= TD見積シートM.行番号</t>
  </si>
  <si>
    <t>TD見積シートM.見積番号 = TD見積シートM.見積番号</t>
  </si>
  <si>
    <t>TD見積シートM.見積番号 =TD見積シートM.見積番号</t>
    <phoneticPr fontId="2"/>
  </si>
  <si>
    <t>TD見積シートM.行番号 &gt;= TD見積シートM.行番号</t>
  </si>
  <si>
    <t>9.売上明細.見積明細連番 = TD見積シート内訳.見積明細連番</t>
  </si>
  <si>
    <t>TD見積シート内訳.数量 &lt;&gt; 0</t>
  </si>
  <si>
    <t>TD見積シート内訳.見積番号 = TD見積シート内訳名称.見積番号</t>
  </si>
  <si>
    <t>TD見積シート内訳.仕分番号 = TD見積シート内訳名称.仕分番号</t>
  </si>
  <si>
    <t>TD売上v2.売上番号 = TD売上明細V2.売上番号</t>
    <phoneticPr fontId="2"/>
  </si>
  <si>
    <t>TD見積シートM.見積明細連番 = TD見積シート内訳.見積明細連番</t>
    <phoneticPr fontId="2"/>
  </si>
  <si>
    <t>TD見積シート内訳.仕分番号 = TD見積シート内訳.仕分番号</t>
    <phoneticPr fontId="2"/>
  </si>
  <si>
    <t>TD見積シートM.客先在庫数 &gt; 0</t>
    <phoneticPr fontId="2"/>
  </si>
  <si>
    <t>TD見積シートM.転用数 &gt; 0</t>
    <phoneticPr fontId="2"/>
  </si>
  <si>
    <t>union</t>
    <phoneticPr fontId="2"/>
  </si>
  <si>
    <t>SQL1.見積出力用データ作成</t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</si>
  <si>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</si>
  <si>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</si>
  <si>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</si>
  <si>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</si>
  <si>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</si>
  <si>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</si>
  <si>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from</t>
  </si>
  <si>
    <t>join</t>
  </si>
  <si>
    <t>結合テーブル名</t>
  </si>
  <si>
    <t>and</t>
  </si>
  <si>
    <t>or</t>
  </si>
  <si>
    <t>INNER JOIN</t>
  </si>
  <si>
    <t>TM納入先</t>
  </si>
  <si>
    <t>where</t>
  </si>
  <si>
    <t>取得条件</t>
  </si>
  <si>
    <t>[TD見積.得意先CD] = '8001'</t>
  </si>
  <si>
    <t>order by</t>
  </si>
  <si>
    <t>対応</t>
    <rPh sb="0" eb="2">
      <t>タイオウ</t>
    </rPh>
    <phoneticPr fontId="2"/>
  </si>
  <si>
    <t>Excel,PDF</t>
    <phoneticPr fontId="2"/>
  </si>
  <si>
    <t>xlsx,pdf</t>
    <phoneticPr fontId="2"/>
  </si>
  <si>
    <t>INSERT SQL</t>
    <phoneticPr fontId="2"/>
  </si>
  <si>
    <t>into</t>
    <phoneticPr fontId="2"/>
  </si>
  <si>
    <t>#WK見積明細</t>
    <phoneticPr fontId="2"/>
  </si>
  <si>
    <t>from</t>
    <phoneticPr fontId="2"/>
  </si>
  <si>
    <t>SQL1 AS  AS 見積明細</t>
    <phoneticPr fontId="2"/>
  </si>
  <si>
    <t>MH.見積番号</t>
  </si>
  <si>
    <t>MSM.行番号</t>
  </si>
  <si>
    <t>MSM.SP区分</t>
  </si>
  <si>
    <t>MSM.PC区分</t>
  </si>
  <si>
    <t>MSM.製品NO</t>
  </si>
  <si>
    <t>MSM.仕様NO</t>
  </si>
  <si>
    <t>MSM.漢字名称</t>
  </si>
  <si>
    <t>MSM.W</t>
  </si>
  <si>
    <t>MSM.D</t>
  </si>
  <si>
    <t>MSM.H</t>
  </si>
  <si>
    <t>MSM.D1</t>
  </si>
  <si>
    <t>MSM.D2</t>
  </si>
  <si>
    <t>MSM.H1</t>
  </si>
  <si>
    <t>MSM.H2</t>
  </si>
  <si>
    <t>MSM.単位名</t>
  </si>
  <si>
    <t>MSM.売上単価</t>
  </si>
  <si>
    <t>dbo.fn_CutFraction(MH.売上端数, MSU.数量 * MSM.売上単価, @decimalPoint) AS 売上金額</t>
  </si>
  <si>
    <t>MSM.仕入先CD</t>
  </si>
  <si>
    <t>MSM.仕入単価</t>
  </si>
  <si>
    <t>dbo.fn_CutFraction(MH.売上端数, MSU.数量 * MSM.仕入単価, @decimalPoint) AS 仕入金額</t>
  </si>
  <si>
    <t>0 AS 原価率</t>
  </si>
  <si>
    <t>0 AS 粗利益</t>
  </si>
  <si>
    <t>MSM.配送先CD</t>
  </si>
  <si>
    <t>MSM.社内在庫数</t>
  </si>
  <si>
    <t>MSM.客先在庫数</t>
  </si>
  <si>
    <t>MSM.転用数</t>
  </si>
  <si>
    <t>MSM.発注数</t>
  </si>
  <si>
    <t>MSM.製品区分</t>
  </si>
  <si>
    <t>MSM.見積区分</t>
  </si>
  <si>
    <t>UM.伝票区分</t>
  </si>
  <si>
    <t>RIGHT ('0' + CONVERT(VARCHAR (2), MSU.仕分番号), 2)</t>
  </si>
  <si>
    <t>仕分番号</t>
  </si>
  <si>
    <t>仕分番号</t>
    <phoneticPr fontId="2"/>
  </si>
  <si>
    <t>MSU.数量</t>
  </si>
  <si>
    <t>売上数量</t>
    <phoneticPr fontId="2"/>
  </si>
  <si>
    <t>売上金額</t>
  </si>
  <si>
    <t>売上金額</t>
    <phoneticPr fontId="2"/>
  </si>
  <si>
    <t>MSM.仕入先名</t>
  </si>
  <si>
    <t>仕入先略称</t>
  </si>
  <si>
    <t>仕入先略称</t>
    <phoneticPr fontId="2"/>
  </si>
  <si>
    <t>仕入金額</t>
    <phoneticPr fontId="2"/>
  </si>
  <si>
    <t>配送先名</t>
  </si>
  <si>
    <t>配送先略称</t>
  </si>
  <si>
    <t>配送先略称</t>
    <phoneticPr fontId="2"/>
  </si>
  <si>
    <t>原価率</t>
  </si>
  <si>
    <t>原価率</t>
    <phoneticPr fontId="2"/>
  </si>
  <si>
    <t>粗利益</t>
  </si>
  <si>
    <t>粗利益</t>
    <phoneticPr fontId="2"/>
  </si>
  <si>
    <t>見積番号</t>
  </si>
  <si>
    <t>見積番号</t>
    <phoneticPr fontId="2"/>
  </si>
  <si>
    <t>ISNULL(MSUN.名称, '')</t>
  </si>
  <si>
    <t>仕分名称</t>
  </si>
  <si>
    <t>仕分名称</t>
    <phoneticPr fontId="2"/>
  </si>
  <si>
    <t>行番号</t>
  </si>
  <si>
    <t>SP区分</t>
  </si>
  <si>
    <t>PC区分</t>
  </si>
  <si>
    <t>製品NO</t>
  </si>
  <si>
    <t>仕様NO</t>
  </si>
  <si>
    <t>漢字名称</t>
  </si>
  <si>
    <t>W</t>
  </si>
  <si>
    <t>D</t>
  </si>
  <si>
    <t>H</t>
  </si>
  <si>
    <t>D1</t>
  </si>
  <si>
    <t>D2</t>
  </si>
  <si>
    <t>H1</t>
  </si>
  <si>
    <t>H2</t>
  </si>
  <si>
    <t>単位名</t>
  </si>
  <si>
    <t>売上単価</t>
  </si>
  <si>
    <t>仕入先CD</t>
    <phoneticPr fontId="2"/>
  </si>
  <si>
    <t>仕入単価</t>
    <phoneticPr fontId="2"/>
  </si>
  <si>
    <t>配送先CD</t>
  </si>
  <si>
    <t>配送先CD</t>
    <phoneticPr fontId="2"/>
  </si>
  <si>
    <t>社内在庫数</t>
  </si>
  <si>
    <t>客先在庫数</t>
  </si>
  <si>
    <t>転用数</t>
  </si>
  <si>
    <t>発注数</t>
  </si>
  <si>
    <t>製品区分</t>
  </si>
  <si>
    <t>見積区分</t>
  </si>
  <si>
    <t>伝票区分</t>
  </si>
  <si>
    <t xml:space="preserve"> ('0' + CONVERT(VARCHAR (2), MSU.仕分番号), 2)</t>
  </si>
  <si>
    <t>5.客先在庫・転用数があるもの</t>
    <phoneticPr fontId="2"/>
  </si>
  <si>
    <t>6.客先在庫・転用数があるものでコメントAのもの</t>
    <phoneticPr fontId="2"/>
  </si>
  <si>
    <t>7.客先在庫・転用数があるものでコメントCのもの</t>
    <phoneticPr fontId="2"/>
  </si>
  <si>
    <t>'Z0'</t>
  </si>
  <si>
    <t>'客先在庫'</t>
  </si>
  <si>
    <t>(MSM.客先在庫数 + MSM.転用数) * - 1</t>
  </si>
  <si>
    <t>dbo.fn_CutFraction(MH.売上端数, (MSM.客先在庫数 + MSM.転用数) * MSM.売上単価 * - 1, @decimalPoint)</t>
  </si>
  <si>
    <t>仕入先名 AS 仕入先略称</t>
  </si>
  <si>
    <t>dbo.fn_CutFraction(MH.売上端数, (MSM.客先在庫数 + MSM.転用数) * MSM.仕入単価 * - 1, @decimalPoint)</t>
  </si>
  <si>
    <t>仕入先名</t>
  </si>
  <si>
    <t>MSM.見積数量</t>
  </si>
  <si>
    <t>MSM.売上金額</t>
  </si>
  <si>
    <t>MSM.仕入金額</t>
  </si>
  <si>
    <t>'ZA'</t>
  </si>
  <si>
    <t>'出精値引'</t>
  </si>
  <si>
    <t>''</t>
  </si>
  <si>
    <t>NULL</t>
  </si>
  <si>
    <t>TD見積 AS MH</t>
    <phoneticPr fontId="2"/>
  </si>
  <si>
    <t>TD見積シートM AS MSM</t>
    <phoneticPr fontId="2"/>
  </si>
  <si>
    <t>9.売上明細  AS UM</t>
    <phoneticPr fontId="2"/>
  </si>
  <si>
    <t>TD見積シート内訳 AS MSU</t>
    <phoneticPr fontId="2"/>
  </si>
  <si>
    <t>TD見積シート内訳名称 AS MSUN</t>
    <phoneticPr fontId="2"/>
  </si>
  <si>
    <t>TD売上v2 AS UH</t>
    <phoneticPr fontId="2"/>
  </si>
  <si>
    <t>TD売上明細V2 AS UM</t>
    <phoneticPr fontId="2"/>
  </si>
  <si>
    <t>見積明細連番</t>
    <phoneticPr fontId="2"/>
  </si>
  <si>
    <t>伝票区分</t>
    <phoneticPr fontId="2"/>
  </si>
  <si>
    <t>特別区分</t>
    <phoneticPr fontId="2"/>
  </si>
  <si>
    <t>TD売上明細V2.見積明細連番</t>
    <phoneticPr fontId="2"/>
  </si>
  <si>
    <t>MAX(TD売上明細V2.伝票区分)</t>
    <phoneticPr fontId="2"/>
  </si>
  <si>
    <t>MAX(TD売上明細V2.特別区分)</t>
    <phoneticPr fontId="2"/>
  </si>
  <si>
    <t>数量</t>
    <rPh sb="0" eb="2">
      <t>スウリョウ</t>
    </rPh>
    <phoneticPr fontId="2"/>
  </si>
  <si>
    <t>TOP 1 TD見積シート内訳.数量</t>
    <phoneticPr fontId="2"/>
  </si>
  <si>
    <t>客先在庫数</t>
    <rPh sb="0" eb="2">
      <t>キャクサキ</t>
    </rPh>
    <rPh sb="2" eb="4">
      <t>ザイコ</t>
    </rPh>
    <rPh sb="4" eb="5">
      <t>スウ</t>
    </rPh>
    <phoneticPr fontId="2"/>
  </si>
  <si>
    <t>TOP 1 TD見積シートM.客先在庫数</t>
    <phoneticPr fontId="2"/>
  </si>
  <si>
    <t>転用数</t>
    <rPh sb="0" eb="2">
      <t>テンヨウ</t>
    </rPh>
    <rPh sb="2" eb="3">
      <t>スウ</t>
    </rPh>
    <phoneticPr fontId="2"/>
  </si>
  <si>
    <t>TOP 1 TD見積シートM.転用数</t>
    <phoneticPr fontId="2"/>
  </si>
  <si>
    <t>#WK見積明細集計</t>
    <phoneticPr fontId="2"/>
  </si>
  <si>
    <t>SQL2.コメントでないもの</t>
    <phoneticPr fontId="2"/>
  </si>
  <si>
    <t>SQL3.コメントAのもの</t>
    <phoneticPr fontId="2"/>
  </si>
  <si>
    <t>SQL4.コメントCのもの</t>
    <phoneticPr fontId="2"/>
  </si>
  <si>
    <t>SQL5.客先在庫・転用数があるもの</t>
    <phoneticPr fontId="2"/>
  </si>
  <si>
    <t>SQL6.附属部材でコメントAのもの</t>
    <phoneticPr fontId="2"/>
  </si>
  <si>
    <t>SQL7.附属部材でコメントCのもの</t>
    <phoneticPr fontId="2"/>
  </si>
  <si>
    <t>SQL8.出精値引</t>
    <rPh sb="5" eb="9">
      <t>シュッセイネビ</t>
    </rPh>
    <phoneticPr fontId="2"/>
  </si>
  <si>
    <t>SQL9.売上明細</t>
    <phoneticPr fontId="2"/>
  </si>
  <si>
    <t>SQL10.数量</t>
    <phoneticPr fontId="2"/>
  </si>
  <si>
    <t>SQL11.客先在庫数_昇順</t>
    <phoneticPr fontId="2"/>
  </si>
  <si>
    <t>SQL12.転用数_昇順</t>
    <phoneticPr fontId="2"/>
  </si>
  <si>
    <t>SQL13.客先在庫数_降順</t>
    <phoneticPr fontId="2"/>
  </si>
  <si>
    <t>SQL14.転用数_降順</t>
    <phoneticPr fontId="2"/>
  </si>
  <si>
    <t>SQL15.INSERT SQL</t>
    <phoneticPr fontId="2"/>
  </si>
  <si>
    <t>SQL16.見積出力用データ作成</t>
    <phoneticPr fontId="2"/>
  </si>
  <si>
    <t>SQL16  AS A</t>
    <phoneticPr fontId="2"/>
  </si>
  <si>
    <t>A.見積番号</t>
  </si>
  <si>
    <t>A.仕分番号</t>
  </si>
  <si>
    <t>B.仕分名称</t>
  </si>
  <si>
    <t>A.行番号</t>
  </si>
  <si>
    <t>B.SP区分</t>
  </si>
  <si>
    <t>B.PC区分</t>
  </si>
  <si>
    <t>B.製品NO</t>
  </si>
  <si>
    <t>B.仕様NO</t>
  </si>
  <si>
    <t>B.漢字名称</t>
  </si>
  <si>
    <t>B.W</t>
  </si>
  <si>
    <t>B.D</t>
  </si>
  <si>
    <t>B.H</t>
  </si>
  <si>
    <t>B.D1</t>
  </si>
  <si>
    <t>B.D2</t>
  </si>
  <si>
    <t>B.H1</t>
  </si>
  <si>
    <t>B.H2</t>
  </si>
  <si>
    <t>A.数量</t>
  </si>
  <si>
    <t>B.単位名</t>
  </si>
  <si>
    <t>A.売上金額</t>
  </si>
  <si>
    <t>B.仕入先CD</t>
  </si>
  <si>
    <t>A.仕入金額</t>
  </si>
  <si>
    <t>A.見積区分</t>
  </si>
  <si>
    <t>SQL17 AS A</t>
    <phoneticPr fontId="2"/>
  </si>
  <si>
    <t>SQL18 AS B</t>
    <phoneticPr fontId="2"/>
  </si>
  <si>
    <t>INNER JOIN</t>
    <phoneticPr fontId="2"/>
  </si>
  <si>
    <t>SQL18</t>
    <phoneticPr fontId="2"/>
  </si>
  <si>
    <t>A.見積番号 = B.見積番号</t>
    <phoneticPr fontId="2"/>
  </si>
  <si>
    <t>A.仕分番号 = B.仕分番号</t>
    <phoneticPr fontId="2"/>
  </si>
  <si>
    <t>A.見積区分 = B.見積区分</t>
    <phoneticPr fontId="2"/>
  </si>
  <si>
    <t>A.行番号 = B.行番号</t>
    <phoneticPr fontId="2"/>
  </si>
  <si>
    <t>AND</t>
    <phoneticPr fontId="2"/>
  </si>
  <si>
    <t>SQL17</t>
    <phoneticPr fontId="2"/>
  </si>
  <si>
    <t>SQL18</t>
    <phoneticPr fontId="2"/>
  </si>
  <si>
    <t>見積区分</t>
    <phoneticPr fontId="2"/>
  </si>
  <si>
    <t>MIN(行番号)</t>
    <phoneticPr fontId="2"/>
  </si>
  <si>
    <t>SUM(仕入金額)</t>
    <phoneticPr fontId="2"/>
  </si>
  <si>
    <t>SUM(売上金額)</t>
    <phoneticPr fontId="2"/>
  </si>
  <si>
    <t>#WK見積明細</t>
    <phoneticPr fontId="2"/>
  </si>
  <si>
    <t>NOT</t>
    <phoneticPr fontId="2"/>
  </si>
  <si>
    <t>見積区分 IN ('','A', 'C', 'S')</t>
    <phoneticPr fontId="2"/>
  </si>
  <si>
    <t>group by</t>
    <phoneticPr fontId="2"/>
  </si>
  <si>
    <t>' '</t>
  </si>
  <si>
    <t>#WK見積明細.見積番号</t>
  </si>
  <si>
    <t>#WK見積明細.仕分番号</t>
  </si>
  <si>
    <t>#WK見積明細.仕分名称</t>
  </si>
  <si>
    <t>#WK見積明細.行番号</t>
  </si>
  <si>
    <t>#WK見積明細.SP区分</t>
  </si>
  <si>
    <t>#WK見積明細.PC区分</t>
  </si>
  <si>
    <t>#WK見積明細.製品NO</t>
  </si>
  <si>
    <t>#WK見積明細.仕様NO</t>
  </si>
  <si>
    <t>#WK見積明細.漢字名称</t>
  </si>
  <si>
    <t>#WK見積明細.W</t>
  </si>
  <si>
    <t>#WK見積明細.D</t>
  </si>
  <si>
    <t>#WK見積明細.H</t>
  </si>
  <si>
    <t>#WK見積明細.D1</t>
  </si>
  <si>
    <t>#WK見積明細.D2</t>
  </si>
  <si>
    <t>#WK見積明細.H1</t>
  </si>
  <si>
    <t>#WK見積明細.H2</t>
  </si>
  <si>
    <t>#WK見積明細.単位名</t>
  </si>
  <si>
    <t>#WK見積明細.原価率</t>
  </si>
  <si>
    <t>#WK見積明細.粗利益</t>
  </si>
  <si>
    <t>#WK見積明細.社内在庫数</t>
  </si>
  <si>
    <t>#WK見積明細.客先在庫数</t>
  </si>
  <si>
    <t>#WK見積明細.転用数</t>
  </si>
  <si>
    <t>#WK見積明細.発注数</t>
  </si>
  <si>
    <t>#WK見積明細.製品区分</t>
  </si>
  <si>
    <t>#WK見積明細.見積区分</t>
  </si>
  <si>
    <t>SQL19.見積ヘッダー部出力</t>
    <phoneticPr fontId="2"/>
  </si>
  <si>
    <t>USH.見積番号</t>
  </si>
  <si>
    <t>USH.請求日付</t>
  </si>
  <si>
    <t>USH.合計金額</t>
  </si>
  <si>
    <t>USH.税抜金額</t>
  </si>
  <si>
    <t>USH.外税対象額</t>
  </si>
  <si>
    <t>USH.外税額</t>
  </si>
  <si>
    <t>MT.担当者CD</t>
  </si>
  <si>
    <t>MT.見積件名</t>
  </si>
  <si>
    <t>MT.得意先CD</t>
  </si>
  <si>
    <t>MT.得意先名1</t>
  </si>
  <si>
    <t>MT.得意先名2</t>
  </si>
  <si>
    <t>MT.納期S</t>
  </si>
  <si>
    <t>MT.納期E</t>
  </si>
  <si>
    <t>MT.現場名</t>
  </si>
  <si>
    <t>MT.備考</t>
  </si>
  <si>
    <t>MT.納期表示</t>
  </si>
  <si>
    <t>MT.支払条件</t>
  </si>
  <si>
    <t>MT.支払条件その他</t>
  </si>
  <si>
    <t>MT.納期その他</t>
  </si>
  <si>
    <t>MT.ウエルシア売場面積</t>
  </si>
  <si>
    <t>MT.納入得意先CD</t>
  </si>
  <si>
    <t>MT.納入先CD</t>
  </si>
  <si>
    <t>請求日付</t>
  </si>
  <si>
    <t>合計金額</t>
  </si>
  <si>
    <t>税抜金額</t>
  </si>
  <si>
    <t>外税対象額</t>
  </si>
  <si>
    <t>外税額</t>
  </si>
  <si>
    <t>担当者CD</t>
  </si>
  <si>
    <t>見積件名</t>
  </si>
  <si>
    <t>得意先CD</t>
  </si>
  <si>
    <t>得意先名1</t>
  </si>
  <si>
    <t>得意先名2</t>
  </si>
  <si>
    <t>納期S</t>
  </si>
  <si>
    <t>納期E</t>
  </si>
  <si>
    <t>現場名</t>
  </si>
  <si>
    <t>備考</t>
  </si>
  <si>
    <t>納期表示</t>
  </si>
  <si>
    <t>支払条件</t>
  </si>
  <si>
    <t>支払条件その他</t>
  </si>
  <si>
    <t>納期その他</t>
  </si>
  <si>
    <t>ウエルシア売場面積</t>
  </si>
  <si>
    <t>納入得意先CD</t>
  </si>
  <si>
    <t>納入先CD</t>
  </si>
  <si>
    <t>TD売上請求H AS USH</t>
    <phoneticPr fontId="2"/>
  </si>
  <si>
    <t>TD見積 AS MT</t>
    <phoneticPr fontId="2"/>
  </si>
  <si>
    <t>TM担当者 AS TT</t>
    <phoneticPr fontId="2"/>
  </si>
  <si>
    <t>LEFT JOIN</t>
    <phoneticPr fontId="2"/>
  </si>
  <si>
    <t>TD見積</t>
    <phoneticPr fontId="2"/>
  </si>
  <si>
    <t>USH.見積番号 = MT.見積番号</t>
    <phoneticPr fontId="2"/>
  </si>
  <si>
    <t>TM担当者</t>
    <phoneticPr fontId="2"/>
  </si>
  <si>
    <t>MT.担当者CD = TT.担当者CD</t>
    <phoneticPr fontId="2"/>
  </si>
  <si>
    <t>USH.見積番号 = [画面.見積番号]</t>
    <rPh sb="12" eb="14">
      <t>ガメン</t>
    </rPh>
    <phoneticPr fontId="2"/>
  </si>
  <si>
    <t>SQL20.見積仕分部出力</t>
    <rPh sb="8" eb="10">
      <t>シワケ</t>
    </rPh>
    <rPh sb="10" eb="11">
      <t>ブ</t>
    </rPh>
    <rPh sb="11" eb="13">
      <t>シュツリョク</t>
    </rPh>
    <phoneticPr fontId="2"/>
  </si>
  <si>
    <t>SUM(#WK見積明細.仕入金額)</t>
    <phoneticPr fontId="2"/>
  </si>
  <si>
    <t>SUM(#WK見積明細.売上金額)</t>
    <phoneticPr fontId="2"/>
  </si>
  <si>
    <t>#WK見積明細.仕分名称</t>
    <phoneticPr fontId="2"/>
  </si>
  <si>
    <t>#WK見積明細.仕分番号</t>
    <phoneticPr fontId="2"/>
  </si>
  <si>
    <t>#WK見積明細.見積番号</t>
    <phoneticPr fontId="2"/>
  </si>
  <si>
    <t>order by</t>
    <phoneticPr fontId="2"/>
  </si>
  <si>
    <t>SQL21.見積明細部出力</t>
    <phoneticPr fontId="2"/>
  </si>
  <si>
    <t>SQL22</t>
    <phoneticPr fontId="2"/>
  </si>
  <si>
    <t>仕分行数</t>
  </si>
  <si>
    <t>COUNT(#WK見積明細.行番号)</t>
    <phoneticPr fontId="2"/>
  </si>
  <si>
    <t>CN.仕分行数</t>
  </si>
  <si>
    <t>#WK見積明細 AS MW</t>
    <phoneticPr fontId="2"/>
  </si>
  <si>
    <t>SQL22 AS CN</t>
    <phoneticPr fontId="2"/>
  </si>
  <si>
    <t>SQL22</t>
    <phoneticPr fontId="2"/>
  </si>
  <si>
    <t>MW.見積番号 = CN.見積番号</t>
    <phoneticPr fontId="2"/>
  </si>
  <si>
    <t>MW.仕分番号 = CN.仕分番号</t>
    <phoneticPr fontId="2"/>
  </si>
  <si>
    <t>MW.仕分名称 = CN.仕分名称</t>
    <phoneticPr fontId="2"/>
  </si>
  <si>
    <t>MW.仕分番号</t>
    <phoneticPr fontId="2"/>
  </si>
  <si>
    <t>MW.行番号</t>
    <phoneticPr fontId="2"/>
  </si>
  <si>
    <t>SQL19.見積番号</t>
    <rPh sb="6" eb="8">
      <t>ミツモリ</t>
    </rPh>
    <rPh sb="8" eb="10">
      <t>バンゴウ</t>
    </rPh>
    <phoneticPr fontId="1"/>
  </si>
  <si>
    <t>"No." + [SQL19.見積番号]</t>
    <phoneticPr fontId="1"/>
  </si>
  <si>
    <t>画面.請求書発行日付</t>
    <rPh sb="0" eb="2">
      <t>ガメン</t>
    </rPh>
    <rPh sb="3" eb="6">
      <t>セイキュウショ</t>
    </rPh>
    <rPh sb="6" eb="8">
      <t>ハッコウ</t>
    </rPh>
    <rPh sb="8" eb="10">
      <t>ヒヅケ</t>
    </rPh>
    <phoneticPr fontId="1"/>
  </si>
  <si>
    <t>yyyy年mm月dd日</t>
    <phoneticPr fontId="1"/>
  </si>
  <si>
    <t>SQL19.得意先名1</t>
    <rPh sb="6" eb="10">
      <t>トクイサキメイ</t>
    </rPh>
    <phoneticPr fontId="1"/>
  </si>
  <si>
    <t>[SQL19.得意先名2]が空出ない場合は[SQL19.得意先名1]、からの場合は""を表示</t>
    <phoneticPr fontId="1"/>
  </si>
  <si>
    <t>[SQL19.得意先名2]が空出ない場合は[SQL19.得意先名2]、からの場合は[SQL19.得意先名1]を表示</t>
    <rPh sb="14" eb="15">
      <t>カラ</t>
    </rPh>
    <rPh sb="15" eb="16">
      <t>デ</t>
    </rPh>
    <rPh sb="18" eb="20">
      <t>バアイ</t>
    </rPh>
    <rPh sb="38" eb="40">
      <t>バアイ</t>
    </rPh>
    <rPh sb="55" eb="57">
      <t>ヒョウジ</t>
    </rPh>
    <phoneticPr fontId="1"/>
  </si>
  <si>
    <t>SQL19.合計金額</t>
    <rPh sb="6" eb="10">
      <t>ゴウケイキンガク</t>
    </rPh>
    <phoneticPr fontId="1"/>
  </si>
  <si>
    <t>SQL19.請求日付,SQL19.切替日付,SQL19.税率,SQL19.旧税率</t>
    <rPh sb="17" eb="19">
      <t>キリカエ</t>
    </rPh>
    <rPh sb="19" eb="21">
      <t>ヒヅケ</t>
    </rPh>
    <rPh sb="28" eb="30">
      <t>ゼイリツ</t>
    </rPh>
    <rPh sb="37" eb="38">
      <t>キュウ</t>
    </rPh>
    <phoneticPr fontId="1"/>
  </si>
  <si>
    <t>[SQL19.請求日付]&gt;=[SQL19.切替日付]の場合は[SQL19.税率]、
[SQL19.請求日付]&lt;[SQL19.切替日付]の場合は[SQL19.旧税率]を[税率]とする。
"消費税等(" &amp; [税率] &amp; "%)"を表示する</t>
    <rPh sb="27" eb="29">
      <t>バアイ</t>
    </rPh>
    <rPh sb="78" eb="79">
      <t>キュウ</t>
    </rPh>
    <rPh sb="84" eb="86">
      <t>ゼイリツ</t>
    </rPh>
    <rPh sb="114" eb="116">
      <t>ヒョウジ</t>
    </rPh>
    <phoneticPr fontId="1"/>
  </si>
  <si>
    <t>SQL19.外税額</t>
    <phoneticPr fontId="1"/>
  </si>
  <si>
    <t>5.御請求金額,6.消費税等</t>
    <phoneticPr fontId="1"/>
  </si>
  <si>
    <t>[5.御請求金額]と[6.消費税等]の合計。</t>
    <rPh sb="19" eb="21">
      <t>ゴウケイ</t>
    </rPh>
    <phoneticPr fontId="1"/>
  </si>
  <si>
    <t>SQL19.見積件名</t>
    <phoneticPr fontId="1"/>
  </si>
  <si>
    <t>SQL19.納期S,SQL19.納期E</t>
    <rPh sb="6" eb="8">
      <t>ノウキ</t>
    </rPh>
    <rPh sb="16" eb="18">
      <t>ノウキ</t>
    </rPh>
    <phoneticPr fontId="1"/>
  </si>
  <si>
    <t>[SQL19.納期S]と[SQL19.納期E]のどちらもnullでない場合、[SQL19.納期S]~[SQL19.納期E]を表示する。
[SQL19.納期S]がnullの場合、[SQL19.納期E]を表示する。
それ以外の場合、[SQL19.納期S]を表示する。</t>
    <rPh sb="35" eb="37">
      <t>バアイ</t>
    </rPh>
    <rPh sb="62" eb="64">
      <t>ヒョウジ</t>
    </rPh>
    <rPh sb="85" eb="87">
      <t>バアイ</t>
    </rPh>
    <rPh sb="108" eb="110">
      <t>イガイ</t>
    </rPh>
    <rPh sb="111" eb="113">
      <t>バアイ</t>
    </rPh>
    <phoneticPr fontId="1"/>
  </si>
  <si>
    <t>SQL19.現場名,SQL19.納入先CD,SQL19.納入得意先CD</t>
    <phoneticPr fontId="1"/>
  </si>
  <si>
    <t>[SQL19.納入得意先CD]が"2401", "8001"の場合は[SQL19.現場名]に対して[SQL19.納入先CD]文字を””に置き換えた値</t>
    <rPh sb="31" eb="33">
      <t>バアイ</t>
    </rPh>
    <rPh sb="46" eb="47">
      <t>タイ</t>
    </rPh>
    <rPh sb="62" eb="64">
      <t>モジ</t>
    </rPh>
    <rPh sb="68" eb="69">
      <t>オ</t>
    </rPh>
    <rPh sb="70" eb="71">
      <t>カ</t>
    </rPh>
    <rPh sb="73" eb="74">
      <t>アタイ</t>
    </rPh>
    <phoneticPr fontId="1"/>
  </si>
  <si>
    <t>SQL19.納入先CD,SQL19.納入得意先CD</t>
    <phoneticPr fontId="1"/>
  </si>
  <si>
    <t>[SQL19.納入得意先CD]が"2401", "8001"の場合は[SQL19.納入先CD]、それ以外の場合は""を表示</t>
    <rPh sb="50" eb="52">
      <t>イガイ</t>
    </rPh>
    <rPh sb="53" eb="55">
      <t>バアイ</t>
    </rPh>
    <rPh sb="59" eb="61">
      <t>ヒョウジ</t>
    </rPh>
    <phoneticPr fontId="1"/>
  </si>
  <si>
    <t>SQL19.支払条件,SQL19.支払条件その他</t>
    <phoneticPr fontId="1"/>
  </si>
  <si>
    <t>[SQL19.支払条件]が0の場合は"別途御打ち合せによる"、[SQL19.支払条件]が1の場合は[SQL19.支払条件その他]を表示</t>
    <rPh sb="15" eb="17">
      <t>バアイ</t>
    </rPh>
    <rPh sb="65" eb="67">
      <t>ヒョウジ</t>
    </rPh>
    <phoneticPr fontId="1"/>
  </si>
  <si>
    <t>SQL19.備考</t>
    <rPh sb="6" eb="8">
      <t>ビコウ</t>
    </rPh>
    <phoneticPr fontId="1"/>
  </si>
  <si>
    <t>SQL19.ウエルシア売場面積</t>
    <phoneticPr fontId="1"/>
  </si>
  <si>
    <t>[SQL19.ウエルシア売場面積]が0出ない場合、"売 場 面 積 ："を表示</t>
    <rPh sb="19" eb="20">
      <t>デ</t>
    </rPh>
    <rPh sb="22" eb="24">
      <t>バアイ</t>
    </rPh>
    <rPh sb="37" eb="39">
      <t>ヒョウジ</t>
    </rPh>
    <phoneticPr fontId="1"/>
  </si>
  <si>
    <t>[SQL19.ウエルシア売場面積]が0出ない場合、[SQL19.ウエルシア売場面積]を表示</t>
    <phoneticPr fontId="1"/>
  </si>
  <si>
    <t>[TM会社.郵便番号]</t>
    <rPh sb="3" eb="5">
      <t>カイシャ</t>
    </rPh>
    <rPh sb="6" eb="10">
      <t>ユウビンバンゴウ</t>
    </rPh>
    <phoneticPr fontId="1"/>
  </si>
  <si>
    <t>[TM会社.住所1]</t>
    <rPh sb="3" eb="5">
      <t>カイシャ</t>
    </rPh>
    <rPh sb="6" eb="8">
      <t>ジュウショ</t>
    </rPh>
    <phoneticPr fontId="1"/>
  </si>
  <si>
    <t>[TM会社.電話番号]</t>
    <rPh sb="3" eb="5">
      <t>カイシャ</t>
    </rPh>
    <rPh sb="6" eb="8">
      <t>デンワ</t>
    </rPh>
    <rPh sb="8" eb="10">
      <t>バンゴウ</t>
    </rPh>
    <phoneticPr fontId="1"/>
  </si>
  <si>
    <t>[TM会社.FAX番号]</t>
    <rPh sb="3" eb="5">
      <t>カイシャ</t>
    </rPh>
    <rPh sb="9" eb="11">
      <t>バンゴウ</t>
    </rPh>
    <phoneticPr fontId="1"/>
  </si>
  <si>
    <t>空</t>
    <rPh sb="0" eb="1">
      <t>カラ</t>
    </rPh>
    <phoneticPr fontId="1"/>
  </si>
  <si>
    <t>TM担当者.問い合わせ先</t>
    <rPh sb="6" eb="7">
      <t>ト</t>
    </rPh>
    <rPh sb="8" eb="9">
      <t>ア</t>
    </rPh>
    <rPh sb="11" eb="12">
      <t>サキ</t>
    </rPh>
    <phoneticPr fontId="1"/>
  </si>
  <si>
    <t xml:space="preserve"> [TM担当者.問い合わせ先]が空の場合は何も表示しない</t>
    <phoneticPr fontId="1"/>
  </si>
  <si>
    <t>(単位：円)</t>
    <phoneticPr fontId="2"/>
  </si>
  <si>
    <t>"(単位：円)"</t>
    <phoneticPr fontId="1"/>
  </si>
  <si>
    <t>SQL21.仕分番号</t>
    <phoneticPr fontId="1"/>
  </si>
  <si>
    <t>[SQL21.仕分番号]のゼロ埋め2桁</t>
    <rPh sb="15" eb="16">
      <t>ウ</t>
    </rPh>
    <rPh sb="18" eb="19">
      <t>ケタ</t>
    </rPh>
    <phoneticPr fontId="1"/>
  </si>
  <si>
    <t>SQL21.PC区分,SQL21.製品NO</t>
  </si>
  <si>
    <t>SQL21.仕様NO</t>
  </si>
  <si>
    <t>SQL21.W</t>
  </si>
  <si>
    <t>SQL21.D,SQL21.D1,SQL21.D2</t>
  </si>
  <si>
    <t>[SQL21.D]が0でない場合は[SQL21.D]を表示
[SQL21.D]が0の場合、
[SQL21.D1],[SQL21.D2]どちらも0の場合は””を表示
[SQL21.D1],[SQL21.D2]どちらかが0でない場合は[SQL21.D1]&amp;”/”&amp;[SQL21.D2]を表示</t>
    <rPh sb="14" eb="16">
      <t>バアイ</t>
    </rPh>
    <rPh sb="27" eb="29">
      <t>ヒョウジ</t>
    </rPh>
    <rPh sb="73" eb="75">
      <t>バアイ</t>
    </rPh>
    <rPh sb="79" eb="81">
      <t>ヒョウジ</t>
    </rPh>
    <phoneticPr fontId="1"/>
  </si>
  <si>
    <t>SQL21.H,SQL21.H1,SQL21.H2</t>
  </si>
  <si>
    <t>[SQL21.H]が0でない場合は[SQL21.H]を表示
[SQL21.H]が0の場合、
[SQL21.H1],[SQL21.H2]どちらも0の場合は””を表示
[SQL21.H1],[SQL21.H2]どちらかが0でない場合は[SQL21.H1]&amp;”/”&amp;[SQL21.H2]を表示</t>
    <rPh sb="14" eb="16">
      <t>バアイ</t>
    </rPh>
    <rPh sb="27" eb="29">
      <t>ヒョウジ</t>
    </rPh>
    <rPh sb="73" eb="75">
      <t>バアイ</t>
    </rPh>
    <rPh sb="79" eb="81">
      <t>ヒョウジ</t>
    </rPh>
    <phoneticPr fontId="1"/>
  </si>
  <si>
    <t>SQL21.単位名</t>
    <rPh sb="6" eb="8">
      <t>タンイ</t>
    </rPh>
    <rPh sb="8" eb="9">
      <t>メイ</t>
    </rPh>
    <phoneticPr fontId="1"/>
  </si>
  <si>
    <t>SQL21.売上単価</t>
  </si>
  <si>
    <t>[SQL21.PC区分]&amp;[SQL21.製品NO]</t>
  </si>
  <si>
    <t>SQL21.数量</t>
    <rPh sb="6" eb="8">
      <t>スウリョウ</t>
    </rPh>
    <phoneticPr fontId="1"/>
  </si>
  <si>
    <t>SQL21.仕分名称</t>
    <rPh sb="6" eb="10">
      <t>シワケメイショウ</t>
    </rPh>
    <phoneticPr fontId="1"/>
  </si>
  <si>
    <t>17行目でまだデータが存在する場合、"次ページへ"を表示、
データ最終行の場合は"【合　　計】"を表示、
最終行ではなくページの終わりの場合は"【" &amp; [SQL21.仕分名称] &amp; "小計】"を表示</t>
    <rPh sb="2" eb="4">
      <t>ギョウメ</t>
    </rPh>
    <rPh sb="11" eb="13">
      <t>ソンザイ</t>
    </rPh>
    <rPh sb="15" eb="17">
      <t>バアイ</t>
    </rPh>
    <rPh sb="26" eb="28">
      <t>ヒョウジ</t>
    </rPh>
    <rPh sb="33" eb="36">
      <t>サイシュウギョウ</t>
    </rPh>
    <rPh sb="37" eb="39">
      <t>バアイ</t>
    </rPh>
    <rPh sb="49" eb="51">
      <t>ヒョウジ</t>
    </rPh>
    <rPh sb="53" eb="56">
      <t>サイシュウギョウ</t>
    </rPh>
    <rPh sb="64" eb="65">
      <t>オ</t>
    </rPh>
    <rPh sb="68" eb="70">
      <t>バアイ</t>
    </rPh>
    <rPh sb="98" eb="100">
      <t>ヒョウジ</t>
    </rPh>
    <phoneticPr fontId="1"/>
  </si>
  <si>
    <t>2.コメントでないもの</t>
    <phoneticPr fontId="2"/>
  </si>
  <si>
    <t>(</t>
    <phoneticPr fontId="2"/>
  </si>
  <si>
    <t>) AS UNION_SQL</t>
    <phoneticPr fontId="2"/>
  </si>
  <si>
    <t>UNION_SQL.見積番号</t>
  </si>
  <si>
    <t>UNION_SQL.仕分番号</t>
  </si>
  <si>
    <t>UNION_SQL.仕分名称</t>
  </si>
  <si>
    <t>UNION_SQL.行番号</t>
  </si>
  <si>
    <t>UNION_SQL.SP区分</t>
  </si>
  <si>
    <t>UNION_SQL.PC区分</t>
  </si>
  <si>
    <t>UNION_SQL.製品NO</t>
  </si>
  <si>
    <t>UNION_SQL.仕様NO</t>
  </si>
  <si>
    <t>UNION_SQL.漢字名称</t>
  </si>
  <si>
    <t>UNION_SQL.W</t>
  </si>
  <si>
    <t>UNION_SQL.D</t>
  </si>
  <si>
    <t>UNION_SQL.H</t>
  </si>
  <si>
    <t>UNION_SQL.D1</t>
  </si>
  <si>
    <t>UNION_SQL.D2</t>
  </si>
  <si>
    <t>UNION_SQL.H1</t>
  </si>
  <si>
    <t>UNION_SQL.H2</t>
  </si>
  <si>
    <t>UNION_SQL.売上数量</t>
  </si>
  <si>
    <t>UNION_SQL.単位名</t>
  </si>
  <si>
    <t>UNION_SQL.売上単価</t>
  </si>
  <si>
    <t>UNION_SQL.売上金額</t>
  </si>
  <si>
    <t>UNION_SQL.仕入先CD</t>
  </si>
  <si>
    <t>UNION_SQL.仕入先略称</t>
  </si>
  <si>
    <t>UNION_SQL.仕入単価</t>
  </si>
  <si>
    <t>UNION_SQL.仕入金額</t>
  </si>
  <si>
    <t>UNION_SQL.原価率</t>
  </si>
  <si>
    <t>UNION_SQL.粗利益</t>
  </si>
  <si>
    <t>UNION_SQL.配送先CD</t>
  </si>
  <si>
    <t>UNION_SQL.配送先略称</t>
  </si>
  <si>
    <t>UNION_SQL.社内在庫数</t>
  </si>
  <si>
    <t>UNION_SQL.客先在庫数</t>
  </si>
  <si>
    <t>UNION_SQL.転用数</t>
  </si>
  <si>
    <t>UNION_SQL.発注数</t>
  </si>
  <si>
    <t>UNION_SQL.製品区分</t>
  </si>
  <si>
    <t>UNION_SQL.見積区分</t>
  </si>
  <si>
    <t>UNION_SQL.伝票区分</t>
  </si>
  <si>
    <t>A4横</t>
    <rPh sb="2" eb="3">
      <t>ヨコ</t>
    </rPh>
    <phoneticPr fontId="2"/>
  </si>
  <si>
    <t>null</t>
    <phoneticPr fontId="2"/>
  </si>
  <si>
    <t>TD見積シートM.見積明細連番 = TD見積シート内訳.見積明細連番</t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</si>
  <si>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</si>
  <si>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</si>
  <si>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</si>
  <si>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</si>
  <si>
    <t>MSM.見積区分</t>
    <phoneticPr fontId="2"/>
  </si>
  <si>
    <t>TD見積シートM.見積区分 NOT IN ('A','C','S')</t>
    <phoneticPr fontId="2"/>
  </si>
  <si>
    <t>請求書発行との違い。
売上前なので伝票区分が取得できない為、TD見積シートM.見積区分によって判定する。</t>
    <rPh sb="0" eb="3">
      <t>セイキュウショ</t>
    </rPh>
    <rPh sb="3" eb="5">
      <t>ハッコウ</t>
    </rPh>
    <rPh sb="7" eb="8">
      <t>チガ</t>
    </rPh>
    <rPh sb="11" eb="13">
      <t>ウリアゲ</t>
    </rPh>
    <rPh sb="13" eb="14">
      <t>マエ</t>
    </rPh>
    <rPh sb="17" eb="19">
      <t>デンピョウ</t>
    </rPh>
    <rPh sb="19" eb="21">
      <t>クブン</t>
    </rPh>
    <rPh sb="22" eb="24">
      <t>シュトク</t>
    </rPh>
    <rPh sb="28" eb="29">
      <t>タメ</t>
    </rPh>
    <rPh sb="32" eb="34">
      <t>ミツモリ</t>
    </rPh>
    <rPh sb="39" eb="41">
      <t>ミツモリ</t>
    </rPh>
    <rPh sb="41" eb="43">
      <t>クブン</t>
    </rPh>
    <rPh sb="47" eb="49">
      <t>ハンテイ</t>
    </rPh>
    <phoneticPr fontId="1"/>
  </si>
  <si>
    <r>
      <rPr>
        <sz val="9"/>
        <color rgb="FFFF0000"/>
        <rFont val="Meiryo UI"/>
        <family val="3"/>
        <charset val="128"/>
      </rPr>
      <t>[SQL1.見積区分]</t>
    </r>
    <r>
      <rPr>
        <sz val="9"/>
        <color theme="1"/>
        <rFont val="Meiryo UI"/>
        <family val="3"/>
        <charset val="128"/>
      </rPr>
      <t xml:space="preserve">が"C"か"A"か"S"の場合"  "&amp;[SQL21.漢字名称]、それ以外の場合[SQL21.漢字名称]を表示
</t>
    </r>
    <rPh sb="24" eb="26">
      <t>バアイ</t>
    </rPh>
    <rPh sb="46" eb="48">
      <t>イガイ</t>
    </rPh>
    <rPh sb="49" eb="51">
      <t>バアイ</t>
    </rPh>
    <rPh sb="64" eb="66">
      <t>ヒョウジ</t>
    </rPh>
    <phoneticPr fontId="1"/>
  </si>
  <si>
    <r>
      <rPr>
        <sz val="9"/>
        <color rgb="FFFF0000"/>
        <rFont val="Meiryo UI"/>
        <family val="3"/>
        <charset val="128"/>
      </rPr>
      <t>[SQL1.見積区分]</t>
    </r>
    <r>
      <rPr>
        <sz val="9"/>
        <color theme="1"/>
        <rFont val="Meiryo UI"/>
        <family val="3"/>
        <charset val="128"/>
      </rPr>
      <t xml:space="preserve">が"C"か"A"か"S"の場合””、それ以外の場合[TD見積シートM.行番号]を表示
</t>
    </r>
    <rPh sb="24" eb="26">
      <t>バアイ</t>
    </rPh>
    <rPh sb="31" eb="33">
      <t>イガイ</t>
    </rPh>
    <rPh sb="34" eb="36">
      <t>バアイ</t>
    </rPh>
    <rPh sb="51" eb="53">
      <t>ヒョウジ</t>
    </rPh>
    <phoneticPr fontId="1"/>
  </si>
  <si>
    <t>SQL1.見積区分,SQL21.行番号</t>
    <phoneticPr fontId="1"/>
  </si>
  <si>
    <t>SQL1.見積区分,SQL21.漢字名称</t>
    <phoneticPr fontId="1"/>
  </si>
  <si>
    <t xml:space="preserve">SQL1.見積区分,SQL21.売上端数,SQL21.数量,SQL21.売上単価
</t>
    <phoneticPr fontId="1"/>
  </si>
  <si>
    <r>
      <t xml:space="preserve">[SQL21.数量]と[SQL21.売上単価]をかけ、[SQL21.売上端数]が0の場合は四捨五入、１の場合は切り上げ、２の場合は切り捨てを行ったものを[売上金額]とする
</t>
    </r>
    <r>
      <rPr>
        <sz val="9"/>
        <color rgb="FFFF0000"/>
        <rFont val="Meiryo UI"/>
        <family val="3"/>
        <charset val="128"/>
      </rPr>
      <t>[SQL1.見積区分]</t>
    </r>
    <r>
      <rPr>
        <sz val="9"/>
        <rFont val="Meiryo UI"/>
        <family val="3"/>
        <charset val="128"/>
      </rPr>
      <t>が"A","C","S"ではなく</t>
    </r>
    <r>
      <rPr>
        <sz val="9"/>
        <color theme="1"/>
        <rFont val="Meiryo UI"/>
        <family val="3"/>
        <charset val="128"/>
      </rPr>
      <t>[売上金額]が０の場合は""を表示する
上記以外の場合は[売上金額]を表示する</t>
    </r>
    <rPh sb="42" eb="44">
      <t>バアイ</t>
    </rPh>
    <rPh sb="45" eb="49">
      <t>シシャゴニュウ</t>
    </rPh>
    <rPh sb="52" eb="54">
      <t>バアイ</t>
    </rPh>
    <rPh sb="55" eb="56">
      <t>キ</t>
    </rPh>
    <rPh sb="57" eb="58">
      <t>ア</t>
    </rPh>
    <rPh sb="62" eb="64">
      <t>バアイ</t>
    </rPh>
    <rPh sb="65" eb="66">
      <t>キ</t>
    </rPh>
    <rPh sb="67" eb="68">
      <t>ス</t>
    </rPh>
    <rPh sb="70" eb="71">
      <t>オコナ</t>
    </rPh>
    <rPh sb="77" eb="81">
      <t>ウリアゲキンガク</t>
    </rPh>
    <rPh sb="114" eb="118">
      <t>ウリアゲキンガク</t>
    </rPh>
    <rPh sb="122" eb="124">
      <t>バアイ</t>
    </rPh>
    <rPh sb="128" eb="130">
      <t>ヒョウジ</t>
    </rPh>
    <rPh sb="133" eb="137">
      <t>ジョウキイガイ</t>
    </rPh>
    <rPh sb="138" eb="140">
      <t>バアイ</t>
    </rPh>
    <rPh sb="142" eb="144">
      <t>ウリアゲ</t>
    </rPh>
    <rPh sb="144" eb="146">
      <t>キンガク</t>
    </rPh>
    <rPh sb="148" eb="150">
      <t>ヒョウジ</t>
    </rPh>
    <phoneticPr fontId="1"/>
  </si>
  <si>
    <t>XXXXXXXX</t>
  </si>
  <si>
    <t/>
  </si>
  <si>
    <t>運用自動化</t>
  </si>
  <si>
    <t>帳票設計書</t>
  </si>
  <si>
    <t>_テンプレート_帳票設計書</t>
  </si>
  <si>
    <t>テンプレート</t>
  </si>
  <si>
    <t>TD売上前請求H AS USH</t>
    <rPh sb="4" eb="5">
      <t>マエ</t>
    </rPh>
    <phoneticPr fontId="2"/>
  </si>
  <si>
    <t>本帳票は請求書発行を売上入力前に発行したい場合に使用する。</t>
    <rPh sb="0" eb="3">
      <t>ホンチョウヒョウ</t>
    </rPh>
    <rPh sb="4" eb="7">
      <t>セイキュウショ</t>
    </rPh>
    <rPh sb="7" eb="9">
      <t>ハッコウ</t>
    </rPh>
    <rPh sb="10" eb="12">
      <t>ウリアゲ</t>
    </rPh>
    <rPh sb="12" eb="14">
      <t>ニュウリョク</t>
    </rPh>
    <rPh sb="14" eb="15">
      <t>マエ</t>
    </rPh>
    <rPh sb="16" eb="18">
      <t>ハッコウ</t>
    </rPh>
    <rPh sb="21" eb="23">
      <t>バアイ</t>
    </rPh>
    <rPh sb="24" eb="26">
      <t>シヨウ</t>
    </rPh>
    <phoneticPr fontId="2"/>
  </si>
  <si>
    <t>基本的に請求書発行と同じロジックで実行するが、売上入力で作成される情報については、見積情報から取得可能な情報で代用する前提。見積情報からも取得できない項目については空欄となる。</t>
    <rPh sb="0" eb="3">
      <t>キホンテキ</t>
    </rPh>
    <rPh sb="4" eb="7">
      <t>セイキュウショ</t>
    </rPh>
    <rPh sb="7" eb="9">
      <t>ハッコウ</t>
    </rPh>
    <rPh sb="10" eb="11">
      <t>オナ</t>
    </rPh>
    <rPh sb="17" eb="19">
      <t>ジッコウ</t>
    </rPh>
    <phoneticPr fontId="2"/>
  </si>
  <si>
    <t>税抜金額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</si>
</sst>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&quot;¥&quot;#,##0\-;&quot;¥&quot;\-#,##0\-"/>
    <numFmt numFmtId="178" formatCode="#"/>
  </numFmts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sz val="11"/>
      <name val="ＭＳ 明朝"/>
      <family val="1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  <font>
      <sz val="9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7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30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49" fontId="9" fillId="0" borderId="41" xfId="1" applyNumberFormat="1" applyFont="1" applyBorder="1" applyAlignment="1"/>
    <xf numFmtId="49" fontId="10" fillId="0" borderId="41" xfId="1" applyNumberFormat="1" applyFont="1" applyBorder="1" applyAlignment="1">
      <alignment horizontal="centerContinuous"/>
    </xf>
    <xf numFmtId="0" fontId="10" fillId="0" borderId="41" xfId="1" applyFont="1" applyBorder="1" applyAlignment="1">
      <alignment horizontal="centerContinuous"/>
    </xf>
    <xf numFmtId="0" fontId="11" fillId="0" borderId="41" xfId="1" applyFont="1" applyBorder="1" applyAlignment="1"/>
    <xf numFmtId="31" fontId="9" fillId="0" borderId="41" xfId="1" applyNumberFormat="1" applyFont="1" applyBorder="1" applyAlignment="1">
      <alignment horizontal="right"/>
    </xf>
    <xf numFmtId="0" fontId="10" fillId="0" borderId="0" xfId="1" applyFont="1"/>
    <xf numFmtId="0" fontId="10" fillId="0" borderId="0" xfId="1" applyFont="1" applyBorder="1"/>
    <xf numFmtId="0" fontId="14" fillId="0" borderId="0" xfId="1" applyFont="1" applyAlignment="1"/>
    <xf numFmtId="0" fontId="14" fillId="0" borderId="0" xfId="1" applyFont="1" applyBorder="1" applyAlignment="1"/>
    <xf numFmtId="0" fontId="15" fillId="0" borderId="0" xfId="1" applyFont="1"/>
    <xf numFmtId="0" fontId="9" fillId="0" borderId="0" xfId="1" applyFont="1"/>
    <xf numFmtId="0" fontId="13" fillId="0" borderId="0" xfId="1" applyFont="1"/>
    <xf numFmtId="0" fontId="13" fillId="0" borderId="41" xfId="1" applyFont="1" applyBorder="1"/>
    <xf numFmtId="0" fontId="15" fillId="0" borderId="41" xfId="1" applyFont="1" applyBorder="1"/>
    <xf numFmtId="0" fontId="10" fillId="0" borderId="41" xfId="1" applyFont="1" applyBorder="1"/>
    <xf numFmtId="0" fontId="13" fillId="0" borderId="6" xfId="1" applyFont="1" applyBorder="1"/>
    <xf numFmtId="0" fontId="15" fillId="0" borderId="6" xfId="1" applyFont="1" applyBorder="1"/>
    <xf numFmtId="0" fontId="10" fillId="0" borderId="6" xfId="1" applyFont="1" applyBorder="1"/>
    <xf numFmtId="0" fontId="10" fillId="0" borderId="0" xfId="1" applyFont="1" applyBorder="1" applyAlignment="1">
      <alignment shrinkToFit="1"/>
    </xf>
    <xf numFmtId="0" fontId="10" fillId="0" borderId="0" xfId="1" applyFont="1" applyBorder="1" applyAlignment="1">
      <alignment horizontal="left" shrinkToFit="1"/>
    </xf>
    <xf numFmtId="0" fontId="10" fillId="0" borderId="6" xfId="1" applyFont="1" applyBorder="1" applyAlignment="1">
      <alignment shrinkToFit="1"/>
    </xf>
    <xf numFmtId="0" fontId="16" fillId="0" borderId="0" xfId="1" applyFont="1"/>
    <xf numFmtId="0" fontId="10" fillId="0" borderId="0" xfId="1" applyFont="1" applyAlignment="1">
      <alignment horizontal="right"/>
    </xf>
    <xf numFmtId="0" fontId="9" fillId="6" borderId="1" xfId="1" applyFont="1" applyFill="1" applyBorder="1" applyAlignment="1">
      <alignment horizontal="center" vertical="center"/>
    </xf>
    <xf numFmtId="0" fontId="9" fillId="0" borderId="0" xfId="1" applyFont="1" applyAlignment="1">
      <alignment vertical="center"/>
    </xf>
    <xf numFmtId="0" fontId="9" fillId="0" borderId="1" xfId="1" applyFont="1" applyBorder="1"/>
    <xf numFmtId="49" fontId="9" fillId="0" borderId="1" xfId="1" applyNumberFormat="1" applyFont="1" applyBorder="1"/>
    <xf numFmtId="178" fontId="9" fillId="0" borderId="1" xfId="1" applyNumberFormat="1" applyFont="1" applyBorder="1"/>
    <xf numFmtId="49" fontId="9" fillId="0" borderId="1" xfId="1" applyNumberFormat="1" applyFont="1" applyBorder="1" applyAlignment="1">
      <alignment horizontal="right"/>
    </xf>
    <xf numFmtId="0" fontId="9" fillId="0" borderId="1" xfId="1" applyNumberFormat="1" applyFont="1" applyBorder="1" applyAlignment="1">
      <alignment horizontal="right"/>
    </xf>
    <xf numFmtId="38" fontId="9" fillId="0" borderId="1" xfId="1" applyNumberFormat="1" applyFont="1" applyBorder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3" fillId="2" borderId="51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3" xfId="0" quotePrefix="1" applyFont="1" applyFill="1" applyBorder="1">
      <alignment vertical="center"/>
    </xf>
    <xf numFmtId="0" fontId="3" fillId="2" borderId="54" xfId="0" applyFont="1" applyFill="1" applyBorder="1">
      <alignment vertical="center"/>
    </xf>
    <xf numFmtId="0" fontId="3" fillId="2" borderId="55" xfId="0" applyFont="1" applyFill="1" applyBorder="1">
      <alignment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7" xfId="0" quotePrefix="1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41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18" fillId="2" borderId="2" xfId="0" applyFont="1" applyFill="1" applyBorder="1">
      <alignment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>
      <alignment vertical="center"/>
    </xf>
    <xf numFmtId="0" fontId="17" fillId="2" borderId="57" xfId="0" applyFont="1" applyFill="1" applyBorder="1">
      <alignment vertical="center"/>
    </xf>
    <xf numFmtId="0" fontId="17" fillId="2" borderId="57" xfId="0" quotePrefix="1" applyFont="1" applyFill="1" applyBorder="1">
      <alignment vertical="center"/>
    </xf>
    <xf numFmtId="0" fontId="3" fillId="2" borderId="57" xfId="0" quotePrefix="1" applyFont="1" applyFill="1" applyBorder="1" applyAlignment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17" fillId="2" borderId="0" xfId="0" applyFont="1" applyFill="1">
      <alignment vertical="center"/>
    </xf>
    <xf numFmtId="0" fontId="18" fillId="2" borderId="57" xfId="0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3" fillId="2" borderId="67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7" fillId="2" borderId="69" xfId="0" applyFont="1" applyFill="1" applyBorder="1">
      <alignment vertical="center"/>
    </xf>
    <xf numFmtId="0" fontId="3" fillId="2" borderId="70" xfId="0" applyFont="1" applyFill="1" applyBorder="1">
      <alignment vertical="center"/>
    </xf>
    <xf numFmtId="0" fontId="3" fillId="2" borderId="71" xfId="0" applyFont="1" applyFill="1" applyBorder="1">
      <alignment vertical="center"/>
    </xf>
    <xf numFmtId="0" fontId="3" fillId="2" borderId="55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69" xfId="0" applyFont="1" applyFill="1" applyBorder="1">
      <alignment vertical="center"/>
    </xf>
    <xf numFmtId="0" fontId="8" fillId="0" borderId="5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19" fillId="0" borderId="5" xfId="0" applyFont="1" applyFill="1" applyBorder="1">
      <alignment vertical="center"/>
    </xf>
    <xf numFmtId="0" fontId="3" fillId="2" borderId="5" xfId="0" quotePrefix="1" applyFont="1" applyFill="1" applyBorder="1">
      <alignment vertical="center"/>
    </xf>
    <xf numFmtId="0" fontId="3" fillId="2" borderId="72" xfId="0" applyFont="1" applyFill="1" applyBorder="1">
      <alignment vertical="center"/>
    </xf>
    <xf numFmtId="0" fontId="3" fillId="2" borderId="69" xfId="0" quotePrefix="1" applyFont="1" applyFill="1" applyBorder="1">
      <alignment vertical="center"/>
    </xf>
    <xf numFmtId="0" fontId="3" fillId="2" borderId="73" xfId="0" applyFont="1" applyFill="1" applyBorder="1">
      <alignment vertical="center"/>
    </xf>
    <xf numFmtId="0" fontId="19" fillId="2" borderId="5" xfId="0" applyFont="1" applyFill="1" applyBorder="1">
      <alignment vertical="center"/>
    </xf>
    <xf numFmtId="0" fontId="3" fillId="2" borderId="64" xfId="0" quotePrefix="1" applyFont="1" applyFill="1" applyBorder="1">
      <alignment vertical="center"/>
    </xf>
    <xf numFmtId="0" fontId="8" fillId="2" borderId="2" xfId="0" applyFont="1" applyFill="1" applyBorder="1">
      <alignment vertical="center"/>
    </xf>
    <xf numFmtId="0" fontId="8" fillId="2" borderId="5" xfId="0" applyFont="1" applyFill="1" applyBorder="1">
      <alignment vertical="center"/>
    </xf>
    <xf numFmtId="0" fontId="8" fillId="2" borderId="0" xfId="0" applyFont="1" applyFill="1" applyBorder="1">
      <alignment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7" borderId="5" xfId="0" applyFont="1" applyFill="1" applyBorder="1">
      <alignment vertical="center"/>
    </xf>
    <xf numFmtId="0" fontId="3" fillId="7" borderId="6" xfId="0" applyFont="1" applyFill="1" applyBorder="1">
      <alignment vertical="center"/>
    </xf>
    <xf numFmtId="0" fontId="3" fillId="7" borderId="7" xfId="0" applyFont="1" applyFill="1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/>
    </xf>
    <xf numFmtId="0" fontId="8" fillId="2" borderId="5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0" fontId="19" fillId="2" borderId="7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5" borderId="21" xfId="0" applyFont="1" applyFill="1" applyBorder="1" applyAlignment="1">
      <alignment horizontal="center" vertical="center" wrapTex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4" xfId="0" applyFont="1" applyFill="1" applyBorder="1" applyAlignment="1">
      <alignment horizontal="center" vertical="center" shrinkToFit="1"/>
    </xf>
    <xf numFmtId="0" fontId="3" fillId="2" borderId="62" xfId="0" applyFont="1" applyFill="1" applyBorder="1" applyAlignment="1">
      <alignment horizontal="center" vertical="center" shrinkToFit="1"/>
    </xf>
    <xf numFmtId="0" fontId="3" fillId="2" borderId="63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69" xfId="0" applyFont="1" applyFill="1" applyBorder="1" applyAlignment="1">
      <alignment horizontal="center" vertical="center"/>
    </xf>
    <xf numFmtId="0" fontId="3" fillId="3" borderId="70" xfId="0" applyFont="1" applyFill="1" applyBorder="1" applyAlignment="1">
      <alignment horizontal="center" vertical="center"/>
    </xf>
    <xf numFmtId="0" fontId="3" fillId="3" borderId="71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 shrinkToFit="1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14" fontId="3" fillId="2" borderId="48" xfId="0" applyNumberFormat="1" applyFont="1" applyFill="1" applyBorder="1" applyAlignment="1">
      <alignment horizontal="center" vertical="center" shrinkToFit="1"/>
    </xf>
    <xf numFmtId="0" fontId="3" fillId="2" borderId="46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0" fontId="3" fillId="3" borderId="44" xfId="0" applyFont="1" applyFill="1" applyBorder="1" applyAlignment="1">
      <alignment horizontal="center" vertical="center"/>
    </xf>
    <xf numFmtId="0" fontId="10" fillId="0" borderId="41" xfId="1" applyFont="1" applyBorder="1" applyAlignment="1">
      <alignment shrinkToFit="1"/>
    </xf>
    <xf numFmtId="0" fontId="13" fillId="0" borderId="0" xfId="1" applyFont="1" applyAlignment="1"/>
    <xf numFmtId="0" fontId="10" fillId="0" borderId="0" xfId="1" applyFont="1" applyAlignment="1"/>
    <xf numFmtId="0" fontId="13" fillId="0" borderId="0" xfId="1" applyFont="1" applyBorder="1" applyAlignment="1">
      <alignment shrinkToFit="1"/>
    </xf>
    <xf numFmtId="0" fontId="10" fillId="0" borderId="0" xfId="1" applyFont="1" applyAlignment="1">
      <alignment shrinkToFit="1"/>
    </xf>
    <xf numFmtId="177" fontId="15" fillId="0" borderId="41" xfId="1" applyNumberFormat="1" applyFont="1" applyBorder="1" applyAlignment="1">
      <alignment horizontal="right"/>
    </xf>
    <xf numFmtId="177" fontId="14" fillId="0" borderId="41" xfId="1" applyNumberFormat="1" applyFont="1" applyBorder="1" applyAlignment="1"/>
    <xf numFmtId="177" fontId="15" fillId="0" borderId="6" xfId="1" applyNumberFormat="1" applyFont="1" applyBorder="1" applyAlignment="1">
      <alignment horizontal="right"/>
    </xf>
    <xf numFmtId="49" fontId="9" fillId="0" borderId="5" xfId="1" applyNumberFormat="1" applyFont="1" applyBorder="1"/>
    <xf numFmtId="49" fontId="9" fillId="0" borderId="7" xfId="1" applyNumberFormat="1" applyFont="1" applyBorder="1"/>
    <xf numFmtId="0" fontId="10" fillId="0" borderId="41" xfId="1" applyFont="1" applyBorder="1" applyAlignment="1">
      <alignment horizontal="left" shrinkToFit="1"/>
    </xf>
    <xf numFmtId="0" fontId="10" fillId="0" borderId="6" xfId="1" applyFont="1" applyBorder="1" applyAlignment="1">
      <alignment shrinkToFit="1"/>
    </xf>
    <xf numFmtId="0" fontId="9" fillId="0" borderId="6" xfId="1" applyFont="1" applyBorder="1" applyAlignment="1">
      <alignment shrinkToFit="1"/>
    </xf>
    <xf numFmtId="0" fontId="9" fillId="6" borderId="5" xfId="1" applyFont="1" applyFill="1" applyBorder="1" applyAlignment="1">
      <alignment horizontal="center" vertical="center"/>
    </xf>
    <xf numFmtId="0" fontId="10" fillId="6" borderId="7" xfId="1" applyFont="1" applyFill="1" applyBorder="1" applyAlignment="1">
      <alignment horizontal="center" vertical="center"/>
    </xf>
    <xf numFmtId="0" fontId="10" fillId="0" borderId="7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53789</xdr:colOff>
      <xdr:row>7</xdr:row>
      <xdr:rowOff>89647</xdr:rowOff>
    </xdr:from>
    <xdr:to>
      <xdr:col>59</xdr:col>
      <xdr:colOff>157272</xdr:colOff>
      <xdr:row>40</xdr:row>
      <xdr:rowOff>189429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1" y="1470212"/>
          <a:ext cx="14832495" cy="8383170"/>
        </a:xfrm>
        <a:prstGeom prst="rect">
          <a:avLst/>
        </a:prstGeom>
      </xdr:spPr>
    </xdr:pic>
    <xdr:clientData/>
  </xdr:twoCellAnchor>
  <xdr:twoCellAnchor>
    <xdr:from>
      <xdr:col>48</xdr:col>
      <xdr:colOff>161365</xdr:colOff>
      <xdr:row>20</xdr:row>
      <xdr:rowOff>44824</xdr:rowOff>
    </xdr:from>
    <xdr:to>
      <xdr:col>49</xdr:col>
      <xdr:colOff>224117</xdr:colOff>
      <xdr:row>21</xdr:row>
      <xdr:rowOff>116543</xdr:rowOff>
    </xdr:to>
    <xdr:sp macro="" textlink="">
      <xdr:nvSpPr>
        <xdr:cNvPr id="3" name="正方形/長方形 2"/>
        <xdr:cNvSpPr/>
      </xdr:nvSpPr>
      <xdr:spPr>
        <a:xfrm>
          <a:off x="13303624" y="46885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161365</xdr:colOff>
      <xdr:row>18</xdr:row>
      <xdr:rowOff>242048</xdr:rowOff>
    </xdr:from>
    <xdr:to>
      <xdr:col>49</xdr:col>
      <xdr:colOff>224117</xdr:colOff>
      <xdr:row>20</xdr:row>
      <xdr:rowOff>62754</xdr:rowOff>
    </xdr:to>
    <xdr:sp macro="" textlink="">
      <xdr:nvSpPr>
        <xdr:cNvPr id="4" name="正方形/長方形 3"/>
        <xdr:cNvSpPr/>
      </xdr:nvSpPr>
      <xdr:spPr>
        <a:xfrm>
          <a:off x="13303624" y="438374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170330</xdr:colOff>
      <xdr:row>18</xdr:row>
      <xdr:rowOff>125507</xdr:rowOff>
    </xdr:from>
    <xdr:to>
      <xdr:col>46</xdr:col>
      <xdr:colOff>233082</xdr:colOff>
      <xdr:row>19</xdr:row>
      <xdr:rowOff>197225</xdr:rowOff>
    </xdr:to>
    <xdr:sp macro="" textlink="">
      <xdr:nvSpPr>
        <xdr:cNvPr id="5" name="正方形/長方形 4"/>
        <xdr:cNvSpPr/>
      </xdr:nvSpPr>
      <xdr:spPr>
        <a:xfrm>
          <a:off x="12478871" y="4267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13</xdr:col>
      <xdr:colOff>80682</xdr:colOff>
      <xdr:row>20</xdr:row>
      <xdr:rowOff>89648</xdr:rowOff>
    </xdr:from>
    <xdr:to>
      <xdr:col>14</xdr:col>
      <xdr:colOff>143434</xdr:colOff>
      <xdr:row>21</xdr:row>
      <xdr:rowOff>161367</xdr:rowOff>
    </xdr:to>
    <xdr:sp macro="" textlink="">
      <xdr:nvSpPr>
        <xdr:cNvPr id="7" name="正方形/長方形 6"/>
        <xdr:cNvSpPr/>
      </xdr:nvSpPr>
      <xdr:spPr>
        <a:xfrm>
          <a:off x="3496235" y="473336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26895</xdr:colOff>
      <xdr:row>18</xdr:row>
      <xdr:rowOff>152401</xdr:rowOff>
    </xdr:from>
    <xdr:to>
      <xdr:col>29</xdr:col>
      <xdr:colOff>89647</xdr:colOff>
      <xdr:row>19</xdr:row>
      <xdr:rowOff>224119</xdr:rowOff>
    </xdr:to>
    <xdr:sp macro="" textlink="">
      <xdr:nvSpPr>
        <xdr:cNvPr id="8" name="正方形/長方形 7"/>
        <xdr:cNvSpPr/>
      </xdr:nvSpPr>
      <xdr:spPr>
        <a:xfrm>
          <a:off x="7611036" y="429409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259976</xdr:colOff>
      <xdr:row>17</xdr:row>
      <xdr:rowOff>53789</xdr:rowOff>
    </xdr:from>
    <xdr:to>
      <xdr:col>16</xdr:col>
      <xdr:colOff>44822</xdr:colOff>
      <xdr:row>18</xdr:row>
      <xdr:rowOff>125507</xdr:rowOff>
    </xdr:to>
    <xdr:sp macro="" textlink="">
      <xdr:nvSpPr>
        <xdr:cNvPr id="9" name="正方形/長方形 8"/>
        <xdr:cNvSpPr/>
      </xdr:nvSpPr>
      <xdr:spPr>
        <a:xfrm>
          <a:off x="3953435" y="39444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62754</xdr:colOff>
      <xdr:row>15</xdr:row>
      <xdr:rowOff>224118</xdr:rowOff>
    </xdr:from>
    <xdr:to>
      <xdr:col>18</xdr:col>
      <xdr:colOff>125506</xdr:colOff>
      <xdr:row>17</xdr:row>
      <xdr:rowOff>44825</xdr:rowOff>
    </xdr:to>
    <xdr:sp macro="" textlink="">
      <xdr:nvSpPr>
        <xdr:cNvPr id="10" name="正方形/長方形 9"/>
        <xdr:cNvSpPr/>
      </xdr:nvSpPr>
      <xdr:spPr>
        <a:xfrm>
          <a:off x="4589930" y="361277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152399</xdr:colOff>
      <xdr:row>11</xdr:row>
      <xdr:rowOff>197224</xdr:rowOff>
    </xdr:from>
    <xdr:to>
      <xdr:col>8</xdr:col>
      <xdr:colOff>215151</xdr:colOff>
      <xdr:row>13</xdr:row>
      <xdr:rowOff>17931</xdr:rowOff>
    </xdr:to>
    <xdr:sp macro="" textlink="">
      <xdr:nvSpPr>
        <xdr:cNvPr id="11" name="正方形/長方形 10"/>
        <xdr:cNvSpPr/>
      </xdr:nvSpPr>
      <xdr:spPr>
        <a:xfrm>
          <a:off x="1900517" y="25818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251012</xdr:colOff>
      <xdr:row>21</xdr:row>
      <xdr:rowOff>134472</xdr:rowOff>
    </xdr:from>
    <xdr:to>
      <xdr:col>49</xdr:col>
      <xdr:colOff>35858</xdr:colOff>
      <xdr:row>22</xdr:row>
      <xdr:rowOff>206190</xdr:rowOff>
    </xdr:to>
    <xdr:sp macro="" textlink="">
      <xdr:nvSpPr>
        <xdr:cNvPr id="15" name="正方形/長方形 14"/>
        <xdr:cNvSpPr/>
      </xdr:nvSpPr>
      <xdr:spPr>
        <a:xfrm>
          <a:off x="13115365" y="502920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251013</xdr:colOff>
      <xdr:row>22</xdr:row>
      <xdr:rowOff>161364</xdr:rowOff>
    </xdr:from>
    <xdr:to>
      <xdr:col>49</xdr:col>
      <xdr:colOff>35859</xdr:colOff>
      <xdr:row>23</xdr:row>
      <xdr:rowOff>233082</xdr:rowOff>
    </xdr:to>
    <xdr:sp macro="" textlink="">
      <xdr:nvSpPr>
        <xdr:cNvPr id="16" name="正方形/長方形 15"/>
        <xdr:cNvSpPr/>
      </xdr:nvSpPr>
      <xdr:spPr>
        <a:xfrm>
          <a:off x="13115366" y="530710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62753</xdr:colOff>
      <xdr:row>29</xdr:row>
      <xdr:rowOff>26894</xdr:rowOff>
    </xdr:from>
    <xdr:to>
      <xdr:col>54</xdr:col>
      <xdr:colOff>125505</xdr:colOff>
      <xdr:row>30</xdr:row>
      <xdr:rowOff>98613</xdr:rowOff>
    </xdr:to>
    <xdr:sp macro="" textlink="">
      <xdr:nvSpPr>
        <xdr:cNvPr id="20" name="正方形/長方形 19"/>
        <xdr:cNvSpPr/>
      </xdr:nvSpPr>
      <xdr:spPr>
        <a:xfrm>
          <a:off x="14594541" y="69297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251011</xdr:colOff>
      <xdr:row>29</xdr:row>
      <xdr:rowOff>26893</xdr:rowOff>
    </xdr:from>
    <xdr:to>
      <xdr:col>49</xdr:col>
      <xdr:colOff>35857</xdr:colOff>
      <xdr:row>30</xdr:row>
      <xdr:rowOff>98612</xdr:rowOff>
    </xdr:to>
    <xdr:sp macro="" textlink="">
      <xdr:nvSpPr>
        <xdr:cNvPr id="21" name="正方形/長方形 20"/>
        <xdr:cNvSpPr/>
      </xdr:nvSpPr>
      <xdr:spPr>
        <a:xfrm>
          <a:off x="13115364" y="692971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45</xdr:col>
      <xdr:colOff>206188</xdr:colOff>
      <xdr:row>29</xdr:row>
      <xdr:rowOff>26894</xdr:rowOff>
    </xdr:from>
    <xdr:to>
      <xdr:col>46</xdr:col>
      <xdr:colOff>268940</xdr:colOff>
      <xdr:row>30</xdr:row>
      <xdr:rowOff>98613</xdr:rowOff>
    </xdr:to>
    <xdr:sp macro="" textlink="">
      <xdr:nvSpPr>
        <xdr:cNvPr id="22" name="正方形/長方形 21"/>
        <xdr:cNvSpPr/>
      </xdr:nvSpPr>
      <xdr:spPr>
        <a:xfrm>
          <a:off x="12514729" y="69297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233082</xdr:colOff>
      <xdr:row>29</xdr:row>
      <xdr:rowOff>35858</xdr:rowOff>
    </xdr:from>
    <xdr:to>
      <xdr:col>43</xdr:col>
      <xdr:colOff>17929</xdr:colOff>
      <xdr:row>30</xdr:row>
      <xdr:rowOff>107577</xdr:rowOff>
    </xdr:to>
    <xdr:sp macro="" textlink="">
      <xdr:nvSpPr>
        <xdr:cNvPr id="23" name="正方形/長方形 22"/>
        <xdr:cNvSpPr/>
      </xdr:nvSpPr>
      <xdr:spPr>
        <a:xfrm>
          <a:off x="11430000" y="693868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161364</xdr:colOff>
      <xdr:row>29</xdr:row>
      <xdr:rowOff>35859</xdr:rowOff>
    </xdr:from>
    <xdr:to>
      <xdr:col>39</xdr:col>
      <xdr:colOff>224116</xdr:colOff>
      <xdr:row>30</xdr:row>
      <xdr:rowOff>107578</xdr:rowOff>
    </xdr:to>
    <xdr:sp macro="" textlink="">
      <xdr:nvSpPr>
        <xdr:cNvPr id="24" name="正方形/長方形 23"/>
        <xdr:cNvSpPr/>
      </xdr:nvSpPr>
      <xdr:spPr>
        <a:xfrm>
          <a:off x="10524564" y="69386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89647</xdr:colOff>
      <xdr:row>29</xdr:row>
      <xdr:rowOff>26894</xdr:rowOff>
    </xdr:from>
    <xdr:to>
      <xdr:col>36</xdr:col>
      <xdr:colOff>152399</xdr:colOff>
      <xdr:row>30</xdr:row>
      <xdr:rowOff>98613</xdr:rowOff>
    </xdr:to>
    <xdr:sp macro="" textlink="">
      <xdr:nvSpPr>
        <xdr:cNvPr id="25" name="正方形/長方形 24"/>
        <xdr:cNvSpPr/>
      </xdr:nvSpPr>
      <xdr:spPr>
        <a:xfrm>
          <a:off x="9619129" y="69297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32</xdr:col>
      <xdr:colOff>0</xdr:colOff>
      <xdr:row>29</xdr:row>
      <xdr:rowOff>35858</xdr:rowOff>
    </xdr:from>
    <xdr:to>
      <xdr:col>33</xdr:col>
      <xdr:colOff>62752</xdr:colOff>
      <xdr:row>30</xdr:row>
      <xdr:rowOff>107577</xdr:rowOff>
    </xdr:to>
    <xdr:sp macro="" textlink="">
      <xdr:nvSpPr>
        <xdr:cNvPr id="26" name="正方形/長方形 25"/>
        <xdr:cNvSpPr/>
      </xdr:nvSpPr>
      <xdr:spPr>
        <a:xfrm>
          <a:off x="8695765" y="693868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44824</xdr:colOff>
      <xdr:row>29</xdr:row>
      <xdr:rowOff>35859</xdr:rowOff>
    </xdr:from>
    <xdr:to>
      <xdr:col>29</xdr:col>
      <xdr:colOff>107576</xdr:colOff>
      <xdr:row>30</xdr:row>
      <xdr:rowOff>107578</xdr:rowOff>
    </xdr:to>
    <xdr:sp macro="" textlink="">
      <xdr:nvSpPr>
        <xdr:cNvPr id="27" name="正方形/長方形 26"/>
        <xdr:cNvSpPr/>
      </xdr:nvSpPr>
      <xdr:spPr>
        <a:xfrm>
          <a:off x="7628965" y="69386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24</xdr:col>
      <xdr:colOff>89646</xdr:colOff>
      <xdr:row>29</xdr:row>
      <xdr:rowOff>35859</xdr:rowOff>
    </xdr:from>
    <xdr:to>
      <xdr:col>25</xdr:col>
      <xdr:colOff>152398</xdr:colOff>
      <xdr:row>30</xdr:row>
      <xdr:rowOff>107578</xdr:rowOff>
    </xdr:to>
    <xdr:sp macro="" textlink="">
      <xdr:nvSpPr>
        <xdr:cNvPr id="28" name="正方形/長方形 27"/>
        <xdr:cNvSpPr/>
      </xdr:nvSpPr>
      <xdr:spPr>
        <a:xfrm>
          <a:off x="6562164" y="69386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251012</xdr:colOff>
      <xdr:row>29</xdr:row>
      <xdr:rowOff>35858</xdr:rowOff>
    </xdr:from>
    <xdr:to>
      <xdr:col>12</xdr:col>
      <xdr:colOff>35858</xdr:colOff>
      <xdr:row>30</xdr:row>
      <xdr:rowOff>107577</xdr:rowOff>
    </xdr:to>
    <xdr:sp macro="" textlink="">
      <xdr:nvSpPr>
        <xdr:cNvPr id="29" name="正方形/長方形 28"/>
        <xdr:cNvSpPr/>
      </xdr:nvSpPr>
      <xdr:spPr>
        <a:xfrm>
          <a:off x="2832847" y="693868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9</xdr:col>
      <xdr:colOff>53789</xdr:colOff>
      <xdr:row>29</xdr:row>
      <xdr:rowOff>35859</xdr:rowOff>
    </xdr:from>
    <xdr:to>
      <xdr:col>10</xdr:col>
      <xdr:colOff>116541</xdr:colOff>
      <xdr:row>30</xdr:row>
      <xdr:rowOff>107578</xdr:rowOff>
    </xdr:to>
    <xdr:sp macro="" textlink="">
      <xdr:nvSpPr>
        <xdr:cNvPr id="30" name="正方形/長方形 29"/>
        <xdr:cNvSpPr/>
      </xdr:nvSpPr>
      <xdr:spPr>
        <a:xfrm>
          <a:off x="2357718" y="69386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143434</xdr:colOff>
      <xdr:row>29</xdr:row>
      <xdr:rowOff>35858</xdr:rowOff>
    </xdr:from>
    <xdr:to>
      <xdr:col>8</xdr:col>
      <xdr:colOff>206186</xdr:colOff>
      <xdr:row>30</xdr:row>
      <xdr:rowOff>107577</xdr:rowOff>
    </xdr:to>
    <xdr:sp macro="" textlink="">
      <xdr:nvSpPr>
        <xdr:cNvPr id="31" name="正方形/長方形 30"/>
        <xdr:cNvSpPr/>
      </xdr:nvSpPr>
      <xdr:spPr>
        <a:xfrm>
          <a:off x="1891552" y="693868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152399</xdr:colOff>
      <xdr:row>8</xdr:row>
      <xdr:rowOff>71718</xdr:rowOff>
    </xdr:from>
    <xdr:to>
      <xdr:col>8</xdr:col>
      <xdr:colOff>215151</xdr:colOff>
      <xdr:row>9</xdr:row>
      <xdr:rowOff>143436</xdr:rowOff>
    </xdr:to>
    <xdr:sp macro="" textlink="">
      <xdr:nvSpPr>
        <xdr:cNvPr id="32" name="正方形/長方形 31"/>
        <xdr:cNvSpPr/>
      </xdr:nvSpPr>
      <xdr:spPr>
        <a:xfrm>
          <a:off x="1900517" y="17032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48</xdr:col>
      <xdr:colOff>125505</xdr:colOff>
      <xdr:row>8</xdr:row>
      <xdr:rowOff>71718</xdr:rowOff>
    </xdr:from>
    <xdr:to>
      <xdr:col>49</xdr:col>
      <xdr:colOff>188257</xdr:colOff>
      <xdr:row>9</xdr:row>
      <xdr:rowOff>143436</xdr:rowOff>
    </xdr:to>
    <xdr:sp macro="" textlink="">
      <xdr:nvSpPr>
        <xdr:cNvPr id="33" name="正方形/長方形 32"/>
        <xdr:cNvSpPr/>
      </xdr:nvSpPr>
      <xdr:spPr>
        <a:xfrm>
          <a:off x="13267764" y="170329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152399</xdr:colOff>
      <xdr:row>10</xdr:row>
      <xdr:rowOff>143436</xdr:rowOff>
    </xdr:from>
    <xdr:to>
      <xdr:col>8</xdr:col>
      <xdr:colOff>215151</xdr:colOff>
      <xdr:row>11</xdr:row>
      <xdr:rowOff>215154</xdr:rowOff>
    </xdr:to>
    <xdr:sp macro="" textlink="">
      <xdr:nvSpPr>
        <xdr:cNvPr id="34" name="正方形/長方形 33"/>
        <xdr:cNvSpPr/>
      </xdr:nvSpPr>
      <xdr:spPr>
        <a:xfrm>
          <a:off x="1900517" y="227703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12</xdr:col>
      <xdr:colOff>188259</xdr:colOff>
      <xdr:row>22</xdr:row>
      <xdr:rowOff>26896</xdr:rowOff>
    </xdr:from>
    <xdr:to>
      <xdr:col>13</xdr:col>
      <xdr:colOff>251011</xdr:colOff>
      <xdr:row>23</xdr:row>
      <xdr:rowOff>98614</xdr:rowOff>
    </xdr:to>
    <xdr:sp macro="" textlink="">
      <xdr:nvSpPr>
        <xdr:cNvPr id="35" name="正方形/長方形 34"/>
        <xdr:cNvSpPr/>
      </xdr:nvSpPr>
      <xdr:spPr>
        <a:xfrm>
          <a:off x="3325906" y="5172637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14</xdr:col>
      <xdr:colOff>17928</xdr:colOff>
      <xdr:row>23</xdr:row>
      <xdr:rowOff>1</xdr:rowOff>
    </xdr:from>
    <xdr:to>
      <xdr:col>15</xdr:col>
      <xdr:colOff>80680</xdr:colOff>
      <xdr:row>24</xdr:row>
      <xdr:rowOff>71719</xdr:rowOff>
    </xdr:to>
    <xdr:sp macro="" textlink="">
      <xdr:nvSpPr>
        <xdr:cNvPr id="36" name="正方形/長方形 35"/>
        <xdr:cNvSpPr/>
      </xdr:nvSpPr>
      <xdr:spPr>
        <a:xfrm>
          <a:off x="3711387" y="5396754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15</xdr:col>
      <xdr:colOff>98611</xdr:colOff>
      <xdr:row>23</xdr:row>
      <xdr:rowOff>224118</xdr:rowOff>
    </xdr:from>
    <xdr:to>
      <xdr:col>16</xdr:col>
      <xdr:colOff>161363</xdr:colOff>
      <xdr:row>25</xdr:row>
      <xdr:rowOff>44825</xdr:rowOff>
    </xdr:to>
    <xdr:sp macro="" textlink="">
      <xdr:nvSpPr>
        <xdr:cNvPr id="37" name="正方形/長方形 36"/>
        <xdr:cNvSpPr/>
      </xdr:nvSpPr>
      <xdr:spPr>
        <a:xfrm>
          <a:off x="4069976" y="5620871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188258</xdr:colOff>
      <xdr:row>24</xdr:row>
      <xdr:rowOff>197224</xdr:rowOff>
    </xdr:from>
    <xdr:to>
      <xdr:col>17</xdr:col>
      <xdr:colOff>251011</xdr:colOff>
      <xdr:row>26</xdr:row>
      <xdr:rowOff>17931</xdr:rowOff>
    </xdr:to>
    <xdr:sp macro="" textlink="">
      <xdr:nvSpPr>
        <xdr:cNvPr id="38" name="正方形/長方形 37"/>
        <xdr:cNvSpPr/>
      </xdr:nvSpPr>
      <xdr:spPr>
        <a:xfrm>
          <a:off x="4437529" y="584498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233082</xdr:colOff>
      <xdr:row>26</xdr:row>
      <xdr:rowOff>26895</xdr:rowOff>
    </xdr:from>
    <xdr:to>
      <xdr:col>9</xdr:col>
      <xdr:colOff>17929</xdr:colOff>
      <xdr:row>27</xdr:row>
      <xdr:rowOff>98613</xdr:rowOff>
    </xdr:to>
    <xdr:sp macro="" textlink="">
      <xdr:nvSpPr>
        <xdr:cNvPr id="39" name="正方形/長方形 38"/>
        <xdr:cNvSpPr/>
      </xdr:nvSpPr>
      <xdr:spPr>
        <a:xfrm>
          <a:off x="1981200" y="617668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18</xdr:col>
      <xdr:colOff>17930</xdr:colOff>
      <xdr:row>26</xdr:row>
      <xdr:rowOff>17930</xdr:rowOff>
    </xdr:from>
    <xdr:to>
      <xdr:col>19</xdr:col>
      <xdr:colOff>80682</xdr:colOff>
      <xdr:row>27</xdr:row>
      <xdr:rowOff>89648</xdr:rowOff>
    </xdr:to>
    <xdr:sp macro="" textlink="">
      <xdr:nvSpPr>
        <xdr:cNvPr id="40" name="正方形/長方形 39"/>
        <xdr:cNvSpPr/>
      </xdr:nvSpPr>
      <xdr:spPr>
        <a:xfrm>
          <a:off x="4823012" y="6167718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42</xdr:col>
      <xdr:colOff>80682</xdr:colOff>
      <xdr:row>17</xdr:row>
      <xdr:rowOff>116543</xdr:rowOff>
    </xdr:from>
    <xdr:to>
      <xdr:col>43</xdr:col>
      <xdr:colOff>143435</xdr:colOff>
      <xdr:row>18</xdr:row>
      <xdr:rowOff>188261</xdr:rowOff>
    </xdr:to>
    <xdr:sp macro="" textlink="">
      <xdr:nvSpPr>
        <xdr:cNvPr id="41" name="正方形/長方形 40"/>
        <xdr:cNvSpPr/>
      </xdr:nvSpPr>
      <xdr:spPr>
        <a:xfrm>
          <a:off x="11555506" y="4007225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17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251012</xdr:colOff>
      <xdr:row>23</xdr:row>
      <xdr:rowOff>170329</xdr:rowOff>
    </xdr:from>
    <xdr:to>
      <xdr:col>49</xdr:col>
      <xdr:colOff>35858</xdr:colOff>
      <xdr:row>24</xdr:row>
      <xdr:rowOff>242047</xdr:rowOff>
    </xdr:to>
    <xdr:sp macro="" textlink="">
      <xdr:nvSpPr>
        <xdr:cNvPr id="42" name="正方形/長方形 41"/>
        <xdr:cNvSpPr/>
      </xdr:nvSpPr>
      <xdr:spPr>
        <a:xfrm>
          <a:off x="13115365" y="5567082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10</xdr:col>
      <xdr:colOff>251012</xdr:colOff>
      <xdr:row>39</xdr:row>
      <xdr:rowOff>8965</xdr:rowOff>
    </xdr:from>
    <xdr:to>
      <xdr:col>12</xdr:col>
      <xdr:colOff>35858</xdr:colOff>
      <xdr:row>40</xdr:row>
      <xdr:rowOff>80683</xdr:rowOff>
    </xdr:to>
    <xdr:sp macro="" textlink="">
      <xdr:nvSpPr>
        <xdr:cNvPr id="43" name="正方形/長方形 42"/>
        <xdr:cNvSpPr/>
      </xdr:nvSpPr>
      <xdr:spPr>
        <a:xfrm>
          <a:off x="2832847" y="94219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40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53788</xdr:colOff>
      <xdr:row>39</xdr:row>
      <xdr:rowOff>8965</xdr:rowOff>
    </xdr:from>
    <xdr:to>
      <xdr:col>54</xdr:col>
      <xdr:colOff>116540</xdr:colOff>
      <xdr:row>40</xdr:row>
      <xdr:rowOff>80683</xdr:rowOff>
    </xdr:to>
    <xdr:sp macro="" textlink="">
      <xdr:nvSpPr>
        <xdr:cNvPr id="44" name="正方形/長方形 43"/>
        <xdr:cNvSpPr/>
      </xdr:nvSpPr>
      <xdr:spPr>
        <a:xfrm>
          <a:off x="14585576" y="94219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28</xdr:col>
      <xdr:colOff>215153</xdr:colOff>
      <xdr:row>23</xdr:row>
      <xdr:rowOff>0</xdr:rowOff>
    </xdr:from>
    <xdr:to>
      <xdr:col>29</xdr:col>
      <xdr:colOff>277905</xdr:colOff>
      <xdr:row>24</xdr:row>
      <xdr:rowOff>71718</xdr:rowOff>
    </xdr:to>
    <xdr:sp macro="" textlink="">
      <xdr:nvSpPr>
        <xdr:cNvPr id="46" name="正方形/長方形 45"/>
        <xdr:cNvSpPr/>
      </xdr:nvSpPr>
      <xdr:spPr>
        <a:xfrm>
          <a:off x="7799294" y="5396753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53</xdr:col>
      <xdr:colOff>116541</xdr:colOff>
      <xdr:row>26</xdr:row>
      <xdr:rowOff>116541</xdr:rowOff>
    </xdr:from>
    <xdr:to>
      <xdr:col>54</xdr:col>
      <xdr:colOff>179293</xdr:colOff>
      <xdr:row>27</xdr:row>
      <xdr:rowOff>188259</xdr:rowOff>
    </xdr:to>
    <xdr:sp macro="" textlink="">
      <xdr:nvSpPr>
        <xdr:cNvPr id="45" name="正方形/長方形 44"/>
        <xdr:cNvSpPr/>
      </xdr:nvSpPr>
      <xdr:spPr>
        <a:xfrm>
          <a:off x="14648329" y="62663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47</xdr:col>
      <xdr:colOff>251012</xdr:colOff>
      <xdr:row>24</xdr:row>
      <xdr:rowOff>161364</xdr:rowOff>
    </xdr:from>
    <xdr:to>
      <xdr:col>49</xdr:col>
      <xdr:colOff>35858</xdr:colOff>
      <xdr:row>25</xdr:row>
      <xdr:rowOff>233083</xdr:rowOff>
    </xdr:to>
    <xdr:sp macro="" textlink="">
      <xdr:nvSpPr>
        <xdr:cNvPr id="47" name="正方形/長方形 46"/>
        <xdr:cNvSpPr/>
      </xdr:nvSpPr>
      <xdr:spPr>
        <a:xfrm>
          <a:off x="13115365" y="5809129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116541</xdr:colOff>
      <xdr:row>17</xdr:row>
      <xdr:rowOff>44824</xdr:rowOff>
    </xdr:from>
    <xdr:to>
      <xdr:col>7</xdr:col>
      <xdr:colOff>179293</xdr:colOff>
      <xdr:row>18</xdr:row>
      <xdr:rowOff>116542</xdr:rowOff>
    </xdr:to>
    <xdr:sp macro="" textlink="">
      <xdr:nvSpPr>
        <xdr:cNvPr id="48" name="正方形/長方形 47"/>
        <xdr:cNvSpPr/>
      </xdr:nvSpPr>
      <xdr:spPr>
        <a:xfrm>
          <a:off x="1586753" y="3935506"/>
          <a:ext cx="340658" cy="322730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4</xdr:col>
      <xdr:colOff>114300</xdr:colOff>
      <xdr:row>4</xdr:row>
      <xdr:rowOff>0</xdr:rowOff>
    </xdr:to>
    <xdr:sp macro="" textlink="">
      <xdr:nvSpPr>
        <xdr:cNvPr id="2" name="Line 7"/>
        <xdr:cNvSpPr>
          <a:spLocks noChangeShapeType="1"/>
        </xdr:cNvSpPr>
      </xdr:nvSpPr>
      <xdr:spPr bwMode="auto">
        <a:xfrm flipV="1">
          <a:off x="0" y="922020"/>
          <a:ext cx="33147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1527810</xdr:colOff>
      <xdr:row>3</xdr:row>
      <xdr:rowOff>1905</xdr:rowOff>
    </xdr:from>
    <xdr:to>
      <xdr:col>4</xdr:col>
      <xdr:colOff>171450</xdr:colOff>
      <xdr:row>4</xdr:row>
      <xdr:rowOff>38338</xdr:rowOff>
    </xdr:to>
    <xdr:sp macro="" textlink="">
      <xdr:nvSpPr>
        <xdr:cNvPr id="3" name="Text Box 8"/>
        <xdr:cNvSpPr txBox="1">
          <a:spLocks noChangeArrowheads="1"/>
        </xdr:cNvSpPr>
      </xdr:nvSpPr>
      <xdr:spPr bwMode="auto">
        <a:xfrm>
          <a:off x="3067050" y="687705"/>
          <a:ext cx="304800" cy="272653"/>
        </a:xfrm>
        <a:prstGeom prst="rect">
          <a:avLst/>
        </a:prstGeom>
        <a:noFill/>
        <a:ln>
          <a:noFill/>
        </a:ln>
      </xdr:spPr>
      <xdr:txBody>
        <a:bodyPr vertOverflow="clip" wrap="square" lIns="45720" tIns="27432" rIns="0" bIns="0" anchor="t" upright="1"/>
        <a:lstStyle/>
        <a:p>
          <a:pPr algn="l" rtl="0"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殿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13</xdr:col>
          <xdr:colOff>434340</xdr:colOff>
          <xdr:row>4</xdr:row>
          <xdr:rowOff>83820</xdr:rowOff>
        </xdr:from>
        <xdr:to>
          <xdr:col>14</xdr:col>
          <xdr:colOff>251460</xdr:colOff>
          <xdr:row>8</xdr:row>
          <xdr:rowOff>205740</xdr:rowOff>
        </xdr:to>
        <xdr:sp macro="" textlink="">
          <xdr:nvSpPr>
            <xdr:cNvPr id="2049" name="inei1_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403860</xdr:colOff>
      <xdr:row>5</xdr:row>
      <xdr:rowOff>121920</xdr:rowOff>
    </xdr:from>
    <xdr:to>
      <xdr:col>13</xdr:col>
      <xdr:colOff>731520</xdr:colOff>
      <xdr:row>8</xdr:row>
      <xdr:rowOff>53340</xdr:rowOff>
    </xdr:to>
    <xdr:pic>
      <xdr:nvPicPr>
        <xdr:cNvPr id="5" name="図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16980" y="1143000"/>
          <a:ext cx="2103120" cy="594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160103</xdr:colOff>
      <xdr:row>45</xdr:row>
      <xdr:rowOff>10930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241863" cy="10069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95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628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31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210"/>
      <c r="BN2" s="14"/>
    </row>
    <row r="3" spans="1:66" ht="20.100000000000001" customHeight="1" x14ac:dyDescent="0.45">
      <c r="A3" s="8"/>
      <c r="B3" s="200" t="s">
        <v>626</v>
      </c>
      <c r="C3" s="201"/>
      <c r="D3" s="201"/>
      <c r="E3" s="201"/>
      <c r="F3" s="201"/>
      <c r="G3" s="201"/>
      <c r="H3" s="201" t="str">
        <f ca="1">LEFT($X$3,FIND("_",$X$3)-1)</f>
        <v>SU0110</v>
      </c>
      <c r="I3" s="201"/>
      <c r="J3" s="201"/>
      <c r="K3" s="201"/>
      <c r="L3" s="201" t="s">
        <v>627</v>
      </c>
      <c r="M3" s="201"/>
      <c r="N3" s="201"/>
      <c r="O3" s="201"/>
      <c r="P3" s="201"/>
      <c r="Q3" s="201"/>
      <c r="R3" s="204" t="str">
        <f ca="1">MID($X$3,FIND("_",$X$3,FIND("_",$X$3)+1)+1,LEN($X$3)-FIND("_",$X$3,FIND("_",$X$3)+1))</f>
        <v>帳票設計書</v>
      </c>
      <c r="S3" s="201"/>
      <c r="T3" s="201"/>
      <c r="U3" s="201"/>
      <c r="V3" s="201"/>
      <c r="W3" s="201"/>
      <c r="X3" s="205" t="str">
        <f ca="1">REPLACE(LEFT(CELL("filename",$B$2),FIND(".x",CELL("filename",$B$2))-1),1,FIND("[",CELL("filename",$B$2)),)</f>
        <v>SU0110_売上前請求書_帳票設計書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MID($X$3,FIND("_",$X$3)+1,FIND("_",$X$3,FIND("_",$X$3)+1)-FIND("_",$X$3)-1)</f>
        <v>売上前請求書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v>45646</v>
      </c>
      <c r="AY3" s="201"/>
      <c r="AZ3" s="201"/>
      <c r="BA3" s="201"/>
      <c r="BB3" s="201" t="s">
        <v>629</v>
      </c>
      <c r="BC3" s="201"/>
      <c r="BD3" s="201"/>
      <c r="BE3" s="201"/>
      <c r="BF3" s="212">
        <v>45646</v>
      </c>
      <c r="BG3" s="201"/>
      <c r="BH3" s="201"/>
      <c r="BI3" s="201"/>
      <c r="BJ3" s="201" t="s">
        <v>629</v>
      </c>
      <c r="BK3" s="201"/>
      <c r="BL3" s="201"/>
      <c r="BM3" s="213"/>
      <c r="BN3" s="14"/>
    </row>
    <row r="4" spans="1:66" ht="20.100000000000001" customHeight="1" thickBot="1" x14ac:dyDescent="0.5">
      <c r="A4" s="8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03"/>
      <c r="AY4" s="203"/>
      <c r="AZ4" s="203"/>
      <c r="BA4" s="203"/>
      <c r="BB4" s="203"/>
      <c r="BC4" s="203"/>
      <c r="BD4" s="203"/>
      <c r="BE4" s="203"/>
      <c r="BF4" s="203"/>
      <c r="BG4" s="203"/>
      <c r="BH4" s="203"/>
      <c r="BI4" s="203"/>
      <c r="BJ4" s="203"/>
      <c r="BK4" s="203"/>
      <c r="BL4" s="203"/>
      <c r="BM4" s="20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211" t="s">
        <v>8</v>
      </c>
      <c r="D8" s="211"/>
      <c r="E8" s="211"/>
      <c r="F8" s="211"/>
      <c r="G8" s="211" t="s">
        <v>9</v>
      </c>
      <c r="H8" s="211"/>
      <c r="I8" s="211"/>
      <c r="J8" s="211"/>
      <c r="K8" s="211" t="s">
        <v>10</v>
      </c>
      <c r="L8" s="211"/>
      <c r="M8" s="211"/>
      <c r="N8" s="211"/>
      <c r="O8" s="211" t="s">
        <v>11</v>
      </c>
      <c r="P8" s="211"/>
      <c r="Q8" s="211"/>
      <c r="R8" s="211"/>
      <c r="S8" s="211"/>
      <c r="T8" s="211"/>
      <c r="U8" s="211"/>
      <c r="V8" s="211"/>
      <c r="W8" s="211"/>
      <c r="X8" s="211"/>
      <c r="Y8" s="211" t="s">
        <v>12</v>
      </c>
      <c r="Z8" s="211"/>
      <c r="AA8" s="211"/>
      <c r="AB8" s="211"/>
      <c r="AC8" s="211"/>
      <c r="AD8" s="211"/>
      <c r="AE8" s="211"/>
      <c r="AF8" s="211"/>
      <c r="AG8" s="211"/>
      <c r="AH8" s="211"/>
      <c r="AI8" s="211"/>
      <c r="AJ8" s="211"/>
      <c r="AK8" s="211"/>
      <c r="AL8" s="211"/>
      <c r="AM8" s="211"/>
      <c r="AN8" s="211"/>
      <c r="AO8" s="211"/>
      <c r="AP8" s="211"/>
      <c r="AQ8" s="211"/>
      <c r="AR8" s="211"/>
      <c r="AS8" s="211"/>
      <c r="AT8" s="211"/>
      <c r="AU8" s="211"/>
      <c r="AV8" s="211"/>
      <c r="AW8" s="211"/>
      <c r="AX8" s="211"/>
      <c r="AY8" s="211"/>
      <c r="AZ8" s="211"/>
      <c r="BA8" s="211"/>
      <c r="BB8" s="211"/>
      <c r="BC8" s="211"/>
      <c r="BD8" s="211"/>
      <c r="BE8" s="211"/>
      <c r="BF8" s="211"/>
      <c r="BG8" s="211"/>
      <c r="BH8" s="211"/>
      <c r="BI8" s="211"/>
      <c r="BJ8" s="211"/>
      <c r="BK8" s="211"/>
      <c r="BL8" s="211"/>
      <c r="BM8" s="7"/>
      <c r="BN8" s="14"/>
    </row>
    <row r="9" spans="1:66" ht="20.100000000000001" customHeight="1" x14ac:dyDescent="0.45">
      <c r="A9" s="8"/>
      <c r="B9" s="7"/>
      <c r="C9" s="214">
        <v>45646</v>
      </c>
      <c r="D9" s="215"/>
      <c r="E9" s="215"/>
      <c r="F9" s="216"/>
      <c r="G9" s="217" t="s">
        <v>16</v>
      </c>
      <c r="H9" s="218"/>
      <c r="I9" s="218"/>
      <c r="J9" s="219"/>
      <c r="K9" s="220" t="s">
        <v>629</v>
      </c>
      <c r="L9" s="215"/>
      <c r="M9" s="215"/>
      <c r="N9" s="21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214"/>
      <c r="D10" s="215"/>
      <c r="E10" s="215"/>
      <c r="F10" s="216"/>
      <c r="G10" s="217"/>
      <c r="H10" s="218"/>
      <c r="I10" s="218"/>
      <c r="J10" s="219"/>
      <c r="K10" s="220"/>
      <c r="L10" s="215"/>
      <c r="M10" s="215"/>
      <c r="N10" s="21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214"/>
      <c r="D11" s="215"/>
      <c r="E11" s="215"/>
      <c r="F11" s="216"/>
      <c r="G11" s="217"/>
      <c r="H11" s="218"/>
      <c r="I11" s="218"/>
      <c r="J11" s="219"/>
      <c r="K11" s="220"/>
      <c r="L11" s="215"/>
      <c r="M11" s="215"/>
      <c r="N11" s="21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214"/>
      <c r="D36" s="215"/>
      <c r="E36" s="215"/>
      <c r="F36" s="216"/>
      <c r="G36" s="217"/>
      <c r="H36" s="218"/>
      <c r="I36" s="218"/>
      <c r="J36" s="219"/>
      <c r="K36" s="220"/>
      <c r="L36" s="215"/>
      <c r="M36" s="215"/>
      <c r="N36" s="21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214"/>
      <c r="D37" s="215"/>
      <c r="E37" s="215"/>
      <c r="F37" s="216"/>
      <c r="G37" s="217"/>
      <c r="H37" s="218"/>
      <c r="I37" s="218"/>
      <c r="J37" s="219"/>
      <c r="K37" s="220"/>
      <c r="L37" s="215"/>
      <c r="M37" s="215"/>
      <c r="N37" s="21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214"/>
      <c r="D38" s="215"/>
      <c r="E38" s="215"/>
      <c r="F38" s="216"/>
      <c r="G38" s="217"/>
      <c r="H38" s="218"/>
      <c r="I38" s="218"/>
      <c r="J38" s="219"/>
      <c r="K38" s="220"/>
      <c r="L38" s="215"/>
      <c r="M38" s="215"/>
      <c r="N38" s="21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214"/>
      <c r="D39" s="215"/>
      <c r="E39" s="215"/>
      <c r="F39" s="216"/>
      <c r="G39" s="217"/>
      <c r="H39" s="218"/>
      <c r="I39" s="218"/>
      <c r="J39" s="219"/>
      <c r="K39" s="220"/>
      <c r="L39" s="215"/>
      <c r="M39" s="215"/>
      <c r="N39" s="21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214"/>
      <c r="D40" s="215"/>
      <c r="E40" s="215"/>
      <c r="F40" s="216"/>
      <c r="G40" s="217"/>
      <c r="H40" s="218"/>
      <c r="I40" s="218"/>
      <c r="J40" s="219"/>
      <c r="K40" s="220"/>
      <c r="L40" s="215"/>
      <c r="M40" s="215"/>
      <c r="N40" s="21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214"/>
      <c r="D41" s="215"/>
      <c r="E41" s="215"/>
      <c r="F41" s="216"/>
      <c r="G41" s="217"/>
      <c r="H41" s="218"/>
      <c r="I41" s="218"/>
      <c r="J41" s="219"/>
      <c r="K41" s="220"/>
      <c r="L41" s="215"/>
      <c r="M41" s="215"/>
      <c r="N41" s="21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214"/>
      <c r="D42" s="215"/>
      <c r="E42" s="215"/>
      <c r="F42" s="216"/>
      <c r="G42" s="217"/>
      <c r="H42" s="218"/>
      <c r="I42" s="218"/>
      <c r="J42" s="219"/>
      <c r="K42" s="220"/>
      <c r="L42" s="215"/>
      <c r="M42" s="215"/>
      <c r="N42" s="21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214"/>
      <c r="D43" s="215"/>
      <c r="E43" s="215"/>
      <c r="F43" s="216"/>
      <c r="G43" s="217"/>
      <c r="H43" s="218"/>
      <c r="I43" s="218"/>
      <c r="J43" s="219"/>
      <c r="K43" s="220"/>
      <c r="L43" s="215"/>
      <c r="M43" s="215"/>
      <c r="N43" s="21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214"/>
      <c r="D44" s="215"/>
      <c r="E44" s="215"/>
      <c r="F44" s="216"/>
      <c r="G44" s="217"/>
      <c r="H44" s="218"/>
      <c r="I44" s="218"/>
      <c r="J44" s="219"/>
      <c r="K44" s="220"/>
      <c r="L44" s="215"/>
      <c r="M44" s="215"/>
      <c r="N44" s="21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214"/>
      <c r="D45" s="215"/>
      <c r="E45" s="215"/>
      <c r="F45" s="216"/>
      <c r="G45" s="217"/>
      <c r="H45" s="218"/>
      <c r="I45" s="218"/>
      <c r="J45" s="219"/>
      <c r="K45" s="220"/>
      <c r="L45" s="215"/>
      <c r="M45" s="215"/>
      <c r="N45" s="21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214"/>
      <c r="D46" s="215"/>
      <c r="E46" s="215"/>
      <c r="F46" s="216"/>
      <c r="G46" s="217"/>
      <c r="H46" s="218"/>
      <c r="I46" s="218"/>
      <c r="J46" s="219"/>
      <c r="K46" s="220"/>
      <c r="L46" s="215"/>
      <c r="M46" s="215"/>
      <c r="N46" s="21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214"/>
      <c r="D47" s="215"/>
      <c r="E47" s="215"/>
      <c r="F47" s="216"/>
      <c r="G47" s="217"/>
      <c r="H47" s="218"/>
      <c r="I47" s="218"/>
      <c r="J47" s="219"/>
      <c r="K47" s="220"/>
      <c r="L47" s="215"/>
      <c r="M47" s="215"/>
      <c r="N47" s="21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2"/>
  <sheetViews>
    <sheetView showGridLines="0" view="pageBreakPreview" zoomScaleNormal="100" zoomScaleSheetLayoutView="100" workbookViewId="0">
      <selection activeCell="AX11" sqref="AX11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95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628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32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210"/>
      <c r="BN2" s="35"/>
    </row>
    <row r="3" spans="1:66" ht="20.100000000000001" customHeight="1" x14ac:dyDescent="0.45">
      <c r="A3" s="32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SU0110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帳票設計書</v>
      </c>
      <c r="S3" s="201"/>
      <c r="T3" s="201"/>
      <c r="U3" s="201"/>
      <c r="V3" s="201"/>
      <c r="W3" s="201"/>
      <c r="X3" s="205" t="str">
        <f ca="1">変更履歴!X3</f>
        <v>SU0110_売上前請求書_帳票設計書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売上前請求書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45646</v>
      </c>
      <c r="AY3" s="212"/>
      <c r="AZ3" s="212"/>
      <c r="BA3" s="212"/>
      <c r="BB3" s="201" t="str">
        <f>変更履歴!BB3</f>
        <v>大谷</v>
      </c>
      <c r="BC3" s="201"/>
      <c r="BD3" s="201"/>
      <c r="BE3" s="201"/>
      <c r="BF3" s="212">
        <f>変更履歴!BF3</f>
        <v>45646</v>
      </c>
      <c r="BG3" s="212"/>
      <c r="BH3" s="212"/>
      <c r="BI3" s="212"/>
      <c r="BJ3" s="201" t="str">
        <f>変更履歴!BJ3</f>
        <v>大谷</v>
      </c>
      <c r="BK3" s="201"/>
      <c r="BL3" s="201"/>
      <c r="BM3" s="213"/>
      <c r="BN3" s="35"/>
    </row>
    <row r="4" spans="1:66" ht="20.100000000000001" customHeight="1" thickBot="1" x14ac:dyDescent="0.5">
      <c r="A4" s="32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21"/>
      <c r="AY4" s="221"/>
      <c r="AZ4" s="221"/>
      <c r="BA4" s="221"/>
      <c r="BB4" s="203"/>
      <c r="BC4" s="203"/>
      <c r="BD4" s="203"/>
      <c r="BE4" s="203"/>
      <c r="BF4" s="221"/>
      <c r="BG4" s="221"/>
      <c r="BH4" s="221"/>
      <c r="BI4" s="221"/>
      <c r="BJ4" s="203"/>
      <c r="BK4" s="203"/>
      <c r="BL4" s="203"/>
      <c r="BM4" s="205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売上前請求書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53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255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256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54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54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54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623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 t="s">
        <v>646</v>
      </c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 t="s">
        <v>647</v>
      </c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8"/>
  <sheetViews>
    <sheetView showGridLines="0" view="pageBreakPreview" zoomScale="70" zoomScaleNormal="100" zoomScaleSheetLayoutView="7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95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628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32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210"/>
      <c r="BN2" s="15"/>
    </row>
    <row r="3" spans="1:66" ht="20.100000000000001" customHeight="1" x14ac:dyDescent="0.45">
      <c r="A3" s="9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SU0110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帳票設計書</v>
      </c>
      <c r="S3" s="201"/>
      <c r="T3" s="201"/>
      <c r="U3" s="201"/>
      <c r="V3" s="201"/>
      <c r="W3" s="201"/>
      <c r="X3" s="205" t="str">
        <f ca="1">変更履歴!X3</f>
        <v>SU0110_売上前請求書_帳票設計書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売上前請求書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45646</v>
      </c>
      <c r="AY3" s="212"/>
      <c r="AZ3" s="212"/>
      <c r="BA3" s="212"/>
      <c r="BB3" s="201" t="str">
        <f>変更履歴!BB3</f>
        <v>大谷</v>
      </c>
      <c r="BC3" s="201"/>
      <c r="BD3" s="201"/>
      <c r="BE3" s="201"/>
      <c r="BF3" s="212">
        <f>変更履歴!BF3</f>
        <v>45646</v>
      </c>
      <c r="BG3" s="212"/>
      <c r="BH3" s="212"/>
      <c r="BI3" s="212"/>
      <c r="BJ3" s="201" t="str">
        <f>変更履歴!BJ3</f>
        <v>大谷</v>
      </c>
      <c r="BK3" s="201"/>
      <c r="BL3" s="201"/>
      <c r="BM3" s="213"/>
      <c r="BN3" s="15"/>
    </row>
    <row r="4" spans="1:66" ht="20.100000000000001" customHeight="1" thickBot="1" x14ac:dyDescent="0.5">
      <c r="A4" s="9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21"/>
      <c r="AY4" s="221"/>
      <c r="AZ4" s="221"/>
      <c r="BA4" s="221"/>
      <c r="BB4" s="203"/>
      <c r="BC4" s="203"/>
      <c r="BD4" s="203"/>
      <c r="BE4" s="203"/>
      <c r="BF4" s="221"/>
      <c r="BG4" s="221"/>
      <c r="BH4" s="221"/>
      <c r="BI4" s="221"/>
      <c r="BJ4" s="203"/>
      <c r="BK4" s="203"/>
      <c r="BL4" s="203"/>
      <c r="BM4" s="205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J3:BM4"/>
    <mergeCell ref="BF3:BI4"/>
    <mergeCell ref="BB3:BE4"/>
    <mergeCell ref="AX3:BA4"/>
    <mergeCell ref="R3:W4"/>
    <mergeCell ref="X3:AJ4"/>
    <mergeCell ref="AK3:AW4"/>
    <mergeCell ref="B2:G2"/>
    <mergeCell ref="B3:G4"/>
    <mergeCell ref="H2:K2"/>
    <mergeCell ref="L2:Q2"/>
    <mergeCell ref="R2:W2"/>
    <mergeCell ref="L3:Q4"/>
    <mergeCell ref="H3:K4"/>
    <mergeCell ref="BB2:BE2"/>
    <mergeCell ref="BF2:BI2"/>
    <mergeCell ref="BJ2:BM2"/>
    <mergeCell ref="AX2:BA2"/>
    <mergeCell ref="X2:AJ2"/>
    <mergeCell ref="AK2:AW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G78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95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628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32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210"/>
      <c r="BN2" s="15"/>
    </row>
    <row r="3" spans="1:85" ht="20.100000000000001" customHeight="1" x14ac:dyDescent="0.45">
      <c r="A3" s="9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SU0110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帳票設計書</v>
      </c>
      <c r="S3" s="201"/>
      <c r="T3" s="201"/>
      <c r="U3" s="201"/>
      <c r="V3" s="201"/>
      <c r="W3" s="201"/>
      <c r="X3" s="205" t="str">
        <f ca="1">変更履歴!X3</f>
        <v>SU0110_売上前請求書_帳票設計書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売上前請求書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45646</v>
      </c>
      <c r="AY3" s="212"/>
      <c r="AZ3" s="212"/>
      <c r="BA3" s="212"/>
      <c r="BB3" s="201" t="str">
        <f>変更履歴!BB3</f>
        <v>大谷</v>
      </c>
      <c r="BC3" s="201"/>
      <c r="BD3" s="201"/>
      <c r="BE3" s="201"/>
      <c r="BF3" s="212">
        <f>変更履歴!BF3</f>
        <v>45646</v>
      </c>
      <c r="BG3" s="212"/>
      <c r="BH3" s="212"/>
      <c r="BI3" s="212"/>
      <c r="BJ3" s="201" t="str">
        <f>変更履歴!BJ3</f>
        <v>大谷</v>
      </c>
      <c r="BK3" s="201"/>
      <c r="BL3" s="201"/>
      <c r="BM3" s="213"/>
      <c r="BN3" s="15"/>
    </row>
    <row r="4" spans="1:85" ht="20.100000000000001" customHeight="1" thickBot="1" x14ac:dyDescent="0.5">
      <c r="A4" s="9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21"/>
      <c r="AY4" s="221"/>
      <c r="AZ4" s="221"/>
      <c r="BA4" s="221"/>
      <c r="BB4" s="203"/>
      <c r="BC4" s="203"/>
      <c r="BD4" s="203"/>
      <c r="BE4" s="203"/>
      <c r="BF4" s="221"/>
      <c r="BG4" s="221"/>
      <c r="BH4" s="221"/>
      <c r="BI4" s="221"/>
      <c r="BJ4" s="203"/>
      <c r="BK4" s="203"/>
      <c r="BL4" s="203"/>
      <c r="BM4" s="205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261" t="s">
        <v>20</v>
      </c>
      <c r="F10" s="262"/>
      <c r="G10" s="262"/>
      <c r="H10" s="262"/>
      <c r="I10" s="262"/>
      <c r="J10" s="262"/>
      <c r="K10" s="262"/>
      <c r="L10" s="263"/>
      <c r="M10" s="253" t="s">
        <v>24</v>
      </c>
      <c r="N10" s="254"/>
      <c r="O10" s="254"/>
      <c r="P10" s="253" t="s">
        <v>33</v>
      </c>
      <c r="Q10" s="254"/>
      <c r="R10" s="254"/>
      <c r="S10" s="253" t="s">
        <v>34</v>
      </c>
      <c r="T10" s="254"/>
      <c r="U10" s="254"/>
      <c r="V10" s="253" t="s">
        <v>36</v>
      </c>
      <c r="W10" s="254"/>
      <c r="X10" s="254"/>
      <c r="Y10" s="254"/>
      <c r="Z10" s="254"/>
      <c r="AA10" s="255"/>
      <c r="AB10" s="253" t="s">
        <v>35</v>
      </c>
      <c r="AC10" s="254"/>
      <c r="AD10" s="254"/>
      <c r="AE10" s="254"/>
      <c r="AF10" s="254"/>
      <c r="AG10" s="254"/>
      <c r="AH10" s="254"/>
      <c r="AI10" s="254"/>
      <c r="AJ10" s="254"/>
      <c r="AK10" s="254"/>
      <c r="AL10" s="254"/>
      <c r="AM10" s="254"/>
      <c r="AN10" s="254"/>
      <c r="AO10" s="254"/>
      <c r="AP10" s="254"/>
      <c r="AQ10" s="255"/>
      <c r="AR10" s="253" t="s">
        <v>42</v>
      </c>
      <c r="AS10" s="254"/>
      <c r="AT10" s="254"/>
      <c r="AU10" s="254"/>
      <c r="AV10" s="254"/>
      <c r="AW10" s="255"/>
      <c r="AX10" s="253" t="s">
        <v>43</v>
      </c>
      <c r="AY10" s="254"/>
      <c r="AZ10" s="254"/>
      <c r="BA10" s="254"/>
      <c r="BB10" s="254"/>
      <c r="BC10" s="254"/>
      <c r="BD10" s="254"/>
      <c r="BE10" s="254"/>
      <c r="BF10" s="254"/>
      <c r="BG10" s="254"/>
      <c r="BH10" s="254"/>
      <c r="BI10" s="254"/>
      <c r="BJ10" s="254"/>
      <c r="BK10" s="254"/>
      <c r="BL10" s="254"/>
      <c r="BM10" s="254"/>
      <c r="BN10" s="254"/>
      <c r="BO10" s="254"/>
      <c r="BP10" s="254"/>
      <c r="BQ10" s="254"/>
      <c r="BR10" s="254"/>
      <c r="BS10" s="254"/>
      <c r="BT10" s="256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222" t="s">
        <v>87</v>
      </c>
      <c r="F11" s="223"/>
      <c r="G11" s="223"/>
      <c r="H11" s="223"/>
      <c r="I11" s="223"/>
      <c r="J11" s="223"/>
      <c r="K11" s="223"/>
      <c r="L11" s="224"/>
      <c r="M11" s="220" t="s">
        <v>47</v>
      </c>
      <c r="N11" s="215"/>
      <c r="O11" s="215"/>
      <c r="P11" s="220" t="s">
        <v>117</v>
      </c>
      <c r="Q11" s="215"/>
      <c r="R11" s="215"/>
      <c r="S11" s="220">
        <v>46</v>
      </c>
      <c r="T11" s="215"/>
      <c r="U11" s="215"/>
      <c r="V11" s="258" t="s">
        <v>535</v>
      </c>
      <c r="W11" s="259"/>
      <c r="X11" s="259"/>
      <c r="Y11" s="259"/>
      <c r="Z11" s="259"/>
      <c r="AA11" s="260"/>
      <c r="AB11" s="237" t="s">
        <v>536</v>
      </c>
      <c r="AC11" s="238"/>
      <c r="AD11" s="238"/>
      <c r="AE11" s="238"/>
      <c r="AF11" s="238"/>
      <c r="AG11" s="238"/>
      <c r="AH11" s="238"/>
      <c r="AI11" s="238"/>
      <c r="AJ11" s="238"/>
      <c r="AK11" s="238"/>
      <c r="AL11" s="238"/>
      <c r="AM11" s="238"/>
      <c r="AN11" s="238"/>
      <c r="AO11" s="238"/>
      <c r="AP11" s="238"/>
      <c r="AQ11" s="239"/>
      <c r="AR11" s="231"/>
      <c r="AS11" s="232"/>
      <c r="AT11" s="232"/>
      <c r="AU11" s="232"/>
      <c r="AV11" s="232"/>
      <c r="AW11" s="233"/>
      <c r="AX11" s="225"/>
      <c r="AY11" s="226"/>
      <c r="AZ11" s="226"/>
      <c r="BA11" s="226"/>
      <c r="BB11" s="226"/>
      <c r="BC11" s="226"/>
      <c r="BD11" s="226"/>
      <c r="BE11" s="226"/>
      <c r="BF11" s="226"/>
      <c r="BG11" s="226"/>
      <c r="BH11" s="226"/>
      <c r="BI11" s="226"/>
      <c r="BJ11" s="226"/>
      <c r="BK11" s="226"/>
      <c r="BL11" s="226"/>
      <c r="BM11" s="226"/>
      <c r="BN11" s="226"/>
      <c r="BO11" s="226"/>
      <c r="BP11" s="226"/>
      <c r="BQ11" s="226"/>
      <c r="BR11" s="226"/>
      <c r="BS11" s="226"/>
      <c r="BT11" s="240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222" t="s">
        <v>88</v>
      </c>
      <c r="F12" s="223"/>
      <c r="G12" s="223"/>
      <c r="H12" s="223"/>
      <c r="I12" s="223"/>
      <c r="J12" s="223"/>
      <c r="K12" s="223"/>
      <c r="L12" s="224"/>
      <c r="M12" s="220" t="s">
        <v>8</v>
      </c>
      <c r="N12" s="215"/>
      <c r="O12" s="215"/>
      <c r="P12" s="220" t="s">
        <v>117</v>
      </c>
      <c r="Q12" s="215"/>
      <c r="R12" s="215"/>
      <c r="S12" s="220">
        <v>8</v>
      </c>
      <c r="T12" s="215"/>
      <c r="U12" s="215"/>
      <c r="V12" s="237" t="s">
        <v>537</v>
      </c>
      <c r="W12" s="238"/>
      <c r="X12" s="238"/>
      <c r="Y12" s="238"/>
      <c r="Z12" s="238"/>
      <c r="AA12" s="239"/>
      <c r="AB12" s="237"/>
      <c r="AC12" s="238"/>
      <c r="AD12" s="238"/>
      <c r="AE12" s="238"/>
      <c r="AF12" s="238"/>
      <c r="AG12" s="238"/>
      <c r="AH12" s="238"/>
      <c r="AI12" s="238"/>
      <c r="AJ12" s="238"/>
      <c r="AK12" s="238"/>
      <c r="AL12" s="238"/>
      <c r="AM12" s="238"/>
      <c r="AN12" s="238"/>
      <c r="AO12" s="238"/>
      <c r="AP12" s="238"/>
      <c r="AQ12" s="239"/>
      <c r="AR12" s="231" t="s">
        <v>538</v>
      </c>
      <c r="AS12" s="232"/>
      <c r="AT12" s="232"/>
      <c r="AU12" s="232"/>
      <c r="AV12" s="232"/>
      <c r="AW12" s="233"/>
      <c r="AX12" s="225"/>
      <c r="AY12" s="226"/>
      <c r="AZ12" s="226"/>
      <c r="BA12" s="226"/>
      <c r="BB12" s="226"/>
      <c r="BC12" s="226"/>
      <c r="BD12" s="226"/>
      <c r="BE12" s="226"/>
      <c r="BF12" s="226"/>
      <c r="BG12" s="226"/>
      <c r="BH12" s="226"/>
      <c r="BI12" s="226"/>
      <c r="BJ12" s="226"/>
      <c r="BK12" s="226"/>
      <c r="BL12" s="226"/>
      <c r="BM12" s="226"/>
      <c r="BN12" s="226"/>
      <c r="BO12" s="226"/>
      <c r="BP12" s="226"/>
      <c r="BQ12" s="226"/>
      <c r="BR12" s="226"/>
      <c r="BS12" s="226"/>
      <c r="BT12" s="240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222" t="s">
        <v>89</v>
      </c>
      <c r="F13" s="223"/>
      <c r="G13" s="223"/>
      <c r="H13" s="223"/>
      <c r="I13" s="223"/>
      <c r="J13" s="223"/>
      <c r="K13" s="223"/>
      <c r="L13" s="224"/>
      <c r="M13" s="220" t="s">
        <v>38</v>
      </c>
      <c r="N13" s="215"/>
      <c r="O13" s="215"/>
      <c r="P13" s="220" t="s">
        <v>118</v>
      </c>
      <c r="Q13" s="215"/>
      <c r="R13" s="215"/>
      <c r="S13" s="213">
        <v>16</v>
      </c>
      <c r="T13" s="257"/>
      <c r="U13" s="257"/>
      <c r="V13" s="237" t="s">
        <v>539</v>
      </c>
      <c r="W13" s="238"/>
      <c r="X13" s="238"/>
      <c r="Y13" s="238"/>
      <c r="Z13" s="238"/>
      <c r="AA13" s="239"/>
      <c r="AB13" s="237" t="s">
        <v>540</v>
      </c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8"/>
      <c r="AO13" s="238"/>
      <c r="AP13" s="238"/>
      <c r="AQ13" s="239"/>
      <c r="AR13" s="231"/>
      <c r="AS13" s="232"/>
      <c r="AT13" s="232"/>
      <c r="AU13" s="232"/>
      <c r="AV13" s="232"/>
      <c r="AW13" s="233"/>
      <c r="AX13" s="225"/>
      <c r="AY13" s="226"/>
      <c r="AZ13" s="226"/>
      <c r="BA13" s="226"/>
      <c r="BB13" s="226"/>
      <c r="BC13" s="226"/>
      <c r="BD13" s="226"/>
      <c r="BE13" s="226"/>
      <c r="BF13" s="226"/>
      <c r="BG13" s="226"/>
      <c r="BH13" s="226"/>
      <c r="BI13" s="226"/>
      <c r="BJ13" s="226"/>
      <c r="BK13" s="226"/>
      <c r="BL13" s="226"/>
      <c r="BM13" s="226"/>
      <c r="BN13" s="226"/>
      <c r="BO13" s="226"/>
      <c r="BP13" s="226"/>
      <c r="BQ13" s="226"/>
      <c r="BR13" s="226"/>
      <c r="BS13" s="226"/>
      <c r="BT13" s="240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34.799999999999997" customHeight="1" x14ac:dyDescent="0.45">
      <c r="A14" s="30"/>
      <c r="B14" s="44"/>
      <c r="C14" s="36"/>
      <c r="D14" s="37">
        <v>4</v>
      </c>
      <c r="E14" s="222" t="s">
        <v>90</v>
      </c>
      <c r="F14" s="223"/>
      <c r="G14" s="223"/>
      <c r="H14" s="223"/>
      <c r="I14" s="223"/>
      <c r="J14" s="223"/>
      <c r="K14" s="223"/>
      <c r="L14" s="224"/>
      <c r="M14" s="220" t="s">
        <v>38</v>
      </c>
      <c r="N14" s="215"/>
      <c r="O14" s="215"/>
      <c r="P14" s="220" t="s">
        <v>118</v>
      </c>
      <c r="Q14" s="215"/>
      <c r="R14" s="215"/>
      <c r="S14" s="213" t="s">
        <v>119</v>
      </c>
      <c r="T14" s="257"/>
      <c r="U14" s="257"/>
      <c r="V14" s="237" t="s">
        <v>122</v>
      </c>
      <c r="W14" s="238"/>
      <c r="X14" s="238"/>
      <c r="Y14" s="238"/>
      <c r="Z14" s="238"/>
      <c r="AA14" s="239"/>
      <c r="AB14" s="237" t="s">
        <v>541</v>
      </c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8"/>
      <c r="AO14" s="238"/>
      <c r="AP14" s="238"/>
      <c r="AQ14" s="239"/>
      <c r="AR14" s="231"/>
      <c r="AS14" s="232"/>
      <c r="AT14" s="232"/>
      <c r="AU14" s="232"/>
      <c r="AV14" s="232"/>
      <c r="AW14" s="233"/>
      <c r="AX14" s="225"/>
      <c r="AY14" s="226"/>
      <c r="AZ14" s="226"/>
      <c r="BA14" s="226"/>
      <c r="BB14" s="226"/>
      <c r="BC14" s="226"/>
      <c r="BD14" s="226"/>
      <c r="BE14" s="226"/>
      <c r="BF14" s="226"/>
      <c r="BG14" s="226"/>
      <c r="BH14" s="226"/>
      <c r="BI14" s="226"/>
      <c r="BJ14" s="226"/>
      <c r="BK14" s="226"/>
      <c r="BL14" s="226"/>
      <c r="BM14" s="226"/>
      <c r="BN14" s="226"/>
      <c r="BO14" s="226"/>
      <c r="BP14" s="226"/>
      <c r="BQ14" s="226"/>
      <c r="BR14" s="226"/>
      <c r="BS14" s="226"/>
      <c r="BT14" s="240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222" t="s">
        <v>91</v>
      </c>
      <c r="F15" s="223"/>
      <c r="G15" s="223"/>
      <c r="H15" s="223"/>
      <c r="I15" s="223"/>
      <c r="J15" s="223"/>
      <c r="K15" s="223"/>
      <c r="L15" s="224"/>
      <c r="M15" s="220" t="s">
        <v>47</v>
      </c>
      <c r="N15" s="215"/>
      <c r="O15" s="215"/>
      <c r="P15" s="220" t="s">
        <v>117</v>
      </c>
      <c r="Q15" s="215"/>
      <c r="R15" s="215"/>
      <c r="S15" s="220">
        <v>14</v>
      </c>
      <c r="T15" s="215"/>
      <c r="U15" s="215"/>
      <c r="V15" s="237" t="s">
        <v>542</v>
      </c>
      <c r="W15" s="238"/>
      <c r="X15" s="238"/>
      <c r="Y15" s="238"/>
      <c r="Z15" s="238"/>
      <c r="AA15" s="239"/>
      <c r="AB15" s="237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8"/>
      <c r="AO15" s="238"/>
      <c r="AP15" s="238"/>
      <c r="AQ15" s="239"/>
      <c r="AR15" s="231" t="s">
        <v>142</v>
      </c>
      <c r="AS15" s="232"/>
      <c r="AT15" s="232"/>
      <c r="AU15" s="232"/>
      <c r="AV15" s="232"/>
      <c r="AW15" s="233"/>
      <c r="AX15" s="225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40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49.8" customHeight="1" x14ac:dyDescent="0.45">
      <c r="A16" s="30"/>
      <c r="B16" s="44"/>
      <c r="C16" s="30"/>
      <c r="D16" s="37">
        <v>6</v>
      </c>
      <c r="E16" s="222" t="s">
        <v>143</v>
      </c>
      <c r="F16" s="223"/>
      <c r="G16" s="223"/>
      <c r="H16" s="223"/>
      <c r="I16" s="223"/>
      <c r="J16" s="223"/>
      <c r="K16" s="223"/>
      <c r="L16" s="224"/>
      <c r="M16" s="220" t="s">
        <v>38</v>
      </c>
      <c r="N16" s="215"/>
      <c r="O16" s="215"/>
      <c r="P16" s="220" t="s">
        <v>118</v>
      </c>
      <c r="Q16" s="215"/>
      <c r="R16" s="215"/>
      <c r="S16" s="220">
        <v>10</v>
      </c>
      <c r="T16" s="215"/>
      <c r="U16" s="215"/>
      <c r="V16" s="237" t="s">
        <v>543</v>
      </c>
      <c r="W16" s="238"/>
      <c r="X16" s="238"/>
      <c r="Y16" s="238"/>
      <c r="Z16" s="238"/>
      <c r="AA16" s="239"/>
      <c r="AB16" s="237" t="s">
        <v>544</v>
      </c>
      <c r="AC16" s="238"/>
      <c r="AD16" s="238"/>
      <c r="AE16" s="238"/>
      <c r="AF16" s="238"/>
      <c r="AG16" s="238"/>
      <c r="AH16" s="238"/>
      <c r="AI16" s="238"/>
      <c r="AJ16" s="238"/>
      <c r="AK16" s="238"/>
      <c r="AL16" s="238"/>
      <c r="AM16" s="238"/>
      <c r="AN16" s="238"/>
      <c r="AO16" s="238"/>
      <c r="AP16" s="238"/>
      <c r="AQ16" s="239"/>
      <c r="AR16" s="231"/>
      <c r="AS16" s="232"/>
      <c r="AT16" s="232"/>
      <c r="AU16" s="232"/>
      <c r="AV16" s="232"/>
      <c r="AW16" s="233"/>
      <c r="AX16" s="225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40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222" t="s">
        <v>92</v>
      </c>
      <c r="F17" s="223"/>
      <c r="G17" s="223"/>
      <c r="H17" s="223"/>
      <c r="I17" s="223"/>
      <c r="J17" s="223"/>
      <c r="K17" s="223"/>
      <c r="L17" s="224"/>
      <c r="M17" s="220" t="s">
        <v>47</v>
      </c>
      <c r="N17" s="215"/>
      <c r="O17" s="215"/>
      <c r="P17" s="220" t="s">
        <v>117</v>
      </c>
      <c r="Q17" s="215"/>
      <c r="R17" s="215"/>
      <c r="S17" s="220">
        <v>14</v>
      </c>
      <c r="T17" s="215"/>
      <c r="U17" s="215"/>
      <c r="V17" s="237" t="s">
        <v>545</v>
      </c>
      <c r="W17" s="238"/>
      <c r="X17" s="238"/>
      <c r="Y17" s="238"/>
      <c r="Z17" s="238"/>
      <c r="AA17" s="239"/>
      <c r="AB17" s="237"/>
      <c r="AC17" s="238"/>
      <c r="AD17" s="238"/>
      <c r="AE17" s="238"/>
      <c r="AF17" s="238"/>
      <c r="AG17" s="238"/>
      <c r="AH17" s="238"/>
      <c r="AI17" s="238"/>
      <c r="AJ17" s="238"/>
      <c r="AK17" s="238"/>
      <c r="AL17" s="238"/>
      <c r="AM17" s="238"/>
      <c r="AN17" s="238"/>
      <c r="AO17" s="238"/>
      <c r="AP17" s="238"/>
      <c r="AQ17" s="239"/>
      <c r="AR17" s="231" t="s">
        <v>142</v>
      </c>
      <c r="AS17" s="232"/>
      <c r="AT17" s="232"/>
      <c r="AU17" s="232"/>
      <c r="AV17" s="232"/>
      <c r="AW17" s="233"/>
      <c r="AX17" s="225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40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222" t="s">
        <v>93</v>
      </c>
      <c r="F18" s="223"/>
      <c r="G18" s="223"/>
      <c r="H18" s="223"/>
      <c r="I18" s="223"/>
      <c r="J18" s="223"/>
      <c r="K18" s="223"/>
      <c r="L18" s="224"/>
      <c r="M18" s="220" t="s">
        <v>47</v>
      </c>
      <c r="N18" s="215"/>
      <c r="O18" s="215"/>
      <c r="P18" s="220" t="s">
        <v>117</v>
      </c>
      <c r="Q18" s="215"/>
      <c r="R18" s="215"/>
      <c r="S18" s="220">
        <v>14</v>
      </c>
      <c r="T18" s="215"/>
      <c r="U18" s="215"/>
      <c r="V18" s="237" t="s">
        <v>546</v>
      </c>
      <c r="W18" s="238"/>
      <c r="X18" s="238"/>
      <c r="Y18" s="238"/>
      <c r="Z18" s="238"/>
      <c r="AA18" s="239"/>
      <c r="AB18" s="237" t="s">
        <v>547</v>
      </c>
      <c r="AC18" s="238"/>
      <c r="AD18" s="238"/>
      <c r="AE18" s="238"/>
      <c r="AF18" s="238"/>
      <c r="AG18" s="238"/>
      <c r="AH18" s="238"/>
      <c r="AI18" s="238"/>
      <c r="AJ18" s="238"/>
      <c r="AK18" s="238"/>
      <c r="AL18" s="238"/>
      <c r="AM18" s="238"/>
      <c r="AN18" s="238"/>
      <c r="AO18" s="238"/>
      <c r="AP18" s="238"/>
      <c r="AQ18" s="239"/>
      <c r="AR18" s="231" t="s">
        <v>142</v>
      </c>
      <c r="AS18" s="232"/>
      <c r="AT18" s="232"/>
      <c r="AU18" s="232"/>
      <c r="AV18" s="232"/>
      <c r="AW18" s="233"/>
      <c r="AX18" s="225"/>
      <c r="AY18" s="226"/>
      <c r="AZ18" s="226"/>
      <c r="BA18" s="226"/>
      <c r="BB18" s="226"/>
      <c r="BC18" s="226"/>
      <c r="BD18" s="226"/>
      <c r="BE18" s="226"/>
      <c r="BF18" s="226"/>
      <c r="BG18" s="226"/>
      <c r="BH18" s="226"/>
      <c r="BI18" s="226"/>
      <c r="BJ18" s="226"/>
      <c r="BK18" s="226"/>
      <c r="BL18" s="226"/>
      <c r="BM18" s="226"/>
      <c r="BN18" s="226"/>
      <c r="BO18" s="226"/>
      <c r="BP18" s="226"/>
      <c r="BQ18" s="226"/>
      <c r="BR18" s="226"/>
      <c r="BS18" s="226"/>
      <c r="BT18" s="240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222" t="s">
        <v>94</v>
      </c>
      <c r="F19" s="223"/>
      <c r="G19" s="223"/>
      <c r="H19" s="223"/>
      <c r="I19" s="223"/>
      <c r="J19" s="223"/>
      <c r="K19" s="223"/>
      <c r="L19" s="224"/>
      <c r="M19" s="220" t="s">
        <v>38</v>
      </c>
      <c r="N19" s="215"/>
      <c r="O19" s="215"/>
      <c r="P19" s="220" t="s">
        <v>118</v>
      </c>
      <c r="Q19" s="215"/>
      <c r="R19" s="215"/>
      <c r="S19" s="213" t="s">
        <v>119</v>
      </c>
      <c r="T19" s="257"/>
      <c r="U19" s="257"/>
      <c r="V19" s="237" t="s">
        <v>548</v>
      </c>
      <c r="W19" s="238"/>
      <c r="X19" s="238"/>
      <c r="Y19" s="238"/>
      <c r="Z19" s="238"/>
      <c r="AA19" s="239"/>
      <c r="AB19" s="237"/>
      <c r="AC19" s="238"/>
      <c r="AD19" s="238"/>
      <c r="AE19" s="238"/>
      <c r="AF19" s="238"/>
      <c r="AG19" s="238"/>
      <c r="AH19" s="238"/>
      <c r="AI19" s="238"/>
      <c r="AJ19" s="238"/>
      <c r="AK19" s="238"/>
      <c r="AL19" s="238"/>
      <c r="AM19" s="238"/>
      <c r="AN19" s="238"/>
      <c r="AO19" s="238"/>
      <c r="AP19" s="238"/>
      <c r="AQ19" s="239"/>
      <c r="AR19" s="231"/>
      <c r="AS19" s="232"/>
      <c r="AT19" s="232"/>
      <c r="AU19" s="232"/>
      <c r="AV19" s="232"/>
      <c r="AW19" s="233"/>
      <c r="AX19" s="225"/>
      <c r="AY19" s="226"/>
      <c r="AZ19" s="226"/>
      <c r="BA19" s="226"/>
      <c r="BB19" s="226"/>
      <c r="BC19" s="226"/>
      <c r="BD19" s="226"/>
      <c r="BE19" s="226"/>
      <c r="BF19" s="226"/>
      <c r="BG19" s="226"/>
      <c r="BH19" s="226"/>
      <c r="BI19" s="226"/>
      <c r="BJ19" s="226"/>
      <c r="BK19" s="226"/>
      <c r="BL19" s="226"/>
      <c r="BM19" s="226"/>
      <c r="BN19" s="226"/>
      <c r="BO19" s="226"/>
      <c r="BP19" s="226"/>
      <c r="BQ19" s="226"/>
      <c r="BR19" s="226"/>
      <c r="BS19" s="226"/>
      <c r="BT19" s="240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57.6" customHeight="1" x14ac:dyDescent="0.45">
      <c r="A20" s="29"/>
      <c r="B20" s="35"/>
      <c r="C20"/>
      <c r="D20" s="37">
        <v>10</v>
      </c>
      <c r="E20" s="222" t="s">
        <v>95</v>
      </c>
      <c r="F20" s="223"/>
      <c r="G20" s="223"/>
      <c r="H20" s="223"/>
      <c r="I20" s="223"/>
      <c r="J20" s="223"/>
      <c r="K20" s="223"/>
      <c r="L20" s="224"/>
      <c r="M20" s="220" t="s">
        <v>38</v>
      </c>
      <c r="N20" s="215"/>
      <c r="O20" s="215"/>
      <c r="P20" s="220" t="s">
        <v>118</v>
      </c>
      <c r="Q20" s="215"/>
      <c r="R20" s="215"/>
      <c r="S20" s="213" t="s">
        <v>119</v>
      </c>
      <c r="T20" s="257"/>
      <c r="U20" s="257"/>
      <c r="V20" s="237" t="s">
        <v>549</v>
      </c>
      <c r="W20" s="238"/>
      <c r="X20" s="238"/>
      <c r="Y20" s="238"/>
      <c r="Z20" s="238"/>
      <c r="AA20" s="239"/>
      <c r="AB20" s="237" t="s">
        <v>550</v>
      </c>
      <c r="AC20" s="238"/>
      <c r="AD20" s="238"/>
      <c r="AE20" s="238"/>
      <c r="AF20" s="238"/>
      <c r="AG20" s="238"/>
      <c r="AH20" s="238"/>
      <c r="AI20" s="238"/>
      <c r="AJ20" s="238"/>
      <c r="AK20" s="238"/>
      <c r="AL20" s="238"/>
      <c r="AM20" s="238"/>
      <c r="AN20" s="238"/>
      <c r="AO20" s="238"/>
      <c r="AP20" s="238"/>
      <c r="AQ20" s="239"/>
      <c r="AR20" s="231" t="s">
        <v>144</v>
      </c>
      <c r="AS20" s="232"/>
      <c r="AT20" s="232"/>
      <c r="AU20" s="232"/>
      <c r="AV20" s="232"/>
      <c r="AW20" s="233"/>
      <c r="AX20" s="225"/>
      <c r="AY20" s="226"/>
      <c r="AZ20" s="226"/>
      <c r="BA20" s="226"/>
      <c r="BB20" s="226"/>
      <c r="BC20" s="226"/>
      <c r="BD20" s="226"/>
      <c r="BE20" s="226"/>
      <c r="BF20" s="226"/>
      <c r="BG20" s="226"/>
      <c r="BH20" s="226"/>
      <c r="BI20" s="226"/>
      <c r="BJ20" s="226"/>
      <c r="BK20" s="226"/>
      <c r="BL20" s="226"/>
      <c r="BM20" s="226"/>
      <c r="BN20" s="226"/>
      <c r="BO20" s="226"/>
      <c r="BP20" s="226"/>
      <c r="BQ20" s="226"/>
      <c r="BR20" s="226"/>
      <c r="BS20" s="226"/>
      <c r="BT20" s="240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39" customHeight="1" x14ac:dyDescent="0.45">
      <c r="A21" s="29"/>
      <c r="B21" s="35"/>
      <c r="C21"/>
      <c r="D21" s="37">
        <v>11</v>
      </c>
      <c r="E21" s="222" t="s">
        <v>96</v>
      </c>
      <c r="F21" s="223"/>
      <c r="G21" s="223"/>
      <c r="H21" s="223"/>
      <c r="I21" s="223"/>
      <c r="J21" s="223"/>
      <c r="K21" s="223"/>
      <c r="L21" s="224"/>
      <c r="M21" s="220" t="s">
        <v>38</v>
      </c>
      <c r="N21" s="215"/>
      <c r="O21" s="215"/>
      <c r="P21" s="220" t="s">
        <v>118</v>
      </c>
      <c r="Q21" s="215"/>
      <c r="R21" s="215"/>
      <c r="S21" s="213" t="s">
        <v>119</v>
      </c>
      <c r="T21" s="257"/>
      <c r="U21" s="257"/>
      <c r="V21" s="237" t="s">
        <v>551</v>
      </c>
      <c r="W21" s="238"/>
      <c r="X21" s="238"/>
      <c r="Y21" s="238"/>
      <c r="Z21" s="238"/>
      <c r="AA21" s="239"/>
      <c r="AB21" s="237" t="s">
        <v>552</v>
      </c>
      <c r="AC21" s="238"/>
      <c r="AD21" s="238"/>
      <c r="AE21" s="238"/>
      <c r="AF21" s="238"/>
      <c r="AG21" s="238"/>
      <c r="AH21" s="238"/>
      <c r="AI21" s="238"/>
      <c r="AJ21" s="238"/>
      <c r="AK21" s="238"/>
      <c r="AL21" s="238"/>
      <c r="AM21" s="238"/>
      <c r="AN21" s="238"/>
      <c r="AO21" s="238"/>
      <c r="AP21" s="238"/>
      <c r="AQ21" s="239"/>
      <c r="AR21" s="231"/>
      <c r="AS21" s="232"/>
      <c r="AT21" s="232"/>
      <c r="AU21" s="232"/>
      <c r="AV21" s="232"/>
      <c r="AW21" s="233"/>
      <c r="AX21" s="225"/>
      <c r="AY21" s="226"/>
      <c r="AZ21" s="226"/>
      <c r="BA21" s="226"/>
      <c r="BB21" s="226"/>
      <c r="BC21" s="226"/>
      <c r="BD21" s="226"/>
      <c r="BE21" s="226"/>
      <c r="BF21" s="226"/>
      <c r="BG21" s="226"/>
      <c r="BH21" s="226"/>
      <c r="BI21" s="226"/>
      <c r="BJ21" s="226"/>
      <c r="BK21" s="226"/>
      <c r="BL21" s="226"/>
      <c r="BM21" s="226"/>
      <c r="BN21" s="226"/>
      <c r="BO21" s="226"/>
      <c r="BP21" s="226"/>
      <c r="BQ21" s="226"/>
      <c r="BR21" s="226"/>
      <c r="BS21" s="226"/>
      <c r="BT21" s="240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39" customHeight="1" x14ac:dyDescent="0.45">
      <c r="A22" s="29"/>
      <c r="B22" s="35"/>
      <c r="C22"/>
      <c r="D22" s="37">
        <v>12</v>
      </c>
      <c r="E22" s="222" t="s">
        <v>123</v>
      </c>
      <c r="F22" s="223"/>
      <c r="G22" s="223"/>
      <c r="H22" s="223"/>
      <c r="I22" s="223"/>
      <c r="J22" s="223"/>
      <c r="K22" s="223"/>
      <c r="L22" s="224"/>
      <c r="M22" s="220" t="s">
        <v>38</v>
      </c>
      <c r="N22" s="215"/>
      <c r="O22" s="215"/>
      <c r="P22" s="220" t="s">
        <v>117</v>
      </c>
      <c r="Q22" s="215"/>
      <c r="R22" s="215"/>
      <c r="S22" s="213">
        <v>11</v>
      </c>
      <c r="T22" s="257"/>
      <c r="U22" s="257"/>
      <c r="V22" s="237" t="s">
        <v>553</v>
      </c>
      <c r="W22" s="238"/>
      <c r="X22" s="238"/>
      <c r="Y22" s="238"/>
      <c r="Z22" s="238"/>
      <c r="AA22" s="239"/>
      <c r="AB22" s="237" t="s">
        <v>554</v>
      </c>
      <c r="AC22" s="238"/>
      <c r="AD22" s="238"/>
      <c r="AE22" s="238"/>
      <c r="AF22" s="238"/>
      <c r="AG22" s="238"/>
      <c r="AH22" s="238"/>
      <c r="AI22" s="238"/>
      <c r="AJ22" s="238"/>
      <c r="AK22" s="238"/>
      <c r="AL22" s="238"/>
      <c r="AM22" s="238"/>
      <c r="AN22" s="238"/>
      <c r="AO22" s="238"/>
      <c r="AP22" s="238"/>
      <c r="AQ22" s="239"/>
      <c r="AR22" s="231"/>
      <c r="AS22" s="232"/>
      <c r="AT22" s="232"/>
      <c r="AU22" s="232"/>
      <c r="AV22" s="232"/>
      <c r="AW22" s="233"/>
      <c r="AX22" s="225"/>
      <c r="AY22" s="226"/>
      <c r="AZ22" s="226"/>
      <c r="BA22" s="226"/>
      <c r="BB22" s="226"/>
      <c r="BC22" s="226"/>
      <c r="BD22" s="226"/>
      <c r="BE22" s="226"/>
      <c r="BF22" s="226"/>
      <c r="BG22" s="226"/>
      <c r="BH22" s="226"/>
      <c r="BI22" s="226"/>
      <c r="BJ22" s="226"/>
      <c r="BK22" s="226"/>
      <c r="BL22" s="226"/>
      <c r="BM22" s="226"/>
      <c r="BN22" s="226"/>
      <c r="BO22" s="226"/>
      <c r="BP22" s="226"/>
      <c r="BQ22" s="226"/>
      <c r="BR22" s="226"/>
      <c r="BS22" s="226"/>
      <c r="BT22" s="240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39" customHeight="1" x14ac:dyDescent="0.45">
      <c r="A23" s="29"/>
      <c r="B23" s="35"/>
      <c r="C23"/>
      <c r="D23" s="37">
        <v>13</v>
      </c>
      <c r="E23" s="222" t="s">
        <v>97</v>
      </c>
      <c r="F23" s="223"/>
      <c r="G23" s="223"/>
      <c r="H23" s="223"/>
      <c r="I23" s="223"/>
      <c r="J23" s="223"/>
      <c r="K23" s="223"/>
      <c r="L23" s="224"/>
      <c r="M23" s="220" t="s">
        <v>38</v>
      </c>
      <c r="N23" s="215"/>
      <c r="O23" s="215"/>
      <c r="P23" s="220" t="s">
        <v>118</v>
      </c>
      <c r="Q23" s="215"/>
      <c r="R23" s="215"/>
      <c r="S23" s="213" t="s">
        <v>119</v>
      </c>
      <c r="T23" s="257"/>
      <c r="U23" s="257"/>
      <c r="V23" s="237" t="s">
        <v>555</v>
      </c>
      <c r="W23" s="238"/>
      <c r="X23" s="238"/>
      <c r="Y23" s="238"/>
      <c r="Z23" s="238"/>
      <c r="AA23" s="239"/>
      <c r="AB23" s="237" t="s">
        <v>556</v>
      </c>
      <c r="AC23" s="238"/>
      <c r="AD23" s="238"/>
      <c r="AE23" s="238"/>
      <c r="AF23" s="238"/>
      <c r="AG23" s="238"/>
      <c r="AH23" s="238"/>
      <c r="AI23" s="238"/>
      <c r="AJ23" s="238"/>
      <c r="AK23" s="238"/>
      <c r="AL23" s="238"/>
      <c r="AM23" s="238"/>
      <c r="AN23" s="238"/>
      <c r="AO23" s="238"/>
      <c r="AP23" s="238"/>
      <c r="AQ23" s="239"/>
      <c r="AR23" s="231"/>
      <c r="AS23" s="232"/>
      <c r="AT23" s="232"/>
      <c r="AU23" s="232"/>
      <c r="AV23" s="232"/>
      <c r="AW23" s="233"/>
      <c r="AX23" s="225"/>
      <c r="AY23" s="226"/>
      <c r="AZ23" s="226"/>
      <c r="BA23" s="226"/>
      <c r="BB23" s="226"/>
      <c r="BC23" s="226"/>
      <c r="BD23" s="226"/>
      <c r="BE23" s="226"/>
      <c r="BF23" s="226"/>
      <c r="BG23" s="226"/>
      <c r="BH23" s="226"/>
      <c r="BI23" s="226"/>
      <c r="BJ23" s="226"/>
      <c r="BK23" s="226"/>
      <c r="BL23" s="226"/>
      <c r="BM23" s="226"/>
      <c r="BN23" s="226"/>
      <c r="BO23" s="226"/>
      <c r="BP23" s="226"/>
      <c r="BQ23" s="226"/>
      <c r="BR23" s="226"/>
      <c r="BS23" s="226"/>
      <c r="BT23" s="240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222" t="s">
        <v>43</v>
      </c>
      <c r="F24" s="223"/>
      <c r="G24" s="223"/>
      <c r="H24" s="223"/>
      <c r="I24" s="223"/>
      <c r="J24" s="223"/>
      <c r="K24" s="223"/>
      <c r="L24" s="224"/>
      <c r="M24" s="220" t="s">
        <v>38</v>
      </c>
      <c r="N24" s="215"/>
      <c r="O24" s="215"/>
      <c r="P24" s="220" t="s">
        <v>118</v>
      </c>
      <c r="Q24" s="215"/>
      <c r="R24" s="215"/>
      <c r="S24" s="213" t="s">
        <v>119</v>
      </c>
      <c r="T24" s="257"/>
      <c r="U24" s="257"/>
      <c r="V24" s="237" t="s">
        <v>557</v>
      </c>
      <c r="W24" s="238"/>
      <c r="X24" s="238"/>
      <c r="Y24" s="238"/>
      <c r="Z24" s="238"/>
      <c r="AA24" s="239"/>
      <c r="AB24" s="237"/>
      <c r="AC24" s="238"/>
      <c r="AD24" s="238"/>
      <c r="AE24" s="238"/>
      <c r="AF24" s="238"/>
      <c r="AG24" s="238"/>
      <c r="AH24" s="238"/>
      <c r="AI24" s="238"/>
      <c r="AJ24" s="238"/>
      <c r="AK24" s="238"/>
      <c r="AL24" s="238"/>
      <c r="AM24" s="238"/>
      <c r="AN24" s="238"/>
      <c r="AO24" s="238"/>
      <c r="AP24" s="238"/>
      <c r="AQ24" s="239"/>
      <c r="AR24" s="231"/>
      <c r="AS24" s="232"/>
      <c r="AT24" s="232"/>
      <c r="AU24" s="232"/>
      <c r="AV24" s="232"/>
      <c r="AW24" s="233"/>
      <c r="AX24" s="225"/>
      <c r="AY24" s="226"/>
      <c r="AZ24" s="226"/>
      <c r="BA24" s="226"/>
      <c r="BB24" s="226"/>
      <c r="BC24" s="226"/>
      <c r="BD24" s="226"/>
      <c r="BE24" s="226"/>
      <c r="BF24" s="226"/>
      <c r="BG24" s="226"/>
      <c r="BH24" s="226"/>
      <c r="BI24" s="226"/>
      <c r="BJ24" s="226"/>
      <c r="BK24" s="226"/>
      <c r="BL24" s="226"/>
      <c r="BM24" s="226"/>
      <c r="BN24" s="226"/>
      <c r="BO24" s="226"/>
      <c r="BP24" s="226"/>
      <c r="BQ24" s="226"/>
      <c r="BR24" s="226"/>
      <c r="BS24" s="226"/>
      <c r="BT24" s="240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222" t="s">
        <v>99</v>
      </c>
      <c r="F25" s="223"/>
      <c r="G25" s="223"/>
      <c r="H25" s="223"/>
      <c r="I25" s="223"/>
      <c r="J25" s="223"/>
      <c r="K25" s="223"/>
      <c r="L25" s="224"/>
      <c r="M25" s="220" t="s">
        <v>38</v>
      </c>
      <c r="N25" s="215"/>
      <c r="O25" s="215"/>
      <c r="P25" s="220" t="s">
        <v>118</v>
      </c>
      <c r="Q25" s="215"/>
      <c r="R25" s="215"/>
      <c r="S25" s="220">
        <v>9</v>
      </c>
      <c r="T25" s="215"/>
      <c r="U25" s="215"/>
      <c r="V25" s="237" t="s">
        <v>558</v>
      </c>
      <c r="W25" s="238"/>
      <c r="X25" s="238"/>
      <c r="Y25" s="238"/>
      <c r="Z25" s="238"/>
      <c r="AA25" s="239"/>
      <c r="AB25" s="237" t="s">
        <v>559</v>
      </c>
      <c r="AC25" s="238"/>
      <c r="AD25" s="238"/>
      <c r="AE25" s="238"/>
      <c r="AF25" s="238"/>
      <c r="AG25" s="238"/>
      <c r="AH25" s="238"/>
      <c r="AI25" s="238"/>
      <c r="AJ25" s="238"/>
      <c r="AK25" s="238"/>
      <c r="AL25" s="238"/>
      <c r="AM25" s="238"/>
      <c r="AN25" s="238"/>
      <c r="AO25" s="238"/>
      <c r="AP25" s="238"/>
      <c r="AQ25" s="239"/>
      <c r="AR25" s="231"/>
      <c r="AS25" s="232"/>
      <c r="AT25" s="232"/>
      <c r="AU25" s="232"/>
      <c r="AV25" s="232"/>
      <c r="AW25" s="233"/>
      <c r="AX25" s="225"/>
      <c r="AY25" s="226"/>
      <c r="AZ25" s="226"/>
      <c r="BA25" s="226"/>
      <c r="BB25" s="226"/>
      <c r="BC25" s="226"/>
      <c r="BD25" s="226"/>
      <c r="BE25" s="226"/>
      <c r="BF25" s="226"/>
      <c r="BG25" s="226"/>
      <c r="BH25" s="226"/>
      <c r="BI25" s="226"/>
      <c r="BJ25" s="226"/>
      <c r="BK25" s="226"/>
      <c r="BL25" s="226"/>
      <c r="BM25" s="226"/>
      <c r="BN25" s="226"/>
      <c r="BO25" s="226"/>
      <c r="BP25" s="226"/>
      <c r="BQ25" s="226"/>
      <c r="BR25" s="226"/>
      <c r="BS25" s="226"/>
      <c r="BT25" s="240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43.8" customHeight="1" x14ac:dyDescent="0.45">
      <c r="A26" s="29"/>
      <c r="B26" s="35"/>
      <c r="C26"/>
      <c r="D26" s="37">
        <v>16</v>
      </c>
      <c r="E26" s="222" t="s">
        <v>98</v>
      </c>
      <c r="F26" s="223"/>
      <c r="G26" s="223"/>
      <c r="H26" s="223"/>
      <c r="I26" s="223"/>
      <c r="J26" s="223"/>
      <c r="K26" s="223"/>
      <c r="L26" s="224"/>
      <c r="M26" s="220" t="s">
        <v>47</v>
      </c>
      <c r="N26" s="215"/>
      <c r="O26" s="215"/>
      <c r="P26" s="220" t="s">
        <v>117</v>
      </c>
      <c r="Q26" s="215"/>
      <c r="R26" s="215"/>
      <c r="S26" s="220">
        <v>22</v>
      </c>
      <c r="T26" s="215"/>
      <c r="U26" s="215"/>
      <c r="V26" s="237" t="s">
        <v>558</v>
      </c>
      <c r="W26" s="238"/>
      <c r="X26" s="238"/>
      <c r="Y26" s="238"/>
      <c r="Z26" s="238"/>
      <c r="AA26" s="239"/>
      <c r="AB26" s="237" t="s">
        <v>560</v>
      </c>
      <c r="AC26" s="238"/>
      <c r="AD26" s="238"/>
      <c r="AE26" s="238"/>
      <c r="AF26" s="238"/>
      <c r="AG26" s="238"/>
      <c r="AH26" s="238"/>
      <c r="AI26" s="238"/>
      <c r="AJ26" s="238"/>
      <c r="AK26" s="238"/>
      <c r="AL26" s="238"/>
      <c r="AM26" s="238"/>
      <c r="AN26" s="238"/>
      <c r="AO26" s="238"/>
      <c r="AP26" s="238"/>
      <c r="AQ26" s="239"/>
      <c r="AR26" s="231" t="s">
        <v>126</v>
      </c>
      <c r="AS26" s="232"/>
      <c r="AT26" s="232"/>
      <c r="AU26" s="232"/>
      <c r="AV26" s="232"/>
      <c r="AW26" s="233"/>
      <c r="AX26" s="225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  <c r="BS26" s="226"/>
      <c r="BT26" s="240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43.8" customHeight="1" x14ac:dyDescent="0.45">
      <c r="A27" s="29"/>
      <c r="B27" s="44"/>
      <c r="C27"/>
      <c r="D27" s="37">
        <v>17</v>
      </c>
      <c r="E27" s="222" t="s">
        <v>100</v>
      </c>
      <c r="F27" s="223"/>
      <c r="G27" s="223"/>
      <c r="H27" s="223"/>
      <c r="I27" s="223"/>
      <c r="J27" s="223"/>
      <c r="K27" s="223"/>
      <c r="L27" s="224"/>
      <c r="M27" s="220" t="s">
        <v>47</v>
      </c>
      <c r="N27" s="215"/>
      <c r="O27" s="215"/>
      <c r="P27" s="220" t="s">
        <v>118</v>
      </c>
      <c r="Q27" s="215"/>
      <c r="R27" s="215"/>
      <c r="S27" s="220">
        <v>9</v>
      </c>
      <c r="T27" s="215"/>
      <c r="U27" s="215"/>
      <c r="V27" s="237" t="s">
        <v>125</v>
      </c>
      <c r="W27" s="238"/>
      <c r="X27" s="238"/>
      <c r="Y27" s="238"/>
      <c r="Z27" s="238"/>
      <c r="AA27" s="239"/>
      <c r="AB27" s="237" t="s">
        <v>128</v>
      </c>
      <c r="AC27" s="238"/>
      <c r="AD27" s="238"/>
      <c r="AE27" s="238"/>
      <c r="AF27" s="238"/>
      <c r="AG27" s="238"/>
      <c r="AH27" s="238"/>
      <c r="AI27" s="238"/>
      <c r="AJ27" s="238"/>
      <c r="AK27" s="238"/>
      <c r="AL27" s="238"/>
      <c r="AM27" s="238"/>
      <c r="AN27" s="238"/>
      <c r="AO27" s="238"/>
      <c r="AP27" s="238"/>
      <c r="AQ27" s="239"/>
      <c r="AR27" s="231" t="s">
        <v>127</v>
      </c>
      <c r="AS27" s="232"/>
      <c r="AT27" s="232"/>
      <c r="AU27" s="232"/>
      <c r="AV27" s="232"/>
      <c r="AW27" s="233"/>
      <c r="AX27" s="225" t="s">
        <v>124</v>
      </c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  <c r="BS27" s="226"/>
      <c r="BT27" s="240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222" t="s">
        <v>101</v>
      </c>
      <c r="F28" s="223"/>
      <c r="G28" s="223"/>
      <c r="H28" s="223"/>
      <c r="I28" s="223"/>
      <c r="J28" s="223"/>
      <c r="K28" s="223"/>
      <c r="L28" s="224"/>
      <c r="M28" s="220" t="s">
        <v>47</v>
      </c>
      <c r="N28" s="215"/>
      <c r="O28" s="215"/>
      <c r="P28" s="220" t="s">
        <v>117</v>
      </c>
      <c r="Q28" s="215"/>
      <c r="R28" s="215"/>
      <c r="S28" s="220">
        <v>9</v>
      </c>
      <c r="T28" s="215"/>
      <c r="U28" s="215"/>
      <c r="V28" s="244" t="s">
        <v>561</v>
      </c>
      <c r="W28" s="245"/>
      <c r="X28" s="245"/>
      <c r="Y28" s="245"/>
      <c r="Z28" s="245"/>
      <c r="AA28" s="246"/>
      <c r="AB28" s="237"/>
      <c r="AC28" s="238"/>
      <c r="AD28" s="238"/>
      <c r="AE28" s="238"/>
      <c r="AF28" s="238"/>
      <c r="AG28" s="238"/>
      <c r="AH28" s="238"/>
      <c r="AI28" s="238"/>
      <c r="AJ28" s="238"/>
      <c r="AK28" s="238"/>
      <c r="AL28" s="238"/>
      <c r="AM28" s="238"/>
      <c r="AN28" s="238"/>
      <c r="AO28" s="238"/>
      <c r="AP28" s="238"/>
      <c r="AQ28" s="239"/>
      <c r="AR28" s="231"/>
      <c r="AS28" s="232"/>
      <c r="AT28" s="232"/>
      <c r="AU28" s="232"/>
      <c r="AV28" s="232"/>
      <c r="AW28" s="233"/>
      <c r="AX28" s="225"/>
      <c r="AY28" s="226"/>
      <c r="AZ28" s="226"/>
      <c r="BA28" s="226"/>
      <c r="BB28" s="226"/>
      <c r="BC28" s="226"/>
      <c r="BD28" s="226"/>
      <c r="BE28" s="226"/>
      <c r="BF28" s="226"/>
      <c r="BG28" s="226"/>
      <c r="BH28" s="226"/>
      <c r="BI28" s="226"/>
      <c r="BJ28" s="226"/>
      <c r="BK28" s="226"/>
      <c r="BL28" s="226"/>
      <c r="BM28" s="226"/>
      <c r="BN28" s="226"/>
      <c r="BO28" s="226"/>
      <c r="BP28" s="226"/>
      <c r="BQ28" s="226"/>
      <c r="BR28" s="226"/>
      <c r="BS28" s="226"/>
      <c r="BT28" s="240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222" t="s">
        <v>102</v>
      </c>
      <c r="F29" s="223"/>
      <c r="G29" s="223"/>
      <c r="H29" s="223"/>
      <c r="I29" s="223"/>
      <c r="J29" s="223"/>
      <c r="K29" s="223"/>
      <c r="L29" s="224"/>
      <c r="M29" s="220" t="s">
        <v>38</v>
      </c>
      <c r="N29" s="215"/>
      <c r="O29" s="215"/>
      <c r="P29" s="220" t="s">
        <v>118</v>
      </c>
      <c r="Q29" s="215"/>
      <c r="R29" s="215"/>
      <c r="S29" s="220">
        <v>22</v>
      </c>
      <c r="T29" s="215"/>
      <c r="U29" s="215"/>
      <c r="V29" s="244" t="s">
        <v>562</v>
      </c>
      <c r="W29" s="245"/>
      <c r="X29" s="245"/>
      <c r="Y29" s="245"/>
      <c r="Z29" s="245"/>
      <c r="AA29" s="246"/>
      <c r="AB29" s="237"/>
      <c r="AC29" s="238"/>
      <c r="AD29" s="238"/>
      <c r="AE29" s="238"/>
      <c r="AF29" s="238"/>
      <c r="AG29" s="238"/>
      <c r="AH29" s="238"/>
      <c r="AI29" s="238"/>
      <c r="AJ29" s="238"/>
      <c r="AK29" s="238"/>
      <c r="AL29" s="238"/>
      <c r="AM29" s="238"/>
      <c r="AN29" s="238"/>
      <c r="AO29" s="238"/>
      <c r="AP29" s="238"/>
      <c r="AQ29" s="239"/>
      <c r="AR29" s="231"/>
      <c r="AS29" s="232"/>
      <c r="AT29" s="232"/>
      <c r="AU29" s="232"/>
      <c r="AV29" s="232"/>
      <c r="AW29" s="233"/>
      <c r="AX29" s="225"/>
      <c r="AY29" s="226"/>
      <c r="AZ29" s="226"/>
      <c r="BA29" s="226"/>
      <c r="BB29" s="226"/>
      <c r="BC29" s="226"/>
      <c r="BD29" s="226"/>
      <c r="BE29" s="226"/>
      <c r="BF29" s="226"/>
      <c r="BG29" s="226"/>
      <c r="BH29" s="226"/>
      <c r="BI29" s="226"/>
      <c r="BJ29" s="226"/>
      <c r="BK29" s="226"/>
      <c r="BL29" s="226"/>
      <c r="BM29" s="226"/>
      <c r="BN29" s="226"/>
      <c r="BO29" s="226"/>
      <c r="BP29" s="226"/>
      <c r="BQ29" s="226"/>
      <c r="BR29" s="226"/>
      <c r="BS29" s="226"/>
      <c r="BT29" s="240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x14ac:dyDescent="0.45">
      <c r="A30" s="29"/>
      <c r="B30" s="44"/>
      <c r="C30"/>
      <c r="D30" s="37">
        <v>20</v>
      </c>
      <c r="E30" s="222" t="s">
        <v>103</v>
      </c>
      <c r="F30" s="223"/>
      <c r="G30" s="223"/>
      <c r="H30" s="223"/>
      <c r="I30" s="223"/>
      <c r="J30" s="223"/>
      <c r="K30" s="223"/>
      <c r="L30" s="224"/>
      <c r="M30" s="220" t="s">
        <v>47</v>
      </c>
      <c r="N30" s="215"/>
      <c r="O30" s="215"/>
      <c r="P30" s="220" t="s">
        <v>117</v>
      </c>
      <c r="Q30" s="215"/>
      <c r="R30" s="215"/>
      <c r="S30" s="220">
        <v>17</v>
      </c>
      <c r="T30" s="215"/>
      <c r="U30" s="215"/>
      <c r="V30" s="244" t="s">
        <v>563</v>
      </c>
      <c r="W30" s="245"/>
      <c r="X30" s="245"/>
      <c r="Y30" s="245"/>
      <c r="Z30" s="245"/>
      <c r="AA30" s="246"/>
      <c r="AB30" s="237"/>
      <c r="AC30" s="238"/>
      <c r="AD30" s="238"/>
      <c r="AE30" s="238"/>
      <c r="AF30" s="238"/>
      <c r="AG30" s="238"/>
      <c r="AH30" s="238"/>
      <c r="AI30" s="238"/>
      <c r="AJ30" s="238"/>
      <c r="AK30" s="238"/>
      <c r="AL30" s="238"/>
      <c r="AM30" s="238"/>
      <c r="AN30" s="238"/>
      <c r="AO30" s="238"/>
      <c r="AP30" s="238"/>
      <c r="AQ30" s="239"/>
      <c r="AR30" s="231"/>
      <c r="AS30" s="232"/>
      <c r="AT30" s="232"/>
      <c r="AU30" s="232"/>
      <c r="AV30" s="232"/>
      <c r="AW30" s="233"/>
      <c r="AX30" s="225"/>
      <c r="AY30" s="226"/>
      <c r="AZ30" s="226"/>
      <c r="BA30" s="226"/>
      <c r="BB30" s="226"/>
      <c r="BC30" s="226"/>
      <c r="BD30" s="226"/>
      <c r="BE30" s="226"/>
      <c r="BF30" s="226"/>
      <c r="BG30" s="226"/>
      <c r="BH30" s="226"/>
      <c r="BI30" s="226"/>
      <c r="BJ30" s="226"/>
      <c r="BK30" s="226"/>
      <c r="BL30" s="226"/>
      <c r="BM30" s="226"/>
      <c r="BN30" s="226"/>
      <c r="BO30" s="226"/>
      <c r="BP30" s="226"/>
      <c r="BQ30" s="226"/>
      <c r="BR30" s="226"/>
      <c r="BS30" s="226"/>
      <c r="BT30" s="240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s="5" customFormat="1" ht="20.100000000000001" customHeight="1" x14ac:dyDescent="0.45">
      <c r="A31" s="30"/>
      <c r="B31" s="44"/>
      <c r="C31" s="32"/>
      <c r="D31" s="37">
        <v>21</v>
      </c>
      <c r="E31" s="222" t="s">
        <v>104</v>
      </c>
      <c r="F31" s="223"/>
      <c r="G31" s="223"/>
      <c r="H31" s="223"/>
      <c r="I31" s="223"/>
      <c r="J31" s="223"/>
      <c r="K31" s="223"/>
      <c r="L31" s="224"/>
      <c r="M31" s="220" t="s">
        <v>47</v>
      </c>
      <c r="N31" s="215"/>
      <c r="O31" s="215"/>
      <c r="P31" s="220" t="s">
        <v>117</v>
      </c>
      <c r="Q31" s="215"/>
      <c r="R31" s="215"/>
      <c r="S31" s="220">
        <v>16</v>
      </c>
      <c r="T31" s="215"/>
      <c r="U31" s="215"/>
      <c r="V31" s="244" t="s">
        <v>564</v>
      </c>
      <c r="W31" s="245"/>
      <c r="X31" s="245"/>
      <c r="Y31" s="245"/>
      <c r="Z31" s="245"/>
      <c r="AA31" s="246"/>
      <c r="AB31" s="237"/>
      <c r="AC31" s="238"/>
      <c r="AD31" s="238"/>
      <c r="AE31" s="238"/>
      <c r="AF31" s="238"/>
      <c r="AG31" s="238"/>
      <c r="AH31" s="238"/>
      <c r="AI31" s="238"/>
      <c r="AJ31" s="238"/>
      <c r="AK31" s="238"/>
      <c r="AL31" s="238"/>
      <c r="AM31" s="238"/>
      <c r="AN31" s="238"/>
      <c r="AO31" s="238"/>
      <c r="AP31" s="238"/>
      <c r="AQ31" s="239"/>
      <c r="AR31" s="231"/>
      <c r="AS31" s="232"/>
      <c r="AT31" s="232"/>
      <c r="AU31" s="232"/>
      <c r="AV31" s="232"/>
      <c r="AW31" s="233"/>
      <c r="AX31" s="234"/>
      <c r="AY31" s="235"/>
      <c r="AZ31" s="235"/>
      <c r="BA31" s="235"/>
      <c r="BB31" s="235"/>
      <c r="BC31" s="235"/>
      <c r="BD31" s="235"/>
      <c r="BE31" s="235"/>
      <c r="BF31" s="235"/>
      <c r="BG31" s="235"/>
      <c r="BH31" s="235"/>
      <c r="BI31" s="235"/>
      <c r="BJ31" s="235"/>
      <c r="BK31" s="235"/>
      <c r="BL31" s="235"/>
      <c r="BM31" s="235"/>
      <c r="BN31" s="235"/>
      <c r="BO31" s="235"/>
      <c r="BP31" s="235"/>
      <c r="BQ31" s="235"/>
      <c r="BR31" s="235"/>
      <c r="BS31" s="235"/>
      <c r="BT31" s="236"/>
      <c r="BU31" s="41"/>
      <c r="BV31" s="40"/>
      <c r="BW31" s="41"/>
      <c r="BX31" s="41"/>
      <c r="BY31" s="41"/>
      <c r="BZ31" s="41"/>
      <c r="CA31" s="41"/>
      <c r="CB31" s="30"/>
      <c r="CC31" s="30"/>
      <c r="CD31" s="30"/>
      <c r="CE31" s="30"/>
      <c r="CF31" s="30"/>
      <c r="CG31" s="30"/>
    </row>
    <row r="32" spans="1:85" s="5" customFormat="1" ht="20.100000000000001" customHeight="1" x14ac:dyDescent="0.45">
      <c r="A32" s="30"/>
      <c r="B32" s="44"/>
      <c r="C32" s="32"/>
      <c r="D32" s="37">
        <v>22</v>
      </c>
      <c r="E32" s="264" t="s">
        <v>133</v>
      </c>
      <c r="F32" s="265"/>
      <c r="G32" s="265"/>
      <c r="H32" s="265"/>
      <c r="I32" s="265"/>
      <c r="J32" s="265"/>
      <c r="K32" s="265"/>
      <c r="L32" s="266"/>
      <c r="M32" s="267" t="s">
        <v>38</v>
      </c>
      <c r="N32" s="268"/>
      <c r="O32" s="269"/>
      <c r="P32" s="220" t="s">
        <v>118</v>
      </c>
      <c r="Q32" s="215"/>
      <c r="R32" s="215"/>
      <c r="S32" s="220">
        <v>22</v>
      </c>
      <c r="T32" s="215"/>
      <c r="U32" s="215"/>
      <c r="V32" s="237" t="s">
        <v>565</v>
      </c>
      <c r="W32" s="238"/>
      <c r="X32" s="238"/>
      <c r="Y32" s="238"/>
      <c r="Z32" s="238"/>
      <c r="AA32" s="239"/>
      <c r="AB32" s="237"/>
      <c r="AC32" s="238"/>
      <c r="AD32" s="238"/>
      <c r="AE32" s="238"/>
      <c r="AF32" s="238"/>
      <c r="AG32" s="238"/>
      <c r="AH32" s="238"/>
      <c r="AI32" s="238"/>
      <c r="AJ32" s="238"/>
      <c r="AK32" s="238"/>
      <c r="AL32" s="238"/>
      <c r="AM32" s="238"/>
      <c r="AN32" s="238"/>
      <c r="AO32" s="238"/>
      <c r="AP32" s="238"/>
      <c r="AQ32" s="239"/>
      <c r="AR32" s="250"/>
      <c r="AS32" s="251"/>
      <c r="AT32" s="251"/>
      <c r="AU32" s="251"/>
      <c r="AV32" s="251"/>
      <c r="AW32" s="252"/>
      <c r="AX32" s="225"/>
      <c r="AY32" s="226"/>
      <c r="AZ32" s="226"/>
      <c r="BA32" s="226"/>
      <c r="BB32" s="226"/>
      <c r="BC32" s="226"/>
      <c r="BD32" s="226"/>
      <c r="BE32" s="226"/>
      <c r="BF32" s="226"/>
      <c r="BG32" s="226"/>
      <c r="BH32" s="226"/>
      <c r="BI32" s="226"/>
      <c r="BJ32" s="226"/>
      <c r="BK32" s="226"/>
      <c r="BL32" s="226"/>
      <c r="BM32" s="226"/>
      <c r="BN32" s="226"/>
      <c r="BO32" s="226"/>
      <c r="BP32" s="226"/>
      <c r="BQ32" s="226"/>
      <c r="BR32" s="226"/>
      <c r="BS32" s="226"/>
      <c r="BT32" s="240"/>
      <c r="BU32" s="41"/>
      <c r="BV32" s="40"/>
      <c r="BW32" s="41"/>
      <c r="BX32" s="41"/>
      <c r="BY32" s="41"/>
      <c r="BZ32" s="41"/>
      <c r="CA32" s="41"/>
      <c r="CB32" s="30"/>
      <c r="CC32" s="30"/>
      <c r="CD32" s="30"/>
      <c r="CE32" s="30"/>
      <c r="CF32" s="30"/>
      <c r="CG32" s="30"/>
    </row>
    <row r="33" spans="1:85" s="5" customFormat="1" ht="20.100000000000001" customHeight="1" x14ac:dyDescent="0.45">
      <c r="A33" s="30"/>
      <c r="B33" s="44"/>
      <c r="C33" s="36"/>
      <c r="D33" s="37">
        <v>23</v>
      </c>
      <c r="E33" s="264" t="s">
        <v>105</v>
      </c>
      <c r="F33" s="265"/>
      <c r="G33" s="265"/>
      <c r="H33" s="265"/>
      <c r="I33" s="265"/>
      <c r="J33" s="265"/>
      <c r="K33" s="265"/>
      <c r="L33" s="266"/>
      <c r="M33" s="267" t="s">
        <v>38</v>
      </c>
      <c r="N33" s="268"/>
      <c r="O33" s="269"/>
      <c r="P33" s="220" t="s">
        <v>118</v>
      </c>
      <c r="Q33" s="215"/>
      <c r="R33" s="215"/>
      <c r="S33" s="267">
        <v>22</v>
      </c>
      <c r="T33" s="268"/>
      <c r="U33" s="268"/>
      <c r="V33" s="247" t="s">
        <v>566</v>
      </c>
      <c r="W33" s="248"/>
      <c r="X33" s="248"/>
      <c r="Y33" s="248"/>
      <c r="Z33" s="248"/>
      <c r="AA33" s="249"/>
      <c r="AB33" s="247" t="s">
        <v>567</v>
      </c>
      <c r="AC33" s="248"/>
      <c r="AD33" s="248"/>
      <c r="AE33" s="248"/>
      <c r="AF33" s="248"/>
      <c r="AG33" s="248"/>
      <c r="AH33" s="248"/>
      <c r="AI33" s="248"/>
      <c r="AJ33" s="248"/>
      <c r="AK33" s="248"/>
      <c r="AL33" s="248"/>
      <c r="AM33" s="248"/>
      <c r="AN33" s="248"/>
      <c r="AO33" s="248"/>
      <c r="AP33" s="248"/>
      <c r="AQ33" s="249"/>
      <c r="AR33" s="250" t="s">
        <v>129</v>
      </c>
      <c r="AS33" s="251"/>
      <c r="AT33" s="251"/>
      <c r="AU33" s="251"/>
      <c r="AV33" s="251"/>
      <c r="AW33" s="252"/>
      <c r="AX33" s="225"/>
      <c r="AY33" s="226"/>
      <c r="AZ33" s="226"/>
      <c r="BA33" s="226"/>
      <c r="BB33" s="226"/>
      <c r="BC33" s="226"/>
      <c r="BD33" s="226"/>
      <c r="BE33" s="226"/>
      <c r="BF33" s="226"/>
      <c r="BG33" s="226"/>
      <c r="BH33" s="226"/>
      <c r="BI33" s="226"/>
      <c r="BJ33" s="226"/>
      <c r="BK33" s="226"/>
      <c r="BL33" s="226"/>
      <c r="BM33" s="226"/>
      <c r="BN33" s="226"/>
      <c r="BO33" s="226"/>
      <c r="BP33" s="226"/>
      <c r="BQ33" s="226"/>
      <c r="BR33" s="226"/>
      <c r="BS33" s="226"/>
      <c r="BT33" s="240"/>
      <c r="BU33" s="41"/>
      <c r="BV33" s="40"/>
      <c r="BW33" s="41"/>
      <c r="BX33" s="41"/>
      <c r="BY33" s="41"/>
      <c r="BZ33" s="41"/>
      <c r="CA33" s="41"/>
      <c r="CB33" s="41"/>
      <c r="CC33" s="30"/>
      <c r="CD33" s="30"/>
      <c r="CE33" s="30"/>
      <c r="CF33" s="30"/>
      <c r="CG33" s="30"/>
    </row>
    <row r="34" spans="1:85" s="5" customFormat="1" ht="20.100000000000001" customHeight="1" x14ac:dyDescent="0.45">
      <c r="A34" s="30"/>
      <c r="B34" s="44"/>
      <c r="C34" s="36"/>
      <c r="D34" s="37">
        <v>24</v>
      </c>
      <c r="E34" s="222" t="s">
        <v>106</v>
      </c>
      <c r="F34" s="223"/>
      <c r="G34" s="223"/>
      <c r="H34" s="223"/>
      <c r="I34" s="223"/>
      <c r="J34" s="223"/>
      <c r="K34" s="223"/>
      <c r="L34" s="224"/>
      <c r="M34" s="220" t="s">
        <v>38</v>
      </c>
      <c r="N34" s="215"/>
      <c r="O34" s="215"/>
      <c r="P34" s="220" t="s">
        <v>117</v>
      </c>
      <c r="Q34" s="215"/>
      <c r="R34" s="215"/>
      <c r="S34" s="220">
        <v>45</v>
      </c>
      <c r="T34" s="215"/>
      <c r="U34" s="215"/>
      <c r="V34" s="237" t="s">
        <v>565</v>
      </c>
      <c r="W34" s="238"/>
      <c r="X34" s="238"/>
      <c r="Y34" s="238"/>
      <c r="Z34" s="238"/>
      <c r="AA34" s="239"/>
      <c r="AB34" s="237"/>
      <c r="AC34" s="238"/>
      <c r="AD34" s="238"/>
      <c r="AE34" s="238"/>
      <c r="AF34" s="238"/>
      <c r="AG34" s="238"/>
      <c r="AH34" s="238"/>
      <c r="AI34" s="238"/>
      <c r="AJ34" s="238"/>
      <c r="AK34" s="238"/>
      <c r="AL34" s="238"/>
      <c r="AM34" s="238"/>
      <c r="AN34" s="238"/>
      <c r="AO34" s="238"/>
      <c r="AP34" s="238"/>
      <c r="AQ34" s="239"/>
      <c r="AR34" s="231"/>
      <c r="AS34" s="232"/>
      <c r="AT34" s="232"/>
      <c r="AU34" s="232"/>
      <c r="AV34" s="232"/>
      <c r="AW34" s="233"/>
      <c r="AX34" s="225" t="s">
        <v>130</v>
      </c>
      <c r="AY34" s="226"/>
      <c r="AZ34" s="226"/>
      <c r="BA34" s="226"/>
      <c r="BB34" s="226"/>
      <c r="BC34" s="226"/>
      <c r="BD34" s="226"/>
      <c r="BE34" s="226"/>
      <c r="BF34" s="226"/>
      <c r="BG34" s="226"/>
      <c r="BH34" s="226"/>
      <c r="BI34" s="226"/>
      <c r="BJ34" s="226"/>
      <c r="BK34" s="226"/>
      <c r="BL34" s="226"/>
      <c r="BM34" s="226"/>
      <c r="BN34" s="226"/>
      <c r="BO34" s="226"/>
      <c r="BP34" s="226"/>
      <c r="BQ34" s="226"/>
      <c r="BR34" s="226"/>
      <c r="BS34" s="226"/>
      <c r="BT34" s="240"/>
      <c r="BU34" s="41"/>
      <c r="BV34" s="40"/>
      <c r="BW34" s="41"/>
      <c r="BX34" s="41"/>
      <c r="BY34" s="41"/>
      <c r="BZ34" s="41"/>
      <c r="CA34" s="41"/>
      <c r="CB34" s="41"/>
      <c r="CC34" s="30"/>
      <c r="CD34" s="30"/>
      <c r="CE34" s="30"/>
      <c r="CF34" s="30"/>
      <c r="CG34" s="30"/>
    </row>
    <row r="35" spans="1:85" s="5" customFormat="1" ht="20.100000000000001" customHeight="1" x14ac:dyDescent="0.45">
      <c r="A35" s="30"/>
      <c r="B35" s="44"/>
      <c r="C35" s="30"/>
      <c r="D35" s="37">
        <v>25</v>
      </c>
      <c r="E35" s="222" t="s">
        <v>131</v>
      </c>
      <c r="F35" s="223"/>
      <c r="G35" s="223"/>
      <c r="H35" s="223"/>
      <c r="I35" s="223"/>
      <c r="J35" s="223"/>
      <c r="K35" s="223"/>
      <c r="L35" s="224"/>
      <c r="M35" s="220" t="s">
        <v>38</v>
      </c>
      <c r="N35" s="215"/>
      <c r="O35" s="215"/>
      <c r="P35" s="220" t="s">
        <v>118</v>
      </c>
      <c r="Q35" s="215"/>
      <c r="R35" s="215"/>
      <c r="S35" s="220">
        <v>7</v>
      </c>
      <c r="T35" s="215"/>
      <c r="U35" s="215"/>
      <c r="V35" s="237" t="s">
        <v>569</v>
      </c>
      <c r="W35" s="238"/>
      <c r="X35" s="238"/>
      <c r="Y35" s="238"/>
      <c r="Z35" s="238"/>
      <c r="AA35" s="239"/>
      <c r="AB35" s="237"/>
      <c r="AC35" s="238"/>
      <c r="AD35" s="238"/>
      <c r="AE35" s="238"/>
      <c r="AF35" s="238"/>
      <c r="AG35" s="238"/>
      <c r="AH35" s="238"/>
      <c r="AI35" s="238"/>
      <c r="AJ35" s="238"/>
      <c r="AK35" s="238"/>
      <c r="AL35" s="238"/>
      <c r="AM35" s="238"/>
      <c r="AN35" s="238"/>
      <c r="AO35" s="238"/>
      <c r="AP35" s="238"/>
      <c r="AQ35" s="239"/>
      <c r="AR35" s="231"/>
      <c r="AS35" s="232"/>
      <c r="AT35" s="232"/>
      <c r="AU35" s="232"/>
      <c r="AV35" s="232"/>
      <c r="AW35" s="233"/>
      <c r="AX35" s="225"/>
      <c r="AY35" s="226"/>
      <c r="AZ35" s="226"/>
      <c r="BA35" s="226"/>
      <c r="BB35" s="226"/>
      <c r="BC35" s="226"/>
      <c r="BD35" s="226"/>
      <c r="BE35" s="226"/>
      <c r="BF35" s="226"/>
      <c r="BG35" s="226"/>
      <c r="BH35" s="226"/>
      <c r="BI35" s="226"/>
      <c r="BJ35" s="226"/>
      <c r="BK35" s="226"/>
      <c r="BL35" s="226"/>
      <c r="BM35" s="226"/>
      <c r="BN35" s="226"/>
      <c r="BO35" s="226"/>
      <c r="BP35" s="226"/>
      <c r="BQ35" s="226"/>
      <c r="BR35" s="226"/>
      <c r="BS35" s="226"/>
      <c r="BT35" s="240"/>
      <c r="BU35" s="41"/>
      <c r="BV35" s="40"/>
      <c r="BW35" s="41"/>
      <c r="BX35" s="41"/>
      <c r="BY35" s="41"/>
      <c r="BZ35" s="41"/>
      <c r="CA35" s="41"/>
      <c r="CB35" s="41"/>
      <c r="CC35" s="30"/>
      <c r="CD35" s="30"/>
      <c r="CE35" s="30"/>
      <c r="CF35" s="30"/>
      <c r="CG35" s="30"/>
    </row>
    <row r="36" spans="1:85" s="5" customFormat="1" ht="20.100000000000001" customHeight="1" x14ac:dyDescent="0.45">
      <c r="A36" s="30"/>
      <c r="B36" s="44"/>
      <c r="C36" s="29"/>
      <c r="D36" s="37">
        <v>26</v>
      </c>
      <c r="E36" s="222" t="s">
        <v>107</v>
      </c>
      <c r="F36" s="223"/>
      <c r="G36" s="223"/>
      <c r="H36" s="223"/>
      <c r="I36" s="223"/>
      <c r="J36" s="223"/>
      <c r="K36" s="223"/>
      <c r="L36" s="224"/>
      <c r="M36" s="220" t="s">
        <v>47</v>
      </c>
      <c r="N36" s="215"/>
      <c r="O36" s="215"/>
      <c r="P36" s="220" t="s">
        <v>117</v>
      </c>
      <c r="Q36" s="215"/>
      <c r="R36" s="215"/>
      <c r="S36" s="220">
        <v>3</v>
      </c>
      <c r="T36" s="215"/>
      <c r="U36" s="215"/>
      <c r="V36" s="237" t="s">
        <v>570</v>
      </c>
      <c r="W36" s="238"/>
      <c r="X36" s="238"/>
      <c r="Y36" s="238"/>
      <c r="Z36" s="238"/>
      <c r="AA36" s="239"/>
      <c r="AB36" s="237" t="s">
        <v>571</v>
      </c>
      <c r="AC36" s="238"/>
      <c r="AD36" s="238"/>
      <c r="AE36" s="238"/>
      <c r="AF36" s="238"/>
      <c r="AG36" s="238"/>
      <c r="AH36" s="238"/>
      <c r="AI36" s="238"/>
      <c r="AJ36" s="238"/>
      <c r="AK36" s="238"/>
      <c r="AL36" s="238"/>
      <c r="AM36" s="238"/>
      <c r="AN36" s="238"/>
      <c r="AO36" s="238"/>
      <c r="AP36" s="238"/>
      <c r="AQ36" s="239"/>
      <c r="AR36" s="231"/>
      <c r="AS36" s="232"/>
      <c r="AT36" s="232"/>
      <c r="AU36" s="232"/>
      <c r="AV36" s="232"/>
      <c r="AW36" s="233"/>
      <c r="AX36" s="225"/>
      <c r="AY36" s="226"/>
      <c r="AZ36" s="226"/>
      <c r="BA36" s="226"/>
      <c r="BB36" s="226"/>
      <c r="BC36" s="226"/>
      <c r="BD36" s="226"/>
      <c r="BE36" s="226"/>
      <c r="BF36" s="226"/>
      <c r="BG36" s="226"/>
      <c r="BH36" s="226"/>
      <c r="BI36" s="226"/>
      <c r="BJ36" s="226"/>
      <c r="BK36" s="226"/>
      <c r="BL36" s="226"/>
      <c r="BM36" s="226"/>
      <c r="BN36" s="226"/>
      <c r="BO36" s="226"/>
      <c r="BP36" s="226"/>
      <c r="BQ36" s="226"/>
      <c r="BR36" s="226"/>
      <c r="BS36" s="226"/>
      <c r="BT36" s="240"/>
      <c r="BU36" s="41"/>
      <c r="BV36" s="40"/>
      <c r="BW36" s="41"/>
      <c r="BX36" s="41"/>
      <c r="BY36" s="41"/>
      <c r="BZ36" s="41"/>
      <c r="CA36" s="41"/>
      <c r="CB36" s="41"/>
      <c r="CC36" s="30"/>
      <c r="CD36" s="30"/>
      <c r="CE36" s="30"/>
      <c r="CF36" s="30"/>
      <c r="CG36" s="30"/>
    </row>
    <row r="37" spans="1:85" s="5" customFormat="1" ht="38.4" customHeight="1" x14ac:dyDescent="0.45">
      <c r="A37" s="29"/>
      <c r="B37" s="35"/>
      <c r="C37" s="29"/>
      <c r="D37" s="37">
        <v>27</v>
      </c>
      <c r="E37" s="222" t="s">
        <v>46</v>
      </c>
      <c r="F37" s="223"/>
      <c r="G37" s="223"/>
      <c r="H37" s="223"/>
      <c r="I37" s="223"/>
      <c r="J37" s="223"/>
      <c r="K37" s="223"/>
      <c r="L37" s="224"/>
      <c r="M37" s="220" t="s">
        <v>38</v>
      </c>
      <c r="N37" s="215"/>
      <c r="O37" s="215"/>
      <c r="P37" s="220" t="s">
        <v>117</v>
      </c>
      <c r="Q37" s="215"/>
      <c r="R37" s="215"/>
      <c r="S37" s="220">
        <v>3</v>
      </c>
      <c r="T37" s="215"/>
      <c r="U37" s="215"/>
      <c r="V37" s="237" t="s">
        <v>635</v>
      </c>
      <c r="W37" s="238"/>
      <c r="X37" s="238"/>
      <c r="Y37" s="238"/>
      <c r="Z37" s="238"/>
      <c r="AA37" s="239"/>
      <c r="AB37" s="237" t="s">
        <v>634</v>
      </c>
      <c r="AC37" s="238"/>
      <c r="AD37" s="238"/>
      <c r="AE37" s="238"/>
      <c r="AF37" s="238"/>
      <c r="AG37" s="238"/>
      <c r="AH37" s="238"/>
      <c r="AI37" s="238"/>
      <c r="AJ37" s="238"/>
      <c r="AK37" s="238"/>
      <c r="AL37" s="238"/>
      <c r="AM37" s="238"/>
      <c r="AN37" s="238"/>
      <c r="AO37" s="238"/>
      <c r="AP37" s="238"/>
      <c r="AQ37" s="239"/>
      <c r="AR37" s="231"/>
      <c r="AS37" s="232"/>
      <c r="AT37" s="232"/>
      <c r="AU37" s="232"/>
      <c r="AV37" s="232"/>
      <c r="AW37" s="233"/>
      <c r="AX37" s="241" t="s">
        <v>632</v>
      </c>
      <c r="AY37" s="242"/>
      <c r="AZ37" s="242"/>
      <c r="BA37" s="242"/>
      <c r="BB37" s="242"/>
      <c r="BC37" s="242"/>
      <c r="BD37" s="242"/>
      <c r="BE37" s="242"/>
      <c r="BF37" s="242"/>
      <c r="BG37" s="242"/>
      <c r="BH37" s="242"/>
      <c r="BI37" s="242"/>
      <c r="BJ37" s="242"/>
      <c r="BK37" s="242"/>
      <c r="BL37" s="242"/>
      <c r="BM37" s="242"/>
      <c r="BN37" s="242"/>
      <c r="BO37" s="242"/>
      <c r="BP37" s="242"/>
      <c r="BQ37" s="242"/>
      <c r="BR37" s="242"/>
      <c r="BS37" s="242"/>
      <c r="BT37" s="243"/>
      <c r="BU37" s="29"/>
      <c r="BV37" s="40"/>
      <c r="BW37" s="41"/>
      <c r="BX37" s="41"/>
      <c r="BY37" s="41"/>
      <c r="BZ37" s="41"/>
      <c r="CA37" s="41"/>
      <c r="CB37" s="41"/>
      <c r="CC37" s="41"/>
      <c r="CD37" s="41"/>
      <c r="CE37" s="41"/>
      <c r="CF37" s="31"/>
      <c r="CG37" s="31"/>
    </row>
    <row r="38" spans="1:85" s="5" customFormat="1" ht="38.4" customHeight="1" x14ac:dyDescent="0.45">
      <c r="A38" s="29"/>
      <c r="B38" s="35"/>
      <c r="C38" s="29"/>
      <c r="D38" s="37">
        <v>28</v>
      </c>
      <c r="E38" s="222" t="s">
        <v>108</v>
      </c>
      <c r="F38" s="223"/>
      <c r="G38" s="223"/>
      <c r="H38" s="223"/>
      <c r="I38" s="223"/>
      <c r="J38" s="223"/>
      <c r="K38" s="223"/>
      <c r="L38" s="224"/>
      <c r="M38" s="220" t="s">
        <v>38</v>
      </c>
      <c r="N38" s="215"/>
      <c r="O38" s="215"/>
      <c r="P38" s="220" t="s">
        <v>118</v>
      </c>
      <c r="Q38" s="215"/>
      <c r="R38" s="215"/>
      <c r="S38" s="220">
        <v>18</v>
      </c>
      <c r="T38" s="215"/>
      <c r="U38" s="215"/>
      <c r="V38" s="237" t="s">
        <v>636</v>
      </c>
      <c r="W38" s="238"/>
      <c r="X38" s="238"/>
      <c r="Y38" s="238"/>
      <c r="Z38" s="238"/>
      <c r="AA38" s="239"/>
      <c r="AB38" s="237" t="s">
        <v>633</v>
      </c>
      <c r="AC38" s="238"/>
      <c r="AD38" s="238"/>
      <c r="AE38" s="238"/>
      <c r="AF38" s="238"/>
      <c r="AG38" s="238"/>
      <c r="AH38" s="238"/>
      <c r="AI38" s="238"/>
      <c r="AJ38" s="238"/>
      <c r="AK38" s="238"/>
      <c r="AL38" s="238"/>
      <c r="AM38" s="238"/>
      <c r="AN38" s="238"/>
      <c r="AO38" s="238"/>
      <c r="AP38" s="238"/>
      <c r="AQ38" s="239"/>
      <c r="AR38" s="231"/>
      <c r="AS38" s="232"/>
      <c r="AT38" s="232"/>
      <c r="AU38" s="232"/>
      <c r="AV38" s="232"/>
      <c r="AW38" s="233"/>
      <c r="AX38" s="241" t="s">
        <v>632</v>
      </c>
      <c r="AY38" s="242"/>
      <c r="AZ38" s="242"/>
      <c r="BA38" s="242"/>
      <c r="BB38" s="242"/>
      <c r="BC38" s="242"/>
      <c r="BD38" s="242"/>
      <c r="BE38" s="242"/>
      <c r="BF38" s="242"/>
      <c r="BG38" s="242"/>
      <c r="BH38" s="242"/>
      <c r="BI38" s="242"/>
      <c r="BJ38" s="242"/>
      <c r="BK38" s="242"/>
      <c r="BL38" s="242"/>
      <c r="BM38" s="242"/>
      <c r="BN38" s="242"/>
      <c r="BO38" s="242"/>
      <c r="BP38" s="242"/>
      <c r="BQ38" s="242"/>
      <c r="BR38" s="242"/>
      <c r="BS38" s="242"/>
      <c r="BT38" s="243"/>
      <c r="BU38" s="41"/>
      <c r="BV38" s="40"/>
      <c r="BW38" s="41"/>
      <c r="BX38" s="41"/>
      <c r="BY38" s="41"/>
      <c r="BZ38" s="41"/>
      <c r="CA38" s="41"/>
      <c r="CB38" s="41"/>
      <c r="CC38" s="41"/>
      <c r="CD38" s="41"/>
      <c r="CE38" s="41"/>
      <c r="CF38" s="41"/>
      <c r="CG38" s="41"/>
    </row>
    <row r="39" spans="1:85" s="5" customFormat="1" ht="25.8" customHeight="1" x14ac:dyDescent="0.45">
      <c r="A39" s="29"/>
      <c r="B39" s="35"/>
      <c r="C39" s="29"/>
      <c r="D39" s="37">
        <v>29</v>
      </c>
      <c r="E39" s="222" t="s">
        <v>109</v>
      </c>
      <c r="F39" s="223"/>
      <c r="G39" s="223"/>
      <c r="H39" s="223"/>
      <c r="I39" s="223"/>
      <c r="J39" s="223"/>
      <c r="K39" s="223"/>
      <c r="L39" s="224"/>
      <c r="M39" s="220" t="s">
        <v>38</v>
      </c>
      <c r="N39" s="215"/>
      <c r="O39" s="215"/>
      <c r="P39" s="220" t="s">
        <v>118</v>
      </c>
      <c r="Q39" s="215"/>
      <c r="R39" s="215"/>
      <c r="S39" s="220">
        <v>5</v>
      </c>
      <c r="T39" s="215"/>
      <c r="U39" s="215"/>
      <c r="V39" s="237" t="s">
        <v>572</v>
      </c>
      <c r="W39" s="238"/>
      <c r="X39" s="238"/>
      <c r="Y39" s="238"/>
      <c r="Z39" s="238"/>
      <c r="AA39" s="239"/>
      <c r="AB39" s="237"/>
      <c r="AC39" s="238"/>
      <c r="AD39" s="238"/>
      <c r="AE39" s="238"/>
      <c r="AF39" s="238"/>
      <c r="AG39" s="238"/>
      <c r="AH39" s="238"/>
      <c r="AI39" s="238"/>
      <c r="AJ39" s="238"/>
      <c r="AK39" s="238"/>
      <c r="AL39" s="238"/>
      <c r="AM39" s="238"/>
      <c r="AN39" s="238"/>
      <c r="AO39" s="238"/>
      <c r="AP39" s="238"/>
      <c r="AQ39" s="239"/>
      <c r="AR39" s="231" t="s">
        <v>581</v>
      </c>
      <c r="AS39" s="232"/>
      <c r="AT39" s="232"/>
      <c r="AU39" s="232"/>
      <c r="AV39" s="232"/>
      <c r="AW39" s="233"/>
      <c r="AX39" s="225"/>
      <c r="AY39" s="226"/>
      <c r="AZ39" s="226"/>
      <c r="BA39" s="226"/>
      <c r="BB39" s="226"/>
      <c r="BC39" s="226"/>
      <c r="BD39" s="226"/>
      <c r="BE39" s="226"/>
      <c r="BF39" s="226"/>
      <c r="BG39" s="226"/>
      <c r="BH39" s="226"/>
      <c r="BI39" s="226"/>
      <c r="BJ39" s="226"/>
      <c r="BK39" s="226"/>
      <c r="BL39" s="226"/>
      <c r="BM39" s="226"/>
      <c r="BN39" s="226"/>
      <c r="BO39" s="226"/>
      <c r="BP39" s="226"/>
      <c r="BQ39" s="226"/>
      <c r="BR39" s="226"/>
      <c r="BS39" s="226"/>
      <c r="BT39" s="240"/>
      <c r="BU39" s="41"/>
      <c r="BV39" s="40"/>
      <c r="BW39" s="41"/>
      <c r="BX39" s="41"/>
      <c r="BY39" s="41"/>
      <c r="BZ39" s="41"/>
      <c r="CA39" s="41"/>
      <c r="CB39" s="41"/>
      <c r="CC39" s="41"/>
      <c r="CD39" s="41"/>
      <c r="CE39" s="41"/>
      <c r="CF39" s="41"/>
      <c r="CG39" s="41"/>
    </row>
    <row r="40" spans="1:85" s="5" customFormat="1" ht="20.100000000000001" customHeight="1" x14ac:dyDescent="0.45">
      <c r="A40" s="29"/>
      <c r="B40" s="35"/>
      <c r="C40" s="29"/>
      <c r="D40" s="37">
        <v>30</v>
      </c>
      <c r="E40" s="222" t="s">
        <v>110</v>
      </c>
      <c r="F40" s="223"/>
      <c r="G40" s="223"/>
      <c r="H40" s="223"/>
      <c r="I40" s="223"/>
      <c r="J40" s="223"/>
      <c r="K40" s="223"/>
      <c r="L40" s="224"/>
      <c r="M40" s="220" t="s">
        <v>38</v>
      </c>
      <c r="N40" s="215"/>
      <c r="O40" s="215"/>
      <c r="P40" s="220" t="s">
        <v>118</v>
      </c>
      <c r="Q40" s="215"/>
      <c r="R40" s="215"/>
      <c r="S40" s="220">
        <v>5</v>
      </c>
      <c r="T40" s="215"/>
      <c r="U40" s="215"/>
      <c r="V40" s="237" t="s">
        <v>573</v>
      </c>
      <c r="W40" s="238"/>
      <c r="X40" s="238"/>
      <c r="Y40" s="238"/>
      <c r="Z40" s="238"/>
      <c r="AA40" s="239"/>
      <c r="AB40" s="237"/>
      <c r="AC40" s="238"/>
      <c r="AD40" s="238"/>
      <c r="AE40" s="238"/>
      <c r="AF40" s="238"/>
      <c r="AG40" s="238"/>
      <c r="AH40" s="238"/>
      <c r="AI40" s="238"/>
      <c r="AJ40" s="238"/>
      <c r="AK40" s="238"/>
      <c r="AL40" s="238"/>
      <c r="AM40" s="238"/>
      <c r="AN40" s="238"/>
      <c r="AO40" s="238"/>
      <c r="AP40" s="238"/>
      <c r="AQ40" s="239"/>
      <c r="AR40" s="231"/>
      <c r="AS40" s="232"/>
      <c r="AT40" s="232"/>
      <c r="AU40" s="232"/>
      <c r="AV40" s="232"/>
      <c r="AW40" s="233"/>
      <c r="AX40" s="225"/>
      <c r="AY40" s="226"/>
      <c r="AZ40" s="226"/>
      <c r="BA40" s="226"/>
      <c r="BB40" s="226"/>
      <c r="BC40" s="226"/>
      <c r="BD40" s="226"/>
      <c r="BE40" s="226"/>
      <c r="BF40" s="226"/>
      <c r="BG40" s="226"/>
      <c r="BH40" s="226"/>
      <c r="BI40" s="226"/>
      <c r="BJ40" s="226"/>
      <c r="BK40" s="226"/>
      <c r="BL40" s="226"/>
      <c r="BM40" s="226"/>
      <c r="BN40" s="226"/>
      <c r="BO40" s="226"/>
      <c r="BP40" s="226"/>
      <c r="BQ40" s="226"/>
      <c r="BR40" s="226"/>
      <c r="BS40" s="226"/>
      <c r="BT40" s="240"/>
      <c r="BU40" s="41"/>
      <c r="BV40" s="40"/>
      <c r="BW40" s="41"/>
      <c r="BX40" s="41"/>
      <c r="BY40" s="41"/>
      <c r="BZ40" s="41"/>
      <c r="CA40" s="41"/>
      <c r="CB40" s="41"/>
      <c r="CC40" s="41"/>
      <c r="CD40" s="41"/>
      <c r="CE40" s="41"/>
      <c r="CF40" s="41"/>
      <c r="CG40" s="41"/>
    </row>
    <row r="41" spans="1:85" s="5" customFormat="1" ht="20.100000000000001" customHeight="1" x14ac:dyDescent="0.45">
      <c r="A41" s="29"/>
      <c r="B41" s="35"/>
      <c r="C41" s="29"/>
      <c r="D41" s="37">
        <v>31</v>
      </c>
      <c r="E41" s="222" t="s">
        <v>111</v>
      </c>
      <c r="F41" s="223"/>
      <c r="G41" s="223"/>
      <c r="H41" s="223"/>
      <c r="I41" s="223"/>
      <c r="J41" s="223"/>
      <c r="K41" s="223"/>
      <c r="L41" s="224"/>
      <c r="M41" s="220" t="s">
        <v>47</v>
      </c>
      <c r="N41" s="215"/>
      <c r="O41" s="215"/>
      <c r="P41" s="220" t="s">
        <v>117</v>
      </c>
      <c r="Q41" s="215"/>
      <c r="R41" s="215"/>
      <c r="S41" s="220">
        <v>8</v>
      </c>
      <c r="T41" s="215"/>
      <c r="U41" s="215"/>
      <c r="V41" s="237" t="s">
        <v>574</v>
      </c>
      <c r="W41" s="238"/>
      <c r="X41" s="238"/>
      <c r="Y41" s="238"/>
      <c r="Z41" s="238"/>
      <c r="AA41" s="239"/>
      <c r="AB41" s="237"/>
      <c r="AC41" s="238"/>
      <c r="AD41" s="238"/>
      <c r="AE41" s="238"/>
      <c r="AF41" s="238"/>
      <c r="AG41" s="238"/>
      <c r="AH41" s="238"/>
      <c r="AI41" s="238"/>
      <c r="AJ41" s="238"/>
      <c r="AK41" s="238"/>
      <c r="AL41" s="238"/>
      <c r="AM41" s="238"/>
      <c r="AN41" s="238"/>
      <c r="AO41" s="238"/>
      <c r="AP41" s="238"/>
      <c r="AQ41" s="239"/>
      <c r="AR41" s="231"/>
      <c r="AS41" s="232"/>
      <c r="AT41" s="232"/>
      <c r="AU41" s="232"/>
      <c r="AV41" s="232"/>
      <c r="AW41" s="233"/>
      <c r="AX41" s="225"/>
      <c r="AY41" s="226"/>
      <c r="AZ41" s="226"/>
      <c r="BA41" s="226"/>
      <c r="BB41" s="226"/>
      <c r="BC41" s="226"/>
      <c r="BD41" s="226"/>
      <c r="BE41" s="226"/>
      <c r="BF41" s="226"/>
      <c r="BG41" s="226"/>
      <c r="BH41" s="226"/>
      <c r="BI41" s="226"/>
      <c r="BJ41" s="226"/>
      <c r="BK41" s="226"/>
      <c r="BL41" s="226"/>
      <c r="BM41" s="226"/>
      <c r="BN41" s="226"/>
      <c r="BO41" s="226"/>
      <c r="BP41" s="226"/>
      <c r="BQ41" s="226"/>
      <c r="BR41" s="226"/>
      <c r="BS41" s="226"/>
      <c r="BT41" s="240"/>
      <c r="BU41" s="41"/>
      <c r="BV41" s="40"/>
      <c r="BW41" s="41"/>
      <c r="BX41" s="41"/>
      <c r="BY41" s="41"/>
      <c r="BZ41" s="41"/>
      <c r="CA41" s="41"/>
      <c r="CB41" s="41"/>
      <c r="CC41" s="41"/>
      <c r="CD41" s="41"/>
      <c r="CE41" s="41"/>
      <c r="CF41" s="41"/>
      <c r="CG41" s="41"/>
    </row>
    <row r="42" spans="1:85" s="5" customFormat="1" ht="70.8" customHeight="1" x14ac:dyDescent="0.45">
      <c r="A42" s="29"/>
      <c r="B42" s="35"/>
      <c r="C42" s="29"/>
      <c r="D42" s="37">
        <v>32</v>
      </c>
      <c r="E42" s="222" t="s">
        <v>112</v>
      </c>
      <c r="F42" s="223"/>
      <c r="G42" s="223"/>
      <c r="H42" s="223"/>
      <c r="I42" s="223"/>
      <c r="J42" s="223"/>
      <c r="K42" s="223"/>
      <c r="L42" s="224"/>
      <c r="M42" s="220" t="s">
        <v>47</v>
      </c>
      <c r="N42" s="215"/>
      <c r="O42" s="215"/>
      <c r="P42" s="220" t="s">
        <v>117</v>
      </c>
      <c r="Q42" s="215"/>
      <c r="R42" s="215"/>
      <c r="S42" s="220">
        <v>8</v>
      </c>
      <c r="T42" s="215"/>
      <c r="U42" s="215"/>
      <c r="V42" s="237" t="s">
        <v>575</v>
      </c>
      <c r="W42" s="238"/>
      <c r="X42" s="238"/>
      <c r="Y42" s="238"/>
      <c r="Z42" s="238"/>
      <c r="AA42" s="239"/>
      <c r="AB42" s="237" t="s">
        <v>576</v>
      </c>
      <c r="AC42" s="238"/>
      <c r="AD42" s="238"/>
      <c r="AE42" s="238"/>
      <c r="AF42" s="238"/>
      <c r="AG42" s="238"/>
      <c r="AH42" s="238"/>
      <c r="AI42" s="238"/>
      <c r="AJ42" s="238"/>
      <c r="AK42" s="238"/>
      <c r="AL42" s="238"/>
      <c r="AM42" s="238"/>
      <c r="AN42" s="238"/>
      <c r="AO42" s="238"/>
      <c r="AP42" s="238"/>
      <c r="AQ42" s="239"/>
      <c r="AR42" s="231"/>
      <c r="AS42" s="232"/>
      <c r="AT42" s="232"/>
      <c r="AU42" s="232"/>
      <c r="AV42" s="232"/>
      <c r="AW42" s="233"/>
      <c r="AX42" s="225"/>
      <c r="AY42" s="226"/>
      <c r="AZ42" s="226"/>
      <c r="BA42" s="226"/>
      <c r="BB42" s="226"/>
      <c r="BC42" s="226"/>
      <c r="BD42" s="226"/>
      <c r="BE42" s="226"/>
      <c r="BF42" s="226"/>
      <c r="BG42" s="226"/>
      <c r="BH42" s="226"/>
      <c r="BI42" s="226"/>
      <c r="BJ42" s="226"/>
      <c r="BK42" s="226"/>
      <c r="BL42" s="226"/>
      <c r="BM42" s="226"/>
      <c r="BN42" s="226"/>
      <c r="BO42" s="226"/>
      <c r="BP42" s="226"/>
      <c r="BQ42" s="226"/>
      <c r="BR42" s="226"/>
      <c r="BS42" s="226"/>
      <c r="BT42" s="240"/>
      <c r="BU42" s="41"/>
      <c r="BV42" s="40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</row>
    <row r="43" spans="1:85" s="5" customFormat="1" ht="70.8" customHeight="1" x14ac:dyDescent="0.45">
      <c r="A43" s="29"/>
      <c r="B43" s="35"/>
      <c r="C43" s="29"/>
      <c r="D43" s="37">
        <v>33</v>
      </c>
      <c r="E43" s="222" t="s">
        <v>113</v>
      </c>
      <c r="F43" s="223"/>
      <c r="G43" s="223"/>
      <c r="H43" s="223"/>
      <c r="I43" s="223"/>
      <c r="J43" s="223"/>
      <c r="K43" s="223"/>
      <c r="L43" s="224"/>
      <c r="M43" s="220" t="s">
        <v>47</v>
      </c>
      <c r="N43" s="215"/>
      <c r="O43" s="215"/>
      <c r="P43" s="220" t="s">
        <v>117</v>
      </c>
      <c r="Q43" s="215"/>
      <c r="R43" s="215"/>
      <c r="S43" s="220">
        <v>8</v>
      </c>
      <c r="T43" s="215"/>
      <c r="U43" s="215"/>
      <c r="V43" s="237" t="s">
        <v>577</v>
      </c>
      <c r="W43" s="238"/>
      <c r="X43" s="238"/>
      <c r="Y43" s="238"/>
      <c r="Z43" s="238"/>
      <c r="AA43" s="239"/>
      <c r="AB43" s="237" t="s">
        <v>578</v>
      </c>
      <c r="AC43" s="238"/>
      <c r="AD43" s="238"/>
      <c r="AE43" s="238"/>
      <c r="AF43" s="238"/>
      <c r="AG43" s="238"/>
      <c r="AH43" s="238"/>
      <c r="AI43" s="238"/>
      <c r="AJ43" s="238"/>
      <c r="AK43" s="238"/>
      <c r="AL43" s="238"/>
      <c r="AM43" s="238"/>
      <c r="AN43" s="238"/>
      <c r="AO43" s="238"/>
      <c r="AP43" s="238"/>
      <c r="AQ43" s="239"/>
      <c r="AR43" s="231"/>
      <c r="AS43" s="232"/>
      <c r="AT43" s="232"/>
      <c r="AU43" s="232"/>
      <c r="AV43" s="232"/>
      <c r="AW43" s="233"/>
      <c r="AX43" s="225"/>
      <c r="AY43" s="226"/>
      <c r="AZ43" s="226"/>
      <c r="BA43" s="226"/>
      <c r="BB43" s="226"/>
      <c r="BC43" s="226"/>
      <c r="BD43" s="226"/>
      <c r="BE43" s="226"/>
      <c r="BF43" s="226"/>
      <c r="BG43" s="226"/>
      <c r="BH43" s="226"/>
      <c r="BI43" s="226"/>
      <c r="BJ43" s="226"/>
      <c r="BK43" s="226"/>
      <c r="BL43" s="226"/>
      <c r="BM43" s="226"/>
      <c r="BN43" s="226"/>
      <c r="BO43" s="226"/>
      <c r="BP43" s="226"/>
      <c r="BQ43" s="226"/>
      <c r="BR43" s="226"/>
      <c r="BS43" s="226"/>
      <c r="BT43" s="240"/>
      <c r="BU43" s="41"/>
      <c r="BV43" s="40"/>
      <c r="BW43" s="41"/>
      <c r="BX43" s="41"/>
      <c r="BY43" s="41"/>
      <c r="BZ43" s="41"/>
      <c r="CA43" s="41"/>
      <c r="CB43" s="41"/>
      <c r="CC43" s="41"/>
      <c r="CD43" s="41"/>
      <c r="CE43" s="41"/>
      <c r="CF43" s="41"/>
      <c r="CG43" s="41"/>
    </row>
    <row r="44" spans="1:85" s="5" customFormat="1" ht="20.100000000000001" customHeight="1" x14ac:dyDescent="0.45">
      <c r="A44" s="29"/>
      <c r="B44" s="35"/>
      <c r="C44" s="29"/>
      <c r="D44" s="37">
        <v>34</v>
      </c>
      <c r="E44" s="222" t="s">
        <v>134</v>
      </c>
      <c r="F44" s="223"/>
      <c r="G44" s="223"/>
      <c r="H44" s="223"/>
      <c r="I44" s="223"/>
      <c r="J44" s="223"/>
      <c r="K44" s="223"/>
      <c r="L44" s="224"/>
      <c r="M44" s="220" t="s">
        <v>47</v>
      </c>
      <c r="N44" s="215"/>
      <c r="O44" s="215"/>
      <c r="P44" s="220" t="s">
        <v>117</v>
      </c>
      <c r="Q44" s="215"/>
      <c r="R44" s="215"/>
      <c r="S44" s="220">
        <v>1</v>
      </c>
      <c r="T44" s="215"/>
      <c r="U44" s="215"/>
      <c r="V44" s="237" t="s">
        <v>582</v>
      </c>
      <c r="W44" s="238"/>
      <c r="X44" s="238"/>
      <c r="Y44" s="238"/>
      <c r="Z44" s="238"/>
      <c r="AA44" s="239"/>
      <c r="AB44" s="237"/>
      <c r="AC44" s="238"/>
      <c r="AD44" s="238"/>
      <c r="AE44" s="238"/>
      <c r="AF44" s="238"/>
      <c r="AG44" s="238"/>
      <c r="AH44" s="238"/>
      <c r="AI44" s="238"/>
      <c r="AJ44" s="238"/>
      <c r="AK44" s="238"/>
      <c r="AL44" s="238"/>
      <c r="AM44" s="238"/>
      <c r="AN44" s="238"/>
      <c r="AO44" s="238"/>
      <c r="AP44" s="238"/>
      <c r="AQ44" s="239"/>
      <c r="AR44" s="231"/>
      <c r="AS44" s="232"/>
      <c r="AT44" s="232"/>
      <c r="AU44" s="232"/>
      <c r="AV44" s="232"/>
      <c r="AW44" s="233"/>
      <c r="AX44" s="225"/>
      <c r="AY44" s="226"/>
      <c r="AZ44" s="226"/>
      <c r="BA44" s="226"/>
      <c r="BB44" s="226"/>
      <c r="BC44" s="226"/>
      <c r="BD44" s="226"/>
      <c r="BE44" s="226"/>
      <c r="BF44" s="226"/>
      <c r="BG44" s="226"/>
      <c r="BH44" s="226"/>
      <c r="BI44" s="226"/>
      <c r="BJ44" s="226"/>
      <c r="BK44" s="226"/>
      <c r="BL44" s="226"/>
      <c r="BM44" s="226"/>
      <c r="BN44" s="226"/>
      <c r="BO44" s="226"/>
      <c r="BP44" s="226"/>
      <c r="BQ44" s="226"/>
      <c r="BR44" s="226"/>
      <c r="BS44" s="226"/>
      <c r="BT44" s="240"/>
      <c r="BU44" s="41"/>
      <c r="BV44" s="40"/>
      <c r="BW44" s="41"/>
      <c r="BX44" s="41"/>
      <c r="BY44" s="41"/>
      <c r="BZ44" s="41"/>
      <c r="CA44" s="41"/>
      <c r="CB44" s="41"/>
      <c r="CC44" s="41"/>
      <c r="CD44" s="41"/>
      <c r="CE44" s="41"/>
      <c r="CF44" s="41"/>
      <c r="CG44" s="41"/>
    </row>
    <row r="45" spans="1:85" s="5" customFormat="1" ht="20.100000000000001" customHeight="1" x14ac:dyDescent="0.45">
      <c r="A45" s="29"/>
      <c r="B45" s="35"/>
      <c r="C45" s="29"/>
      <c r="D45" s="37">
        <v>35</v>
      </c>
      <c r="E45" s="222" t="s">
        <v>114</v>
      </c>
      <c r="F45" s="223"/>
      <c r="G45" s="223"/>
      <c r="H45" s="223"/>
      <c r="I45" s="223"/>
      <c r="J45" s="223"/>
      <c r="K45" s="223"/>
      <c r="L45" s="224"/>
      <c r="M45" s="220" t="s">
        <v>47</v>
      </c>
      <c r="N45" s="215"/>
      <c r="O45" s="215"/>
      <c r="P45" s="220" t="s">
        <v>117</v>
      </c>
      <c r="Q45" s="215"/>
      <c r="R45" s="215"/>
      <c r="S45" s="220">
        <v>9</v>
      </c>
      <c r="T45" s="215"/>
      <c r="U45" s="215"/>
      <c r="V45" s="237" t="s">
        <v>135</v>
      </c>
      <c r="W45" s="238"/>
      <c r="X45" s="238"/>
      <c r="Y45" s="238"/>
      <c r="Z45" s="238"/>
      <c r="AA45" s="239"/>
      <c r="AB45" s="237" t="s">
        <v>138</v>
      </c>
      <c r="AC45" s="238"/>
      <c r="AD45" s="238"/>
      <c r="AE45" s="238"/>
      <c r="AF45" s="238"/>
      <c r="AG45" s="238"/>
      <c r="AH45" s="238"/>
      <c r="AI45" s="238"/>
      <c r="AJ45" s="238"/>
      <c r="AK45" s="238"/>
      <c r="AL45" s="238"/>
      <c r="AM45" s="238"/>
      <c r="AN45" s="238"/>
      <c r="AO45" s="238"/>
      <c r="AP45" s="238"/>
      <c r="AQ45" s="239"/>
      <c r="AR45" s="231" t="s">
        <v>139</v>
      </c>
      <c r="AS45" s="232"/>
      <c r="AT45" s="232"/>
      <c r="AU45" s="232"/>
      <c r="AV45" s="232"/>
      <c r="AW45" s="233"/>
      <c r="AX45" s="225"/>
      <c r="AY45" s="226"/>
      <c r="AZ45" s="226"/>
      <c r="BA45" s="226"/>
      <c r="BB45" s="226"/>
      <c r="BC45" s="226"/>
      <c r="BD45" s="226"/>
      <c r="BE45" s="226"/>
      <c r="BF45" s="226"/>
      <c r="BG45" s="226"/>
      <c r="BH45" s="226"/>
      <c r="BI45" s="226"/>
      <c r="BJ45" s="226"/>
      <c r="BK45" s="226"/>
      <c r="BL45" s="226"/>
      <c r="BM45" s="226"/>
      <c r="BN45" s="226"/>
      <c r="BO45" s="226"/>
      <c r="BP45" s="226"/>
      <c r="BQ45" s="226"/>
      <c r="BR45" s="226"/>
      <c r="BS45" s="226"/>
      <c r="BT45" s="240"/>
      <c r="BU45" s="41"/>
      <c r="BV45" s="40"/>
      <c r="BW45" s="41"/>
      <c r="BX45" s="41"/>
      <c r="BY45" s="41"/>
      <c r="BZ45" s="41"/>
      <c r="CA45" s="41"/>
      <c r="CB45" s="41"/>
      <c r="CC45" s="41"/>
      <c r="CD45" s="41"/>
      <c r="CE45" s="41"/>
      <c r="CF45" s="41"/>
      <c r="CG45" s="41"/>
    </row>
    <row r="46" spans="1:85" ht="20.100000000000001" customHeight="1" x14ac:dyDescent="0.45">
      <c r="A46" s="29"/>
      <c r="B46" s="44"/>
      <c r="C46" s="29"/>
      <c r="D46" s="37">
        <v>36</v>
      </c>
      <c r="E46" s="222" t="s">
        <v>120</v>
      </c>
      <c r="F46" s="223"/>
      <c r="G46" s="223"/>
      <c r="H46" s="223"/>
      <c r="I46" s="223"/>
      <c r="J46" s="223"/>
      <c r="K46" s="223"/>
      <c r="L46" s="224"/>
      <c r="M46" s="220" t="s">
        <v>38</v>
      </c>
      <c r="N46" s="215"/>
      <c r="O46" s="215"/>
      <c r="P46" s="220" t="s">
        <v>118</v>
      </c>
      <c r="Q46" s="215"/>
      <c r="R46" s="215"/>
      <c r="S46" s="220">
        <v>5</v>
      </c>
      <c r="T46" s="215"/>
      <c r="U46" s="215"/>
      <c r="V46" s="237" t="s">
        <v>579</v>
      </c>
      <c r="W46" s="238"/>
      <c r="X46" s="238"/>
      <c r="Y46" s="238"/>
      <c r="Z46" s="238"/>
      <c r="AA46" s="239"/>
      <c r="AB46" s="237"/>
      <c r="AC46" s="238"/>
      <c r="AD46" s="238"/>
      <c r="AE46" s="238"/>
      <c r="AF46" s="238"/>
      <c r="AG46" s="238"/>
      <c r="AH46" s="238"/>
      <c r="AI46" s="238"/>
      <c r="AJ46" s="238"/>
      <c r="AK46" s="238"/>
      <c r="AL46" s="238"/>
      <c r="AM46" s="238"/>
      <c r="AN46" s="238"/>
      <c r="AO46" s="238"/>
      <c r="AP46" s="238"/>
      <c r="AQ46" s="239"/>
      <c r="AR46" s="231"/>
      <c r="AS46" s="232"/>
      <c r="AT46" s="232"/>
      <c r="AU46" s="232"/>
      <c r="AV46" s="232"/>
      <c r="AW46" s="233"/>
      <c r="AX46" s="225"/>
      <c r="AY46" s="226"/>
      <c r="AZ46" s="226"/>
      <c r="BA46" s="226"/>
      <c r="BB46" s="226"/>
      <c r="BC46" s="226"/>
      <c r="BD46" s="226"/>
      <c r="BE46" s="226"/>
      <c r="BF46" s="226"/>
      <c r="BG46" s="226"/>
      <c r="BH46" s="226"/>
      <c r="BI46" s="226"/>
      <c r="BJ46" s="226"/>
      <c r="BK46" s="226"/>
      <c r="BL46" s="226"/>
      <c r="BM46" s="226"/>
      <c r="BN46" s="226"/>
      <c r="BO46" s="226"/>
      <c r="BP46" s="226"/>
      <c r="BQ46" s="226"/>
      <c r="BR46" s="226"/>
      <c r="BS46" s="226"/>
      <c r="BT46" s="240"/>
      <c r="BU46" s="41"/>
      <c r="BV46" s="40"/>
      <c r="BW46" s="41"/>
      <c r="BX46" s="41"/>
      <c r="BY46" s="41"/>
      <c r="BZ46" s="41"/>
      <c r="CA46" s="41"/>
      <c r="CB46" s="41"/>
      <c r="CC46" s="41"/>
      <c r="CD46" s="41"/>
      <c r="CE46" s="41"/>
      <c r="CF46" s="41"/>
      <c r="CG46" s="41"/>
    </row>
    <row r="47" spans="1:85" ht="19.5" customHeight="1" x14ac:dyDescent="0.45">
      <c r="A47" s="29"/>
      <c r="B47" s="44"/>
      <c r="C47" s="29"/>
      <c r="D47" s="37">
        <v>37</v>
      </c>
      <c r="E47" s="222" t="s">
        <v>136</v>
      </c>
      <c r="F47" s="223"/>
      <c r="G47" s="223"/>
      <c r="H47" s="223"/>
      <c r="I47" s="223"/>
      <c r="J47" s="223"/>
      <c r="K47" s="223"/>
      <c r="L47" s="224"/>
      <c r="M47" s="220" t="s">
        <v>47</v>
      </c>
      <c r="N47" s="215"/>
      <c r="O47" s="215"/>
      <c r="P47" s="220" t="s">
        <v>117</v>
      </c>
      <c r="Q47" s="215"/>
      <c r="R47" s="215"/>
      <c r="S47" s="220">
        <v>1</v>
      </c>
      <c r="T47" s="215"/>
      <c r="U47" s="215"/>
      <c r="V47" s="237" t="s">
        <v>580</v>
      </c>
      <c r="W47" s="238"/>
      <c r="X47" s="238"/>
      <c r="Y47" s="238"/>
      <c r="Z47" s="238"/>
      <c r="AA47" s="239"/>
      <c r="AB47" s="237"/>
      <c r="AC47" s="238"/>
      <c r="AD47" s="238"/>
      <c r="AE47" s="238"/>
      <c r="AF47" s="238"/>
      <c r="AG47" s="238"/>
      <c r="AH47" s="238"/>
      <c r="AI47" s="238"/>
      <c r="AJ47" s="238"/>
      <c r="AK47" s="238"/>
      <c r="AL47" s="238"/>
      <c r="AM47" s="238"/>
      <c r="AN47" s="238"/>
      <c r="AO47" s="238"/>
      <c r="AP47" s="238"/>
      <c r="AQ47" s="239"/>
      <c r="AR47" s="231"/>
      <c r="AS47" s="232"/>
      <c r="AT47" s="232"/>
      <c r="AU47" s="232"/>
      <c r="AV47" s="232"/>
      <c r="AW47" s="233"/>
      <c r="AX47" s="225"/>
      <c r="AY47" s="226"/>
      <c r="AZ47" s="226"/>
      <c r="BA47" s="226"/>
      <c r="BB47" s="226"/>
      <c r="BC47" s="226"/>
      <c r="BD47" s="226"/>
      <c r="BE47" s="226"/>
      <c r="BF47" s="226"/>
      <c r="BG47" s="226"/>
      <c r="BH47" s="226"/>
      <c r="BI47" s="226"/>
      <c r="BJ47" s="226"/>
      <c r="BK47" s="226"/>
      <c r="BL47" s="226"/>
      <c r="BM47" s="226"/>
      <c r="BN47" s="226"/>
      <c r="BO47" s="226"/>
      <c r="BP47" s="226"/>
      <c r="BQ47" s="226"/>
      <c r="BR47" s="226"/>
      <c r="BS47" s="226"/>
      <c r="BT47" s="240"/>
      <c r="BU47" s="41"/>
      <c r="BV47" s="40"/>
      <c r="BW47" s="41"/>
      <c r="BX47" s="41"/>
      <c r="BY47" s="41"/>
      <c r="BZ47" s="41"/>
      <c r="CA47" s="41"/>
      <c r="CB47" s="41"/>
      <c r="CC47" s="41"/>
      <c r="CD47" s="41"/>
      <c r="CE47" s="41"/>
      <c r="CF47" s="41"/>
      <c r="CG47" s="41"/>
    </row>
    <row r="48" spans="1:85" ht="19.5" customHeight="1" x14ac:dyDescent="0.45">
      <c r="A48" s="29"/>
      <c r="B48" s="44"/>
      <c r="C48" s="29"/>
      <c r="D48" s="37">
        <v>38</v>
      </c>
      <c r="E48" s="222" t="s">
        <v>115</v>
      </c>
      <c r="F48" s="223"/>
      <c r="G48" s="223"/>
      <c r="H48" s="223"/>
      <c r="I48" s="223"/>
      <c r="J48" s="223"/>
      <c r="K48" s="223"/>
      <c r="L48" s="224"/>
      <c r="M48" s="220" t="s">
        <v>47</v>
      </c>
      <c r="N48" s="215"/>
      <c r="O48" s="215"/>
      <c r="P48" s="220" t="s">
        <v>117</v>
      </c>
      <c r="Q48" s="215"/>
      <c r="R48" s="215"/>
      <c r="S48" s="220">
        <v>11</v>
      </c>
      <c r="T48" s="215"/>
      <c r="U48" s="215"/>
      <c r="V48" s="237" t="s">
        <v>137</v>
      </c>
      <c r="W48" s="238"/>
      <c r="X48" s="238"/>
      <c r="Y48" s="238"/>
      <c r="Z48" s="238"/>
      <c r="AA48" s="239"/>
      <c r="AB48" s="237" t="s">
        <v>138</v>
      </c>
      <c r="AC48" s="238"/>
      <c r="AD48" s="238"/>
      <c r="AE48" s="238"/>
      <c r="AF48" s="238"/>
      <c r="AG48" s="238"/>
      <c r="AH48" s="238"/>
      <c r="AI48" s="238"/>
      <c r="AJ48" s="238"/>
      <c r="AK48" s="238"/>
      <c r="AL48" s="238"/>
      <c r="AM48" s="238"/>
      <c r="AN48" s="238"/>
      <c r="AO48" s="238"/>
      <c r="AP48" s="238"/>
      <c r="AQ48" s="239"/>
      <c r="AR48" s="231" t="s">
        <v>139</v>
      </c>
      <c r="AS48" s="232"/>
      <c r="AT48" s="232"/>
      <c r="AU48" s="232"/>
      <c r="AV48" s="232"/>
      <c r="AW48" s="233"/>
      <c r="AX48" s="225"/>
      <c r="AY48" s="226"/>
      <c r="AZ48" s="226"/>
      <c r="BA48" s="226"/>
      <c r="BB48" s="226"/>
      <c r="BC48" s="226"/>
      <c r="BD48" s="226"/>
      <c r="BE48" s="226"/>
      <c r="BF48" s="226"/>
      <c r="BG48" s="226"/>
      <c r="BH48" s="226"/>
      <c r="BI48" s="226"/>
      <c r="BJ48" s="226"/>
      <c r="BK48" s="226"/>
      <c r="BL48" s="226"/>
      <c r="BM48" s="226"/>
      <c r="BN48" s="226"/>
      <c r="BO48" s="226"/>
      <c r="BP48" s="226"/>
      <c r="BQ48" s="226"/>
      <c r="BR48" s="226"/>
      <c r="BS48" s="226"/>
      <c r="BT48" s="240"/>
      <c r="BU48" s="41"/>
      <c r="BV48" s="40"/>
      <c r="BW48" s="41"/>
      <c r="BX48" s="41"/>
      <c r="BY48" s="41"/>
      <c r="BZ48" s="41"/>
      <c r="CA48" s="41"/>
      <c r="CB48" s="41"/>
      <c r="CC48" s="41"/>
      <c r="CD48" s="41"/>
      <c r="CE48" s="41"/>
      <c r="CF48" s="41"/>
      <c r="CG48" s="41"/>
    </row>
    <row r="49" spans="1:85" ht="84.6" customHeight="1" x14ac:dyDescent="0.45">
      <c r="A49" s="29"/>
      <c r="B49" s="44"/>
      <c r="C49" s="29"/>
      <c r="D49" s="37">
        <v>39</v>
      </c>
      <c r="E49" s="222" t="s">
        <v>116</v>
      </c>
      <c r="F49" s="223"/>
      <c r="G49" s="223"/>
      <c r="H49" s="223"/>
      <c r="I49" s="223"/>
      <c r="J49" s="223"/>
      <c r="K49" s="223"/>
      <c r="L49" s="224"/>
      <c r="M49" s="220" t="s">
        <v>47</v>
      </c>
      <c r="N49" s="215"/>
      <c r="O49" s="215"/>
      <c r="P49" s="220" t="s">
        <v>117</v>
      </c>
      <c r="Q49" s="215"/>
      <c r="R49" s="215"/>
      <c r="S49" s="220">
        <v>10</v>
      </c>
      <c r="T49" s="215"/>
      <c r="U49" s="215"/>
      <c r="V49" s="237" t="s">
        <v>637</v>
      </c>
      <c r="W49" s="238"/>
      <c r="X49" s="238"/>
      <c r="Y49" s="238"/>
      <c r="Z49" s="238"/>
      <c r="AA49" s="239"/>
      <c r="AB49" s="237" t="s">
        <v>638</v>
      </c>
      <c r="AC49" s="238"/>
      <c r="AD49" s="238"/>
      <c r="AE49" s="238"/>
      <c r="AF49" s="238"/>
      <c r="AG49" s="238"/>
      <c r="AH49" s="238"/>
      <c r="AI49" s="238"/>
      <c r="AJ49" s="238"/>
      <c r="AK49" s="238"/>
      <c r="AL49" s="238"/>
      <c r="AM49" s="238"/>
      <c r="AN49" s="238"/>
      <c r="AO49" s="238"/>
      <c r="AP49" s="238"/>
      <c r="AQ49" s="239"/>
      <c r="AR49" s="231"/>
      <c r="AS49" s="232"/>
      <c r="AT49" s="232"/>
      <c r="AU49" s="232"/>
      <c r="AV49" s="232"/>
      <c r="AW49" s="233"/>
      <c r="AX49" s="241" t="s">
        <v>632</v>
      </c>
      <c r="AY49" s="242"/>
      <c r="AZ49" s="242"/>
      <c r="BA49" s="242"/>
      <c r="BB49" s="242"/>
      <c r="BC49" s="242"/>
      <c r="BD49" s="242"/>
      <c r="BE49" s="242"/>
      <c r="BF49" s="242"/>
      <c r="BG49" s="242"/>
      <c r="BH49" s="242"/>
      <c r="BI49" s="242"/>
      <c r="BJ49" s="242"/>
      <c r="BK49" s="242"/>
      <c r="BL49" s="242"/>
      <c r="BM49" s="242"/>
      <c r="BN49" s="242"/>
      <c r="BO49" s="242"/>
      <c r="BP49" s="242"/>
      <c r="BQ49" s="242"/>
      <c r="BR49" s="242"/>
      <c r="BS49" s="242"/>
      <c r="BT49" s="243"/>
      <c r="BU49" s="41"/>
      <c r="BV49" s="40"/>
      <c r="BW49" s="41"/>
      <c r="BX49" s="41"/>
      <c r="BY49" s="41"/>
      <c r="BZ49" s="41"/>
      <c r="CA49" s="41"/>
      <c r="CB49" s="41"/>
      <c r="CC49" s="41"/>
      <c r="CD49" s="41"/>
      <c r="CE49" s="41"/>
      <c r="CF49" s="41"/>
      <c r="CG49" s="41"/>
    </row>
    <row r="50" spans="1:85" ht="49.8" customHeight="1" x14ac:dyDescent="0.45">
      <c r="A50" s="29"/>
      <c r="B50" s="44"/>
      <c r="C50" s="29"/>
      <c r="D50" s="37">
        <v>40</v>
      </c>
      <c r="E50" s="222" t="s">
        <v>93</v>
      </c>
      <c r="F50" s="223"/>
      <c r="G50" s="223"/>
      <c r="H50" s="223"/>
      <c r="I50" s="223"/>
      <c r="J50" s="223"/>
      <c r="K50" s="223"/>
      <c r="L50" s="224"/>
      <c r="M50" s="220" t="s">
        <v>38</v>
      </c>
      <c r="N50" s="215"/>
      <c r="O50" s="215"/>
      <c r="P50" s="220" t="s">
        <v>118</v>
      </c>
      <c r="Q50" s="215"/>
      <c r="R50" s="215"/>
      <c r="S50" s="220">
        <v>6</v>
      </c>
      <c r="T50" s="215"/>
      <c r="U50" s="215"/>
      <c r="V50" s="237" t="s">
        <v>583</v>
      </c>
      <c r="W50" s="238"/>
      <c r="X50" s="238"/>
      <c r="Y50" s="238"/>
      <c r="Z50" s="238"/>
      <c r="AA50" s="239"/>
      <c r="AB50" s="237" t="s">
        <v>584</v>
      </c>
      <c r="AC50" s="238"/>
      <c r="AD50" s="238"/>
      <c r="AE50" s="238"/>
      <c r="AF50" s="238"/>
      <c r="AG50" s="238"/>
      <c r="AH50" s="238"/>
      <c r="AI50" s="238"/>
      <c r="AJ50" s="238"/>
      <c r="AK50" s="238"/>
      <c r="AL50" s="238"/>
      <c r="AM50" s="238"/>
      <c r="AN50" s="238"/>
      <c r="AO50" s="238"/>
      <c r="AP50" s="238"/>
      <c r="AQ50" s="239"/>
      <c r="AR50" s="189"/>
      <c r="AS50" s="190"/>
      <c r="AT50" s="190"/>
      <c r="AU50" s="190"/>
      <c r="AV50" s="190"/>
      <c r="AW50" s="191"/>
      <c r="AX50" s="128"/>
      <c r="AY50" s="129"/>
      <c r="AZ50" s="129"/>
      <c r="BA50" s="129"/>
      <c r="BB50" s="129"/>
      <c r="BC50" s="129"/>
      <c r="BD50" s="129"/>
      <c r="BE50" s="129"/>
      <c r="BF50" s="129"/>
      <c r="BG50" s="129"/>
      <c r="BH50" s="129"/>
      <c r="BI50" s="129"/>
      <c r="BJ50" s="129"/>
      <c r="BK50" s="129"/>
      <c r="BL50" s="129"/>
      <c r="BM50" s="129"/>
      <c r="BN50" s="129"/>
      <c r="BO50" s="129"/>
      <c r="BP50" s="129"/>
      <c r="BQ50" s="129"/>
      <c r="BR50" s="129"/>
      <c r="BS50" s="129"/>
      <c r="BT50" s="130"/>
      <c r="BU50" s="41"/>
      <c r="BV50" s="40"/>
      <c r="BW50" s="41"/>
      <c r="BX50" s="41"/>
      <c r="BY50" s="41"/>
      <c r="BZ50" s="41"/>
      <c r="CA50" s="41"/>
      <c r="CB50" s="41"/>
      <c r="CC50" s="41"/>
      <c r="CD50" s="41"/>
      <c r="CE50" s="41"/>
      <c r="CF50" s="41"/>
      <c r="CG50" s="41"/>
    </row>
    <row r="51" spans="1:85" ht="19.5" customHeight="1" x14ac:dyDescent="0.45">
      <c r="A51" s="29"/>
      <c r="B51" s="44"/>
      <c r="C51" s="29"/>
      <c r="D51" s="37">
        <v>41</v>
      </c>
      <c r="E51" s="222" t="s">
        <v>121</v>
      </c>
      <c r="F51" s="223"/>
      <c r="G51" s="223"/>
      <c r="H51" s="223"/>
      <c r="I51" s="223"/>
      <c r="J51" s="223"/>
      <c r="K51" s="223"/>
      <c r="L51" s="224"/>
      <c r="M51" s="220" t="s">
        <v>47</v>
      </c>
      <c r="N51" s="215"/>
      <c r="O51" s="215"/>
      <c r="P51" s="220" t="s">
        <v>117</v>
      </c>
      <c r="Q51" s="215"/>
      <c r="R51" s="215"/>
      <c r="S51" s="220">
        <v>10</v>
      </c>
      <c r="T51" s="215"/>
      <c r="U51" s="215"/>
      <c r="V51" s="237" t="s">
        <v>140</v>
      </c>
      <c r="W51" s="238"/>
      <c r="X51" s="238"/>
      <c r="Y51" s="238"/>
      <c r="Z51" s="238"/>
      <c r="AA51" s="239"/>
      <c r="AB51" s="237" t="s">
        <v>141</v>
      </c>
      <c r="AC51" s="238"/>
      <c r="AD51" s="238"/>
      <c r="AE51" s="238"/>
      <c r="AF51" s="238"/>
      <c r="AG51" s="238"/>
      <c r="AH51" s="238"/>
      <c r="AI51" s="238"/>
      <c r="AJ51" s="238"/>
      <c r="AK51" s="238"/>
      <c r="AL51" s="238"/>
      <c r="AM51" s="238"/>
      <c r="AN51" s="238"/>
      <c r="AO51" s="238"/>
      <c r="AP51" s="238"/>
      <c r="AQ51" s="239"/>
      <c r="AR51" s="189"/>
      <c r="AS51" s="190"/>
      <c r="AT51" s="190"/>
      <c r="AU51" s="190"/>
      <c r="AV51" s="190"/>
      <c r="AW51" s="191"/>
      <c r="AX51" s="128"/>
      <c r="AY51" s="129"/>
      <c r="AZ51" s="129"/>
      <c r="BA51" s="129"/>
      <c r="BB51" s="129"/>
      <c r="BC51" s="129"/>
      <c r="BD51" s="129"/>
      <c r="BE51" s="129"/>
      <c r="BF51" s="129"/>
      <c r="BG51" s="129"/>
      <c r="BH51" s="129"/>
      <c r="BI51" s="129"/>
      <c r="BJ51" s="129"/>
      <c r="BK51" s="129"/>
      <c r="BL51" s="129"/>
      <c r="BM51" s="129"/>
      <c r="BN51" s="129"/>
      <c r="BO51" s="129"/>
      <c r="BP51" s="129"/>
      <c r="BQ51" s="129"/>
      <c r="BR51" s="129"/>
      <c r="BS51" s="129"/>
      <c r="BT51" s="130"/>
      <c r="BU51" s="41"/>
      <c r="BV51" s="40"/>
      <c r="BW51" s="41"/>
      <c r="BX51" s="41"/>
      <c r="BY51" s="41"/>
      <c r="BZ51" s="41"/>
      <c r="CA51" s="41"/>
      <c r="CB51" s="41"/>
      <c r="CC51" s="41"/>
      <c r="CD51" s="41"/>
      <c r="CE51" s="41"/>
      <c r="CF51" s="41"/>
      <c r="CG51" s="41"/>
    </row>
    <row r="52" spans="1:85" ht="19.5" customHeight="1" x14ac:dyDescent="0.45">
      <c r="A52" s="29"/>
      <c r="B52" s="44"/>
      <c r="C52" s="29"/>
      <c r="D52" s="37">
        <v>42</v>
      </c>
      <c r="E52" s="122"/>
      <c r="F52" s="123"/>
      <c r="G52" s="123"/>
      <c r="H52" s="123"/>
      <c r="I52" s="123"/>
      <c r="J52" s="123"/>
      <c r="K52" s="123"/>
      <c r="L52" s="124"/>
      <c r="M52" s="120"/>
      <c r="N52" s="121"/>
      <c r="O52" s="121"/>
      <c r="P52" s="120"/>
      <c r="Q52" s="121"/>
      <c r="R52" s="121"/>
      <c r="S52" s="120"/>
      <c r="T52" s="121"/>
      <c r="U52" s="121"/>
      <c r="V52" s="125"/>
      <c r="W52" s="126"/>
      <c r="X52" s="126"/>
      <c r="Y52" s="126"/>
      <c r="Z52" s="126"/>
      <c r="AA52" s="127"/>
      <c r="AB52" s="186"/>
      <c r="AC52" s="187"/>
      <c r="AD52" s="187"/>
      <c r="AE52" s="187"/>
      <c r="AF52" s="187"/>
      <c r="AG52" s="187"/>
      <c r="AH52" s="187"/>
      <c r="AI52" s="187"/>
      <c r="AJ52" s="187"/>
      <c r="AK52" s="187"/>
      <c r="AL52" s="187"/>
      <c r="AM52" s="187"/>
      <c r="AN52" s="187"/>
      <c r="AO52" s="187"/>
      <c r="AP52" s="187"/>
      <c r="AQ52" s="188"/>
      <c r="AR52" s="189"/>
      <c r="AS52" s="190"/>
      <c r="AT52" s="190"/>
      <c r="AU52" s="190"/>
      <c r="AV52" s="190"/>
      <c r="AW52" s="191"/>
      <c r="AX52" s="128"/>
      <c r="AY52" s="129"/>
      <c r="AZ52" s="129"/>
      <c r="BA52" s="129"/>
      <c r="BB52" s="129"/>
      <c r="BC52" s="129"/>
      <c r="BD52" s="129"/>
      <c r="BE52" s="129"/>
      <c r="BF52" s="129"/>
      <c r="BG52" s="129"/>
      <c r="BH52" s="129"/>
      <c r="BI52" s="129"/>
      <c r="BJ52" s="129"/>
      <c r="BK52" s="129"/>
      <c r="BL52" s="129"/>
      <c r="BM52" s="129"/>
      <c r="BN52" s="129"/>
      <c r="BO52" s="129"/>
      <c r="BP52" s="129"/>
      <c r="BQ52" s="129"/>
      <c r="BR52" s="129"/>
      <c r="BS52" s="129"/>
      <c r="BT52" s="130"/>
      <c r="BU52" s="41"/>
      <c r="BV52" s="40"/>
      <c r="BW52" s="41"/>
      <c r="BX52" s="41"/>
      <c r="BY52" s="41"/>
      <c r="BZ52" s="41"/>
      <c r="CA52" s="41"/>
      <c r="CB52" s="41"/>
      <c r="CC52" s="41"/>
      <c r="CD52" s="41"/>
      <c r="CE52" s="41"/>
      <c r="CF52" s="41"/>
      <c r="CG52" s="41"/>
    </row>
    <row r="53" spans="1:85" ht="19.5" customHeight="1" x14ac:dyDescent="0.45">
      <c r="A53" s="29"/>
      <c r="B53" s="44"/>
      <c r="C53" s="29"/>
      <c r="D53" s="37">
        <v>43</v>
      </c>
      <c r="E53" s="122"/>
      <c r="F53" s="123"/>
      <c r="G53" s="123"/>
      <c r="H53" s="123"/>
      <c r="I53" s="123"/>
      <c r="J53" s="123"/>
      <c r="K53" s="123"/>
      <c r="L53" s="124"/>
      <c r="M53" s="120"/>
      <c r="N53" s="121"/>
      <c r="O53" s="121"/>
      <c r="P53" s="120"/>
      <c r="Q53" s="121"/>
      <c r="R53" s="121"/>
      <c r="S53" s="120"/>
      <c r="T53" s="121"/>
      <c r="U53" s="121"/>
      <c r="V53" s="125"/>
      <c r="W53" s="126"/>
      <c r="X53" s="126"/>
      <c r="Y53" s="126"/>
      <c r="Z53" s="126"/>
      <c r="AA53" s="127"/>
      <c r="AB53" s="186"/>
      <c r="AC53" s="187"/>
      <c r="AD53" s="187"/>
      <c r="AE53" s="187"/>
      <c r="AF53" s="187"/>
      <c r="AG53" s="187"/>
      <c r="AH53" s="187"/>
      <c r="AI53" s="187"/>
      <c r="AJ53" s="187"/>
      <c r="AK53" s="187"/>
      <c r="AL53" s="187"/>
      <c r="AM53" s="187"/>
      <c r="AN53" s="187"/>
      <c r="AO53" s="187"/>
      <c r="AP53" s="187"/>
      <c r="AQ53" s="188"/>
      <c r="AR53" s="189"/>
      <c r="AS53" s="190"/>
      <c r="AT53" s="190"/>
      <c r="AU53" s="190"/>
      <c r="AV53" s="190"/>
      <c r="AW53" s="191"/>
      <c r="AX53" s="128"/>
      <c r="AY53" s="129"/>
      <c r="AZ53" s="129"/>
      <c r="BA53" s="129"/>
      <c r="BB53" s="129"/>
      <c r="BC53" s="129"/>
      <c r="BD53" s="129"/>
      <c r="BE53" s="129"/>
      <c r="BF53" s="129"/>
      <c r="BG53" s="129"/>
      <c r="BH53" s="129"/>
      <c r="BI53" s="129"/>
      <c r="BJ53" s="129"/>
      <c r="BK53" s="129"/>
      <c r="BL53" s="129"/>
      <c r="BM53" s="129"/>
      <c r="BN53" s="129"/>
      <c r="BO53" s="129"/>
      <c r="BP53" s="129"/>
      <c r="BQ53" s="129"/>
      <c r="BR53" s="129"/>
      <c r="BS53" s="129"/>
      <c r="BT53" s="130"/>
      <c r="BU53" s="41"/>
      <c r="BV53" s="40"/>
      <c r="BW53" s="41"/>
      <c r="BX53" s="41"/>
      <c r="BY53" s="41"/>
      <c r="BZ53" s="41"/>
      <c r="CA53" s="41"/>
      <c r="CB53" s="41"/>
      <c r="CC53" s="41"/>
      <c r="CD53" s="41"/>
      <c r="CE53" s="41"/>
      <c r="CF53" s="41"/>
      <c r="CG53" s="41"/>
    </row>
    <row r="54" spans="1:85" ht="19.5" customHeight="1" x14ac:dyDescent="0.45">
      <c r="A54" s="29"/>
      <c r="B54" s="44"/>
      <c r="C54" s="29"/>
      <c r="D54" s="37">
        <v>44</v>
      </c>
      <c r="E54" s="122"/>
      <c r="F54" s="123"/>
      <c r="G54" s="123"/>
      <c r="H54" s="123"/>
      <c r="I54" s="123"/>
      <c r="J54" s="123"/>
      <c r="K54" s="123"/>
      <c r="L54" s="124"/>
      <c r="M54" s="120"/>
      <c r="N54" s="121"/>
      <c r="O54" s="121"/>
      <c r="P54" s="120"/>
      <c r="Q54" s="121"/>
      <c r="R54" s="121"/>
      <c r="S54" s="120"/>
      <c r="T54" s="121"/>
      <c r="U54" s="121"/>
      <c r="V54" s="125"/>
      <c r="W54" s="126"/>
      <c r="X54" s="126"/>
      <c r="Y54" s="126"/>
      <c r="Z54" s="126"/>
      <c r="AA54" s="127"/>
      <c r="AB54" s="186"/>
      <c r="AC54" s="187"/>
      <c r="AD54" s="187"/>
      <c r="AE54" s="187"/>
      <c r="AF54" s="187"/>
      <c r="AG54" s="187"/>
      <c r="AH54" s="187"/>
      <c r="AI54" s="187"/>
      <c r="AJ54" s="187"/>
      <c r="AK54" s="187"/>
      <c r="AL54" s="187"/>
      <c r="AM54" s="187"/>
      <c r="AN54" s="187"/>
      <c r="AO54" s="187"/>
      <c r="AP54" s="187"/>
      <c r="AQ54" s="188"/>
      <c r="AR54" s="189"/>
      <c r="AS54" s="190"/>
      <c r="AT54" s="190"/>
      <c r="AU54" s="190"/>
      <c r="AV54" s="190"/>
      <c r="AW54" s="191"/>
      <c r="AX54" s="128"/>
      <c r="AY54" s="129"/>
      <c r="AZ54" s="129"/>
      <c r="BA54" s="129"/>
      <c r="BB54" s="129"/>
      <c r="BC54" s="129"/>
      <c r="BD54" s="129"/>
      <c r="BE54" s="129"/>
      <c r="BF54" s="129"/>
      <c r="BG54" s="129"/>
      <c r="BH54" s="129"/>
      <c r="BI54" s="129"/>
      <c r="BJ54" s="129"/>
      <c r="BK54" s="129"/>
      <c r="BL54" s="129"/>
      <c r="BM54" s="129"/>
      <c r="BN54" s="129"/>
      <c r="BO54" s="129"/>
      <c r="BP54" s="129"/>
      <c r="BQ54" s="129"/>
      <c r="BR54" s="129"/>
      <c r="BS54" s="129"/>
      <c r="BT54" s="130"/>
      <c r="BU54" s="41"/>
      <c r="BV54" s="40"/>
      <c r="BW54" s="41"/>
      <c r="BX54" s="41"/>
      <c r="BY54" s="41"/>
      <c r="BZ54" s="41"/>
      <c r="CA54" s="41"/>
      <c r="CB54" s="41"/>
      <c r="CC54" s="41"/>
      <c r="CD54" s="41"/>
      <c r="CE54" s="41"/>
      <c r="CF54" s="41"/>
      <c r="CG54" s="41"/>
    </row>
    <row r="55" spans="1:85" ht="20.100000000000001" customHeight="1" thickBot="1" x14ac:dyDescent="0.5">
      <c r="A55" s="29"/>
      <c r="B55" s="44"/>
      <c r="C55" s="29"/>
      <c r="D55" s="37">
        <v>45</v>
      </c>
      <c r="E55" s="222"/>
      <c r="F55" s="223"/>
      <c r="G55" s="223"/>
      <c r="H55" s="223"/>
      <c r="I55" s="223"/>
      <c r="J55" s="223"/>
      <c r="K55" s="223"/>
      <c r="L55" s="224"/>
      <c r="M55" s="220"/>
      <c r="N55" s="215"/>
      <c r="O55" s="215"/>
      <c r="P55" s="220"/>
      <c r="Q55" s="215"/>
      <c r="R55" s="215"/>
      <c r="S55" s="220"/>
      <c r="T55" s="215"/>
      <c r="U55" s="215"/>
      <c r="V55" s="225"/>
      <c r="W55" s="226"/>
      <c r="X55" s="226"/>
      <c r="Y55" s="226"/>
      <c r="Z55" s="226"/>
      <c r="AA55" s="227"/>
      <c r="AB55" s="228"/>
      <c r="AC55" s="229"/>
      <c r="AD55" s="229"/>
      <c r="AE55" s="229"/>
      <c r="AF55" s="229"/>
      <c r="AG55" s="229"/>
      <c r="AH55" s="229"/>
      <c r="AI55" s="229"/>
      <c r="AJ55" s="229"/>
      <c r="AK55" s="229"/>
      <c r="AL55" s="229"/>
      <c r="AM55" s="229"/>
      <c r="AN55" s="229"/>
      <c r="AO55" s="229"/>
      <c r="AP55" s="229"/>
      <c r="AQ55" s="230"/>
      <c r="AR55" s="231"/>
      <c r="AS55" s="232"/>
      <c r="AT55" s="232"/>
      <c r="AU55" s="232"/>
      <c r="AV55" s="232"/>
      <c r="AW55" s="233"/>
      <c r="AX55" s="234"/>
      <c r="AY55" s="235"/>
      <c r="AZ55" s="235"/>
      <c r="BA55" s="235"/>
      <c r="BB55" s="235"/>
      <c r="BC55" s="235"/>
      <c r="BD55" s="235"/>
      <c r="BE55" s="235"/>
      <c r="BF55" s="235"/>
      <c r="BG55" s="235"/>
      <c r="BH55" s="235"/>
      <c r="BI55" s="235"/>
      <c r="BJ55" s="235"/>
      <c r="BK55" s="235"/>
      <c r="BL55" s="235"/>
      <c r="BM55" s="235"/>
      <c r="BN55" s="235"/>
      <c r="BO55" s="235"/>
      <c r="BP55" s="235"/>
      <c r="BQ55" s="235"/>
      <c r="BR55" s="235"/>
      <c r="BS55" s="235"/>
      <c r="BT55" s="236"/>
      <c r="BU55" s="41"/>
      <c r="BV55" s="40"/>
      <c r="BW55" s="41"/>
      <c r="BX55" s="41"/>
      <c r="BY55" s="41"/>
      <c r="BZ55" s="41"/>
      <c r="CA55" s="41"/>
      <c r="CB55" s="41"/>
      <c r="CC55" s="41"/>
      <c r="CD55" s="41"/>
      <c r="CE55" s="41"/>
      <c r="CF55" s="41"/>
      <c r="CG55" s="41"/>
    </row>
    <row r="56" spans="1:85" ht="20.100000000000001" customHeight="1" thickTop="1" thickBot="1" x14ac:dyDescent="0.5">
      <c r="A56" s="29"/>
      <c r="B56" s="40"/>
      <c r="C56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3"/>
      <c r="BD56" s="73"/>
      <c r="BE56" s="73"/>
      <c r="BF56" s="73"/>
      <c r="BG56" s="73"/>
      <c r="BH56" s="73"/>
      <c r="BI56" s="73"/>
      <c r="BJ56" s="73"/>
      <c r="BK56" s="73"/>
      <c r="BL56" s="73"/>
      <c r="BM56" s="73"/>
      <c r="BN56" s="73"/>
      <c r="BO56" s="73"/>
      <c r="BP56" s="73"/>
      <c r="BQ56" s="46"/>
      <c r="BR56" s="46"/>
      <c r="BS56" s="46"/>
      <c r="BT56" s="46"/>
      <c r="BU56" s="28"/>
    </row>
    <row r="57" spans="1:85" ht="20.100000000000001" customHeight="1" thickTop="1" x14ac:dyDescent="0.45">
      <c r="A57" s="29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33"/>
      <c r="BD57" s="33"/>
      <c r="BE57" s="33"/>
      <c r="BF57" s="33"/>
      <c r="BG57" s="33"/>
      <c r="BH57" s="33"/>
      <c r="BI57" s="42"/>
      <c r="BJ57" s="42"/>
      <c r="BK57" s="42"/>
      <c r="BL57" s="42"/>
      <c r="BM57" s="42"/>
      <c r="BN57" s="42"/>
      <c r="BO57" s="42"/>
      <c r="BP57" s="41"/>
    </row>
    <row r="58" spans="1:85" ht="20.100000000000001" customHeight="1" x14ac:dyDescent="0.45"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</row>
    <row r="59" spans="1:85" ht="20.100000000000001" customHeight="1" x14ac:dyDescent="0.45"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31"/>
      <c r="BH59" s="31"/>
      <c r="BI59" s="31"/>
      <c r="BJ59" s="31"/>
      <c r="BK59" s="31"/>
      <c r="BL59" s="31"/>
      <c r="BM59" s="31"/>
      <c r="BN59" s="31"/>
      <c r="BO59" s="31"/>
      <c r="BP59" s="31"/>
    </row>
    <row r="60" spans="1:85" ht="20.100000000000001" customHeight="1" x14ac:dyDescent="0.45"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31"/>
      <c r="BH60" s="31"/>
      <c r="BI60" s="31"/>
      <c r="BJ60" s="31"/>
      <c r="BK60" s="31"/>
      <c r="BL60" s="31"/>
      <c r="BM60" s="31"/>
      <c r="BN60" s="31"/>
      <c r="BO60" s="31"/>
      <c r="BP60" s="31"/>
    </row>
    <row r="61" spans="1:85" ht="20.100000000000001" customHeight="1" x14ac:dyDescent="0.45"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31"/>
      <c r="BH61" s="31"/>
      <c r="BI61" s="31"/>
      <c r="BJ61" s="31"/>
      <c r="BK61" s="31"/>
      <c r="BL61" s="31"/>
      <c r="BM61" s="31"/>
      <c r="BN61" s="31"/>
      <c r="BO61" s="31"/>
      <c r="BP61" s="31"/>
    </row>
    <row r="62" spans="1:85" ht="20.100000000000001" customHeight="1" x14ac:dyDescent="0.45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31"/>
      <c r="BH62" s="31"/>
      <c r="BI62" s="31"/>
      <c r="BJ62" s="31"/>
      <c r="BK62" s="31"/>
      <c r="BL62" s="31"/>
      <c r="BM62" s="31"/>
      <c r="BN62" s="31"/>
      <c r="BO62" s="31"/>
      <c r="BP62" s="31"/>
    </row>
    <row r="63" spans="1:85" ht="20.100000000000001" customHeight="1" x14ac:dyDescent="0.45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31"/>
      <c r="BH63" s="31"/>
      <c r="BI63" s="31"/>
      <c r="BJ63" s="31"/>
      <c r="BK63" s="31"/>
      <c r="BL63" s="31"/>
      <c r="BM63" s="31"/>
      <c r="BN63" s="31"/>
      <c r="BO63" s="31"/>
      <c r="BP63" s="31"/>
    </row>
    <row r="64" spans="1:85" ht="20.100000000000001" customHeight="1" x14ac:dyDescent="0.45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31"/>
      <c r="BH64" s="31"/>
      <c r="BI64" s="31"/>
      <c r="BJ64" s="31"/>
      <c r="BK64" s="31"/>
      <c r="BL64" s="31"/>
      <c r="BM64" s="31"/>
      <c r="BN64" s="31"/>
      <c r="BO64" s="31"/>
      <c r="BP64" s="31"/>
    </row>
    <row r="65" spans="1:68" ht="20.100000000000001" customHeight="1" x14ac:dyDescent="0.45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31"/>
      <c r="BH65" s="31"/>
      <c r="BI65" s="31"/>
      <c r="BJ65" s="31"/>
      <c r="BK65" s="31"/>
      <c r="BL65" s="31"/>
      <c r="BM65" s="31"/>
      <c r="BN65" s="31"/>
      <c r="BO65" s="31"/>
      <c r="BP65" s="31"/>
    </row>
    <row r="66" spans="1:68" ht="20.100000000000001" customHeight="1" x14ac:dyDescent="0.45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31"/>
      <c r="BH66" s="31"/>
      <c r="BI66" s="31"/>
      <c r="BJ66" s="31"/>
      <c r="BK66" s="31"/>
      <c r="BL66" s="31"/>
      <c r="BM66" s="31"/>
      <c r="BN66" s="31"/>
      <c r="BO66" s="31"/>
      <c r="BP66" s="31"/>
    </row>
    <row r="67" spans="1:68" ht="20.100000000000001" customHeight="1" x14ac:dyDescent="0.45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31"/>
      <c r="BH67" s="31"/>
      <c r="BI67" s="31"/>
      <c r="BJ67" s="31"/>
      <c r="BK67" s="31"/>
      <c r="BL67" s="31"/>
      <c r="BM67" s="31"/>
      <c r="BN67" s="31"/>
      <c r="BO67" s="31"/>
      <c r="BP67" s="31"/>
    </row>
    <row r="68" spans="1:68" ht="20.100000000000001" customHeight="1" x14ac:dyDescent="0.45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31"/>
      <c r="BH68" s="31"/>
      <c r="BI68" s="31"/>
      <c r="BJ68" s="31"/>
      <c r="BK68" s="31"/>
      <c r="BL68" s="31"/>
      <c r="BM68" s="31"/>
      <c r="BN68" s="31"/>
      <c r="BO68" s="31"/>
      <c r="BP68" s="31"/>
    </row>
    <row r="69" spans="1:68" ht="20.100000000000001" customHeight="1" x14ac:dyDescent="0.45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</row>
    <row r="70" spans="1:68" ht="20.100000000000001" customHeight="1" x14ac:dyDescent="0.45">
      <c r="B70" s="3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</row>
    <row r="71" spans="1:68" ht="20.100000000000001" customHeight="1" x14ac:dyDescent="0.45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31"/>
      <c r="BP71" s="31"/>
    </row>
    <row r="72" spans="1:68" ht="20.100000000000001" customHeight="1" x14ac:dyDescent="0.45"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31"/>
      <c r="BP72" s="31"/>
    </row>
    <row r="73" spans="1:68" ht="20.100000000000001" customHeight="1" x14ac:dyDescent="0.45"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31"/>
      <c r="BP73" s="31"/>
    </row>
    <row r="74" spans="1:68" ht="20.100000000000001" customHeight="1" x14ac:dyDescent="0.45">
      <c r="A74" s="29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31"/>
      <c r="BP74" s="31"/>
    </row>
    <row r="75" spans="1:68" ht="20.100000000000001" customHeight="1" x14ac:dyDescent="0.45">
      <c r="A75" s="29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31"/>
      <c r="BP75" s="31"/>
    </row>
    <row r="76" spans="1:68" ht="20.100000000000001" customHeight="1" x14ac:dyDescent="0.4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</row>
    <row r="77" spans="1:68" ht="20.100000000000001" customHeight="1" x14ac:dyDescent="0.4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</row>
    <row r="78" spans="1:68" ht="20.100000000000001" customHeight="1" x14ac:dyDescent="0.4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</row>
  </sheetData>
  <mergeCells count="360">
    <mergeCell ref="AB51:AQ51"/>
    <mergeCell ref="AB50:AQ50"/>
    <mergeCell ref="E50:L50"/>
    <mergeCell ref="M50:O50"/>
    <mergeCell ref="P50:R50"/>
    <mergeCell ref="S50:U50"/>
    <mergeCell ref="V50:AA50"/>
    <mergeCell ref="E51:L51"/>
    <mergeCell ref="M51:O51"/>
    <mergeCell ref="P51:R51"/>
    <mergeCell ref="S51:U51"/>
    <mergeCell ref="V51:AA51"/>
    <mergeCell ref="E48:L48"/>
    <mergeCell ref="M48:O48"/>
    <mergeCell ref="P48:R48"/>
    <mergeCell ref="S48:U48"/>
    <mergeCell ref="V48:AA48"/>
    <mergeCell ref="AB48:AQ48"/>
    <mergeCell ref="AR48:AW48"/>
    <mergeCell ref="AX48:BT48"/>
    <mergeCell ref="E30:L30"/>
    <mergeCell ref="AR30:AW30"/>
    <mergeCell ref="AX31:BT31"/>
    <mergeCell ref="E32:L32"/>
    <mergeCell ref="M32:O32"/>
    <mergeCell ref="P32:R32"/>
    <mergeCell ref="S32:U32"/>
    <mergeCell ref="V32:AA32"/>
    <mergeCell ref="AB32:AQ32"/>
    <mergeCell ref="AR32:AW32"/>
    <mergeCell ref="AX32:BT32"/>
    <mergeCell ref="E33:L33"/>
    <mergeCell ref="M33:O33"/>
    <mergeCell ref="P33:R33"/>
    <mergeCell ref="S33:U33"/>
    <mergeCell ref="V33:AA33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M10:O10"/>
    <mergeCell ref="M11:O11"/>
    <mergeCell ref="M12:O12"/>
    <mergeCell ref="M13:O13"/>
    <mergeCell ref="S14:U14"/>
    <mergeCell ref="S15:U15"/>
    <mergeCell ref="S16:U16"/>
    <mergeCell ref="S17:U17"/>
    <mergeCell ref="S18:U18"/>
    <mergeCell ref="E20:L20"/>
    <mergeCell ref="E21:L21"/>
    <mergeCell ref="E22:L22"/>
    <mergeCell ref="E14:L14"/>
    <mergeCell ref="E15:L15"/>
    <mergeCell ref="P19:R19"/>
    <mergeCell ref="P20:R20"/>
    <mergeCell ref="P21:R21"/>
    <mergeCell ref="P22:R22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P24:R24"/>
    <mergeCell ref="P25:R25"/>
    <mergeCell ref="P26:R26"/>
    <mergeCell ref="P27:R27"/>
    <mergeCell ref="P28:R28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S11:U11"/>
    <mergeCell ref="S12:U12"/>
    <mergeCell ref="S13:U13"/>
    <mergeCell ref="P23:R23"/>
    <mergeCell ref="V23:AA23"/>
    <mergeCell ref="V19:AA19"/>
    <mergeCell ref="V20:AA20"/>
    <mergeCell ref="V21:AA21"/>
    <mergeCell ref="V22:AA22"/>
    <mergeCell ref="S20:U20"/>
    <mergeCell ref="S21:U21"/>
    <mergeCell ref="S22:U22"/>
    <mergeCell ref="S23:U23"/>
    <mergeCell ref="S19:U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R11:AW11"/>
    <mergeCell ref="AR12:AW12"/>
    <mergeCell ref="AR13:AW13"/>
    <mergeCell ref="AR14:AW14"/>
    <mergeCell ref="AB24:AQ24"/>
    <mergeCell ref="AB25:AQ25"/>
    <mergeCell ref="AB26:AQ26"/>
    <mergeCell ref="AB27:AQ27"/>
    <mergeCell ref="AB28:AQ28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B29:AQ29"/>
    <mergeCell ref="AB30:AQ30"/>
    <mergeCell ref="P29:R29"/>
    <mergeCell ref="P30:R30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R10:AW10"/>
    <mergeCell ref="V24:AA24"/>
    <mergeCell ref="V25:AA25"/>
    <mergeCell ref="V26:AA26"/>
    <mergeCell ref="V27:AA27"/>
    <mergeCell ref="V28:AA28"/>
    <mergeCell ref="AB33:AQ33"/>
    <mergeCell ref="AR33:AW33"/>
    <mergeCell ref="AX33:BT33"/>
    <mergeCell ref="E34:L34"/>
    <mergeCell ref="M34:O34"/>
    <mergeCell ref="P34:R34"/>
    <mergeCell ref="S34:U34"/>
    <mergeCell ref="V34:AA34"/>
    <mergeCell ref="AB34:AQ34"/>
    <mergeCell ref="AR34:AW34"/>
    <mergeCell ref="AX34:BT34"/>
    <mergeCell ref="AR29:AW29"/>
    <mergeCell ref="E31:L31"/>
    <mergeCell ref="M31:O31"/>
    <mergeCell ref="P31:R31"/>
    <mergeCell ref="S31:U31"/>
    <mergeCell ref="V31:AA31"/>
    <mergeCell ref="AB31:AQ31"/>
    <mergeCell ref="AR31:AW31"/>
    <mergeCell ref="E35:L35"/>
    <mergeCell ref="M35:O35"/>
    <mergeCell ref="P35:R35"/>
    <mergeCell ref="S35:U35"/>
    <mergeCell ref="V35:AA35"/>
    <mergeCell ref="AB35:AQ35"/>
    <mergeCell ref="AR35:AW35"/>
    <mergeCell ref="AX35:BT35"/>
    <mergeCell ref="E36:L36"/>
    <mergeCell ref="M36:O36"/>
    <mergeCell ref="P36:R36"/>
    <mergeCell ref="S36:U36"/>
    <mergeCell ref="V36:AA36"/>
    <mergeCell ref="AB36:AQ36"/>
    <mergeCell ref="AR36:AW36"/>
    <mergeCell ref="AX36:BT36"/>
    <mergeCell ref="E37:L37"/>
    <mergeCell ref="M37:O37"/>
    <mergeCell ref="P37:R37"/>
    <mergeCell ref="S37:U37"/>
    <mergeCell ref="V37:AA37"/>
    <mergeCell ref="AB37:AQ37"/>
    <mergeCell ref="AR37:AW37"/>
    <mergeCell ref="AX37:BT37"/>
    <mergeCell ref="E38:L38"/>
    <mergeCell ref="M38:O38"/>
    <mergeCell ref="P38:R38"/>
    <mergeCell ref="S38:U38"/>
    <mergeCell ref="V38:AA38"/>
    <mergeCell ref="AB38:AQ38"/>
    <mergeCell ref="AR38:AW38"/>
    <mergeCell ref="AX38:BT38"/>
    <mergeCell ref="E39:L39"/>
    <mergeCell ref="M39:O39"/>
    <mergeCell ref="P39:R39"/>
    <mergeCell ref="S39:U39"/>
    <mergeCell ref="V39:AA39"/>
    <mergeCell ref="AB39:AQ39"/>
    <mergeCell ref="AR39:AW39"/>
    <mergeCell ref="AX39:BT39"/>
    <mergeCell ref="E40:L40"/>
    <mergeCell ref="M40:O40"/>
    <mergeCell ref="P40:R40"/>
    <mergeCell ref="S40:U40"/>
    <mergeCell ref="V40:AA40"/>
    <mergeCell ref="AB40:AQ40"/>
    <mergeCell ref="AR40:AW40"/>
    <mergeCell ref="AX40:BT40"/>
    <mergeCell ref="E41:L41"/>
    <mergeCell ref="M41:O41"/>
    <mergeCell ref="P41:R41"/>
    <mergeCell ref="S41:U41"/>
    <mergeCell ref="V41:AA41"/>
    <mergeCell ref="AB41:AQ41"/>
    <mergeCell ref="AR41:AW41"/>
    <mergeCell ref="AX41:BT41"/>
    <mergeCell ref="E42:L42"/>
    <mergeCell ref="M42:O42"/>
    <mergeCell ref="P42:R42"/>
    <mergeCell ref="S42:U42"/>
    <mergeCell ref="V42:AA42"/>
    <mergeCell ref="AB42:AQ42"/>
    <mergeCell ref="AR42:AW42"/>
    <mergeCell ref="AX42:BT42"/>
    <mergeCell ref="E43:L43"/>
    <mergeCell ref="M43:O43"/>
    <mergeCell ref="P43:R43"/>
    <mergeCell ref="S43:U43"/>
    <mergeCell ref="V43:AA43"/>
    <mergeCell ref="AB43:AQ43"/>
    <mergeCell ref="AR43:AW43"/>
    <mergeCell ref="AX43:BT43"/>
    <mergeCell ref="E44:L44"/>
    <mergeCell ref="M44:O44"/>
    <mergeCell ref="P44:R44"/>
    <mergeCell ref="S44:U44"/>
    <mergeCell ref="V44:AA44"/>
    <mergeCell ref="AB44:AQ44"/>
    <mergeCell ref="AR44:AW44"/>
    <mergeCell ref="AX44:BT44"/>
    <mergeCell ref="E45:L45"/>
    <mergeCell ref="M45:O45"/>
    <mergeCell ref="P45:R45"/>
    <mergeCell ref="S45:U45"/>
    <mergeCell ref="V45:AA45"/>
    <mergeCell ref="AB45:AQ45"/>
    <mergeCell ref="AR45:AW45"/>
    <mergeCell ref="AX45:BT45"/>
    <mergeCell ref="E46:L46"/>
    <mergeCell ref="M46:O46"/>
    <mergeCell ref="P46:R46"/>
    <mergeCell ref="S46:U46"/>
    <mergeCell ref="V46:AA46"/>
    <mergeCell ref="AB46:AQ46"/>
    <mergeCell ref="AR46:AW46"/>
    <mergeCell ref="AX46:BT46"/>
    <mergeCell ref="E55:L55"/>
    <mergeCell ref="M55:O55"/>
    <mergeCell ref="P55:R55"/>
    <mergeCell ref="S55:U55"/>
    <mergeCell ref="V55:AA55"/>
    <mergeCell ref="AB55:AQ55"/>
    <mergeCell ref="AR55:AW55"/>
    <mergeCell ref="AX55:BT55"/>
    <mergeCell ref="E47:L47"/>
    <mergeCell ref="M47:O47"/>
    <mergeCell ref="P47:R47"/>
    <mergeCell ref="S47:U47"/>
    <mergeCell ref="V47:AA47"/>
    <mergeCell ref="AB47:AQ47"/>
    <mergeCell ref="AR47:AW47"/>
    <mergeCell ref="AX47:BT47"/>
    <mergeCell ref="E49:L49"/>
    <mergeCell ref="M49:O49"/>
    <mergeCell ref="P49:R49"/>
    <mergeCell ref="S49:U49"/>
    <mergeCell ref="V49:AA49"/>
    <mergeCell ref="AB49:AQ49"/>
    <mergeCell ref="AR49:AW49"/>
    <mergeCell ref="AX49:BT49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M11:O55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591"/>
  <sheetViews>
    <sheetView zoomScaleNormal="100" zoomScaleSheetLayoutView="100" workbookViewId="0"/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95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628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32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210"/>
      <c r="BN2" s="35"/>
    </row>
    <row r="3" spans="1:66" ht="20.100000000000001" customHeight="1" x14ac:dyDescent="0.45">
      <c r="A3" s="32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SU0110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帳票設計書</v>
      </c>
      <c r="S3" s="201"/>
      <c r="T3" s="201"/>
      <c r="U3" s="201"/>
      <c r="V3" s="201"/>
      <c r="W3" s="201"/>
      <c r="X3" s="205" t="str">
        <f ca="1">変更履歴!X3</f>
        <v>SU0110_売上前請求書_帳票設計書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売上前請求書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45646</v>
      </c>
      <c r="AY3" s="212"/>
      <c r="AZ3" s="212"/>
      <c r="BA3" s="212"/>
      <c r="BB3" s="201" t="str">
        <f>変更履歴!BB3</f>
        <v>大谷</v>
      </c>
      <c r="BC3" s="201"/>
      <c r="BD3" s="201"/>
      <c r="BE3" s="201"/>
      <c r="BF3" s="212">
        <f>変更履歴!BF3</f>
        <v>45646</v>
      </c>
      <c r="BG3" s="212"/>
      <c r="BH3" s="212"/>
      <c r="BI3" s="212"/>
      <c r="BJ3" s="201" t="str">
        <f>変更履歴!BJ3</f>
        <v>大谷</v>
      </c>
      <c r="BK3" s="201"/>
      <c r="BL3" s="201"/>
      <c r="BM3" s="213"/>
      <c r="BN3" s="35"/>
    </row>
    <row r="4" spans="1:66" ht="20.100000000000001" customHeight="1" thickBot="1" x14ac:dyDescent="0.5">
      <c r="A4" s="32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21"/>
      <c r="AY4" s="221"/>
      <c r="AZ4" s="221"/>
      <c r="BA4" s="221"/>
      <c r="BB4" s="203"/>
      <c r="BC4" s="203"/>
      <c r="BD4" s="203"/>
      <c r="BE4" s="203"/>
      <c r="BF4" s="221"/>
      <c r="BG4" s="221"/>
      <c r="BH4" s="221"/>
      <c r="BI4" s="221"/>
      <c r="BJ4" s="203"/>
      <c r="BK4" s="203"/>
      <c r="BL4" s="203"/>
      <c r="BM4" s="205"/>
      <c r="BN4" s="35"/>
    </row>
    <row r="5" spans="1:66" ht="5.25" customHeight="1" thickTop="1" thickBot="1" x14ac:dyDescent="0.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x14ac:dyDescent="0.45">
      <c r="B6" s="131" t="s">
        <v>257</v>
      </c>
      <c r="C6" s="132"/>
      <c r="D6" s="132"/>
      <c r="E6" s="132"/>
      <c r="F6" s="132"/>
      <c r="G6" s="133"/>
      <c r="H6" s="134" t="s">
        <v>258</v>
      </c>
      <c r="I6" s="132"/>
      <c r="J6" s="134" t="s">
        <v>259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5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6"/>
    </row>
    <row r="7" spans="1:66" ht="20.100000000000001" customHeight="1" thickBot="1" x14ac:dyDescent="0.5">
      <c r="B7" s="137"/>
      <c r="C7" s="31"/>
      <c r="D7" s="31"/>
      <c r="E7" s="31"/>
      <c r="F7" s="31"/>
      <c r="G7" s="138"/>
      <c r="H7" s="142" t="s">
        <v>260</v>
      </c>
      <c r="I7" s="55"/>
      <c r="J7" s="142" t="s">
        <v>261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143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144"/>
    </row>
    <row r="8" spans="1:66" ht="20.100000000000001" customHeight="1" x14ac:dyDescent="0.45">
      <c r="B8" s="131" t="s">
        <v>236</v>
      </c>
      <c r="C8" s="132"/>
      <c r="D8" s="132"/>
      <c r="E8" s="132"/>
      <c r="F8" s="132"/>
      <c r="G8" s="133"/>
      <c r="H8" s="134" t="s">
        <v>237</v>
      </c>
      <c r="I8" s="133"/>
      <c r="J8" s="173" t="s">
        <v>311</v>
      </c>
      <c r="K8" s="166"/>
      <c r="L8" s="166"/>
      <c r="M8" s="166"/>
      <c r="N8" s="166"/>
      <c r="O8" s="166"/>
      <c r="P8" s="166"/>
      <c r="Q8" s="166"/>
      <c r="R8" s="173" t="s">
        <v>588</v>
      </c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7"/>
      <c r="AK8" s="135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6"/>
    </row>
    <row r="9" spans="1:66" ht="20.100000000000001" customHeight="1" x14ac:dyDescent="0.45">
      <c r="B9" s="168"/>
      <c r="C9" s="31"/>
      <c r="D9" s="31"/>
      <c r="E9" s="31"/>
      <c r="F9" s="31"/>
      <c r="G9" s="138"/>
      <c r="H9" s="139"/>
      <c r="I9" s="138"/>
      <c r="J9" s="169" t="s">
        <v>294</v>
      </c>
      <c r="K9" s="52"/>
      <c r="L9" s="52"/>
      <c r="M9" s="52"/>
      <c r="N9" s="52"/>
      <c r="O9" s="52"/>
      <c r="P9" s="52"/>
      <c r="Q9" s="52"/>
      <c r="R9" s="169" t="s">
        <v>589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70"/>
      <c r="AK9" s="140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41"/>
    </row>
    <row r="10" spans="1:66" ht="20.100000000000001" customHeight="1" x14ac:dyDescent="0.45">
      <c r="B10" s="168"/>
      <c r="C10" s="31"/>
      <c r="D10" s="31"/>
      <c r="E10" s="31"/>
      <c r="F10" s="31"/>
      <c r="G10" s="138"/>
      <c r="H10" s="139"/>
      <c r="I10" s="138"/>
      <c r="J10" s="169" t="s">
        <v>314</v>
      </c>
      <c r="K10" s="52"/>
      <c r="L10" s="52"/>
      <c r="M10" s="52"/>
      <c r="N10" s="52"/>
      <c r="O10" s="52"/>
      <c r="P10" s="52"/>
      <c r="Q10" s="52"/>
      <c r="R10" s="169" t="s">
        <v>590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70"/>
      <c r="AK10" s="14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41"/>
    </row>
    <row r="11" spans="1:66" ht="20.100000000000001" customHeight="1" x14ac:dyDescent="0.45">
      <c r="B11" s="168"/>
      <c r="C11" s="31"/>
      <c r="D11" s="31"/>
      <c r="E11" s="31"/>
      <c r="F11" s="31"/>
      <c r="G11" s="138"/>
      <c r="H11" s="139"/>
      <c r="I11" s="138"/>
      <c r="J11" s="169" t="s">
        <v>315</v>
      </c>
      <c r="K11" s="52"/>
      <c r="L11" s="52"/>
      <c r="M11" s="52"/>
      <c r="N11" s="52"/>
      <c r="O11" s="52"/>
      <c r="P11" s="52"/>
      <c r="Q11" s="52"/>
      <c r="R11" s="169" t="s">
        <v>591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70"/>
      <c r="AK11" s="14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41"/>
    </row>
    <row r="12" spans="1:66" ht="20.100000000000001" customHeight="1" x14ac:dyDescent="0.45">
      <c r="B12" s="168"/>
      <c r="C12" s="31"/>
      <c r="D12" s="31"/>
      <c r="E12" s="31"/>
      <c r="F12" s="31"/>
      <c r="G12" s="138"/>
      <c r="H12" s="139"/>
      <c r="I12" s="138"/>
      <c r="J12" s="169" t="s">
        <v>316</v>
      </c>
      <c r="K12" s="52"/>
      <c r="L12" s="52"/>
      <c r="M12" s="52"/>
      <c r="N12" s="52"/>
      <c r="O12" s="52"/>
      <c r="P12" s="52"/>
      <c r="Q12" s="52"/>
      <c r="R12" s="169" t="s">
        <v>592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70"/>
      <c r="AK12" s="14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41"/>
    </row>
    <row r="13" spans="1:66" ht="20.100000000000001" customHeight="1" x14ac:dyDescent="0.45">
      <c r="B13" s="168"/>
      <c r="C13" s="31"/>
      <c r="D13" s="31"/>
      <c r="E13" s="31"/>
      <c r="F13" s="31"/>
      <c r="G13" s="138"/>
      <c r="H13" s="139"/>
      <c r="I13" s="138"/>
      <c r="J13" s="169" t="s">
        <v>317</v>
      </c>
      <c r="K13" s="52"/>
      <c r="L13" s="52"/>
      <c r="M13" s="52"/>
      <c r="N13" s="52"/>
      <c r="O13" s="52"/>
      <c r="P13" s="52"/>
      <c r="Q13" s="52"/>
      <c r="R13" s="169" t="s">
        <v>593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70"/>
      <c r="AK13" s="14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41"/>
    </row>
    <row r="14" spans="1:66" ht="20.100000000000001" customHeight="1" x14ac:dyDescent="0.45">
      <c r="B14" s="168"/>
      <c r="C14" s="31"/>
      <c r="D14" s="31"/>
      <c r="E14" s="31"/>
      <c r="F14" s="31"/>
      <c r="G14" s="138"/>
      <c r="H14" s="139"/>
      <c r="I14" s="138"/>
      <c r="J14" s="169" t="s">
        <v>318</v>
      </c>
      <c r="K14" s="52"/>
      <c r="L14" s="52"/>
      <c r="M14" s="52"/>
      <c r="N14" s="52"/>
      <c r="O14" s="52"/>
      <c r="P14" s="52"/>
      <c r="Q14" s="52"/>
      <c r="R14" s="169" t="s">
        <v>594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70"/>
      <c r="AK14" s="140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41"/>
    </row>
    <row r="15" spans="1:66" ht="20.100000000000001" customHeight="1" x14ac:dyDescent="0.45">
      <c r="B15" s="168"/>
      <c r="C15" s="31"/>
      <c r="D15" s="31"/>
      <c r="E15" s="31"/>
      <c r="F15" s="31"/>
      <c r="G15" s="138"/>
      <c r="H15" s="139"/>
      <c r="I15" s="138"/>
      <c r="J15" s="169" t="s">
        <v>319</v>
      </c>
      <c r="K15" s="52"/>
      <c r="L15" s="52"/>
      <c r="M15" s="52"/>
      <c r="N15" s="52"/>
      <c r="O15" s="52"/>
      <c r="P15" s="52"/>
      <c r="Q15" s="52"/>
      <c r="R15" s="169" t="s">
        <v>595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70"/>
      <c r="AK15" s="14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41"/>
    </row>
    <row r="16" spans="1:66" ht="20.100000000000001" customHeight="1" x14ac:dyDescent="0.45">
      <c r="B16" s="168"/>
      <c r="C16" s="31"/>
      <c r="D16" s="31"/>
      <c r="E16" s="31"/>
      <c r="F16" s="31"/>
      <c r="G16" s="138"/>
      <c r="H16" s="139"/>
      <c r="I16" s="138"/>
      <c r="J16" s="169" t="s">
        <v>320</v>
      </c>
      <c r="K16" s="52"/>
      <c r="L16" s="52"/>
      <c r="M16" s="52"/>
      <c r="N16" s="52"/>
      <c r="O16" s="52"/>
      <c r="P16" s="52"/>
      <c r="Q16" s="52"/>
      <c r="R16" s="169" t="s">
        <v>596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70"/>
      <c r="AK16" s="14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41"/>
    </row>
    <row r="17" spans="2:61" ht="20.100000000000001" customHeight="1" x14ac:dyDescent="0.45">
      <c r="B17" s="168"/>
      <c r="C17" s="31"/>
      <c r="D17" s="31"/>
      <c r="E17" s="31"/>
      <c r="F17" s="31"/>
      <c r="G17" s="138"/>
      <c r="H17" s="139"/>
      <c r="I17" s="138"/>
      <c r="J17" s="169" t="s">
        <v>321</v>
      </c>
      <c r="K17" s="52"/>
      <c r="L17" s="52"/>
      <c r="M17" s="52"/>
      <c r="N17" s="52"/>
      <c r="O17" s="52"/>
      <c r="P17" s="52"/>
      <c r="Q17" s="52"/>
      <c r="R17" s="169" t="s">
        <v>597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70"/>
      <c r="AK17" s="14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41"/>
    </row>
    <row r="18" spans="2:61" ht="20.100000000000001" customHeight="1" x14ac:dyDescent="0.45">
      <c r="B18" s="168"/>
      <c r="C18" s="31"/>
      <c r="D18" s="31"/>
      <c r="E18" s="31"/>
      <c r="F18" s="31"/>
      <c r="G18" s="138"/>
      <c r="H18" s="139"/>
      <c r="I18" s="138"/>
      <c r="J18" s="169" t="s">
        <v>322</v>
      </c>
      <c r="K18" s="52"/>
      <c r="L18" s="52"/>
      <c r="M18" s="52"/>
      <c r="N18" s="52"/>
      <c r="O18" s="52"/>
      <c r="P18" s="52"/>
      <c r="Q18" s="52"/>
      <c r="R18" s="169" t="s">
        <v>598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70"/>
      <c r="AK18" s="14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41"/>
    </row>
    <row r="19" spans="2:61" ht="20.100000000000001" customHeight="1" x14ac:dyDescent="0.45">
      <c r="B19" s="168"/>
      <c r="C19" s="31"/>
      <c r="D19" s="31"/>
      <c r="E19" s="31"/>
      <c r="F19" s="31"/>
      <c r="G19" s="138"/>
      <c r="H19" s="139"/>
      <c r="I19" s="138"/>
      <c r="J19" s="169" t="s">
        <v>323</v>
      </c>
      <c r="K19" s="52"/>
      <c r="L19" s="52"/>
      <c r="M19" s="52"/>
      <c r="N19" s="52"/>
      <c r="O19" s="52"/>
      <c r="P19" s="52"/>
      <c r="Q19" s="52"/>
      <c r="R19" s="169" t="s">
        <v>599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70"/>
      <c r="AK19" s="14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41"/>
    </row>
    <row r="20" spans="2:61" ht="20.100000000000001" customHeight="1" x14ac:dyDescent="0.45">
      <c r="B20" s="168"/>
      <c r="C20" s="31"/>
      <c r="D20" s="31"/>
      <c r="E20" s="31"/>
      <c r="F20" s="31"/>
      <c r="G20" s="138"/>
      <c r="H20" s="139"/>
      <c r="I20" s="138"/>
      <c r="J20" s="169" t="s">
        <v>324</v>
      </c>
      <c r="K20" s="52"/>
      <c r="L20" s="52"/>
      <c r="M20" s="52"/>
      <c r="N20" s="52"/>
      <c r="O20" s="52"/>
      <c r="P20" s="52"/>
      <c r="Q20" s="52"/>
      <c r="R20" s="169" t="s">
        <v>600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70"/>
      <c r="AK20" s="140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41"/>
    </row>
    <row r="21" spans="2:61" ht="20.100000000000001" customHeight="1" x14ac:dyDescent="0.45">
      <c r="B21" s="168"/>
      <c r="C21" s="31"/>
      <c r="D21" s="31"/>
      <c r="E21" s="31"/>
      <c r="F21" s="31"/>
      <c r="G21" s="138"/>
      <c r="H21" s="139"/>
      <c r="I21" s="138"/>
      <c r="J21" s="169" t="s">
        <v>325</v>
      </c>
      <c r="K21" s="52"/>
      <c r="L21" s="52"/>
      <c r="M21" s="52"/>
      <c r="N21" s="52"/>
      <c r="O21" s="52"/>
      <c r="P21" s="52"/>
      <c r="Q21" s="52"/>
      <c r="R21" s="169" t="s">
        <v>601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70"/>
      <c r="AK21" s="14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41"/>
    </row>
    <row r="22" spans="2:61" ht="20.100000000000001" customHeight="1" x14ac:dyDescent="0.45">
      <c r="B22" s="168"/>
      <c r="C22" s="31"/>
      <c r="D22" s="31"/>
      <c r="E22" s="31"/>
      <c r="F22" s="31"/>
      <c r="G22" s="138"/>
      <c r="H22" s="139"/>
      <c r="I22" s="138"/>
      <c r="J22" s="169" t="s">
        <v>326</v>
      </c>
      <c r="K22" s="52"/>
      <c r="L22" s="52"/>
      <c r="M22" s="52"/>
      <c r="N22" s="52"/>
      <c r="O22" s="52"/>
      <c r="P22" s="52"/>
      <c r="Q22" s="52"/>
      <c r="R22" s="169" t="s">
        <v>602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70"/>
      <c r="AK22" s="140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41"/>
    </row>
    <row r="23" spans="2:61" ht="20.100000000000001" customHeight="1" x14ac:dyDescent="0.45">
      <c r="B23" s="168"/>
      <c r="C23" s="31"/>
      <c r="D23" s="31"/>
      <c r="E23" s="31"/>
      <c r="F23" s="31"/>
      <c r="G23" s="138"/>
      <c r="H23" s="139"/>
      <c r="I23" s="138"/>
      <c r="J23" s="169" t="s">
        <v>327</v>
      </c>
      <c r="K23" s="52"/>
      <c r="L23" s="52"/>
      <c r="M23" s="52"/>
      <c r="N23" s="52"/>
      <c r="O23" s="52"/>
      <c r="P23" s="52"/>
      <c r="Q23" s="52"/>
      <c r="R23" s="169" t="s">
        <v>603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70"/>
      <c r="AK23" s="140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41"/>
    </row>
    <row r="24" spans="2:61" ht="20.100000000000001" customHeight="1" x14ac:dyDescent="0.45">
      <c r="B24" s="168"/>
      <c r="C24" s="31"/>
      <c r="D24" s="31"/>
      <c r="E24" s="31"/>
      <c r="F24" s="31"/>
      <c r="G24" s="138"/>
      <c r="H24" s="139"/>
      <c r="I24" s="138"/>
      <c r="J24" s="169" t="s">
        <v>296</v>
      </c>
      <c r="K24" s="52"/>
      <c r="L24" s="52"/>
      <c r="M24" s="52"/>
      <c r="N24" s="52"/>
      <c r="O24" s="52"/>
      <c r="P24" s="52"/>
      <c r="Q24" s="52"/>
      <c r="R24" s="169" t="s">
        <v>604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70"/>
      <c r="AK24" s="14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41"/>
    </row>
    <row r="25" spans="2:61" ht="20.100000000000001" customHeight="1" x14ac:dyDescent="0.45">
      <c r="B25" s="168"/>
      <c r="C25" s="31"/>
      <c r="D25" s="31"/>
      <c r="E25" s="31"/>
      <c r="F25" s="31"/>
      <c r="G25" s="138"/>
      <c r="H25" s="139"/>
      <c r="I25" s="138"/>
      <c r="J25" s="169" t="s">
        <v>328</v>
      </c>
      <c r="K25" s="52"/>
      <c r="L25" s="52"/>
      <c r="M25" s="52"/>
      <c r="N25" s="52"/>
      <c r="O25" s="52"/>
      <c r="P25" s="52"/>
      <c r="Q25" s="52"/>
      <c r="R25" s="169" t="s">
        <v>605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70"/>
      <c r="AK25" s="14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41"/>
    </row>
    <row r="26" spans="2:61" ht="20.100000000000001" customHeight="1" x14ac:dyDescent="0.45">
      <c r="B26" s="168"/>
      <c r="C26" s="31"/>
      <c r="D26" s="31"/>
      <c r="E26" s="31"/>
      <c r="F26" s="31"/>
      <c r="G26" s="138"/>
      <c r="H26" s="139"/>
      <c r="I26" s="138"/>
      <c r="J26" s="169" t="s">
        <v>329</v>
      </c>
      <c r="K26" s="52"/>
      <c r="L26" s="52"/>
      <c r="M26" s="52"/>
      <c r="N26" s="52"/>
      <c r="O26" s="52"/>
      <c r="P26" s="52"/>
      <c r="Q26" s="52"/>
      <c r="R26" s="181" t="s">
        <v>606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70"/>
      <c r="AK26" s="14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41"/>
    </row>
    <row r="27" spans="2:61" ht="20.100000000000001" customHeight="1" x14ac:dyDescent="0.45">
      <c r="B27" s="168"/>
      <c r="C27" s="31"/>
      <c r="D27" s="31"/>
      <c r="E27" s="31"/>
      <c r="F27" s="31"/>
      <c r="G27" s="138"/>
      <c r="H27" s="139"/>
      <c r="I27" s="138"/>
      <c r="J27" s="169" t="s">
        <v>298</v>
      </c>
      <c r="K27" s="52"/>
      <c r="L27" s="52"/>
      <c r="M27" s="52"/>
      <c r="N27" s="52"/>
      <c r="O27" s="52"/>
      <c r="P27" s="52"/>
      <c r="Q27" s="52"/>
      <c r="R27" s="176" t="s">
        <v>607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70"/>
      <c r="AK27" s="140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41"/>
    </row>
    <row r="28" spans="2:61" ht="20.100000000000001" customHeight="1" x14ac:dyDescent="0.45">
      <c r="B28" s="168"/>
      <c r="C28" s="31"/>
      <c r="D28" s="31"/>
      <c r="E28" s="31"/>
      <c r="F28" s="31"/>
      <c r="G28" s="138"/>
      <c r="H28" s="139"/>
      <c r="I28" s="138"/>
      <c r="J28" s="169" t="s">
        <v>330</v>
      </c>
      <c r="K28" s="52"/>
      <c r="L28" s="52"/>
      <c r="M28" s="52"/>
      <c r="N28" s="52"/>
      <c r="O28" s="52"/>
      <c r="P28" s="52"/>
      <c r="Q28" s="52"/>
      <c r="R28" s="181" t="s">
        <v>608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70"/>
      <c r="AK28" s="140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41"/>
    </row>
    <row r="29" spans="2:61" ht="20.100000000000001" customHeight="1" x14ac:dyDescent="0.45">
      <c r="B29" s="168"/>
      <c r="C29" s="31"/>
      <c r="D29" s="31"/>
      <c r="E29" s="31"/>
      <c r="F29" s="31"/>
      <c r="G29" s="138"/>
      <c r="H29" s="139"/>
      <c r="I29" s="138"/>
      <c r="J29" s="169" t="s">
        <v>301</v>
      </c>
      <c r="K29" s="52"/>
      <c r="L29" s="52"/>
      <c r="M29" s="52"/>
      <c r="N29" s="52"/>
      <c r="O29" s="52"/>
      <c r="P29" s="52"/>
      <c r="Q29" s="52"/>
      <c r="R29" s="181" t="s">
        <v>609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70"/>
      <c r="AK29" s="140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41"/>
    </row>
    <row r="30" spans="2:61" ht="20.100000000000001" customHeight="1" x14ac:dyDescent="0.45">
      <c r="B30" s="168"/>
      <c r="C30" s="31"/>
      <c r="D30" s="31"/>
      <c r="E30" s="31"/>
      <c r="F30" s="31"/>
      <c r="G30" s="138"/>
      <c r="H30" s="139"/>
      <c r="I30" s="138"/>
      <c r="J30" s="169" t="s">
        <v>331</v>
      </c>
      <c r="K30" s="52"/>
      <c r="L30" s="52"/>
      <c r="M30" s="52"/>
      <c r="N30" s="52"/>
      <c r="O30" s="52"/>
      <c r="P30" s="52"/>
      <c r="Q30" s="52"/>
      <c r="R30" s="181" t="s">
        <v>610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70"/>
      <c r="AK30" s="140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41"/>
    </row>
    <row r="31" spans="2:61" ht="20.100000000000001" customHeight="1" x14ac:dyDescent="0.45">
      <c r="B31" s="168"/>
      <c r="C31" s="31"/>
      <c r="D31" s="31"/>
      <c r="E31" s="31"/>
      <c r="F31" s="31"/>
      <c r="G31" s="138"/>
      <c r="H31" s="139"/>
      <c r="I31" s="138"/>
      <c r="J31" s="169" t="s">
        <v>302</v>
      </c>
      <c r="K31" s="52"/>
      <c r="L31" s="52"/>
      <c r="M31" s="52"/>
      <c r="N31" s="52"/>
      <c r="O31" s="52"/>
      <c r="P31" s="52"/>
      <c r="Q31" s="52"/>
      <c r="R31" s="176" t="s">
        <v>611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70"/>
      <c r="AK31" s="140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41"/>
    </row>
    <row r="32" spans="2:61" ht="20.100000000000001" customHeight="1" x14ac:dyDescent="0.45">
      <c r="B32" s="168"/>
      <c r="C32" s="31"/>
      <c r="D32" s="31"/>
      <c r="E32" s="31"/>
      <c r="F32" s="31"/>
      <c r="G32" s="138"/>
      <c r="H32" s="139"/>
      <c r="I32" s="138"/>
      <c r="J32" s="169" t="s">
        <v>307</v>
      </c>
      <c r="K32" s="52"/>
      <c r="L32" s="52"/>
      <c r="M32" s="52"/>
      <c r="N32" s="52"/>
      <c r="O32" s="52"/>
      <c r="P32" s="52"/>
      <c r="Q32" s="52"/>
      <c r="R32" s="169" t="s">
        <v>612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70"/>
      <c r="AK32" s="140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41"/>
    </row>
    <row r="33" spans="2:61" ht="20.100000000000001" customHeight="1" x14ac:dyDescent="0.45">
      <c r="B33" s="168"/>
      <c r="C33" s="31"/>
      <c r="D33" s="31"/>
      <c r="E33" s="31"/>
      <c r="F33" s="31"/>
      <c r="G33" s="138"/>
      <c r="H33" s="139"/>
      <c r="I33" s="138"/>
      <c r="J33" s="169" t="s">
        <v>309</v>
      </c>
      <c r="K33" s="52"/>
      <c r="L33" s="52"/>
      <c r="M33" s="52"/>
      <c r="N33" s="52"/>
      <c r="O33" s="52"/>
      <c r="P33" s="52"/>
      <c r="Q33" s="52"/>
      <c r="R33" s="169" t="s">
        <v>613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70"/>
      <c r="AK33" s="140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41"/>
    </row>
    <row r="34" spans="2:61" ht="20.100000000000001" customHeight="1" x14ac:dyDescent="0.45">
      <c r="B34" s="168"/>
      <c r="C34" s="31"/>
      <c r="D34" s="31"/>
      <c r="E34" s="31"/>
      <c r="F34" s="31"/>
      <c r="G34" s="138"/>
      <c r="H34" s="139"/>
      <c r="I34" s="138"/>
      <c r="J34" s="169" t="s">
        <v>333</v>
      </c>
      <c r="K34" s="52"/>
      <c r="L34" s="52"/>
      <c r="M34" s="52"/>
      <c r="N34" s="52"/>
      <c r="O34" s="52"/>
      <c r="P34" s="52"/>
      <c r="Q34" s="52"/>
      <c r="R34" s="169" t="s">
        <v>614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70"/>
      <c r="AK34" s="140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41"/>
    </row>
    <row r="35" spans="2:61" ht="20.100000000000001" customHeight="1" x14ac:dyDescent="0.45">
      <c r="B35" s="168"/>
      <c r="C35" s="31"/>
      <c r="D35" s="31"/>
      <c r="E35" s="31"/>
      <c r="F35" s="31"/>
      <c r="G35" s="138"/>
      <c r="H35" s="139"/>
      <c r="I35" s="138"/>
      <c r="J35" s="169" t="s">
        <v>305</v>
      </c>
      <c r="K35" s="52"/>
      <c r="L35" s="52"/>
      <c r="M35" s="52"/>
      <c r="N35" s="52"/>
      <c r="O35" s="52"/>
      <c r="P35" s="52"/>
      <c r="Q35" s="52"/>
      <c r="R35" s="169" t="s">
        <v>615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70"/>
      <c r="AK35" s="140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41"/>
    </row>
    <row r="36" spans="2:61" ht="20.100000000000001" customHeight="1" x14ac:dyDescent="0.45">
      <c r="B36" s="168"/>
      <c r="C36" s="31"/>
      <c r="D36" s="31"/>
      <c r="E36" s="31"/>
      <c r="F36" s="31"/>
      <c r="G36" s="138"/>
      <c r="H36" s="139"/>
      <c r="I36" s="138"/>
      <c r="J36" s="169" t="s">
        <v>334</v>
      </c>
      <c r="K36" s="52"/>
      <c r="L36" s="52"/>
      <c r="M36" s="52"/>
      <c r="N36" s="52"/>
      <c r="O36" s="52"/>
      <c r="P36" s="52"/>
      <c r="Q36" s="52"/>
      <c r="R36" s="169" t="s">
        <v>616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70"/>
      <c r="AK36" s="140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41"/>
    </row>
    <row r="37" spans="2:61" ht="20.100000000000001" customHeight="1" x14ac:dyDescent="0.45">
      <c r="B37" s="168"/>
      <c r="C37" s="31"/>
      <c r="D37" s="31"/>
      <c r="E37" s="31"/>
      <c r="F37" s="31"/>
      <c r="G37" s="138"/>
      <c r="H37" s="139"/>
      <c r="I37" s="138"/>
      <c r="J37" s="169" t="s">
        <v>335</v>
      </c>
      <c r="K37" s="52"/>
      <c r="L37" s="52"/>
      <c r="M37" s="52"/>
      <c r="N37" s="52"/>
      <c r="O37" s="52"/>
      <c r="P37" s="52"/>
      <c r="Q37" s="52"/>
      <c r="R37" s="169" t="s">
        <v>617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70"/>
      <c r="AK37" s="140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41"/>
    </row>
    <row r="38" spans="2:61" ht="20.100000000000001" customHeight="1" x14ac:dyDescent="0.45">
      <c r="B38" s="168"/>
      <c r="C38" s="31"/>
      <c r="D38" s="31"/>
      <c r="E38" s="31"/>
      <c r="F38" s="31"/>
      <c r="G38" s="138"/>
      <c r="H38" s="139"/>
      <c r="I38" s="138"/>
      <c r="J38" s="169" t="s">
        <v>336</v>
      </c>
      <c r="K38" s="52"/>
      <c r="L38" s="52"/>
      <c r="M38" s="52"/>
      <c r="N38" s="52"/>
      <c r="O38" s="52"/>
      <c r="P38" s="52"/>
      <c r="Q38" s="52"/>
      <c r="R38" s="169" t="s">
        <v>618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70"/>
      <c r="AK38" s="140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41"/>
    </row>
    <row r="39" spans="2:61" ht="20.100000000000001" customHeight="1" x14ac:dyDescent="0.45">
      <c r="B39" s="168"/>
      <c r="C39" s="31"/>
      <c r="D39" s="31"/>
      <c r="E39" s="31"/>
      <c r="F39" s="31"/>
      <c r="G39" s="138"/>
      <c r="H39" s="139"/>
      <c r="I39" s="138"/>
      <c r="J39" s="169" t="s">
        <v>337</v>
      </c>
      <c r="K39" s="52"/>
      <c r="L39" s="52"/>
      <c r="M39" s="52"/>
      <c r="N39" s="52"/>
      <c r="O39" s="52"/>
      <c r="P39" s="52"/>
      <c r="Q39" s="52"/>
      <c r="R39" s="169" t="s">
        <v>619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70"/>
      <c r="AK39" s="140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41"/>
    </row>
    <row r="40" spans="2:61" ht="20.100000000000001" customHeight="1" x14ac:dyDescent="0.45">
      <c r="B40" s="168"/>
      <c r="C40" s="31"/>
      <c r="D40" s="31"/>
      <c r="E40" s="31"/>
      <c r="F40" s="31"/>
      <c r="G40" s="138"/>
      <c r="H40" s="139"/>
      <c r="I40" s="138"/>
      <c r="J40" s="169" t="s">
        <v>338</v>
      </c>
      <c r="K40" s="52"/>
      <c r="L40" s="52"/>
      <c r="M40" s="52"/>
      <c r="N40" s="52"/>
      <c r="O40" s="52"/>
      <c r="P40" s="52"/>
      <c r="Q40" s="52"/>
      <c r="R40" s="169" t="s">
        <v>620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70"/>
      <c r="AK40" s="140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41"/>
    </row>
    <row r="41" spans="2:61" ht="20.100000000000001" customHeight="1" x14ac:dyDescent="0.45">
      <c r="B41" s="168"/>
      <c r="C41" s="31"/>
      <c r="D41" s="31"/>
      <c r="E41" s="31"/>
      <c r="F41" s="31"/>
      <c r="G41" s="138"/>
      <c r="H41" s="139"/>
      <c r="I41" s="138"/>
      <c r="J41" s="169" t="s">
        <v>339</v>
      </c>
      <c r="K41" s="52"/>
      <c r="L41" s="52"/>
      <c r="M41" s="52"/>
      <c r="N41" s="52"/>
      <c r="O41" s="52"/>
      <c r="P41" s="52"/>
      <c r="Q41" s="52"/>
      <c r="R41" s="169" t="s">
        <v>621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70"/>
      <c r="AK41" s="140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41"/>
    </row>
    <row r="42" spans="2:61" ht="20.100000000000001" customHeight="1" x14ac:dyDescent="0.45">
      <c r="B42" s="168"/>
      <c r="C42" s="31"/>
      <c r="D42" s="31"/>
      <c r="E42" s="31"/>
      <c r="F42" s="31"/>
      <c r="G42" s="138"/>
      <c r="H42" s="145"/>
      <c r="I42" s="171"/>
      <c r="J42" s="169" t="s">
        <v>340</v>
      </c>
      <c r="K42" s="52"/>
      <c r="L42" s="52"/>
      <c r="M42" s="52"/>
      <c r="N42" s="52"/>
      <c r="O42" s="52"/>
      <c r="P42" s="52"/>
      <c r="Q42" s="52"/>
      <c r="R42" s="184" t="s">
        <v>624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70"/>
      <c r="AK42" s="140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41"/>
    </row>
    <row r="43" spans="2:61" ht="20.100000000000001" customHeight="1" x14ac:dyDescent="0.45">
      <c r="B43" s="168"/>
      <c r="C43" s="31"/>
      <c r="D43" s="31"/>
      <c r="E43" s="31"/>
      <c r="F43" s="31"/>
      <c r="G43" s="138"/>
      <c r="H43" s="139" t="s">
        <v>145</v>
      </c>
      <c r="I43" s="31"/>
      <c r="J43" s="139" t="s">
        <v>164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40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41"/>
    </row>
    <row r="44" spans="2:61" ht="20.100000000000001" customHeight="1" x14ac:dyDescent="0.45">
      <c r="B44" s="137"/>
      <c r="C44" s="31"/>
      <c r="D44" s="31"/>
      <c r="E44" s="31"/>
      <c r="F44" s="31"/>
      <c r="G44" s="138"/>
      <c r="H44" s="139"/>
      <c r="I44" s="31"/>
      <c r="J44" s="139" t="s">
        <v>172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40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41"/>
    </row>
    <row r="45" spans="2:61" ht="20.100000000000001" customHeight="1" x14ac:dyDescent="0.45">
      <c r="B45" s="137"/>
      <c r="C45" s="31"/>
      <c r="D45" s="31"/>
      <c r="E45" s="31"/>
      <c r="F45" s="31"/>
      <c r="G45" s="138"/>
      <c r="H45" s="139"/>
      <c r="I45" s="31"/>
      <c r="J45" s="139" t="s">
        <v>168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40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41"/>
    </row>
    <row r="46" spans="2:61" ht="20.100000000000001" customHeight="1" x14ac:dyDescent="0.45">
      <c r="B46" s="137"/>
      <c r="C46" s="31"/>
      <c r="D46" s="31"/>
      <c r="E46" s="31"/>
      <c r="F46" s="31"/>
      <c r="G46" s="138"/>
      <c r="H46" s="139"/>
      <c r="I46" s="31"/>
      <c r="J46" s="139" t="s">
        <v>169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40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41"/>
    </row>
    <row r="47" spans="2:61" ht="20.100000000000001" customHeight="1" x14ac:dyDescent="0.45">
      <c r="B47" s="137"/>
      <c r="C47" s="31"/>
      <c r="D47" s="31"/>
      <c r="E47" s="31"/>
      <c r="F47" s="31"/>
      <c r="G47" s="138"/>
      <c r="H47" s="139"/>
      <c r="I47" s="31"/>
      <c r="J47" s="139" t="s">
        <v>170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40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41"/>
    </row>
    <row r="48" spans="2:61" ht="20.100000000000001" customHeight="1" x14ac:dyDescent="0.45">
      <c r="B48" s="137"/>
      <c r="C48" s="31"/>
      <c r="D48" s="31"/>
      <c r="E48" s="31"/>
      <c r="F48" s="31"/>
      <c r="G48" s="138"/>
      <c r="H48" s="139"/>
      <c r="I48" s="31"/>
      <c r="J48" s="139" t="s">
        <v>171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40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41"/>
    </row>
    <row r="49" spans="2:61" ht="20.100000000000001" customHeight="1" x14ac:dyDescent="0.45">
      <c r="B49" s="137"/>
      <c r="C49" s="31"/>
      <c r="D49" s="31"/>
      <c r="E49" s="31"/>
      <c r="F49" s="31"/>
      <c r="G49" s="138"/>
      <c r="H49" s="139"/>
      <c r="I49" s="31"/>
      <c r="J49" s="139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40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41"/>
    </row>
    <row r="50" spans="2:61" ht="20.100000000000001" customHeight="1" x14ac:dyDescent="0.45">
      <c r="B50" s="137"/>
      <c r="C50" s="31"/>
      <c r="D50" s="31"/>
      <c r="E50" s="31"/>
      <c r="F50" s="31"/>
      <c r="G50" s="138"/>
      <c r="H50" s="142" t="s">
        <v>235</v>
      </c>
      <c r="I50" s="55"/>
      <c r="J50" s="142" t="s">
        <v>586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143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144"/>
    </row>
    <row r="51" spans="2:61" ht="20.100000000000001" customHeight="1" x14ac:dyDescent="0.45">
      <c r="B51" s="137"/>
      <c r="C51" s="31"/>
      <c r="D51" s="31"/>
      <c r="E51" s="31"/>
      <c r="F51" s="31"/>
      <c r="G51" s="138"/>
      <c r="H51" s="139"/>
      <c r="I51" s="31"/>
      <c r="J51" s="139"/>
      <c r="K51" s="31"/>
      <c r="L51" s="31" t="s">
        <v>585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40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41"/>
    </row>
    <row r="52" spans="2:61" ht="20.100000000000001" customHeight="1" x14ac:dyDescent="0.45">
      <c r="B52" s="137"/>
      <c r="C52" s="31"/>
      <c r="D52" s="31"/>
      <c r="E52" s="31"/>
      <c r="F52" s="31"/>
      <c r="G52" s="138"/>
      <c r="H52" s="139"/>
      <c r="I52" s="31"/>
      <c r="J52" s="139"/>
      <c r="K52" s="31" t="s">
        <v>173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40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41"/>
    </row>
    <row r="53" spans="2:61" ht="20.100000000000001" customHeight="1" x14ac:dyDescent="0.45">
      <c r="B53" s="137"/>
      <c r="C53" s="31"/>
      <c r="D53" s="31"/>
      <c r="E53" s="31"/>
      <c r="F53" s="31"/>
      <c r="G53" s="138"/>
      <c r="H53" s="139"/>
      <c r="I53" s="31"/>
      <c r="J53" s="139"/>
      <c r="K53" s="31"/>
      <c r="L53" s="31" t="s">
        <v>172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40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41"/>
    </row>
    <row r="54" spans="2:61" ht="20.100000000000001" customHeight="1" x14ac:dyDescent="0.45">
      <c r="B54" s="137"/>
      <c r="C54" s="31"/>
      <c r="D54" s="31"/>
      <c r="E54" s="31"/>
      <c r="F54" s="31"/>
      <c r="G54" s="138"/>
      <c r="H54" s="139"/>
      <c r="I54" s="31"/>
      <c r="J54" s="139"/>
      <c r="K54" s="31" t="s">
        <v>173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40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41"/>
    </row>
    <row r="55" spans="2:61" ht="20.100000000000001" customHeight="1" x14ac:dyDescent="0.45">
      <c r="B55" s="137"/>
      <c r="C55" s="31"/>
      <c r="D55" s="31"/>
      <c r="E55" s="31"/>
      <c r="F55" s="31"/>
      <c r="G55" s="138"/>
      <c r="H55" s="139"/>
      <c r="I55" s="31"/>
      <c r="J55" s="139"/>
      <c r="K55" s="31"/>
      <c r="L55" s="31" t="s">
        <v>168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40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41"/>
    </row>
    <row r="56" spans="2:61" ht="20.100000000000001" customHeight="1" x14ac:dyDescent="0.45">
      <c r="B56" s="137"/>
      <c r="C56" s="31"/>
      <c r="D56" s="31"/>
      <c r="E56" s="31"/>
      <c r="F56" s="31"/>
      <c r="G56" s="138"/>
      <c r="H56" s="139"/>
      <c r="I56" s="31"/>
      <c r="J56" s="139"/>
      <c r="K56" s="31" t="s">
        <v>173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40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41"/>
    </row>
    <row r="57" spans="2:61" ht="20.100000000000001" customHeight="1" x14ac:dyDescent="0.45">
      <c r="B57" s="137"/>
      <c r="C57" s="31"/>
      <c r="D57" s="31"/>
      <c r="E57" s="31"/>
      <c r="F57" s="31"/>
      <c r="G57" s="138"/>
      <c r="H57" s="139"/>
      <c r="I57" s="31"/>
      <c r="J57" s="139"/>
      <c r="K57" s="31"/>
      <c r="L57" s="31" t="s">
        <v>342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40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41"/>
    </row>
    <row r="58" spans="2:61" ht="20.100000000000001" customHeight="1" x14ac:dyDescent="0.45">
      <c r="B58" s="137"/>
      <c r="C58" s="31"/>
      <c r="D58" s="31"/>
      <c r="E58" s="31"/>
      <c r="F58" s="31"/>
      <c r="G58" s="138"/>
      <c r="H58" s="139"/>
      <c r="I58" s="31"/>
      <c r="J58" s="139"/>
      <c r="K58" s="31" t="s">
        <v>173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40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41"/>
    </row>
    <row r="59" spans="2:61" ht="20.100000000000001" customHeight="1" x14ac:dyDescent="0.45">
      <c r="B59" s="137"/>
      <c r="C59" s="31"/>
      <c r="D59" s="31"/>
      <c r="E59" s="31"/>
      <c r="F59" s="31"/>
      <c r="G59" s="138"/>
      <c r="H59" s="139"/>
      <c r="I59" s="31"/>
      <c r="J59" s="139"/>
      <c r="K59" s="31"/>
      <c r="L59" s="31" t="s">
        <v>343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40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41"/>
    </row>
    <row r="60" spans="2:61" ht="20.100000000000001" customHeight="1" x14ac:dyDescent="0.45">
      <c r="B60" s="137"/>
      <c r="C60" s="31"/>
      <c r="D60" s="31"/>
      <c r="E60" s="31"/>
      <c r="F60" s="31"/>
      <c r="G60" s="138"/>
      <c r="H60" s="139"/>
      <c r="I60" s="31"/>
      <c r="J60" s="139"/>
      <c r="K60" s="31" t="s">
        <v>173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40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41"/>
    </row>
    <row r="61" spans="2:61" ht="20.100000000000001" customHeight="1" x14ac:dyDescent="0.45">
      <c r="B61" s="137"/>
      <c r="C61" s="31"/>
      <c r="D61" s="31"/>
      <c r="E61" s="31"/>
      <c r="F61" s="31"/>
      <c r="G61" s="138"/>
      <c r="H61" s="139"/>
      <c r="I61" s="31"/>
      <c r="J61" s="139"/>
      <c r="K61" s="31"/>
      <c r="L61" s="31" t="s">
        <v>344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40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41"/>
    </row>
    <row r="62" spans="2:61" ht="20.100000000000001" customHeight="1" x14ac:dyDescent="0.45">
      <c r="B62" s="137"/>
      <c r="C62" s="31"/>
      <c r="D62" s="31"/>
      <c r="E62" s="31"/>
      <c r="F62" s="31"/>
      <c r="G62" s="138"/>
      <c r="H62" s="139"/>
      <c r="I62" s="31"/>
      <c r="J62" s="139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40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41"/>
    </row>
    <row r="63" spans="2:61" ht="20.100000000000001" customHeight="1" x14ac:dyDescent="0.45">
      <c r="B63" s="137"/>
      <c r="C63" s="31"/>
      <c r="D63" s="31"/>
      <c r="E63" s="31"/>
      <c r="F63" s="31"/>
      <c r="G63" s="138"/>
      <c r="H63" s="139"/>
      <c r="I63" s="31"/>
      <c r="J63" s="139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40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41"/>
    </row>
    <row r="64" spans="2:61" ht="20.100000000000001" customHeight="1" thickBot="1" x14ac:dyDescent="0.5">
      <c r="B64" s="137"/>
      <c r="C64" s="31"/>
      <c r="D64" s="31"/>
      <c r="E64" s="31"/>
      <c r="F64" s="31"/>
      <c r="G64" s="138"/>
      <c r="H64" s="139"/>
      <c r="I64" s="31"/>
      <c r="J64" s="139" t="s">
        <v>587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40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41"/>
    </row>
    <row r="65" spans="2:61" ht="20.100000000000001" customHeight="1" x14ac:dyDescent="0.45">
      <c r="B65" s="131" t="s">
        <v>379</v>
      </c>
      <c r="C65" s="132"/>
      <c r="D65" s="132"/>
      <c r="E65" s="132"/>
      <c r="F65" s="132"/>
      <c r="G65" s="133"/>
      <c r="H65" s="134" t="s">
        <v>237</v>
      </c>
      <c r="I65" s="133"/>
      <c r="J65" s="173" t="s">
        <v>311</v>
      </c>
      <c r="K65" s="166"/>
      <c r="L65" s="166"/>
      <c r="M65" s="166"/>
      <c r="N65" s="166"/>
      <c r="O65" s="166"/>
      <c r="P65" s="166"/>
      <c r="Q65" s="166"/>
      <c r="R65" s="173" t="s">
        <v>262</v>
      </c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7"/>
      <c r="AK65" s="135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6"/>
    </row>
    <row r="66" spans="2:61" ht="20.100000000000001" customHeight="1" x14ac:dyDescent="0.45">
      <c r="B66" s="168"/>
      <c r="C66" s="31"/>
      <c r="D66" s="31"/>
      <c r="E66" s="31"/>
      <c r="F66" s="31"/>
      <c r="G66" s="138"/>
      <c r="H66" s="139"/>
      <c r="I66" s="138"/>
      <c r="J66" s="169" t="s">
        <v>294</v>
      </c>
      <c r="K66" s="52"/>
      <c r="L66" s="52"/>
      <c r="M66" s="52"/>
      <c r="N66" s="52"/>
      <c r="O66" s="52"/>
      <c r="P66" s="52"/>
      <c r="Q66" s="52"/>
      <c r="R66" s="169" t="s">
        <v>292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70"/>
      <c r="AK66" s="140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41"/>
    </row>
    <row r="67" spans="2:61" ht="20.100000000000001" customHeight="1" x14ac:dyDescent="0.45">
      <c r="B67" s="168"/>
      <c r="C67" s="31"/>
      <c r="D67" s="31"/>
      <c r="E67" s="31"/>
      <c r="F67" s="31"/>
      <c r="G67" s="138"/>
      <c r="H67" s="139"/>
      <c r="I67" s="138"/>
      <c r="J67" s="169" t="s">
        <v>314</v>
      </c>
      <c r="K67" s="52"/>
      <c r="L67" s="52"/>
      <c r="M67" s="52"/>
      <c r="N67" s="52"/>
      <c r="O67" s="52"/>
      <c r="P67" s="52"/>
      <c r="Q67" s="52"/>
      <c r="R67" s="169" t="s">
        <v>312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70"/>
      <c r="AK67" s="140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41"/>
    </row>
    <row r="68" spans="2:61" ht="20.100000000000001" customHeight="1" x14ac:dyDescent="0.45">
      <c r="B68" s="168"/>
      <c r="C68" s="31"/>
      <c r="D68" s="31"/>
      <c r="E68" s="31"/>
      <c r="F68" s="31"/>
      <c r="G68" s="138"/>
      <c r="H68" s="139"/>
      <c r="I68" s="138"/>
      <c r="J68" s="169" t="s">
        <v>315</v>
      </c>
      <c r="K68" s="52"/>
      <c r="L68" s="52"/>
      <c r="M68" s="52"/>
      <c r="N68" s="52"/>
      <c r="O68" s="52"/>
      <c r="P68" s="52"/>
      <c r="Q68" s="52"/>
      <c r="R68" s="169" t="s">
        <v>263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70"/>
      <c r="AK68" s="140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41"/>
    </row>
    <row r="69" spans="2:61" ht="20.100000000000001" customHeight="1" x14ac:dyDescent="0.45">
      <c r="B69" s="168"/>
      <c r="C69" s="31"/>
      <c r="D69" s="31"/>
      <c r="E69" s="31"/>
      <c r="F69" s="31"/>
      <c r="G69" s="138"/>
      <c r="H69" s="139"/>
      <c r="I69" s="138"/>
      <c r="J69" s="169" t="s">
        <v>316</v>
      </c>
      <c r="K69" s="52"/>
      <c r="L69" s="52"/>
      <c r="M69" s="52"/>
      <c r="N69" s="52"/>
      <c r="O69" s="52"/>
      <c r="P69" s="52"/>
      <c r="Q69" s="52"/>
      <c r="R69" s="169" t="s">
        <v>264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70"/>
      <c r="AK69" s="140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41"/>
    </row>
    <row r="70" spans="2:61" ht="20.100000000000001" customHeight="1" x14ac:dyDescent="0.45">
      <c r="B70" s="168"/>
      <c r="C70" s="31"/>
      <c r="D70" s="31"/>
      <c r="E70" s="31"/>
      <c r="F70" s="31"/>
      <c r="G70" s="138"/>
      <c r="H70" s="139"/>
      <c r="I70" s="138"/>
      <c r="J70" s="169" t="s">
        <v>317</v>
      </c>
      <c r="K70" s="52"/>
      <c r="L70" s="52"/>
      <c r="M70" s="52"/>
      <c r="N70" s="52"/>
      <c r="O70" s="52"/>
      <c r="P70" s="52"/>
      <c r="Q70" s="52"/>
      <c r="R70" s="169" t="s">
        <v>265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70"/>
      <c r="AK70" s="140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41"/>
    </row>
    <row r="71" spans="2:61" ht="20.100000000000001" customHeight="1" x14ac:dyDescent="0.45">
      <c r="B71" s="168"/>
      <c r="C71" s="31"/>
      <c r="D71" s="31"/>
      <c r="E71" s="31"/>
      <c r="F71" s="31"/>
      <c r="G71" s="138"/>
      <c r="H71" s="139"/>
      <c r="I71" s="138"/>
      <c r="J71" s="169" t="s">
        <v>318</v>
      </c>
      <c r="K71" s="52"/>
      <c r="L71" s="52"/>
      <c r="M71" s="52"/>
      <c r="N71" s="52"/>
      <c r="O71" s="52"/>
      <c r="P71" s="52"/>
      <c r="Q71" s="52"/>
      <c r="R71" s="169" t="s">
        <v>266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70"/>
      <c r="AK71" s="140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41"/>
    </row>
    <row r="72" spans="2:61" ht="20.100000000000001" customHeight="1" x14ac:dyDescent="0.45">
      <c r="B72" s="168"/>
      <c r="C72" s="31"/>
      <c r="D72" s="31"/>
      <c r="E72" s="31"/>
      <c r="F72" s="31"/>
      <c r="G72" s="138"/>
      <c r="H72" s="139"/>
      <c r="I72" s="138"/>
      <c r="J72" s="169" t="s">
        <v>319</v>
      </c>
      <c r="K72" s="52"/>
      <c r="L72" s="52"/>
      <c r="M72" s="52"/>
      <c r="N72" s="52"/>
      <c r="O72" s="52"/>
      <c r="P72" s="52"/>
      <c r="Q72" s="52"/>
      <c r="R72" s="169" t="s">
        <v>267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70"/>
      <c r="AK72" s="140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41"/>
    </row>
    <row r="73" spans="2:61" ht="20.100000000000001" customHeight="1" x14ac:dyDescent="0.45">
      <c r="B73" s="168"/>
      <c r="C73" s="31"/>
      <c r="D73" s="31"/>
      <c r="E73" s="31"/>
      <c r="F73" s="31"/>
      <c r="G73" s="138"/>
      <c r="H73" s="139"/>
      <c r="I73" s="138"/>
      <c r="J73" s="169" t="s">
        <v>320</v>
      </c>
      <c r="K73" s="52"/>
      <c r="L73" s="52"/>
      <c r="M73" s="52"/>
      <c r="N73" s="52"/>
      <c r="O73" s="52"/>
      <c r="P73" s="52"/>
      <c r="Q73" s="52"/>
      <c r="R73" s="169" t="s">
        <v>268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70"/>
      <c r="AK73" s="140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41"/>
    </row>
    <row r="74" spans="2:61" ht="20.100000000000001" customHeight="1" x14ac:dyDescent="0.45">
      <c r="B74" s="168"/>
      <c r="C74" s="31"/>
      <c r="D74" s="31"/>
      <c r="E74" s="31"/>
      <c r="F74" s="31"/>
      <c r="G74" s="138"/>
      <c r="H74" s="139"/>
      <c r="I74" s="138"/>
      <c r="J74" s="169" t="s">
        <v>321</v>
      </c>
      <c r="K74" s="52"/>
      <c r="L74" s="52"/>
      <c r="M74" s="52"/>
      <c r="N74" s="52"/>
      <c r="O74" s="52"/>
      <c r="P74" s="52"/>
      <c r="Q74" s="52"/>
      <c r="R74" s="169" t="s">
        <v>269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70"/>
      <c r="AK74" s="140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41"/>
    </row>
    <row r="75" spans="2:61" ht="20.100000000000001" customHeight="1" x14ac:dyDescent="0.45">
      <c r="B75" s="168"/>
      <c r="C75" s="31"/>
      <c r="D75" s="31"/>
      <c r="E75" s="31"/>
      <c r="F75" s="31"/>
      <c r="G75" s="138"/>
      <c r="H75" s="139"/>
      <c r="I75" s="138"/>
      <c r="J75" s="169" t="s">
        <v>322</v>
      </c>
      <c r="K75" s="52"/>
      <c r="L75" s="52"/>
      <c r="M75" s="52"/>
      <c r="N75" s="52"/>
      <c r="O75" s="52"/>
      <c r="P75" s="52"/>
      <c r="Q75" s="52"/>
      <c r="R75" s="169" t="s">
        <v>270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70"/>
      <c r="AK75" s="140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41"/>
    </row>
    <row r="76" spans="2:61" ht="20.100000000000001" customHeight="1" x14ac:dyDescent="0.45">
      <c r="B76" s="168"/>
      <c r="C76" s="31"/>
      <c r="D76" s="31"/>
      <c r="E76" s="31"/>
      <c r="F76" s="31"/>
      <c r="G76" s="138"/>
      <c r="H76" s="139"/>
      <c r="I76" s="138"/>
      <c r="J76" s="169" t="s">
        <v>323</v>
      </c>
      <c r="K76" s="52"/>
      <c r="L76" s="52"/>
      <c r="M76" s="52"/>
      <c r="N76" s="52"/>
      <c r="O76" s="52"/>
      <c r="P76" s="52"/>
      <c r="Q76" s="52"/>
      <c r="R76" s="169" t="s">
        <v>271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70"/>
      <c r="AK76" s="140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41"/>
    </row>
    <row r="77" spans="2:61" ht="20.100000000000001" customHeight="1" x14ac:dyDescent="0.45">
      <c r="B77" s="168"/>
      <c r="C77" s="31"/>
      <c r="D77" s="31"/>
      <c r="E77" s="31"/>
      <c r="F77" s="31"/>
      <c r="G77" s="138"/>
      <c r="H77" s="139"/>
      <c r="I77" s="138"/>
      <c r="J77" s="169" t="s">
        <v>324</v>
      </c>
      <c r="K77" s="52"/>
      <c r="L77" s="52"/>
      <c r="M77" s="52"/>
      <c r="N77" s="52"/>
      <c r="O77" s="52"/>
      <c r="P77" s="52"/>
      <c r="Q77" s="52"/>
      <c r="R77" s="169" t="s">
        <v>272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70"/>
      <c r="AK77" s="140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41"/>
    </row>
    <row r="78" spans="2:61" ht="20.100000000000001" customHeight="1" x14ac:dyDescent="0.45">
      <c r="B78" s="168"/>
      <c r="C78" s="31"/>
      <c r="D78" s="31"/>
      <c r="E78" s="31"/>
      <c r="F78" s="31"/>
      <c r="G78" s="138"/>
      <c r="H78" s="139"/>
      <c r="I78" s="138"/>
      <c r="J78" s="169" t="s">
        <v>325</v>
      </c>
      <c r="K78" s="52"/>
      <c r="L78" s="52"/>
      <c r="M78" s="52"/>
      <c r="N78" s="52"/>
      <c r="O78" s="52"/>
      <c r="P78" s="52"/>
      <c r="Q78" s="52"/>
      <c r="R78" s="169" t="s">
        <v>273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70"/>
      <c r="AK78" s="140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41"/>
    </row>
    <row r="79" spans="2:61" ht="20.100000000000001" customHeight="1" x14ac:dyDescent="0.45">
      <c r="B79" s="168"/>
      <c r="C79" s="31"/>
      <c r="D79" s="31"/>
      <c r="E79" s="31"/>
      <c r="F79" s="31"/>
      <c r="G79" s="138"/>
      <c r="H79" s="139"/>
      <c r="I79" s="138"/>
      <c r="J79" s="169" t="s">
        <v>326</v>
      </c>
      <c r="K79" s="52"/>
      <c r="L79" s="52"/>
      <c r="M79" s="52"/>
      <c r="N79" s="52"/>
      <c r="O79" s="52"/>
      <c r="P79" s="52"/>
      <c r="Q79" s="52"/>
      <c r="R79" s="169" t="s">
        <v>274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70"/>
      <c r="AK79" s="140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41"/>
    </row>
    <row r="80" spans="2:61" ht="20.100000000000001" customHeight="1" x14ac:dyDescent="0.45">
      <c r="B80" s="168"/>
      <c r="C80" s="31"/>
      <c r="D80" s="31"/>
      <c r="E80" s="31"/>
      <c r="F80" s="31"/>
      <c r="G80" s="138"/>
      <c r="H80" s="139"/>
      <c r="I80" s="138"/>
      <c r="J80" s="169" t="s">
        <v>327</v>
      </c>
      <c r="K80" s="52"/>
      <c r="L80" s="52"/>
      <c r="M80" s="52"/>
      <c r="N80" s="52"/>
      <c r="O80" s="52"/>
      <c r="P80" s="52"/>
      <c r="Q80" s="52"/>
      <c r="R80" s="169" t="s">
        <v>275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70"/>
      <c r="AK80" s="140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41"/>
    </row>
    <row r="81" spans="2:61" ht="20.100000000000001" customHeight="1" x14ac:dyDescent="0.45">
      <c r="B81" s="168"/>
      <c r="C81" s="31"/>
      <c r="D81" s="31"/>
      <c r="E81" s="31"/>
      <c r="F81" s="31"/>
      <c r="G81" s="138"/>
      <c r="H81" s="139"/>
      <c r="I81" s="138"/>
      <c r="J81" s="169" t="s">
        <v>296</v>
      </c>
      <c r="K81" s="52"/>
      <c r="L81" s="52"/>
      <c r="M81" s="52"/>
      <c r="N81" s="52"/>
      <c r="O81" s="52"/>
      <c r="P81" s="52"/>
      <c r="Q81" s="52"/>
      <c r="R81" s="169" t="s">
        <v>295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70"/>
      <c r="AK81" s="140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41"/>
    </row>
    <row r="82" spans="2:61" ht="20.100000000000001" customHeight="1" x14ac:dyDescent="0.45">
      <c r="B82" s="168"/>
      <c r="C82" s="31"/>
      <c r="D82" s="31"/>
      <c r="E82" s="31"/>
      <c r="F82" s="31"/>
      <c r="G82" s="138"/>
      <c r="H82" s="139"/>
      <c r="I82" s="138"/>
      <c r="J82" s="169" t="s">
        <v>328</v>
      </c>
      <c r="K82" s="52"/>
      <c r="L82" s="52"/>
      <c r="M82" s="52"/>
      <c r="N82" s="52"/>
      <c r="O82" s="52"/>
      <c r="P82" s="52"/>
      <c r="Q82" s="52"/>
      <c r="R82" s="169" t="s">
        <v>276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70"/>
      <c r="AK82" s="140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41"/>
    </row>
    <row r="83" spans="2:61" ht="20.100000000000001" customHeight="1" x14ac:dyDescent="0.45">
      <c r="B83" s="168"/>
      <c r="C83" s="31"/>
      <c r="D83" s="31"/>
      <c r="E83" s="31"/>
      <c r="F83" s="31"/>
      <c r="G83" s="138"/>
      <c r="H83" s="139"/>
      <c r="I83" s="138"/>
      <c r="J83" s="169" t="s">
        <v>329</v>
      </c>
      <c r="K83" s="52"/>
      <c r="L83" s="52"/>
      <c r="M83" s="52"/>
      <c r="N83" s="52"/>
      <c r="O83" s="52"/>
      <c r="P83" s="52"/>
      <c r="Q83" s="52"/>
      <c r="R83" s="169" t="s">
        <v>277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70"/>
      <c r="AK83" s="140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41"/>
    </row>
    <row r="84" spans="2:61" ht="20.100000000000001" customHeight="1" x14ac:dyDescent="0.45">
      <c r="B84" s="168"/>
      <c r="C84" s="31"/>
      <c r="D84" s="31"/>
      <c r="E84" s="31"/>
      <c r="F84" s="31"/>
      <c r="G84" s="138"/>
      <c r="H84" s="139"/>
      <c r="I84" s="138"/>
      <c r="J84" s="169" t="s">
        <v>298</v>
      </c>
      <c r="K84" s="52"/>
      <c r="L84" s="52"/>
      <c r="M84" s="52"/>
      <c r="N84" s="52"/>
      <c r="O84" s="52"/>
      <c r="P84" s="52"/>
      <c r="Q84" s="52"/>
      <c r="R84" s="174" t="s">
        <v>278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70"/>
      <c r="AK84" s="140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41"/>
    </row>
    <row r="85" spans="2:61" ht="20.100000000000001" customHeight="1" x14ac:dyDescent="0.45">
      <c r="B85" s="168"/>
      <c r="C85" s="31"/>
      <c r="D85" s="31"/>
      <c r="E85" s="31"/>
      <c r="F85" s="31"/>
      <c r="G85" s="138"/>
      <c r="H85" s="139"/>
      <c r="I85" s="138"/>
      <c r="J85" s="169" t="s">
        <v>330</v>
      </c>
      <c r="K85" s="52"/>
      <c r="L85" s="52"/>
      <c r="M85" s="52"/>
      <c r="N85" s="52"/>
      <c r="O85" s="52"/>
      <c r="P85" s="52"/>
      <c r="Q85" s="52"/>
      <c r="R85" s="169" t="s">
        <v>279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70"/>
      <c r="AK85" s="140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41"/>
    </row>
    <row r="86" spans="2:61" ht="20.100000000000001" customHeight="1" x14ac:dyDescent="0.45">
      <c r="B86" s="168"/>
      <c r="C86" s="31"/>
      <c r="D86" s="31"/>
      <c r="E86" s="31"/>
      <c r="F86" s="31"/>
      <c r="G86" s="138"/>
      <c r="H86" s="139"/>
      <c r="I86" s="138"/>
      <c r="J86" s="169" t="s">
        <v>301</v>
      </c>
      <c r="K86" s="52"/>
      <c r="L86" s="52"/>
      <c r="M86" s="52"/>
      <c r="N86" s="52"/>
      <c r="O86" s="52"/>
      <c r="P86" s="52"/>
      <c r="Q86" s="52"/>
      <c r="R86" s="169" t="s">
        <v>299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70"/>
      <c r="AK86" s="140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41"/>
    </row>
    <row r="87" spans="2:61" ht="20.100000000000001" customHeight="1" x14ac:dyDescent="0.45">
      <c r="B87" s="168"/>
      <c r="C87" s="31"/>
      <c r="D87" s="31"/>
      <c r="E87" s="31"/>
      <c r="F87" s="31"/>
      <c r="G87" s="138"/>
      <c r="H87" s="139"/>
      <c r="I87" s="138"/>
      <c r="J87" s="169" t="s">
        <v>331</v>
      </c>
      <c r="K87" s="52"/>
      <c r="L87" s="52"/>
      <c r="M87" s="52"/>
      <c r="N87" s="52"/>
      <c r="O87" s="52"/>
      <c r="P87" s="52"/>
      <c r="Q87" s="52"/>
      <c r="R87" s="169" t="s">
        <v>280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70"/>
      <c r="AK87" s="140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41"/>
    </row>
    <row r="88" spans="2:61" ht="20.100000000000001" customHeight="1" x14ac:dyDescent="0.45">
      <c r="B88" s="168"/>
      <c r="C88" s="31"/>
      <c r="D88" s="31"/>
      <c r="E88" s="31"/>
      <c r="F88" s="31"/>
      <c r="G88" s="138"/>
      <c r="H88" s="139"/>
      <c r="I88" s="138"/>
      <c r="J88" s="169" t="s">
        <v>302</v>
      </c>
      <c r="K88" s="52"/>
      <c r="L88" s="52"/>
      <c r="M88" s="52"/>
      <c r="N88" s="52"/>
      <c r="O88" s="52"/>
      <c r="P88" s="52"/>
      <c r="Q88" s="52"/>
      <c r="R88" s="174" t="s">
        <v>281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70"/>
      <c r="AK88" s="140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41"/>
    </row>
    <row r="89" spans="2:61" ht="20.100000000000001" customHeight="1" x14ac:dyDescent="0.45">
      <c r="B89" s="168"/>
      <c r="C89" s="31"/>
      <c r="D89" s="31"/>
      <c r="E89" s="31"/>
      <c r="F89" s="31"/>
      <c r="G89" s="138"/>
      <c r="H89" s="139"/>
      <c r="I89" s="138"/>
      <c r="J89" s="169" t="s">
        <v>307</v>
      </c>
      <c r="K89" s="52"/>
      <c r="L89" s="52"/>
      <c r="M89" s="52"/>
      <c r="N89" s="52"/>
      <c r="O89" s="52"/>
      <c r="P89" s="52"/>
      <c r="Q89" s="52"/>
      <c r="R89" s="169">
        <v>0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70"/>
      <c r="AK89" s="140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41"/>
    </row>
    <row r="90" spans="2:61" ht="20.100000000000001" customHeight="1" x14ac:dyDescent="0.45">
      <c r="B90" s="168"/>
      <c r="C90" s="31"/>
      <c r="D90" s="31"/>
      <c r="E90" s="31"/>
      <c r="F90" s="31"/>
      <c r="G90" s="138"/>
      <c r="H90" s="139"/>
      <c r="I90" s="138"/>
      <c r="J90" s="169" t="s">
        <v>309</v>
      </c>
      <c r="K90" s="52"/>
      <c r="L90" s="52"/>
      <c r="M90" s="52"/>
      <c r="N90" s="52"/>
      <c r="O90" s="52"/>
      <c r="P90" s="52"/>
      <c r="Q90" s="52"/>
      <c r="R90" s="169">
        <v>0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70"/>
      <c r="AK90" s="140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41"/>
    </row>
    <row r="91" spans="2:61" ht="20.100000000000001" customHeight="1" x14ac:dyDescent="0.45">
      <c r="B91" s="168"/>
      <c r="C91" s="31"/>
      <c r="D91" s="31"/>
      <c r="E91" s="31"/>
      <c r="F91" s="31"/>
      <c r="G91" s="138"/>
      <c r="H91" s="139"/>
      <c r="I91" s="138"/>
      <c r="J91" s="169" t="s">
        <v>333</v>
      </c>
      <c r="K91" s="52"/>
      <c r="L91" s="52"/>
      <c r="M91" s="52"/>
      <c r="N91" s="52"/>
      <c r="O91" s="52"/>
      <c r="P91" s="52"/>
      <c r="Q91" s="52"/>
      <c r="R91" s="169" t="s">
        <v>284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70"/>
      <c r="AK91" s="140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41"/>
    </row>
    <row r="92" spans="2:61" ht="20.100000000000001" customHeight="1" x14ac:dyDescent="0.45">
      <c r="B92" s="168"/>
      <c r="C92" s="31"/>
      <c r="D92" s="31"/>
      <c r="E92" s="31"/>
      <c r="F92" s="31"/>
      <c r="G92" s="138"/>
      <c r="H92" s="139"/>
      <c r="I92" s="138"/>
      <c r="J92" s="169" t="s">
        <v>305</v>
      </c>
      <c r="K92" s="52"/>
      <c r="L92" s="52"/>
      <c r="M92" s="52"/>
      <c r="N92" s="52"/>
      <c r="O92" s="52"/>
      <c r="P92" s="52"/>
      <c r="Q92" s="52"/>
      <c r="R92" s="169" t="s">
        <v>303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70"/>
      <c r="AK92" s="140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41"/>
    </row>
    <row r="93" spans="2:61" ht="20.100000000000001" customHeight="1" x14ac:dyDescent="0.45">
      <c r="B93" s="168"/>
      <c r="C93" s="31"/>
      <c r="D93" s="31"/>
      <c r="E93" s="31"/>
      <c r="F93" s="31"/>
      <c r="G93" s="138"/>
      <c r="H93" s="139"/>
      <c r="I93" s="138"/>
      <c r="J93" s="169" t="s">
        <v>334</v>
      </c>
      <c r="K93" s="52"/>
      <c r="L93" s="52"/>
      <c r="M93" s="52"/>
      <c r="N93" s="52"/>
      <c r="O93" s="52"/>
      <c r="P93" s="52"/>
      <c r="Q93" s="52"/>
      <c r="R93" s="169" t="s">
        <v>285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70"/>
      <c r="AK93" s="140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41"/>
    </row>
    <row r="94" spans="2:61" ht="20.100000000000001" customHeight="1" x14ac:dyDescent="0.45">
      <c r="B94" s="168"/>
      <c r="C94" s="31"/>
      <c r="D94" s="31"/>
      <c r="E94" s="31"/>
      <c r="F94" s="31"/>
      <c r="G94" s="138"/>
      <c r="H94" s="139"/>
      <c r="I94" s="138"/>
      <c r="J94" s="169" t="s">
        <v>335</v>
      </c>
      <c r="K94" s="52"/>
      <c r="L94" s="52"/>
      <c r="M94" s="52"/>
      <c r="N94" s="52"/>
      <c r="O94" s="52"/>
      <c r="P94" s="52"/>
      <c r="Q94" s="52"/>
      <c r="R94" s="169" t="s">
        <v>286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70"/>
      <c r="AK94" s="140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41"/>
    </row>
    <row r="95" spans="2:61" ht="20.100000000000001" customHeight="1" x14ac:dyDescent="0.45">
      <c r="B95" s="168"/>
      <c r="C95" s="31"/>
      <c r="D95" s="31"/>
      <c r="E95" s="31"/>
      <c r="F95" s="31"/>
      <c r="G95" s="138"/>
      <c r="H95" s="139"/>
      <c r="I95" s="138"/>
      <c r="J95" s="169" t="s">
        <v>336</v>
      </c>
      <c r="K95" s="52"/>
      <c r="L95" s="52"/>
      <c r="M95" s="52"/>
      <c r="N95" s="52"/>
      <c r="O95" s="52"/>
      <c r="P95" s="52"/>
      <c r="Q95" s="52"/>
      <c r="R95" s="169" t="s">
        <v>287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70"/>
      <c r="AK95" s="140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41"/>
    </row>
    <row r="96" spans="2:61" ht="20.100000000000001" customHeight="1" x14ac:dyDescent="0.45">
      <c r="B96" s="168"/>
      <c r="C96" s="31"/>
      <c r="D96" s="31"/>
      <c r="E96" s="31"/>
      <c r="F96" s="31"/>
      <c r="G96" s="138"/>
      <c r="H96" s="139"/>
      <c r="I96" s="138"/>
      <c r="J96" s="169" t="s">
        <v>337</v>
      </c>
      <c r="K96" s="52"/>
      <c r="L96" s="52"/>
      <c r="M96" s="52"/>
      <c r="N96" s="52"/>
      <c r="O96" s="52"/>
      <c r="P96" s="52"/>
      <c r="Q96" s="52"/>
      <c r="R96" s="169" t="s">
        <v>288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70"/>
      <c r="AK96" s="140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41"/>
    </row>
    <row r="97" spans="2:61" ht="20.100000000000001" customHeight="1" x14ac:dyDescent="0.45">
      <c r="B97" s="168"/>
      <c r="C97" s="31"/>
      <c r="D97" s="31"/>
      <c r="E97" s="31"/>
      <c r="F97" s="31"/>
      <c r="G97" s="138"/>
      <c r="H97" s="139"/>
      <c r="I97" s="138"/>
      <c r="J97" s="169" t="s">
        <v>338</v>
      </c>
      <c r="K97" s="52"/>
      <c r="L97" s="52"/>
      <c r="M97" s="52"/>
      <c r="N97" s="52"/>
      <c r="O97" s="52"/>
      <c r="P97" s="52"/>
      <c r="Q97" s="52"/>
      <c r="R97" s="169" t="s">
        <v>289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70"/>
      <c r="AK97" s="140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41"/>
    </row>
    <row r="98" spans="2:61" ht="20.100000000000001" customHeight="1" x14ac:dyDescent="0.45">
      <c r="B98" s="168"/>
      <c r="C98" s="31"/>
      <c r="D98" s="31"/>
      <c r="E98" s="31"/>
      <c r="F98" s="31"/>
      <c r="G98" s="138"/>
      <c r="H98" s="139"/>
      <c r="I98" s="138"/>
      <c r="J98" s="169" t="s">
        <v>339</v>
      </c>
      <c r="K98" s="52"/>
      <c r="L98" s="52"/>
      <c r="M98" s="52"/>
      <c r="N98" s="52"/>
      <c r="O98" s="52"/>
      <c r="P98" s="52"/>
      <c r="Q98" s="52"/>
      <c r="R98" s="169" t="s">
        <v>290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70"/>
      <c r="AK98" s="140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41"/>
    </row>
    <row r="99" spans="2:61" ht="20.100000000000001" customHeight="1" x14ac:dyDescent="0.45">
      <c r="B99" s="168"/>
      <c r="C99" s="31"/>
      <c r="D99" s="31"/>
      <c r="E99" s="31"/>
      <c r="F99" s="31"/>
      <c r="G99" s="138"/>
      <c r="H99" s="139"/>
      <c r="I99" s="138"/>
      <c r="J99" s="142" t="s">
        <v>340</v>
      </c>
      <c r="K99" s="55"/>
      <c r="L99" s="55"/>
      <c r="M99" s="55"/>
      <c r="N99" s="55"/>
      <c r="O99" s="55"/>
      <c r="P99" s="55"/>
      <c r="Q99" s="55"/>
      <c r="R99" s="183" t="s">
        <v>624</v>
      </c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175"/>
      <c r="AK99" s="140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41"/>
    </row>
    <row r="100" spans="2:61" ht="20.100000000000001" customHeight="1" x14ac:dyDescent="0.45">
      <c r="B100" s="168"/>
      <c r="C100" s="31"/>
      <c r="D100" s="31"/>
      <c r="E100" s="31"/>
      <c r="F100" s="31"/>
      <c r="G100" s="138"/>
      <c r="H100" s="142" t="s">
        <v>145</v>
      </c>
      <c r="I100" s="55"/>
      <c r="J100" s="142" t="s">
        <v>359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143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144"/>
    </row>
    <row r="101" spans="2:61" ht="20.100000000000001" customHeight="1" x14ac:dyDescent="0.45">
      <c r="B101" s="137"/>
      <c r="C101" s="31"/>
      <c r="D101" s="31"/>
      <c r="E101" s="31"/>
      <c r="F101" s="31"/>
      <c r="G101" s="138"/>
      <c r="H101" s="139"/>
      <c r="I101" s="31"/>
      <c r="J101" s="139" t="s">
        <v>360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140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41"/>
    </row>
    <row r="102" spans="2:61" ht="20.100000000000001" customHeight="1" x14ac:dyDescent="0.45">
      <c r="B102" s="137"/>
      <c r="C102" s="31"/>
      <c r="D102" s="31"/>
      <c r="E102" s="31"/>
      <c r="F102" s="31"/>
      <c r="G102" s="138"/>
      <c r="H102" s="139"/>
      <c r="I102" s="31"/>
      <c r="J102" s="139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140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41"/>
    </row>
    <row r="103" spans="2:61" ht="20.100000000000001" customHeight="1" x14ac:dyDescent="0.45">
      <c r="B103" s="137"/>
      <c r="C103" s="31"/>
      <c r="D103" s="31"/>
      <c r="E103" s="31"/>
      <c r="F103" s="31"/>
      <c r="G103" s="138"/>
      <c r="H103" s="139"/>
      <c r="I103" s="31"/>
      <c r="J103" s="139" t="s">
        <v>362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40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41"/>
    </row>
    <row r="104" spans="2:61" ht="20.100000000000001" customHeight="1" x14ac:dyDescent="0.45">
      <c r="B104" s="137"/>
      <c r="C104" s="31"/>
      <c r="D104" s="31"/>
      <c r="E104" s="31"/>
      <c r="F104" s="31"/>
      <c r="G104" s="138"/>
      <c r="H104" s="139"/>
      <c r="I104" s="31"/>
      <c r="J104" s="139" t="s">
        <v>363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40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41"/>
    </row>
    <row r="105" spans="2:61" ht="20.100000000000001" customHeight="1" x14ac:dyDescent="0.45">
      <c r="B105" s="137"/>
      <c r="C105" s="31"/>
      <c r="D105" s="31"/>
      <c r="E105" s="31"/>
      <c r="F105" s="31"/>
      <c r="G105" s="138"/>
      <c r="H105" s="142" t="s">
        <v>146</v>
      </c>
      <c r="I105" s="55"/>
      <c r="J105" s="142" t="s">
        <v>174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43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144"/>
    </row>
    <row r="106" spans="2:61" ht="20.100000000000001" customHeight="1" x14ac:dyDescent="0.45">
      <c r="B106" s="137"/>
      <c r="C106" s="31"/>
      <c r="D106" s="31"/>
      <c r="E106" s="31"/>
      <c r="F106" s="31"/>
      <c r="G106" s="138"/>
      <c r="H106" s="139"/>
      <c r="I106" s="31"/>
      <c r="J106" s="139"/>
      <c r="K106" s="31" t="s">
        <v>175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40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41"/>
    </row>
    <row r="107" spans="2:61" ht="20.100000000000001" customHeight="1" x14ac:dyDescent="0.45">
      <c r="B107" s="137"/>
      <c r="C107" s="31"/>
      <c r="D107" s="31"/>
      <c r="E107" s="31"/>
      <c r="F107" s="31"/>
      <c r="G107" s="138"/>
      <c r="H107" s="139"/>
      <c r="I107" s="31"/>
      <c r="J107" s="139"/>
      <c r="K107" s="31"/>
      <c r="M107" s="31" t="s">
        <v>212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40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41"/>
    </row>
    <row r="108" spans="2:61" ht="20.100000000000001" customHeight="1" x14ac:dyDescent="0.45">
      <c r="B108" s="137"/>
      <c r="C108" s="31"/>
      <c r="D108" s="31"/>
      <c r="E108" s="31"/>
      <c r="F108" s="31"/>
      <c r="G108" s="138"/>
      <c r="H108" s="139"/>
      <c r="I108" s="31"/>
      <c r="J108" s="139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40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41"/>
    </row>
    <row r="109" spans="2:61" ht="20.100000000000001" customHeight="1" x14ac:dyDescent="0.45">
      <c r="B109" s="137"/>
      <c r="C109" s="31"/>
      <c r="D109" s="31"/>
      <c r="E109" s="31"/>
      <c r="F109" s="31"/>
      <c r="G109" s="138"/>
      <c r="H109" s="139"/>
      <c r="I109" s="31"/>
      <c r="J109" s="139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40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41"/>
    </row>
    <row r="110" spans="2:61" ht="20.100000000000001" customHeight="1" x14ac:dyDescent="0.45">
      <c r="B110" s="137"/>
      <c r="C110" s="31"/>
      <c r="D110" s="31"/>
      <c r="E110" s="31"/>
      <c r="F110" s="31"/>
      <c r="G110" s="138"/>
      <c r="H110" s="139"/>
      <c r="I110" s="31"/>
      <c r="J110" s="139"/>
      <c r="K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40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41"/>
    </row>
    <row r="111" spans="2:61" ht="20.100000000000001" customHeight="1" x14ac:dyDescent="0.45">
      <c r="B111" s="137"/>
      <c r="C111" s="31"/>
      <c r="D111" s="31"/>
      <c r="E111" s="31"/>
      <c r="F111" s="31"/>
      <c r="G111" s="138"/>
      <c r="H111" s="139"/>
      <c r="I111" s="31"/>
      <c r="J111" s="139" t="s">
        <v>177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40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41"/>
    </row>
    <row r="112" spans="2:61" ht="20.100000000000001" customHeight="1" x14ac:dyDescent="0.45">
      <c r="B112" s="137"/>
      <c r="C112" s="31"/>
      <c r="D112" s="31"/>
      <c r="E112" s="31"/>
      <c r="F112" s="31"/>
      <c r="G112" s="138"/>
      <c r="H112" s="139"/>
      <c r="I112" s="31"/>
      <c r="J112" s="139"/>
      <c r="K112" s="6" t="s">
        <v>176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40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41"/>
    </row>
    <row r="113" spans="2:61" ht="20.100000000000001" customHeight="1" x14ac:dyDescent="0.45">
      <c r="B113" s="137"/>
      <c r="C113" s="31"/>
      <c r="D113" s="31"/>
      <c r="E113" s="31"/>
      <c r="F113" s="31"/>
      <c r="G113" s="138"/>
      <c r="H113" s="139"/>
      <c r="I113" s="31"/>
      <c r="J113" s="139"/>
      <c r="L113" s="31"/>
      <c r="M113" s="185" t="s">
        <v>625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40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41"/>
    </row>
    <row r="114" spans="2:61" ht="20.100000000000001" customHeight="1" x14ac:dyDescent="0.45">
      <c r="B114" s="137"/>
      <c r="C114" s="31"/>
      <c r="D114" s="31"/>
      <c r="E114" s="31"/>
      <c r="F114" s="31"/>
      <c r="G114" s="138"/>
      <c r="H114" s="139"/>
      <c r="I114" s="31"/>
      <c r="J114" s="139" t="s">
        <v>178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40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41"/>
    </row>
    <row r="115" spans="2:61" ht="20.100000000000001" customHeight="1" x14ac:dyDescent="0.45">
      <c r="B115" s="137"/>
      <c r="C115" s="31"/>
      <c r="D115" s="31"/>
      <c r="E115" s="31"/>
      <c r="F115" s="31"/>
      <c r="G115" s="138"/>
      <c r="H115" s="139"/>
      <c r="I115" s="31"/>
      <c r="J115" s="139"/>
      <c r="K115" s="31" t="s">
        <v>179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40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41"/>
    </row>
    <row r="116" spans="2:61" ht="20.100000000000001" customHeight="1" x14ac:dyDescent="0.45">
      <c r="B116" s="137"/>
      <c r="C116" s="31"/>
      <c r="D116" s="31"/>
      <c r="E116" s="31"/>
      <c r="F116" s="31"/>
      <c r="G116" s="138"/>
      <c r="H116" s="139"/>
      <c r="I116" s="31"/>
      <c r="J116" s="139"/>
      <c r="L116" s="31"/>
      <c r="M116" s="31" t="s">
        <v>228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40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41"/>
    </row>
    <row r="117" spans="2:61" ht="20.100000000000001" customHeight="1" x14ac:dyDescent="0.45">
      <c r="B117" s="137"/>
      <c r="C117" s="31"/>
      <c r="D117" s="31"/>
      <c r="E117" s="31"/>
      <c r="F117" s="31"/>
      <c r="G117" s="138"/>
      <c r="H117" s="139"/>
      <c r="I117" s="31"/>
      <c r="J117" s="139"/>
      <c r="L117" s="31" t="s">
        <v>180</v>
      </c>
      <c r="M117" s="31" t="s">
        <v>229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140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41"/>
    </row>
    <row r="118" spans="2:61" ht="20.100000000000001" customHeight="1" x14ac:dyDescent="0.45">
      <c r="B118" s="137"/>
      <c r="C118" s="31"/>
      <c r="D118" s="31"/>
      <c r="E118" s="31"/>
      <c r="F118" s="31"/>
      <c r="G118" s="138"/>
      <c r="H118" s="142" t="s">
        <v>147</v>
      </c>
      <c r="I118" s="55"/>
      <c r="J118" s="142"/>
      <c r="K118" s="55" t="s">
        <v>209</v>
      </c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143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144"/>
    </row>
    <row r="119" spans="2:61" ht="20.100000000000001" customHeight="1" x14ac:dyDescent="0.45">
      <c r="B119" s="137"/>
      <c r="C119" s="31"/>
      <c r="D119" s="31"/>
      <c r="E119" s="31"/>
      <c r="F119" s="31"/>
      <c r="G119" s="138"/>
      <c r="H119" s="139"/>
      <c r="I119" s="31"/>
      <c r="J119" s="139" t="s">
        <v>182</v>
      </c>
      <c r="K119" s="31" t="s">
        <v>213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39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41"/>
    </row>
    <row r="120" spans="2:61" ht="20.100000000000001" customHeight="1" x14ac:dyDescent="0.45">
      <c r="B120" s="137"/>
      <c r="C120" s="31"/>
      <c r="D120" s="31"/>
      <c r="E120" s="31"/>
      <c r="F120" s="31"/>
      <c r="G120" s="138"/>
      <c r="H120" s="139"/>
      <c r="I120" s="31"/>
      <c r="J120" s="139" t="s">
        <v>183</v>
      </c>
      <c r="K120" s="31" t="s">
        <v>227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39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41"/>
    </row>
    <row r="121" spans="2:61" ht="20.100000000000001" customHeight="1" thickBot="1" x14ac:dyDescent="0.5">
      <c r="B121" s="137"/>
      <c r="C121" s="31"/>
      <c r="D121" s="31"/>
      <c r="E121" s="31"/>
      <c r="F121" s="31"/>
      <c r="G121" s="138"/>
      <c r="H121" s="139"/>
      <c r="I121" s="31"/>
      <c r="J121" s="139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40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41"/>
    </row>
    <row r="122" spans="2:61" ht="20.100000000000001" customHeight="1" x14ac:dyDescent="0.45">
      <c r="B122" s="131" t="s">
        <v>380</v>
      </c>
      <c r="C122" s="132"/>
      <c r="D122" s="132"/>
      <c r="E122" s="132"/>
      <c r="F122" s="132"/>
      <c r="G122" s="133"/>
      <c r="H122" s="134" t="s">
        <v>237</v>
      </c>
      <c r="I122" s="133"/>
      <c r="J122" s="173" t="s">
        <v>311</v>
      </c>
      <c r="K122" s="166"/>
      <c r="L122" s="166"/>
      <c r="M122" s="166"/>
      <c r="N122" s="166"/>
      <c r="O122" s="166"/>
      <c r="P122" s="166"/>
      <c r="Q122" s="166"/>
      <c r="R122" s="173" t="s">
        <v>262</v>
      </c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7"/>
      <c r="AK122" s="135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32"/>
      <c r="BG122" s="132"/>
      <c r="BH122" s="132"/>
      <c r="BI122" s="136"/>
    </row>
    <row r="123" spans="2:61" ht="20.100000000000001" customHeight="1" x14ac:dyDescent="0.45">
      <c r="B123" s="168"/>
      <c r="C123" s="31"/>
      <c r="D123" s="31"/>
      <c r="E123" s="31"/>
      <c r="F123" s="31"/>
      <c r="G123" s="138"/>
      <c r="H123" s="139"/>
      <c r="I123" s="138"/>
      <c r="J123" s="169" t="s">
        <v>294</v>
      </c>
      <c r="K123" s="52"/>
      <c r="L123" s="52"/>
      <c r="M123" s="52"/>
      <c r="N123" s="52"/>
      <c r="O123" s="52"/>
      <c r="P123" s="52"/>
      <c r="Q123" s="52"/>
      <c r="R123" s="169" t="s">
        <v>292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70"/>
      <c r="AK123" s="140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41"/>
    </row>
    <row r="124" spans="2:61" ht="20.100000000000001" customHeight="1" x14ac:dyDescent="0.45">
      <c r="B124" s="168"/>
      <c r="C124" s="31"/>
      <c r="D124" s="31"/>
      <c r="E124" s="31"/>
      <c r="F124" s="31"/>
      <c r="G124" s="138"/>
      <c r="H124" s="139"/>
      <c r="I124" s="138"/>
      <c r="J124" s="169" t="s">
        <v>314</v>
      </c>
      <c r="K124" s="52"/>
      <c r="L124" s="52"/>
      <c r="M124" s="52"/>
      <c r="N124" s="52"/>
      <c r="O124" s="52"/>
      <c r="P124" s="52"/>
      <c r="Q124" s="52"/>
      <c r="R124" s="169" t="s">
        <v>312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70"/>
      <c r="AK124" s="140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41"/>
    </row>
    <row r="125" spans="2:61" ht="20.100000000000001" customHeight="1" x14ac:dyDescent="0.45">
      <c r="B125" s="168"/>
      <c r="C125" s="31"/>
      <c r="D125" s="31"/>
      <c r="E125" s="31"/>
      <c r="F125" s="31"/>
      <c r="G125" s="138"/>
      <c r="H125" s="139"/>
      <c r="I125" s="138"/>
      <c r="J125" s="169" t="s">
        <v>315</v>
      </c>
      <c r="K125" s="52"/>
      <c r="L125" s="52"/>
      <c r="M125" s="52"/>
      <c r="N125" s="52"/>
      <c r="O125" s="52"/>
      <c r="P125" s="52"/>
      <c r="Q125" s="52"/>
      <c r="R125" s="169" t="s">
        <v>263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70"/>
      <c r="AK125" s="140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41"/>
    </row>
    <row r="126" spans="2:61" ht="20.100000000000001" customHeight="1" x14ac:dyDescent="0.45">
      <c r="B126" s="168"/>
      <c r="C126" s="31"/>
      <c r="D126" s="31"/>
      <c r="E126" s="31"/>
      <c r="F126" s="31"/>
      <c r="G126" s="138"/>
      <c r="H126" s="139"/>
      <c r="I126" s="138"/>
      <c r="J126" s="169" t="s">
        <v>316</v>
      </c>
      <c r="K126" s="52"/>
      <c r="L126" s="52"/>
      <c r="M126" s="52"/>
      <c r="N126" s="52"/>
      <c r="O126" s="52"/>
      <c r="P126" s="52"/>
      <c r="Q126" s="52"/>
      <c r="R126" s="169" t="s">
        <v>264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70"/>
      <c r="AK126" s="140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41"/>
    </row>
    <row r="127" spans="2:61" ht="20.100000000000001" customHeight="1" x14ac:dyDescent="0.45">
      <c r="B127" s="168"/>
      <c r="C127" s="31"/>
      <c r="D127" s="31"/>
      <c r="E127" s="31"/>
      <c r="F127" s="31"/>
      <c r="G127" s="138"/>
      <c r="H127" s="139"/>
      <c r="I127" s="138"/>
      <c r="J127" s="169" t="s">
        <v>317</v>
      </c>
      <c r="K127" s="52"/>
      <c r="L127" s="52"/>
      <c r="M127" s="52"/>
      <c r="N127" s="52"/>
      <c r="O127" s="52"/>
      <c r="P127" s="52"/>
      <c r="Q127" s="52"/>
      <c r="R127" s="169" t="s">
        <v>265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70"/>
      <c r="AK127" s="140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41"/>
    </row>
    <row r="128" spans="2:61" ht="20.100000000000001" customHeight="1" x14ac:dyDescent="0.45">
      <c r="B128" s="168"/>
      <c r="C128" s="31"/>
      <c r="D128" s="31"/>
      <c r="E128" s="31"/>
      <c r="F128" s="31"/>
      <c r="G128" s="138"/>
      <c r="H128" s="139"/>
      <c r="I128" s="138"/>
      <c r="J128" s="169" t="s">
        <v>318</v>
      </c>
      <c r="K128" s="52"/>
      <c r="L128" s="52"/>
      <c r="M128" s="52"/>
      <c r="N128" s="52"/>
      <c r="O128" s="52"/>
      <c r="P128" s="52"/>
      <c r="Q128" s="52"/>
      <c r="R128" s="169" t="s">
        <v>266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70"/>
      <c r="AK128" s="140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41"/>
    </row>
    <row r="129" spans="2:61" ht="20.100000000000001" customHeight="1" x14ac:dyDescent="0.45">
      <c r="B129" s="168"/>
      <c r="C129" s="31"/>
      <c r="D129" s="31"/>
      <c r="E129" s="31"/>
      <c r="F129" s="31"/>
      <c r="G129" s="138"/>
      <c r="H129" s="139"/>
      <c r="I129" s="138"/>
      <c r="J129" s="169" t="s">
        <v>319</v>
      </c>
      <c r="K129" s="52"/>
      <c r="L129" s="52"/>
      <c r="M129" s="52"/>
      <c r="N129" s="52"/>
      <c r="O129" s="52"/>
      <c r="P129" s="52"/>
      <c r="Q129" s="52"/>
      <c r="R129" s="169" t="s">
        <v>267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70"/>
      <c r="AK129" s="140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41"/>
    </row>
    <row r="130" spans="2:61" ht="20.100000000000001" customHeight="1" x14ac:dyDescent="0.45">
      <c r="B130" s="168"/>
      <c r="C130" s="31"/>
      <c r="D130" s="31"/>
      <c r="E130" s="31"/>
      <c r="F130" s="31"/>
      <c r="G130" s="138"/>
      <c r="H130" s="139"/>
      <c r="I130" s="138"/>
      <c r="J130" s="169" t="s">
        <v>320</v>
      </c>
      <c r="K130" s="52"/>
      <c r="L130" s="52"/>
      <c r="M130" s="52"/>
      <c r="N130" s="52"/>
      <c r="O130" s="52"/>
      <c r="P130" s="52"/>
      <c r="Q130" s="52"/>
      <c r="R130" s="169" t="s">
        <v>268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70"/>
      <c r="AK130" s="140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41"/>
    </row>
    <row r="131" spans="2:61" ht="20.100000000000001" customHeight="1" x14ac:dyDescent="0.45">
      <c r="B131" s="168"/>
      <c r="C131" s="31"/>
      <c r="D131" s="31"/>
      <c r="E131" s="31"/>
      <c r="F131" s="31"/>
      <c r="G131" s="138"/>
      <c r="H131" s="139"/>
      <c r="I131" s="138"/>
      <c r="J131" s="169" t="s">
        <v>321</v>
      </c>
      <c r="K131" s="52"/>
      <c r="L131" s="52"/>
      <c r="M131" s="52"/>
      <c r="N131" s="52"/>
      <c r="O131" s="52"/>
      <c r="P131" s="52"/>
      <c r="Q131" s="52"/>
      <c r="R131" s="169" t="s">
        <v>269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70"/>
      <c r="AK131" s="140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41"/>
    </row>
    <row r="132" spans="2:61" ht="20.100000000000001" customHeight="1" x14ac:dyDescent="0.45">
      <c r="B132" s="168"/>
      <c r="C132" s="31"/>
      <c r="D132" s="31"/>
      <c r="E132" s="31"/>
      <c r="F132" s="31"/>
      <c r="G132" s="138"/>
      <c r="H132" s="139"/>
      <c r="I132" s="138"/>
      <c r="J132" s="169" t="s">
        <v>322</v>
      </c>
      <c r="K132" s="52"/>
      <c r="L132" s="52"/>
      <c r="M132" s="52"/>
      <c r="N132" s="52"/>
      <c r="O132" s="52"/>
      <c r="P132" s="52"/>
      <c r="Q132" s="52"/>
      <c r="R132" s="169" t="s">
        <v>270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70"/>
      <c r="AK132" s="140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41"/>
    </row>
    <row r="133" spans="2:61" ht="20.100000000000001" customHeight="1" x14ac:dyDescent="0.45">
      <c r="B133" s="168"/>
      <c r="C133" s="31"/>
      <c r="D133" s="31"/>
      <c r="E133" s="31"/>
      <c r="F133" s="31"/>
      <c r="G133" s="138"/>
      <c r="H133" s="139"/>
      <c r="I133" s="138"/>
      <c r="J133" s="169" t="s">
        <v>323</v>
      </c>
      <c r="K133" s="52"/>
      <c r="L133" s="52"/>
      <c r="M133" s="52"/>
      <c r="N133" s="52"/>
      <c r="O133" s="52"/>
      <c r="P133" s="52"/>
      <c r="Q133" s="52"/>
      <c r="R133" s="169" t="s">
        <v>271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70"/>
      <c r="AK133" s="140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41"/>
    </row>
    <row r="134" spans="2:61" ht="20.100000000000001" customHeight="1" x14ac:dyDescent="0.45">
      <c r="B134" s="168"/>
      <c r="C134" s="31"/>
      <c r="D134" s="31"/>
      <c r="E134" s="31"/>
      <c r="F134" s="31"/>
      <c r="G134" s="138"/>
      <c r="H134" s="139"/>
      <c r="I134" s="138"/>
      <c r="J134" s="169" t="s">
        <v>324</v>
      </c>
      <c r="K134" s="52"/>
      <c r="L134" s="52"/>
      <c r="M134" s="52"/>
      <c r="N134" s="52"/>
      <c r="O134" s="52"/>
      <c r="P134" s="52"/>
      <c r="Q134" s="52"/>
      <c r="R134" s="169" t="s">
        <v>272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70"/>
      <c r="AK134" s="140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41"/>
    </row>
    <row r="135" spans="2:61" ht="20.100000000000001" customHeight="1" x14ac:dyDescent="0.45">
      <c r="B135" s="168"/>
      <c r="C135" s="31"/>
      <c r="D135" s="31"/>
      <c r="E135" s="31"/>
      <c r="F135" s="31"/>
      <c r="G135" s="138"/>
      <c r="H135" s="139"/>
      <c r="I135" s="138"/>
      <c r="J135" s="169" t="s">
        <v>325</v>
      </c>
      <c r="K135" s="52"/>
      <c r="L135" s="52"/>
      <c r="M135" s="52"/>
      <c r="N135" s="52"/>
      <c r="O135" s="52"/>
      <c r="P135" s="52"/>
      <c r="Q135" s="52"/>
      <c r="R135" s="169" t="s">
        <v>273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70"/>
      <c r="AK135" s="140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41"/>
    </row>
    <row r="136" spans="2:61" ht="20.100000000000001" customHeight="1" x14ac:dyDescent="0.45">
      <c r="B136" s="168"/>
      <c r="C136" s="31"/>
      <c r="D136" s="31"/>
      <c r="E136" s="31"/>
      <c r="F136" s="31"/>
      <c r="G136" s="138"/>
      <c r="H136" s="139"/>
      <c r="I136" s="138"/>
      <c r="J136" s="169" t="s">
        <v>326</v>
      </c>
      <c r="K136" s="52"/>
      <c r="L136" s="52"/>
      <c r="M136" s="52"/>
      <c r="N136" s="52"/>
      <c r="O136" s="52"/>
      <c r="P136" s="52"/>
      <c r="Q136" s="52"/>
      <c r="R136" s="169" t="s">
        <v>274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70"/>
      <c r="AK136" s="140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41"/>
    </row>
    <row r="137" spans="2:61" ht="20.100000000000001" customHeight="1" x14ac:dyDescent="0.45">
      <c r="B137" s="168"/>
      <c r="C137" s="31"/>
      <c r="D137" s="31"/>
      <c r="E137" s="31"/>
      <c r="F137" s="31"/>
      <c r="G137" s="138"/>
      <c r="H137" s="139"/>
      <c r="I137" s="138"/>
      <c r="J137" s="169" t="s">
        <v>327</v>
      </c>
      <c r="K137" s="52"/>
      <c r="L137" s="52"/>
      <c r="M137" s="52"/>
      <c r="N137" s="52"/>
      <c r="O137" s="52"/>
      <c r="P137" s="52"/>
      <c r="Q137" s="52"/>
      <c r="R137" s="169" t="s">
        <v>275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70"/>
      <c r="AK137" s="140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41"/>
    </row>
    <row r="138" spans="2:61" ht="20.100000000000001" customHeight="1" x14ac:dyDescent="0.45">
      <c r="B138" s="168"/>
      <c r="C138" s="31"/>
      <c r="D138" s="31"/>
      <c r="E138" s="31"/>
      <c r="F138" s="31"/>
      <c r="G138" s="138"/>
      <c r="H138" s="139"/>
      <c r="I138" s="138"/>
      <c r="J138" s="169" t="s">
        <v>296</v>
      </c>
      <c r="K138" s="52"/>
      <c r="L138" s="52"/>
      <c r="M138" s="52"/>
      <c r="N138" s="52"/>
      <c r="O138" s="52"/>
      <c r="P138" s="52"/>
      <c r="Q138" s="52"/>
      <c r="R138" s="169" t="s">
        <v>295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70"/>
      <c r="AK138" s="140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41"/>
    </row>
    <row r="139" spans="2:61" ht="20.100000000000001" customHeight="1" x14ac:dyDescent="0.45">
      <c r="B139" s="168"/>
      <c r="C139" s="31"/>
      <c r="D139" s="31"/>
      <c r="E139" s="31"/>
      <c r="F139" s="31"/>
      <c r="G139" s="138"/>
      <c r="H139" s="139"/>
      <c r="I139" s="138"/>
      <c r="J139" s="169" t="s">
        <v>328</v>
      </c>
      <c r="K139" s="52"/>
      <c r="L139" s="52"/>
      <c r="M139" s="52"/>
      <c r="N139" s="52"/>
      <c r="O139" s="52"/>
      <c r="P139" s="52"/>
      <c r="Q139" s="52"/>
      <c r="R139" s="169" t="s">
        <v>276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70"/>
      <c r="AK139" s="140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41"/>
    </row>
    <row r="140" spans="2:61" ht="20.100000000000001" customHeight="1" x14ac:dyDescent="0.45">
      <c r="B140" s="168"/>
      <c r="C140" s="31"/>
      <c r="D140" s="31"/>
      <c r="E140" s="31"/>
      <c r="F140" s="31"/>
      <c r="G140" s="138"/>
      <c r="H140" s="139"/>
      <c r="I140" s="138"/>
      <c r="J140" s="169" t="s">
        <v>329</v>
      </c>
      <c r="K140" s="52"/>
      <c r="L140" s="52"/>
      <c r="M140" s="52"/>
      <c r="N140" s="52"/>
      <c r="O140" s="52"/>
      <c r="P140" s="52"/>
      <c r="Q140" s="52"/>
      <c r="R140" s="169" t="s">
        <v>277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70"/>
      <c r="AK140" s="140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41"/>
    </row>
    <row r="141" spans="2:61" ht="20.100000000000001" customHeight="1" x14ac:dyDescent="0.45">
      <c r="B141" s="168"/>
      <c r="C141" s="31"/>
      <c r="D141" s="31"/>
      <c r="E141" s="31"/>
      <c r="F141" s="31"/>
      <c r="G141" s="138"/>
      <c r="H141" s="139"/>
      <c r="I141" s="138"/>
      <c r="J141" s="169" t="s">
        <v>298</v>
      </c>
      <c r="K141" s="52"/>
      <c r="L141" s="52"/>
      <c r="M141" s="52"/>
      <c r="N141" s="52"/>
      <c r="O141" s="52"/>
      <c r="P141" s="52"/>
      <c r="Q141" s="52"/>
      <c r="R141" s="174" t="s">
        <v>278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70"/>
      <c r="AK141" s="140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41"/>
    </row>
    <row r="142" spans="2:61" ht="20.100000000000001" customHeight="1" x14ac:dyDescent="0.45">
      <c r="B142" s="168"/>
      <c r="C142" s="31"/>
      <c r="D142" s="31"/>
      <c r="E142" s="31"/>
      <c r="F142" s="31"/>
      <c r="G142" s="138"/>
      <c r="H142" s="139"/>
      <c r="I142" s="138"/>
      <c r="J142" s="169" t="s">
        <v>330</v>
      </c>
      <c r="K142" s="52"/>
      <c r="L142" s="52"/>
      <c r="M142" s="52"/>
      <c r="N142" s="52"/>
      <c r="O142" s="52"/>
      <c r="P142" s="52"/>
      <c r="Q142" s="52"/>
      <c r="R142" s="169" t="s">
        <v>279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70"/>
      <c r="AK142" s="140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41"/>
    </row>
    <row r="143" spans="2:61" ht="20.100000000000001" customHeight="1" x14ac:dyDescent="0.45">
      <c r="B143" s="168"/>
      <c r="C143" s="31"/>
      <c r="D143" s="31"/>
      <c r="E143" s="31"/>
      <c r="F143" s="31"/>
      <c r="G143" s="138"/>
      <c r="H143" s="139"/>
      <c r="I143" s="138"/>
      <c r="J143" s="169" t="s">
        <v>301</v>
      </c>
      <c r="K143" s="52"/>
      <c r="L143" s="52"/>
      <c r="M143" s="52"/>
      <c r="N143" s="52"/>
      <c r="O143" s="52"/>
      <c r="P143" s="52"/>
      <c r="Q143" s="52"/>
      <c r="R143" s="169" t="s">
        <v>299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70"/>
      <c r="AK143" s="140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41"/>
    </row>
    <row r="144" spans="2:61" ht="20.100000000000001" customHeight="1" x14ac:dyDescent="0.45">
      <c r="B144" s="168"/>
      <c r="C144" s="31"/>
      <c r="D144" s="31"/>
      <c r="E144" s="31"/>
      <c r="F144" s="31"/>
      <c r="G144" s="138"/>
      <c r="H144" s="139"/>
      <c r="I144" s="138"/>
      <c r="J144" s="169" t="s">
        <v>331</v>
      </c>
      <c r="K144" s="52"/>
      <c r="L144" s="52"/>
      <c r="M144" s="52"/>
      <c r="N144" s="52"/>
      <c r="O144" s="52"/>
      <c r="P144" s="52"/>
      <c r="Q144" s="52"/>
      <c r="R144" s="169" t="s">
        <v>280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70"/>
      <c r="AK144" s="140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41"/>
    </row>
    <row r="145" spans="2:61" ht="20.100000000000001" customHeight="1" x14ac:dyDescent="0.45">
      <c r="B145" s="168"/>
      <c r="C145" s="31"/>
      <c r="D145" s="31"/>
      <c r="E145" s="31"/>
      <c r="F145" s="31"/>
      <c r="G145" s="138"/>
      <c r="H145" s="139"/>
      <c r="I145" s="138"/>
      <c r="J145" s="169" t="s">
        <v>302</v>
      </c>
      <c r="K145" s="52"/>
      <c r="L145" s="52"/>
      <c r="M145" s="52"/>
      <c r="N145" s="52"/>
      <c r="O145" s="52"/>
      <c r="P145" s="52"/>
      <c r="Q145" s="52"/>
      <c r="R145" s="174" t="s">
        <v>281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70"/>
      <c r="AK145" s="140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41"/>
    </row>
    <row r="146" spans="2:61" ht="20.100000000000001" customHeight="1" x14ac:dyDescent="0.45">
      <c r="B146" s="168"/>
      <c r="C146" s="31"/>
      <c r="D146" s="31"/>
      <c r="E146" s="31"/>
      <c r="F146" s="31"/>
      <c r="G146" s="138"/>
      <c r="H146" s="139"/>
      <c r="I146" s="138"/>
      <c r="J146" s="169" t="s">
        <v>307</v>
      </c>
      <c r="K146" s="52"/>
      <c r="L146" s="52"/>
      <c r="M146" s="52"/>
      <c r="N146" s="52"/>
      <c r="O146" s="52"/>
      <c r="P146" s="52"/>
      <c r="Q146" s="52"/>
      <c r="R146" s="169">
        <v>0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70"/>
      <c r="AK146" s="140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41"/>
    </row>
    <row r="147" spans="2:61" ht="20.100000000000001" customHeight="1" x14ac:dyDescent="0.45">
      <c r="B147" s="168"/>
      <c r="C147" s="31"/>
      <c r="D147" s="31"/>
      <c r="E147" s="31"/>
      <c r="F147" s="31"/>
      <c r="G147" s="138"/>
      <c r="H147" s="139"/>
      <c r="I147" s="138"/>
      <c r="J147" s="169" t="s">
        <v>309</v>
      </c>
      <c r="K147" s="52"/>
      <c r="L147" s="52"/>
      <c r="M147" s="52"/>
      <c r="N147" s="52"/>
      <c r="O147" s="52"/>
      <c r="P147" s="52"/>
      <c r="Q147" s="52"/>
      <c r="R147" s="169">
        <v>0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70"/>
      <c r="AK147" s="140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41"/>
    </row>
    <row r="148" spans="2:61" ht="20.100000000000001" customHeight="1" x14ac:dyDescent="0.45">
      <c r="B148" s="168"/>
      <c r="C148" s="31"/>
      <c r="D148" s="31"/>
      <c r="E148" s="31"/>
      <c r="F148" s="31"/>
      <c r="G148" s="138"/>
      <c r="H148" s="139"/>
      <c r="I148" s="138"/>
      <c r="J148" s="169" t="s">
        <v>333</v>
      </c>
      <c r="K148" s="52"/>
      <c r="L148" s="52"/>
      <c r="M148" s="52"/>
      <c r="N148" s="52"/>
      <c r="O148" s="52"/>
      <c r="P148" s="52"/>
      <c r="Q148" s="52"/>
      <c r="R148" s="169" t="s">
        <v>284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70"/>
      <c r="AK148" s="140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41"/>
    </row>
    <row r="149" spans="2:61" ht="20.100000000000001" customHeight="1" x14ac:dyDescent="0.45">
      <c r="B149" s="168"/>
      <c r="C149" s="31"/>
      <c r="D149" s="31"/>
      <c r="E149" s="31"/>
      <c r="F149" s="31"/>
      <c r="G149" s="138"/>
      <c r="H149" s="139"/>
      <c r="I149" s="138"/>
      <c r="J149" s="169" t="s">
        <v>305</v>
      </c>
      <c r="K149" s="52"/>
      <c r="L149" s="52"/>
      <c r="M149" s="52"/>
      <c r="N149" s="52"/>
      <c r="O149" s="52"/>
      <c r="P149" s="52"/>
      <c r="Q149" s="52"/>
      <c r="R149" s="169" t="s">
        <v>303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70"/>
      <c r="AK149" s="140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41"/>
    </row>
    <row r="150" spans="2:61" ht="20.100000000000001" customHeight="1" x14ac:dyDescent="0.45">
      <c r="B150" s="168"/>
      <c r="C150" s="31"/>
      <c r="D150" s="31"/>
      <c r="E150" s="31"/>
      <c r="F150" s="31"/>
      <c r="G150" s="138"/>
      <c r="H150" s="139"/>
      <c r="I150" s="138"/>
      <c r="J150" s="169" t="s">
        <v>334</v>
      </c>
      <c r="K150" s="52"/>
      <c r="L150" s="52"/>
      <c r="M150" s="52"/>
      <c r="N150" s="52"/>
      <c r="O150" s="52"/>
      <c r="P150" s="52"/>
      <c r="Q150" s="52"/>
      <c r="R150" s="169" t="s">
        <v>285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70"/>
      <c r="AK150" s="140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41"/>
    </row>
    <row r="151" spans="2:61" ht="20.100000000000001" customHeight="1" x14ac:dyDescent="0.45">
      <c r="B151" s="168"/>
      <c r="C151" s="31"/>
      <c r="D151" s="31"/>
      <c r="E151" s="31"/>
      <c r="F151" s="31"/>
      <c r="G151" s="138"/>
      <c r="H151" s="139"/>
      <c r="I151" s="138"/>
      <c r="J151" s="169" t="s">
        <v>335</v>
      </c>
      <c r="K151" s="52"/>
      <c r="L151" s="52"/>
      <c r="M151" s="52"/>
      <c r="N151" s="52"/>
      <c r="O151" s="52"/>
      <c r="P151" s="52"/>
      <c r="Q151" s="52"/>
      <c r="R151" s="169" t="s">
        <v>286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70"/>
      <c r="AK151" s="140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41"/>
    </row>
    <row r="152" spans="2:61" ht="20.100000000000001" customHeight="1" x14ac:dyDescent="0.45">
      <c r="B152" s="168"/>
      <c r="C152" s="31"/>
      <c r="D152" s="31"/>
      <c r="E152" s="31"/>
      <c r="F152" s="31"/>
      <c r="G152" s="138"/>
      <c r="H152" s="139"/>
      <c r="I152" s="138"/>
      <c r="J152" s="169" t="s">
        <v>336</v>
      </c>
      <c r="K152" s="52"/>
      <c r="L152" s="52"/>
      <c r="M152" s="52"/>
      <c r="N152" s="52"/>
      <c r="O152" s="52"/>
      <c r="P152" s="52"/>
      <c r="Q152" s="52"/>
      <c r="R152" s="169" t="s">
        <v>287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70"/>
      <c r="AK152" s="140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41"/>
    </row>
    <row r="153" spans="2:61" ht="20.100000000000001" customHeight="1" x14ac:dyDescent="0.45">
      <c r="B153" s="168"/>
      <c r="C153" s="31"/>
      <c r="D153" s="31"/>
      <c r="E153" s="31"/>
      <c r="F153" s="31"/>
      <c r="G153" s="138"/>
      <c r="H153" s="139"/>
      <c r="I153" s="138"/>
      <c r="J153" s="169" t="s">
        <v>337</v>
      </c>
      <c r="K153" s="52"/>
      <c r="L153" s="52"/>
      <c r="M153" s="52"/>
      <c r="N153" s="52"/>
      <c r="O153" s="52"/>
      <c r="P153" s="52"/>
      <c r="Q153" s="52"/>
      <c r="R153" s="169" t="s">
        <v>288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70"/>
      <c r="AK153" s="140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41"/>
    </row>
    <row r="154" spans="2:61" ht="20.100000000000001" customHeight="1" x14ac:dyDescent="0.45">
      <c r="B154" s="168"/>
      <c r="C154" s="31"/>
      <c r="D154" s="31"/>
      <c r="E154" s="31"/>
      <c r="F154" s="31"/>
      <c r="G154" s="138"/>
      <c r="H154" s="139"/>
      <c r="I154" s="138"/>
      <c r="J154" s="169" t="s">
        <v>338</v>
      </c>
      <c r="K154" s="52"/>
      <c r="L154" s="52"/>
      <c r="M154" s="52"/>
      <c r="N154" s="52"/>
      <c r="O154" s="52"/>
      <c r="P154" s="52"/>
      <c r="Q154" s="52"/>
      <c r="R154" s="169" t="s">
        <v>289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170"/>
      <c r="AK154" s="140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41"/>
    </row>
    <row r="155" spans="2:61" ht="20.100000000000001" customHeight="1" x14ac:dyDescent="0.45">
      <c r="B155" s="168"/>
      <c r="C155" s="31"/>
      <c r="D155" s="31"/>
      <c r="E155" s="31"/>
      <c r="F155" s="31"/>
      <c r="G155" s="138"/>
      <c r="H155" s="139"/>
      <c r="I155" s="138"/>
      <c r="J155" s="169" t="s">
        <v>339</v>
      </c>
      <c r="K155" s="52"/>
      <c r="L155" s="52"/>
      <c r="M155" s="52"/>
      <c r="N155" s="52"/>
      <c r="O155" s="52"/>
      <c r="P155" s="52"/>
      <c r="Q155" s="52"/>
      <c r="R155" s="169" t="s">
        <v>290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170"/>
      <c r="AK155" s="140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41"/>
    </row>
    <row r="156" spans="2:61" ht="20.100000000000001" customHeight="1" x14ac:dyDescent="0.45">
      <c r="B156" s="168"/>
      <c r="C156" s="31"/>
      <c r="D156" s="31"/>
      <c r="E156" s="31"/>
      <c r="F156" s="31"/>
      <c r="G156" s="138"/>
      <c r="H156" s="139"/>
      <c r="I156" s="138"/>
      <c r="J156" s="142" t="s">
        <v>340</v>
      </c>
      <c r="K156" s="55"/>
      <c r="L156" s="55"/>
      <c r="M156" s="55"/>
      <c r="N156" s="55"/>
      <c r="O156" s="55"/>
      <c r="P156" s="55"/>
      <c r="Q156" s="55"/>
      <c r="R156" s="183" t="s">
        <v>624</v>
      </c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175"/>
      <c r="AK156" s="140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41"/>
    </row>
    <row r="157" spans="2:61" ht="20.100000000000001" customHeight="1" x14ac:dyDescent="0.45">
      <c r="B157" s="168"/>
      <c r="C157" s="31"/>
      <c r="D157" s="31"/>
      <c r="E157" s="31"/>
      <c r="F157" s="31"/>
      <c r="G157" s="138"/>
      <c r="H157" s="142" t="s">
        <v>145</v>
      </c>
      <c r="I157" s="55"/>
      <c r="J157" s="142" t="s">
        <v>359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143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144"/>
    </row>
    <row r="158" spans="2:61" ht="20.100000000000001" customHeight="1" x14ac:dyDescent="0.45">
      <c r="B158" s="137"/>
      <c r="C158" s="31"/>
      <c r="D158" s="31"/>
      <c r="E158" s="31"/>
      <c r="F158" s="31"/>
      <c r="G158" s="138"/>
      <c r="H158" s="139"/>
      <c r="I158" s="31"/>
      <c r="J158" s="139" t="s">
        <v>360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40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41"/>
    </row>
    <row r="159" spans="2:61" ht="20.100000000000001" customHeight="1" x14ac:dyDescent="0.45">
      <c r="B159" s="137"/>
      <c r="C159" s="31"/>
      <c r="D159" s="31"/>
      <c r="E159" s="31"/>
      <c r="F159" s="31"/>
      <c r="G159" s="138"/>
      <c r="H159" s="139"/>
      <c r="I159" s="31"/>
      <c r="J159" s="139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40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41"/>
    </row>
    <row r="160" spans="2:61" ht="20.100000000000001" customHeight="1" x14ac:dyDescent="0.45">
      <c r="B160" s="137"/>
      <c r="C160" s="31"/>
      <c r="D160" s="31"/>
      <c r="E160" s="31"/>
      <c r="F160" s="31"/>
      <c r="G160" s="138"/>
      <c r="H160" s="139"/>
      <c r="I160" s="31"/>
      <c r="J160" s="139" t="s">
        <v>362</v>
      </c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40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41"/>
    </row>
    <row r="161" spans="2:61" ht="20.100000000000001" customHeight="1" x14ac:dyDescent="0.45">
      <c r="B161" s="137"/>
      <c r="C161" s="31"/>
      <c r="D161" s="31"/>
      <c r="E161" s="31"/>
      <c r="F161" s="31"/>
      <c r="G161" s="138"/>
      <c r="H161" s="139"/>
      <c r="I161" s="31"/>
      <c r="J161" s="139" t="s">
        <v>363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40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41"/>
    </row>
    <row r="162" spans="2:61" ht="20.100000000000001" customHeight="1" x14ac:dyDescent="0.45">
      <c r="B162" s="137"/>
      <c r="C162" s="31"/>
      <c r="D162" s="31"/>
      <c r="E162" s="31"/>
      <c r="F162" s="31"/>
      <c r="G162" s="138"/>
      <c r="H162" s="142" t="s">
        <v>146</v>
      </c>
      <c r="I162" s="55"/>
      <c r="J162" s="142" t="s">
        <v>174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143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144"/>
    </row>
    <row r="163" spans="2:61" ht="20.100000000000001" customHeight="1" x14ac:dyDescent="0.45">
      <c r="B163" s="137"/>
      <c r="C163" s="31"/>
      <c r="D163" s="31"/>
      <c r="E163" s="31"/>
      <c r="F163" s="31"/>
      <c r="G163" s="138"/>
      <c r="H163" s="139"/>
      <c r="I163" s="31"/>
      <c r="J163" s="139"/>
      <c r="K163" s="31" t="s">
        <v>175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40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41"/>
    </row>
    <row r="164" spans="2:61" ht="20.100000000000001" customHeight="1" x14ac:dyDescent="0.45">
      <c r="B164" s="137"/>
      <c r="C164" s="31"/>
      <c r="D164" s="31"/>
      <c r="E164" s="31"/>
      <c r="F164" s="31"/>
      <c r="G164" s="138"/>
      <c r="H164" s="139"/>
      <c r="I164" s="31"/>
      <c r="J164" s="139"/>
      <c r="K164" s="31"/>
      <c r="M164" s="31" t="s">
        <v>212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40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41"/>
    </row>
    <row r="165" spans="2:61" ht="20.100000000000001" customHeight="1" x14ac:dyDescent="0.45">
      <c r="B165" s="137"/>
      <c r="C165" s="31"/>
      <c r="D165" s="31"/>
      <c r="E165" s="31"/>
      <c r="F165" s="31"/>
      <c r="G165" s="138"/>
      <c r="H165" s="139"/>
      <c r="I165" s="31"/>
      <c r="J165" s="139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40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41"/>
    </row>
    <row r="166" spans="2:61" ht="20.100000000000001" customHeight="1" x14ac:dyDescent="0.45">
      <c r="B166" s="137"/>
      <c r="C166" s="31"/>
      <c r="D166" s="31"/>
      <c r="E166" s="31"/>
      <c r="F166" s="31"/>
      <c r="G166" s="138"/>
      <c r="H166" s="139"/>
      <c r="I166" s="31"/>
      <c r="J166" s="139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40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41"/>
    </row>
    <row r="167" spans="2:61" ht="20.100000000000001" customHeight="1" x14ac:dyDescent="0.45">
      <c r="B167" s="137"/>
      <c r="C167" s="31"/>
      <c r="D167" s="31"/>
      <c r="E167" s="31"/>
      <c r="F167" s="31"/>
      <c r="G167" s="138"/>
      <c r="H167" s="139"/>
      <c r="I167" s="31"/>
      <c r="J167" s="139"/>
      <c r="K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140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41"/>
    </row>
    <row r="168" spans="2:61" ht="20.100000000000001" customHeight="1" x14ac:dyDescent="0.45">
      <c r="B168" s="137"/>
      <c r="C168" s="31"/>
      <c r="D168" s="31"/>
      <c r="E168" s="31"/>
      <c r="F168" s="31"/>
      <c r="G168" s="138"/>
      <c r="H168" s="139"/>
      <c r="I168" s="31"/>
      <c r="J168" s="139" t="s">
        <v>177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140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41"/>
    </row>
    <row r="169" spans="2:61" ht="20.100000000000001" customHeight="1" x14ac:dyDescent="0.45">
      <c r="B169" s="137"/>
      <c r="C169" s="31"/>
      <c r="D169" s="31"/>
      <c r="E169" s="31"/>
      <c r="F169" s="31"/>
      <c r="G169" s="138"/>
      <c r="H169" s="139"/>
      <c r="I169" s="31"/>
      <c r="J169" s="139"/>
      <c r="K169" s="6" t="s">
        <v>176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140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41"/>
    </row>
    <row r="170" spans="2:61" ht="20.100000000000001" customHeight="1" x14ac:dyDescent="0.45">
      <c r="B170" s="137"/>
      <c r="C170" s="31"/>
      <c r="D170" s="31"/>
      <c r="E170" s="31"/>
      <c r="F170" s="31"/>
      <c r="G170" s="138"/>
      <c r="H170" s="139"/>
      <c r="I170" s="31"/>
      <c r="J170" s="139"/>
      <c r="L170" s="31"/>
      <c r="M170" s="185" t="s">
        <v>625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140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41"/>
    </row>
    <row r="171" spans="2:61" ht="20.100000000000001" customHeight="1" x14ac:dyDescent="0.45">
      <c r="B171" s="137"/>
      <c r="C171" s="31"/>
      <c r="D171" s="31"/>
      <c r="E171" s="31"/>
      <c r="F171" s="31"/>
      <c r="G171" s="138"/>
      <c r="H171" s="139"/>
      <c r="I171" s="31"/>
      <c r="J171" s="139" t="s">
        <v>178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140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41"/>
    </row>
    <row r="172" spans="2:61" ht="20.100000000000001" customHeight="1" x14ac:dyDescent="0.45">
      <c r="B172" s="137"/>
      <c r="C172" s="31"/>
      <c r="D172" s="31"/>
      <c r="E172" s="31"/>
      <c r="F172" s="31"/>
      <c r="G172" s="138"/>
      <c r="H172" s="139"/>
      <c r="I172" s="31"/>
      <c r="J172" s="139"/>
      <c r="K172" s="31" t="s">
        <v>179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140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41"/>
    </row>
    <row r="173" spans="2:61" ht="20.100000000000001" customHeight="1" x14ac:dyDescent="0.45">
      <c r="B173" s="137"/>
      <c r="C173" s="31"/>
      <c r="D173" s="31"/>
      <c r="E173" s="31"/>
      <c r="F173" s="31"/>
      <c r="G173" s="138"/>
      <c r="H173" s="139"/>
      <c r="I173" s="31"/>
      <c r="J173" s="139"/>
      <c r="L173" s="31"/>
      <c r="M173" s="31" t="s">
        <v>228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140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41"/>
    </row>
    <row r="174" spans="2:61" ht="20.100000000000001" customHeight="1" x14ac:dyDescent="0.45">
      <c r="B174" s="137"/>
      <c r="C174" s="31"/>
      <c r="D174" s="31"/>
      <c r="E174" s="31"/>
      <c r="F174" s="31"/>
      <c r="G174" s="138"/>
      <c r="H174" s="145"/>
      <c r="I174" s="146"/>
      <c r="J174" s="139"/>
      <c r="L174" s="31" t="s">
        <v>180</v>
      </c>
      <c r="M174" s="31" t="s">
        <v>229</v>
      </c>
      <c r="N174" s="31"/>
      <c r="O174" s="31"/>
      <c r="P174" s="31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7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8"/>
    </row>
    <row r="175" spans="2:61" ht="20.100000000000001" customHeight="1" x14ac:dyDescent="0.45">
      <c r="B175" s="137"/>
      <c r="C175" s="31"/>
      <c r="D175" s="31"/>
      <c r="E175" s="31"/>
      <c r="F175" s="31"/>
      <c r="G175" s="138"/>
      <c r="H175" s="139" t="s">
        <v>147</v>
      </c>
      <c r="I175" s="31"/>
      <c r="J175" s="142"/>
      <c r="K175" s="55" t="s">
        <v>210</v>
      </c>
      <c r="L175" s="55"/>
      <c r="M175" s="55"/>
      <c r="N175" s="55"/>
      <c r="O175" s="55"/>
      <c r="P175" s="55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140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41"/>
    </row>
    <row r="176" spans="2:61" ht="20.100000000000001" customHeight="1" x14ac:dyDescent="0.45">
      <c r="B176" s="137"/>
      <c r="C176" s="31"/>
      <c r="D176" s="31"/>
      <c r="E176" s="31"/>
      <c r="F176" s="31"/>
      <c r="G176" s="138"/>
      <c r="H176" s="139"/>
      <c r="I176" s="31"/>
      <c r="J176" s="139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140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41"/>
    </row>
    <row r="177" spans="2:61" ht="20.100000000000001" customHeight="1" x14ac:dyDescent="0.45">
      <c r="B177" s="137"/>
      <c r="C177" s="31"/>
      <c r="D177" s="31"/>
      <c r="E177" s="31"/>
      <c r="F177" s="31"/>
      <c r="G177" s="138"/>
      <c r="H177" s="139"/>
      <c r="I177" s="31"/>
      <c r="J177" s="139" t="s">
        <v>185</v>
      </c>
      <c r="K177" s="6" t="s">
        <v>214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139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41"/>
    </row>
    <row r="178" spans="2:61" ht="20.100000000000001" customHeight="1" thickBot="1" x14ac:dyDescent="0.5">
      <c r="B178" s="137"/>
      <c r="C178" s="31"/>
      <c r="D178" s="31"/>
      <c r="E178" s="31"/>
      <c r="F178" s="31"/>
      <c r="G178" s="138"/>
      <c r="H178" s="139"/>
      <c r="I178" s="31"/>
      <c r="J178" s="139" t="s">
        <v>185</v>
      </c>
      <c r="K178" s="6" t="s">
        <v>204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139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41"/>
    </row>
    <row r="179" spans="2:61" ht="20.100000000000001" customHeight="1" x14ac:dyDescent="0.45">
      <c r="B179" s="131" t="s">
        <v>381</v>
      </c>
      <c r="C179" s="132"/>
      <c r="D179" s="132"/>
      <c r="E179" s="132"/>
      <c r="F179" s="132"/>
      <c r="G179" s="133"/>
      <c r="H179" s="134" t="s">
        <v>237</v>
      </c>
      <c r="I179" s="133"/>
      <c r="J179" s="173" t="s">
        <v>311</v>
      </c>
      <c r="K179" s="166"/>
      <c r="L179" s="166"/>
      <c r="M179" s="166"/>
      <c r="N179" s="166"/>
      <c r="O179" s="166"/>
      <c r="P179" s="166"/>
      <c r="Q179" s="166"/>
      <c r="R179" s="173" t="s">
        <v>262</v>
      </c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7"/>
      <c r="AK179" s="135"/>
      <c r="AL179" s="132"/>
      <c r="AM179" s="132"/>
      <c r="AN179" s="132"/>
      <c r="AO179" s="132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/>
      <c r="BB179" s="132"/>
      <c r="BC179" s="132"/>
      <c r="BD179" s="132"/>
      <c r="BE179" s="132"/>
      <c r="BF179" s="132"/>
      <c r="BG179" s="132"/>
      <c r="BH179" s="132"/>
      <c r="BI179" s="136"/>
    </row>
    <row r="180" spans="2:61" ht="20.100000000000001" customHeight="1" x14ac:dyDescent="0.45">
      <c r="B180" s="168"/>
      <c r="C180" s="31"/>
      <c r="D180" s="31"/>
      <c r="E180" s="31"/>
      <c r="F180" s="31"/>
      <c r="G180" s="138"/>
      <c r="H180" s="139"/>
      <c r="I180" s="138"/>
      <c r="J180" s="169" t="s">
        <v>294</v>
      </c>
      <c r="K180" s="52"/>
      <c r="L180" s="52"/>
      <c r="M180" s="52"/>
      <c r="N180" s="52"/>
      <c r="O180" s="52"/>
      <c r="P180" s="52"/>
      <c r="Q180" s="52"/>
      <c r="R180" s="169" t="s">
        <v>341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70"/>
      <c r="AK180" s="140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141"/>
    </row>
    <row r="181" spans="2:61" ht="20.100000000000001" customHeight="1" x14ac:dyDescent="0.45">
      <c r="B181" s="168"/>
      <c r="C181" s="31"/>
      <c r="D181" s="31"/>
      <c r="E181" s="31"/>
      <c r="F181" s="31"/>
      <c r="G181" s="138"/>
      <c r="H181" s="139"/>
      <c r="I181" s="138"/>
      <c r="J181" s="169" t="s">
        <v>314</v>
      </c>
      <c r="K181" s="52"/>
      <c r="L181" s="52"/>
      <c r="M181" s="52"/>
      <c r="N181" s="52"/>
      <c r="O181" s="52"/>
      <c r="P181" s="52"/>
      <c r="Q181" s="52"/>
      <c r="R181" s="169" t="s">
        <v>312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70"/>
      <c r="AK181" s="140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141"/>
    </row>
    <row r="182" spans="2:61" ht="20.100000000000001" customHeight="1" x14ac:dyDescent="0.45">
      <c r="B182" s="168"/>
      <c r="C182" s="31"/>
      <c r="D182" s="31"/>
      <c r="E182" s="31"/>
      <c r="F182" s="31"/>
      <c r="G182" s="138"/>
      <c r="H182" s="139"/>
      <c r="I182" s="138"/>
      <c r="J182" s="169" t="s">
        <v>315</v>
      </c>
      <c r="K182" s="52"/>
      <c r="L182" s="52"/>
      <c r="M182" s="52"/>
      <c r="N182" s="52"/>
      <c r="O182" s="52"/>
      <c r="P182" s="52"/>
      <c r="Q182" s="52"/>
      <c r="R182" s="169" t="s">
        <v>263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70"/>
      <c r="AK182" s="140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141"/>
    </row>
    <row r="183" spans="2:61" ht="20.100000000000001" customHeight="1" x14ac:dyDescent="0.45">
      <c r="B183" s="168"/>
      <c r="C183" s="31"/>
      <c r="D183" s="31"/>
      <c r="E183" s="31"/>
      <c r="F183" s="31"/>
      <c r="G183" s="138"/>
      <c r="H183" s="139"/>
      <c r="I183" s="138"/>
      <c r="J183" s="169" t="s">
        <v>316</v>
      </c>
      <c r="K183" s="52"/>
      <c r="L183" s="52"/>
      <c r="M183" s="52"/>
      <c r="N183" s="52"/>
      <c r="O183" s="52"/>
      <c r="P183" s="52"/>
      <c r="Q183" s="52"/>
      <c r="R183" s="169" t="s">
        <v>264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70"/>
      <c r="AK183" s="140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41"/>
    </row>
    <row r="184" spans="2:61" ht="20.100000000000001" customHeight="1" x14ac:dyDescent="0.45">
      <c r="B184" s="168"/>
      <c r="C184" s="31"/>
      <c r="D184" s="31"/>
      <c r="E184" s="31"/>
      <c r="F184" s="31"/>
      <c r="G184" s="138"/>
      <c r="H184" s="139"/>
      <c r="I184" s="138"/>
      <c r="J184" s="169" t="s">
        <v>317</v>
      </c>
      <c r="K184" s="52"/>
      <c r="L184" s="52"/>
      <c r="M184" s="52"/>
      <c r="N184" s="52"/>
      <c r="O184" s="52"/>
      <c r="P184" s="52"/>
      <c r="Q184" s="52"/>
      <c r="R184" s="169" t="s">
        <v>265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70"/>
      <c r="AK184" s="140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141"/>
    </row>
    <row r="185" spans="2:61" ht="20.100000000000001" customHeight="1" x14ac:dyDescent="0.45">
      <c r="B185" s="168"/>
      <c r="C185" s="31"/>
      <c r="D185" s="31"/>
      <c r="E185" s="31"/>
      <c r="F185" s="31"/>
      <c r="G185" s="138"/>
      <c r="H185" s="139"/>
      <c r="I185" s="138"/>
      <c r="J185" s="169" t="s">
        <v>318</v>
      </c>
      <c r="K185" s="52"/>
      <c r="L185" s="52"/>
      <c r="M185" s="52"/>
      <c r="N185" s="52"/>
      <c r="O185" s="52"/>
      <c r="P185" s="52"/>
      <c r="Q185" s="52"/>
      <c r="R185" s="169" t="s">
        <v>266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170"/>
      <c r="AK185" s="140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41"/>
    </row>
    <row r="186" spans="2:61" ht="20.100000000000001" customHeight="1" x14ac:dyDescent="0.45">
      <c r="B186" s="168"/>
      <c r="C186" s="31"/>
      <c r="D186" s="31"/>
      <c r="E186" s="31"/>
      <c r="F186" s="31"/>
      <c r="G186" s="138"/>
      <c r="H186" s="139"/>
      <c r="I186" s="138"/>
      <c r="J186" s="169" t="s">
        <v>319</v>
      </c>
      <c r="K186" s="52"/>
      <c r="L186" s="52"/>
      <c r="M186" s="52"/>
      <c r="N186" s="52"/>
      <c r="O186" s="52"/>
      <c r="P186" s="52"/>
      <c r="Q186" s="52"/>
      <c r="R186" s="169" t="s">
        <v>267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170"/>
      <c r="AK186" s="140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41"/>
    </row>
    <row r="187" spans="2:61" ht="20.100000000000001" customHeight="1" x14ac:dyDescent="0.45">
      <c r="B187" s="168"/>
      <c r="C187" s="31"/>
      <c r="D187" s="31"/>
      <c r="E187" s="31"/>
      <c r="F187" s="31"/>
      <c r="G187" s="138"/>
      <c r="H187" s="139"/>
      <c r="I187" s="138"/>
      <c r="J187" s="169" t="s">
        <v>320</v>
      </c>
      <c r="K187" s="52"/>
      <c r="L187" s="52"/>
      <c r="M187" s="52"/>
      <c r="N187" s="52"/>
      <c r="O187" s="52"/>
      <c r="P187" s="52"/>
      <c r="Q187" s="52"/>
      <c r="R187" s="169" t="s">
        <v>268</v>
      </c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170"/>
      <c r="AK187" s="140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41"/>
    </row>
    <row r="188" spans="2:61" ht="20.100000000000001" customHeight="1" x14ac:dyDescent="0.45">
      <c r="B188" s="168"/>
      <c r="C188" s="31"/>
      <c r="D188" s="31"/>
      <c r="E188" s="31"/>
      <c r="F188" s="31"/>
      <c r="G188" s="138"/>
      <c r="H188" s="139"/>
      <c r="I188" s="138"/>
      <c r="J188" s="169" t="s">
        <v>321</v>
      </c>
      <c r="K188" s="52"/>
      <c r="L188" s="52"/>
      <c r="M188" s="52"/>
      <c r="N188" s="52"/>
      <c r="O188" s="52"/>
      <c r="P188" s="52"/>
      <c r="Q188" s="52"/>
      <c r="R188" s="169" t="s">
        <v>269</v>
      </c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170"/>
      <c r="AK188" s="140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41"/>
    </row>
    <row r="189" spans="2:61" ht="20.100000000000001" customHeight="1" x14ac:dyDescent="0.45">
      <c r="B189" s="168"/>
      <c r="C189" s="31"/>
      <c r="D189" s="31"/>
      <c r="E189" s="31"/>
      <c r="F189" s="31"/>
      <c r="G189" s="138"/>
      <c r="H189" s="139"/>
      <c r="I189" s="138"/>
      <c r="J189" s="169" t="s">
        <v>322</v>
      </c>
      <c r="K189" s="52"/>
      <c r="L189" s="52"/>
      <c r="M189" s="52"/>
      <c r="N189" s="52"/>
      <c r="O189" s="52"/>
      <c r="P189" s="52"/>
      <c r="Q189" s="52"/>
      <c r="R189" s="169" t="s">
        <v>270</v>
      </c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170"/>
      <c r="AK189" s="140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41"/>
    </row>
    <row r="190" spans="2:61" ht="20.100000000000001" customHeight="1" x14ac:dyDescent="0.45">
      <c r="B190" s="168"/>
      <c r="C190" s="31"/>
      <c r="D190" s="31"/>
      <c r="E190" s="31"/>
      <c r="F190" s="31"/>
      <c r="G190" s="138"/>
      <c r="H190" s="139"/>
      <c r="I190" s="138"/>
      <c r="J190" s="169" t="s">
        <v>323</v>
      </c>
      <c r="K190" s="52"/>
      <c r="L190" s="52"/>
      <c r="M190" s="52"/>
      <c r="N190" s="52"/>
      <c r="O190" s="52"/>
      <c r="P190" s="52"/>
      <c r="Q190" s="52"/>
      <c r="R190" s="169" t="s">
        <v>271</v>
      </c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170"/>
      <c r="AK190" s="140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141"/>
    </row>
    <row r="191" spans="2:61" ht="20.100000000000001" customHeight="1" x14ac:dyDescent="0.45">
      <c r="B191" s="168"/>
      <c r="C191" s="31"/>
      <c r="D191" s="31"/>
      <c r="E191" s="31"/>
      <c r="F191" s="31"/>
      <c r="G191" s="138"/>
      <c r="H191" s="139"/>
      <c r="I191" s="138"/>
      <c r="J191" s="169" t="s">
        <v>324</v>
      </c>
      <c r="K191" s="52"/>
      <c r="L191" s="52"/>
      <c r="M191" s="52"/>
      <c r="N191" s="52"/>
      <c r="O191" s="52"/>
      <c r="P191" s="52"/>
      <c r="Q191" s="52"/>
      <c r="R191" s="169" t="s">
        <v>272</v>
      </c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170"/>
      <c r="AK191" s="140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141"/>
    </row>
    <row r="192" spans="2:61" ht="20.100000000000001" customHeight="1" x14ac:dyDescent="0.45">
      <c r="B192" s="168"/>
      <c r="C192" s="31"/>
      <c r="D192" s="31"/>
      <c r="E192" s="31"/>
      <c r="F192" s="31"/>
      <c r="G192" s="138"/>
      <c r="H192" s="139"/>
      <c r="I192" s="138"/>
      <c r="J192" s="169" t="s">
        <v>325</v>
      </c>
      <c r="K192" s="52"/>
      <c r="L192" s="52"/>
      <c r="M192" s="52"/>
      <c r="N192" s="52"/>
      <c r="O192" s="52"/>
      <c r="P192" s="52"/>
      <c r="Q192" s="52"/>
      <c r="R192" s="169" t="s">
        <v>273</v>
      </c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170"/>
      <c r="AK192" s="140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41"/>
    </row>
    <row r="193" spans="2:61" ht="20.100000000000001" customHeight="1" x14ac:dyDescent="0.45">
      <c r="B193" s="168"/>
      <c r="C193" s="31"/>
      <c r="D193" s="31"/>
      <c r="E193" s="31"/>
      <c r="F193" s="31"/>
      <c r="G193" s="138"/>
      <c r="H193" s="139"/>
      <c r="I193" s="138"/>
      <c r="J193" s="169" t="s">
        <v>326</v>
      </c>
      <c r="K193" s="52"/>
      <c r="L193" s="52"/>
      <c r="M193" s="52"/>
      <c r="N193" s="52"/>
      <c r="O193" s="52"/>
      <c r="P193" s="52"/>
      <c r="Q193" s="52"/>
      <c r="R193" s="169" t="s">
        <v>274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70"/>
      <c r="AK193" s="140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41"/>
    </row>
    <row r="194" spans="2:61" ht="20.100000000000001" customHeight="1" x14ac:dyDescent="0.45">
      <c r="B194" s="168"/>
      <c r="C194" s="31"/>
      <c r="D194" s="31"/>
      <c r="E194" s="31"/>
      <c r="F194" s="31"/>
      <c r="G194" s="138"/>
      <c r="H194" s="139"/>
      <c r="I194" s="138"/>
      <c r="J194" s="169" t="s">
        <v>327</v>
      </c>
      <c r="K194" s="52"/>
      <c r="L194" s="52"/>
      <c r="M194" s="52"/>
      <c r="N194" s="52"/>
      <c r="O194" s="52"/>
      <c r="P194" s="52"/>
      <c r="Q194" s="52"/>
      <c r="R194" s="169" t="s">
        <v>275</v>
      </c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170"/>
      <c r="AK194" s="140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41"/>
    </row>
    <row r="195" spans="2:61" ht="20.100000000000001" customHeight="1" x14ac:dyDescent="0.45">
      <c r="B195" s="168"/>
      <c r="C195" s="31"/>
      <c r="D195" s="31"/>
      <c r="E195" s="31"/>
      <c r="F195" s="31"/>
      <c r="G195" s="138"/>
      <c r="H195" s="139"/>
      <c r="I195" s="138"/>
      <c r="J195" s="169" t="s">
        <v>296</v>
      </c>
      <c r="K195" s="52"/>
      <c r="L195" s="52"/>
      <c r="M195" s="52"/>
      <c r="N195" s="52"/>
      <c r="O195" s="52"/>
      <c r="P195" s="52"/>
      <c r="Q195" s="52"/>
      <c r="R195" s="169" t="s">
        <v>295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170"/>
      <c r="AK195" s="140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41"/>
    </row>
    <row r="196" spans="2:61" ht="20.100000000000001" customHeight="1" x14ac:dyDescent="0.45">
      <c r="B196" s="168"/>
      <c r="C196" s="31"/>
      <c r="D196" s="31"/>
      <c r="E196" s="31"/>
      <c r="F196" s="31"/>
      <c r="G196" s="138"/>
      <c r="H196" s="139"/>
      <c r="I196" s="138"/>
      <c r="J196" s="169" t="s">
        <v>328</v>
      </c>
      <c r="K196" s="52"/>
      <c r="L196" s="52"/>
      <c r="M196" s="52"/>
      <c r="N196" s="52"/>
      <c r="O196" s="52"/>
      <c r="P196" s="52"/>
      <c r="Q196" s="52"/>
      <c r="R196" s="169" t="s">
        <v>276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170"/>
      <c r="AK196" s="140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41"/>
    </row>
    <row r="197" spans="2:61" ht="20.100000000000001" customHeight="1" x14ac:dyDescent="0.45">
      <c r="B197" s="168"/>
      <c r="C197" s="31"/>
      <c r="D197" s="31"/>
      <c r="E197" s="31"/>
      <c r="F197" s="31"/>
      <c r="G197" s="138"/>
      <c r="H197" s="139"/>
      <c r="I197" s="138"/>
      <c r="J197" s="169" t="s">
        <v>329</v>
      </c>
      <c r="K197" s="52"/>
      <c r="L197" s="52"/>
      <c r="M197" s="52"/>
      <c r="N197" s="52"/>
      <c r="O197" s="52"/>
      <c r="P197" s="52"/>
      <c r="Q197" s="52"/>
      <c r="R197" s="169" t="s">
        <v>277</v>
      </c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170"/>
      <c r="AK197" s="140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41"/>
    </row>
    <row r="198" spans="2:61" ht="20.100000000000001" customHeight="1" x14ac:dyDescent="0.45">
      <c r="B198" s="168"/>
      <c r="C198" s="31"/>
      <c r="D198" s="31"/>
      <c r="E198" s="31"/>
      <c r="F198" s="31"/>
      <c r="G198" s="138"/>
      <c r="H198" s="139"/>
      <c r="I198" s="138"/>
      <c r="J198" s="169" t="s">
        <v>298</v>
      </c>
      <c r="K198" s="52"/>
      <c r="L198" s="52"/>
      <c r="M198" s="52"/>
      <c r="N198" s="52"/>
      <c r="O198" s="52"/>
      <c r="P198" s="52"/>
      <c r="Q198" s="52"/>
      <c r="R198" s="174" t="s">
        <v>278</v>
      </c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170"/>
      <c r="AK198" s="140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41"/>
    </row>
    <row r="199" spans="2:61" ht="20.100000000000001" customHeight="1" x14ac:dyDescent="0.45">
      <c r="B199" s="168"/>
      <c r="C199" s="31"/>
      <c r="D199" s="31"/>
      <c r="E199" s="31"/>
      <c r="F199" s="31"/>
      <c r="G199" s="138"/>
      <c r="H199" s="139"/>
      <c r="I199" s="138"/>
      <c r="J199" s="169" t="s">
        <v>330</v>
      </c>
      <c r="K199" s="52"/>
      <c r="L199" s="52"/>
      <c r="M199" s="52"/>
      <c r="N199" s="52"/>
      <c r="O199" s="52"/>
      <c r="P199" s="52"/>
      <c r="Q199" s="52"/>
      <c r="R199" s="169" t="s">
        <v>279</v>
      </c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170"/>
      <c r="AK199" s="140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41"/>
    </row>
    <row r="200" spans="2:61" ht="20.100000000000001" customHeight="1" x14ac:dyDescent="0.45">
      <c r="B200" s="168"/>
      <c r="C200" s="31"/>
      <c r="D200" s="31"/>
      <c r="E200" s="31"/>
      <c r="F200" s="31"/>
      <c r="G200" s="138"/>
      <c r="H200" s="139"/>
      <c r="I200" s="138"/>
      <c r="J200" s="169" t="s">
        <v>301</v>
      </c>
      <c r="K200" s="52"/>
      <c r="L200" s="52"/>
      <c r="M200" s="52"/>
      <c r="N200" s="52"/>
      <c r="O200" s="52"/>
      <c r="P200" s="52"/>
      <c r="Q200" s="52"/>
      <c r="R200" s="169" t="s">
        <v>299</v>
      </c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170"/>
      <c r="AK200" s="140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41"/>
    </row>
    <row r="201" spans="2:61" ht="20.100000000000001" customHeight="1" x14ac:dyDescent="0.45">
      <c r="B201" s="168"/>
      <c r="C201" s="31"/>
      <c r="D201" s="31"/>
      <c r="E201" s="31"/>
      <c r="F201" s="31"/>
      <c r="G201" s="138"/>
      <c r="H201" s="139"/>
      <c r="I201" s="138"/>
      <c r="J201" s="169" t="s">
        <v>331</v>
      </c>
      <c r="K201" s="52"/>
      <c r="L201" s="52"/>
      <c r="M201" s="52"/>
      <c r="N201" s="52"/>
      <c r="O201" s="52"/>
      <c r="P201" s="52"/>
      <c r="Q201" s="52"/>
      <c r="R201" s="169" t="s">
        <v>280</v>
      </c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170"/>
      <c r="AK201" s="140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41"/>
    </row>
    <row r="202" spans="2:61" ht="20.100000000000001" customHeight="1" x14ac:dyDescent="0.45">
      <c r="B202" s="168"/>
      <c r="C202" s="31"/>
      <c r="D202" s="31"/>
      <c r="E202" s="31"/>
      <c r="F202" s="31"/>
      <c r="G202" s="138"/>
      <c r="H202" s="139"/>
      <c r="I202" s="138"/>
      <c r="J202" s="169" t="s">
        <v>302</v>
      </c>
      <c r="K202" s="52"/>
      <c r="L202" s="52"/>
      <c r="M202" s="52"/>
      <c r="N202" s="52"/>
      <c r="O202" s="52"/>
      <c r="P202" s="52"/>
      <c r="Q202" s="52"/>
      <c r="R202" s="174" t="s">
        <v>281</v>
      </c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170"/>
      <c r="AK202" s="140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41"/>
    </row>
    <row r="203" spans="2:61" ht="20.100000000000001" customHeight="1" x14ac:dyDescent="0.45">
      <c r="B203" s="168"/>
      <c r="C203" s="31"/>
      <c r="D203" s="31"/>
      <c r="E203" s="31"/>
      <c r="F203" s="31"/>
      <c r="G203" s="138"/>
      <c r="H203" s="139"/>
      <c r="I203" s="138"/>
      <c r="J203" s="169" t="s">
        <v>307</v>
      </c>
      <c r="K203" s="52"/>
      <c r="L203" s="52"/>
      <c r="M203" s="52"/>
      <c r="N203" s="52"/>
      <c r="O203" s="52"/>
      <c r="P203" s="52"/>
      <c r="Q203" s="52"/>
      <c r="R203" s="169">
        <v>0</v>
      </c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170"/>
      <c r="AK203" s="140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41"/>
    </row>
    <row r="204" spans="2:61" ht="20.100000000000001" customHeight="1" x14ac:dyDescent="0.45">
      <c r="B204" s="168"/>
      <c r="C204" s="31"/>
      <c r="D204" s="31"/>
      <c r="E204" s="31"/>
      <c r="F204" s="31"/>
      <c r="G204" s="138"/>
      <c r="H204" s="139"/>
      <c r="I204" s="138"/>
      <c r="J204" s="169" t="s">
        <v>309</v>
      </c>
      <c r="K204" s="52"/>
      <c r="L204" s="52"/>
      <c r="M204" s="52"/>
      <c r="N204" s="52"/>
      <c r="O204" s="52"/>
      <c r="P204" s="52"/>
      <c r="Q204" s="52"/>
      <c r="R204" s="169">
        <v>0</v>
      </c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170"/>
      <c r="AK204" s="140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41"/>
    </row>
    <row r="205" spans="2:61" ht="20.100000000000001" customHeight="1" x14ac:dyDescent="0.45">
      <c r="B205" s="168"/>
      <c r="C205" s="31"/>
      <c r="D205" s="31"/>
      <c r="E205" s="31"/>
      <c r="F205" s="31"/>
      <c r="G205" s="138"/>
      <c r="H205" s="139"/>
      <c r="I205" s="138"/>
      <c r="J205" s="169" t="s">
        <v>333</v>
      </c>
      <c r="K205" s="52"/>
      <c r="L205" s="52"/>
      <c r="M205" s="52"/>
      <c r="N205" s="52"/>
      <c r="O205" s="52"/>
      <c r="P205" s="52"/>
      <c r="Q205" s="52"/>
      <c r="R205" s="169" t="s">
        <v>284</v>
      </c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170"/>
      <c r="AK205" s="140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41"/>
    </row>
    <row r="206" spans="2:61" ht="20.100000000000001" customHeight="1" x14ac:dyDescent="0.45">
      <c r="B206" s="168"/>
      <c r="C206" s="31"/>
      <c r="D206" s="31"/>
      <c r="E206" s="31"/>
      <c r="F206" s="31"/>
      <c r="G206" s="138"/>
      <c r="H206" s="139"/>
      <c r="I206" s="138"/>
      <c r="J206" s="169" t="s">
        <v>305</v>
      </c>
      <c r="K206" s="52"/>
      <c r="L206" s="52"/>
      <c r="M206" s="52"/>
      <c r="N206" s="52"/>
      <c r="O206" s="52"/>
      <c r="P206" s="52"/>
      <c r="Q206" s="52"/>
      <c r="R206" s="169" t="s">
        <v>303</v>
      </c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170"/>
      <c r="AK206" s="140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41"/>
    </row>
    <row r="207" spans="2:61" ht="20.100000000000001" customHeight="1" x14ac:dyDescent="0.45">
      <c r="B207" s="168"/>
      <c r="C207" s="31"/>
      <c r="D207" s="31"/>
      <c r="E207" s="31"/>
      <c r="F207" s="31"/>
      <c r="G207" s="138"/>
      <c r="H207" s="139"/>
      <c r="I207" s="138"/>
      <c r="J207" s="169" t="s">
        <v>334</v>
      </c>
      <c r="K207" s="52"/>
      <c r="L207" s="52"/>
      <c r="M207" s="52"/>
      <c r="N207" s="52"/>
      <c r="O207" s="52"/>
      <c r="P207" s="52"/>
      <c r="Q207" s="52"/>
      <c r="R207" s="169" t="s">
        <v>285</v>
      </c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170"/>
      <c r="AK207" s="140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41"/>
    </row>
    <row r="208" spans="2:61" ht="20.100000000000001" customHeight="1" x14ac:dyDescent="0.45">
      <c r="B208" s="168"/>
      <c r="C208" s="31"/>
      <c r="D208" s="31"/>
      <c r="E208" s="31"/>
      <c r="F208" s="31"/>
      <c r="G208" s="138"/>
      <c r="H208" s="139"/>
      <c r="I208" s="138"/>
      <c r="J208" s="169" t="s">
        <v>335</v>
      </c>
      <c r="K208" s="52"/>
      <c r="L208" s="52"/>
      <c r="M208" s="52"/>
      <c r="N208" s="52"/>
      <c r="O208" s="52"/>
      <c r="P208" s="52"/>
      <c r="Q208" s="52"/>
      <c r="R208" s="169" t="s">
        <v>286</v>
      </c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170"/>
      <c r="AK208" s="140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41"/>
    </row>
    <row r="209" spans="2:61" ht="20.100000000000001" customHeight="1" x14ac:dyDescent="0.45">
      <c r="B209" s="168"/>
      <c r="C209" s="31"/>
      <c r="D209" s="31"/>
      <c r="E209" s="31"/>
      <c r="F209" s="31"/>
      <c r="G209" s="138"/>
      <c r="H209" s="139"/>
      <c r="I209" s="138"/>
      <c r="J209" s="169" t="s">
        <v>336</v>
      </c>
      <c r="K209" s="52"/>
      <c r="L209" s="52"/>
      <c r="M209" s="52"/>
      <c r="N209" s="52"/>
      <c r="O209" s="52"/>
      <c r="P209" s="52"/>
      <c r="Q209" s="52"/>
      <c r="R209" s="169" t="s">
        <v>287</v>
      </c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170"/>
      <c r="AK209" s="140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41"/>
    </row>
    <row r="210" spans="2:61" ht="20.100000000000001" customHeight="1" x14ac:dyDescent="0.45">
      <c r="B210" s="168"/>
      <c r="C210" s="31"/>
      <c r="D210" s="31"/>
      <c r="E210" s="31"/>
      <c r="F210" s="31"/>
      <c r="G210" s="138"/>
      <c r="H210" s="139"/>
      <c r="I210" s="138"/>
      <c r="J210" s="169" t="s">
        <v>337</v>
      </c>
      <c r="K210" s="52"/>
      <c r="L210" s="52"/>
      <c r="M210" s="52"/>
      <c r="N210" s="52"/>
      <c r="O210" s="52"/>
      <c r="P210" s="52"/>
      <c r="Q210" s="52"/>
      <c r="R210" s="169" t="s">
        <v>288</v>
      </c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170"/>
      <c r="AK210" s="140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41"/>
    </row>
    <row r="211" spans="2:61" ht="20.100000000000001" customHeight="1" x14ac:dyDescent="0.45">
      <c r="B211" s="168"/>
      <c r="C211" s="31"/>
      <c r="D211" s="31"/>
      <c r="E211" s="31"/>
      <c r="F211" s="31"/>
      <c r="G211" s="138"/>
      <c r="H211" s="139"/>
      <c r="I211" s="138"/>
      <c r="J211" s="169" t="s">
        <v>338</v>
      </c>
      <c r="K211" s="52"/>
      <c r="L211" s="52"/>
      <c r="M211" s="52"/>
      <c r="N211" s="52"/>
      <c r="O211" s="52"/>
      <c r="P211" s="52"/>
      <c r="Q211" s="52"/>
      <c r="R211" s="169" t="s">
        <v>289</v>
      </c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170"/>
      <c r="AK211" s="140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41"/>
    </row>
    <row r="212" spans="2:61" ht="20.100000000000001" customHeight="1" x14ac:dyDescent="0.45">
      <c r="B212" s="168"/>
      <c r="C212" s="31"/>
      <c r="D212" s="31"/>
      <c r="E212" s="31"/>
      <c r="F212" s="31"/>
      <c r="G212" s="138"/>
      <c r="H212" s="139"/>
      <c r="I212" s="138"/>
      <c r="J212" s="169" t="s">
        <v>339</v>
      </c>
      <c r="K212" s="52"/>
      <c r="L212" s="52"/>
      <c r="M212" s="52"/>
      <c r="N212" s="52"/>
      <c r="O212" s="52"/>
      <c r="P212" s="52"/>
      <c r="Q212" s="52"/>
      <c r="R212" s="169" t="s">
        <v>290</v>
      </c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170"/>
      <c r="AK212" s="140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141"/>
    </row>
    <row r="213" spans="2:61" ht="20.100000000000001" customHeight="1" x14ac:dyDescent="0.45">
      <c r="B213" s="168"/>
      <c r="C213" s="31"/>
      <c r="D213" s="31"/>
      <c r="E213" s="31"/>
      <c r="F213" s="31"/>
      <c r="G213" s="138"/>
      <c r="H213" s="139"/>
      <c r="I213" s="138"/>
      <c r="J213" s="142" t="s">
        <v>340</v>
      </c>
      <c r="K213" s="55"/>
      <c r="L213" s="55"/>
      <c r="M213" s="55"/>
      <c r="N213" s="55"/>
      <c r="O213" s="55"/>
      <c r="P213" s="55"/>
      <c r="Q213" s="55"/>
      <c r="R213" s="183" t="s">
        <v>624</v>
      </c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175"/>
      <c r="AK213" s="140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141"/>
    </row>
    <row r="214" spans="2:61" ht="20.100000000000001" customHeight="1" x14ac:dyDescent="0.45">
      <c r="B214" s="168"/>
      <c r="C214" s="31"/>
      <c r="D214" s="31"/>
      <c r="E214" s="31"/>
      <c r="F214" s="31"/>
      <c r="G214" s="138"/>
      <c r="H214" s="142" t="s">
        <v>145</v>
      </c>
      <c r="I214" s="55"/>
      <c r="J214" s="142" t="s">
        <v>359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143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144"/>
    </row>
    <row r="215" spans="2:61" ht="20.100000000000001" customHeight="1" x14ac:dyDescent="0.45">
      <c r="B215" s="137"/>
      <c r="C215" s="31"/>
      <c r="D215" s="31"/>
      <c r="E215" s="31"/>
      <c r="F215" s="31"/>
      <c r="G215" s="138"/>
      <c r="H215" s="139"/>
      <c r="I215" s="31"/>
      <c r="J215" s="139" t="s">
        <v>360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140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41"/>
    </row>
    <row r="216" spans="2:61" ht="20.100000000000001" customHeight="1" x14ac:dyDescent="0.45">
      <c r="B216" s="137"/>
      <c r="C216" s="31"/>
      <c r="D216" s="31"/>
      <c r="E216" s="31"/>
      <c r="F216" s="31"/>
      <c r="G216" s="138"/>
      <c r="H216" s="139"/>
      <c r="I216" s="31"/>
      <c r="J216" s="139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140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41"/>
    </row>
    <row r="217" spans="2:61" ht="20.100000000000001" customHeight="1" x14ac:dyDescent="0.45">
      <c r="B217" s="137"/>
      <c r="C217" s="31"/>
      <c r="D217" s="31"/>
      <c r="E217" s="31"/>
      <c r="F217" s="31"/>
      <c r="G217" s="138"/>
      <c r="H217" s="139"/>
      <c r="I217" s="31"/>
      <c r="J217" s="139" t="s">
        <v>362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140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141"/>
    </row>
    <row r="218" spans="2:61" ht="20.100000000000001" customHeight="1" x14ac:dyDescent="0.45">
      <c r="B218" s="137"/>
      <c r="C218" s="31"/>
      <c r="D218" s="31"/>
      <c r="E218" s="31"/>
      <c r="F218" s="31"/>
      <c r="G218" s="138"/>
      <c r="H218" s="139"/>
      <c r="I218" s="31"/>
      <c r="J218" s="139" t="s">
        <v>363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140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141"/>
    </row>
    <row r="219" spans="2:61" ht="20.100000000000001" customHeight="1" x14ac:dyDescent="0.45">
      <c r="B219" s="137"/>
      <c r="C219" s="31"/>
      <c r="D219" s="31"/>
      <c r="E219" s="31"/>
      <c r="F219" s="31"/>
      <c r="G219" s="138"/>
      <c r="H219" s="142" t="s">
        <v>146</v>
      </c>
      <c r="I219" s="55"/>
      <c r="J219" s="142" t="s">
        <v>174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143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144"/>
    </row>
    <row r="220" spans="2:61" ht="20.100000000000001" customHeight="1" x14ac:dyDescent="0.45">
      <c r="B220" s="137"/>
      <c r="C220" s="31"/>
      <c r="D220" s="31"/>
      <c r="E220" s="31"/>
      <c r="F220" s="31"/>
      <c r="G220" s="138"/>
      <c r="H220" s="139"/>
      <c r="I220" s="31"/>
      <c r="J220" s="139"/>
      <c r="K220" s="31" t="s">
        <v>175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140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141"/>
    </row>
    <row r="221" spans="2:61" ht="20.100000000000001" customHeight="1" x14ac:dyDescent="0.45">
      <c r="B221" s="137"/>
      <c r="C221" s="31"/>
      <c r="D221" s="31"/>
      <c r="E221" s="31"/>
      <c r="F221" s="31"/>
      <c r="G221" s="138"/>
      <c r="H221" s="139"/>
      <c r="I221" s="31"/>
      <c r="J221" s="139"/>
      <c r="K221" s="31"/>
      <c r="M221" s="31" t="s">
        <v>212</v>
      </c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140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141"/>
    </row>
    <row r="222" spans="2:61" ht="20.100000000000001" customHeight="1" x14ac:dyDescent="0.45">
      <c r="B222" s="137"/>
      <c r="C222" s="31"/>
      <c r="D222" s="31"/>
      <c r="E222" s="31"/>
      <c r="F222" s="31"/>
      <c r="G222" s="138"/>
      <c r="H222" s="139"/>
      <c r="I222" s="31"/>
      <c r="J222" s="139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140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141"/>
    </row>
    <row r="223" spans="2:61" ht="20.100000000000001" customHeight="1" x14ac:dyDescent="0.45">
      <c r="B223" s="137"/>
      <c r="C223" s="31"/>
      <c r="D223" s="31"/>
      <c r="E223" s="31"/>
      <c r="F223" s="31"/>
      <c r="G223" s="138"/>
      <c r="H223" s="139"/>
      <c r="I223" s="31"/>
      <c r="J223" s="139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140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141"/>
    </row>
    <row r="224" spans="2:61" ht="20.100000000000001" customHeight="1" x14ac:dyDescent="0.45">
      <c r="B224" s="137"/>
      <c r="C224" s="31"/>
      <c r="D224" s="31"/>
      <c r="E224" s="31"/>
      <c r="F224" s="31"/>
      <c r="G224" s="138"/>
      <c r="H224" s="139"/>
      <c r="I224" s="31"/>
      <c r="J224" s="139"/>
      <c r="K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140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141"/>
    </row>
    <row r="225" spans="2:61" ht="20.100000000000001" customHeight="1" x14ac:dyDescent="0.45">
      <c r="B225" s="137"/>
      <c r="C225" s="31"/>
      <c r="D225" s="31"/>
      <c r="E225" s="31"/>
      <c r="F225" s="31"/>
      <c r="G225" s="138"/>
      <c r="H225" s="139"/>
      <c r="I225" s="31"/>
      <c r="J225" s="139" t="s">
        <v>177</v>
      </c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140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141"/>
    </row>
    <row r="226" spans="2:61" ht="20.100000000000001" customHeight="1" x14ac:dyDescent="0.45">
      <c r="B226" s="137"/>
      <c r="C226" s="31"/>
      <c r="D226" s="31"/>
      <c r="E226" s="31"/>
      <c r="F226" s="31"/>
      <c r="G226" s="138"/>
      <c r="H226" s="139"/>
      <c r="I226" s="31"/>
      <c r="J226" s="139"/>
      <c r="K226" s="6" t="s">
        <v>176</v>
      </c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140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141"/>
    </row>
    <row r="227" spans="2:61" ht="20.100000000000001" customHeight="1" x14ac:dyDescent="0.45">
      <c r="B227" s="137"/>
      <c r="C227" s="31"/>
      <c r="D227" s="31"/>
      <c r="E227" s="31"/>
      <c r="F227" s="31"/>
      <c r="G227" s="138"/>
      <c r="H227" s="139"/>
      <c r="I227" s="31"/>
      <c r="J227" s="139"/>
      <c r="M227" s="185" t="s">
        <v>625</v>
      </c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140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141"/>
    </row>
    <row r="228" spans="2:61" ht="20.100000000000001" customHeight="1" x14ac:dyDescent="0.45">
      <c r="B228" s="137"/>
      <c r="C228" s="31"/>
      <c r="D228" s="31"/>
      <c r="E228" s="31"/>
      <c r="F228" s="31"/>
      <c r="G228" s="138"/>
      <c r="H228" s="139"/>
      <c r="I228" s="31"/>
      <c r="J228" s="139" t="s">
        <v>178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140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141"/>
    </row>
    <row r="229" spans="2:61" ht="20.100000000000001" customHeight="1" x14ac:dyDescent="0.45">
      <c r="B229" s="137"/>
      <c r="C229" s="31"/>
      <c r="D229" s="31"/>
      <c r="E229" s="31"/>
      <c r="F229" s="31"/>
      <c r="G229" s="138"/>
      <c r="H229" s="139"/>
      <c r="I229" s="31"/>
      <c r="J229" s="139"/>
      <c r="K229" s="31" t="s">
        <v>179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140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141"/>
    </row>
    <row r="230" spans="2:61" ht="20.100000000000001" customHeight="1" x14ac:dyDescent="0.45">
      <c r="B230" s="137"/>
      <c r="C230" s="31"/>
      <c r="D230" s="31"/>
      <c r="E230" s="31"/>
      <c r="F230" s="31"/>
      <c r="G230" s="138"/>
      <c r="H230" s="139"/>
      <c r="I230" s="31"/>
      <c r="J230" s="139"/>
      <c r="L230" s="31"/>
      <c r="M230" s="31" t="s">
        <v>228</v>
      </c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140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141"/>
    </row>
    <row r="231" spans="2:61" ht="20.100000000000001" customHeight="1" x14ac:dyDescent="0.45">
      <c r="B231" s="137"/>
      <c r="C231" s="31"/>
      <c r="D231" s="31"/>
      <c r="E231" s="31"/>
      <c r="F231" s="31"/>
      <c r="G231" s="138"/>
      <c r="H231" s="145"/>
      <c r="I231" s="146"/>
      <c r="J231" s="139"/>
      <c r="L231" s="31" t="s">
        <v>180</v>
      </c>
      <c r="M231" s="31" t="s">
        <v>229</v>
      </c>
      <c r="N231" s="31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7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  <c r="AW231" s="146"/>
      <c r="AX231" s="146"/>
      <c r="AY231" s="146"/>
      <c r="AZ231" s="146"/>
      <c r="BA231" s="146"/>
      <c r="BB231" s="146"/>
      <c r="BC231" s="146"/>
      <c r="BD231" s="146"/>
      <c r="BE231" s="146"/>
      <c r="BF231" s="146"/>
      <c r="BG231" s="146"/>
      <c r="BH231" s="146"/>
      <c r="BI231" s="148"/>
    </row>
    <row r="232" spans="2:61" ht="20.100000000000001" customHeight="1" x14ac:dyDescent="0.45">
      <c r="B232" s="137"/>
      <c r="C232" s="31"/>
      <c r="D232" s="31"/>
      <c r="E232" s="31"/>
      <c r="F232" s="31"/>
      <c r="G232" s="138"/>
      <c r="H232" s="139" t="s">
        <v>147</v>
      </c>
      <c r="I232" s="31"/>
      <c r="J232" s="142"/>
      <c r="K232" s="55" t="s">
        <v>210</v>
      </c>
      <c r="L232" s="55"/>
      <c r="M232" s="55"/>
      <c r="N232" s="55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140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141"/>
    </row>
    <row r="233" spans="2:61" ht="20.100000000000001" customHeight="1" x14ac:dyDescent="0.45">
      <c r="B233" s="137"/>
      <c r="C233" s="31"/>
      <c r="D233" s="31"/>
      <c r="E233" s="31"/>
      <c r="F233" s="31"/>
      <c r="G233" s="138"/>
      <c r="H233" s="139"/>
      <c r="I233" s="31"/>
      <c r="J233" s="139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140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141"/>
    </row>
    <row r="234" spans="2:61" ht="20.100000000000001" customHeight="1" x14ac:dyDescent="0.45">
      <c r="B234" s="137"/>
      <c r="C234" s="31"/>
      <c r="D234" s="31"/>
      <c r="E234" s="31"/>
      <c r="F234" s="31"/>
      <c r="G234" s="138"/>
      <c r="H234" s="139"/>
      <c r="I234" s="31"/>
      <c r="J234" s="139" t="s">
        <v>185</v>
      </c>
      <c r="K234" s="31" t="s">
        <v>193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139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141"/>
    </row>
    <row r="235" spans="2:61" ht="20.100000000000001" customHeight="1" x14ac:dyDescent="0.45">
      <c r="B235" s="137"/>
      <c r="C235" s="31"/>
      <c r="D235" s="31"/>
      <c r="E235" s="31"/>
      <c r="F235" s="31"/>
      <c r="G235" s="138"/>
      <c r="H235" s="139"/>
      <c r="I235" s="31"/>
      <c r="J235" s="139"/>
      <c r="L235" s="31"/>
      <c r="M235" s="31" t="s">
        <v>215</v>
      </c>
      <c r="N235" s="31"/>
      <c r="O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139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141"/>
    </row>
    <row r="236" spans="2:61" ht="20.100000000000001" customHeight="1" x14ac:dyDescent="0.45">
      <c r="B236" s="137"/>
      <c r="C236" s="31"/>
      <c r="D236" s="31"/>
      <c r="E236" s="31"/>
      <c r="F236" s="31"/>
      <c r="G236" s="138"/>
      <c r="H236" s="139"/>
      <c r="I236" s="31"/>
      <c r="J236" s="139"/>
      <c r="L236" s="31" t="s">
        <v>186</v>
      </c>
      <c r="M236" s="31" t="s">
        <v>216</v>
      </c>
      <c r="N236" s="31"/>
      <c r="O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139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141"/>
    </row>
    <row r="237" spans="2:61" ht="20.100000000000001" customHeight="1" x14ac:dyDescent="0.45">
      <c r="B237" s="137"/>
      <c r="C237" s="31"/>
      <c r="D237" s="31"/>
      <c r="E237" s="31"/>
      <c r="F237" s="31"/>
      <c r="G237" s="138"/>
      <c r="H237" s="139"/>
      <c r="I237" s="31"/>
      <c r="J237" s="139"/>
      <c r="K237" s="31" t="s">
        <v>187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139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141"/>
    </row>
    <row r="238" spans="2:61" ht="20.100000000000001" customHeight="1" thickBot="1" x14ac:dyDescent="0.5">
      <c r="B238" s="137"/>
      <c r="C238" s="31"/>
      <c r="D238" s="31"/>
      <c r="E238" s="31"/>
      <c r="F238" s="31"/>
      <c r="G238" s="138"/>
      <c r="H238" s="139"/>
      <c r="I238" s="31"/>
      <c r="J238" s="139" t="s">
        <v>182</v>
      </c>
      <c r="K238" s="6" t="s">
        <v>204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139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141"/>
    </row>
    <row r="239" spans="2:61" ht="20.100000000000001" customHeight="1" x14ac:dyDescent="0.45">
      <c r="B239" s="131" t="s">
        <v>382</v>
      </c>
      <c r="C239" s="132"/>
      <c r="D239" s="132"/>
      <c r="E239" s="132"/>
      <c r="F239" s="132"/>
      <c r="G239" s="133"/>
      <c r="H239" s="134" t="s">
        <v>237</v>
      </c>
      <c r="I239" s="133"/>
      <c r="J239" s="173" t="s">
        <v>311</v>
      </c>
      <c r="K239" s="166"/>
      <c r="L239" s="166"/>
      <c r="M239" s="166"/>
      <c r="N239" s="166"/>
      <c r="O239" s="166"/>
      <c r="P239" s="166"/>
      <c r="Q239" s="166"/>
      <c r="R239" s="173" t="s">
        <v>262</v>
      </c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67"/>
      <c r="AK239" s="135"/>
      <c r="AL239" s="132"/>
      <c r="AM239" s="132"/>
      <c r="AN239" s="132"/>
      <c r="AO239" s="132"/>
      <c r="AP239" s="132"/>
      <c r="AQ239" s="132"/>
      <c r="AR239" s="132"/>
      <c r="AS239" s="132"/>
      <c r="AT239" s="132"/>
      <c r="AU239" s="132"/>
      <c r="AV239" s="132"/>
      <c r="AW239" s="132"/>
      <c r="AX239" s="132"/>
      <c r="AY239" s="132"/>
      <c r="AZ239" s="132"/>
      <c r="BA239" s="132"/>
      <c r="BB239" s="132"/>
      <c r="BC239" s="132"/>
      <c r="BD239" s="132"/>
      <c r="BE239" s="132"/>
      <c r="BF239" s="132"/>
      <c r="BG239" s="132"/>
      <c r="BH239" s="132"/>
      <c r="BI239" s="136"/>
    </row>
    <row r="240" spans="2:61" ht="20.100000000000001" customHeight="1" x14ac:dyDescent="0.45">
      <c r="B240" s="168"/>
      <c r="C240" s="31"/>
      <c r="D240" s="31"/>
      <c r="E240" s="31"/>
      <c r="F240" s="31"/>
      <c r="G240" s="138"/>
      <c r="H240" s="139"/>
      <c r="I240" s="138"/>
      <c r="J240" s="169" t="s">
        <v>294</v>
      </c>
      <c r="K240" s="52"/>
      <c r="L240" s="52"/>
      <c r="M240" s="52"/>
      <c r="N240" s="52"/>
      <c r="O240" s="52"/>
      <c r="P240" s="52"/>
      <c r="Q240" s="52"/>
      <c r="R240" s="169" t="s">
        <v>345</v>
      </c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170"/>
      <c r="AK240" s="140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141"/>
    </row>
    <row r="241" spans="2:61" ht="20.100000000000001" customHeight="1" x14ac:dyDescent="0.45">
      <c r="B241" s="168"/>
      <c r="C241" s="31"/>
      <c r="D241" s="31"/>
      <c r="E241" s="31"/>
      <c r="F241" s="31"/>
      <c r="G241" s="138"/>
      <c r="H241" s="139"/>
      <c r="I241" s="138"/>
      <c r="J241" s="169" t="s">
        <v>314</v>
      </c>
      <c r="K241" s="52"/>
      <c r="L241" s="52"/>
      <c r="M241" s="52"/>
      <c r="N241" s="52"/>
      <c r="O241" s="52"/>
      <c r="P241" s="52"/>
      <c r="Q241" s="52"/>
      <c r="R241" s="169" t="s">
        <v>346</v>
      </c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170"/>
      <c r="AK241" s="140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141"/>
    </row>
    <row r="242" spans="2:61" ht="20.100000000000001" customHeight="1" x14ac:dyDescent="0.45">
      <c r="B242" s="168"/>
      <c r="C242" s="31"/>
      <c r="D242" s="31"/>
      <c r="E242" s="31"/>
      <c r="F242" s="31"/>
      <c r="G242" s="138"/>
      <c r="H242" s="139"/>
      <c r="I242" s="138"/>
      <c r="J242" s="169" t="s">
        <v>315</v>
      </c>
      <c r="K242" s="52"/>
      <c r="L242" s="52"/>
      <c r="M242" s="52"/>
      <c r="N242" s="52"/>
      <c r="O242" s="52"/>
      <c r="P242" s="52"/>
      <c r="Q242" s="52"/>
      <c r="R242" s="169" t="s">
        <v>263</v>
      </c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170"/>
      <c r="AK242" s="140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141"/>
    </row>
    <row r="243" spans="2:61" ht="20.100000000000001" customHeight="1" x14ac:dyDescent="0.45">
      <c r="B243" s="168"/>
      <c r="C243" s="31"/>
      <c r="D243" s="31"/>
      <c r="E243" s="31"/>
      <c r="F243" s="31"/>
      <c r="G243" s="138"/>
      <c r="H243" s="139"/>
      <c r="I243" s="138"/>
      <c r="J243" s="169" t="s">
        <v>316</v>
      </c>
      <c r="K243" s="52"/>
      <c r="L243" s="52"/>
      <c r="M243" s="52"/>
      <c r="N243" s="52"/>
      <c r="O243" s="52"/>
      <c r="P243" s="52"/>
      <c r="Q243" s="52"/>
      <c r="R243" s="169" t="s">
        <v>264</v>
      </c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170"/>
      <c r="AK243" s="140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141"/>
    </row>
    <row r="244" spans="2:61" ht="20.100000000000001" customHeight="1" x14ac:dyDescent="0.45">
      <c r="B244" s="168"/>
      <c r="C244" s="31"/>
      <c r="D244" s="31"/>
      <c r="E244" s="31"/>
      <c r="F244" s="31"/>
      <c r="G244" s="138"/>
      <c r="H244" s="139"/>
      <c r="I244" s="138"/>
      <c r="J244" s="169" t="s">
        <v>317</v>
      </c>
      <c r="K244" s="52"/>
      <c r="L244" s="52"/>
      <c r="M244" s="52"/>
      <c r="N244" s="52"/>
      <c r="O244" s="52"/>
      <c r="P244" s="52"/>
      <c r="Q244" s="52"/>
      <c r="R244" s="169" t="s">
        <v>265</v>
      </c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170"/>
      <c r="AK244" s="140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141"/>
    </row>
    <row r="245" spans="2:61" ht="20.100000000000001" customHeight="1" x14ac:dyDescent="0.45">
      <c r="B245" s="168"/>
      <c r="C245" s="31"/>
      <c r="D245" s="31"/>
      <c r="E245" s="31"/>
      <c r="F245" s="31"/>
      <c r="G245" s="138"/>
      <c r="H245" s="139"/>
      <c r="I245" s="138"/>
      <c r="J245" s="169" t="s">
        <v>318</v>
      </c>
      <c r="K245" s="52"/>
      <c r="L245" s="52"/>
      <c r="M245" s="52"/>
      <c r="N245" s="52"/>
      <c r="O245" s="52"/>
      <c r="P245" s="52"/>
      <c r="Q245" s="52"/>
      <c r="R245" s="169" t="s">
        <v>266</v>
      </c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170"/>
      <c r="AK245" s="140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141"/>
    </row>
    <row r="246" spans="2:61" ht="20.100000000000001" customHeight="1" x14ac:dyDescent="0.45">
      <c r="B246" s="168"/>
      <c r="C246" s="31"/>
      <c r="D246" s="31"/>
      <c r="E246" s="31"/>
      <c r="F246" s="31"/>
      <c r="G246" s="138"/>
      <c r="H246" s="139"/>
      <c r="I246" s="138"/>
      <c r="J246" s="169" t="s">
        <v>319</v>
      </c>
      <c r="K246" s="52"/>
      <c r="L246" s="52"/>
      <c r="M246" s="52"/>
      <c r="N246" s="52"/>
      <c r="O246" s="52"/>
      <c r="P246" s="52"/>
      <c r="Q246" s="52"/>
      <c r="R246" s="169" t="s">
        <v>267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170"/>
      <c r="AK246" s="140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141"/>
    </row>
    <row r="247" spans="2:61" ht="20.100000000000001" customHeight="1" x14ac:dyDescent="0.45">
      <c r="B247" s="168"/>
      <c r="C247" s="31"/>
      <c r="D247" s="31"/>
      <c r="E247" s="31"/>
      <c r="F247" s="31"/>
      <c r="G247" s="138"/>
      <c r="H247" s="139"/>
      <c r="I247" s="138"/>
      <c r="J247" s="169" t="s">
        <v>320</v>
      </c>
      <c r="K247" s="52"/>
      <c r="L247" s="52"/>
      <c r="M247" s="52"/>
      <c r="N247" s="52"/>
      <c r="O247" s="52"/>
      <c r="P247" s="52"/>
      <c r="Q247" s="52"/>
      <c r="R247" s="169" t="s">
        <v>268</v>
      </c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170"/>
      <c r="AK247" s="140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141"/>
    </row>
    <row r="248" spans="2:61" ht="20.100000000000001" customHeight="1" x14ac:dyDescent="0.45">
      <c r="B248" s="168"/>
      <c r="C248" s="31"/>
      <c r="D248" s="31"/>
      <c r="E248" s="31"/>
      <c r="F248" s="31"/>
      <c r="G248" s="138"/>
      <c r="H248" s="139"/>
      <c r="I248" s="138"/>
      <c r="J248" s="169" t="s">
        <v>321</v>
      </c>
      <c r="K248" s="52"/>
      <c r="L248" s="52"/>
      <c r="M248" s="52"/>
      <c r="N248" s="52"/>
      <c r="O248" s="52"/>
      <c r="P248" s="52"/>
      <c r="Q248" s="52"/>
      <c r="R248" s="169" t="s">
        <v>269</v>
      </c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170"/>
      <c r="AK248" s="140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141"/>
    </row>
    <row r="249" spans="2:61" ht="20.100000000000001" customHeight="1" x14ac:dyDescent="0.45">
      <c r="B249" s="168"/>
      <c r="C249" s="31"/>
      <c r="D249" s="31"/>
      <c r="E249" s="31"/>
      <c r="F249" s="31"/>
      <c r="G249" s="138"/>
      <c r="H249" s="139"/>
      <c r="I249" s="138"/>
      <c r="J249" s="169" t="s">
        <v>322</v>
      </c>
      <c r="K249" s="52"/>
      <c r="L249" s="52"/>
      <c r="M249" s="52"/>
      <c r="N249" s="52"/>
      <c r="O249" s="52"/>
      <c r="P249" s="52"/>
      <c r="Q249" s="52"/>
      <c r="R249" s="169" t="s">
        <v>270</v>
      </c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170"/>
      <c r="AK249" s="140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141"/>
    </row>
    <row r="250" spans="2:61" ht="20.100000000000001" customHeight="1" x14ac:dyDescent="0.45">
      <c r="B250" s="168"/>
      <c r="C250" s="31"/>
      <c r="D250" s="31"/>
      <c r="E250" s="31"/>
      <c r="F250" s="31"/>
      <c r="G250" s="138"/>
      <c r="H250" s="139"/>
      <c r="I250" s="138"/>
      <c r="J250" s="169" t="s">
        <v>323</v>
      </c>
      <c r="K250" s="52"/>
      <c r="L250" s="52"/>
      <c r="M250" s="52"/>
      <c r="N250" s="52"/>
      <c r="O250" s="52"/>
      <c r="P250" s="52"/>
      <c r="Q250" s="52"/>
      <c r="R250" s="169" t="s">
        <v>271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170"/>
      <c r="AK250" s="140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141"/>
    </row>
    <row r="251" spans="2:61" ht="20.100000000000001" customHeight="1" x14ac:dyDescent="0.45">
      <c r="B251" s="168"/>
      <c r="C251" s="31"/>
      <c r="D251" s="31"/>
      <c r="E251" s="31"/>
      <c r="F251" s="31"/>
      <c r="G251" s="138"/>
      <c r="H251" s="139"/>
      <c r="I251" s="138"/>
      <c r="J251" s="169" t="s">
        <v>324</v>
      </c>
      <c r="K251" s="52"/>
      <c r="L251" s="52"/>
      <c r="M251" s="52"/>
      <c r="N251" s="52"/>
      <c r="O251" s="52"/>
      <c r="P251" s="52"/>
      <c r="Q251" s="52"/>
      <c r="R251" s="169" t="s">
        <v>272</v>
      </c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170"/>
      <c r="AK251" s="140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141"/>
    </row>
    <row r="252" spans="2:61" ht="20.100000000000001" customHeight="1" x14ac:dyDescent="0.45">
      <c r="B252" s="168"/>
      <c r="C252" s="31"/>
      <c r="D252" s="31"/>
      <c r="E252" s="31"/>
      <c r="F252" s="31"/>
      <c r="G252" s="138"/>
      <c r="H252" s="139"/>
      <c r="I252" s="138"/>
      <c r="J252" s="169" t="s">
        <v>325</v>
      </c>
      <c r="K252" s="52"/>
      <c r="L252" s="52"/>
      <c r="M252" s="52"/>
      <c r="N252" s="52"/>
      <c r="O252" s="52"/>
      <c r="P252" s="52"/>
      <c r="Q252" s="52"/>
      <c r="R252" s="169" t="s">
        <v>273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170"/>
      <c r="AK252" s="140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141"/>
    </row>
    <row r="253" spans="2:61" ht="20.100000000000001" customHeight="1" x14ac:dyDescent="0.45">
      <c r="B253" s="168"/>
      <c r="C253" s="31"/>
      <c r="D253" s="31"/>
      <c r="E253" s="31"/>
      <c r="F253" s="31"/>
      <c r="G253" s="138"/>
      <c r="H253" s="139"/>
      <c r="I253" s="138"/>
      <c r="J253" s="169" t="s">
        <v>326</v>
      </c>
      <c r="K253" s="52"/>
      <c r="L253" s="52"/>
      <c r="M253" s="52"/>
      <c r="N253" s="52"/>
      <c r="O253" s="52"/>
      <c r="P253" s="52"/>
      <c r="Q253" s="52"/>
      <c r="R253" s="169" t="s">
        <v>274</v>
      </c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170"/>
      <c r="AK253" s="140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141"/>
    </row>
    <row r="254" spans="2:61" ht="20.100000000000001" customHeight="1" x14ac:dyDescent="0.45">
      <c r="B254" s="168"/>
      <c r="C254" s="31"/>
      <c r="D254" s="31"/>
      <c r="E254" s="31"/>
      <c r="F254" s="31"/>
      <c r="G254" s="138"/>
      <c r="H254" s="139"/>
      <c r="I254" s="138"/>
      <c r="J254" s="169" t="s">
        <v>327</v>
      </c>
      <c r="K254" s="52"/>
      <c r="L254" s="52"/>
      <c r="M254" s="52"/>
      <c r="N254" s="52"/>
      <c r="O254" s="52"/>
      <c r="P254" s="52"/>
      <c r="Q254" s="52"/>
      <c r="R254" s="169" t="s">
        <v>275</v>
      </c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170"/>
      <c r="AK254" s="140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141"/>
    </row>
    <row r="255" spans="2:61" ht="20.100000000000001" customHeight="1" x14ac:dyDescent="0.45">
      <c r="B255" s="168"/>
      <c r="C255" s="31"/>
      <c r="D255" s="31"/>
      <c r="E255" s="31"/>
      <c r="F255" s="31"/>
      <c r="G255" s="138"/>
      <c r="H255" s="139"/>
      <c r="I255" s="138"/>
      <c r="J255" s="169" t="s">
        <v>296</v>
      </c>
      <c r="K255" s="52"/>
      <c r="L255" s="52"/>
      <c r="M255" s="52"/>
      <c r="N255" s="52"/>
      <c r="O255" s="52"/>
      <c r="P255" s="52"/>
      <c r="Q255" s="52"/>
      <c r="R255" s="169" t="s">
        <v>347</v>
      </c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170"/>
      <c r="AK255" s="140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141"/>
    </row>
    <row r="256" spans="2:61" ht="20.100000000000001" customHeight="1" x14ac:dyDescent="0.45">
      <c r="B256" s="168"/>
      <c r="C256" s="31"/>
      <c r="D256" s="31"/>
      <c r="E256" s="31"/>
      <c r="F256" s="31"/>
      <c r="G256" s="138"/>
      <c r="H256" s="139"/>
      <c r="I256" s="138"/>
      <c r="J256" s="169" t="s">
        <v>328</v>
      </c>
      <c r="K256" s="52"/>
      <c r="L256" s="52"/>
      <c r="M256" s="52"/>
      <c r="N256" s="52"/>
      <c r="O256" s="52"/>
      <c r="P256" s="52"/>
      <c r="Q256" s="52"/>
      <c r="R256" s="169" t="s">
        <v>276</v>
      </c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170"/>
      <c r="AK256" s="140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141"/>
    </row>
    <row r="257" spans="2:61" ht="20.100000000000001" customHeight="1" x14ac:dyDescent="0.45">
      <c r="B257" s="168"/>
      <c r="C257" s="31"/>
      <c r="D257" s="31"/>
      <c r="E257" s="31"/>
      <c r="F257" s="31"/>
      <c r="G257" s="138"/>
      <c r="H257" s="139"/>
      <c r="I257" s="138"/>
      <c r="J257" s="169" t="s">
        <v>329</v>
      </c>
      <c r="K257" s="52"/>
      <c r="L257" s="52"/>
      <c r="M257" s="52"/>
      <c r="N257" s="52"/>
      <c r="O257" s="52"/>
      <c r="P257" s="52"/>
      <c r="Q257" s="52"/>
      <c r="R257" s="169" t="s">
        <v>277</v>
      </c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170"/>
      <c r="AK257" s="140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141"/>
    </row>
    <row r="258" spans="2:61" ht="20.100000000000001" customHeight="1" x14ac:dyDescent="0.45">
      <c r="B258" s="168"/>
      <c r="C258" s="31"/>
      <c r="D258" s="31"/>
      <c r="E258" s="31"/>
      <c r="F258" s="31"/>
      <c r="G258" s="138"/>
      <c r="H258" s="139"/>
      <c r="I258" s="138"/>
      <c r="J258" s="169" t="s">
        <v>298</v>
      </c>
      <c r="K258" s="52"/>
      <c r="L258" s="52"/>
      <c r="M258" s="52"/>
      <c r="N258" s="52"/>
      <c r="O258" s="52"/>
      <c r="P258" s="52"/>
      <c r="Q258" s="52"/>
      <c r="R258" s="174" t="s">
        <v>348</v>
      </c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170"/>
      <c r="AK258" s="140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141"/>
    </row>
    <row r="259" spans="2:61" ht="20.100000000000001" customHeight="1" x14ac:dyDescent="0.45">
      <c r="B259" s="168"/>
      <c r="C259" s="31"/>
      <c r="D259" s="31"/>
      <c r="E259" s="31"/>
      <c r="F259" s="31"/>
      <c r="G259" s="138"/>
      <c r="H259" s="139"/>
      <c r="I259" s="138"/>
      <c r="J259" s="169" t="s">
        <v>330</v>
      </c>
      <c r="K259" s="52"/>
      <c r="L259" s="52"/>
      <c r="M259" s="52"/>
      <c r="N259" s="52"/>
      <c r="O259" s="52"/>
      <c r="P259" s="52"/>
      <c r="Q259" s="52"/>
      <c r="R259" s="169" t="s">
        <v>279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170"/>
      <c r="AK259" s="140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141"/>
    </row>
    <row r="260" spans="2:61" ht="20.100000000000001" customHeight="1" x14ac:dyDescent="0.45">
      <c r="B260" s="168"/>
      <c r="C260" s="31"/>
      <c r="D260" s="31"/>
      <c r="E260" s="31"/>
      <c r="F260" s="31"/>
      <c r="G260" s="138"/>
      <c r="H260" s="139"/>
      <c r="I260" s="138"/>
      <c r="J260" s="169" t="s">
        <v>301</v>
      </c>
      <c r="K260" s="52"/>
      <c r="L260" s="52"/>
      <c r="M260" s="52"/>
      <c r="N260" s="52"/>
      <c r="O260" s="52"/>
      <c r="P260" s="52"/>
      <c r="Q260" s="52"/>
      <c r="R260" s="169" t="s">
        <v>349</v>
      </c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170"/>
      <c r="AK260" s="140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141"/>
    </row>
    <row r="261" spans="2:61" ht="20.100000000000001" customHeight="1" x14ac:dyDescent="0.45">
      <c r="B261" s="168"/>
      <c r="C261" s="31"/>
      <c r="D261" s="31"/>
      <c r="E261" s="31"/>
      <c r="F261" s="31"/>
      <c r="G261" s="138"/>
      <c r="H261" s="139"/>
      <c r="I261" s="138"/>
      <c r="J261" s="169" t="s">
        <v>331</v>
      </c>
      <c r="K261" s="52"/>
      <c r="L261" s="52"/>
      <c r="M261" s="52"/>
      <c r="N261" s="52"/>
      <c r="O261" s="52"/>
      <c r="P261" s="52"/>
      <c r="Q261" s="52"/>
      <c r="R261" s="169" t="s">
        <v>280</v>
      </c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170"/>
      <c r="AK261" s="140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141"/>
    </row>
    <row r="262" spans="2:61" ht="20.100000000000001" customHeight="1" x14ac:dyDescent="0.45">
      <c r="B262" s="168"/>
      <c r="C262" s="31"/>
      <c r="D262" s="31"/>
      <c r="E262" s="31"/>
      <c r="F262" s="31"/>
      <c r="G262" s="138"/>
      <c r="H262" s="139"/>
      <c r="I262" s="138"/>
      <c r="J262" s="169" t="s">
        <v>302</v>
      </c>
      <c r="K262" s="52"/>
      <c r="L262" s="52"/>
      <c r="M262" s="52"/>
      <c r="N262" s="52"/>
      <c r="O262" s="52"/>
      <c r="P262" s="52"/>
      <c r="Q262" s="52"/>
      <c r="R262" s="174" t="s">
        <v>350</v>
      </c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170"/>
      <c r="AK262" s="140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141"/>
    </row>
    <row r="263" spans="2:61" ht="20.100000000000001" customHeight="1" x14ac:dyDescent="0.45">
      <c r="B263" s="168"/>
      <c r="C263" s="31"/>
      <c r="D263" s="31"/>
      <c r="E263" s="31"/>
      <c r="F263" s="31"/>
      <c r="G263" s="138"/>
      <c r="H263" s="139"/>
      <c r="I263" s="138"/>
      <c r="J263" s="169" t="s">
        <v>307</v>
      </c>
      <c r="K263" s="52"/>
      <c r="L263" s="52"/>
      <c r="M263" s="52"/>
      <c r="N263" s="52"/>
      <c r="O263" s="52"/>
      <c r="P263" s="52"/>
      <c r="Q263" s="52"/>
      <c r="R263" s="169">
        <v>0</v>
      </c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170"/>
      <c r="AK263" s="140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141"/>
    </row>
    <row r="264" spans="2:61" ht="20.100000000000001" customHeight="1" x14ac:dyDescent="0.45">
      <c r="B264" s="168"/>
      <c r="C264" s="31"/>
      <c r="D264" s="31"/>
      <c r="E264" s="31"/>
      <c r="F264" s="31"/>
      <c r="G264" s="138"/>
      <c r="H264" s="139"/>
      <c r="I264" s="138"/>
      <c r="J264" s="169" t="s">
        <v>309</v>
      </c>
      <c r="K264" s="52"/>
      <c r="L264" s="52"/>
      <c r="M264" s="52"/>
      <c r="N264" s="52"/>
      <c r="O264" s="52"/>
      <c r="P264" s="52"/>
      <c r="Q264" s="52"/>
      <c r="R264" s="169">
        <v>0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170"/>
      <c r="AK264" s="140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141"/>
    </row>
    <row r="265" spans="2:61" ht="20.100000000000001" customHeight="1" x14ac:dyDescent="0.45">
      <c r="B265" s="168"/>
      <c r="C265" s="31"/>
      <c r="D265" s="31"/>
      <c r="E265" s="31"/>
      <c r="F265" s="31"/>
      <c r="G265" s="138"/>
      <c r="H265" s="139"/>
      <c r="I265" s="138"/>
      <c r="J265" s="169" t="s">
        <v>333</v>
      </c>
      <c r="K265" s="52"/>
      <c r="L265" s="52"/>
      <c r="M265" s="52"/>
      <c r="N265" s="52"/>
      <c r="O265" s="52"/>
      <c r="P265" s="52"/>
      <c r="Q265" s="52"/>
      <c r="R265" s="169" t="s">
        <v>284</v>
      </c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170"/>
      <c r="AK265" s="140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141"/>
    </row>
    <row r="266" spans="2:61" ht="20.100000000000001" customHeight="1" x14ac:dyDescent="0.45">
      <c r="B266" s="168"/>
      <c r="C266" s="31"/>
      <c r="D266" s="31"/>
      <c r="E266" s="31"/>
      <c r="F266" s="31"/>
      <c r="G266" s="138"/>
      <c r="H266" s="139"/>
      <c r="I266" s="138"/>
      <c r="J266" s="169" t="s">
        <v>305</v>
      </c>
      <c r="K266" s="52"/>
      <c r="L266" s="52"/>
      <c r="M266" s="52"/>
      <c r="N266" s="52"/>
      <c r="O266" s="52"/>
      <c r="P266" s="52"/>
      <c r="Q266" s="52"/>
      <c r="R266" s="169" t="s">
        <v>303</v>
      </c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170"/>
      <c r="AK266" s="140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141"/>
    </row>
    <row r="267" spans="2:61" ht="20.100000000000001" customHeight="1" x14ac:dyDescent="0.45">
      <c r="B267" s="168"/>
      <c r="C267" s="31"/>
      <c r="D267" s="31"/>
      <c r="E267" s="31"/>
      <c r="F267" s="31"/>
      <c r="G267" s="138"/>
      <c r="H267" s="139"/>
      <c r="I267" s="138"/>
      <c r="J267" s="169" t="s">
        <v>334</v>
      </c>
      <c r="K267" s="52"/>
      <c r="L267" s="52"/>
      <c r="M267" s="52"/>
      <c r="N267" s="52"/>
      <c r="O267" s="52"/>
      <c r="P267" s="52"/>
      <c r="Q267" s="52"/>
      <c r="R267" s="169" t="s">
        <v>285</v>
      </c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170"/>
      <c r="AK267" s="140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141"/>
    </row>
    <row r="268" spans="2:61" ht="20.100000000000001" customHeight="1" x14ac:dyDescent="0.45">
      <c r="B268" s="168"/>
      <c r="C268" s="31"/>
      <c r="D268" s="31"/>
      <c r="E268" s="31"/>
      <c r="F268" s="31"/>
      <c r="G268" s="138"/>
      <c r="H268" s="139"/>
      <c r="I268" s="138"/>
      <c r="J268" s="169" t="s">
        <v>335</v>
      </c>
      <c r="K268" s="52"/>
      <c r="L268" s="52"/>
      <c r="M268" s="52"/>
      <c r="N268" s="52"/>
      <c r="O268" s="52"/>
      <c r="P268" s="52"/>
      <c r="Q268" s="52"/>
      <c r="R268" s="169" t="s">
        <v>286</v>
      </c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170"/>
      <c r="AK268" s="140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141"/>
    </row>
    <row r="269" spans="2:61" ht="20.100000000000001" customHeight="1" x14ac:dyDescent="0.45">
      <c r="B269" s="168"/>
      <c r="C269" s="31"/>
      <c r="D269" s="31"/>
      <c r="E269" s="31"/>
      <c r="F269" s="31"/>
      <c r="G269" s="138"/>
      <c r="H269" s="139"/>
      <c r="I269" s="138"/>
      <c r="J269" s="169" t="s">
        <v>336</v>
      </c>
      <c r="K269" s="52"/>
      <c r="L269" s="52"/>
      <c r="M269" s="52"/>
      <c r="N269" s="52"/>
      <c r="O269" s="52"/>
      <c r="P269" s="52"/>
      <c r="Q269" s="52"/>
      <c r="R269" s="169" t="s">
        <v>287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170"/>
      <c r="AK269" s="140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141"/>
    </row>
    <row r="270" spans="2:61" ht="20.100000000000001" customHeight="1" x14ac:dyDescent="0.45">
      <c r="B270" s="168"/>
      <c r="C270" s="31"/>
      <c r="D270" s="31"/>
      <c r="E270" s="31"/>
      <c r="F270" s="31"/>
      <c r="G270" s="138"/>
      <c r="H270" s="139"/>
      <c r="I270" s="138"/>
      <c r="J270" s="169" t="s">
        <v>337</v>
      </c>
      <c r="K270" s="52"/>
      <c r="L270" s="52"/>
      <c r="M270" s="52"/>
      <c r="N270" s="52"/>
      <c r="O270" s="52"/>
      <c r="P270" s="52"/>
      <c r="Q270" s="52"/>
      <c r="R270" s="169" t="s">
        <v>288</v>
      </c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170"/>
      <c r="AK270" s="140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141"/>
    </row>
    <row r="271" spans="2:61" ht="20.100000000000001" customHeight="1" x14ac:dyDescent="0.45">
      <c r="B271" s="168"/>
      <c r="C271" s="31"/>
      <c r="D271" s="31"/>
      <c r="E271" s="31"/>
      <c r="F271" s="31"/>
      <c r="G271" s="138"/>
      <c r="H271" s="139"/>
      <c r="I271" s="138"/>
      <c r="J271" s="169" t="s">
        <v>338</v>
      </c>
      <c r="K271" s="52"/>
      <c r="L271" s="52"/>
      <c r="M271" s="52"/>
      <c r="N271" s="52"/>
      <c r="O271" s="52"/>
      <c r="P271" s="52"/>
      <c r="Q271" s="52"/>
      <c r="R271" s="169" t="s">
        <v>289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170"/>
      <c r="AK271" s="140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141"/>
    </row>
    <row r="272" spans="2:61" ht="20.100000000000001" customHeight="1" x14ac:dyDescent="0.45">
      <c r="B272" s="168"/>
      <c r="C272" s="31"/>
      <c r="D272" s="31"/>
      <c r="E272" s="31"/>
      <c r="F272" s="31"/>
      <c r="G272" s="138"/>
      <c r="H272" s="139"/>
      <c r="I272" s="138"/>
      <c r="J272" s="169" t="s">
        <v>339</v>
      </c>
      <c r="K272" s="52"/>
      <c r="L272" s="52"/>
      <c r="M272" s="52"/>
      <c r="N272" s="52"/>
      <c r="O272" s="52"/>
      <c r="P272" s="52"/>
      <c r="Q272" s="52"/>
      <c r="R272" s="169" t="s">
        <v>290</v>
      </c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170"/>
      <c r="AK272" s="140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141"/>
    </row>
    <row r="273" spans="2:61" ht="20.100000000000001" customHeight="1" x14ac:dyDescent="0.45">
      <c r="B273" s="168"/>
      <c r="C273" s="31"/>
      <c r="D273" s="31"/>
      <c r="E273" s="31"/>
      <c r="F273" s="31"/>
      <c r="G273" s="138"/>
      <c r="H273" s="139"/>
      <c r="I273" s="138"/>
      <c r="J273" s="142" t="s">
        <v>340</v>
      </c>
      <c r="K273" s="55"/>
      <c r="L273" s="55"/>
      <c r="M273" s="55"/>
      <c r="N273" s="55"/>
      <c r="O273" s="55"/>
      <c r="P273" s="55"/>
      <c r="Q273" s="55"/>
      <c r="R273" s="183" t="s">
        <v>624</v>
      </c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175"/>
      <c r="AK273" s="140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141"/>
    </row>
    <row r="274" spans="2:61" ht="20.100000000000001" customHeight="1" x14ac:dyDescent="0.45">
      <c r="B274" s="168"/>
      <c r="C274" s="31"/>
      <c r="D274" s="31"/>
      <c r="E274" s="31"/>
      <c r="F274" s="31"/>
      <c r="G274" s="138"/>
      <c r="H274" s="142" t="s">
        <v>145</v>
      </c>
      <c r="I274" s="55"/>
      <c r="J274" s="142" t="s">
        <v>359</v>
      </c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143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144"/>
    </row>
    <row r="275" spans="2:61" ht="20.100000000000001" customHeight="1" x14ac:dyDescent="0.45">
      <c r="B275" s="137"/>
      <c r="C275" s="31"/>
      <c r="D275" s="31"/>
      <c r="E275" s="31"/>
      <c r="F275" s="31"/>
      <c r="G275" s="138"/>
      <c r="H275" s="139"/>
      <c r="I275" s="31"/>
      <c r="J275" s="139" t="s">
        <v>360</v>
      </c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140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141"/>
    </row>
    <row r="276" spans="2:61" ht="20.100000000000001" customHeight="1" x14ac:dyDescent="0.45">
      <c r="B276" s="137"/>
      <c r="C276" s="31"/>
      <c r="D276" s="31"/>
      <c r="E276" s="31"/>
      <c r="F276" s="31"/>
      <c r="G276" s="138"/>
      <c r="H276" s="139"/>
      <c r="I276" s="31"/>
      <c r="J276" s="139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140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141"/>
    </row>
    <row r="277" spans="2:61" ht="20.100000000000001" customHeight="1" x14ac:dyDescent="0.45">
      <c r="B277" s="137"/>
      <c r="C277" s="31"/>
      <c r="D277" s="31"/>
      <c r="E277" s="31"/>
      <c r="F277" s="31"/>
      <c r="G277" s="138"/>
      <c r="H277" s="142" t="s">
        <v>146</v>
      </c>
      <c r="I277" s="55"/>
      <c r="J277" s="142" t="s">
        <v>174</v>
      </c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143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144"/>
    </row>
    <row r="278" spans="2:61" ht="20.100000000000001" customHeight="1" x14ac:dyDescent="0.45">
      <c r="B278" s="137"/>
      <c r="C278" s="31"/>
      <c r="D278" s="31"/>
      <c r="E278" s="31"/>
      <c r="F278" s="31"/>
      <c r="G278" s="138"/>
      <c r="H278" s="139"/>
      <c r="I278" s="31"/>
      <c r="J278" s="139"/>
      <c r="K278" s="31" t="s">
        <v>175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140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141"/>
    </row>
    <row r="279" spans="2:61" ht="20.100000000000001" customHeight="1" x14ac:dyDescent="0.45">
      <c r="B279" s="137"/>
      <c r="C279" s="31"/>
      <c r="D279" s="31"/>
      <c r="E279" s="31"/>
      <c r="F279" s="31"/>
      <c r="G279" s="138"/>
      <c r="H279" s="139"/>
      <c r="I279" s="31"/>
      <c r="J279" s="139"/>
      <c r="K279" s="31"/>
      <c r="M279" s="31" t="s">
        <v>212</v>
      </c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140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141"/>
    </row>
    <row r="280" spans="2:61" ht="20.100000000000001" customHeight="1" x14ac:dyDescent="0.45">
      <c r="B280" s="137"/>
      <c r="C280" s="31"/>
      <c r="D280" s="31"/>
      <c r="E280" s="31"/>
      <c r="F280" s="31"/>
      <c r="G280" s="138"/>
      <c r="H280" s="139"/>
      <c r="I280" s="31"/>
      <c r="J280" s="139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140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141"/>
    </row>
    <row r="281" spans="2:61" ht="20.100000000000001" customHeight="1" x14ac:dyDescent="0.45">
      <c r="B281" s="137"/>
      <c r="C281" s="31"/>
      <c r="D281" s="31"/>
      <c r="E281" s="31"/>
      <c r="F281" s="31"/>
      <c r="G281" s="138"/>
      <c r="H281" s="139"/>
      <c r="I281" s="31"/>
      <c r="J281" s="139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140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141"/>
    </row>
    <row r="282" spans="2:61" ht="20.100000000000001" customHeight="1" x14ac:dyDescent="0.45">
      <c r="B282" s="137"/>
      <c r="C282" s="31"/>
      <c r="D282" s="31"/>
      <c r="E282" s="31"/>
      <c r="F282" s="31"/>
      <c r="G282" s="138"/>
      <c r="H282" s="145"/>
      <c r="I282" s="146"/>
      <c r="J282" s="145"/>
      <c r="K282" s="146"/>
      <c r="L282" s="146"/>
      <c r="M282" s="146"/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7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8"/>
    </row>
    <row r="283" spans="2:61" ht="20.100000000000001" customHeight="1" x14ac:dyDescent="0.45">
      <c r="B283" s="137"/>
      <c r="C283" s="31"/>
      <c r="D283" s="31"/>
      <c r="E283" s="31"/>
      <c r="F283" s="31"/>
      <c r="G283" s="138"/>
      <c r="H283" s="139" t="s">
        <v>147</v>
      </c>
      <c r="I283" s="31"/>
      <c r="J283" s="139"/>
      <c r="K283" s="55" t="s">
        <v>210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140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141"/>
    </row>
    <row r="284" spans="2:61" ht="20.100000000000001" customHeight="1" x14ac:dyDescent="0.45">
      <c r="B284" s="137"/>
      <c r="C284" s="31"/>
      <c r="D284" s="31"/>
      <c r="E284" s="31"/>
      <c r="F284" s="31"/>
      <c r="G284" s="138"/>
      <c r="H284" s="139"/>
      <c r="I284" s="31"/>
      <c r="J284" s="139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140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141"/>
    </row>
    <row r="285" spans="2:61" ht="20.100000000000001" customHeight="1" x14ac:dyDescent="0.45">
      <c r="B285" s="137"/>
      <c r="C285" s="31"/>
      <c r="D285" s="31"/>
      <c r="E285" s="31"/>
      <c r="F285" s="31"/>
      <c r="G285" s="138"/>
      <c r="H285" s="139"/>
      <c r="I285" s="31"/>
      <c r="J285" s="139" t="s">
        <v>191</v>
      </c>
      <c r="K285" s="31" t="s">
        <v>213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139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141"/>
    </row>
    <row r="286" spans="2:61" ht="20.100000000000001" customHeight="1" x14ac:dyDescent="0.45">
      <c r="B286" s="137"/>
      <c r="C286" s="31"/>
      <c r="D286" s="31"/>
      <c r="E286" s="31"/>
      <c r="F286" s="31"/>
      <c r="G286" s="138"/>
      <c r="H286" s="139"/>
      <c r="I286" s="31"/>
      <c r="J286" s="139" t="s">
        <v>182</v>
      </c>
      <c r="K286" s="31" t="s">
        <v>184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139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141"/>
    </row>
    <row r="287" spans="2:61" ht="20.100000000000001" customHeight="1" x14ac:dyDescent="0.45">
      <c r="B287" s="137"/>
      <c r="C287" s="31"/>
      <c r="D287" s="31"/>
      <c r="E287" s="31"/>
      <c r="F287" s="31"/>
      <c r="G287" s="138"/>
      <c r="H287" s="139"/>
      <c r="I287" s="31"/>
      <c r="J287" s="139"/>
      <c r="L287" s="31"/>
      <c r="M287" s="31" t="s">
        <v>233</v>
      </c>
      <c r="N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139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141"/>
    </row>
    <row r="288" spans="2:61" ht="20.100000000000001" customHeight="1" x14ac:dyDescent="0.45">
      <c r="B288" s="137"/>
      <c r="C288" s="31"/>
      <c r="D288" s="31"/>
      <c r="E288" s="31"/>
      <c r="F288" s="31"/>
      <c r="G288" s="138"/>
      <c r="H288" s="139"/>
      <c r="I288" s="31"/>
      <c r="J288" s="139"/>
      <c r="L288" s="31" t="s">
        <v>195</v>
      </c>
      <c r="M288" s="31" t="s">
        <v>234</v>
      </c>
      <c r="N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139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141"/>
    </row>
    <row r="289" spans="2:61" ht="20.100000000000001" customHeight="1" thickBot="1" x14ac:dyDescent="0.5">
      <c r="B289" s="137"/>
      <c r="C289" s="31"/>
      <c r="D289" s="31"/>
      <c r="E289" s="31"/>
      <c r="F289" s="31"/>
      <c r="G289" s="138"/>
      <c r="H289" s="139"/>
      <c r="I289" s="31"/>
      <c r="J289" s="139"/>
      <c r="K289" s="31" t="s">
        <v>187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139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141"/>
    </row>
    <row r="290" spans="2:61" ht="20.100000000000001" customHeight="1" x14ac:dyDescent="0.45">
      <c r="B290" s="131" t="s">
        <v>383</v>
      </c>
      <c r="C290" s="132"/>
      <c r="D290" s="132"/>
      <c r="E290" s="132"/>
      <c r="F290" s="132"/>
      <c r="G290" s="133"/>
      <c r="H290" s="134" t="s">
        <v>237</v>
      </c>
      <c r="I290" s="133"/>
      <c r="J290" s="173" t="s">
        <v>311</v>
      </c>
      <c r="K290" s="166"/>
      <c r="L290" s="166"/>
      <c r="M290" s="166"/>
      <c r="N290" s="166"/>
      <c r="O290" s="166"/>
      <c r="P290" s="166"/>
      <c r="Q290" s="166"/>
      <c r="R290" s="173" t="s">
        <v>262</v>
      </c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  <c r="AJ290" s="167"/>
      <c r="AK290" s="135"/>
      <c r="AL290" s="132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2"/>
      <c r="AW290" s="132"/>
      <c r="AX290" s="132"/>
      <c r="AY290" s="132"/>
      <c r="AZ290" s="132"/>
      <c r="BA290" s="132"/>
      <c r="BB290" s="132"/>
      <c r="BC290" s="132"/>
      <c r="BD290" s="132"/>
      <c r="BE290" s="132"/>
      <c r="BF290" s="132"/>
      <c r="BG290" s="132"/>
      <c r="BH290" s="132"/>
      <c r="BI290" s="136"/>
    </row>
    <row r="291" spans="2:61" ht="20.100000000000001" customHeight="1" x14ac:dyDescent="0.45">
      <c r="B291" s="168"/>
      <c r="C291" s="31"/>
      <c r="D291" s="31"/>
      <c r="E291" s="31"/>
      <c r="F291" s="31"/>
      <c r="G291" s="138"/>
      <c r="H291" s="139"/>
      <c r="I291" s="138"/>
      <c r="J291" s="169" t="s">
        <v>294</v>
      </c>
      <c r="K291" s="52"/>
      <c r="L291" s="52"/>
      <c r="M291" s="52"/>
      <c r="N291" s="52"/>
      <c r="O291" s="52"/>
      <c r="P291" s="52"/>
      <c r="Q291" s="52"/>
      <c r="R291" s="169" t="s">
        <v>345</v>
      </c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170"/>
      <c r="AK291" s="140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141"/>
    </row>
    <row r="292" spans="2:61" ht="20.100000000000001" customHeight="1" x14ac:dyDescent="0.45">
      <c r="B292" s="168"/>
      <c r="C292" s="31"/>
      <c r="D292" s="31"/>
      <c r="E292" s="31"/>
      <c r="F292" s="31"/>
      <c r="G292" s="138"/>
      <c r="H292" s="139"/>
      <c r="I292" s="138"/>
      <c r="J292" s="169" t="s">
        <v>314</v>
      </c>
      <c r="K292" s="52"/>
      <c r="L292" s="52"/>
      <c r="M292" s="52"/>
      <c r="N292" s="52"/>
      <c r="O292" s="52"/>
      <c r="P292" s="52"/>
      <c r="Q292" s="52"/>
      <c r="R292" s="169" t="s">
        <v>346</v>
      </c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170"/>
      <c r="AK292" s="140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141"/>
    </row>
    <row r="293" spans="2:61" ht="20.100000000000001" customHeight="1" x14ac:dyDescent="0.45">
      <c r="B293" s="168"/>
      <c r="C293" s="31"/>
      <c r="D293" s="31"/>
      <c r="E293" s="31"/>
      <c r="F293" s="31"/>
      <c r="G293" s="138"/>
      <c r="H293" s="139"/>
      <c r="I293" s="138"/>
      <c r="J293" s="169" t="s">
        <v>315</v>
      </c>
      <c r="K293" s="52"/>
      <c r="L293" s="52"/>
      <c r="M293" s="52"/>
      <c r="N293" s="52"/>
      <c r="O293" s="52"/>
      <c r="P293" s="52"/>
      <c r="Q293" s="52"/>
      <c r="R293" s="169" t="s">
        <v>263</v>
      </c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170"/>
      <c r="AK293" s="140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141"/>
    </row>
    <row r="294" spans="2:61" ht="20.100000000000001" customHeight="1" x14ac:dyDescent="0.45">
      <c r="B294" s="168"/>
      <c r="C294" s="31"/>
      <c r="D294" s="31"/>
      <c r="E294" s="31"/>
      <c r="F294" s="31"/>
      <c r="G294" s="138"/>
      <c r="H294" s="139"/>
      <c r="I294" s="138"/>
      <c r="J294" s="169" t="s">
        <v>316</v>
      </c>
      <c r="K294" s="52"/>
      <c r="L294" s="52"/>
      <c r="M294" s="52"/>
      <c r="N294" s="52"/>
      <c r="O294" s="52"/>
      <c r="P294" s="52"/>
      <c r="Q294" s="52"/>
      <c r="R294" s="169" t="s">
        <v>264</v>
      </c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170"/>
      <c r="AK294" s="140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141"/>
    </row>
    <row r="295" spans="2:61" ht="20.100000000000001" customHeight="1" x14ac:dyDescent="0.45">
      <c r="B295" s="168"/>
      <c r="C295" s="31"/>
      <c r="D295" s="31"/>
      <c r="E295" s="31"/>
      <c r="F295" s="31"/>
      <c r="G295" s="138"/>
      <c r="H295" s="139"/>
      <c r="I295" s="138"/>
      <c r="J295" s="169" t="s">
        <v>317</v>
      </c>
      <c r="K295" s="52"/>
      <c r="L295" s="52"/>
      <c r="M295" s="52"/>
      <c r="N295" s="52"/>
      <c r="O295" s="52"/>
      <c r="P295" s="52"/>
      <c r="Q295" s="52"/>
      <c r="R295" s="169" t="s">
        <v>265</v>
      </c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170"/>
      <c r="AK295" s="140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141"/>
    </row>
    <row r="296" spans="2:61" ht="20.100000000000001" customHeight="1" x14ac:dyDescent="0.45">
      <c r="B296" s="168"/>
      <c r="C296" s="31"/>
      <c r="D296" s="31"/>
      <c r="E296" s="31"/>
      <c r="F296" s="31"/>
      <c r="G296" s="138"/>
      <c r="H296" s="139"/>
      <c r="I296" s="138"/>
      <c r="J296" s="169" t="s">
        <v>318</v>
      </c>
      <c r="K296" s="52"/>
      <c r="L296" s="52"/>
      <c r="M296" s="52"/>
      <c r="N296" s="52"/>
      <c r="O296" s="52"/>
      <c r="P296" s="52"/>
      <c r="Q296" s="52"/>
      <c r="R296" s="169" t="s">
        <v>266</v>
      </c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170"/>
      <c r="AK296" s="140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141"/>
    </row>
    <row r="297" spans="2:61" ht="20.100000000000001" customHeight="1" x14ac:dyDescent="0.45">
      <c r="B297" s="168"/>
      <c r="C297" s="31"/>
      <c r="D297" s="31"/>
      <c r="E297" s="31"/>
      <c r="F297" s="31"/>
      <c r="G297" s="138"/>
      <c r="H297" s="139"/>
      <c r="I297" s="138"/>
      <c r="J297" s="169" t="s">
        <v>319</v>
      </c>
      <c r="K297" s="52"/>
      <c r="L297" s="52"/>
      <c r="M297" s="52"/>
      <c r="N297" s="52"/>
      <c r="O297" s="52"/>
      <c r="P297" s="52"/>
      <c r="Q297" s="52"/>
      <c r="R297" s="169" t="s">
        <v>267</v>
      </c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170"/>
      <c r="AK297" s="140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141"/>
    </row>
    <row r="298" spans="2:61" ht="20.100000000000001" customHeight="1" x14ac:dyDescent="0.45">
      <c r="B298" s="168"/>
      <c r="C298" s="31"/>
      <c r="D298" s="31"/>
      <c r="E298" s="31"/>
      <c r="F298" s="31"/>
      <c r="G298" s="138"/>
      <c r="H298" s="139"/>
      <c r="I298" s="138"/>
      <c r="J298" s="169" t="s">
        <v>320</v>
      </c>
      <c r="K298" s="52"/>
      <c r="L298" s="52"/>
      <c r="M298" s="52"/>
      <c r="N298" s="52"/>
      <c r="O298" s="52"/>
      <c r="P298" s="52"/>
      <c r="Q298" s="52"/>
      <c r="R298" s="169" t="s">
        <v>268</v>
      </c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170"/>
      <c r="AK298" s="140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141"/>
    </row>
    <row r="299" spans="2:61" ht="20.100000000000001" customHeight="1" x14ac:dyDescent="0.45">
      <c r="B299" s="168"/>
      <c r="C299" s="31"/>
      <c r="D299" s="31"/>
      <c r="E299" s="31"/>
      <c r="F299" s="31"/>
      <c r="G299" s="138"/>
      <c r="H299" s="139"/>
      <c r="I299" s="138"/>
      <c r="J299" s="169" t="s">
        <v>321</v>
      </c>
      <c r="K299" s="52"/>
      <c r="L299" s="52"/>
      <c r="M299" s="52"/>
      <c r="N299" s="52"/>
      <c r="O299" s="52"/>
      <c r="P299" s="52"/>
      <c r="Q299" s="52"/>
      <c r="R299" s="169" t="s">
        <v>269</v>
      </c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170"/>
      <c r="AK299" s="140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141"/>
    </row>
    <row r="300" spans="2:61" ht="20.100000000000001" customHeight="1" x14ac:dyDescent="0.45">
      <c r="B300" s="168"/>
      <c r="C300" s="31"/>
      <c r="D300" s="31"/>
      <c r="E300" s="31"/>
      <c r="F300" s="31"/>
      <c r="G300" s="138"/>
      <c r="H300" s="139"/>
      <c r="I300" s="138"/>
      <c r="J300" s="169" t="s">
        <v>322</v>
      </c>
      <c r="K300" s="52"/>
      <c r="L300" s="52"/>
      <c r="M300" s="52"/>
      <c r="N300" s="52"/>
      <c r="O300" s="52"/>
      <c r="P300" s="52"/>
      <c r="Q300" s="52"/>
      <c r="R300" s="169" t="s">
        <v>270</v>
      </c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170"/>
      <c r="AK300" s="140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141"/>
    </row>
    <row r="301" spans="2:61" ht="20.100000000000001" customHeight="1" x14ac:dyDescent="0.45">
      <c r="B301" s="168"/>
      <c r="C301" s="31"/>
      <c r="D301" s="31"/>
      <c r="E301" s="31"/>
      <c r="F301" s="31"/>
      <c r="G301" s="138"/>
      <c r="H301" s="139"/>
      <c r="I301" s="138"/>
      <c r="J301" s="169" t="s">
        <v>323</v>
      </c>
      <c r="K301" s="52"/>
      <c r="L301" s="52"/>
      <c r="M301" s="52"/>
      <c r="N301" s="52"/>
      <c r="O301" s="52"/>
      <c r="P301" s="52"/>
      <c r="Q301" s="52"/>
      <c r="R301" s="169" t="s">
        <v>271</v>
      </c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170"/>
      <c r="AK301" s="140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141"/>
    </row>
    <row r="302" spans="2:61" ht="20.100000000000001" customHeight="1" x14ac:dyDescent="0.45">
      <c r="B302" s="168"/>
      <c r="C302" s="31"/>
      <c r="D302" s="31"/>
      <c r="E302" s="31"/>
      <c r="F302" s="31"/>
      <c r="G302" s="138"/>
      <c r="H302" s="139"/>
      <c r="I302" s="138"/>
      <c r="J302" s="169" t="s">
        <v>324</v>
      </c>
      <c r="K302" s="52"/>
      <c r="L302" s="52"/>
      <c r="M302" s="52"/>
      <c r="N302" s="52"/>
      <c r="O302" s="52"/>
      <c r="P302" s="52"/>
      <c r="Q302" s="52"/>
      <c r="R302" s="169" t="s">
        <v>272</v>
      </c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170"/>
      <c r="AK302" s="140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141"/>
    </row>
    <row r="303" spans="2:61" ht="20.100000000000001" customHeight="1" x14ac:dyDescent="0.45">
      <c r="B303" s="168"/>
      <c r="C303" s="31"/>
      <c r="D303" s="31"/>
      <c r="E303" s="31"/>
      <c r="F303" s="31"/>
      <c r="G303" s="138"/>
      <c r="H303" s="139"/>
      <c r="I303" s="138"/>
      <c r="J303" s="169" t="s">
        <v>325</v>
      </c>
      <c r="K303" s="52"/>
      <c r="L303" s="52"/>
      <c r="M303" s="52"/>
      <c r="N303" s="52"/>
      <c r="O303" s="52"/>
      <c r="P303" s="52"/>
      <c r="Q303" s="52"/>
      <c r="R303" s="169" t="s">
        <v>273</v>
      </c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170"/>
      <c r="AK303" s="140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141"/>
    </row>
    <row r="304" spans="2:61" ht="20.100000000000001" customHeight="1" x14ac:dyDescent="0.45">
      <c r="B304" s="168"/>
      <c r="C304" s="31"/>
      <c r="D304" s="31"/>
      <c r="E304" s="31"/>
      <c r="F304" s="31"/>
      <c r="G304" s="138"/>
      <c r="H304" s="139"/>
      <c r="I304" s="138"/>
      <c r="J304" s="169" t="s">
        <v>326</v>
      </c>
      <c r="K304" s="52"/>
      <c r="L304" s="52"/>
      <c r="M304" s="52"/>
      <c r="N304" s="52"/>
      <c r="O304" s="52"/>
      <c r="P304" s="52"/>
      <c r="Q304" s="52"/>
      <c r="R304" s="169" t="s">
        <v>274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170"/>
      <c r="AK304" s="140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141"/>
    </row>
    <row r="305" spans="2:61" ht="20.100000000000001" customHeight="1" x14ac:dyDescent="0.45">
      <c r="B305" s="168"/>
      <c r="C305" s="31"/>
      <c r="D305" s="31"/>
      <c r="E305" s="31"/>
      <c r="F305" s="31"/>
      <c r="G305" s="138"/>
      <c r="H305" s="139"/>
      <c r="I305" s="138"/>
      <c r="J305" s="169" t="s">
        <v>327</v>
      </c>
      <c r="K305" s="52"/>
      <c r="L305" s="52"/>
      <c r="M305" s="52"/>
      <c r="N305" s="52"/>
      <c r="O305" s="52"/>
      <c r="P305" s="52"/>
      <c r="Q305" s="52"/>
      <c r="R305" s="169" t="s">
        <v>275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170"/>
      <c r="AK305" s="140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141"/>
    </row>
    <row r="306" spans="2:61" ht="20.100000000000001" customHeight="1" x14ac:dyDescent="0.45">
      <c r="B306" s="168"/>
      <c r="C306" s="31"/>
      <c r="D306" s="31"/>
      <c r="E306" s="31"/>
      <c r="F306" s="31"/>
      <c r="G306" s="138"/>
      <c r="H306" s="139"/>
      <c r="I306" s="138"/>
      <c r="J306" s="169" t="s">
        <v>296</v>
      </c>
      <c r="K306" s="52"/>
      <c r="L306" s="52"/>
      <c r="M306" s="52"/>
      <c r="N306" s="52"/>
      <c r="O306" s="52"/>
      <c r="P306" s="52"/>
      <c r="Q306" s="52"/>
      <c r="R306" s="169" t="s">
        <v>347</v>
      </c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170"/>
      <c r="AK306" s="140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141"/>
    </row>
    <row r="307" spans="2:61" ht="20.100000000000001" customHeight="1" x14ac:dyDescent="0.45">
      <c r="B307" s="168"/>
      <c r="C307" s="31"/>
      <c r="D307" s="31"/>
      <c r="E307" s="31"/>
      <c r="F307" s="31"/>
      <c r="G307" s="138"/>
      <c r="H307" s="139"/>
      <c r="I307" s="138"/>
      <c r="J307" s="169" t="s">
        <v>328</v>
      </c>
      <c r="K307" s="52"/>
      <c r="L307" s="52"/>
      <c r="M307" s="52"/>
      <c r="N307" s="52"/>
      <c r="O307" s="52"/>
      <c r="P307" s="52"/>
      <c r="Q307" s="52"/>
      <c r="R307" s="169" t="s">
        <v>276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170"/>
      <c r="AK307" s="140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141"/>
    </row>
    <row r="308" spans="2:61" ht="20.100000000000001" customHeight="1" x14ac:dyDescent="0.45">
      <c r="B308" s="168"/>
      <c r="C308" s="31"/>
      <c r="D308" s="31"/>
      <c r="E308" s="31"/>
      <c r="F308" s="31"/>
      <c r="G308" s="138"/>
      <c r="H308" s="139"/>
      <c r="I308" s="138"/>
      <c r="J308" s="169" t="s">
        <v>329</v>
      </c>
      <c r="K308" s="52"/>
      <c r="L308" s="52"/>
      <c r="M308" s="52"/>
      <c r="N308" s="52"/>
      <c r="O308" s="52"/>
      <c r="P308" s="52"/>
      <c r="Q308" s="52"/>
      <c r="R308" s="169" t="s">
        <v>277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170"/>
      <c r="AK308" s="140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141"/>
    </row>
    <row r="309" spans="2:61" ht="20.100000000000001" customHeight="1" x14ac:dyDescent="0.45">
      <c r="B309" s="168"/>
      <c r="C309" s="31"/>
      <c r="D309" s="31"/>
      <c r="E309" s="31"/>
      <c r="F309" s="31"/>
      <c r="G309" s="138"/>
      <c r="H309" s="139"/>
      <c r="I309" s="138"/>
      <c r="J309" s="169" t="s">
        <v>298</v>
      </c>
      <c r="K309" s="52"/>
      <c r="L309" s="52"/>
      <c r="M309" s="52"/>
      <c r="N309" s="52"/>
      <c r="O309" s="52"/>
      <c r="P309" s="52"/>
      <c r="Q309" s="52"/>
      <c r="R309" s="174" t="s">
        <v>348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170"/>
      <c r="AK309" s="140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141"/>
    </row>
    <row r="310" spans="2:61" ht="20.100000000000001" customHeight="1" x14ac:dyDescent="0.45">
      <c r="B310" s="168"/>
      <c r="C310" s="31"/>
      <c r="D310" s="31"/>
      <c r="E310" s="31"/>
      <c r="F310" s="31"/>
      <c r="G310" s="138"/>
      <c r="H310" s="139"/>
      <c r="I310" s="138"/>
      <c r="J310" s="169" t="s">
        <v>330</v>
      </c>
      <c r="K310" s="52"/>
      <c r="L310" s="52"/>
      <c r="M310" s="52"/>
      <c r="N310" s="52"/>
      <c r="O310" s="52"/>
      <c r="P310" s="52"/>
      <c r="Q310" s="52"/>
      <c r="R310" s="169" t="s">
        <v>279</v>
      </c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170"/>
      <c r="AK310" s="140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141"/>
    </row>
    <row r="311" spans="2:61" ht="20.100000000000001" customHeight="1" x14ac:dyDescent="0.45">
      <c r="B311" s="168"/>
      <c r="C311" s="31"/>
      <c r="D311" s="31"/>
      <c r="E311" s="31"/>
      <c r="F311" s="31"/>
      <c r="G311" s="138"/>
      <c r="H311" s="139"/>
      <c r="I311" s="138"/>
      <c r="J311" s="169" t="s">
        <v>301</v>
      </c>
      <c r="K311" s="52"/>
      <c r="L311" s="52"/>
      <c r="M311" s="52"/>
      <c r="N311" s="52"/>
      <c r="O311" s="52"/>
      <c r="P311" s="52"/>
      <c r="Q311" s="52"/>
      <c r="R311" s="169" t="s">
        <v>351</v>
      </c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170"/>
      <c r="AK311" s="140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141"/>
    </row>
    <row r="312" spans="2:61" ht="20.100000000000001" customHeight="1" x14ac:dyDescent="0.45">
      <c r="B312" s="168"/>
      <c r="C312" s="31"/>
      <c r="D312" s="31"/>
      <c r="E312" s="31"/>
      <c r="F312" s="31"/>
      <c r="G312" s="138"/>
      <c r="H312" s="139"/>
      <c r="I312" s="138"/>
      <c r="J312" s="169" t="s">
        <v>331</v>
      </c>
      <c r="K312" s="52"/>
      <c r="L312" s="52"/>
      <c r="M312" s="52"/>
      <c r="N312" s="52"/>
      <c r="O312" s="52"/>
      <c r="P312" s="52"/>
      <c r="Q312" s="52"/>
      <c r="R312" s="169" t="s">
        <v>280</v>
      </c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170"/>
      <c r="AK312" s="140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141"/>
    </row>
    <row r="313" spans="2:61" ht="20.100000000000001" customHeight="1" x14ac:dyDescent="0.45">
      <c r="B313" s="168"/>
      <c r="C313" s="31"/>
      <c r="D313" s="31"/>
      <c r="E313" s="31"/>
      <c r="F313" s="31"/>
      <c r="G313" s="138"/>
      <c r="H313" s="139"/>
      <c r="I313" s="138"/>
      <c r="J313" s="169" t="s">
        <v>302</v>
      </c>
      <c r="K313" s="52"/>
      <c r="L313" s="52"/>
      <c r="M313" s="52"/>
      <c r="N313" s="52"/>
      <c r="O313" s="52"/>
      <c r="P313" s="52"/>
      <c r="Q313" s="52"/>
      <c r="R313" s="174" t="s">
        <v>350</v>
      </c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170"/>
      <c r="AK313" s="140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141"/>
    </row>
    <row r="314" spans="2:61" ht="20.100000000000001" customHeight="1" x14ac:dyDescent="0.45">
      <c r="B314" s="168"/>
      <c r="C314" s="31"/>
      <c r="D314" s="31"/>
      <c r="E314" s="31"/>
      <c r="F314" s="31"/>
      <c r="G314" s="138"/>
      <c r="H314" s="139"/>
      <c r="I314" s="138"/>
      <c r="J314" s="169" t="s">
        <v>307</v>
      </c>
      <c r="K314" s="52"/>
      <c r="L314" s="52"/>
      <c r="M314" s="52"/>
      <c r="N314" s="52"/>
      <c r="O314" s="52"/>
      <c r="P314" s="52"/>
      <c r="Q314" s="52"/>
      <c r="R314" s="169">
        <v>0</v>
      </c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170"/>
      <c r="AK314" s="140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41"/>
    </row>
    <row r="315" spans="2:61" ht="20.100000000000001" customHeight="1" x14ac:dyDescent="0.45">
      <c r="B315" s="168"/>
      <c r="C315" s="31"/>
      <c r="D315" s="31"/>
      <c r="E315" s="31"/>
      <c r="F315" s="31"/>
      <c r="G315" s="138"/>
      <c r="H315" s="139"/>
      <c r="I315" s="138"/>
      <c r="J315" s="169" t="s">
        <v>309</v>
      </c>
      <c r="K315" s="52"/>
      <c r="L315" s="52"/>
      <c r="M315" s="52"/>
      <c r="N315" s="52"/>
      <c r="O315" s="52"/>
      <c r="P315" s="52"/>
      <c r="Q315" s="52"/>
      <c r="R315" s="169">
        <v>0</v>
      </c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170"/>
      <c r="AK315" s="140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141"/>
    </row>
    <row r="316" spans="2:61" ht="20.100000000000001" customHeight="1" x14ac:dyDescent="0.45">
      <c r="B316" s="168"/>
      <c r="C316" s="31"/>
      <c r="D316" s="31"/>
      <c r="E316" s="31"/>
      <c r="F316" s="31"/>
      <c r="G316" s="138"/>
      <c r="H316" s="139"/>
      <c r="I316" s="138"/>
      <c r="J316" s="169" t="s">
        <v>333</v>
      </c>
      <c r="K316" s="52"/>
      <c r="L316" s="52"/>
      <c r="M316" s="52"/>
      <c r="N316" s="52"/>
      <c r="O316" s="52"/>
      <c r="P316" s="52"/>
      <c r="Q316" s="52"/>
      <c r="R316" s="169" t="s">
        <v>284</v>
      </c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170"/>
      <c r="AK316" s="140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141"/>
    </row>
    <row r="317" spans="2:61" ht="20.100000000000001" customHeight="1" x14ac:dyDescent="0.45">
      <c r="B317" s="168"/>
      <c r="C317" s="31"/>
      <c r="D317" s="31"/>
      <c r="E317" s="31"/>
      <c r="F317" s="31"/>
      <c r="G317" s="138"/>
      <c r="H317" s="139"/>
      <c r="I317" s="138"/>
      <c r="J317" s="169" t="s">
        <v>305</v>
      </c>
      <c r="K317" s="52"/>
      <c r="L317" s="52"/>
      <c r="M317" s="52"/>
      <c r="N317" s="52"/>
      <c r="O317" s="52"/>
      <c r="P317" s="52"/>
      <c r="Q317" s="52"/>
      <c r="R317" s="169" t="s">
        <v>303</v>
      </c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170"/>
      <c r="AK317" s="140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141"/>
    </row>
    <row r="318" spans="2:61" ht="20.100000000000001" customHeight="1" x14ac:dyDescent="0.45">
      <c r="B318" s="168"/>
      <c r="C318" s="31"/>
      <c r="D318" s="31"/>
      <c r="E318" s="31"/>
      <c r="F318" s="31"/>
      <c r="G318" s="138"/>
      <c r="H318" s="139"/>
      <c r="I318" s="138"/>
      <c r="J318" s="169" t="s">
        <v>334</v>
      </c>
      <c r="K318" s="52"/>
      <c r="L318" s="52"/>
      <c r="M318" s="52"/>
      <c r="N318" s="52"/>
      <c r="O318" s="52"/>
      <c r="P318" s="52"/>
      <c r="Q318" s="52"/>
      <c r="R318" s="169" t="s">
        <v>285</v>
      </c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170"/>
      <c r="AK318" s="140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141"/>
    </row>
    <row r="319" spans="2:61" ht="20.100000000000001" customHeight="1" x14ac:dyDescent="0.45">
      <c r="B319" s="168"/>
      <c r="C319" s="31"/>
      <c r="D319" s="31"/>
      <c r="E319" s="31"/>
      <c r="F319" s="31"/>
      <c r="G319" s="138"/>
      <c r="H319" s="139"/>
      <c r="I319" s="138"/>
      <c r="J319" s="169" t="s">
        <v>335</v>
      </c>
      <c r="K319" s="52"/>
      <c r="L319" s="52"/>
      <c r="M319" s="52"/>
      <c r="N319" s="52"/>
      <c r="O319" s="52"/>
      <c r="P319" s="52"/>
      <c r="Q319" s="52"/>
      <c r="R319" s="169" t="s">
        <v>286</v>
      </c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170"/>
      <c r="AK319" s="140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141"/>
    </row>
    <row r="320" spans="2:61" ht="20.100000000000001" customHeight="1" x14ac:dyDescent="0.45">
      <c r="B320" s="168"/>
      <c r="C320" s="31"/>
      <c r="D320" s="31"/>
      <c r="E320" s="31"/>
      <c r="F320" s="31"/>
      <c r="G320" s="138"/>
      <c r="H320" s="139"/>
      <c r="I320" s="138"/>
      <c r="J320" s="169" t="s">
        <v>336</v>
      </c>
      <c r="K320" s="52"/>
      <c r="L320" s="52"/>
      <c r="M320" s="52"/>
      <c r="N320" s="52"/>
      <c r="O320" s="52"/>
      <c r="P320" s="52"/>
      <c r="Q320" s="52"/>
      <c r="R320" s="169" t="s">
        <v>287</v>
      </c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170"/>
      <c r="AK320" s="140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141"/>
    </row>
    <row r="321" spans="2:61" ht="20.100000000000001" customHeight="1" x14ac:dyDescent="0.45">
      <c r="B321" s="168"/>
      <c r="C321" s="31"/>
      <c r="D321" s="31"/>
      <c r="E321" s="31"/>
      <c r="F321" s="31"/>
      <c r="G321" s="138"/>
      <c r="H321" s="139"/>
      <c r="I321" s="138"/>
      <c r="J321" s="169" t="s">
        <v>337</v>
      </c>
      <c r="K321" s="52"/>
      <c r="L321" s="52"/>
      <c r="M321" s="52"/>
      <c r="N321" s="52"/>
      <c r="O321" s="52"/>
      <c r="P321" s="52"/>
      <c r="Q321" s="52"/>
      <c r="R321" s="169" t="s">
        <v>288</v>
      </c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170"/>
      <c r="AK321" s="140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141"/>
    </row>
    <row r="322" spans="2:61" ht="20.100000000000001" customHeight="1" x14ac:dyDescent="0.45">
      <c r="B322" s="168"/>
      <c r="C322" s="31"/>
      <c r="D322" s="31"/>
      <c r="E322" s="31"/>
      <c r="F322" s="31"/>
      <c r="G322" s="138"/>
      <c r="H322" s="139"/>
      <c r="I322" s="138"/>
      <c r="J322" s="169" t="s">
        <v>338</v>
      </c>
      <c r="K322" s="52"/>
      <c r="L322" s="52"/>
      <c r="M322" s="52"/>
      <c r="N322" s="52"/>
      <c r="O322" s="52"/>
      <c r="P322" s="52"/>
      <c r="Q322" s="52"/>
      <c r="R322" s="169" t="s">
        <v>289</v>
      </c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170"/>
      <c r="AK322" s="140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141"/>
    </row>
    <row r="323" spans="2:61" ht="20.100000000000001" customHeight="1" x14ac:dyDescent="0.45">
      <c r="B323" s="168"/>
      <c r="C323" s="31"/>
      <c r="D323" s="31"/>
      <c r="E323" s="31"/>
      <c r="F323" s="31"/>
      <c r="G323" s="138"/>
      <c r="H323" s="139"/>
      <c r="I323" s="138"/>
      <c r="J323" s="169" t="s">
        <v>339</v>
      </c>
      <c r="K323" s="52"/>
      <c r="L323" s="52"/>
      <c r="M323" s="52"/>
      <c r="N323" s="52"/>
      <c r="O323" s="52"/>
      <c r="P323" s="52"/>
      <c r="Q323" s="52"/>
      <c r="R323" s="169" t="s">
        <v>290</v>
      </c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170"/>
      <c r="AK323" s="140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141"/>
    </row>
    <row r="324" spans="2:61" ht="20.100000000000001" customHeight="1" x14ac:dyDescent="0.45">
      <c r="B324" s="168"/>
      <c r="C324" s="31"/>
      <c r="D324" s="31"/>
      <c r="E324" s="31"/>
      <c r="F324" s="31"/>
      <c r="G324" s="138"/>
      <c r="H324" s="139"/>
      <c r="I324" s="138"/>
      <c r="J324" s="142" t="s">
        <v>340</v>
      </c>
      <c r="K324" s="55"/>
      <c r="L324" s="55"/>
      <c r="M324" s="55"/>
      <c r="N324" s="55"/>
      <c r="O324" s="55"/>
      <c r="P324" s="55"/>
      <c r="Q324" s="170"/>
      <c r="R324" s="185" t="s">
        <v>624</v>
      </c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175"/>
      <c r="AK324" s="140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141"/>
    </row>
    <row r="325" spans="2:61" ht="20.100000000000001" customHeight="1" x14ac:dyDescent="0.45">
      <c r="B325" s="168"/>
      <c r="C325" s="31"/>
      <c r="D325" s="31"/>
      <c r="E325" s="31"/>
      <c r="F325" s="31"/>
      <c r="G325" s="138"/>
      <c r="H325" s="142" t="s">
        <v>145</v>
      </c>
      <c r="I325" s="55"/>
      <c r="J325" s="142" t="s">
        <v>359</v>
      </c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143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144"/>
    </row>
    <row r="326" spans="2:61" ht="20.100000000000001" customHeight="1" x14ac:dyDescent="0.45">
      <c r="B326" s="137"/>
      <c r="C326" s="31"/>
      <c r="D326" s="31"/>
      <c r="E326" s="31"/>
      <c r="F326" s="31"/>
      <c r="G326" s="138"/>
      <c r="H326" s="139"/>
      <c r="I326" s="31"/>
      <c r="J326" s="139" t="s">
        <v>360</v>
      </c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140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141"/>
    </row>
    <row r="327" spans="2:61" ht="20.100000000000001" customHeight="1" x14ac:dyDescent="0.45">
      <c r="B327" s="137"/>
      <c r="C327" s="31"/>
      <c r="D327" s="31"/>
      <c r="E327" s="31"/>
      <c r="F327" s="31"/>
      <c r="G327" s="138"/>
      <c r="H327" s="139"/>
      <c r="I327" s="31"/>
      <c r="J327" s="139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140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141"/>
    </row>
    <row r="328" spans="2:61" ht="20.100000000000001" customHeight="1" x14ac:dyDescent="0.45">
      <c r="B328" s="137"/>
      <c r="C328" s="31"/>
      <c r="D328" s="31"/>
      <c r="E328" s="31"/>
      <c r="F328" s="31"/>
      <c r="G328" s="138"/>
      <c r="H328" s="142" t="s">
        <v>146</v>
      </c>
      <c r="I328" s="55"/>
      <c r="J328" s="142" t="s">
        <v>174</v>
      </c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143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  <c r="BI328" s="144"/>
    </row>
    <row r="329" spans="2:61" ht="20.100000000000001" customHeight="1" x14ac:dyDescent="0.45">
      <c r="B329" s="137"/>
      <c r="C329" s="31"/>
      <c r="D329" s="31"/>
      <c r="E329" s="31"/>
      <c r="F329" s="31"/>
      <c r="G329" s="138"/>
      <c r="H329" s="139"/>
      <c r="I329" s="31"/>
      <c r="J329" s="139"/>
      <c r="K329" s="31" t="s">
        <v>175</v>
      </c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140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141"/>
    </row>
    <row r="330" spans="2:61" ht="20.100000000000001" customHeight="1" x14ac:dyDescent="0.45">
      <c r="B330" s="137"/>
      <c r="C330" s="31"/>
      <c r="D330" s="31"/>
      <c r="E330" s="31"/>
      <c r="F330" s="31"/>
      <c r="G330" s="138"/>
      <c r="H330" s="139"/>
      <c r="I330" s="31"/>
      <c r="J330" s="139"/>
      <c r="K330" s="31"/>
      <c r="M330" s="31" t="s">
        <v>212</v>
      </c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140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141"/>
    </row>
    <row r="331" spans="2:61" ht="20.100000000000001" customHeight="1" x14ac:dyDescent="0.45">
      <c r="B331" s="137"/>
      <c r="C331" s="31"/>
      <c r="D331" s="31"/>
      <c r="E331" s="31"/>
      <c r="F331" s="31"/>
      <c r="G331" s="138"/>
      <c r="H331" s="139"/>
      <c r="I331" s="31"/>
      <c r="J331" s="139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140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141"/>
    </row>
    <row r="332" spans="2:61" ht="20.100000000000001" customHeight="1" x14ac:dyDescent="0.45">
      <c r="B332" s="137"/>
      <c r="C332" s="31"/>
      <c r="D332" s="31"/>
      <c r="E332" s="31"/>
      <c r="F332" s="31"/>
      <c r="G332" s="138"/>
      <c r="H332" s="139"/>
      <c r="I332" s="31"/>
      <c r="J332" s="139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140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141"/>
    </row>
    <row r="333" spans="2:61" ht="20.100000000000001" customHeight="1" x14ac:dyDescent="0.45">
      <c r="B333" s="137"/>
      <c r="C333" s="31"/>
      <c r="D333" s="31"/>
      <c r="E333" s="31"/>
      <c r="F333" s="31"/>
      <c r="G333" s="138"/>
      <c r="H333" s="145"/>
      <c r="I333" s="146"/>
      <c r="J333" s="145"/>
      <c r="K333" s="146"/>
      <c r="L333" s="146"/>
      <c r="M333" s="146"/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7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  <c r="AW333" s="146"/>
      <c r="AX333" s="146"/>
      <c r="AY333" s="146"/>
      <c r="AZ333" s="146"/>
      <c r="BA333" s="146"/>
      <c r="BB333" s="146"/>
      <c r="BC333" s="146"/>
      <c r="BD333" s="146"/>
      <c r="BE333" s="146"/>
      <c r="BF333" s="146"/>
      <c r="BG333" s="146"/>
      <c r="BH333" s="146"/>
      <c r="BI333" s="148"/>
    </row>
    <row r="334" spans="2:61" ht="20.100000000000001" customHeight="1" x14ac:dyDescent="0.45">
      <c r="B334" s="137"/>
      <c r="C334" s="31"/>
      <c r="D334" s="31"/>
      <c r="E334" s="31"/>
      <c r="F334" s="31"/>
      <c r="G334" s="138"/>
      <c r="H334" s="139" t="s">
        <v>147</v>
      </c>
      <c r="I334" s="31"/>
      <c r="J334" s="139"/>
      <c r="K334" s="55" t="s">
        <v>210</v>
      </c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140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141"/>
    </row>
    <row r="335" spans="2:61" ht="20.100000000000001" customHeight="1" x14ac:dyDescent="0.45">
      <c r="B335" s="137"/>
      <c r="C335" s="31"/>
      <c r="D335" s="31"/>
      <c r="E335" s="31"/>
      <c r="F335" s="31"/>
      <c r="G335" s="138"/>
      <c r="H335" s="139"/>
      <c r="I335" s="31"/>
      <c r="J335" s="139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140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141"/>
    </row>
    <row r="336" spans="2:61" ht="20.100000000000001" customHeight="1" x14ac:dyDescent="0.45">
      <c r="B336" s="137"/>
      <c r="C336" s="31"/>
      <c r="D336" s="31"/>
      <c r="E336" s="31"/>
      <c r="F336" s="31"/>
      <c r="G336" s="138"/>
      <c r="H336" s="139"/>
      <c r="I336" s="31"/>
      <c r="J336" s="139" t="s">
        <v>182</v>
      </c>
      <c r="K336" s="31" t="s">
        <v>214</v>
      </c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139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141"/>
    </row>
    <row r="337" spans="2:61" ht="20.100000000000001" customHeight="1" x14ac:dyDescent="0.45">
      <c r="B337" s="137"/>
      <c r="C337" s="31"/>
      <c r="D337" s="31"/>
      <c r="E337" s="31"/>
      <c r="F337" s="31"/>
      <c r="G337" s="138"/>
      <c r="H337" s="139"/>
      <c r="I337" s="31"/>
      <c r="J337" s="139" t="s">
        <v>196</v>
      </c>
      <c r="K337" s="31" t="s">
        <v>184</v>
      </c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139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141"/>
    </row>
    <row r="338" spans="2:61" ht="20.100000000000001" customHeight="1" x14ac:dyDescent="0.45">
      <c r="B338" s="137"/>
      <c r="C338" s="31"/>
      <c r="D338" s="31"/>
      <c r="E338" s="31"/>
      <c r="F338" s="31"/>
      <c r="G338" s="138"/>
      <c r="H338" s="139"/>
      <c r="I338" s="31"/>
      <c r="J338" s="139"/>
      <c r="K338" s="31"/>
      <c r="L338" s="31" t="s">
        <v>188</v>
      </c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139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141"/>
    </row>
    <row r="339" spans="2:61" ht="20.100000000000001" customHeight="1" x14ac:dyDescent="0.45">
      <c r="B339" s="137"/>
      <c r="C339" s="31"/>
      <c r="D339" s="31"/>
      <c r="E339" s="31"/>
      <c r="F339" s="31"/>
      <c r="G339" s="138"/>
      <c r="H339" s="139"/>
      <c r="I339" s="31"/>
      <c r="J339" s="139"/>
      <c r="K339" s="31"/>
      <c r="L339" s="31"/>
      <c r="M339" s="31"/>
      <c r="N339" s="31" t="s">
        <v>205</v>
      </c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139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141"/>
    </row>
    <row r="340" spans="2:61" ht="20.100000000000001" customHeight="1" x14ac:dyDescent="0.45">
      <c r="B340" s="137"/>
      <c r="C340" s="31"/>
      <c r="D340" s="31"/>
      <c r="E340" s="31"/>
      <c r="F340" s="31"/>
      <c r="G340" s="138"/>
      <c r="H340" s="139"/>
      <c r="I340" s="31"/>
      <c r="J340" s="139"/>
      <c r="K340" s="31"/>
      <c r="L340" s="31" t="s">
        <v>198</v>
      </c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139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141"/>
    </row>
    <row r="341" spans="2:61" ht="20.100000000000001" customHeight="1" x14ac:dyDescent="0.45">
      <c r="B341" s="137"/>
      <c r="C341" s="31"/>
      <c r="D341" s="31"/>
      <c r="E341" s="31"/>
      <c r="F341" s="31"/>
      <c r="G341" s="138"/>
      <c r="H341" s="139"/>
      <c r="I341" s="31"/>
      <c r="J341" s="139"/>
      <c r="K341" s="31" t="s">
        <v>195</v>
      </c>
      <c r="L341" s="31" t="s">
        <v>199</v>
      </c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139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141"/>
    </row>
    <row r="342" spans="2:61" ht="20.100000000000001" customHeight="1" x14ac:dyDescent="0.45">
      <c r="B342" s="137"/>
      <c r="C342" s="31"/>
      <c r="D342" s="31"/>
      <c r="E342" s="31"/>
      <c r="F342" s="31"/>
      <c r="G342" s="138"/>
      <c r="H342" s="139"/>
      <c r="I342" s="31"/>
      <c r="J342" s="139"/>
      <c r="K342" s="31"/>
      <c r="L342" s="31"/>
      <c r="M342" s="31"/>
      <c r="N342" s="31" t="s">
        <v>206</v>
      </c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139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141"/>
    </row>
    <row r="343" spans="2:61" ht="20.100000000000001" customHeight="1" x14ac:dyDescent="0.45">
      <c r="B343" s="137"/>
      <c r="C343" s="31"/>
      <c r="D343" s="31"/>
      <c r="E343" s="31"/>
      <c r="F343" s="31"/>
      <c r="G343" s="138"/>
      <c r="H343" s="139"/>
      <c r="I343" s="31"/>
      <c r="J343" s="139"/>
      <c r="K343" s="31"/>
      <c r="L343" s="31" t="s">
        <v>198</v>
      </c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139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141"/>
    </row>
    <row r="344" spans="2:61" ht="20.100000000000001" customHeight="1" thickBot="1" x14ac:dyDescent="0.5">
      <c r="B344" s="137"/>
      <c r="C344" s="31"/>
      <c r="D344" s="31"/>
      <c r="E344" s="31"/>
      <c r="F344" s="31"/>
      <c r="G344" s="138"/>
      <c r="H344" s="145"/>
      <c r="I344" s="146"/>
      <c r="J344" s="145"/>
      <c r="K344" s="146" t="s">
        <v>187</v>
      </c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5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  <c r="AW344" s="146"/>
      <c r="AX344" s="146"/>
      <c r="AY344" s="146"/>
      <c r="AZ344" s="146"/>
      <c r="BA344" s="146"/>
      <c r="BB344" s="146"/>
      <c r="BC344" s="146"/>
      <c r="BD344" s="146"/>
      <c r="BE344" s="146"/>
      <c r="BF344" s="146"/>
      <c r="BG344" s="146"/>
      <c r="BH344" s="146"/>
      <c r="BI344" s="148"/>
    </row>
    <row r="345" spans="2:61" ht="20.100000000000001" customHeight="1" x14ac:dyDescent="0.45">
      <c r="B345" s="131" t="s">
        <v>384</v>
      </c>
      <c r="C345" s="132"/>
      <c r="D345" s="132"/>
      <c r="E345" s="132"/>
      <c r="F345" s="132"/>
      <c r="G345" s="133"/>
      <c r="H345" s="134" t="s">
        <v>237</v>
      </c>
      <c r="I345" s="133"/>
      <c r="J345" s="173" t="s">
        <v>311</v>
      </c>
      <c r="K345" s="166"/>
      <c r="L345" s="166"/>
      <c r="M345" s="166"/>
      <c r="N345" s="166"/>
      <c r="O345" s="166"/>
      <c r="P345" s="166"/>
      <c r="Q345" s="166"/>
      <c r="R345" s="173" t="s">
        <v>262</v>
      </c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7"/>
      <c r="AK345" s="135"/>
      <c r="AL345" s="132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2"/>
      <c r="AW345" s="132"/>
      <c r="AX345" s="132"/>
      <c r="AY345" s="132"/>
      <c r="AZ345" s="132"/>
      <c r="BA345" s="132"/>
      <c r="BB345" s="132"/>
      <c r="BC345" s="132"/>
      <c r="BD345" s="132"/>
      <c r="BE345" s="132"/>
      <c r="BF345" s="132"/>
      <c r="BG345" s="132"/>
      <c r="BH345" s="132"/>
      <c r="BI345" s="136"/>
    </row>
    <row r="346" spans="2:61" ht="20.100000000000001" customHeight="1" x14ac:dyDescent="0.45">
      <c r="B346" s="168"/>
      <c r="C346" s="31"/>
      <c r="D346" s="31"/>
      <c r="E346" s="31"/>
      <c r="F346" s="31"/>
      <c r="G346" s="138"/>
      <c r="H346" s="139"/>
      <c r="I346" s="138"/>
      <c r="J346" s="169" t="s">
        <v>294</v>
      </c>
      <c r="K346" s="52"/>
      <c r="L346" s="52"/>
      <c r="M346" s="52"/>
      <c r="N346" s="52"/>
      <c r="O346" s="52"/>
      <c r="P346" s="52"/>
      <c r="Q346" s="52"/>
      <c r="R346" s="169" t="s">
        <v>345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170"/>
      <c r="AK346" s="140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141"/>
    </row>
    <row r="347" spans="2:61" ht="20.100000000000001" customHeight="1" x14ac:dyDescent="0.45">
      <c r="B347" s="168"/>
      <c r="C347" s="31"/>
      <c r="D347" s="31"/>
      <c r="E347" s="31"/>
      <c r="F347" s="31"/>
      <c r="G347" s="138"/>
      <c r="H347" s="139"/>
      <c r="I347" s="138"/>
      <c r="J347" s="169" t="s">
        <v>314</v>
      </c>
      <c r="K347" s="52"/>
      <c r="L347" s="52"/>
      <c r="M347" s="52"/>
      <c r="N347" s="52"/>
      <c r="O347" s="52"/>
      <c r="P347" s="52"/>
      <c r="Q347" s="52"/>
      <c r="R347" s="169" t="s">
        <v>346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170"/>
      <c r="AK347" s="140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141"/>
    </row>
    <row r="348" spans="2:61" ht="20.100000000000001" customHeight="1" x14ac:dyDescent="0.45">
      <c r="B348" s="168"/>
      <c r="C348" s="31"/>
      <c r="D348" s="31"/>
      <c r="E348" s="31"/>
      <c r="F348" s="31"/>
      <c r="G348" s="138"/>
      <c r="H348" s="139"/>
      <c r="I348" s="138"/>
      <c r="J348" s="169" t="s">
        <v>315</v>
      </c>
      <c r="K348" s="52"/>
      <c r="L348" s="52"/>
      <c r="M348" s="52"/>
      <c r="N348" s="52"/>
      <c r="O348" s="52"/>
      <c r="P348" s="52"/>
      <c r="Q348" s="52"/>
      <c r="R348" s="169" t="s">
        <v>263</v>
      </c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170"/>
      <c r="AK348" s="140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141"/>
    </row>
    <row r="349" spans="2:61" ht="20.100000000000001" customHeight="1" x14ac:dyDescent="0.45">
      <c r="B349" s="168"/>
      <c r="C349" s="31"/>
      <c r="D349" s="31"/>
      <c r="E349" s="31"/>
      <c r="F349" s="31"/>
      <c r="G349" s="138"/>
      <c r="H349" s="139"/>
      <c r="I349" s="138"/>
      <c r="J349" s="169" t="s">
        <v>316</v>
      </c>
      <c r="K349" s="52"/>
      <c r="L349" s="52"/>
      <c r="M349" s="52"/>
      <c r="N349" s="52"/>
      <c r="O349" s="52"/>
      <c r="P349" s="52"/>
      <c r="Q349" s="52"/>
      <c r="R349" s="169" t="s">
        <v>264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170"/>
      <c r="AK349" s="140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141"/>
    </row>
    <row r="350" spans="2:61" ht="20.100000000000001" customHeight="1" x14ac:dyDescent="0.45">
      <c r="B350" s="168"/>
      <c r="C350" s="31"/>
      <c r="D350" s="31"/>
      <c r="E350" s="31"/>
      <c r="F350" s="31"/>
      <c r="G350" s="138"/>
      <c r="H350" s="139"/>
      <c r="I350" s="138"/>
      <c r="J350" s="169" t="s">
        <v>317</v>
      </c>
      <c r="K350" s="52"/>
      <c r="L350" s="52"/>
      <c r="M350" s="52"/>
      <c r="N350" s="52"/>
      <c r="O350" s="52"/>
      <c r="P350" s="52"/>
      <c r="Q350" s="52"/>
      <c r="R350" s="169" t="s">
        <v>265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170"/>
      <c r="AK350" s="140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141"/>
    </row>
    <row r="351" spans="2:61" ht="20.100000000000001" customHeight="1" x14ac:dyDescent="0.45">
      <c r="B351" s="168"/>
      <c r="C351" s="31"/>
      <c r="D351" s="31"/>
      <c r="E351" s="31"/>
      <c r="F351" s="31"/>
      <c r="G351" s="138"/>
      <c r="H351" s="139"/>
      <c r="I351" s="138"/>
      <c r="J351" s="169" t="s">
        <v>318</v>
      </c>
      <c r="K351" s="52"/>
      <c r="L351" s="52"/>
      <c r="M351" s="52"/>
      <c r="N351" s="52"/>
      <c r="O351" s="52"/>
      <c r="P351" s="52"/>
      <c r="Q351" s="52"/>
      <c r="R351" s="169" t="s">
        <v>266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170"/>
      <c r="AK351" s="140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141"/>
    </row>
    <row r="352" spans="2:61" ht="20.100000000000001" customHeight="1" x14ac:dyDescent="0.45">
      <c r="B352" s="168"/>
      <c r="C352" s="31"/>
      <c r="D352" s="31"/>
      <c r="E352" s="31"/>
      <c r="F352" s="31"/>
      <c r="G352" s="138"/>
      <c r="H352" s="139"/>
      <c r="I352" s="138"/>
      <c r="J352" s="169" t="s">
        <v>319</v>
      </c>
      <c r="K352" s="52"/>
      <c r="L352" s="52"/>
      <c r="M352" s="52"/>
      <c r="N352" s="52"/>
      <c r="O352" s="52"/>
      <c r="P352" s="52"/>
      <c r="Q352" s="52"/>
      <c r="R352" s="169" t="s">
        <v>267</v>
      </c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170"/>
      <c r="AK352" s="140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141"/>
    </row>
    <row r="353" spans="2:61" ht="20.100000000000001" customHeight="1" x14ac:dyDescent="0.45">
      <c r="B353" s="168"/>
      <c r="C353" s="31"/>
      <c r="D353" s="31"/>
      <c r="E353" s="31"/>
      <c r="F353" s="31"/>
      <c r="G353" s="138"/>
      <c r="H353" s="139"/>
      <c r="I353" s="138"/>
      <c r="J353" s="169" t="s">
        <v>320</v>
      </c>
      <c r="K353" s="52"/>
      <c r="L353" s="52"/>
      <c r="M353" s="52"/>
      <c r="N353" s="52"/>
      <c r="O353" s="52"/>
      <c r="P353" s="52"/>
      <c r="Q353" s="52"/>
      <c r="R353" s="169" t="s">
        <v>268</v>
      </c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170"/>
      <c r="AK353" s="140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141"/>
    </row>
    <row r="354" spans="2:61" ht="20.100000000000001" customHeight="1" x14ac:dyDescent="0.45">
      <c r="B354" s="168"/>
      <c r="C354" s="31"/>
      <c r="D354" s="31"/>
      <c r="E354" s="31"/>
      <c r="F354" s="31"/>
      <c r="G354" s="138"/>
      <c r="H354" s="139"/>
      <c r="I354" s="138"/>
      <c r="J354" s="169" t="s">
        <v>321</v>
      </c>
      <c r="K354" s="52"/>
      <c r="L354" s="52"/>
      <c r="M354" s="52"/>
      <c r="N354" s="52"/>
      <c r="O354" s="52"/>
      <c r="P354" s="52"/>
      <c r="Q354" s="52"/>
      <c r="R354" s="169" t="s">
        <v>269</v>
      </c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170"/>
      <c r="AK354" s="140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141"/>
    </row>
    <row r="355" spans="2:61" ht="20.100000000000001" customHeight="1" x14ac:dyDescent="0.45">
      <c r="B355" s="168"/>
      <c r="C355" s="31"/>
      <c r="D355" s="31"/>
      <c r="E355" s="31"/>
      <c r="F355" s="31"/>
      <c r="G355" s="138"/>
      <c r="H355" s="139"/>
      <c r="I355" s="138"/>
      <c r="J355" s="169" t="s">
        <v>322</v>
      </c>
      <c r="K355" s="52"/>
      <c r="L355" s="52"/>
      <c r="M355" s="52"/>
      <c r="N355" s="52"/>
      <c r="O355" s="52"/>
      <c r="P355" s="52"/>
      <c r="Q355" s="52"/>
      <c r="R355" s="169" t="s">
        <v>270</v>
      </c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170"/>
      <c r="AK355" s="140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141"/>
    </row>
    <row r="356" spans="2:61" ht="20.100000000000001" customHeight="1" x14ac:dyDescent="0.45">
      <c r="B356" s="168"/>
      <c r="C356" s="31"/>
      <c r="D356" s="31"/>
      <c r="E356" s="31"/>
      <c r="F356" s="31"/>
      <c r="G356" s="138"/>
      <c r="H356" s="139"/>
      <c r="I356" s="138"/>
      <c r="J356" s="169" t="s">
        <v>323</v>
      </c>
      <c r="K356" s="52"/>
      <c r="L356" s="52"/>
      <c r="M356" s="52"/>
      <c r="N356" s="52"/>
      <c r="O356" s="52"/>
      <c r="P356" s="52"/>
      <c r="Q356" s="52"/>
      <c r="R356" s="169" t="s">
        <v>271</v>
      </c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170"/>
      <c r="AK356" s="140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141"/>
    </row>
    <row r="357" spans="2:61" ht="20.100000000000001" customHeight="1" x14ac:dyDescent="0.45">
      <c r="B357" s="168"/>
      <c r="C357" s="31"/>
      <c r="D357" s="31"/>
      <c r="E357" s="31"/>
      <c r="F357" s="31"/>
      <c r="G357" s="138"/>
      <c r="H357" s="139"/>
      <c r="I357" s="138"/>
      <c r="J357" s="169" t="s">
        <v>324</v>
      </c>
      <c r="K357" s="52"/>
      <c r="L357" s="52"/>
      <c r="M357" s="52"/>
      <c r="N357" s="52"/>
      <c r="O357" s="52"/>
      <c r="P357" s="52"/>
      <c r="Q357" s="52"/>
      <c r="R357" s="169" t="s">
        <v>272</v>
      </c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170"/>
      <c r="AK357" s="140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141"/>
    </row>
    <row r="358" spans="2:61" ht="20.100000000000001" customHeight="1" x14ac:dyDescent="0.45">
      <c r="B358" s="168"/>
      <c r="C358" s="31"/>
      <c r="D358" s="31"/>
      <c r="E358" s="31"/>
      <c r="F358" s="31"/>
      <c r="G358" s="138"/>
      <c r="H358" s="139"/>
      <c r="I358" s="138"/>
      <c r="J358" s="169" t="s">
        <v>325</v>
      </c>
      <c r="K358" s="52"/>
      <c r="L358" s="52"/>
      <c r="M358" s="52"/>
      <c r="N358" s="52"/>
      <c r="O358" s="52"/>
      <c r="P358" s="52"/>
      <c r="Q358" s="52"/>
      <c r="R358" s="169" t="s">
        <v>273</v>
      </c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170"/>
      <c r="AK358" s="140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141"/>
    </row>
    <row r="359" spans="2:61" ht="20.100000000000001" customHeight="1" x14ac:dyDescent="0.45">
      <c r="B359" s="168"/>
      <c r="C359" s="31"/>
      <c r="D359" s="31"/>
      <c r="E359" s="31"/>
      <c r="F359" s="31"/>
      <c r="G359" s="138"/>
      <c r="H359" s="139"/>
      <c r="I359" s="138"/>
      <c r="J359" s="169" t="s">
        <v>326</v>
      </c>
      <c r="K359" s="52"/>
      <c r="L359" s="52"/>
      <c r="M359" s="52"/>
      <c r="N359" s="52"/>
      <c r="O359" s="52"/>
      <c r="P359" s="52"/>
      <c r="Q359" s="52"/>
      <c r="R359" s="169" t="s">
        <v>274</v>
      </c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170"/>
      <c r="AK359" s="140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141"/>
    </row>
    <row r="360" spans="2:61" ht="20.100000000000001" customHeight="1" x14ac:dyDescent="0.45">
      <c r="B360" s="168"/>
      <c r="C360" s="31"/>
      <c r="D360" s="31"/>
      <c r="E360" s="31"/>
      <c r="F360" s="31"/>
      <c r="G360" s="138"/>
      <c r="H360" s="139"/>
      <c r="I360" s="138"/>
      <c r="J360" s="169" t="s">
        <v>327</v>
      </c>
      <c r="K360" s="52"/>
      <c r="L360" s="52"/>
      <c r="M360" s="52"/>
      <c r="N360" s="52"/>
      <c r="O360" s="52"/>
      <c r="P360" s="52"/>
      <c r="Q360" s="52"/>
      <c r="R360" s="169" t="s">
        <v>275</v>
      </c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170"/>
      <c r="AK360" s="140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141"/>
    </row>
    <row r="361" spans="2:61" ht="20.100000000000001" customHeight="1" x14ac:dyDescent="0.45">
      <c r="B361" s="168"/>
      <c r="C361" s="31"/>
      <c r="D361" s="31"/>
      <c r="E361" s="31"/>
      <c r="F361" s="31"/>
      <c r="G361" s="138"/>
      <c r="H361" s="139"/>
      <c r="I361" s="138"/>
      <c r="J361" s="169" t="s">
        <v>296</v>
      </c>
      <c r="K361" s="52"/>
      <c r="L361" s="52"/>
      <c r="M361" s="52"/>
      <c r="N361" s="52"/>
      <c r="O361" s="52"/>
      <c r="P361" s="52"/>
      <c r="Q361" s="52"/>
      <c r="R361" s="169" t="s">
        <v>352</v>
      </c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170"/>
      <c r="AK361" s="140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141"/>
    </row>
    <row r="362" spans="2:61" ht="20.100000000000001" customHeight="1" x14ac:dyDescent="0.45">
      <c r="B362" s="168"/>
      <c r="C362" s="31"/>
      <c r="D362" s="31"/>
      <c r="E362" s="31"/>
      <c r="F362" s="31"/>
      <c r="G362" s="138"/>
      <c r="H362" s="139"/>
      <c r="I362" s="138"/>
      <c r="J362" s="169" t="s">
        <v>328</v>
      </c>
      <c r="K362" s="52"/>
      <c r="L362" s="52"/>
      <c r="M362" s="52"/>
      <c r="N362" s="52"/>
      <c r="O362" s="52"/>
      <c r="P362" s="52"/>
      <c r="Q362" s="52"/>
      <c r="R362" s="169" t="s">
        <v>276</v>
      </c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170"/>
      <c r="AK362" s="140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141"/>
    </row>
    <row r="363" spans="2:61" ht="20.100000000000001" customHeight="1" x14ac:dyDescent="0.45">
      <c r="B363" s="168"/>
      <c r="C363" s="31"/>
      <c r="D363" s="31"/>
      <c r="E363" s="31"/>
      <c r="F363" s="31"/>
      <c r="G363" s="138"/>
      <c r="H363" s="139"/>
      <c r="I363" s="138"/>
      <c r="J363" s="169" t="s">
        <v>329</v>
      </c>
      <c r="K363" s="52"/>
      <c r="L363" s="52"/>
      <c r="M363" s="52"/>
      <c r="N363" s="52"/>
      <c r="O363" s="52"/>
      <c r="P363" s="52"/>
      <c r="Q363" s="52"/>
      <c r="R363" s="169" t="s">
        <v>277</v>
      </c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170"/>
      <c r="AK363" s="140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141"/>
    </row>
    <row r="364" spans="2:61" ht="20.100000000000001" customHeight="1" x14ac:dyDescent="0.45">
      <c r="B364" s="168"/>
      <c r="C364" s="31"/>
      <c r="D364" s="31"/>
      <c r="E364" s="31"/>
      <c r="F364" s="31"/>
      <c r="G364" s="138"/>
      <c r="H364" s="139"/>
      <c r="I364" s="138"/>
      <c r="J364" s="169" t="s">
        <v>298</v>
      </c>
      <c r="K364" s="52"/>
      <c r="L364" s="52"/>
      <c r="M364" s="52"/>
      <c r="N364" s="52"/>
      <c r="O364" s="52"/>
      <c r="P364" s="52"/>
      <c r="Q364" s="52"/>
      <c r="R364" s="176" t="s">
        <v>353</v>
      </c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170"/>
      <c r="AK364" s="140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141"/>
    </row>
    <row r="365" spans="2:61" ht="20.100000000000001" customHeight="1" x14ac:dyDescent="0.45">
      <c r="B365" s="168"/>
      <c r="C365" s="31"/>
      <c r="D365" s="31"/>
      <c r="E365" s="31"/>
      <c r="F365" s="31"/>
      <c r="G365" s="138"/>
      <c r="H365" s="139"/>
      <c r="I365" s="138"/>
      <c r="J365" s="169" t="s">
        <v>330</v>
      </c>
      <c r="K365" s="52"/>
      <c r="L365" s="52"/>
      <c r="M365" s="52"/>
      <c r="N365" s="52"/>
      <c r="O365" s="52"/>
      <c r="P365" s="52"/>
      <c r="Q365" s="52"/>
      <c r="R365" s="169" t="s">
        <v>279</v>
      </c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170"/>
      <c r="AK365" s="140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141"/>
    </row>
    <row r="366" spans="2:61" ht="20.100000000000001" customHeight="1" x14ac:dyDescent="0.45">
      <c r="B366" s="168"/>
      <c r="C366" s="31"/>
      <c r="D366" s="31"/>
      <c r="E366" s="31"/>
      <c r="F366" s="31"/>
      <c r="G366" s="138"/>
      <c r="H366" s="139"/>
      <c r="I366" s="138"/>
      <c r="J366" s="169" t="s">
        <v>301</v>
      </c>
      <c r="K366" s="52"/>
      <c r="L366" s="52"/>
      <c r="M366" s="52"/>
      <c r="N366" s="52"/>
      <c r="O366" s="52"/>
      <c r="P366" s="52"/>
      <c r="Q366" s="52"/>
      <c r="R366" s="169" t="s">
        <v>351</v>
      </c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170"/>
      <c r="AK366" s="140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141"/>
    </row>
    <row r="367" spans="2:61" ht="20.100000000000001" customHeight="1" x14ac:dyDescent="0.45">
      <c r="B367" s="168"/>
      <c r="C367" s="31"/>
      <c r="D367" s="31"/>
      <c r="E367" s="31"/>
      <c r="F367" s="31"/>
      <c r="G367" s="138"/>
      <c r="H367" s="139"/>
      <c r="I367" s="138"/>
      <c r="J367" s="169" t="s">
        <v>331</v>
      </c>
      <c r="K367" s="52"/>
      <c r="L367" s="52"/>
      <c r="M367" s="52"/>
      <c r="N367" s="52"/>
      <c r="O367" s="52"/>
      <c r="P367" s="52"/>
      <c r="Q367" s="52"/>
      <c r="R367" s="169" t="s">
        <v>280</v>
      </c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170"/>
      <c r="AK367" s="140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141"/>
    </row>
    <row r="368" spans="2:61" ht="20.100000000000001" customHeight="1" x14ac:dyDescent="0.45">
      <c r="B368" s="168"/>
      <c r="C368" s="31"/>
      <c r="D368" s="31"/>
      <c r="E368" s="31"/>
      <c r="F368" s="31"/>
      <c r="G368" s="138"/>
      <c r="H368" s="139"/>
      <c r="I368" s="138"/>
      <c r="J368" s="169" t="s">
        <v>302</v>
      </c>
      <c r="K368" s="52"/>
      <c r="L368" s="52"/>
      <c r="M368" s="52"/>
      <c r="N368" s="52"/>
      <c r="O368" s="52"/>
      <c r="P368" s="52"/>
      <c r="Q368" s="52"/>
      <c r="R368" s="176" t="s">
        <v>354</v>
      </c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170"/>
      <c r="AK368" s="140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141"/>
    </row>
    <row r="369" spans="2:61" ht="20.100000000000001" customHeight="1" x14ac:dyDescent="0.45">
      <c r="B369" s="168"/>
      <c r="C369" s="31"/>
      <c r="D369" s="31"/>
      <c r="E369" s="31"/>
      <c r="F369" s="31"/>
      <c r="G369" s="138"/>
      <c r="H369" s="139"/>
      <c r="I369" s="138"/>
      <c r="J369" s="169" t="s">
        <v>307</v>
      </c>
      <c r="K369" s="52"/>
      <c r="L369" s="52"/>
      <c r="M369" s="52"/>
      <c r="N369" s="52"/>
      <c r="O369" s="52"/>
      <c r="P369" s="52"/>
      <c r="Q369" s="52"/>
      <c r="R369" s="169" t="s">
        <v>282</v>
      </c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170"/>
      <c r="AK369" s="140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141"/>
    </row>
    <row r="370" spans="2:61" ht="20.100000000000001" customHeight="1" x14ac:dyDescent="0.45">
      <c r="B370" s="168"/>
      <c r="C370" s="31"/>
      <c r="D370" s="31"/>
      <c r="E370" s="31"/>
      <c r="F370" s="31"/>
      <c r="G370" s="138"/>
      <c r="H370" s="139"/>
      <c r="I370" s="138"/>
      <c r="J370" s="169" t="s">
        <v>309</v>
      </c>
      <c r="K370" s="52"/>
      <c r="L370" s="52"/>
      <c r="M370" s="52"/>
      <c r="N370" s="52"/>
      <c r="O370" s="52"/>
      <c r="P370" s="52"/>
      <c r="Q370" s="52"/>
      <c r="R370" s="169" t="s">
        <v>283</v>
      </c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170"/>
      <c r="AK370" s="140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141"/>
    </row>
    <row r="371" spans="2:61" ht="20.100000000000001" customHeight="1" x14ac:dyDescent="0.45">
      <c r="B371" s="168"/>
      <c r="C371" s="31"/>
      <c r="D371" s="31"/>
      <c r="E371" s="31"/>
      <c r="F371" s="31"/>
      <c r="G371" s="138"/>
      <c r="H371" s="139"/>
      <c r="I371" s="138"/>
      <c r="J371" s="169" t="s">
        <v>333</v>
      </c>
      <c r="K371" s="52"/>
      <c r="L371" s="52"/>
      <c r="M371" s="52"/>
      <c r="N371" s="52"/>
      <c r="O371" s="52"/>
      <c r="P371" s="52"/>
      <c r="Q371" s="52"/>
      <c r="R371" s="169" t="s">
        <v>284</v>
      </c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170"/>
      <c r="AK371" s="140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141"/>
    </row>
    <row r="372" spans="2:61" ht="20.100000000000001" customHeight="1" x14ac:dyDescent="0.45">
      <c r="B372" s="168"/>
      <c r="C372" s="31"/>
      <c r="D372" s="31"/>
      <c r="E372" s="31"/>
      <c r="F372" s="31"/>
      <c r="G372" s="138"/>
      <c r="H372" s="139"/>
      <c r="I372" s="138"/>
      <c r="J372" s="169" t="s">
        <v>305</v>
      </c>
      <c r="K372" s="52"/>
      <c r="L372" s="52"/>
      <c r="M372" s="52"/>
      <c r="N372" s="52"/>
      <c r="O372" s="52"/>
      <c r="P372" s="52"/>
      <c r="Q372" s="52"/>
      <c r="R372" s="169" t="s">
        <v>303</v>
      </c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170"/>
      <c r="AK372" s="140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141"/>
    </row>
    <row r="373" spans="2:61" ht="20.100000000000001" customHeight="1" x14ac:dyDescent="0.45">
      <c r="B373" s="168"/>
      <c r="C373" s="31"/>
      <c r="D373" s="31"/>
      <c r="E373" s="31"/>
      <c r="F373" s="31"/>
      <c r="G373" s="138"/>
      <c r="H373" s="139"/>
      <c r="I373" s="138"/>
      <c r="J373" s="169" t="s">
        <v>334</v>
      </c>
      <c r="K373" s="52"/>
      <c r="L373" s="52"/>
      <c r="M373" s="52"/>
      <c r="N373" s="52"/>
      <c r="O373" s="52"/>
      <c r="P373" s="52"/>
      <c r="Q373" s="52"/>
      <c r="R373" s="169" t="s">
        <v>285</v>
      </c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170"/>
      <c r="AK373" s="140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141"/>
    </row>
    <row r="374" spans="2:61" ht="20.100000000000001" customHeight="1" x14ac:dyDescent="0.45">
      <c r="B374" s="168"/>
      <c r="C374" s="31"/>
      <c r="D374" s="31"/>
      <c r="E374" s="31"/>
      <c r="F374" s="31"/>
      <c r="G374" s="138"/>
      <c r="H374" s="139"/>
      <c r="I374" s="138"/>
      <c r="J374" s="169" t="s">
        <v>335</v>
      </c>
      <c r="K374" s="52"/>
      <c r="L374" s="52"/>
      <c r="M374" s="52"/>
      <c r="N374" s="52"/>
      <c r="O374" s="52"/>
      <c r="P374" s="52"/>
      <c r="Q374" s="52"/>
      <c r="R374" s="169" t="s">
        <v>286</v>
      </c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170"/>
      <c r="AK374" s="140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141"/>
    </row>
    <row r="375" spans="2:61" ht="20.100000000000001" customHeight="1" x14ac:dyDescent="0.45">
      <c r="B375" s="168"/>
      <c r="C375" s="31"/>
      <c r="D375" s="31"/>
      <c r="E375" s="31"/>
      <c r="F375" s="31"/>
      <c r="G375" s="138"/>
      <c r="H375" s="139"/>
      <c r="I375" s="138"/>
      <c r="J375" s="169" t="s">
        <v>336</v>
      </c>
      <c r="K375" s="52"/>
      <c r="L375" s="52"/>
      <c r="M375" s="52"/>
      <c r="N375" s="52"/>
      <c r="O375" s="52"/>
      <c r="P375" s="52"/>
      <c r="Q375" s="52"/>
      <c r="R375" s="169" t="s">
        <v>287</v>
      </c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170"/>
      <c r="AK375" s="140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141"/>
    </row>
    <row r="376" spans="2:61" ht="20.100000000000001" customHeight="1" x14ac:dyDescent="0.45">
      <c r="B376" s="168"/>
      <c r="C376" s="31"/>
      <c r="D376" s="31"/>
      <c r="E376" s="31"/>
      <c r="F376" s="31"/>
      <c r="G376" s="138"/>
      <c r="H376" s="139"/>
      <c r="I376" s="138"/>
      <c r="J376" s="169" t="s">
        <v>337</v>
      </c>
      <c r="K376" s="52"/>
      <c r="L376" s="52"/>
      <c r="M376" s="52"/>
      <c r="N376" s="52"/>
      <c r="O376" s="52"/>
      <c r="P376" s="52"/>
      <c r="Q376" s="52"/>
      <c r="R376" s="169" t="s">
        <v>288</v>
      </c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170"/>
      <c r="AK376" s="140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141"/>
    </row>
    <row r="377" spans="2:61" ht="20.100000000000001" customHeight="1" x14ac:dyDescent="0.45">
      <c r="B377" s="168"/>
      <c r="C377" s="31"/>
      <c r="D377" s="31"/>
      <c r="E377" s="31"/>
      <c r="F377" s="31"/>
      <c r="G377" s="138"/>
      <c r="H377" s="139"/>
      <c r="I377" s="138"/>
      <c r="J377" s="169" t="s">
        <v>338</v>
      </c>
      <c r="K377" s="52"/>
      <c r="L377" s="52"/>
      <c r="M377" s="52"/>
      <c r="N377" s="52"/>
      <c r="O377" s="52"/>
      <c r="P377" s="52"/>
      <c r="Q377" s="52"/>
      <c r="R377" s="169" t="s">
        <v>289</v>
      </c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170"/>
      <c r="AK377" s="140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141"/>
    </row>
    <row r="378" spans="2:61" ht="20.100000000000001" customHeight="1" x14ac:dyDescent="0.45">
      <c r="B378" s="168"/>
      <c r="C378" s="31"/>
      <c r="D378" s="31"/>
      <c r="E378" s="31"/>
      <c r="F378" s="31"/>
      <c r="G378" s="138"/>
      <c r="H378" s="139"/>
      <c r="I378" s="138"/>
      <c r="J378" s="169" t="s">
        <v>339</v>
      </c>
      <c r="K378" s="52"/>
      <c r="L378" s="52"/>
      <c r="M378" s="52"/>
      <c r="N378" s="52"/>
      <c r="O378" s="52"/>
      <c r="P378" s="52"/>
      <c r="Q378" s="52"/>
      <c r="R378" s="169" t="s">
        <v>290</v>
      </c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170"/>
      <c r="AK378" s="140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141"/>
    </row>
    <row r="379" spans="2:61" ht="20.100000000000001" customHeight="1" x14ac:dyDescent="0.45">
      <c r="B379" s="168"/>
      <c r="C379" s="31"/>
      <c r="D379" s="31"/>
      <c r="E379" s="31"/>
      <c r="F379" s="31"/>
      <c r="G379" s="138"/>
      <c r="H379" s="139"/>
      <c r="I379" s="138"/>
      <c r="J379" s="142" t="s">
        <v>340</v>
      </c>
      <c r="K379" s="55"/>
      <c r="L379" s="55"/>
      <c r="M379" s="55"/>
      <c r="N379" s="55"/>
      <c r="O379" s="55"/>
      <c r="P379" s="55"/>
      <c r="Q379" s="170"/>
      <c r="R379" s="185" t="s">
        <v>624</v>
      </c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175"/>
      <c r="AK379" s="140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141"/>
    </row>
    <row r="380" spans="2:61" ht="20.100000000000001" customHeight="1" x14ac:dyDescent="0.45">
      <c r="B380" s="168"/>
      <c r="C380" s="31"/>
      <c r="D380" s="31"/>
      <c r="E380" s="31"/>
      <c r="F380" s="31"/>
      <c r="G380" s="138"/>
      <c r="H380" s="142" t="s">
        <v>145</v>
      </c>
      <c r="I380" s="55"/>
      <c r="J380" s="142" t="s">
        <v>359</v>
      </c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143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144"/>
    </row>
    <row r="381" spans="2:61" ht="20.100000000000001" customHeight="1" x14ac:dyDescent="0.45">
      <c r="B381" s="137"/>
      <c r="C381" s="31"/>
      <c r="D381" s="31"/>
      <c r="E381" s="31"/>
      <c r="F381" s="31"/>
      <c r="G381" s="138"/>
      <c r="H381" s="139"/>
      <c r="I381" s="31"/>
      <c r="J381" s="139" t="s">
        <v>360</v>
      </c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140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141"/>
    </row>
    <row r="382" spans="2:61" ht="20.100000000000001" customHeight="1" x14ac:dyDescent="0.45">
      <c r="B382" s="137"/>
      <c r="C382" s="31"/>
      <c r="D382" s="31"/>
      <c r="E382" s="31"/>
      <c r="F382" s="31"/>
      <c r="G382" s="138"/>
      <c r="H382" s="139"/>
      <c r="I382" s="31"/>
      <c r="J382" s="139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140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141"/>
    </row>
    <row r="383" spans="2:61" ht="20.100000000000001" customHeight="1" x14ac:dyDescent="0.45">
      <c r="B383" s="137"/>
      <c r="C383" s="31"/>
      <c r="D383" s="31"/>
      <c r="E383" s="31"/>
      <c r="F383" s="31"/>
      <c r="G383" s="138"/>
      <c r="H383" s="142" t="s">
        <v>146</v>
      </c>
      <c r="I383" s="55"/>
      <c r="J383" s="142" t="s">
        <v>174</v>
      </c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143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  <c r="BI383" s="144"/>
    </row>
    <row r="384" spans="2:61" ht="20.100000000000001" customHeight="1" x14ac:dyDescent="0.45">
      <c r="B384" s="137"/>
      <c r="C384" s="31"/>
      <c r="D384" s="31"/>
      <c r="E384" s="31"/>
      <c r="F384" s="31"/>
      <c r="G384" s="138"/>
      <c r="H384" s="139"/>
      <c r="I384" s="31"/>
      <c r="J384" s="139"/>
      <c r="K384" s="31" t="s">
        <v>175</v>
      </c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140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141"/>
    </row>
    <row r="385" spans="2:61" ht="20.100000000000001" customHeight="1" x14ac:dyDescent="0.45">
      <c r="B385" s="137"/>
      <c r="C385" s="31"/>
      <c r="D385" s="31"/>
      <c r="E385" s="31"/>
      <c r="F385" s="31"/>
      <c r="G385" s="138"/>
      <c r="H385" s="139"/>
      <c r="I385" s="31"/>
      <c r="J385" s="139"/>
      <c r="K385" s="31"/>
      <c r="M385" s="31" t="s">
        <v>212</v>
      </c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140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141"/>
    </row>
    <row r="386" spans="2:61" ht="20.100000000000001" customHeight="1" x14ac:dyDescent="0.45">
      <c r="B386" s="137"/>
      <c r="C386" s="31"/>
      <c r="D386" s="31"/>
      <c r="E386" s="31"/>
      <c r="F386" s="31"/>
      <c r="G386" s="138"/>
      <c r="H386" s="139"/>
      <c r="I386" s="31"/>
      <c r="J386" s="139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140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141"/>
    </row>
    <row r="387" spans="2:61" ht="20.100000000000001" customHeight="1" x14ac:dyDescent="0.45">
      <c r="B387" s="137"/>
      <c r="C387" s="31"/>
      <c r="D387" s="31"/>
      <c r="E387" s="31"/>
      <c r="F387" s="31"/>
      <c r="G387" s="138"/>
      <c r="H387" s="139"/>
      <c r="I387" s="31"/>
      <c r="J387" s="139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140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141"/>
    </row>
    <row r="388" spans="2:61" ht="20.100000000000001" customHeight="1" x14ac:dyDescent="0.45">
      <c r="B388" s="137"/>
      <c r="C388" s="31"/>
      <c r="D388" s="31"/>
      <c r="E388" s="31"/>
      <c r="F388" s="31"/>
      <c r="G388" s="138"/>
      <c r="H388" s="145"/>
      <c r="I388" s="146"/>
      <c r="J388" s="145"/>
      <c r="K388" s="146"/>
      <c r="L388" s="146"/>
      <c r="M388" s="146"/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7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  <c r="AW388" s="146"/>
      <c r="AX388" s="146"/>
      <c r="AY388" s="146"/>
      <c r="AZ388" s="146"/>
      <c r="BA388" s="146"/>
      <c r="BB388" s="146"/>
      <c r="BC388" s="146"/>
      <c r="BD388" s="146"/>
      <c r="BE388" s="146"/>
      <c r="BF388" s="146"/>
      <c r="BG388" s="146"/>
      <c r="BH388" s="146"/>
      <c r="BI388" s="148"/>
    </row>
    <row r="389" spans="2:61" ht="20.100000000000001" customHeight="1" x14ac:dyDescent="0.45">
      <c r="B389" s="137"/>
      <c r="C389" s="31"/>
      <c r="D389" s="31"/>
      <c r="E389" s="31"/>
      <c r="F389" s="31"/>
      <c r="G389" s="138"/>
      <c r="H389" s="142" t="s">
        <v>147</v>
      </c>
      <c r="I389" s="55"/>
      <c r="J389" s="139"/>
      <c r="K389" s="55" t="s">
        <v>210</v>
      </c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140"/>
      <c r="AL389" s="31"/>
      <c r="AM389" s="31"/>
      <c r="AN389" s="31"/>
      <c r="AO389" s="31"/>
      <c r="AP389" s="31"/>
      <c r="AQ389" s="31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  <c r="BI389" s="144"/>
    </row>
    <row r="390" spans="2:61" ht="20.100000000000001" customHeight="1" x14ac:dyDescent="0.45">
      <c r="B390" s="137"/>
      <c r="C390" s="31"/>
      <c r="D390" s="31"/>
      <c r="E390" s="31"/>
      <c r="F390" s="31"/>
      <c r="G390" s="138"/>
      <c r="H390" s="139"/>
      <c r="I390" s="31"/>
      <c r="J390" s="139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140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141"/>
    </row>
    <row r="391" spans="2:61" ht="20.100000000000001" customHeight="1" x14ac:dyDescent="0.45">
      <c r="B391" s="137"/>
      <c r="C391" s="31"/>
      <c r="D391" s="31"/>
      <c r="E391" s="31"/>
      <c r="F391" s="31"/>
      <c r="G391" s="138"/>
      <c r="H391" s="139"/>
      <c r="I391" s="31"/>
      <c r="J391" s="139" t="s">
        <v>196</v>
      </c>
      <c r="K391" s="31" t="s">
        <v>184</v>
      </c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139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141"/>
    </row>
    <row r="392" spans="2:61" ht="20.100000000000001" customHeight="1" x14ac:dyDescent="0.45">
      <c r="B392" s="137"/>
      <c r="C392" s="31"/>
      <c r="D392" s="31"/>
      <c r="E392" s="31"/>
      <c r="F392" s="31"/>
      <c r="G392" s="138"/>
      <c r="H392" s="139"/>
      <c r="I392" s="31"/>
      <c r="J392" s="139"/>
      <c r="K392" s="31"/>
      <c r="L392" s="31"/>
      <c r="M392" s="31" t="s">
        <v>215</v>
      </c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139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141"/>
    </row>
    <row r="393" spans="2:61" ht="20.100000000000001" customHeight="1" x14ac:dyDescent="0.45">
      <c r="B393" s="137"/>
      <c r="C393" s="31"/>
      <c r="D393" s="31"/>
      <c r="E393" s="31"/>
      <c r="F393" s="31"/>
      <c r="G393" s="138"/>
      <c r="H393" s="139"/>
      <c r="I393" s="31"/>
      <c r="J393" s="139"/>
      <c r="K393" s="31"/>
      <c r="L393" s="31" t="s">
        <v>186</v>
      </c>
      <c r="M393" s="31" t="s">
        <v>216</v>
      </c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139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141"/>
    </row>
    <row r="394" spans="2:61" ht="20.100000000000001" customHeight="1" x14ac:dyDescent="0.45">
      <c r="B394" s="137"/>
      <c r="C394" s="31"/>
      <c r="D394" s="31"/>
      <c r="E394" s="31"/>
      <c r="F394" s="31"/>
      <c r="G394" s="138"/>
      <c r="H394" s="139"/>
      <c r="I394" s="31"/>
      <c r="J394" s="139"/>
      <c r="K394" s="31" t="s">
        <v>200</v>
      </c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139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141"/>
    </row>
    <row r="395" spans="2:61" ht="20.100000000000001" customHeight="1" x14ac:dyDescent="0.45">
      <c r="B395" s="137"/>
      <c r="C395" s="31"/>
      <c r="D395" s="31"/>
      <c r="E395" s="31"/>
      <c r="F395" s="31"/>
      <c r="G395" s="138"/>
      <c r="H395" s="139"/>
      <c r="I395" s="31"/>
      <c r="J395" s="139" t="s">
        <v>185</v>
      </c>
      <c r="K395" s="31" t="s">
        <v>188</v>
      </c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139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141"/>
    </row>
    <row r="396" spans="2:61" ht="20.100000000000001" customHeight="1" x14ac:dyDescent="0.45">
      <c r="B396" s="137"/>
      <c r="C396" s="31"/>
      <c r="D396" s="31"/>
      <c r="E396" s="31"/>
      <c r="F396" s="31"/>
      <c r="G396" s="138"/>
      <c r="H396" s="139"/>
      <c r="I396" s="31"/>
      <c r="J396" s="139"/>
      <c r="K396" s="31"/>
      <c r="L396" s="31" t="s">
        <v>188</v>
      </c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139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141"/>
    </row>
    <row r="397" spans="2:61" ht="20.100000000000001" customHeight="1" x14ac:dyDescent="0.45">
      <c r="B397" s="137"/>
      <c r="C397" s="31"/>
      <c r="D397" s="31"/>
      <c r="E397" s="31"/>
      <c r="F397" s="31"/>
      <c r="G397" s="138"/>
      <c r="H397" s="139"/>
      <c r="I397" s="31"/>
      <c r="J397" s="139"/>
      <c r="K397" s="31"/>
      <c r="L397" s="31"/>
      <c r="M397" s="31"/>
      <c r="N397" s="31" t="s">
        <v>202</v>
      </c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139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141"/>
    </row>
    <row r="398" spans="2:61" ht="20.100000000000001" customHeight="1" x14ac:dyDescent="0.45">
      <c r="B398" s="137"/>
      <c r="C398" s="31"/>
      <c r="D398" s="31"/>
      <c r="E398" s="31"/>
      <c r="F398" s="31"/>
      <c r="G398" s="138"/>
      <c r="H398" s="139"/>
      <c r="I398" s="31"/>
      <c r="J398" s="139"/>
      <c r="K398" s="31"/>
      <c r="L398" s="31" t="s">
        <v>187</v>
      </c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139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141"/>
    </row>
    <row r="399" spans="2:61" ht="20.100000000000001" customHeight="1" x14ac:dyDescent="0.45">
      <c r="B399" s="137"/>
      <c r="C399" s="31"/>
      <c r="D399" s="31"/>
      <c r="E399" s="31"/>
      <c r="F399" s="31"/>
      <c r="G399" s="138"/>
      <c r="H399" s="139"/>
      <c r="I399" s="31"/>
      <c r="J399" s="139"/>
      <c r="K399" s="31" t="s">
        <v>195</v>
      </c>
      <c r="L399" s="31" t="s">
        <v>201</v>
      </c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139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141"/>
    </row>
    <row r="400" spans="2:61" ht="20.100000000000001" customHeight="1" x14ac:dyDescent="0.45">
      <c r="B400" s="137"/>
      <c r="C400" s="31"/>
      <c r="D400" s="31"/>
      <c r="E400" s="31"/>
      <c r="F400" s="31"/>
      <c r="G400" s="138"/>
      <c r="H400" s="139"/>
      <c r="I400" s="31"/>
      <c r="J400" s="139"/>
      <c r="K400" s="31"/>
      <c r="L400" s="31"/>
      <c r="M400" s="31"/>
      <c r="N400" s="31" t="s">
        <v>207</v>
      </c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139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141"/>
    </row>
    <row r="401" spans="2:61" ht="20.100000000000001" customHeight="1" x14ac:dyDescent="0.45">
      <c r="B401" s="137"/>
      <c r="C401" s="31"/>
      <c r="D401" s="31"/>
      <c r="E401" s="31"/>
      <c r="F401" s="31"/>
      <c r="G401" s="138"/>
      <c r="H401" s="139"/>
      <c r="I401" s="31"/>
      <c r="J401" s="139"/>
      <c r="K401" s="31"/>
      <c r="L401" s="31" t="s">
        <v>198</v>
      </c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139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141"/>
    </row>
    <row r="402" spans="2:61" ht="20.100000000000001" customHeight="1" thickBot="1" x14ac:dyDescent="0.5">
      <c r="B402" s="137"/>
      <c r="C402" s="31"/>
      <c r="D402" s="31"/>
      <c r="E402" s="31"/>
      <c r="F402" s="31"/>
      <c r="G402" s="138"/>
      <c r="H402" s="139"/>
      <c r="I402" s="31"/>
      <c r="J402" s="139"/>
      <c r="K402" s="31" t="s">
        <v>198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139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141"/>
    </row>
    <row r="403" spans="2:61" ht="20.100000000000001" customHeight="1" x14ac:dyDescent="0.45">
      <c r="B403" s="131" t="s">
        <v>387</v>
      </c>
      <c r="C403" s="132"/>
      <c r="D403" s="132"/>
      <c r="E403" s="132"/>
      <c r="F403" s="132"/>
      <c r="G403" s="133"/>
      <c r="H403" s="173" t="s">
        <v>237</v>
      </c>
      <c r="I403" s="167"/>
      <c r="J403" s="173" t="s">
        <v>372</v>
      </c>
      <c r="K403" s="166"/>
      <c r="L403" s="166"/>
      <c r="M403" s="166"/>
      <c r="N403" s="166"/>
      <c r="O403" s="166"/>
      <c r="P403" s="166"/>
      <c r="Q403" s="166"/>
      <c r="R403" s="173" t="s">
        <v>373</v>
      </c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  <c r="AI403" s="166"/>
      <c r="AJ403" s="167"/>
      <c r="AK403" s="179"/>
      <c r="AL403" s="166"/>
      <c r="AM403" s="166"/>
      <c r="AN403" s="166"/>
      <c r="AO403" s="166"/>
      <c r="AP403" s="166"/>
      <c r="AQ403" s="166"/>
      <c r="AR403" s="166"/>
      <c r="AS403" s="166"/>
      <c r="AT403" s="166"/>
      <c r="AU403" s="166"/>
      <c r="AV403" s="166"/>
      <c r="AW403" s="166"/>
      <c r="AX403" s="166"/>
      <c r="AY403" s="166"/>
      <c r="AZ403" s="166"/>
      <c r="BA403" s="166"/>
      <c r="BB403" s="166"/>
      <c r="BC403" s="166"/>
      <c r="BD403" s="166"/>
      <c r="BE403" s="166"/>
      <c r="BF403" s="166"/>
      <c r="BG403" s="166"/>
      <c r="BH403" s="166"/>
      <c r="BI403" s="180"/>
    </row>
    <row r="404" spans="2:61" ht="20.100000000000001" customHeight="1" x14ac:dyDescent="0.45">
      <c r="B404" s="168"/>
      <c r="C404" s="31"/>
      <c r="D404" s="31"/>
      <c r="E404" s="31"/>
      <c r="F404" s="31"/>
      <c r="G404" s="138"/>
      <c r="H404" s="139" t="s">
        <v>145</v>
      </c>
      <c r="I404" s="31"/>
      <c r="J404" s="139" t="s">
        <v>175</v>
      </c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140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141"/>
    </row>
    <row r="405" spans="2:61" ht="20.100000000000001" customHeight="1" x14ac:dyDescent="0.45">
      <c r="B405" s="137"/>
      <c r="C405" s="31"/>
      <c r="D405" s="31"/>
      <c r="E405" s="31"/>
      <c r="F405" s="31"/>
      <c r="G405" s="138"/>
      <c r="H405" s="139"/>
      <c r="I405" s="31"/>
      <c r="J405" s="139" t="s">
        <v>167</v>
      </c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140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141"/>
    </row>
    <row r="406" spans="2:61" ht="20.100000000000001" customHeight="1" x14ac:dyDescent="0.45">
      <c r="B406" s="137"/>
      <c r="C406" s="31"/>
      <c r="D406" s="31"/>
      <c r="E406" s="31"/>
      <c r="F406" s="31"/>
      <c r="G406" s="138"/>
      <c r="H406" s="142" t="s">
        <v>146</v>
      </c>
      <c r="I406" s="55"/>
      <c r="J406" s="142" t="s">
        <v>177</v>
      </c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  <c r="AA406" s="55"/>
      <c r="AB406" s="55"/>
      <c r="AC406" s="55"/>
      <c r="AD406" s="55"/>
      <c r="AE406" s="55"/>
      <c r="AF406" s="55"/>
      <c r="AG406" s="55"/>
      <c r="AH406" s="55"/>
      <c r="AI406" s="55"/>
      <c r="AJ406" s="55"/>
      <c r="AK406" s="143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55"/>
      <c r="BI406" s="144"/>
    </row>
    <row r="407" spans="2:61" ht="20.100000000000001" customHeight="1" x14ac:dyDescent="0.45">
      <c r="B407" s="137"/>
      <c r="C407" s="31"/>
      <c r="D407" s="31"/>
      <c r="E407" s="31"/>
      <c r="F407" s="31"/>
      <c r="G407" s="138"/>
      <c r="H407" s="139"/>
      <c r="I407" s="31"/>
      <c r="J407" s="139"/>
      <c r="K407" s="31" t="s">
        <v>189</v>
      </c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140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141"/>
    </row>
    <row r="408" spans="2:61" ht="20.100000000000001" customHeight="1" x14ac:dyDescent="0.45">
      <c r="B408" s="137"/>
      <c r="C408" s="31"/>
      <c r="D408" s="31"/>
      <c r="E408" s="31"/>
      <c r="F408" s="31"/>
      <c r="G408" s="138"/>
      <c r="H408" s="139"/>
      <c r="I408" s="31"/>
      <c r="J408" s="139"/>
      <c r="K408" s="31"/>
      <c r="L408" s="31"/>
      <c r="M408" s="31" t="s">
        <v>231</v>
      </c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140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141"/>
    </row>
    <row r="409" spans="2:61" ht="20.100000000000001" customHeight="1" x14ac:dyDescent="0.45">
      <c r="B409" s="137"/>
      <c r="C409" s="31"/>
      <c r="D409" s="31"/>
      <c r="E409" s="31"/>
      <c r="F409" s="31"/>
      <c r="G409" s="138"/>
      <c r="H409" s="142" t="s">
        <v>147</v>
      </c>
      <c r="I409" s="55"/>
      <c r="J409" s="142"/>
      <c r="K409" s="55" t="s">
        <v>223</v>
      </c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  <c r="AA409" s="55"/>
      <c r="AB409" s="55"/>
      <c r="AC409" s="55"/>
      <c r="AD409" s="55"/>
      <c r="AE409" s="55"/>
      <c r="AF409" s="55"/>
      <c r="AG409" s="55"/>
      <c r="AH409" s="55"/>
      <c r="AI409" s="55"/>
      <c r="AJ409" s="55"/>
      <c r="AK409" s="143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55"/>
      <c r="BI409" s="144"/>
    </row>
    <row r="410" spans="2:61" ht="20.100000000000001" customHeight="1" x14ac:dyDescent="0.45">
      <c r="B410" s="137"/>
      <c r="C410" s="31"/>
      <c r="D410" s="31"/>
      <c r="E410" s="31"/>
      <c r="F410" s="31"/>
      <c r="G410" s="138"/>
      <c r="H410" s="139"/>
      <c r="I410" s="31"/>
      <c r="J410" s="139" t="s">
        <v>185</v>
      </c>
      <c r="K410" s="31" t="s">
        <v>213</v>
      </c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139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141"/>
    </row>
    <row r="411" spans="2:61" ht="20.100000000000001" customHeight="1" x14ac:dyDescent="0.45">
      <c r="B411" s="137"/>
      <c r="C411" s="31"/>
      <c r="D411" s="31"/>
      <c r="E411" s="31"/>
      <c r="F411" s="31"/>
      <c r="G411" s="138"/>
      <c r="H411" s="139"/>
      <c r="I411" s="31"/>
      <c r="J411" s="139" t="s">
        <v>185</v>
      </c>
      <c r="K411" s="31" t="s">
        <v>232</v>
      </c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139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141"/>
    </row>
    <row r="412" spans="2:61" ht="20.100000000000001" customHeight="1" x14ac:dyDescent="0.45">
      <c r="B412" s="137"/>
      <c r="C412" s="31"/>
      <c r="D412" s="31"/>
      <c r="E412" s="31"/>
      <c r="F412" s="31"/>
      <c r="G412" s="138"/>
      <c r="H412" s="139"/>
      <c r="I412" s="31"/>
      <c r="J412" s="139" t="s">
        <v>185</v>
      </c>
      <c r="K412" s="31" t="s">
        <v>225</v>
      </c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139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141"/>
    </row>
    <row r="413" spans="2:61" ht="20.100000000000001" customHeight="1" thickBot="1" x14ac:dyDescent="0.5">
      <c r="B413" s="137"/>
      <c r="C413" s="31"/>
      <c r="D413" s="31"/>
      <c r="E413" s="31"/>
      <c r="F413" s="31"/>
      <c r="G413" s="138"/>
      <c r="H413" s="162" t="s">
        <v>190</v>
      </c>
      <c r="I413" s="163"/>
      <c r="J413" s="162" t="s">
        <v>217</v>
      </c>
      <c r="K413" s="163"/>
      <c r="L413" s="163"/>
      <c r="M413" s="163"/>
      <c r="N413" s="163"/>
      <c r="O413" s="163"/>
      <c r="P413" s="163"/>
      <c r="Q413" s="163"/>
      <c r="R413" s="163"/>
      <c r="S413" s="163"/>
      <c r="T413" s="163"/>
      <c r="U413" s="163"/>
      <c r="V413" s="163"/>
      <c r="W413" s="163"/>
      <c r="X413" s="163"/>
      <c r="Y413" s="163"/>
      <c r="Z413" s="163"/>
      <c r="AA413" s="163"/>
      <c r="AB413" s="163"/>
      <c r="AC413" s="163"/>
      <c r="AD413" s="163"/>
      <c r="AE413" s="163"/>
      <c r="AF413" s="163"/>
      <c r="AG413" s="163"/>
      <c r="AH413" s="163"/>
      <c r="AI413" s="163"/>
      <c r="AJ413" s="163"/>
      <c r="AK413" s="162"/>
      <c r="AL413" s="163"/>
      <c r="AM413" s="163"/>
      <c r="AN413" s="163"/>
      <c r="AO413" s="163"/>
      <c r="AP413" s="163"/>
      <c r="AQ413" s="163"/>
      <c r="AR413" s="163"/>
      <c r="AS413" s="163"/>
      <c r="AT413" s="163"/>
      <c r="AU413" s="163"/>
      <c r="AV413" s="163"/>
      <c r="AW413" s="163"/>
      <c r="AX413" s="163"/>
      <c r="AY413" s="163"/>
      <c r="AZ413" s="163"/>
      <c r="BA413" s="163"/>
      <c r="BB413" s="163"/>
      <c r="BC413" s="163"/>
      <c r="BD413" s="163"/>
      <c r="BE413" s="163"/>
      <c r="BF413" s="163"/>
      <c r="BG413" s="163"/>
      <c r="BH413" s="163"/>
      <c r="BI413" s="164"/>
    </row>
    <row r="414" spans="2:61" ht="20.100000000000001" customHeight="1" x14ac:dyDescent="0.45">
      <c r="B414" s="131" t="s">
        <v>388</v>
      </c>
      <c r="C414" s="132"/>
      <c r="D414" s="132"/>
      <c r="E414" s="132"/>
      <c r="F414" s="132"/>
      <c r="G414" s="133"/>
      <c r="H414" s="134" t="s">
        <v>237</v>
      </c>
      <c r="I414" s="133"/>
      <c r="J414" s="134" t="s">
        <v>374</v>
      </c>
      <c r="K414" s="132"/>
      <c r="L414" s="132"/>
      <c r="M414" s="132"/>
      <c r="N414" s="132"/>
      <c r="O414" s="132"/>
      <c r="P414" s="132"/>
      <c r="Q414" s="132"/>
      <c r="R414" s="134" t="s">
        <v>375</v>
      </c>
      <c r="S414" s="132"/>
      <c r="T414" s="132"/>
      <c r="U414" s="132"/>
      <c r="V414" s="132"/>
      <c r="W414" s="132"/>
      <c r="X414" s="132"/>
      <c r="Y414" s="132"/>
      <c r="Z414" s="132"/>
      <c r="AA414" s="132"/>
      <c r="AB414" s="132"/>
      <c r="AC414" s="132"/>
      <c r="AD414" s="132"/>
      <c r="AE414" s="132"/>
      <c r="AF414" s="132"/>
      <c r="AG414" s="132"/>
      <c r="AH414" s="132"/>
      <c r="AI414" s="132"/>
      <c r="AJ414" s="133"/>
      <c r="AK414" s="135"/>
      <c r="AL414" s="132"/>
      <c r="AM414" s="132"/>
      <c r="AN414" s="132"/>
      <c r="AO414" s="132"/>
      <c r="AP414" s="132"/>
      <c r="AQ414" s="132"/>
      <c r="AR414" s="132"/>
      <c r="AS414" s="132"/>
      <c r="AT414" s="132"/>
      <c r="AU414" s="132"/>
      <c r="AV414" s="132"/>
      <c r="AW414" s="132"/>
      <c r="AX414" s="132"/>
      <c r="AY414" s="132"/>
      <c r="AZ414" s="132"/>
      <c r="BA414" s="132"/>
      <c r="BB414" s="132"/>
      <c r="BC414" s="132"/>
      <c r="BD414" s="132"/>
      <c r="BE414" s="132"/>
      <c r="BF414" s="132"/>
      <c r="BG414" s="132"/>
      <c r="BH414" s="132"/>
      <c r="BI414" s="136"/>
    </row>
    <row r="415" spans="2:61" ht="20.100000000000001" customHeight="1" x14ac:dyDescent="0.45">
      <c r="B415" s="168"/>
      <c r="C415" s="31"/>
      <c r="D415" s="31"/>
      <c r="E415" s="31"/>
      <c r="F415" s="31"/>
      <c r="G415" s="138"/>
      <c r="H415" s="142" t="s">
        <v>145</v>
      </c>
      <c r="I415" s="55"/>
      <c r="J415" s="142" t="s">
        <v>194</v>
      </c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  <c r="AA415" s="55"/>
      <c r="AB415" s="55"/>
      <c r="AC415" s="55"/>
      <c r="AD415" s="55"/>
      <c r="AE415" s="55"/>
      <c r="AF415" s="55"/>
      <c r="AG415" s="55"/>
      <c r="AH415" s="55"/>
      <c r="AI415" s="55"/>
      <c r="AJ415" s="55"/>
      <c r="AK415" s="143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55"/>
      <c r="BI415" s="144"/>
    </row>
    <row r="416" spans="2:61" ht="20.100000000000001" customHeight="1" x14ac:dyDescent="0.45">
      <c r="B416" s="137"/>
      <c r="C416" s="31"/>
      <c r="D416" s="31"/>
      <c r="E416" s="31"/>
      <c r="F416" s="31"/>
      <c r="G416" s="138"/>
      <c r="H416" s="142" t="s">
        <v>147</v>
      </c>
      <c r="I416" s="55"/>
      <c r="J416" s="142"/>
      <c r="K416" s="55" t="s">
        <v>223</v>
      </c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  <c r="AA416" s="55"/>
      <c r="AB416" s="55"/>
      <c r="AC416" s="55"/>
      <c r="AD416" s="55"/>
      <c r="AE416" s="55"/>
      <c r="AF416" s="55"/>
      <c r="AG416" s="55"/>
      <c r="AH416" s="55"/>
      <c r="AI416" s="55"/>
      <c r="AJ416" s="55"/>
      <c r="AK416" s="143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55"/>
      <c r="BI416" s="144"/>
    </row>
    <row r="417" spans="2:61" ht="20.100000000000001" customHeight="1" x14ac:dyDescent="0.45">
      <c r="B417" s="137"/>
      <c r="C417" s="31"/>
      <c r="D417" s="31"/>
      <c r="E417" s="31"/>
      <c r="F417" s="31"/>
      <c r="G417" s="138"/>
      <c r="H417" s="139"/>
      <c r="I417" s="31"/>
      <c r="J417" s="139" t="s">
        <v>185</v>
      </c>
      <c r="K417" s="31" t="s">
        <v>631</v>
      </c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139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141"/>
    </row>
    <row r="418" spans="2:61" ht="20.100000000000001" customHeight="1" x14ac:dyDescent="0.45">
      <c r="B418" s="137"/>
      <c r="C418" s="31"/>
      <c r="D418" s="31"/>
      <c r="E418" s="31"/>
      <c r="F418" s="31"/>
      <c r="G418" s="138"/>
      <c r="H418" s="139"/>
      <c r="I418" s="31"/>
      <c r="J418" s="139" t="s">
        <v>185</v>
      </c>
      <c r="K418" s="31" t="s">
        <v>225</v>
      </c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139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141"/>
    </row>
    <row r="419" spans="2:61" ht="20.100000000000001" customHeight="1" thickBot="1" x14ac:dyDescent="0.5">
      <c r="B419" s="137"/>
      <c r="C419" s="31"/>
      <c r="D419" s="31"/>
      <c r="E419" s="31"/>
      <c r="F419" s="31"/>
      <c r="G419" s="138"/>
      <c r="H419" s="162" t="s">
        <v>197</v>
      </c>
      <c r="I419" s="163"/>
      <c r="J419" s="162" t="s">
        <v>217</v>
      </c>
      <c r="K419" s="163"/>
      <c r="L419" s="163"/>
      <c r="M419" s="163"/>
      <c r="N419" s="163"/>
      <c r="O419" s="163"/>
      <c r="P419" s="163"/>
      <c r="Q419" s="163"/>
      <c r="R419" s="163"/>
      <c r="S419" s="163"/>
      <c r="T419" s="163"/>
      <c r="U419" s="163"/>
      <c r="V419" s="163"/>
      <c r="W419" s="163"/>
      <c r="X419" s="163"/>
      <c r="Y419" s="163"/>
      <c r="Z419" s="163"/>
      <c r="AA419" s="163"/>
      <c r="AB419" s="163"/>
      <c r="AC419" s="163"/>
      <c r="AD419" s="163"/>
      <c r="AE419" s="163"/>
      <c r="AF419" s="163"/>
      <c r="AG419" s="163"/>
      <c r="AH419" s="163"/>
      <c r="AI419" s="163"/>
      <c r="AJ419" s="163"/>
      <c r="AK419" s="162"/>
      <c r="AL419" s="163"/>
      <c r="AM419" s="163"/>
      <c r="AN419" s="163"/>
      <c r="AO419" s="163"/>
      <c r="AP419" s="163"/>
      <c r="AQ419" s="163"/>
      <c r="AR419" s="163"/>
      <c r="AS419" s="163"/>
      <c r="AT419" s="163"/>
      <c r="AU419" s="163"/>
      <c r="AV419" s="163"/>
      <c r="AW419" s="163"/>
      <c r="AX419" s="163"/>
      <c r="AY419" s="163"/>
      <c r="AZ419" s="163"/>
      <c r="BA419" s="163"/>
      <c r="BB419" s="163"/>
      <c r="BC419" s="163"/>
      <c r="BD419" s="163"/>
      <c r="BE419" s="163"/>
      <c r="BF419" s="163"/>
      <c r="BG419" s="163"/>
      <c r="BH419" s="163"/>
      <c r="BI419" s="164"/>
    </row>
    <row r="420" spans="2:61" ht="20.100000000000001" customHeight="1" x14ac:dyDescent="0.45">
      <c r="B420" s="131" t="s">
        <v>389</v>
      </c>
      <c r="C420" s="132"/>
      <c r="D420" s="132"/>
      <c r="E420" s="132"/>
      <c r="F420" s="132"/>
      <c r="G420" s="133"/>
      <c r="H420" s="173" t="s">
        <v>237</v>
      </c>
      <c r="I420" s="167"/>
      <c r="J420" s="173" t="s">
        <v>376</v>
      </c>
      <c r="K420" s="166"/>
      <c r="L420" s="166"/>
      <c r="M420" s="166"/>
      <c r="N420" s="166"/>
      <c r="O420" s="166"/>
      <c r="P420" s="166"/>
      <c r="Q420" s="166"/>
      <c r="R420" s="173" t="s">
        <v>377</v>
      </c>
      <c r="S420" s="166"/>
      <c r="T420" s="166"/>
      <c r="U420" s="166"/>
      <c r="V420" s="166"/>
      <c r="W420" s="166"/>
      <c r="X420" s="166"/>
      <c r="Y420" s="166"/>
      <c r="Z420" s="166"/>
      <c r="AA420" s="166"/>
      <c r="AB420" s="166"/>
      <c r="AC420" s="166"/>
      <c r="AD420" s="166"/>
      <c r="AE420" s="166"/>
      <c r="AF420" s="166"/>
      <c r="AG420" s="166"/>
      <c r="AH420" s="166"/>
      <c r="AI420" s="166"/>
      <c r="AJ420" s="167"/>
      <c r="AK420" s="179"/>
      <c r="AL420" s="166"/>
      <c r="AM420" s="166"/>
      <c r="AN420" s="166"/>
      <c r="AO420" s="166"/>
      <c r="AP420" s="166"/>
      <c r="AQ420" s="166"/>
      <c r="AR420" s="166"/>
      <c r="AS420" s="166"/>
      <c r="AT420" s="166"/>
      <c r="AU420" s="166"/>
      <c r="AV420" s="166"/>
      <c r="AW420" s="166"/>
      <c r="AX420" s="166"/>
      <c r="AY420" s="166"/>
      <c r="AZ420" s="166"/>
      <c r="BA420" s="166"/>
      <c r="BB420" s="166"/>
      <c r="BC420" s="166"/>
      <c r="BD420" s="166"/>
      <c r="BE420" s="166"/>
      <c r="BF420" s="166"/>
      <c r="BG420" s="166"/>
      <c r="BH420" s="166"/>
      <c r="BI420" s="180"/>
    </row>
    <row r="421" spans="2:61" ht="20.100000000000001" customHeight="1" x14ac:dyDescent="0.45">
      <c r="B421" s="168"/>
      <c r="C421" s="31"/>
      <c r="D421" s="31"/>
      <c r="E421" s="31"/>
      <c r="F421" s="31"/>
      <c r="G421" s="138"/>
      <c r="H421" s="139" t="s">
        <v>145</v>
      </c>
      <c r="I421" s="31"/>
      <c r="J421" s="139" t="s">
        <v>194</v>
      </c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140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141"/>
    </row>
    <row r="422" spans="2:61" ht="20.100000000000001" customHeight="1" x14ac:dyDescent="0.45">
      <c r="B422" s="137"/>
      <c r="C422" s="31"/>
      <c r="D422" s="31"/>
      <c r="E422" s="31"/>
      <c r="F422" s="31"/>
      <c r="G422" s="138"/>
      <c r="H422" s="142" t="s">
        <v>147</v>
      </c>
      <c r="I422" s="55"/>
      <c r="J422" s="142"/>
      <c r="K422" s="55" t="s">
        <v>224</v>
      </c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  <c r="AA422" s="55"/>
      <c r="AB422" s="55"/>
      <c r="AC422" s="55"/>
      <c r="AD422" s="55"/>
      <c r="AE422" s="55"/>
      <c r="AF422" s="55"/>
      <c r="AG422" s="55"/>
      <c r="AH422" s="55"/>
      <c r="AI422" s="55"/>
      <c r="AJ422" s="55"/>
      <c r="AK422" s="143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55"/>
      <c r="BI422" s="144"/>
    </row>
    <row r="423" spans="2:61" ht="20.100000000000001" customHeight="1" x14ac:dyDescent="0.45">
      <c r="B423" s="137"/>
      <c r="C423" s="31"/>
      <c r="D423" s="31"/>
      <c r="E423" s="31"/>
      <c r="F423" s="31"/>
      <c r="G423" s="138"/>
      <c r="H423" s="139"/>
      <c r="I423" s="31"/>
      <c r="J423" s="139" t="s">
        <v>185</v>
      </c>
      <c r="K423" s="31" t="s">
        <v>213</v>
      </c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139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141"/>
    </row>
    <row r="424" spans="2:61" ht="20.100000000000001" customHeight="1" x14ac:dyDescent="0.45">
      <c r="B424" s="137"/>
      <c r="C424" s="31"/>
      <c r="D424" s="31"/>
      <c r="E424" s="31"/>
      <c r="F424" s="31"/>
      <c r="G424" s="138"/>
      <c r="H424" s="139"/>
      <c r="I424" s="31"/>
      <c r="J424" s="139" t="s">
        <v>185</v>
      </c>
      <c r="K424" s="31" t="s">
        <v>225</v>
      </c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139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141"/>
    </row>
    <row r="425" spans="2:61" ht="20.100000000000001" customHeight="1" thickBot="1" x14ac:dyDescent="0.5">
      <c r="B425" s="137"/>
      <c r="C425" s="31"/>
      <c r="D425" s="31"/>
      <c r="E425" s="31"/>
      <c r="F425" s="31"/>
      <c r="G425" s="138"/>
      <c r="H425" s="162" t="s">
        <v>197</v>
      </c>
      <c r="I425" s="163"/>
      <c r="J425" s="162" t="s">
        <v>217</v>
      </c>
      <c r="K425" s="163"/>
      <c r="L425" s="163"/>
      <c r="M425" s="163"/>
      <c r="N425" s="163"/>
      <c r="O425" s="163"/>
      <c r="P425" s="163"/>
      <c r="Q425" s="163"/>
      <c r="R425" s="163"/>
      <c r="S425" s="163"/>
      <c r="T425" s="163"/>
      <c r="U425" s="163"/>
      <c r="V425" s="163"/>
      <c r="W425" s="163"/>
      <c r="X425" s="163"/>
      <c r="Y425" s="163"/>
      <c r="Z425" s="163"/>
      <c r="AA425" s="163"/>
      <c r="AB425" s="163"/>
      <c r="AC425" s="163"/>
      <c r="AD425" s="163"/>
      <c r="AE425" s="163"/>
      <c r="AF425" s="163"/>
      <c r="AG425" s="163"/>
      <c r="AH425" s="163"/>
      <c r="AI425" s="163"/>
      <c r="AJ425" s="163"/>
      <c r="AK425" s="162"/>
      <c r="AL425" s="163"/>
      <c r="AM425" s="163"/>
      <c r="AN425" s="163"/>
      <c r="AO425" s="163"/>
      <c r="AP425" s="163"/>
      <c r="AQ425" s="163"/>
      <c r="AR425" s="163"/>
      <c r="AS425" s="163"/>
      <c r="AT425" s="163"/>
      <c r="AU425" s="163"/>
      <c r="AV425" s="163"/>
      <c r="AW425" s="163"/>
      <c r="AX425" s="163"/>
      <c r="AY425" s="163"/>
      <c r="AZ425" s="163"/>
      <c r="BA425" s="163"/>
      <c r="BB425" s="163"/>
      <c r="BC425" s="163"/>
      <c r="BD425" s="163"/>
      <c r="BE425" s="163"/>
      <c r="BF425" s="163"/>
      <c r="BG425" s="163"/>
      <c r="BH425" s="163"/>
      <c r="BI425" s="164"/>
    </row>
    <row r="426" spans="2:61" ht="20.100000000000001" customHeight="1" x14ac:dyDescent="0.45">
      <c r="B426" s="131" t="s">
        <v>390</v>
      </c>
      <c r="C426" s="132"/>
      <c r="D426" s="132"/>
      <c r="E426" s="132"/>
      <c r="F426" s="132"/>
      <c r="G426" s="133"/>
      <c r="H426" s="134" t="s">
        <v>237</v>
      </c>
      <c r="I426" s="133"/>
      <c r="J426" s="134" t="s">
        <v>374</v>
      </c>
      <c r="K426" s="132"/>
      <c r="L426" s="132"/>
      <c r="M426" s="132"/>
      <c r="N426" s="132"/>
      <c r="O426" s="132"/>
      <c r="P426" s="132"/>
      <c r="Q426" s="132"/>
      <c r="R426" s="134" t="s">
        <v>375</v>
      </c>
      <c r="S426" s="132"/>
      <c r="T426" s="132"/>
      <c r="U426" s="132"/>
      <c r="V426" s="132"/>
      <c r="W426" s="132"/>
      <c r="X426" s="132"/>
      <c r="Y426" s="132"/>
      <c r="Z426" s="132"/>
      <c r="AA426" s="132"/>
      <c r="AB426" s="132"/>
      <c r="AC426" s="132"/>
      <c r="AD426" s="132"/>
      <c r="AE426" s="132"/>
      <c r="AF426" s="132"/>
      <c r="AG426" s="132"/>
      <c r="AH426" s="132"/>
      <c r="AI426" s="132"/>
      <c r="AJ426" s="133"/>
      <c r="AK426" s="135"/>
      <c r="AL426" s="132"/>
      <c r="AM426" s="132"/>
      <c r="AN426" s="132"/>
      <c r="AO426" s="132"/>
      <c r="AP426" s="132"/>
      <c r="AQ426" s="132"/>
      <c r="AR426" s="132"/>
      <c r="AS426" s="132"/>
      <c r="AT426" s="132"/>
      <c r="AU426" s="132"/>
      <c r="AV426" s="132"/>
      <c r="AW426" s="132"/>
      <c r="AX426" s="132"/>
      <c r="AY426" s="132"/>
      <c r="AZ426" s="132"/>
      <c r="BA426" s="132"/>
      <c r="BB426" s="132"/>
      <c r="BC426" s="132"/>
      <c r="BD426" s="132"/>
      <c r="BE426" s="132"/>
      <c r="BF426" s="132"/>
      <c r="BG426" s="132"/>
      <c r="BH426" s="132"/>
      <c r="BI426" s="136"/>
    </row>
    <row r="427" spans="2:61" ht="20.100000000000001" customHeight="1" x14ac:dyDescent="0.45">
      <c r="B427" s="168"/>
      <c r="C427" s="31"/>
      <c r="D427" s="31"/>
      <c r="E427" s="31"/>
      <c r="F427" s="31"/>
      <c r="G427" s="138"/>
      <c r="H427" s="142" t="s">
        <v>145</v>
      </c>
      <c r="I427" s="55"/>
      <c r="J427" s="142" t="s">
        <v>194</v>
      </c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/>
      <c r="AB427" s="55"/>
      <c r="AC427" s="55"/>
      <c r="AD427" s="55"/>
      <c r="AE427" s="55"/>
      <c r="AF427" s="55"/>
      <c r="AG427" s="55"/>
      <c r="AH427" s="55"/>
      <c r="AI427" s="55"/>
      <c r="AJ427" s="55"/>
      <c r="AK427" s="143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55"/>
      <c r="BI427" s="144"/>
    </row>
    <row r="428" spans="2:61" ht="20.100000000000001" customHeight="1" x14ac:dyDescent="0.45">
      <c r="B428" s="137"/>
      <c r="C428" s="31"/>
      <c r="D428" s="31"/>
      <c r="E428" s="31"/>
      <c r="F428" s="31"/>
      <c r="G428" s="138"/>
      <c r="H428" s="142" t="s">
        <v>147</v>
      </c>
      <c r="I428" s="55"/>
      <c r="J428" s="142"/>
      <c r="K428" s="55" t="s">
        <v>223</v>
      </c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  <c r="AA428" s="55"/>
      <c r="AB428" s="55"/>
      <c r="AC428" s="55"/>
      <c r="AD428" s="55"/>
      <c r="AE428" s="55"/>
      <c r="AF428" s="55"/>
      <c r="AG428" s="55"/>
      <c r="AH428" s="55"/>
      <c r="AI428" s="55"/>
      <c r="AJ428" s="55"/>
      <c r="AK428" s="143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55"/>
      <c r="BI428" s="144"/>
    </row>
    <row r="429" spans="2:61" ht="20.100000000000001" customHeight="1" x14ac:dyDescent="0.45">
      <c r="B429" s="137"/>
      <c r="C429" s="31"/>
      <c r="D429" s="31"/>
      <c r="E429" s="31"/>
      <c r="F429" s="31"/>
      <c r="G429" s="138"/>
      <c r="H429" s="139"/>
      <c r="I429" s="31"/>
      <c r="J429" s="139" t="s">
        <v>185</v>
      </c>
      <c r="K429" s="31" t="s">
        <v>213</v>
      </c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139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141"/>
    </row>
    <row r="430" spans="2:61" ht="20.100000000000001" customHeight="1" x14ac:dyDescent="0.45">
      <c r="B430" s="137"/>
      <c r="C430" s="31"/>
      <c r="D430" s="31"/>
      <c r="E430" s="31"/>
      <c r="F430" s="31"/>
      <c r="G430" s="138"/>
      <c r="H430" s="139"/>
      <c r="I430" s="31"/>
      <c r="J430" s="139" t="s">
        <v>185</v>
      </c>
      <c r="K430" s="31" t="s">
        <v>222</v>
      </c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139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141"/>
    </row>
    <row r="431" spans="2:61" ht="20.100000000000001" customHeight="1" thickBot="1" x14ac:dyDescent="0.5">
      <c r="B431" s="155"/>
      <c r="C431" s="31"/>
      <c r="D431" s="31"/>
      <c r="E431" s="31"/>
      <c r="F431" s="31"/>
      <c r="G431" s="138"/>
      <c r="H431" s="162" t="s">
        <v>197</v>
      </c>
      <c r="I431" s="163"/>
      <c r="J431" s="162" t="s">
        <v>218</v>
      </c>
      <c r="K431" s="163"/>
      <c r="L431" s="163"/>
      <c r="M431" s="163"/>
      <c r="N431" s="163"/>
      <c r="O431" s="163"/>
      <c r="P431" s="163"/>
      <c r="Q431" s="163"/>
      <c r="R431" s="163"/>
      <c r="S431" s="163"/>
      <c r="T431" s="163"/>
      <c r="U431" s="163"/>
      <c r="V431" s="163"/>
      <c r="W431" s="163"/>
      <c r="X431" s="163"/>
      <c r="Y431" s="163"/>
      <c r="Z431" s="163"/>
      <c r="AA431" s="163"/>
      <c r="AB431" s="163"/>
      <c r="AC431" s="163"/>
      <c r="AD431" s="163"/>
      <c r="AE431" s="163"/>
      <c r="AF431" s="163"/>
      <c r="AG431" s="163"/>
      <c r="AH431" s="163"/>
      <c r="AI431" s="163"/>
      <c r="AJ431" s="163"/>
      <c r="AK431" s="162"/>
      <c r="AL431" s="163"/>
      <c r="AM431" s="163"/>
      <c r="AN431" s="163"/>
      <c r="AO431" s="163"/>
      <c r="AP431" s="163"/>
      <c r="AQ431" s="163"/>
      <c r="AR431" s="163"/>
      <c r="AS431" s="163"/>
      <c r="AT431" s="163"/>
      <c r="AU431" s="163"/>
      <c r="AV431" s="163"/>
      <c r="AW431" s="163"/>
      <c r="AX431" s="163"/>
      <c r="AY431" s="163"/>
      <c r="AZ431" s="163"/>
      <c r="BA431" s="163"/>
      <c r="BB431" s="163"/>
      <c r="BC431" s="163"/>
      <c r="BD431" s="163"/>
      <c r="BE431" s="163"/>
      <c r="BF431" s="163"/>
      <c r="BG431" s="163"/>
      <c r="BH431" s="163"/>
      <c r="BI431" s="164"/>
    </row>
    <row r="432" spans="2:61" ht="20.100000000000001" customHeight="1" x14ac:dyDescent="0.45">
      <c r="B432" s="168" t="s">
        <v>391</v>
      </c>
      <c r="C432" s="132"/>
      <c r="D432" s="132"/>
      <c r="E432" s="132"/>
      <c r="F432" s="132"/>
      <c r="G432" s="133"/>
      <c r="H432" s="173" t="s">
        <v>237</v>
      </c>
      <c r="I432" s="167"/>
      <c r="J432" s="173" t="s">
        <v>376</v>
      </c>
      <c r="K432" s="166"/>
      <c r="L432" s="166"/>
      <c r="M432" s="166"/>
      <c r="N432" s="166"/>
      <c r="O432" s="166"/>
      <c r="P432" s="166"/>
      <c r="Q432" s="166"/>
      <c r="R432" s="173" t="s">
        <v>377</v>
      </c>
      <c r="S432" s="166"/>
      <c r="T432" s="166"/>
      <c r="U432" s="166"/>
      <c r="V432" s="166"/>
      <c r="W432" s="166"/>
      <c r="X432" s="166"/>
      <c r="Y432" s="166"/>
      <c r="Z432" s="166"/>
      <c r="AA432" s="166"/>
      <c r="AB432" s="166"/>
      <c r="AC432" s="166"/>
      <c r="AD432" s="166"/>
      <c r="AE432" s="166"/>
      <c r="AF432" s="166"/>
      <c r="AG432" s="166"/>
      <c r="AH432" s="166"/>
      <c r="AI432" s="166"/>
      <c r="AJ432" s="167"/>
      <c r="AK432" s="179"/>
      <c r="AL432" s="166"/>
      <c r="AM432" s="166"/>
      <c r="AN432" s="166"/>
      <c r="AO432" s="166"/>
      <c r="AP432" s="166"/>
      <c r="AQ432" s="166"/>
      <c r="AR432" s="166"/>
      <c r="AS432" s="166"/>
      <c r="AT432" s="166"/>
      <c r="AU432" s="166"/>
      <c r="AV432" s="166"/>
      <c r="AW432" s="166"/>
      <c r="AX432" s="166"/>
      <c r="AY432" s="166"/>
      <c r="AZ432" s="166"/>
      <c r="BA432" s="166"/>
      <c r="BB432" s="166"/>
      <c r="BC432" s="166"/>
      <c r="BD432" s="166"/>
      <c r="BE432" s="166"/>
      <c r="BF432" s="166"/>
      <c r="BG432" s="166"/>
      <c r="BH432" s="166"/>
      <c r="BI432" s="180"/>
    </row>
    <row r="433" spans="2:61" ht="20.100000000000001" customHeight="1" x14ac:dyDescent="0.45">
      <c r="B433" s="168"/>
      <c r="C433" s="31"/>
      <c r="D433" s="31"/>
      <c r="E433" s="31"/>
      <c r="F433" s="31"/>
      <c r="G433" s="138"/>
      <c r="H433" s="139" t="s">
        <v>145</v>
      </c>
      <c r="I433" s="31"/>
      <c r="J433" s="139" t="s">
        <v>194</v>
      </c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140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141"/>
    </row>
    <row r="434" spans="2:61" ht="20.100000000000001" customHeight="1" x14ac:dyDescent="0.45">
      <c r="B434" s="137"/>
      <c r="C434" s="31"/>
      <c r="D434" s="31"/>
      <c r="E434" s="31"/>
      <c r="F434" s="31"/>
      <c r="G434" s="138"/>
      <c r="H434" s="142" t="s">
        <v>147</v>
      </c>
      <c r="I434" s="55"/>
      <c r="J434" s="142"/>
      <c r="K434" s="55" t="s">
        <v>223</v>
      </c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  <c r="AA434" s="55"/>
      <c r="AB434" s="55"/>
      <c r="AC434" s="55"/>
      <c r="AD434" s="55"/>
      <c r="AE434" s="55"/>
      <c r="AF434" s="55"/>
      <c r="AG434" s="55"/>
      <c r="AH434" s="55"/>
      <c r="AI434" s="55"/>
      <c r="AJ434" s="55"/>
      <c r="AK434" s="143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55"/>
      <c r="BI434" s="144"/>
    </row>
    <row r="435" spans="2:61" ht="20.100000000000001" customHeight="1" x14ac:dyDescent="0.45">
      <c r="B435" s="137"/>
      <c r="C435" s="31"/>
      <c r="D435" s="31"/>
      <c r="E435" s="31"/>
      <c r="F435" s="31"/>
      <c r="G435" s="138"/>
      <c r="H435" s="139"/>
      <c r="I435" s="31"/>
      <c r="J435" s="139" t="s">
        <v>185</v>
      </c>
      <c r="K435" s="31" t="s">
        <v>213</v>
      </c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139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141"/>
    </row>
    <row r="436" spans="2:61" ht="20.100000000000001" customHeight="1" x14ac:dyDescent="0.45">
      <c r="B436" s="137"/>
      <c r="C436" s="31"/>
      <c r="D436" s="31"/>
      <c r="E436" s="31"/>
      <c r="F436" s="31"/>
      <c r="G436" s="138"/>
      <c r="H436" s="139"/>
      <c r="I436" s="31"/>
      <c r="J436" s="139" t="s">
        <v>185</v>
      </c>
      <c r="K436" s="31" t="s">
        <v>222</v>
      </c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139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141"/>
    </row>
    <row r="437" spans="2:61" ht="20.100000000000001" customHeight="1" thickBot="1" x14ac:dyDescent="0.5">
      <c r="B437" s="137"/>
      <c r="C437" s="31"/>
      <c r="D437" s="31"/>
      <c r="E437" s="31"/>
      <c r="F437" s="31"/>
      <c r="G437" s="138"/>
      <c r="H437" s="162" t="s">
        <v>197</v>
      </c>
      <c r="I437" s="163"/>
      <c r="J437" s="162" t="s">
        <v>218</v>
      </c>
      <c r="K437" s="163"/>
      <c r="L437" s="163"/>
      <c r="M437" s="163"/>
      <c r="N437" s="163"/>
      <c r="O437" s="163"/>
      <c r="P437" s="163"/>
      <c r="Q437" s="163"/>
      <c r="R437" s="163"/>
      <c r="S437" s="163"/>
      <c r="T437" s="163"/>
      <c r="U437" s="163"/>
      <c r="V437" s="163"/>
      <c r="W437" s="163"/>
      <c r="X437" s="163"/>
      <c r="Y437" s="163"/>
      <c r="Z437" s="163"/>
      <c r="AA437" s="163"/>
      <c r="AB437" s="163"/>
      <c r="AC437" s="163"/>
      <c r="AD437" s="163"/>
      <c r="AE437" s="163"/>
      <c r="AF437" s="163"/>
      <c r="AG437" s="163"/>
      <c r="AH437" s="163"/>
      <c r="AI437" s="163"/>
      <c r="AJ437" s="163"/>
      <c r="AK437" s="162"/>
      <c r="AL437" s="163"/>
      <c r="AM437" s="163"/>
      <c r="AN437" s="163"/>
      <c r="AO437" s="163"/>
      <c r="AP437" s="163"/>
      <c r="AQ437" s="163"/>
      <c r="AR437" s="163"/>
      <c r="AS437" s="163"/>
      <c r="AT437" s="163"/>
      <c r="AU437" s="163"/>
      <c r="AV437" s="163"/>
      <c r="AW437" s="163"/>
      <c r="AX437" s="163"/>
      <c r="AY437" s="163"/>
      <c r="AZ437" s="163"/>
      <c r="BA437" s="163"/>
      <c r="BB437" s="163"/>
      <c r="BC437" s="163"/>
      <c r="BD437" s="163"/>
      <c r="BE437" s="163"/>
      <c r="BF437" s="163"/>
      <c r="BG437" s="163"/>
      <c r="BH437" s="163"/>
      <c r="BI437" s="164"/>
    </row>
    <row r="438" spans="2:61" ht="20.100000000000001" customHeight="1" x14ac:dyDescent="0.45">
      <c r="B438" s="131" t="s">
        <v>392</v>
      </c>
      <c r="C438" s="132"/>
      <c r="D438" s="132"/>
      <c r="E438" s="132"/>
      <c r="F438" s="132"/>
      <c r="G438" s="133"/>
      <c r="H438" s="134" t="s">
        <v>258</v>
      </c>
      <c r="I438" s="132"/>
      <c r="J438" s="134" t="s">
        <v>378</v>
      </c>
      <c r="K438" s="132"/>
      <c r="L438" s="132"/>
      <c r="M438" s="132"/>
      <c r="N438" s="132"/>
      <c r="O438" s="132"/>
      <c r="P438" s="132"/>
      <c r="Q438" s="132"/>
      <c r="R438" s="132"/>
      <c r="S438" s="132"/>
      <c r="T438" s="132"/>
      <c r="U438" s="132"/>
      <c r="V438" s="132"/>
      <c r="W438" s="132"/>
      <c r="X438" s="132"/>
      <c r="Y438" s="132"/>
      <c r="Z438" s="132"/>
      <c r="AA438" s="132"/>
      <c r="AB438" s="132"/>
      <c r="AC438" s="132"/>
      <c r="AD438" s="132"/>
      <c r="AE438" s="132"/>
      <c r="AF438" s="132"/>
      <c r="AG438" s="132"/>
      <c r="AH438" s="132"/>
      <c r="AI438" s="132"/>
      <c r="AJ438" s="132"/>
      <c r="AK438" s="135"/>
      <c r="AL438" s="132"/>
      <c r="AM438" s="132"/>
      <c r="AN438" s="132"/>
      <c r="AO438" s="132"/>
      <c r="AP438" s="132"/>
      <c r="AQ438" s="132"/>
      <c r="AR438" s="132"/>
      <c r="AS438" s="132"/>
      <c r="AT438" s="132"/>
      <c r="AU438" s="132"/>
      <c r="AV438" s="132"/>
      <c r="AW438" s="132"/>
      <c r="AX438" s="132"/>
      <c r="AY438" s="132"/>
      <c r="AZ438" s="132"/>
      <c r="BA438" s="132"/>
      <c r="BB438" s="132"/>
      <c r="BC438" s="132"/>
      <c r="BD438" s="132"/>
      <c r="BE438" s="132"/>
      <c r="BF438" s="132"/>
      <c r="BG438" s="132"/>
      <c r="BH438" s="132"/>
      <c r="BI438" s="136"/>
    </row>
    <row r="439" spans="2:61" ht="20.100000000000001" customHeight="1" thickBot="1" x14ac:dyDescent="0.5">
      <c r="B439" s="137"/>
      <c r="C439" s="31"/>
      <c r="D439" s="31"/>
      <c r="E439" s="31"/>
      <c r="F439" s="31"/>
      <c r="G439" s="138"/>
      <c r="H439" s="142" t="s">
        <v>260</v>
      </c>
      <c r="I439" s="55"/>
      <c r="J439" s="142" t="s">
        <v>394</v>
      </c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  <c r="AA439" s="55"/>
      <c r="AB439" s="55"/>
      <c r="AC439" s="55"/>
      <c r="AD439" s="55"/>
      <c r="AE439" s="55"/>
      <c r="AF439" s="55"/>
      <c r="AG439" s="55"/>
      <c r="AH439" s="55"/>
      <c r="AI439" s="55"/>
      <c r="AJ439" s="55"/>
      <c r="AK439" s="143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55"/>
      <c r="BI439" s="144"/>
    </row>
    <row r="440" spans="2:61" ht="20.100000000000001" customHeight="1" x14ac:dyDescent="0.45">
      <c r="B440" s="131" t="s">
        <v>393</v>
      </c>
      <c r="C440" s="132"/>
      <c r="D440" s="132"/>
      <c r="E440" s="132"/>
      <c r="F440" s="132"/>
      <c r="G440" s="133"/>
      <c r="H440" s="134" t="s">
        <v>237</v>
      </c>
      <c r="I440" s="133"/>
      <c r="J440" s="173" t="s">
        <v>311</v>
      </c>
      <c r="K440" s="166"/>
      <c r="L440" s="166"/>
      <c r="M440" s="166"/>
      <c r="N440" s="166"/>
      <c r="O440" s="166"/>
      <c r="P440" s="166"/>
      <c r="Q440" s="166"/>
      <c r="R440" s="173" t="s">
        <v>395</v>
      </c>
      <c r="S440" s="166"/>
      <c r="T440" s="166"/>
      <c r="U440" s="166"/>
      <c r="V440" s="166"/>
      <c r="W440" s="166"/>
      <c r="X440" s="166"/>
      <c r="Y440" s="166"/>
      <c r="Z440" s="166"/>
      <c r="AA440" s="166"/>
      <c r="AB440" s="166"/>
      <c r="AC440" s="166"/>
      <c r="AD440" s="166"/>
      <c r="AE440" s="166"/>
      <c r="AF440" s="166"/>
      <c r="AG440" s="166"/>
      <c r="AH440" s="166"/>
      <c r="AI440" s="166"/>
      <c r="AJ440" s="167"/>
      <c r="AK440" s="135"/>
      <c r="AL440" s="132"/>
      <c r="AM440" s="132"/>
      <c r="AN440" s="132"/>
      <c r="AO440" s="132"/>
      <c r="AP440" s="132"/>
      <c r="AQ440" s="132"/>
      <c r="AR440" s="132"/>
      <c r="AS440" s="132"/>
      <c r="AT440" s="132"/>
      <c r="AU440" s="132"/>
      <c r="AV440" s="132"/>
      <c r="AW440" s="132"/>
      <c r="AX440" s="132"/>
      <c r="AY440" s="132"/>
      <c r="AZ440" s="132"/>
      <c r="BA440" s="132"/>
      <c r="BB440" s="132"/>
      <c r="BC440" s="132"/>
      <c r="BD440" s="132"/>
      <c r="BE440" s="132"/>
      <c r="BF440" s="132"/>
      <c r="BG440" s="132"/>
      <c r="BH440" s="132"/>
      <c r="BI440" s="136"/>
    </row>
    <row r="441" spans="2:61" ht="20.100000000000001" customHeight="1" x14ac:dyDescent="0.45">
      <c r="B441" s="168"/>
      <c r="C441" s="31"/>
      <c r="D441" s="31"/>
      <c r="E441" s="31"/>
      <c r="F441" s="31"/>
      <c r="G441" s="138"/>
      <c r="H441" s="139"/>
      <c r="I441" s="138"/>
      <c r="J441" s="169" t="s">
        <v>294</v>
      </c>
      <c r="K441" s="52"/>
      <c r="L441" s="52"/>
      <c r="M441" s="52"/>
      <c r="N441" s="52"/>
      <c r="O441" s="52"/>
      <c r="P441" s="52"/>
      <c r="Q441" s="52"/>
      <c r="R441" s="169" t="s">
        <v>396</v>
      </c>
      <c r="S441" s="52"/>
      <c r="T441" s="52"/>
      <c r="U441" s="52"/>
      <c r="V441" s="52"/>
      <c r="W441" s="52"/>
      <c r="X441" s="52"/>
      <c r="Y441" s="52"/>
      <c r="Z441" s="52"/>
      <c r="AA441" s="52"/>
      <c r="AB441" s="52"/>
      <c r="AC441" s="52"/>
      <c r="AD441" s="52"/>
      <c r="AE441" s="52"/>
      <c r="AF441" s="52"/>
      <c r="AG441" s="52"/>
      <c r="AH441" s="52"/>
      <c r="AI441" s="52"/>
      <c r="AJ441" s="170"/>
      <c r="AK441" s="140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141"/>
    </row>
    <row r="442" spans="2:61" ht="20.100000000000001" customHeight="1" x14ac:dyDescent="0.45">
      <c r="B442" s="168"/>
      <c r="C442" s="31"/>
      <c r="D442" s="31"/>
      <c r="E442" s="31"/>
      <c r="F442" s="31"/>
      <c r="G442" s="138"/>
      <c r="H442" s="139"/>
      <c r="I442" s="138"/>
      <c r="J442" s="169" t="s">
        <v>314</v>
      </c>
      <c r="K442" s="52"/>
      <c r="L442" s="52"/>
      <c r="M442" s="52"/>
      <c r="N442" s="52"/>
      <c r="O442" s="52"/>
      <c r="P442" s="52"/>
      <c r="Q442" s="52"/>
      <c r="R442" s="169" t="s">
        <v>397</v>
      </c>
      <c r="S442" s="52"/>
      <c r="T442" s="52"/>
      <c r="U442" s="52"/>
      <c r="V442" s="52"/>
      <c r="W442" s="52"/>
      <c r="X442" s="52"/>
      <c r="Y442" s="52"/>
      <c r="Z442" s="52"/>
      <c r="AA442" s="52"/>
      <c r="AB442" s="52"/>
      <c r="AC442" s="52"/>
      <c r="AD442" s="52"/>
      <c r="AE442" s="52"/>
      <c r="AF442" s="52"/>
      <c r="AG442" s="52"/>
      <c r="AH442" s="52"/>
      <c r="AI442" s="52"/>
      <c r="AJ442" s="170"/>
      <c r="AK442" s="140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141"/>
    </row>
    <row r="443" spans="2:61" ht="20.100000000000001" customHeight="1" x14ac:dyDescent="0.45">
      <c r="B443" s="168"/>
      <c r="C443" s="31"/>
      <c r="D443" s="31"/>
      <c r="E443" s="31"/>
      <c r="F443" s="31"/>
      <c r="G443" s="138"/>
      <c r="H443" s="139"/>
      <c r="I443" s="138"/>
      <c r="J443" s="169" t="s">
        <v>315</v>
      </c>
      <c r="K443" s="52"/>
      <c r="L443" s="52"/>
      <c r="M443" s="52"/>
      <c r="N443" s="52"/>
      <c r="O443" s="52"/>
      <c r="P443" s="52"/>
      <c r="Q443" s="52"/>
      <c r="R443" s="169" t="s">
        <v>398</v>
      </c>
      <c r="S443" s="52"/>
      <c r="T443" s="52"/>
      <c r="U443" s="52"/>
      <c r="V443" s="52"/>
      <c r="W443" s="52"/>
      <c r="X443" s="52"/>
      <c r="Y443" s="52"/>
      <c r="Z443" s="52"/>
      <c r="AA443" s="52"/>
      <c r="AB443" s="52"/>
      <c r="AC443" s="52"/>
      <c r="AD443" s="52"/>
      <c r="AE443" s="52"/>
      <c r="AF443" s="52"/>
      <c r="AG443" s="52"/>
      <c r="AH443" s="52"/>
      <c r="AI443" s="52"/>
      <c r="AJ443" s="170"/>
      <c r="AK443" s="140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141"/>
    </row>
    <row r="444" spans="2:61" ht="20.100000000000001" customHeight="1" x14ac:dyDescent="0.45">
      <c r="B444" s="168"/>
      <c r="C444" s="31"/>
      <c r="D444" s="31"/>
      <c r="E444" s="31"/>
      <c r="F444" s="31"/>
      <c r="G444" s="138"/>
      <c r="H444" s="139"/>
      <c r="I444" s="138"/>
      <c r="J444" s="169" t="s">
        <v>316</v>
      </c>
      <c r="K444" s="52"/>
      <c r="L444" s="52"/>
      <c r="M444" s="52"/>
      <c r="N444" s="52"/>
      <c r="O444" s="52"/>
      <c r="P444" s="52"/>
      <c r="Q444" s="52"/>
      <c r="R444" s="169" t="s">
        <v>399</v>
      </c>
      <c r="S444" s="52"/>
      <c r="T444" s="52"/>
      <c r="U444" s="52"/>
      <c r="V444" s="52"/>
      <c r="W444" s="52"/>
      <c r="X444" s="52"/>
      <c r="Y444" s="52"/>
      <c r="Z444" s="52"/>
      <c r="AA444" s="52"/>
      <c r="AB444" s="52"/>
      <c r="AC444" s="52"/>
      <c r="AD444" s="52"/>
      <c r="AE444" s="52"/>
      <c r="AF444" s="52"/>
      <c r="AG444" s="52"/>
      <c r="AH444" s="52"/>
      <c r="AI444" s="52"/>
      <c r="AJ444" s="170"/>
      <c r="AK444" s="140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141"/>
    </row>
    <row r="445" spans="2:61" ht="20.100000000000001" customHeight="1" x14ac:dyDescent="0.45">
      <c r="B445" s="168"/>
      <c r="C445" s="31"/>
      <c r="D445" s="31"/>
      <c r="E445" s="31"/>
      <c r="F445" s="31"/>
      <c r="G445" s="138"/>
      <c r="H445" s="139"/>
      <c r="I445" s="138"/>
      <c r="J445" s="169" t="s">
        <v>317</v>
      </c>
      <c r="K445" s="52"/>
      <c r="L445" s="52"/>
      <c r="M445" s="52"/>
      <c r="N445" s="52"/>
      <c r="O445" s="52"/>
      <c r="P445" s="52"/>
      <c r="Q445" s="52"/>
      <c r="R445" s="169" t="s">
        <v>400</v>
      </c>
      <c r="S445" s="52"/>
      <c r="T445" s="52"/>
      <c r="U445" s="52"/>
      <c r="V445" s="52"/>
      <c r="W445" s="52"/>
      <c r="X445" s="52"/>
      <c r="Y445" s="52"/>
      <c r="Z445" s="52"/>
      <c r="AA445" s="52"/>
      <c r="AB445" s="52"/>
      <c r="AC445" s="52"/>
      <c r="AD445" s="52"/>
      <c r="AE445" s="52"/>
      <c r="AF445" s="52"/>
      <c r="AG445" s="52"/>
      <c r="AH445" s="52"/>
      <c r="AI445" s="52"/>
      <c r="AJ445" s="170"/>
      <c r="AK445" s="140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141"/>
    </row>
    <row r="446" spans="2:61" ht="20.100000000000001" customHeight="1" x14ac:dyDescent="0.45">
      <c r="B446" s="168"/>
      <c r="C446" s="31"/>
      <c r="D446" s="31"/>
      <c r="E446" s="31"/>
      <c r="F446" s="31"/>
      <c r="G446" s="138"/>
      <c r="H446" s="139"/>
      <c r="I446" s="138"/>
      <c r="J446" s="169" t="s">
        <v>318</v>
      </c>
      <c r="K446" s="52"/>
      <c r="L446" s="52"/>
      <c r="M446" s="52"/>
      <c r="N446" s="52"/>
      <c r="O446" s="52"/>
      <c r="P446" s="52"/>
      <c r="Q446" s="52"/>
      <c r="R446" s="169" t="s">
        <v>401</v>
      </c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170"/>
      <c r="AK446" s="140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141"/>
    </row>
    <row r="447" spans="2:61" ht="20.100000000000001" customHeight="1" x14ac:dyDescent="0.45">
      <c r="B447" s="168"/>
      <c r="C447" s="31"/>
      <c r="D447" s="31"/>
      <c r="E447" s="31"/>
      <c r="F447" s="31"/>
      <c r="G447" s="138"/>
      <c r="H447" s="139"/>
      <c r="I447" s="138"/>
      <c r="J447" s="169" t="s">
        <v>319</v>
      </c>
      <c r="K447" s="52"/>
      <c r="L447" s="52"/>
      <c r="M447" s="52"/>
      <c r="N447" s="52"/>
      <c r="O447" s="52"/>
      <c r="P447" s="52"/>
      <c r="Q447" s="52"/>
      <c r="R447" s="169" t="s">
        <v>402</v>
      </c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170"/>
      <c r="AK447" s="140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141"/>
    </row>
    <row r="448" spans="2:61" ht="20.100000000000001" customHeight="1" x14ac:dyDescent="0.45">
      <c r="B448" s="168"/>
      <c r="C448" s="31"/>
      <c r="D448" s="31"/>
      <c r="E448" s="31"/>
      <c r="F448" s="31"/>
      <c r="G448" s="138"/>
      <c r="H448" s="139"/>
      <c r="I448" s="138"/>
      <c r="J448" s="169" t="s">
        <v>320</v>
      </c>
      <c r="K448" s="52"/>
      <c r="L448" s="52"/>
      <c r="M448" s="52"/>
      <c r="N448" s="52"/>
      <c r="O448" s="52"/>
      <c r="P448" s="52"/>
      <c r="Q448" s="52"/>
      <c r="R448" s="169" t="s">
        <v>403</v>
      </c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170"/>
      <c r="AK448" s="140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141"/>
    </row>
    <row r="449" spans="2:61" ht="20.100000000000001" customHeight="1" x14ac:dyDescent="0.45">
      <c r="B449" s="168"/>
      <c r="C449" s="31"/>
      <c r="D449" s="31"/>
      <c r="E449" s="31"/>
      <c r="F449" s="31"/>
      <c r="G449" s="138"/>
      <c r="H449" s="139"/>
      <c r="I449" s="138"/>
      <c r="J449" s="169" t="s">
        <v>321</v>
      </c>
      <c r="K449" s="52"/>
      <c r="L449" s="52"/>
      <c r="M449" s="52"/>
      <c r="N449" s="52"/>
      <c r="O449" s="52"/>
      <c r="P449" s="52"/>
      <c r="Q449" s="52"/>
      <c r="R449" s="169" t="s">
        <v>404</v>
      </c>
      <c r="S449" s="52"/>
      <c r="T449" s="52"/>
      <c r="U449" s="52"/>
      <c r="V449" s="52"/>
      <c r="W449" s="52"/>
      <c r="X449" s="52"/>
      <c r="Y449" s="52"/>
      <c r="Z449" s="52"/>
      <c r="AA449" s="52"/>
      <c r="AB449" s="52"/>
      <c r="AC449" s="52"/>
      <c r="AD449" s="52"/>
      <c r="AE449" s="52"/>
      <c r="AF449" s="52"/>
      <c r="AG449" s="52"/>
      <c r="AH449" s="52"/>
      <c r="AI449" s="52"/>
      <c r="AJ449" s="170"/>
      <c r="AK449" s="140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141"/>
    </row>
    <row r="450" spans="2:61" ht="20.100000000000001" customHeight="1" x14ac:dyDescent="0.45">
      <c r="B450" s="168"/>
      <c r="C450" s="31"/>
      <c r="D450" s="31"/>
      <c r="E450" s="31"/>
      <c r="F450" s="31"/>
      <c r="G450" s="138"/>
      <c r="H450" s="139"/>
      <c r="I450" s="138"/>
      <c r="J450" s="169" t="s">
        <v>322</v>
      </c>
      <c r="K450" s="52"/>
      <c r="L450" s="52"/>
      <c r="M450" s="52"/>
      <c r="N450" s="52"/>
      <c r="O450" s="52"/>
      <c r="P450" s="52"/>
      <c r="Q450" s="52"/>
      <c r="R450" s="169" t="s">
        <v>405</v>
      </c>
      <c r="S450" s="52"/>
      <c r="T450" s="52"/>
      <c r="U450" s="52"/>
      <c r="V450" s="52"/>
      <c r="W450" s="52"/>
      <c r="X450" s="52"/>
      <c r="Y450" s="52"/>
      <c r="Z450" s="52"/>
      <c r="AA450" s="52"/>
      <c r="AB450" s="52"/>
      <c r="AC450" s="52"/>
      <c r="AD450" s="52"/>
      <c r="AE450" s="52"/>
      <c r="AF450" s="52"/>
      <c r="AG450" s="52"/>
      <c r="AH450" s="52"/>
      <c r="AI450" s="52"/>
      <c r="AJ450" s="170"/>
      <c r="AK450" s="140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141"/>
    </row>
    <row r="451" spans="2:61" ht="20.100000000000001" customHeight="1" x14ac:dyDescent="0.45">
      <c r="B451" s="168"/>
      <c r="C451" s="31"/>
      <c r="D451" s="31"/>
      <c r="E451" s="31"/>
      <c r="F451" s="31"/>
      <c r="G451" s="138"/>
      <c r="H451" s="139"/>
      <c r="I451" s="138"/>
      <c r="J451" s="169" t="s">
        <v>323</v>
      </c>
      <c r="K451" s="52"/>
      <c r="L451" s="52"/>
      <c r="M451" s="52"/>
      <c r="N451" s="52"/>
      <c r="O451" s="52"/>
      <c r="P451" s="52"/>
      <c r="Q451" s="52"/>
      <c r="R451" s="169" t="s">
        <v>406</v>
      </c>
      <c r="S451" s="52"/>
      <c r="T451" s="52"/>
      <c r="U451" s="52"/>
      <c r="V451" s="52"/>
      <c r="W451" s="52"/>
      <c r="X451" s="52"/>
      <c r="Y451" s="52"/>
      <c r="Z451" s="52"/>
      <c r="AA451" s="52"/>
      <c r="AB451" s="52"/>
      <c r="AC451" s="52"/>
      <c r="AD451" s="52"/>
      <c r="AE451" s="52"/>
      <c r="AF451" s="52"/>
      <c r="AG451" s="52"/>
      <c r="AH451" s="52"/>
      <c r="AI451" s="52"/>
      <c r="AJ451" s="170"/>
      <c r="AK451" s="140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141"/>
    </row>
    <row r="452" spans="2:61" ht="20.100000000000001" customHeight="1" x14ac:dyDescent="0.45">
      <c r="B452" s="168"/>
      <c r="C452" s="31"/>
      <c r="D452" s="31"/>
      <c r="E452" s="31"/>
      <c r="F452" s="31"/>
      <c r="G452" s="138"/>
      <c r="H452" s="139"/>
      <c r="I452" s="138"/>
      <c r="J452" s="169" t="s">
        <v>324</v>
      </c>
      <c r="K452" s="52"/>
      <c r="L452" s="52"/>
      <c r="M452" s="52"/>
      <c r="N452" s="52"/>
      <c r="O452" s="52"/>
      <c r="P452" s="52"/>
      <c r="Q452" s="52"/>
      <c r="R452" s="169" t="s">
        <v>407</v>
      </c>
      <c r="S452" s="52"/>
      <c r="T452" s="52"/>
      <c r="U452" s="52"/>
      <c r="V452" s="52"/>
      <c r="W452" s="52"/>
      <c r="X452" s="52"/>
      <c r="Y452" s="52"/>
      <c r="Z452" s="52"/>
      <c r="AA452" s="52"/>
      <c r="AB452" s="52"/>
      <c r="AC452" s="52"/>
      <c r="AD452" s="52"/>
      <c r="AE452" s="52"/>
      <c r="AF452" s="52"/>
      <c r="AG452" s="52"/>
      <c r="AH452" s="52"/>
      <c r="AI452" s="52"/>
      <c r="AJ452" s="170"/>
      <c r="AK452" s="140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141"/>
    </row>
    <row r="453" spans="2:61" ht="20.100000000000001" customHeight="1" x14ac:dyDescent="0.45">
      <c r="B453" s="168"/>
      <c r="C453" s="31"/>
      <c r="D453" s="31"/>
      <c r="E453" s="31"/>
      <c r="F453" s="31"/>
      <c r="G453" s="138"/>
      <c r="H453" s="139"/>
      <c r="I453" s="138"/>
      <c r="J453" s="169" t="s">
        <v>325</v>
      </c>
      <c r="K453" s="52"/>
      <c r="L453" s="52"/>
      <c r="M453" s="52"/>
      <c r="N453" s="52"/>
      <c r="O453" s="52"/>
      <c r="P453" s="52"/>
      <c r="Q453" s="52"/>
      <c r="R453" s="169" t="s">
        <v>408</v>
      </c>
      <c r="S453" s="52"/>
      <c r="T453" s="52"/>
      <c r="U453" s="52"/>
      <c r="V453" s="52"/>
      <c r="W453" s="52"/>
      <c r="X453" s="52"/>
      <c r="Y453" s="52"/>
      <c r="Z453" s="52"/>
      <c r="AA453" s="52"/>
      <c r="AB453" s="52"/>
      <c r="AC453" s="52"/>
      <c r="AD453" s="52"/>
      <c r="AE453" s="52"/>
      <c r="AF453" s="52"/>
      <c r="AG453" s="52"/>
      <c r="AH453" s="52"/>
      <c r="AI453" s="52"/>
      <c r="AJ453" s="170"/>
      <c r="AK453" s="140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141"/>
    </row>
    <row r="454" spans="2:61" ht="20.100000000000001" customHeight="1" x14ac:dyDescent="0.45">
      <c r="B454" s="168"/>
      <c r="C454" s="31"/>
      <c r="D454" s="31"/>
      <c r="E454" s="31"/>
      <c r="F454" s="31"/>
      <c r="G454" s="138"/>
      <c r="H454" s="139"/>
      <c r="I454" s="138"/>
      <c r="J454" s="169" t="s">
        <v>326</v>
      </c>
      <c r="K454" s="52"/>
      <c r="L454" s="52"/>
      <c r="M454" s="52"/>
      <c r="N454" s="52"/>
      <c r="O454" s="52"/>
      <c r="P454" s="52"/>
      <c r="Q454" s="52"/>
      <c r="R454" s="169" t="s">
        <v>409</v>
      </c>
      <c r="S454" s="52"/>
      <c r="T454" s="52"/>
      <c r="U454" s="52"/>
      <c r="V454" s="52"/>
      <c r="W454" s="52"/>
      <c r="X454" s="52"/>
      <c r="Y454" s="52"/>
      <c r="Z454" s="52"/>
      <c r="AA454" s="52"/>
      <c r="AB454" s="52"/>
      <c r="AC454" s="52"/>
      <c r="AD454" s="52"/>
      <c r="AE454" s="52"/>
      <c r="AF454" s="52"/>
      <c r="AG454" s="52"/>
      <c r="AH454" s="52"/>
      <c r="AI454" s="52"/>
      <c r="AJ454" s="170"/>
      <c r="AK454" s="140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141"/>
    </row>
    <row r="455" spans="2:61" ht="20.100000000000001" customHeight="1" x14ac:dyDescent="0.45">
      <c r="B455" s="168"/>
      <c r="C455" s="31"/>
      <c r="D455" s="31"/>
      <c r="E455" s="31"/>
      <c r="F455" s="31"/>
      <c r="G455" s="138"/>
      <c r="H455" s="139"/>
      <c r="I455" s="138"/>
      <c r="J455" s="169" t="s">
        <v>327</v>
      </c>
      <c r="K455" s="52"/>
      <c r="L455" s="52"/>
      <c r="M455" s="52"/>
      <c r="N455" s="52"/>
      <c r="O455" s="52"/>
      <c r="P455" s="52"/>
      <c r="Q455" s="52"/>
      <c r="R455" s="169" t="s">
        <v>410</v>
      </c>
      <c r="S455" s="52"/>
      <c r="T455" s="52"/>
      <c r="U455" s="52"/>
      <c r="V455" s="52"/>
      <c r="W455" s="52"/>
      <c r="X455" s="52"/>
      <c r="Y455" s="52"/>
      <c r="Z455" s="52"/>
      <c r="AA455" s="52"/>
      <c r="AB455" s="52"/>
      <c r="AC455" s="52"/>
      <c r="AD455" s="52"/>
      <c r="AE455" s="52"/>
      <c r="AF455" s="52"/>
      <c r="AG455" s="52"/>
      <c r="AH455" s="52"/>
      <c r="AI455" s="52"/>
      <c r="AJ455" s="170"/>
      <c r="AK455" s="140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141"/>
    </row>
    <row r="456" spans="2:61" ht="20.100000000000001" customHeight="1" x14ac:dyDescent="0.45">
      <c r="B456" s="168"/>
      <c r="C456" s="31"/>
      <c r="D456" s="31"/>
      <c r="E456" s="31"/>
      <c r="F456" s="31"/>
      <c r="G456" s="138"/>
      <c r="H456" s="139"/>
      <c r="I456" s="138"/>
      <c r="J456" s="169" t="s">
        <v>296</v>
      </c>
      <c r="K456" s="52"/>
      <c r="L456" s="52"/>
      <c r="M456" s="52"/>
      <c r="N456" s="52"/>
      <c r="O456" s="52"/>
      <c r="P456" s="52"/>
      <c r="Q456" s="52"/>
      <c r="R456" s="169" t="s">
        <v>411</v>
      </c>
      <c r="S456" s="52"/>
      <c r="T456" s="52"/>
      <c r="U456" s="52"/>
      <c r="V456" s="52"/>
      <c r="W456" s="52"/>
      <c r="X456" s="52"/>
      <c r="Y456" s="52"/>
      <c r="Z456" s="52"/>
      <c r="AA456" s="52"/>
      <c r="AB456" s="52"/>
      <c r="AC456" s="52"/>
      <c r="AD456" s="52"/>
      <c r="AE456" s="52"/>
      <c r="AF456" s="52"/>
      <c r="AG456" s="52"/>
      <c r="AH456" s="52"/>
      <c r="AI456" s="52"/>
      <c r="AJ456" s="170"/>
      <c r="AK456" s="140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141"/>
    </row>
    <row r="457" spans="2:61" ht="20.100000000000001" customHeight="1" x14ac:dyDescent="0.45">
      <c r="B457" s="168"/>
      <c r="C457" s="31"/>
      <c r="D457" s="31"/>
      <c r="E457" s="31"/>
      <c r="F457" s="31"/>
      <c r="G457" s="138"/>
      <c r="H457" s="139"/>
      <c r="I457" s="138"/>
      <c r="J457" s="169" t="s">
        <v>328</v>
      </c>
      <c r="K457" s="52"/>
      <c r="L457" s="52"/>
      <c r="M457" s="52"/>
      <c r="N457" s="52"/>
      <c r="O457" s="52"/>
      <c r="P457" s="52"/>
      <c r="Q457" s="52"/>
      <c r="R457" s="169" t="s">
        <v>412</v>
      </c>
      <c r="S457" s="52"/>
      <c r="T457" s="52"/>
      <c r="U457" s="52"/>
      <c r="V457" s="52"/>
      <c r="W457" s="52"/>
      <c r="X457" s="52"/>
      <c r="Y457" s="52"/>
      <c r="Z457" s="52"/>
      <c r="AA457" s="52"/>
      <c r="AB457" s="52"/>
      <c r="AC457" s="52"/>
      <c r="AD457" s="52"/>
      <c r="AE457" s="52"/>
      <c r="AF457" s="52"/>
      <c r="AG457" s="52"/>
      <c r="AH457" s="52"/>
      <c r="AI457" s="52"/>
      <c r="AJ457" s="170"/>
      <c r="AK457" s="140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141"/>
    </row>
    <row r="458" spans="2:61" ht="20.100000000000001" customHeight="1" x14ac:dyDescent="0.45">
      <c r="B458" s="168"/>
      <c r="C458" s="31"/>
      <c r="D458" s="31"/>
      <c r="E458" s="31"/>
      <c r="F458" s="31"/>
      <c r="G458" s="138"/>
      <c r="H458" s="139"/>
      <c r="I458" s="138"/>
      <c r="J458" s="169" t="s">
        <v>329</v>
      </c>
      <c r="K458" s="52"/>
      <c r="L458" s="52"/>
      <c r="M458" s="52"/>
      <c r="N458" s="52"/>
      <c r="O458" s="52"/>
      <c r="P458" s="52"/>
      <c r="Q458" s="52"/>
      <c r="R458" s="169" t="s">
        <v>413</v>
      </c>
      <c r="S458" s="52"/>
      <c r="T458" s="52"/>
      <c r="U458" s="52"/>
      <c r="V458" s="52"/>
      <c r="W458" s="52"/>
      <c r="X458" s="52"/>
      <c r="Y458" s="52"/>
      <c r="Z458" s="52"/>
      <c r="AA458" s="52"/>
      <c r="AB458" s="52"/>
      <c r="AC458" s="52"/>
      <c r="AD458" s="52"/>
      <c r="AE458" s="52"/>
      <c r="AF458" s="52"/>
      <c r="AG458" s="52"/>
      <c r="AH458" s="52"/>
      <c r="AI458" s="52"/>
      <c r="AJ458" s="170"/>
      <c r="AK458" s="140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141"/>
    </row>
    <row r="459" spans="2:61" ht="20.100000000000001" customHeight="1" x14ac:dyDescent="0.45">
      <c r="B459" s="168"/>
      <c r="C459" s="31"/>
      <c r="D459" s="31"/>
      <c r="E459" s="31"/>
      <c r="F459" s="31"/>
      <c r="G459" s="138"/>
      <c r="H459" s="139"/>
      <c r="I459" s="138"/>
      <c r="J459" s="169" t="s">
        <v>298</v>
      </c>
      <c r="K459" s="52"/>
      <c r="L459" s="52"/>
      <c r="M459" s="52"/>
      <c r="N459" s="52"/>
      <c r="O459" s="52"/>
      <c r="P459" s="52"/>
      <c r="Q459" s="52"/>
      <c r="R459" s="176" t="s">
        <v>413</v>
      </c>
      <c r="S459" s="52"/>
      <c r="T459" s="52"/>
      <c r="U459" s="52"/>
      <c r="V459" s="52"/>
      <c r="W459" s="52"/>
      <c r="X459" s="52"/>
      <c r="Y459" s="52"/>
      <c r="Z459" s="52"/>
      <c r="AA459" s="52"/>
      <c r="AB459" s="52"/>
      <c r="AC459" s="52"/>
      <c r="AD459" s="52"/>
      <c r="AE459" s="52"/>
      <c r="AF459" s="52"/>
      <c r="AG459" s="52"/>
      <c r="AH459" s="52"/>
      <c r="AI459" s="52"/>
      <c r="AJ459" s="170"/>
      <c r="AK459" s="140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141"/>
    </row>
    <row r="460" spans="2:61" ht="20.100000000000001" customHeight="1" x14ac:dyDescent="0.45">
      <c r="B460" s="168"/>
      <c r="C460" s="31"/>
      <c r="D460" s="31"/>
      <c r="E460" s="31"/>
      <c r="F460" s="31"/>
      <c r="G460" s="138"/>
      <c r="H460" s="139"/>
      <c r="I460" s="138"/>
      <c r="J460" s="169" t="s">
        <v>330</v>
      </c>
      <c r="K460" s="52"/>
      <c r="L460" s="52"/>
      <c r="M460" s="52"/>
      <c r="N460" s="52"/>
      <c r="O460" s="52"/>
      <c r="P460" s="52"/>
      <c r="Q460" s="52"/>
      <c r="R460" s="181" t="s">
        <v>414</v>
      </c>
      <c r="S460" s="52"/>
      <c r="T460" s="52"/>
      <c r="U460" s="52"/>
      <c r="V460" s="52"/>
      <c r="W460" s="52"/>
      <c r="X460" s="52"/>
      <c r="Y460" s="52"/>
      <c r="Z460" s="52"/>
      <c r="AA460" s="52"/>
      <c r="AB460" s="52"/>
      <c r="AC460" s="52"/>
      <c r="AD460" s="52"/>
      <c r="AE460" s="52"/>
      <c r="AF460" s="52"/>
      <c r="AG460" s="52"/>
      <c r="AH460" s="52"/>
      <c r="AI460" s="52"/>
      <c r="AJ460" s="170"/>
      <c r="AK460" s="140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141"/>
    </row>
    <row r="461" spans="2:61" ht="20.100000000000001" customHeight="1" x14ac:dyDescent="0.45">
      <c r="B461" s="168"/>
      <c r="C461" s="31"/>
      <c r="D461" s="31"/>
      <c r="E461" s="31"/>
      <c r="F461" s="31"/>
      <c r="G461" s="138"/>
      <c r="H461" s="139"/>
      <c r="I461" s="138"/>
      <c r="J461" s="169" t="s">
        <v>301</v>
      </c>
      <c r="K461" s="52"/>
      <c r="L461" s="52"/>
      <c r="M461" s="52"/>
      <c r="N461" s="52"/>
      <c r="O461" s="52"/>
      <c r="P461" s="52"/>
      <c r="Q461" s="52"/>
      <c r="R461" s="181" t="s">
        <v>300</v>
      </c>
      <c r="S461" s="52"/>
      <c r="T461" s="52"/>
      <c r="U461" s="52"/>
      <c r="V461" s="52"/>
      <c r="W461" s="52"/>
      <c r="X461" s="52"/>
      <c r="Y461" s="52"/>
      <c r="Z461" s="52"/>
      <c r="AA461" s="52"/>
      <c r="AB461" s="52"/>
      <c r="AC461" s="52"/>
      <c r="AD461" s="52"/>
      <c r="AE461" s="52"/>
      <c r="AF461" s="52"/>
      <c r="AG461" s="52"/>
      <c r="AH461" s="52"/>
      <c r="AI461" s="52"/>
      <c r="AJ461" s="170"/>
      <c r="AK461" s="140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141"/>
    </row>
    <row r="462" spans="2:61" ht="20.100000000000001" customHeight="1" x14ac:dyDescent="0.45">
      <c r="B462" s="168"/>
      <c r="C462" s="31"/>
      <c r="D462" s="31"/>
      <c r="E462" s="31"/>
      <c r="F462" s="31"/>
      <c r="G462" s="138"/>
      <c r="H462" s="139"/>
      <c r="I462" s="138"/>
      <c r="J462" s="169" t="s">
        <v>331</v>
      </c>
      <c r="K462" s="52"/>
      <c r="L462" s="52"/>
      <c r="M462" s="52"/>
      <c r="N462" s="52"/>
      <c r="O462" s="52"/>
      <c r="P462" s="52"/>
      <c r="Q462" s="52"/>
      <c r="R462" s="181" t="s">
        <v>415</v>
      </c>
      <c r="S462" s="52"/>
      <c r="T462" s="52"/>
      <c r="U462" s="52"/>
      <c r="V462" s="52"/>
      <c r="W462" s="52"/>
      <c r="X462" s="52"/>
      <c r="Y462" s="52"/>
      <c r="Z462" s="52"/>
      <c r="AA462" s="52"/>
      <c r="AB462" s="52"/>
      <c r="AC462" s="52"/>
      <c r="AD462" s="52"/>
      <c r="AE462" s="52"/>
      <c r="AF462" s="52"/>
      <c r="AG462" s="52"/>
      <c r="AH462" s="52"/>
      <c r="AI462" s="52"/>
      <c r="AJ462" s="170"/>
      <c r="AK462" s="140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141"/>
    </row>
    <row r="463" spans="2:61" ht="20.100000000000001" customHeight="1" x14ac:dyDescent="0.45">
      <c r="B463" s="168"/>
      <c r="C463" s="31"/>
      <c r="D463" s="31"/>
      <c r="E463" s="31"/>
      <c r="F463" s="31"/>
      <c r="G463" s="138"/>
      <c r="H463" s="139"/>
      <c r="I463" s="138"/>
      <c r="J463" s="169" t="s">
        <v>302</v>
      </c>
      <c r="K463" s="52"/>
      <c r="L463" s="52"/>
      <c r="M463" s="52"/>
      <c r="N463" s="52"/>
      <c r="O463" s="52"/>
      <c r="P463" s="52"/>
      <c r="Q463" s="52"/>
      <c r="R463" s="176" t="s">
        <v>415</v>
      </c>
      <c r="S463" s="52"/>
      <c r="T463" s="52"/>
      <c r="U463" s="52"/>
      <c r="V463" s="52"/>
      <c r="W463" s="52"/>
      <c r="X463" s="52"/>
      <c r="Y463" s="52"/>
      <c r="Z463" s="52"/>
      <c r="AA463" s="52"/>
      <c r="AB463" s="52"/>
      <c r="AC463" s="52"/>
      <c r="AD463" s="52"/>
      <c r="AE463" s="52"/>
      <c r="AF463" s="52"/>
      <c r="AG463" s="52"/>
      <c r="AH463" s="52"/>
      <c r="AI463" s="52"/>
      <c r="AJ463" s="170"/>
      <c r="AK463" s="140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141"/>
    </row>
    <row r="464" spans="2:61" ht="20.100000000000001" customHeight="1" x14ac:dyDescent="0.45">
      <c r="B464" s="168"/>
      <c r="C464" s="31"/>
      <c r="D464" s="31"/>
      <c r="E464" s="31"/>
      <c r="F464" s="31"/>
      <c r="G464" s="138"/>
      <c r="H464" s="139"/>
      <c r="I464" s="138"/>
      <c r="J464" s="169" t="s">
        <v>307</v>
      </c>
      <c r="K464" s="52"/>
      <c r="L464" s="52"/>
      <c r="M464" s="52"/>
      <c r="N464" s="52"/>
      <c r="O464" s="52"/>
      <c r="P464" s="52"/>
      <c r="Q464" s="52"/>
      <c r="R464" s="181" t="s">
        <v>306</v>
      </c>
      <c r="S464" s="52"/>
      <c r="T464" s="52"/>
      <c r="U464" s="52"/>
      <c r="V464" s="52"/>
      <c r="W464" s="52"/>
      <c r="X464" s="52"/>
      <c r="Y464" s="52"/>
      <c r="Z464" s="52"/>
      <c r="AA464" s="52"/>
      <c r="AB464" s="52"/>
      <c r="AC464" s="52"/>
      <c r="AD464" s="52"/>
      <c r="AE464" s="52"/>
      <c r="AF464" s="52"/>
      <c r="AG464" s="52"/>
      <c r="AH464" s="52"/>
      <c r="AI464" s="52"/>
      <c r="AJ464" s="170"/>
      <c r="AK464" s="140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141"/>
    </row>
    <row r="465" spans="2:61" ht="20.100000000000001" customHeight="1" x14ac:dyDescent="0.45">
      <c r="B465" s="168"/>
      <c r="C465" s="31"/>
      <c r="D465" s="31"/>
      <c r="E465" s="31"/>
      <c r="F465" s="31"/>
      <c r="G465" s="138"/>
      <c r="H465" s="139"/>
      <c r="I465" s="138"/>
      <c r="J465" s="169" t="s">
        <v>309</v>
      </c>
      <c r="K465" s="52"/>
      <c r="L465" s="52"/>
      <c r="M465" s="52"/>
      <c r="N465" s="52"/>
      <c r="O465" s="52"/>
      <c r="P465" s="52"/>
      <c r="Q465" s="52"/>
      <c r="R465" s="169" t="s">
        <v>308</v>
      </c>
      <c r="S465" s="52"/>
      <c r="T465" s="52"/>
      <c r="U465" s="52"/>
      <c r="V465" s="52"/>
      <c r="W465" s="52"/>
      <c r="X465" s="52"/>
      <c r="Y465" s="52"/>
      <c r="Z465" s="52"/>
      <c r="AA465" s="52"/>
      <c r="AB465" s="52"/>
      <c r="AC465" s="52"/>
      <c r="AD465" s="52"/>
      <c r="AE465" s="52"/>
      <c r="AF465" s="52"/>
      <c r="AG465" s="52"/>
      <c r="AH465" s="52"/>
      <c r="AI465" s="52"/>
      <c r="AJ465" s="170"/>
      <c r="AK465" s="140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141"/>
    </row>
    <row r="466" spans="2:61" ht="20.100000000000001" customHeight="1" x14ac:dyDescent="0.45">
      <c r="B466" s="168"/>
      <c r="C466" s="31"/>
      <c r="D466" s="31"/>
      <c r="E466" s="31"/>
      <c r="F466" s="31"/>
      <c r="G466" s="138"/>
      <c r="H466" s="139"/>
      <c r="I466" s="138"/>
      <c r="J466" s="169" t="s">
        <v>333</v>
      </c>
      <c r="K466" s="52"/>
      <c r="L466" s="52"/>
      <c r="M466" s="52"/>
      <c r="N466" s="52"/>
      <c r="O466" s="52"/>
      <c r="P466" s="52"/>
      <c r="Q466" s="52"/>
      <c r="R466" s="169" t="s">
        <v>332</v>
      </c>
      <c r="S466" s="52"/>
      <c r="T466" s="52"/>
      <c r="U466" s="52"/>
      <c r="V466" s="52"/>
      <c r="W466" s="52"/>
      <c r="X466" s="52"/>
      <c r="Y466" s="52"/>
      <c r="Z466" s="52"/>
      <c r="AA466" s="52"/>
      <c r="AB466" s="52"/>
      <c r="AC466" s="52"/>
      <c r="AD466" s="52"/>
      <c r="AE466" s="52"/>
      <c r="AF466" s="52"/>
      <c r="AG466" s="52"/>
      <c r="AH466" s="52"/>
      <c r="AI466" s="52"/>
      <c r="AJ466" s="170"/>
      <c r="AK466" s="140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141"/>
    </row>
    <row r="467" spans="2:61" ht="20.100000000000001" customHeight="1" x14ac:dyDescent="0.45">
      <c r="B467" s="168"/>
      <c r="C467" s="31"/>
      <c r="D467" s="31"/>
      <c r="E467" s="31"/>
      <c r="F467" s="31"/>
      <c r="G467" s="138"/>
      <c r="H467" s="139"/>
      <c r="I467" s="138"/>
      <c r="J467" s="169" t="s">
        <v>305</v>
      </c>
      <c r="K467" s="52"/>
      <c r="L467" s="52"/>
      <c r="M467" s="52"/>
      <c r="N467" s="52"/>
      <c r="O467" s="52"/>
      <c r="P467" s="52"/>
      <c r="Q467" s="52"/>
      <c r="R467" s="169" t="s">
        <v>304</v>
      </c>
      <c r="S467" s="52"/>
      <c r="T467" s="52"/>
      <c r="U467" s="52"/>
      <c r="V467" s="52"/>
      <c r="W467" s="52"/>
      <c r="X467" s="52"/>
      <c r="Y467" s="52"/>
      <c r="Z467" s="52"/>
      <c r="AA467" s="52"/>
      <c r="AB467" s="52"/>
      <c r="AC467" s="52"/>
      <c r="AD467" s="52"/>
      <c r="AE467" s="52"/>
      <c r="AF467" s="52"/>
      <c r="AG467" s="52"/>
      <c r="AH467" s="52"/>
      <c r="AI467" s="52"/>
      <c r="AJ467" s="170"/>
      <c r="AK467" s="140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141"/>
    </row>
    <row r="468" spans="2:61" ht="20.100000000000001" customHeight="1" x14ac:dyDescent="0.45">
      <c r="B468" s="168"/>
      <c r="C468" s="31"/>
      <c r="D468" s="31"/>
      <c r="E468" s="31"/>
      <c r="F468" s="31"/>
      <c r="G468" s="138"/>
      <c r="H468" s="139"/>
      <c r="I468" s="138"/>
      <c r="J468" s="169" t="s">
        <v>334</v>
      </c>
      <c r="K468" s="52"/>
      <c r="L468" s="52"/>
      <c r="M468" s="52"/>
      <c r="N468" s="52"/>
      <c r="O468" s="52"/>
      <c r="P468" s="52"/>
      <c r="Q468" s="52"/>
      <c r="R468" s="169" t="s">
        <v>334</v>
      </c>
      <c r="S468" s="52"/>
      <c r="T468" s="52"/>
      <c r="U468" s="52"/>
      <c r="V468" s="52"/>
      <c r="W468" s="52"/>
      <c r="X468" s="52"/>
      <c r="Y468" s="52"/>
      <c r="Z468" s="52"/>
      <c r="AA468" s="52"/>
      <c r="AB468" s="52"/>
      <c r="AC468" s="52"/>
      <c r="AD468" s="52"/>
      <c r="AE468" s="52"/>
      <c r="AF468" s="52"/>
      <c r="AG468" s="52"/>
      <c r="AH468" s="52"/>
      <c r="AI468" s="52"/>
      <c r="AJ468" s="170"/>
      <c r="AK468" s="140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141"/>
    </row>
    <row r="469" spans="2:61" ht="20.100000000000001" customHeight="1" x14ac:dyDescent="0.45">
      <c r="B469" s="168"/>
      <c r="C469" s="31"/>
      <c r="D469" s="31"/>
      <c r="E469" s="31"/>
      <c r="F469" s="31"/>
      <c r="G469" s="138"/>
      <c r="H469" s="139"/>
      <c r="I469" s="138"/>
      <c r="J469" s="169" t="s">
        <v>335</v>
      </c>
      <c r="K469" s="52"/>
      <c r="L469" s="52"/>
      <c r="M469" s="52"/>
      <c r="N469" s="52"/>
      <c r="O469" s="52"/>
      <c r="P469" s="52"/>
      <c r="Q469" s="52"/>
      <c r="R469" s="169" t="s">
        <v>335</v>
      </c>
      <c r="S469" s="52"/>
      <c r="T469" s="52"/>
      <c r="U469" s="52"/>
      <c r="V469" s="52"/>
      <c r="W469" s="52"/>
      <c r="X469" s="52"/>
      <c r="Y469" s="52"/>
      <c r="Z469" s="52"/>
      <c r="AA469" s="52"/>
      <c r="AB469" s="52"/>
      <c r="AC469" s="52"/>
      <c r="AD469" s="52"/>
      <c r="AE469" s="52"/>
      <c r="AF469" s="52"/>
      <c r="AG469" s="52"/>
      <c r="AH469" s="52"/>
      <c r="AI469" s="52"/>
      <c r="AJ469" s="170"/>
      <c r="AK469" s="140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141"/>
    </row>
    <row r="470" spans="2:61" ht="20.100000000000001" customHeight="1" x14ac:dyDescent="0.45">
      <c r="B470" s="168"/>
      <c r="C470" s="31"/>
      <c r="D470" s="31"/>
      <c r="E470" s="31"/>
      <c r="F470" s="31"/>
      <c r="G470" s="138"/>
      <c r="H470" s="139"/>
      <c r="I470" s="138"/>
      <c r="J470" s="169" t="s">
        <v>336</v>
      </c>
      <c r="K470" s="52"/>
      <c r="L470" s="52"/>
      <c r="M470" s="52"/>
      <c r="N470" s="52"/>
      <c r="O470" s="52"/>
      <c r="P470" s="52"/>
      <c r="Q470" s="52"/>
      <c r="R470" s="169" t="s">
        <v>336</v>
      </c>
      <c r="S470" s="52"/>
      <c r="T470" s="52"/>
      <c r="U470" s="52"/>
      <c r="V470" s="52"/>
      <c r="W470" s="52"/>
      <c r="X470" s="52"/>
      <c r="Y470" s="52"/>
      <c r="Z470" s="52"/>
      <c r="AA470" s="52"/>
      <c r="AB470" s="52"/>
      <c r="AC470" s="52"/>
      <c r="AD470" s="52"/>
      <c r="AE470" s="52"/>
      <c r="AF470" s="52"/>
      <c r="AG470" s="52"/>
      <c r="AH470" s="52"/>
      <c r="AI470" s="52"/>
      <c r="AJ470" s="170"/>
      <c r="AK470" s="140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141"/>
    </row>
    <row r="471" spans="2:61" ht="20.100000000000001" customHeight="1" x14ac:dyDescent="0.45">
      <c r="B471" s="168"/>
      <c r="C471" s="31"/>
      <c r="D471" s="31"/>
      <c r="E471" s="31"/>
      <c r="F471" s="31"/>
      <c r="G471" s="138"/>
      <c r="H471" s="139"/>
      <c r="I471" s="138"/>
      <c r="J471" s="169" t="s">
        <v>337</v>
      </c>
      <c r="K471" s="52"/>
      <c r="L471" s="52"/>
      <c r="M471" s="52"/>
      <c r="N471" s="52"/>
      <c r="O471" s="52"/>
      <c r="P471" s="52"/>
      <c r="Q471" s="52"/>
      <c r="R471" s="169" t="s">
        <v>337</v>
      </c>
      <c r="S471" s="52"/>
      <c r="T471" s="52"/>
      <c r="U471" s="52"/>
      <c r="V471" s="52"/>
      <c r="W471" s="52"/>
      <c r="X471" s="52"/>
      <c r="Y471" s="52"/>
      <c r="Z471" s="52"/>
      <c r="AA471" s="52"/>
      <c r="AB471" s="52"/>
      <c r="AC471" s="52"/>
      <c r="AD471" s="52"/>
      <c r="AE471" s="52"/>
      <c r="AF471" s="52"/>
      <c r="AG471" s="52"/>
      <c r="AH471" s="52"/>
      <c r="AI471" s="52"/>
      <c r="AJ471" s="170"/>
      <c r="AK471" s="140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141"/>
    </row>
    <row r="472" spans="2:61" ht="20.100000000000001" customHeight="1" x14ac:dyDescent="0.45">
      <c r="B472" s="168"/>
      <c r="C472" s="31"/>
      <c r="D472" s="31"/>
      <c r="E472" s="31"/>
      <c r="F472" s="31"/>
      <c r="G472" s="138"/>
      <c r="H472" s="139"/>
      <c r="I472" s="138"/>
      <c r="J472" s="169" t="s">
        <v>338</v>
      </c>
      <c r="K472" s="52"/>
      <c r="L472" s="52"/>
      <c r="M472" s="52"/>
      <c r="N472" s="52"/>
      <c r="O472" s="52"/>
      <c r="P472" s="52"/>
      <c r="Q472" s="52"/>
      <c r="R472" s="169" t="s">
        <v>338</v>
      </c>
      <c r="S472" s="52"/>
      <c r="T472" s="52"/>
      <c r="U472" s="52"/>
      <c r="V472" s="52"/>
      <c r="W472" s="52"/>
      <c r="X472" s="52"/>
      <c r="Y472" s="52"/>
      <c r="Z472" s="52"/>
      <c r="AA472" s="52"/>
      <c r="AB472" s="52"/>
      <c r="AC472" s="52"/>
      <c r="AD472" s="52"/>
      <c r="AE472" s="52"/>
      <c r="AF472" s="52"/>
      <c r="AG472" s="52"/>
      <c r="AH472" s="52"/>
      <c r="AI472" s="52"/>
      <c r="AJ472" s="170"/>
      <c r="AK472" s="140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141"/>
    </row>
    <row r="473" spans="2:61" ht="20.100000000000001" customHeight="1" x14ac:dyDescent="0.45">
      <c r="B473" s="168"/>
      <c r="C473" s="31"/>
      <c r="D473" s="31"/>
      <c r="E473" s="31"/>
      <c r="F473" s="31"/>
      <c r="G473" s="138"/>
      <c r="H473" s="139"/>
      <c r="I473" s="138"/>
      <c r="J473" s="169" t="s">
        <v>339</v>
      </c>
      <c r="K473" s="52"/>
      <c r="L473" s="52"/>
      <c r="M473" s="52"/>
      <c r="N473" s="52"/>
      <c r="O473" s="52"/>
      <c r="P473" s="52"/>
      <c r="Q473" s="52"/>
      <c r="R473" s="169" t="s">
        <v>416</v>
      </c>
      <c r="S473" s="52"/>
      <c r="T473" s="52"/>
      <c r="U473" s="52"/>
      <c r="V473" s="52"/>
      <c r="W473" s="52"/>
      <c r="X473" s="52"/>
      <c r="Y473" s="52"/>
      <c r="Z473" s="52"/>
      <c r="AA473" s="52"/>
      <c r="AB473" s="52"/>
      <c r="AC473" s="52"/>
      <c r="AD473" s="52"/>
      <c r="AE473" s="52"/>
      <c r="AF473" s="52"/>
      <c r="AG473" s="52"/>
      <c r="AH473" s="52"/>
      <c r="AI473" s="52"/>
      <c r="AJ473" s="170"/>
      <c r="AK473" s="140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141"/>
    </row>
    <row r="474" spans="2:61" ht="20.100000000000001" customHeight="1" x14ac:dyDescent="0.45">
      <c r="B474" s="168"/>
      <c r="C474" s="31"/>
      <c r="D474" s="31"/>
      <c r="E474" s="31"/>
      <c r="F474" s="31"/>
      <c r="G474" s="138"/>
      <c r="H474" s="145"/>
      <c r="I474" s="171"/>
      <c r="J474" s="142" t="s">
        <v>340</v>
      </c>
      <c r="K474" s="52"/>
      <c r="L474" s="52"/>
      <c r="M474" s="52"/>
      <c r="N474" s="52"/>
      <c r="O474" s="52"/>
      <c r="P474" s="52"/>
      <c r="Q474" s="52"/>
      <c r="R474" s="169">
        <v>1</v>
      </c>
      <c r="S474" s="52"/>
      <c r="T474" s="52"/>
      <c r="U474" s="52"/>
      <c r="V474" s="52"/>
      <c r="W474" s="52"/>
      <c r="X474" s="52"/>
      <c r="Y474" s="52"/>
      <c r="Z474" s="52"/>
      <c r="AA474" s="52"/>
      <c r="AB474" s="52"/>
      <c r="AC474" s="52"/>
      <c r="AD474" s="52"/>
      <c r="AE474" s="52"/>
      <c r="AF474" s="52"/>
      <c r="AG474" s="52"/>
      <c r="AH474" s="52"/>
      <c r="AI474" s="52"/>
      <c r="AJ474" s="170"/>
      <c r="AK474" s="140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141"/>
    </row>
    <row r="475" spans="2:61" ht="20.100000000000001" customHeight="1" x14ac:dyDescent="0.45">
      <c r="B475" s="168"/>
      <c r="C475" s="31"/>
      <c r="D475" s="31"/>
      <c r="E475" s="31"/>
      <c r="F475" s="31"/>
      <c r="G475" s="138"/>
      <c r="H475" s="139" t="s">
        <v>145</v>
      </c>
      <c r="I475" s="31"/>
      <c r="J475" s="142" t="s">
        <v>417</v>
      </c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140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141"/>
    </row>
    <row r="476" spans="2:61" ht="20.100000000000001" customHeight="1" x14ac:dyDescent="0.45">
      <c r="B476" s="137"/>
      <c r="C476" s="31"/>
      <c r="D476" s="31"/>
      <c r="E476" s="31"/>
      <c r="F476" s="31"/>
      <c r="G476" s="138"/>
      <c r="H476" s="139"/>
      <c r="I476" s="31"/>
      <c r="J476" s="139" t="s">
        <v>418</v>
      </c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140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141"/>
    </row>
    <row r="477" spans="2:61" ht="20.100000000000001" customHeight="1" x14ac:dyDescent="0.45">
      <c r="B477" s="137"/>
      <c r="C477" s="31"/>
      <c r="D477" s="31"/>
      <c r="E477" s="31"/>
      <c r="F477" s="31"/>
      <c r="G477" s="138"/>
      <c r="H477" s="142" t="s">
        <v>146</v>
      </c>
      <c r="I477" s="55"/>
      <c r="J477" s="142" t="s">
        <v>419</v>
      </c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  <c r="AA477" s="55"/>
      <c r="AB477" s="55"/>
      <c r="AC477" s="55"/>
      <c r="AD477" s="55"/>
      <c r="AE477" s="55"/>
      <c r="AF477" s="55"/>
      <c r="AG477" s="55"/>
      <c r="AH477" s="55"/>
      <c r="AI477" s="55"/>
      <c r="AJ477" s="55"/>
      <c r="AK477" s="143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55"/>
      <c r="BI477" s="144"/>
    </row>
    <row r="478" spans="2:61" ht="20.100000000000001" customHeight="1" x14ac:dyDescent="0.45">
      <c r="B478" s="137"/>
      <c r="C478" s="31"/>
      <c r="D478" s="31"/>
      <c r="E478" s="31"/>
      <c r="F478" s="31"/>
      <c r="G478" s="138"/>
      <c r="H478" s="139"/>
      <c r="I478" s="31"/>
      <c r="J478" s="139"/>
      <c r="K478" s="31" t="s">
        <v>420</v>
      </c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140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141"/>
    </row>
    <row r="479" spans="2:61" ht="20.100000000000001" customHeight="1" x14ac:dyDescent="0.45">
      <c r="B479" s="137"/>
      <c r="C479" s="31"/>
      <c r="D479" s="31"/>
      <c r="E479" s="31"/>
      <c r="F479" s="31"/>
      <c r="G479" s="138"/>
      <c r="H479" s="139"/>
      <c r="I479" s="31"/>
      <c r="J479" s="139"/>
      <c r="K479" s="31"/>
      <c r="L479" s="31"/>
      <c r="M479" s="31" t="s">
        <v>421</v>
      </c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140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141"/>
    </row>
    <row r="480" spans="2:61" ht="20.100000000000001" customHeight="1" x14ac:dyDescent="0.45">
      <c r="B480" s="137"/>
      <c r="C480" s="31"/>
      <c r="D480" s="31"/>
      <c r="E480" s="31"/>
      <c r="F480" s="31"/>
      <c r="G480" s="138"/>
      <c r="H480" s="139"/>
      <c r="I480" s="31"/>
      <c r="J480" s="139"/>
      <c r="K480" s="31"/>
      <c r="L480" s="31" t="s">
        <v>425</v>
      </c>
      <c r="M480" s="31" t="s">
        <v>422</v>
      </c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140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141"/>
    </row>
    <row r="481" spans="2:61" ht="20.100000000000001" customHeight="1" x14ac:dyDescent="0.45">
      <c r="B481" s="137"/>
      <c r="C481" s="31"/>
      <c r="D481" s="31"/>
      <c r="E481" s="31"/>
      <c r="F481" s="31"/>
      <c r="G481" s="138"/>
      <c r="H481" s="139"/>
      <c r="I481" s="31"/>
      <c r="J481" s="139"/>
      <c r="K481" s="31"/>
      <c r="L481" s="31" t="s">
        <v>425</v>
      </c>
      <c r="M481" s="31" t="s">
        <v>423</v>
      </c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140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141"/>
    </row>
    <row r="482" spans="2:61" ht="20.100000000000001" customHeight="1" thickBot="1" x14ac:dyDescent="0.5">
      <c r="B482" s="137"/>
      <c r="C482" s="31"/>
      <c r="D482" s="31"/>
      <c r="E482" s="31"/>
      <c r="F482" s="31"/>
      <c r="G482" s="138"/>
      <c r="H482" s="139"/>
      <c r="I482" s="31"/>
      <c r="J482" s="139"/>
      <c r="K482" s="31"/>
      <c r="L482" s="31" t="s">
        <v>425</v>
      </c>
      <c r="M482" s="31" t="s">
        <v>424</v>
      </c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140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141"/>
    </row>
    <row r="483" spans="2:61" ht="20.100000000000001" customHeight="1" x14ac:dyDescent="0.45">
      <c r="B483" s="131" t="s">
        <v>426</v>
      </c>
      <c r="C483" s="132"/>
      <c r="D483" s="132"/>
      <c r="E483" s="132"/>
      <c r="F483" s="132"/>
      <c r="G483" s="133"/>
      <c r="H483" s="134" t="s">
        <v>237</v>
      </c>
      <c r="I483" s="133"/>
      <c r="J483" s="173" t="s">
        <v>311</v>
      </c>
      <c r="K483" s="166"/>
      <c r="L483" s="166"/>
      <c r="M483" s="166"/>
      <c r="N483" s="166"/>
      <c r="O483" s="166"/>
      <c r="P483" s="166"/>
      <c r="Q483" s="166"/>
      <c r="R483" s="173" t="s">
        <v>311</v>
      </c>
      <c r="S483" s="166"/>
      <c r="T483" s="166"/>
      <c r="U483" s="166"/>
      <c r="V483" s="166"/>
      <c r="W483" s="166"/>
      <c r="X483" s="166"/>
      <c r="Y483" s="166"/>
      <c r="Z483" s="166"/>
      <c r="AA483" s="166"/>
      <c r="AB483" s="166"/>
      <c r="AC483" s="166"/>
      <c r="AD483" s="166"/>
      <c r="AE483" s="166"/>
      <c r="AF483" s="166"/>
      <c r="AG483" s="166"/>
      <c r="AH483" s="166"/>
      <c r="AI483" s="166"/>
      <c r="AJ483" s="167"/>
      <c r="AK483" s="135"/>
      <c r="AL483" s="132"/>
      <c r="AM483" s="132"/>
      <c r="AN483" s="132"/>
      <c r="AO483" s="132"/>
      <c r="AP483" s="132"/>
      <c r="AQ483" s="132"/>
      <c r="AR483" s="132"/>
      <c r="AS483" s="132"/>
      <c r="AT483" s="132"/>
      <c r="AU483" s="132"/>
      <c r="AV483" s="132"/>
      <c r="AW483" s="132"/>
      <c r="AX483" s="132"/>
      <c r="AY483" s="132"/>
      <c r="AZ483" s="132"/>
      <c r="BA483" s="132"/>
      <c r="BB483" s="132"/>
      <c r="BC483" s="132"/>
      <c r="BD483" s="132"/>
      <c r="BE483" s="132"/>
      <c r="BF483" s="132"/>
      <c r="BG483" s="132"/>
      <c r="BH483" s="132"/>
      <c r="BI483" s="136"/>
    </row>
    <row r="484" spans="2:61" ht="20.100000000000001" customHeight="1" x14ac:dyDescent="0.45">
      <c r="B484" s="168"/>
      <c r="C484" s="31"/>
      <c r="D484" s="31"/>
      <c r="E484" s="31"/>
      <c r="F484" s="31"/>
      <c r="G484" s="138"/>
      <c r="H484" s="139"/>
      <c r="I484" s="138"/>
      <c r="J484" s="169" t="s">
        <v>294</v>
      </c>
      <c r="K484" s="52"/>
      <c r="L484" s="52"/>
      <c r="M484" s="52"/>
      <c r="N484" s="52"/>
      <c r="O484" s="52"/>
      <c r="P484" s="52"/>
      <c r="Q484" s="52"/>
      <c r="R484" s="169" t="s">
        <v>294</v>
      </c>
      <c r="S484" s="52"/>
      <c r="T484" s="52"/>
      <c r="U484" s="52"/>
      <c r="V484" s="52"/>
      <c r="W484" s="52"/>
      <c r="X484" s="52"/>
      <c r="Y484" s="52"/>
      <c r="Z484" s="52"/>
      <c r="AA484" s="52"/>
      <c r="AB484" s="52"/>
      <c r="AC484" s="52"/>
      <c r="AD484" s="52"/>
      <c r="AE484" s="52"/>
      <c r="AF484" s="52"/>
      <c r="AG484" s="52"/>
      <c r="AH484" s="52"/>
      <c r="AI484" s="52"/>
      <c r="AJ484" s="170"/>
      <c r="AK484" s="140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141"/>
    </row>
    <row r="485" spans="2:61" ht="20.100000000000001" customHeight="1" x14ac:dyDescent="0.45">
      <c r="B485" s="168"/>
      <c r="C485" s="31"/>
      <c r="D485" s="31"/>
      <c r="E485" s="31"/>
      <c r="F485" s="31"/>
      <c r="G485" s="138"/>
      <c r="H485" s="139"/>
      <c r="I485" s="138"/>
      <c r="J485" s="169" t="s">
        <v>339</v>
      </c>
      <c r="K485" s="52"/>
      <c r="L485" s="52"/>
      <c r="M485" s="52"/>
      <c r="N485" s="52"/>
      <c r="O485" s="52"/>
      <c r="P485" s="52"/>
      <c r="Q485" s="52"/>
      <c r="R485" s="169" t="s">
        <v>428</v>
      </c>
      <c r="S485" s="52"/>
      <c r="T485" s="52"/>
      <c r="U485" s="52"/>
      <c r="V485" s="52"/>
      <c r="W485" s="52"/>
      <c r="X485" s="52"/>
      <c r="Y485" s="52"/>
      <c r="Z485" s="52"/>
      <c r="AA485" s="52"/>
      <c r="AB485" s="52"/>
      <c r="AC485" s="52"/>
      <c r="AD485" s="52"/>
      <c r="AE485" s="52"/>
      <c r="AF485" s="52"/>
      <c r="AG485" s="52"/>
      <c r="AH485" s="52"/>
      <c r="AI485" s="52"/>
      <c r="AJ485" s="170"/>
      <c r="AK485" s="140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141"/>
    </row>
    <row r="486" spans="2:61" ht="20.100000000000001" customHeight="1" x14ac:dyDescent="0.45">
      <c r="B486" s="168"/>
      <c r="C486" s="31"/>
      <c r="D486" s="31"/>
      <c r="E486" s="31"/>
      <c r="F486" s="31"/>
      <c r="G486" s="138"/>
      <c r="H486" s="139"/>
      <c r="I486" s="138"/>
      <c r="J486" s="169" t="s">
        <v>315</v>
      </c>
      <c r="K486" s="52"/>
      <c r="L486" s="52"/>
      <c r="M486" s="52"/>
      <c r="N486" s="52"/>
      <c r="O486" s="52"/>
      <c r="P486" s="52"/>
      <c r="Q486" s="52"/>
      <c r="R486" s="169" t="s">
        <v>429</v>
      </c>
      <c r="S486" s="52"/>
      <c r="T486" s="52"/>
      <c r="U486" s="52"/>
      <c r="V486" s="52"/>
      <c r="W486" s="52"/>
      <c r="X486" s="52"/>
      <c r="Y486" s="52"/>
      <c r="Z486" s="52"/>
      <c r="AA486" s="52"/>
      <c r="AB486" s="52"/>
      <c r="AC486" s="52"/>
      <c r="AD486" s="52"/>
      <c r="AE486" s="52"/>
      <c r="AF486" s="52"/>
      <c r="AG486" s="52"/>
      <c r="AH486" s="52"/>
      <c r="AI486" s="52"/>
      <c r="AJ486" s="170"/>
      <c r="AK486" s="140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141"/>
    </row>
    <row r="487" spans="2:61" ht="20.100000000000001" customHeight="1" x14ac:dyDescent="0.45">
      <c r="B487" s="168"/>
      <c r="C487" s="31"/>
      <c r="D487" s="31"/>
      <c r="E487" s="31"/>
      <c r="F487" s="31"/>
      <c r="G487" s="138"/>
      <c r="H487" s="139"/>
      <c r="I487" s="138"/>
      <c r="J487" s="169" t="s">
        <v>372</v>
      </c>
      <c r="K487" s="52"/>
      <c r="L487" s="52"/>
      <c r="M487" s="52"/>
      <c r="N487" s="52"/>
      <c r="O487" s="52"/>
      <c r="P487" s="52"/>
      <c r="Q487" s="52"/>
      <c r="R487" s="169">
        <v>1</v>
      </c>
      <c r="S487" s="52"/>
      <c r="T487" s="52"/>
      <c r="U487" s="52"/>
      <c r="V487" s="52"/>
      <c r="W487" s="52"/>
      <c r="X487" s="52"/>
      <c r="Y487" s="52"/>
      <c r="Z487" s="52"/>
      <c r="AA487" s="52"/>
      <c r="AB487" s="52"/>
      <c r="AC487" s="52"/>
      <c r="AD487" s="52"/>
      <c r="AE487" s="52"/>
      <c r="AF487" s="52"/>
      <c r="AG487" s="52"/>
      <c r="AH487" s="52"/>
      <c r="AI487" s="52"/>
      <c r="AJ487" s="170"/>
      <c r="AK487" s="140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141"/>
    </row>
    <row r="488" spans="2:61" ht="20.100000000000001" customHeight="1" x14ac:dyDescent="0.45">
      <c r="B488" s="168"/>
      <c r="C488" s="31"/>
      <c r="D488" s="31"/>
      <c r="E488" s="31"/>
      <c r="F488" s="31"/>
      <c r="G488" s="138"/>
      <c r="H488" s="139"/>
      <c r="I488" s="138"/>
      <c r="J488" s="169" t="s">
        <v>302</v>
      </c>
      <c r="K488" s="52"/>
      <c r="L488" s="52"/>
      <c r="M488" s="52"/>
      <c r="N488" s="52"/>
      <c r="O488" s="52"/>
      <c r="P488" s="52"/>
      <c r="Q488" s="52"/>
      <c r="R488" s="176" t="s">
        <v>430</v>
      </c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170"/>
      <c r="AK488" s="140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141"/>
    </row>
    <row r="489" spans="2:61" ht="20.100000000000001" customHeight="1" x14ac:dyDescent="0.45">
      <c r="B489" s="168"/>
      <c r="C489" s="31"/>
      <c r="D489" s="31"/>
      <c r="E489" s="31"/>
      <c r="F489" s="31"/>
      <c r="G489" s="138"/>
      <c r="H489" s="139"/>
      <c r="I489" s="138"/>
      <c r="J489" s="169" t="s">
        <v>298</v>
      </c>
      <c r="K489" s="52"/>
      <c r="L489" s="52"/>
      <c r="M489" s="52"/>
      <c r="N489" s="52"/>
      <c r="O489" s="52"/>
      <c r="P489" s="52"/>
      <c r="Q489" s="52"/>
      <c r="R489" s="169" t="s">
        <v>431</v>
      </c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170"/>
      <c r="AK489" s="140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141"/>
    </row>
    <row r="490" spans="2:61" ht="20.100000000000001" customHeight="1" x14ac:dyDescent="0.45">
      <c r="B490" s="168"/>
      <c r="C490" s="31"/>
      <c r="D490" s="31"/>
      <c r="E490" s="31"/>
      <c r="F490" s="31"/>
      <c r="G490" s="138"/>
      <c r="H490" s="142" t="s">
        <v>145</v>
      </c>
      <c r="I490" s="175"/>
      <c r="J490" s="142" t="s">
        <v>432</v>
      </c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140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141"/>
    </row>
    <row r="491" spans="2:61" ht="20.100000000000001" customHeight="1" x14ac:dyDescent="0.45">
      <c r="B491" s="137"/>
      <c r="C491" s="31"/>
      <c r="D491" s="31"/>
      <c r="E491" s="31"/>
      <c r="F491" s="31"/>
      <c r="G491" s="138"/>
      <c r="H491" s="142" t="s">
        <v>147</v>
      </c>
      <c r="I491" s="55"/>
      <c r="J491" s="142" t="s">
        <v>433</v>
      </c>
      <c r="K491" s="55" t="s">
        <v>434</v>
      </c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  <c r="AA491" s="55"/>
      <c r="AB491" s="55"/>
      <c r="AC491" s="55"/>
      <c r="AD491" s="55"/>
      <c r="AE491" s="55"/>
      <c r="AF491" s="55"/>
      <c r="AG491" s="55"/>
      <c r="AH491" s="55"/>
      <c r="AI491" s="55"/>
      <c r="AJ491" s="55"/>
      <c r="AK491" s="143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55"/>
      <c r="BI491" s="144"/>
    </row>
    <row r="492" spans="2:61" ht="20.100000000000001" customHeight="1" x14ac:dyDescent="0.45">
      <c r="B492" s="137"/>
      <c r="C492" s="31"/>
      <c r="D492" s="31"/>
      <c r="E492" s="31"/>
      <c r="F492" s="31"/>
      <c r="G492" s="138"/>
      <c r="H492" s="142" t="s">
        <v>435</v>
      </c>
      <c r="I492" s="55"/>
      <c r="J492" s="142" t="s">
        <v>311</v>
      </c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  <c r="AA492" s="55"/>
      <c r="AB492" s="55"/>
      <c r="AC492" s="55"/>
      <c r="AD492" s="55"/>
      <c r="AE492" s="55"/>
      <c r="AF492" s="55"/>
      <c r="AG492" s="55"/>
      <c r="AH492" s="55"/>
      <c r="AI492" s="55"/>
      <c r="AJ492" s="55"/>
      <c r="AK492" s="143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55"/>
      <c r="BI492" s="144"/>
    </row>
    <row r="493" spans="2:61" ht="20.100000000000001" customHeight="1" x14ac:dyDescent="0.45">
      <c r="B493" s="137"/>
      <c r="C493" s="31"/>
      <c r="D493" s="31"/>
      <c r="E493" s="31"/>
      <c r="F493" s="31"/>
      <c r="G493" s="138"/>
      <c r="H493" s="139"/>
      <c r="I493" s="31"/>
      <c r="J493" s="139" t="s">
        <v>294</v>
      </c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140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141"/>
    </row>
    <row r="494" spans="2:61" ht="20.100000000000001" customHeight="1" thickBot="1" x14ac:dyDescent="0.5">
      <c r="B494" s="137"/>
      <c r="C494" s="31"/>
      <c r="D494" s="31"/>
      <c r="E494" s="31"/>
      <c r="F494" s="31"/>
      <c r="G494" s="138"/>
      <c r="H494" s="139"/>
      <c r="I494" s="31"/>
      <c r="J494" s="139" t="s">
        <v>428</v>
      </c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140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141"/>
    </row>
    <row r="495" spans="2:61" ht="20.100000000000001" customHeight="1" x14ac:dyDescent="0.45">
      <c r="B495" s="131" t="s">
        <v>427</v>
      </c>
      <c r="C495" s="132"/>
      <c r="D495" s="132"/>
      <c r="E495" s="132"/>
      <c r="F495" s="132"/>
      <c r="G495" s="133"/>
      <c r="H495" s="134" t="s">
        <v>237</v>
      </c>
      <c r="I495" s="133"/>
      <c r="J495" s="173" t="s">
        <v>311</v>
      </c>
      <c r="K495" s="166"/>
      <c r="L495" s="166"/>
      <c r="M495" s="166"/>
      <c r="N495" s="166"/>
      <c r="O495" s="166"/>
      <c r="P495" s="166"/>
      <c r="Q495" s="166"/>
      <c r="R495" s="173" t="s">
        <v>437</v>
      </c>
      <c r="S495" s="166"/>
      <c r="T495" s="166"/>
      <c r="U495" s="166"/>
      <c r="V495" s="166"/>
      <c r="W495" s="166"/>
      <c r="X495" s="166"/>
      <c r="Y495" s="166"/>
      <c r="Z495" s="166"/>
      <c r="AA495" s="166"/>
      <c r="AB495" s="166"/>
      <c r="AC495" s="166"/>
      <c r="AD495" s="166"/>
      <c r="AE495" s="166"/>
      <c r="AF495" s="166"/>
      <c r="AG495" s="166"/>
      <c r="AH495" s="166"/>
      <c r="AI495" s="166"/>
      <c r="AJ495" s="167"/>
      <c r="AK495" s="135"/>
      <c r="AL495" s="132"/>
      <c r="AM495" s="132"/>
      <c r="AN495" s="132"/>
      <c r="AO495" s="132"/>
      <c r="AP495" s="132"/>
      <c r="AQ495" s="132"/>
      <c r="AR495" s="132"/>
      <c r="AS495" s="132"/>
      <c r="AT495" s="132"/>
      <c r="AU495" s="132"/>
      <c r="AV495" s="132"/>
      <c r="AW495" s="132"/>
      <c r="AX495" s="132"/>
      <c r="AY495" s="132"/>
      <c r="AZ495" s="132"/>
      <c r="BA495" s="132"/>
      <c r="BB495" s="132"/>
      <c r="BC495" s="132"/>
      <c r="BD495" s="132"/>
      <c r="BE495" s="132"/>
      <c r="BF495" s="132"/>
      <c r="BG495" s="132"/>
      <c r="BH495" s="132"/>
      <c r="BI495" s="136"/>
    </row>
    <row r="496" spans="2:61" ht="20.100000000000001" customHeight="1" x14ac:dyDescent="0.45">
      <c r="B496" s="168"/>
      <c r="C496" s="31"/>
      <c r="D496" s="31"/>
      <c r="E496" s="31"/>
      <c r="F496" s="31"/>
      <c r="G496" s="138"/>
      <c r="H496" s="139"/>
      <c r="I496" s="138"/>
      <c r="J496" s="169" t="s">
        <v>294</v>
      </c>
      <c r="K496" s="52"/>
      <c r="L496" s="52"/>
      <c r="M496" s="52"/>
      <c r="N496" s="52"/>
      <c r="O496" s="52"/>
      <c r="P496" s="52"/>
      <c r="Q496" s="52"/>
      <c r="R496" s="169" t="s">
        <v>438</v>
      </c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170"/>
      <c r="AK496" s="140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141"/>
    </row>
    <row r="497" spans="2:61" ht="20.100000000000001" customHeight="1" x14ac:dyDescent="0.45">
      <c r="B497" s="168"/>
      <c r="C497" s="31"/>
      <c r="D497" s="31"/>
      <c r="E497" s="31"/>
      <c r="F497" s="31"/>
      <c r="G497" s="138"/>
      <c r="H497" s="139"/>
      <c r="I497" s="138"/>
      <c r="J497" s="169" t="s">
        <v>314</v>
      </c>
      <c r="K497" s="52"/>
      <c r="L497" s="52"/>
      <c r="M497" s="52"/>
      <c r="N497" s="52"/>
      <c r="O497" s="52"/>
      <c r="P497" s="52"/>
      <c r="Q497" s="52"/>
      <c r="R497" s="169" t="s">
        <v>439</v>
      </c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170"/>
      <c r="AK497" s="140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141"/>
    </row>
    <row r="498" spans="2:61" ht="20.100000000000001" customHeight="1" x14ac:dyDescent="0.45">
      <c r="B498" s="168"/>
      <c r="C498" s="31"/>
      <c r="D498" s="31"/>
      <c r="E498" s="31"/>
      <c r="F498" s="31"/>
      <c r="G498" s="138"/>
      <c r="H498" s="139"/>
      <c r="I498" s="138"/>
      <c r="J498" s="169" t="s">
        <v>315</v>
      </c>
      <c r="K498" s="52"/>
      <c r="L498" s="52"/>
      <c r="M498" s="52"/>
      <c r="N498" s="52"/>
      <c r="O498" s="52"/>
      <c r="P498" s="52"/>
      <c r="Q498" s="52"/>
      <c r="R498" s="169" t="s">
        <v>440</v>
      </c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170"/>
      <c r="AK498" s="140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141"/>
    </row>
    <row r="499" spans="2:61" ht="20.100000000000001" customHeight="1" x14ac:dyDescent="0.45">
      <c r="B499" s="168"/>
      <c r="C499" s="31"/>
      <c r="D499" s="31"/>
      <c r="E499" s="31"/>
      <c r="F499" s="31"/>
      <c r="G499" s="138"/>
      <c r="H499" s="139"/>
      <c r="I499" s="138"/>
      <c r="J499" s="169" t="s">
        <v>316</v>
      </c>
      <c r="K499" s="52"/>
      <c r="L499" s="52"/>
      <c r="M499" s="52"/>
      <c r="N499" s="52"/>
      <c r="O499" s="52"/>
      <c r="P499" s="52"/>
      <c r="Q499" s="52"/>
      <c r="R499" s="169" t="s">
        <v>441</v>
      </c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170"/>
      <c r="AK499" s="140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141"/>
    </row>
    <row r="500" spans="2:61" ht="20.100000000000001" customHeight="1" x14ac:dyDescent="0.45">
      <c r="B500" s="168"/>
      <c r="C500" s="31"/>
      <c r="D500" s="31"/>
      <c r="E500" s="31"/>
      <c r="F500" s="31"/>
      <c r="G500" s="138"/>
      <c r="H500" s="139"/>
      <c r="I500" s="138"/>
      <c r="J500" s="169" t="s">
        <v>317</v>
      </c>
      <c r="K500" s="52"/>
      <c r="L500" s="52"/>
      <c r="M500" s="52"/>
      <c r="N500" s="52"/>
      <c r="O500" s="52"/>
      <c r="P500" s="52"/>
      <c r="Q500" s="52"/>
      <c r="R500" s="169" t="s">
        <v>442</v>
      </c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170"/>
      <c r="AK500" s="140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141"/>
    </row>
    <row r="501" spans="2:61" ht="20.100000000000001" customHeight="1" x14ac:dyDescent="0.45">
      <c r="B501" s="168"/>
      <c r="C501" s="31"/>
      <c r="D501" s="31"/>
      <c r="E501" s="31"/>
      <c r="F501" s="31"/>
      <c r="G501" s="138"/>
      <c r="H501" s="139"/>
      <c r="I501" s="138"/>
      <c r="J501" s="169" t="s">
        <v>318</v>
      </c>
      <c r="K501" s="52"/>
      <c r="L501" s="52"/>
      <c r="M501" s="52"/>
      <c r="N501" s="52"/>
      <c r="O501" s="52"/>
      <c r="P501" s="52"/>
      <c r="Q501" s="52"/>
      <c r="R501" s="169" t="s">
        <v>443</v>
      </c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170"/>
      <c r="AK501" s="140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141"/>
    </row>
    <row r="502" spans="2:61" ht="20.100000000000001" customHeight="1" x14ac:dyDescent="0.45">
      <c r="B502" s="168"/>
      <c r="C502" s="31"/>
      <c r="D502" s="31"/>
      <c r="E502" s="31"/>
      <c r="F502" s="31"/>
      <c r="G502" s="138"/>
      <c r="H502" s="139"/>
      <c r="I502" s="138"/>
      <c r="J502" s="169" t="s">
        <v>319</v>
      </c>
      <c r="K502" s="52"/>
      <c r="L502" s="52"/>
      <c r="M502" s="52"/>
      <c r="N502" s="52"/>
      <c r="O502" s="52"/>
      <c r="P502" s="52"/>
      <c r="Q502" s="52"/>
      <c r="R502" s="169" t="s">
        <v>444</v>
      </c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170"/>
      <c r="AK502" s="140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141"/>
    </row>
    <row r="503" spans="2:61" ht="20.100000000000001" customHeight="1" x14ac:dyDescent="0.45">
      <c r="B503" s="168"/>
      <c r="C503" s="31"/>
      <c r="D503" s="31"/>
      <c r="E503" s="31"/>
      <c r="F503" s="31"/>
      <c r="G503" s="138"/>
      <c r="H503" s="139"/>
      <c r="I503" s="138"/>
      <c r="J503" s="169" t="s">
        <v>320</v>
      </c>
      <c r="K503" s="52"/>
      <c r="L503" s="52"/>
      <c r="M503" s="52"/>
      <c r="N503" s="52"/>
      <c r="O503" s="52"/>
      <c r="P503" s="52"/>
      <c r="Q503" s="52"/>
      <c r="R503" s="169" t="s">
        <v>445</v>
      </c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170"/>
      <c r="AK503" s="140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141"/>
    </row>
    <row r="504" spans="2:61" ht="20.100000000000001" customHeight="1" x14ac:dyDescent="0.45">
      <c r="B504" s="168"/>
      <c r="C504" s="31"/>
      <c r="D504" s="31"/>
      <c r="E504" s="31"/>
      <c r="F504" s="31"/>
      <c r="G504" s="138"/>
      <c r="H504" s="139"/>
      <c r="I504" s="138"/>
      <c r="J504" s="169" t="s">
        <v>321</v>
      </c>
      <c r="K504" s="52"/>
      <c r="L504" s="52"/>
      <c r="M504" s="52"/>
      <c r="N504" s="52"/>
      <c r="O504" s="52"/>
      <c r="P504" s="52"/>
      <c r="Q504" s="52"/>
      <c r="R504" s="169" t="s">
        <v>446</v>
      </c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170"/>
      <c r="AK504" s="140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141"/>
    </row>
    <row r="505" spans="2:61" ht="20.100000000000001" customHeight="1" x14ac:dyDescent="0.45">
      <c r="B505" s="168"/>
      <c r="C505" s="31"/>
      <c r="D505" s="31"/>
      <c r="E505" s="31"/>
      <c r="F505" s="31"/>
      <c r="G505" s="138"/>
      <c r="H505" s="139"/>
      <c r="I505" s="138"/>
      <c r="J505" s="169" t="s">
        <v>322</v>
      </c>
      <c r="K505" s="52"/>
      <c r="L505" s="52"/>
      <c r="M505" s="52"/>
      <c r="N505" s="52"/>
      <c r="O505" s="52"/>
      <c r="P505" s="52"/>
      <c r="Q505" s="52"/>
      <c r="R505" s="169" t="s">
        <v>447</v>
      </c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170"/>
      <c r="AK505" s="140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141"/>
    </row>
    <row r="506" spans="2:61" ht="20.100000000000001" customHeight="1" x14ac:dyDescent="0.45">
      <c r="B506" s="168"/>
      <c r="C506" s="31"/>
      <c r="D506" s="31"/>
      <c r="E506" s="31"/>
      <c r="F506" s="31"/>
      <c r="G506" s="138"/>
      <c r="H506" s="139"/>
      <c r="I506" s="138"/>
      <c r="J506" s="169" t="s">
        <v>323</v>
      </c>
      <c r="K506" s="52"/>
      <c r="L506" s="52"/>
      <c r="M506" s="52"/>
      <c r="N506" s="52"/>
      <c r="O506" s="52"/>
      <c r="P506" s="52"/>
      <c r="Q506" s="52"/>
      <c r="R506" s="169" t="s">
        <v>448</v>
      </c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170"/>
      <c r="AK506" s="140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141"/>
    </row>
    <row r="507" spans="2:61" ht="20.100000000000001" customHeight="1" x14ac:dyDescent="0.45">
      <c r="B507" s="168"/>
      <c r="C507" s="31"/>
      <c r="D507" s="31"/>
      <c r="E507" s="31"/>
      <c r="F507" s="31"/>
      <c r="G507" s="138"/>
      <c r="H507" s="139"/>
      <c r="I507" s="138"/>
      <c r="J507" s="169" t="s">
        <v>324</v>
      </c>
      <c r="K507" s="52"/>
      <c r="L507" s="52"/>
      <c r="M507" s="52"/>
      <c r="N507" s="52"/>
      <c r="O507" s="52"/>
      <c r="P507" s="52"/>
      <c r="Q507" s="52"/>
      <c r="R507" s="169" t="s">
        <v>449</v>
      </c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170"/>
      <c r="AK507" s="140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141"/>
    </row>
    <row r="508" spans="2:61" ht="20.100000000000001" customHeight="1" x14ac:dyDescent="0.45">
      <c r="B508" s="168"/>
      <c r="C508" s="31"/>
      <c r="D508" s="31"/>
      <c r="E508" s="31"/>
      <c r="F508" s="31"/>
      <c r="G508" s="138"/>
      <c r="H508" s="139"/>
      <c r="I508" s="138"/>
      <c r="J508" s="169" t="s">
        <v>325</v>
      </c>
      <c r="K508" s="52"/>
      <c r="L508" s="52"/>
      <c r="M508" s="52"/>
      <c r="N508" s="52"/>
      <c r="O508" s="52"/>
      <c r="P508" s="52"/>
      <c r="Q508" s="52"/>
      <c r="R508" s="169" t="s">
        <v>450</v>
      </c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170"/>
      <c r="AK508" s="140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141"/>
    </row>
    <row r="509" spans="2:61" ht="20.100000000000001" customHeight="1" x14ac:dyDescent="0.45">
      <c r="B509" s="168"/>
      <c r="C509" s="31"/>
      <c r="D509" s="31"/>
      <c r="E509" s="31"/>
      <c r="F509" s="31"/>
      <c r="G509" s="138"/>
      <c r="H509" s="139"/>
      <c r="I509" s="138"/>
      <c r="J509" s="169" t="s">
        <v>326</v>
      </c>
      <c r="K509" s="52"/>
      <c r="L509" s="52"/>
      <c r="M509" s="52"/>
      <c r="N509" s="52"/>
      <c r="O509" s="52"/>
      <c r="P509" s="52"/>
      <c r="Q509" s="52"/>
      <c r="R509" s="169" t="s">
        <v>451</v>
      </c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170"/>
      <c r="AK509" s="140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141"/>
    </row>
    <row r="510" spans="2:61" ht="20.100000000000001" customHeight="1" x14ac:dyDescent="0.45">
      <c r="B510" s="168"/>
      <c r="C510" s="31"/>
      <c r="D510" s="31"/>
      <c r="E510" s="31"/>
      <c r="F510" s="31"/>
      <c r="G510" s="138"/>
      <c r="H510" s="139"/>
      <c r="I510" s="138"/>
      <c r="J510" s="169" t="s">
        <v>327</v>
      </c>
      <c r="K510" s="52"/>
      <c r="L510" s="52"/>
      <c r="M510" s="52"/>
      <c r="N510" s="52"/>
      <c r="O510" s="52"/>
      <c r="P510" s="52"/>
      <c r="Q510" s="52"/>
      <c r="R510" s="169" t="s">
        <v>452</v>
      </c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170"/>
      <c r="AK510" s="140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141"/>
    </row>
    <row r="511" spans="2:61" ht="20.100000000000001" customHeight="1" x14ac:dyDescent="0.45">
      <c r="B511" s="168"/>
      <c r="C511" s="31"/>
      <c r="D511" s="31"/>
      <c r="E511" s="31"/>
      <c r="F511" s="31"/>
      <c r="G511" s="138"/>
      <c r="H511" s="139"/>
      <c r="I511" s="138"/>
      <c r="J511" s="169" t="s">
        <v>328</v>
      </c>
      <c r="K511" s="52"/>
      <c r="L511" s="52"/>
      <c r="M511" s="52"/>
      <c r="N511" s="52"/>
      <c r="O511" s="52"/>
      <c r="P511" s="52"/>
      <c r="Q511" s="52"/>
      <c r="R511" s="169" t="s">
        <v>453</v>
      </c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170"/>
      <c r="AK511" s="140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141"/>
    </row>
    <row r="512" spans="2:61" ht="20.100000000000001" customHeight="1" x14ac:dyDescent="0.45">
      <c r="B512" s="168"/>
      <c r="C512" s="31"/>
      <c r="D512" s="31"/>
      <c r="E512" s="31"/>
      <c r="F512" s="31"/>
      <c r="G512" s="138"/>
      <c r="H512" s="139"/>
      <c r="I512" s="138"/>
      <c r="J512" s="169" t="s">
        <v>330</v>
      </c>
      <c r="K512" s="52"/>
      <c r="L512" s="52"/>
      <c r="M512" s="52"/>
      <c r="N512" s="52"/>
      <c r="O512" s="52"/>
      <c r="P512" s="52"/>
      <c r="Q512" s="52"/>
      <c r="R512" s="181" t="s">
        <v>436</v>
      </c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170"/>
      <c r="AK512" s="140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141"/>
    </row>
    <row r="513" spans="2:61" ht="20.100000000000001" customHeight="1" x14ac:dyDescent="0.45">
      <c r="B513" s="168"/>
      <c r="C513" s="31"/>
      <c r="D513" s="31"/>
      <c r="E513" s="31"/>
      <c r="F513" s="31"/>
      <c r="G513" s="138"/>
      <c r="H513" s="139"/>
      <c r="I513" s="138"/>
      <c r="J513" s="169" t="s">
        <v>301</v>
      </c>
      <c r="K513" s="52"/>
      <c r="L513" s="52"/>
      <c r="M513" s="52"/>
      <c r="N513" s="52"/>
      <c r="O513" s="52"/>
      <c r="P513" s="52"/>
      <c r="Q513" s="52"/>
      <c r="R513" s="181" t="s">
        <v>436</v>
      </c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170"/>
      <c r="AK513" s="140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141"/>
    </row>
    <row r="514" spans="2:61" ht="20.100000000000001" customHeight="1" x14ac:dyDescent="0.45">
      <c r="B514" s="168"/>
      <c r="C514" s="31"/>
      <c r="D514" s="31"/>
      <c r="E514" s="31"/>
      <c r="F514" s="31"/>
      <c r="G514" s="138"/>
      <c r="H514" s="139"/>
      <c r="I514" s="138"/>
      <c r="J514" s="169" t="s">
        <v>307</v>
      </c>
      <c r="K514" s="52"/>
      <c r="L514" s="52"/>
      <c r="M514" s="52"/>
      <c r="N514" s="52"/>
      <c r="O514" s="52"/>
      <c r="P514" s="52"/>
      <c r="Q514" s="52"/>
      <c r="R514" s="181" t="s">
        <v>454</v>
      </c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170"/>
      <c r="AK514" s="140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141"/>
    </row>
    <row r="515" spans="2:61" ht="20.100000000000001" customHeight="1" x14ac:dyDescent="0.45">
      <c r="B515" s="168"/>
      <c r="C515" s="31"/>
      <c r="D515" s="31"/>
      <c r="E515" s="31"/>
      <c r="F515" s="31"/>
      <c r="G515" s="138"/>
      <c r="H515" s="139"/>
      <c r="I515" s="138"/>
      <c r="J515" s="169" t="s">
        <v>309</v>
      </c>
      <c r="K515" s="52"/>
      <c r="L515" s="52"/>
      <c r="M515" s="52"/>
      <c r="N515" s="52"/>
      <c r="O515" s="52"/>
      <c r="P515" s="52"/>
      <c r="Q515" s="52"/>
      <c r="R515" s="169" t="s">
        <v>455</v>
      </c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170"/>
      <c r="AK515" s="140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141"/>
    </row>
    <row r="516" spans="2:61" ht="20.100000000000001" customHeight="1" x14ac:dyDescent="0.45">
      <c r="B516" s="168"/>
      <c r="C516" s="31"/>
      <c r="D516" s="31"/>
      <c r="E516" s="31"/>
      <c r="F516" s="31"/>
      <c r="G516" s="138"/>
      <c r="H516" s="139"/>
      <c r="I516" s="138"/>
      <c r="J516" s="169" t="s">
        <v>333</v>
      </c>
      <c r="K516" s="52"/>
      <c r="L516" s="52"/>
      <c r="M516" s="52"/>
      <c r="N516" s="52"/>
      <c r="O516" s="52"/>
      <c r="P516" s="52"/>
      <c r="Q516" s="52"/>
      <c r="R516" s="169" t="s">
        <v>436</v>
      </c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170"/>
      <c r="AK516" s="140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141"/>
    </row>
    <row r="517" spans="2:61" ht="20.100000000000001" customHeight="1" x14ac:dyDescent="0.45">
      <c r="B517" s="168"/>
      <c r="C517" s="31"/>
      <c r="D517" s="31"/>
      <c r="E517" s="31"/>
      <c r="F517" s="31"/>
      <c r="G517" s="138"/>
      <c r="H517" s="139"/>
      <c r="I517" s="138"/>
      <c r="J517" s="169" t="s">
        <v>305</v>
      </c>
      <c r="K517" s="52"/>
      <c r="L517" s="52"/>
      <c r="M517" s="52"/>
      <c r="N517" s="52"/>
      <c r="O517" s="52"/>
      <c r="P517" s="52"/>
      <c r="Q517" s="52"/>
      <c r="R517" s="169" t="s">
        <v>436</v>
      </c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170"/>
      <c r="AK517" s="140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141"/>
    </row>
    <row r="518" spans="2:61" ht="20.100000000000001" customHeight="1" x14ac:dyDescent="0.45">
      <c r="B518" s="168"/>
      <c r="C518" s="31"/>
      <c r="D518" s="31"/>
      <c r="E518" s="31"/>
      <c r="F518" s="31"/>
      <c r="G518" s="138"/>
      <c r="H518" s="139"/>
      <c r="I518" s="138"/>
      <c r="J518" s="169" t="s">
        <v>334</v>
      </c>
      <c r="K518" s="52"/>
      <c r="L518" s="52"/>
      <c r="M518" s="52"/>
      <c r="N518" s="52"/>
      <c r="O518" s="52"/>
      <c r="P518" s="52"/>
      <c r="Q518" s="52"/>
      <c r="R518" s="169" t="s">
        <v>456</v>
      </c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170"/>
      <c r="AK518" s="140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141"/>
    </row>
    <row r="519" spans="2:61" ht="20.100000000000001" customHeight="1" x14ac:dyDescent="0.45">
      <c r="B519" s="168"/>
      <c r="C519" s="31"/>
      <c r="D519" s="31"/>
      <c r="E519" s="31"/>
      <c r="F519" s="31"/>
      <c r="G519" s="138"/>
      <c r="H519" s="139"/>
      <c r="I519" s="138"/>
      <c r="J519" s="169" t="s">
        <v>335</v>
      </c>
      <c r="K519" s="52"/>
      <c r="L519" s="52"/>
      <c r="M519" s="52"/>
      <c r="N519" s="52"/>
      <c r="O519" s="52"/>
      <c r="P519" s="52"/>
      <c r="Q519" s="52"/>
      <c r="R519" s="169" t="s">
        <v>457</v>
      </c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170"/>
      <c r="AK519" s="140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141"/>
    </row>
    <row r="520" spans="2:61" ht="20.100000000000001" customHeight="1" x14ac:dyDescent="0.45">
      <c r="B520" s="168"/>
      <c r="C520" s="31"/>
      <c r="D520" s="31"/>
      <c r="E520" s="31"/>
      <c r="F520" s="31"/>
      <c r="G520" s="138"/>
      <c r="H520" s="139"/>
      <c r="I520" s="138"/>
      <c r="J520" s="169" t="s">
        <v>336</v>
      </c>
      <c r="K520" s="52"/>
      <c r="L520" s="52"/>
      <c r="M520" s="52"/>
      <c r="N520" s="52"/>
      <c r="O520" s="52"/>
      <c r="P520" s="52"/>
      <c r="Q520" s="52"/>
      <c r="R520" s="169" t="s">
        <v>458</v>
      </c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170"/>
      <c r="AK520" s="140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141"/>
    </row>
    <row r="521" spans="2:61" ht="20.100000000000001" customHeight="1" x14ac:dyDescent="0.45">
      <c r="B521" s="168"/>
      <c r="C521" s="31"/>
      <c r="D521" s="31"/>
      <c r="E521" s="31"/>
      <c r="F521" s="31"/>
      <c r="G521" s="138"/>
      <c r="H521" s="139"/>
      <c r="I521" s="138"/>
      <c r="J521" s="169" t="s">
        <v>337</v>
      </c>
      <c r="K521" s="52"/>
      <c r="L521" s="52"/>
      <c r="M521" s="52"/>
      <c r="N521" s="52"/>
      <c r="O521" s="52"/>
      <c r="P521" s="52"/>
      <c r="Q521" s="52"/>
      <c r="R521" s="169" t="s">
        <v>459</v>
      </c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170"/>
      <c r="AK521" s="140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141"/>
    </row>
    <row r="522" spans="2:61" ht="20.100000000000001" customHeight="1" x14ac:dyDescent="0.45">
      <c r="B522" s="168"/>
      <c r="C522" s="31"/>
      <c r="D522" s="31"/>
      <c r="E522" s="31"/>
      <c r="F522" s="31"/>
      <c r="G522" s="138"/>
      <c r="H522" s="139"/>
      <c r="I522" s="138"/>
      <c r="J522" s="169" t="s">
        <v>338</v>
      </c>
      <c r="K522" s="52"/>
      <c r="L522" s="52"/>
      <c r="M522" s="52"/>
      <c r="N522" s="52"/>
      <c r="O522" s="52"/>
      <c r="P522" s="52"/>
      <c r="Q522" s="52"/>
      <c r="R522" s="169" t="s">
        <v>460</v>
      </c>
      <c r="S522" s="52"/>
      <c r="T522" s="52"/>
      <c r="U522" s="52"/>
      <c r="V522" s="52"/>
      <c r="W522" s="52"/>
      <c r="X522" s="52"/>
      <c r="Y522" s="52"/>
      <c r="Z522" s="52"/>
      <c r="AA522" s="52"/>
      <c r="AB522" s="52"/>
      <c r="AC522" s="52"/>
      <c r="AD522" s="52"/>
      <c r="AE522" s="52"/>
      <c r="AF522" s="52"/>
      <c r="AG522" s="52"/>
      <c r="AH522" s="52"/>
      <c r="AI522" s="52"/>
      <c r="AJ522" s="170"/>
      <c r="AK522" s="140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141"/>
    </row>
    <row r="523" spans="2:61" ht="20.100000000000001" customHeight="1" x14ac:dyDescent="0.45">
      <c r="B523" s="168"/>
      <c r="C523" s="31"/>
      <c r="D523" s="31"/>
      <c r="E523" s="31"/>
      <c r="F523" s="31"/>
      <c r="G523" s="138"/>
      <c r="H523" s="139"/>
      <c r="I523" s="138"/>
      <c r="J523" s="142" t="s">
        <v>339</v>
      </c>
      <c r="K523" s="55"/>
      <c r="L523" s="55"/>
      <c r="M523" s="55"/>
      <c r="N523" s="55"/>
      <c r="O523" s="55"/>
      <c r="P523" s="55"/>
      <c r="Q523" s="55"/>
      <c r="R523" s="142" t="s">
        <v>461</v>
      </c>
      <c r="S523" s="55"/>
      <c r="T523" s="55"/>
      <c r="U523" s="55"/>
      <c r="V523" s="55"/>
      <c r="W523" s="55"/>
      <c r="X523" s="55"/>
      <c r="Y523" s="55"/>
      <c r="Z523" s="55"/>
      <c r="AA523" s="55"/>
      <c r="AB523" s="55"/>
      <c r="AC523" s="55"/>
      <c r="AD523" s="55"/>
      <c r="AE523" s="55"/>
      <c r="AF523" s="55"/>
      <c r="AG523" s="55"/>
      <c r="AH523" s="55"/>
      <c r="AI523" s="55"/>
      <c r="AJ523" s="175"/>
      <c r="AK523" s="140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141"/>
    </row>
    <row r="524" spans="2:61" ht="20.100000000000001" customHeight="1" thickBot="1" x14ac:dyDescent="0.5">
      <c r="B524" s="168"/>
      <c r="C524" s="31"/>
      <c r="D524" s="31"/>
      <c r="E524" s="31"/>
      <c r="F524" s="31"/>
      <c r="G524" s="138"/>
      <c r="H524" s="142" t="s">
        <v>145</v>
      </c>
      <c r="I524" s="55"/>
      <c r="J524" s="142" t="s">
        <v>432</v>
      </c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143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  <c r="BI524" s="144"/>
    </row>
    <row r="525" spans="2:61" ht="20.100000000000001" customHeight="1" x14ac:dyDescent="0.45">
      <c r="B525" s="131" t="s">
        <v>462</v>
      </c>
      <c r="C525" s="132"/>
      <c r="D525" s="132"/>
      <c r="E525" s="132"/>
      <c r="F525" s="132"/>
      <c r="G525" s="133"/>
      <c r="H525" s="134" t="s">
        <v>237</v>
      </c>
      <c r="I525" s="133"/>
      <c r="J525" s="173" t="s">
        <v>310</v>
      </c>
      <c r="K525" s="166"/>
      <c r="L525" s="166"/>
      <c r="M525" s="166"/>
      <c r="N525" s="166"/>
      <c r="O525" s="166"/>
      <c r="P525" s="166"/>
      <c r="Q525" s="166"/>
      <c r="R525" s="173" t="s">
        <v>463</v>
      </c>
      <c r="S525" s="166"/>
      <c r="T525" s="166"/>
      <c r="U525" s="166"/>
      <c r="V525" s="166"/>
      <c r="W525" s="166"/>
      <c r="X525" s="166"/>
      <c r="Y525" s="166"/>
      <c r="Z525" s="166"/>
      <c r="AA525" s="166"/>
      <c r="AB525" s="166"/>
      <c r="AC525" s="166"/>
      <c r="AD525" s="166"/>
      <c r="AE525" s="166"/>
      <c r="AF525" s="166"/>
      <c r="AG525" s="166"/>
      <c r="AH525" s="166"/>
      <c r="AI525" s="166"/>
      <c r="AJ525" s="167"/>
      <c r="AK525" s="135"/>
      <c r="AL525" s="132"/>
      <c r="AM525" s="132"/>
      <c r="AN525" s="132"/>
      <c r="AO525" s="132"/>
      <c r="AP525" s="132"/>
      <c r="AQ525" s="132"/>
      <c r="AR525" s="132"/>
      <c r="AS525" s="132"/>
      <c r="AT525" s="132"/>
      <c r="AU525" s="132"/>
      <c r="AV525" s="132"/>
      <c r="AW525" s="132"/>
      <c r="AX525" s="132"/>
      <c r="AY525" s="132"/>
      <c r="AZ525" s="132"/>
      <c r="BA525" s="132"/>
      <c r="BB525" s="132"/>
      <c r="BC525" s="132"/>
      <c r="BD525" s="132"/>
      <c r="BE525" s="132"/>
      <c r="BF525" s="132"/>
      <c r="BG525" s="132"/>
      <c r="BH525" s="132"/>
      <c r="BI525" s="136"/>
    </row>
    <row r="526" spans="2:61" ht="20.100000000000001" customHeight="1" x14ac:dyDescent="0.45">
      <c r="B526" s="168"/>
      <c r="C526" s="31"/>
      <c r="D526" s="31"/>
      <c r="E526" s="31"/>
      <c r="F526" s="31"/>
      <c r="G526" s="138"/>
      <c r="H526" s="139"/>
      <c r="I526" s="138"/>
      <c r="J526" s="169" t="s">
        <v>485</v>
      </c>
      <c r="K526" s="52"/>
      <c r="L526" s="52"/>
      <c r="M526" s="52"/>
      <c r="N526" s="52"/>
      <c r="O526" s="52"/>
      <c r="P526" s="52"/>
      <c r="Q526" s="52"/>
      <c r="R526" s="169" t="s">
        <v>464</v>
      </c>
      <c r="S526" s="52"/>
      <c r="T526" s="52"/>
      <c r="U526" s="52"/>
      <c r="V526" s="52"/>
      <c r="W526" s="52"/>
      <c r="X526" s="52"/>
      <c r="Y526" s="52"/>
      <c r="Z526" s="52"/>
      <c r="AA526" s="52"/>
      <c r="AB526" s="52"/>
      <c r="AC526" s="52"/>
      <c r="AD526" s="52"/>
      <c r="AE526" s="52"/>
      <c r="AF526" s="52"/>
      <c r="AG526" s="52"/>
      <c r="AH526" s="52"/>
      <c r="AI526" s="52"/>
      <c r="AJ526" s="170"/>
      <c r="AK526" s="140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141"/>
    </row>
    <row r="527" spans="2:61" ht="20.100000000000001" customHeight="1" x14ac:dyDescent="0.45">
      <c r="B527" s="168"/>
      <c r="C527" s="31"/>
      <c r="D527" s="31"/>
      <c r="E527" s="31"/>
      <c r="F527" s="31"/>
      <c r="G527" s="138"/>
      <c r="H527" s="139"/>
      <c r="I527" s="138"/>
      <c r="J527" s="192" t="s">
        <v>486</v>
      </c>
      <c r="K527" s="193"/>
      <c r="L527" s="193"/>
      <c r="M527" s="193"/>
      <c r="N527" s="193"/>
      <c r="O527" s="193"/>
      <c r="P527" s="193"/>
      <c r="Q527" s="193"/>
      <c r="R527" s="192" t="s">
        <v>465</v>
      </c>
      <c r="S527" s="193"/>
      <c r="T527" s="193"/>
      <c r="U527" s="193"/>
      <c r="V527" s="193"/>
      <c r="W527" s="193"/>
      <c r="X527" s="193"/>
      <c r="Y527" s="193"/>
      <c r="Z527" s="193"/>
      <c r="AA527" s="193"/>
      <c r="AB527" s="193"/>
      <c r="AC527" s="193"/>
      <c r="AD527" s="193"/>
      <c r="AE527" s="193"/>
      <c r="AF527" s="193"/>
      <c r="AG527" s="193"/>
      <c r="AH527" s="193"/>
      <c r="AI527" s="193"/>
      <c r="AJ527" s="194"/>
      <c r="AK527" s="140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141"/>
    </row>
    <row r="528" spans="2:61" ht="20.100000000000001" customHeight="1" x14ac:dyDescent="0.45">
      <c r="B528" s="168"/>
      <c r="C528" s="31"/>
      <c r="D528" s="31"/>
      <c r="E528" s="31"/>
      <c r="F528" s="31"/>
      <c r="G528" s="138"/>
      <c r="H528" s="139"/>
      <c r="I528" s="138"/>
      <c r="J528" s="169" t="s">
        <v>648</v>
      </c>
      <c r="K528" s="52"/>
      <c r="L528" s="52"/>
      <c r="M528" s="52"/>
      <c r="N528" s="52"/>
      <c r="O528" s="52"/>
      <c r="P528" s="52"/>
      <c r="Q528" s="52"/>
      <c r="R528" s="169" t="s">
        <v>466</v>
      </c>
      <c r="S528" s="52"/>
      <c r="T528" s="52"/>
      <c r="U528" s="52"/>
      <c r="V528" s="52"/>
      <c r="W528" s="52"/>
      <c r="X528" s="52"/>
      <c r="Y528" s="52"/>
      <c r="Z528" s="52"/>
      <c r="AA528" s="52"/>
      <c r="AB528" s="52"/>
      <c r="AC528" s="52"/>
      <c r="AD528" s="52"/>
      <c r="AE528" s="52"/>
      <c r="AF528" s="52"/>
      <c r="AG528" s="52"/>
      <c r="AH528" s="52"/>
      <c r="AI528" s="52"/>
      <c r="AJ528" s="170"/>
      <c r="AK528" s="140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141"/>
    </row>
    <row r="529" spans="2:61" ht="20.100000000000001" customHeight="1" x14ac:dyDescent="0.45">
      <c r="B529" s="168"/>
      <c r="C529" s="31"/>
      <c r="D529" s="31"/>
      <c r="E529" s="31"/>
      <c r="F529" s="31"/>
      <c r="G529" s="138"/>
      <c r="H529" s="139"/>
      <c r="I529" s="138"/>
      <c r="J529" s="169" t="s">
        <v>488</v>
      </c>
      <c r="K529" s="52"/>
      <c r="L529" s="52"/>
      <c r="M529" s="52"/>
      <c r="N529" s="52"/>
      <c r="O529" s="52"/>
      <c r="P529" s="52"/>
      <c r="Q529" s="52"/>
      <c r="R529" s="169" t="s">
        <v>467</v>
      </c>
      <c r="S529" s="52"/>
      <c r="T529" s="52"/>
      <c r="U529" s="52"/>
      <c r="V529" s="52"/>
      <c r="W529" s="52"/>
      <c r="X529" s="52"/>
      <c r="Y529" s="52"/>
      <c r="Z529" s="52"/>
      <c r="AA529" s="52"/>
      <c r="AB529" s="52"/>
      <c r="AC529" s="52"/>
      <c r="AD529" s="52"/>
      <c r="AE529" s="52"/>
      <c r="AF529" s="52"/>
      <c r="AG529" s="52"/>
      <c r="AH529" s="52"/>
      <c r="AI529" s="52"/>
      <c r="AJ529" s="170"/>
      <c r="AK529" s="140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141"/>
    </row>
    <row r="530" spans="2:61" ht="20.100000000000001" customHeight="1" x14ac:dyDescent="0.45">
      <c r="B530" s="168"/>
      <c r="C530" s="31"/>
      <c r="D530" s="31"/>
      <c r="E530" s="31"/>
      <c r="F530" s="31"/>
      <c r="G530" s="138"/>
      <c r="H530" s="139"/>
      <c r="I530" s="138"/>
      <c r="J530" s="192" t="s">
        <v>489</v>
      </c>
      <c r="K530" s="193"/>
      <c r="L530" s="193"/>
      <c r="M530" s="193"/>
      <c r="N530" s="193"/>
      <c r="O530" s="193"/>
      <c r="P530" s="193"/>
      <c r="Q530" s="193"/>
      <c r="R530" s="192" t="s">
        <v>468</v>
      </c>
      <c r="S530" s="193"/>
      <c r="T530" s="193"/>
      <c r="U530" s="193"/>
      <c r="V530" s="193"/>
      <c r="W530" s="193"/>
      <c r="X530" s="193"/>
      <c r="Y530" s="193"/>
      <c r="Z530" s="193"/>
      <c r="AA530" s="193"/>
      <c r="AB530" s="193"/>
      <c r="AC530" s="193"/>
      <c r="AD530" s="193"/>
      <c r="AE530" s="193"/>
      <c r="AF530" s="193"/>
      <c r="AG530" s="193"/>
      <c r="AH530" s="193"/>
      <c r="AI530" s="193"/>
      <c r="AJ530" s="194"/>
      <c r="AK530" s="140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141"/>
    </row>
    <row r="531" spans="2:61" ht="20.100000000000001" customHeight="1" x14ac:dyDescent="0.45">
      <c r="B531" s="168"/>
      <c r="C531" s="31"/>
      <c r="D531" s="31"/>
      <c r="E531" s="31"/>
      <c r="F531" s="31"/>
      <c r="G531" s="138"/>
      <c r="H531" s="139"/>
      <c r="I531" s="138"/>
      <c r="J531" s="169" t="s">
        <v>490</v>
      </c>
      <c r="K531" s="52"/>
      <c r="L531" s="52"/>
      <c r="M531" s="52"/>
      <c r="N531" s="52"/>
      <c r="O531" s="52"/>
      <c r="P531" s="52"/>
      <c r="Q531" s="52"/>
      <c r="R531" s="169" t="s">
        <v>469</v>
      </c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170"/>
      <c r="AK531" s="140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141"/>
    </row>
    <row r="532" spans="2:61" ht="20.100000000000001" customHeight="1" x14ac:dyDescent="0.45">
      <c r="B532" s="168"/>
      <c r="C532" s="31"/>
      <c r="D532" s="31"/>
      <c r="E532" s="31"/>
      <c r="F532" s="31"/>
      <c r="G532" s="138"/>
      <c r="H532" s="139"/>
      <c r="I532" s="138"/>
      <c r="J532" s="169" t="s">
        <v>491</v>
      </c>
      <c r="K532" s="52"/>
      <c r="L532" s="52"/>
      <c r="M532" s="52"/>
      <c r="N532" s="52"/>
      <c r="O532" s="52"/>
      <c r="P532" s="52"/>
      <c r="Q532" s="52"/>
      <c r="R532" s="169" t="s">
        <v>470</v>
      </c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170"/>
      <c r="AK532" s="140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141"/>
    </row>
    <row r="533" spans="2:61" ht="20.100000000000001" customHeight="1" x14ac:dyDescent="0.45">
      <c r="B533" s="168"/>
      <c r="C533" s="31"/>
      <c r="D533" s="31"/>
      <c r="E533" s="31"/>
      <c r="F533" s="31"/>
      <c r="G533" s="138"/>
      <c r="H533" s="139"/>
      <c r="I533" s="138"/>
      <c r="J533" s="169" t="s">
        <v>492</v>
      </c>
      <c r="K533" s="52"/>
      <c r="L533" s="52"/>
      <c r="M533" s="52"/>
      <c r="N533" s="52"/>
      <c r="O533" s="52"/>
      <c r="P533" s="52"/>
      <c r="Q533" s="52"/>
      <c r="R533" s="169" t="s">
        <v>471</v>
      </c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170"/>
      <c r="AK533" s="140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141"/>
    </row>
    <row r="534" spans="2:61" ht="20.100000000000001" customHeight="1" x14ac:dyDescent="0.45">
      <c r="B534" s="168"/>
      <c r="C534" s="31"/>
      <c r="D534" s="31"/>
      <c r="E534" s="31"/>
      <c r="F534" s="31"/>
      <c r="G534" s="138"/>
      <c r="H534" s="139"/>
      <c r="I534" s="138"/>
      <c r="J534" s="169" t="s">
        <v>493</v>
      </c>
      <c r="K534" s="52"/>
      <c r="L534" s="52"/>
      <c r="M534" s="52"/>
      <c r="N534" s="52"/>
      <c r="O534" s="52"/>
      <c r="P534" s="52"/>
      <c r="Q534" s="52"/>
      <c r="R534" s="169" t="s">
        <v>472</v>
      </c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170"/>
      <c r="AK534" s="140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141"/>
    </row>
    <row r="535" spans="2:61" ht="20.100000000000001" customHeight="1" x14ac:dyDescent="0.45">
      <c r="B535" s="168"/>
      <c r="C535" s="31"/>
      <c r="D535" s="31"/>
      <c r="E535" s="31"/>
      <c r="F535" s="31"/>
      <c r="G535" s="138"/>
      <c r="H535" s="139"/>
      <c r="I535" s="138"/>
      <c r="J535" s="169" t="s">
        <v>494</v>
      </c>
      <c r="K535" s="52"/>
      <c r="L535" s="52"/>
      <c r="M535" s="52"/>
      <c r="N535" s="52"/>
      <c r="O535" s="52"/>
      <c r="P535" s="52"/>
      <c r="Q535" s="52"/>
      <c r="R535" s="169" t="s">
        <v>473</v>
      </c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170"/>
      <c r="AK535" s="140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141"/>
    </row>
    <row r="536" spans="2:61" ht="20.100000000000001" customHeight="1" x14ac:dyDescent="0.45">
      <c r="B536" s="168"/>
      <c r="C536" s="31"/>
      <c r="D536" s="31"/>
      <c r="E536" s="31"/>
      <c r="F536" s="31"/>
      <c r="G536" s="138"/>
      <c r="H536" s="139"/>
      <c r="I536" s="138"/>
      <c r="J536" s="169" t="s">
        <v>495</v>
      </c>
      <c r="K536" s="52"/>
      <c r="L536" s="52"/>
      <c r="M536" s="52"/>
      <c r="N536" s="52"/>
      <c r="O536" s="52"/>
      <c r="P536" s="52"/>
      <c r="Q536" s="52"/>
      <c r="R536" s="169" t="s">
        <v>474</v>
      </c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170"/>
      <c r="AK536" s="140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141"/>
    </row>
    <row r="537" spans="2:61" ht="20.100000000000001" customHeight="1" x14ac:dyDescent="0.45">
      <c r="B537" s="168"/>
      <c r="C537" s="31"/>
      <c r="D537" s="31"/>
      <c r="E537" s="31"/>
      <c r="F537" s="31"/>
      <c r="G537" s="138"/>
      <c r="H537" s="139"/>
      <c r="I537" s="138"/>
      <c r="J537" s="169" t="s">
        <v>496</v>
      </c>
      <c r="K537" s="52"/>
      <c r="L537" s="52"/>
      <c r="M537" s="52"/>
      <c r="N537" s="52"/>
      <c r="O537" s="52"/>
      <c r="P537" s="52"/>
      <c r="Q537" s="52"/>
      <c r="R537" s="169" t="s">
        <v>475</v>
      </c>
      <c r="S537" s="52"/>
      <c r="T537" s="52"/>
      <c r="U537" s="52"/>
      <c r="V537" s="52"/>
      <c r="W537" s="52"/>
      <c r="X537" s="52"/>
      <c r="Y537" s="52"/>
      <c r="Z537" s="52"/>
      <c r="AA537" s="52"/>
      <c r="AB537" s="52"/>
      <c r="AC537" s="52"/>
      <c r="AD537" s="52"/>
      <c r="AE537" s="52"/>
      <c r="AF537" s="52"/>
      <c r="AG537" s="52"/>
      <c r="AH537" s="52"/>
      <c r="AI537" s="52"/>
      <c r="AJ537" s="170"/>
      <c r="AK537" s="140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141"/>
    </row>
    <row r="538" spans="2:61" ht="20.100000000000001" customHeight="1" x14ac:dyDescent="0.45">
      <c r="B538" s="168"/>
      <c r="C538" s="31"/>
      <c r="D538" s="31"/>
      <c r="E538" s="31"/>
      <c r="F538" s="31"/>
      <c r="G538" s="138"/>
      <c r="H538" s="139"/>
      <c r="I538" s="138"/>
      <c r="J538" s="169" t="s">
        <v>497</v>
      </c>
      <c r="K538" s="52"/>
      <c r="L538" s="52"/>
      <c r="M538" s="52"/>
      <c r="N538" s="52"/>
      <c r="O538" s="52"/>
      <c r="P538" s="52"/>
      <c r="Q538" s="52"/>
      <c r="R538" s="169" t="s">
        <v>476</v>
      </c>
      <c r="S538" s="52"/>
      <c r="T538" s="52"/>
      <c r="U538" s="52"/>
      <c r="V538" s="52"/>
      <c r="W538" s="52"/>
      <c r="X538" s="52"/>
      <c r="Y538" s="52"/>
      <c r="Z538" s="52"/>
      <c r="AA538" s="52"/>
      <c r="AB538" s="52"/>
      <c r="AC538" s="52"/>
      <c r="AD538" s="52"/>
      <c r="AE538" s="52"/>
      <c r="AF538" s="52"/>
      <c r="AG538" s="52"/>
      <c r="AH538" s="52"/>
      <c r="AI538" s="52"/>
      <c r="AJ538" s="170"/>
      <c r="AK538" s="140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141"/>
    </row>
    <row r="539" spans="2:61" ht="20.100000000000001" customHeight="1" x14ac:dyDescent="0.45">
      <c r="B539" s="168"/>
      <c r="C539" s="31"/>
      <c r="D539" s="31"/>
      <c r="E539" s="31"/>
      <c r="F539" s="31"/>
      <c r="G539" s="138"/>
      <c r="H539" s="139"/>
      <c r="I539" s="138"/>
      <c r="J539" s="169" t="s">
        <v>498</v>
      </c>
      <c r="K539" s="52"/>
      <c r="L539" s="52"/>
      <c r="M539" s="52"/>
      <c r="N539" s="52"/>
      <c r="O539" s="52"/>
      <c r="P539" s="52"/>
      <c r="Q539" s="52"/>
      <c r="R539" s="169" t="s">
        <v>477</v>
      </c>
      <c r="S539" s="52"/>
      <c r="T539" s="52"/>
      <c r="U539" s="52"/>
      <c r="V539" s="52"/>
      <c r="W539" s="52"/>
      <c r="X539" s="52"/>
      <c r="Y539" s="52"/>
      <c r="Z539" s="52"/>
      <c r="AA539" s="52"/>
      <c r="AB539" s="52"/>
      <c r="AC539" s="52"/>
      <c r="AD539" s="52"/>
      <c r="AE539" s="52"/>
      <c r="AF539" s="52"/>
      <c r="AG539" s="52"/>
      <c r="AH539" s="52"/>
      <c r="AI539" s="52"/>
      <c r="AJ539" s="170"/>
      <c r="AK539" s="140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141"/>
    </row>
    <row r="540" spans="2:61" ht="20.100000000000001" customHeight="1" x14ac:dyDescent="0.45">
      <c r="B540" s="168"/>
      <c r="C540" s="31"/>
      <c r="D540" s="31"/>
      <c r="E540" s="31"/>
      <c r="F540" s="31"/>
      <c r="G540" s="138"/>
      <c r="H540" s="139"/>
      <c r="I540" s="138"/>
      <c r="J540" s="169" t="s">
        <v>499</v>
      </c>
      <c r="K540" s="52"/>
      <c r="L540" s="52"/>
      <c r="M540" s="52"/>
      <c r="N540" s="52"/>
      <c r="O540" s="52"/>
      <c r="P540" s="52"/>
      <c r="Q540" s="52"/>
      <c r="R540" s="169" t="s">
        <v>478</v>
      </c>
      <c r="S540" s="52"/>
      <c r="T540" s="52"/>
      <c r="U540" s="52"/>
      <c r="V540" s="52"/>
      <c r="W540" s="52"/>
      <c r="X540" s="52"/>
      <c r="Y540" s="52"/>
      <c r="Z540" s="52"/>
      <c r="AA540" s="52"/>
      <c r="AB540" s="52"/>
      <c r="AC540" s="52"/>
      <c r="AD540" s="52"/>
      <c r="AE540" s="52"/>
      <c r="AF540" s="52"/>
      <c r="AG540" s="52"/>
      <c r="AH540" s="52"/>
      <c r="AI540" s="52"/>
      <c r="AJ540" s="170"/>
      <c r="AK540" s="140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141"/>
    </row>
    <row r="541" spans="2:61" ht="20.100000000000001" customHeight="1" x14ac:dyDescent="0.45">
      <c r="B541" s="168"/>
      <c r="C541" s="31"/>
      <c r="D541" s="31"/>
      <c r="E541" s="31"/>
      <c r="F541" s="31"/>
      <c r="G541" s="138"/>
      <c r="H541" s="139"/>
      <c r="I541" s="138"/>
      <c r="J541" s="169" t="s">
        <v>500</v>
      </c>
      <c r="K541" s="52"/>
      <c r="L541" s="52"/>
      <c r="M541" s="52"/>
      <c r="N541" s="52"/>
      <c r="O541" s="52"/>
      <c r="P541" s="52"/>
      <c r="Q541" s="52"/>
      <c r="R541" s="169" t="s">
        <v>479</v>
      </c>
      <c r="S541" s="52"/>
      <c r="T541" s="52"/>
      <c r="U541" s="52"/>
      <c r="V541" s="52"/>
      <c r="W541" s="52"/>
      <c r="X541" s="52"/>
      <c r="Y541" s="52"/>
      <c r="Z541" s="52"/>
      <c r="AA541" s="52"/>
      <c r="AB541" s="52"/>
      <c r="AC541" s="52"/>
      <c r="AD541" s="52"/>
      <c r="AE541" s="52"/>
      <c r="AF541" s="52"/>
      <c r="AG541" s="52"/>
      <c r="AH541" s="52"/>
      <c r="AI541" s="52"/>
      <c r="AJ541" s="170"/>
      <c r="AK541" s="140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141"/>
    </row>
    <row r="542" spans="2:61" ht="20.100000000000001" customHeight="1" x14ac:dyDescent="0.45">
      <c r="B542" s="168"/>
      <c r="C542" s="31"/>
      <c r="D542" s="31"/>
      <c r="E542" s="31"/>
      <c r="F542" s="31"/>
      <c r="G542" s="138"/>
      <c r="H542" s="139"/>
      <c r="I542" s="138"/>
      <c r="J542" s="169" t="s">
        <v>501</v>
      </c>
      <c r="K542" s="52"/>
      <c r="L542" s="52"/>
      <c r="M542" s="52"/>
      <c r="N542" s="52"/>
      <c r="O542" s="52"/>
      <c r="P542" s="52"/>
      <c r="Q542" s="52"/>
      <c r="R542" s="169" t="s">
        <v>480</v>
      </c>
      <c r="S542" s="52"/>
      <c r="T542" s="52"/>
      <c r="U542" s="52"/>
      <c r="V542" s="52"/>
      <c r="W542" s="52"/>
      <c r="X542" s="52"/>
      <c r="Y542" s="52"/>
      <c r="Z542" s="52"/>
      <c r="AA542" s="52"/>
      <c r="AB542" s="52"/>
      <c r="AC542" s="52"/>
      <c r="AD542" s="52"/>
      <c r="AE542" s="52"/>
      <c r="AF542" s="52"/>
      <c r="AG542" s="52"/>
      <c r="AH542" s="52"/>
      <c r="AI542" s="52"/>
      <c r="AJ542" s="170"/>
      <c r="AK542" s="140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141"/>
    </row>
    <row r="543" spans="2:61" ht="20.100000000000001" customHeight="1" x14ac:dyDescent="0.45">
      <c r="B543" s="168"/>
      <c r="C543" s="31"/>
      <c r="D543" s="31"/>
      <c r="E543" s="31"/>
      <c r="F543" s="31"/>
      <c r="G543" s="138"/>
      <c r="H543" s="139"/>
      <c r="I543" s="138"/>
      <c r="J543" s="169" t="s">
        <v>502</v>
      </c>
      <c r="K543" s="52"/>
      <c r="L543" s="52"/>
      <c r="M543" s="52"/>
      <c r="N543" s="52"/>
      <c r="O543" s="52"/>
      <c r="P543" s="52"/>
      <c r="Q543" s="52"/>
      <c r="R543" s="169" t="s">
        <v>481</v>
      </c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170"/>
      <c r="AK543" s="140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141"/>
    </row>
    <row r="544" spans="2:61" ht="20.100000000000001" customHeight="1" x14ac:dyDescent="0.45">
      <c r="B544" s="168"/>
      <c r="C544" s="31"/>
      <c r="D544" s="31"/>
      <c r="E544" s="31"/>
      <c r="F544" s="31"/>
      <c r="G544" s="138"/>
      <c r="H544" s="139"/>
      <c r="I544" s="138"/>
      <c r="J544" s="169" t="s">
        <v>503</v>
      </c>
      <c r="K544" s="52"/>
      <c r="L544" s="52"/>
      <c r="M544" s="52"/>
      <c r="N544" s="52"/>
      <c r="O544" s="52"/>
      <c r="P544" s="52"/>
      <c r="Q544" s="52"/>
      <c r="R544" s="176" t="s">
        <v>482</v>
      </c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170"/>
      <c r="AK544" s="140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141"/>
    </row>
    <row r="545" spans="2:61" ht="20.100000000000001" customHeight="1" x14ac:dyDescent="0.45">
      <c r="B545" s="168"/>
      <c r="C545" s="31"/>
      <c r="D545" s="31"/>
      <c r="E545" s="31"/>
      <c r="F545" s="31"/>
      <c r="G545" s="138"/>
      <c r="H545" s="139"/>
      <c r="I545" s="138"/>
      <c r="J545" s="169" t="s">
        <v>504</v>
      </c>
      <c r="K545" s="52"/>
      <c r="L545" s="52"/>
      <c r="M545" s="52"/>
      <c r="N545" s="52"/>
      <c r="O545" s="52"/>
      <c r="P545" s="52"/>
      <c r="Q545" s="52"/>
      <c r="R545" s="169" t="s">
        <v>483</v>
      </c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170"/>
      <c r="AK545" s="140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141"/>
    </row>
    <row r="546" spans="2:61" ht="20.100000000000001" customHeight="1" x14ac:dyDescent="0.45">
      <c r="B546" s="168"/>
      <c r="C546" s="31"/>
      <c r="D546" s="31"/>
      <c r="E546" s="31"/>
      <c r="F546" s="31"/>
      <c r="G546" s="138"/>
      <c r="H546" s="139"/>
      <c r="I546" s="138"/>
      <c r="J546" s="169" t="s">
        <v>505</v>
      </c>
      <c r="K546" s="52"/>
      <c r="L546" s="52"/>
      <c r="M546" s="52"/>
      <c r="N546" s="52"/>
      <c r="O546" s="52"/>
      <c r="P546" s="52"/>
      <c r="Q546" s="52"/>
      <c r="R546" s="169" t="s">
        <v>484</v>
      </c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170"/>
      <c r="AK546" s="140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141"/>
    </row>
    <row r="547" spans="2:61" ht="20.100000000000001" customHeight="1" x14ac:dyDescent="0.45">
      <c r="B547" s="168"/>
      <c r="C547" s="31"/>
      <c r="D547" s="31"/>
      <c r="E547" s="31"/>
      <c r="F547" s="31"/>
      <c r="G547" s="138"/>
      <c r="H547" s="142" t="s">
        <v>145</v>
      </c>
      <c r="I547" s="55"/>
      <c r="J547" s="142" t="s">
        <v>645</v>
      </c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  <c r="AA547" s="55"/>
      <c r="AB547" s="55"/>
      <c r="AC547" s="55"/>
      <c r="AD547" s="55"/>
      <c r="AE547" s="55"/>
      <c r="AF547" s="55"/>
      <c r="AG547" s="55"/>
      <c r="AH547" s="55"/>
      <c r="AI547" s="55"/>
      <c r="AJ547" s="55"/>
      <c r="AK547" s="143"/>
      <c r="AL547" s="55"/>
      <c r="AM547" s="55"/>
      <c r="AN547" s="55"/>
      <c r="AO547" s="55"/>
      <c r="AP547" s="55"/>
      <c r="AQ547" s="55"/>
      <c r="AR547" s="55"/>
      <c r="AS547" s="55"/>
      <c r="AT547" s="55"/>
      <c r="AU547" s="55"/>
      <c r="AV547" s="55"/>
      <c r="AW547" s="55"/>
      <c r="AX547" s="55"/>
      <c r="AY547" s="55"/>
      <c r="AZ547" s="55"/>
      <c r="BA547" s="55"/>
      <c r="BB547" s="55"/>
      <c r="BC547" s="55"/>
      <c r="BD547" s="55"/>
      <c r="BE547" s="55"/>
      <c r="BF547" s="55"/>
      <c r="BG547" s="55"/>
      <c r="BH547" s="55"/>
      <c r="BI547" s="144"/>
    </row>
    <row r="548" spans="2:61" ht="20.100000000000001" customHeight="1" x14ac:dyDescent="0.45">
      <c r="B548" s="137"/>
      <c r="C548" s="31"/>
      <c r="D548" s="31"/>
      <c r="E548" s="31"/>
      <c r="F548" s="31"/>
      <c r="G548" s="138"/>
      <c r="H548" s="139"/>
      <c r="I548" s="31"/>
      <c r="J548" s="139" t="s">
        <v>507</v>
      </c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140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141"/>
    </row>
    <row r="549" spans="2:61" ht="20.100000000000001" customHeight="1" x14ac:dyDescent="0.45">
      <c r="B549" s="137"/>
      <c r="C549" s="31"/>
      <c r="D549" s="31"/>
      <c r="E549" s="31"/>
      <c r="F549" s="31"/>
      <c r="G549" s="138"/>
      <c r="H549" s="139"/>
      <c r="I549" s="31"/>
      <c r="J549" s="139" t="s">
        <v>508</v>
      </c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140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141"/>
    </row>
    <row r="550" spans="2:61" ht="20.100000000000001" customHeight="1" x14ac:dyDescent="0.45">
      <c r="B550" s="137"/>
      <c r="C550" s="31"/>
      <c r="D550" s="31"/>
      <c r="E550" s="31"/>
      <c r="F550" s="31"/>
      <c r="G550" s="138"/>
      <c r="H550" s="142" t="s">
        <v>146</v>
      </c>
      <c r="I550" s="55"/>
      <c r="J550" s="142" t="s">
        <v>509</v>
      </c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  <c r="AA550" s="55"/>
      <c r="AB550" s="55"/>
      <c r="AC550" s="55"/>
      <c r="AD550" s="55"/>
      <c r="AE550" s="55"/>
      <c r="AF550" s="55"/>
      <c r="AG550" s="55"/>
      <c r="AH550" s="55"/>
      <c r="AI550" s="55"/>
      <c r="AJ550" s="55"/>
      <c r="AK550" s="143"/>
      <c r="AL550" s="55"/>
      <c r="AM550" s="55"/>
      <c r="AN550" s="55"/>
      <c r="AO550" s="55"/>
      <c r="AP550" s="55"/>
      <c r="AQ550" s="55"/>
      <c r="AR550" s="55"/>
      <c r="AS550" s="55"/>
      <c r="AT550" s="55"/>
      <c r="AU550" s="55"/>
      <c r="AV550" s="55"/>
      <c r="AW550" s="55"/>
      <c r="AX550" s="55"/>
      <c r="AY550" s="55"/>
      <c r="AZ550" s="55"/>
      <c r="BA550" s="55"/>
      <c r="BB550" s="55"/>
      <c r="BC550" s="55"/>
      <c r="BD550" s="55"/>
      <c r="BE550" s="55"/>
      <c r="BF550" s="55"/>
      <c r="BG550" s="55"/>
      <c r="BH550" s="55"/>
      <c r="BI550" s="144"/>
    </row>
    <row r="551" spans="2:61" ht="20.100000000000001" customHeight="1" x14ac:dyDescent="0.45">
      <c r="B551" s="137"/>
      <c r="C551" s="31"/>
      <c r="D551" s="31"/>
      <c r="E551" s="31"/>
      <c r="F551" s="31"/>
      <c r="G551" s="138"/>
      <c r="H551" s="139"/>
      <c r="I551" s="31"/>
      <c r="J551" s="139"/>
      <c r="K551" s="31" t="s">
        <v>510</v>
      </c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140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141"/>
    </row>
    <row r="552" spans="2:61" ht="20.100000000000001" customHeight="1" x14ac:dyDescent="0.45">
      <c r="B552" s="137"/>
      <c r="C552" s="31"/>
      <c r="D552" s="31"/>
      <c r="E552" s="31"/>
      <c r="F552" s="31"/>
      <c r="G552" s="138"/>
      <c r="H552" s="139"/>
      <c r="I552" s="31"/>
      <c r="J552" s="139"/>
      <c r="K552" s="31"/>
      <c r="M552" s="31" t="s">
        <v>511</v>
      </c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140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141"/>
    </row>
    <row r="553" spans="2:61" ht="20.100000000000001" customHeight="1" x14ac:dyDescent="0.45">
      <c r="B553" s="137"/>
      <c r="C553" s="31"/>
      <c r="D553" s="31"/>
      <c r="E553" s="31"/>
      <c r="F553" s="31"/>
      <c r="G553" s="138"/>
      <c r="H553" s="139"/>
      <c r="I553" s="31"/>
      <c r="J553" s="139" t="s">
        <v>509</v>
      </c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140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141"/>
    </row>
    <row r="554" spans="2:61" ht="20.100000000000001" customHeight="1" x14ac:dyDescent="0.45">
      <c r="B554" s="137"/>
      <c r="C554" s="31"/>
      <c r="D554" s="31"/>
      <c r="E554" s="31"/>
      <c r="F554" s="31"/>
      <c r="G554" s="138"/>
      <c r="H554" s="139"/>
      <c r="I554" s="31"/>
      <c r="J554" s="139"/>
      <c r="K554" s="31" t="s">
        <v>512</v>
      </c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140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141"/>
    </row>
    <row r="555" spans="2:61" ht="20.100000000000001" customHeight="1" x14ac:dyDescent="0.45">
      <c r="B555" s="137"/>
      <c r="C555" s="31"/>
      <c r="D555" s="31"/>
      <c r="E555" s="31"/>
      <c r="F555" s="31"/>
      <c r="G555" s="138"/>
      <c r="H555" s="139"/>
      <c r="I555" s="31"/>
      <c r="J555" s="139"/>
      <c r="K555" s="31"/>
      <c r="M555" s="31" t="s">
        <v>513</v>
      </c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140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141"/>
    </row>
    <row r="556" spans="2:61" ht="20.100000000000001" customHeight="1" thickBot="1" x14ac:dyDescent="0.5">
      <c r="B556" s="137"/>
      <c r="C556" s="31"/>
      <c r="D556" s="31"/>
      <c r="E556" s="31"/>
      <c r="F556" s="31"/>
      <c r="G556" s="138"/>
      <c r="H556" s="142" t="s">
        <v>147</v>
      </c>
      <c r="I556" s="55"/>
      <c r="J556" s="142"/>
      <c r="K556" s="55" t="s">
        <v>514</v>
      </c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  <c r="AA556" s="55"/>
      <c r="AB556" s="55"/>
      <c r="AC556" s="55"/>
      <c r="AD556" s="55"/>
      <c r="AE556" s="55"/>
      <c r="AF556" s="55"/>
      <c r="AG556" s="55"/>
      <c r="AH556" s="55"/>
      <c r="AI556" s="55"/>
      <c r="AJ556" s="55"/>
      <c r="AK556" s="143"/>
      <c r="AL556" s="55"/>
      <c r="AM556" s="55"/>
      <c r="AN556" s="55"/>
      <c r="AO556" s="55"/>
      <c r="AP556" s="55"/>
      <c r="AQ556" s="55"/>
      <c r="AR556" s="55"/>
      <c r="AS556" s="55"/>
      <c r="AT556" s="55"/>
      <c r="AU556" s="55"/>
      <c r="AV556" s="55"/>
      <c r="AW556" s="55"/>
      <c r="AX556" s="55"/>
      <c r="AY556" s="55"/>
      <c r="AZ556" s="55"/>
      <c r="BA556" s="55"/>
      <c r="BB556" s="55"/>
      <c r="BC556" s="55"/>
      <c r="BD556" s="55"/>
      <c r="BE556" s="55"/>
      <c r="BF556" s="55"/>
      <c r="BG556" s="55"/>
      <c r="BH556" s="55"/>
      <c r="BI556" s="144"/>
    </row>
    <row r="557" spans="2:61" ht="20.100000000000001" customHeight="1" x14ac:dyDescent="0.45">
      <c r="B557" s="131" t="s">
        <v>515</v>
      </c>
      <c r="C557" s="132"/>
      <c r="D557" s="132"/>
      <c r="E557" s="132"/>
      <c r="F557" s="132"/>
      <c r="G557" s="133"/>
      <c r="H557" s="134" t="s">
        <v>237</v>
      </c>
      <c r="I557" s="133"/>
      <c r="J557" s="173" t="s">
        <v>310</v>
      </c>
      <c r="K557" s="166"/>
      <c r="L557" s="166"/>
      <c r="M557" s="166"/>
      <c r="N557" s="166"/>
      <c r="O557" s="166"/>
      <c r="P557" s="166"/>
      <c r="Q557" s="166"/>
      <c r="R557" s="173" t="s">
        <v>520</v>
      </c>
      <c r="S557" s="166"/>
      <c r="T557" s="166"/>
      <c r="U557" s="166"/>
      <c r="V557" s="166"/>
      <c r="W557" s="166"/>
      <c r="X557" s="166"/>
      <c r="Y557" s="166"/>
      <c r="Z557" s="166"/>
      <c r="AA557" s="166"/>
      <c r="AB557" s="166"/>
      <c r="AC557" s="166"/>
      <c r="AD557" s="166"/>
      <c r="AE557" s="166"/>
      <c r="AF557" s="166"/>
      <c r="AG557" s="166"/>
      <c r="AH557" s="166"/>
      <c r="AI557" s="166"/>
      <c r="AJ557" s="167"/>
      <c r="AK557" s="135"/>
      <c r="AL557" s="132"/>
      <c r="AM557" s="132"/>
      <c r="AN557" s="132"/>
      <c r="AO557" s="132"/>
      <c r="AP557" s="132"/>
      <c r="AQ557" s="132"/>
      <c r="AR557" s="132"/>
      <c r="AS557" s="132"/>
      <c r="AT557" s="132"/>
      <c r="AU557" s="132"/>
      <c r="AV557" s="132"/>
      <c r="AW557" s="132"/>
      <c r="AX557" s="132"/>
      <c r="AY557" s="132"/>
      <c r="AZ557" s="132"/>
      <c r="BA557" s="132"/>
      <c r="BB557" s="132"/>
      <c r="BC557" s="132"/>
      <c r="BD557" s="132"/>
      <c r="BE557" s="132"/>
      <c r="BF557" s="132"/>
      <c r="BG557" s="132"/>
      <c r="BH557" s="132"/>
      <c r="BI557" s="136"/>
    </row>
    <row r="558" spans="2:61" ht="20.100000000000001" customHeight="1" x14ac:dyDescent="0.45">
      <c r="B558" s="168"/>
      <c r="C558" s="31"/>
      <c r="D558" s="31"/>
      <c r="E558" s="31"/>
      <c r="F558" s="31"/>
      <c r="G558" s="138"/>
      <c r="H558" s="139"/>
      <c r="I558" s="138"/>
      <c r="J558" s="169" t="s">
        <v>293</v>
      </c>
      <c r="K558" s="52"/>
      <c r="L558" s="52"/>
      <c r="M558" s="52"/>
      <c r="N558" s="52"/>
      <c r="O558" s="52"/>
      <c r="P558" s="52"/>
      <c r="Q558" s="52"/>
      <c r="R558" s="169" t="s">
        <v>519</v>
      </c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170"/>
      <c r="AK558" s="140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141"/>
    </row>
    <row r="559" spans="2:61" ht="20.100000000000001" customHeight="1" x14ac:dyDescent="0.45">
      <c r="B559" s="168"/>
      <c r="C559" s="31"/>
      <c r="D559" s="31"/>
      <c r="E559" s="31"/>
      <c r="F559" s="31"/>
      <c r="G559" s="138"/>
      <c r="H559" s="139"/>
      <c r="I559" s="138"/>
      <c r="J559" s="169" t="s">
        <v>313</v>
      </c>
      <c r="K559" s="52"/>
      <c r="L559" s="52"/>
      <c r="M559" s="52"/>
      <c r="N559" s="52"/>
      <c r="O559" s="52"/>
      <c r="P559" s="52"/>
      <c r="Q559" s="52"/>
      <c r="R559" s="169" t="s">
        <v>518</v>
      </c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170"/>
      <c r="AK559" s="140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141"/>
    </row>
    <row r="560" spans="2:61" ht="20.100000000000001" customHeight="1" x14ac:dyDescent="0.45">
      <c r="B560" s="168"/>
      <c r="C560" s="31"/>
      <c r="D560" s="31"/>
      <c r="E560" s="31"/>
      <c r="F560" s="31"/>
      <c r="G560" s="138"/>
      <c r="H560" s="139"/>
      <c r="I560" s="138"/>
      <c r="J560" s="169" t="s">
        <v>298</v>
      </c>
      <c r="K560" s="52"/>
      <c r="L560" s="52"/>
      <c r="M560" s="52"/>
      <c r="N560" s="52"/>
      <c r="O560" s="52"/>
      <c r="P560" s="52"/>
      <c r="Q560" s="52"/>
      <c r="R560" s="169" t="s">
        <v>517</v>
      </c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170"/>
      <c r="AK560" s="140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141"/>
    </row>
    <row r="561" spans="2:61" ht="20.100000000000001" customHeight="1" x14ac:dyDescent="0.45">
      <c r="B561" s="168"/>
      <c r="C561" s="31"/>
      <c r="D561" s="31"/>
      <c r="E561" s="31"/>
      <c r="F561" s="31"/>
      <c r="G561" s="138"/>
      <c r="H561" s="139"/>
      <c r="I561" s="138"/>
      <c r="J561" s="169" t="s">
        <v>302</v>
      </c>
      <c r="K561" s="52"/>
      <c r="L561" s="52"/>
      <c r="M561" s="52"/>
      <c r="N561" s="52"/>
      <c r="O561" s="52"/>
      <c r="P561" s="52"/>
      <c r="Q561" s="52"/>
      <c r="R561" s="169" t="s">
        <v>516</v>
      </c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170"/>
      <c r="AK561" s="140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141"/>
    </row>
    <row r="562" spans="2:61" ht="20.100000000000001" customHeight="1" x14ac:dyDescent="0.45">
      <c r="B562" s="168"/>
      <c r="C562" s="31"/>
      <c r="D562" s="31"/>
      <c r="E562" s="31"/>
      <c r="F562" s="31"/>
      <c r="G562" s="138"/>
      <c r="H562" s="139"/>
      <c r="I562" s="138"/>
      <c r="J562" s="169" t="s">
        <v>307</v>
      </c>
      <c r="K562" s="52"/>
      <c r="L562" s="52"/>
      <c r="M562" s="52"/>
      <c r="N562" s="52"/>
      <c r="O562" s="52"/>
      <c r="P562" s="52"/>
      <c r="Q562" s="52"/>
      <c r="R562" s="169">
        <v>0</v>
      </c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170"/>
      <c r="AK562" s="140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141"/>
    </row>
    <row r="563" spans="2:61" ht="20.100000000000001" customHeight="1" x14ac:dyDescent="0.45">
      <c r="B563" s="168"/>
      <c r="C563" s="31"/>
      <c r="D563" s="31"/>
      <c r="E563" s="31"/>
      <c r="F563" s="31"/>
      <c r="G563" s="138"/>
      <c r="H563" s="139"/>
      <c r="I563" s="138"/>
      <c r="J563" s="169" t="s">
        <v>309</v>
      </c>
      <c r="K563" s="52"/>
      <c r="L563" s="52"/>
      <c r="M563" s="52"/>
      <c r="N563" s="52"/>
      <c r="O563" s="52"/>
      <c r="P563" s="52"/>
      <c r="Q563" s="52"/>
      <c r="R563" s="169">
        <v>0</v>
      </c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170"/>
      <c r="AK563" s="140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141"/>
    </row>
    <row r="564" spans="2:61" ht="20.100000000000001" customHeight="1" x14ac:dyDescent="0.45">
      <c r="B564" s="168"/>
      <c r="C564" s="31"/>
      <c r="D564" s="31"/>
      <c r="E564" s="31"/>
      <c r="F564" s="31"/>
      <c r="G564" s="138"/>
      <c r="H564" s="142" t="s">
        <v>145</v>
      </c>
      <c r="I564" s="55"/>
      <c r="J564" s="142" t="s">
        <v>432</v>
      </c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  <c r="AA564" s="55"/>
      <c r="AB564" s="55"/>
      <c r="AC564" s="55"/>
      <c r="AD564" s="55"/>
      <c r="AE564" s="55"/>
      <c r="AF564" s="55"/>
      <c r="AG564" s="55"/>
      <c r="AH564" s="55"/>
      <c r="AI564" s="55"/>
      <c r="AJ564" s="55"/>
      <c r="AK564" s="143"/>
      <c r="AL564" s="55"/>
      <c r="AM564" s="55"/>
      <c r="AN564" s="55"/>
      <c r="AO564" s="55"/>
      <c r="AP564" s="55"/>
      <c r="AQ564" s="55"/>
      <c r="AR564" s="55"/>
      <c r="AS564" s="55"/>
      <c r="AT564" s="55"/>
      <c r="AU564" s="55"/>
      <c r="AV564" s="55"/>
      <c r="AW564" s="55"/>
      <c r="AX564" s="55"/>
      <c r="AY564" s="55"/>
      <c r="AZ564" s="55"/>
      <c r="BA564" s="55"/>
      <c r="BB564" s="55"/>
      <c r="BC564" s="55"/>
      <c r="BD564" s="55"/>
      <c r="BE564" s="55"/>
      <c r="BF564" s="55"/>
      <c r="BG564" s="55"/>
      <c r="BH564" s="55"/>
      <c r="BI564" s="144"/>
    </row>
    <row r="565" spans="2:61" ht="20.100000000000001" customHeight="1" x14ac:dyDescent="0.45">
      <c r="B565" s="137"/>
      <c r="C565" s="31"/>
      <c r="D565" s="31"/>
      <c r="E565" s="31"/>
      <c r="F565" s="31"/>
      <c r="G565" s="138"/>
      <c r="H565" s="142" t="s">
        <v>435</v>
      </c>
      <c r="I565" s="55"/>
      <c r="J565" s="142" t="s">
        <v>520</v>
      </c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  <c r="AA565" s="55"/>
      <c r="AB565" s="55"/>
      <c r="AC565" s="55"/>
      <c r="AD565" s="55"/>
      <c r="AE565" s="55"/>
      <c r="AF565" s="55"/>
      <c r="AG565" s="55"/>
      <c r="AH565" s="55"/>
      <c r="AI565" s="55"/>
      <c r="AJ565" s="55"/>
      <c r="AK565" s="143"/>
      <c r="AL565" s="55"/>
      <c r="AM565" s="55"/>
      <c r="AN565" s="55"/>
      <c r="AO565" s="55"/>
      <c r="AP565" s="55"/>
      <c r="AQ565" s="55"/>
      <c r="AR565" s="55"/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  <c r="BG565" s="55"/>
      <c r="BH565" s="55"/>
      <c r="BI565" s="144"/>
    </row>
    <row r="566" spans="2:61" ht="20.100000000000001" customHeight="1" x14ac:dyDescent="0.45">
      <c r="B566" s="137"/>
      <c r="C566" s="31"/>
      <c r="D566" s="31"/>
      <c r="E566" s="31"/>
      <c r="F566" s="31"/>
      <c r="G566" s="138"/>
      <c r="H566" s="139"/>
      <c r="I566" s="31"/>
      <c r="J566" s="139" t="s">
        <v>519</v>
      </c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140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141"/>
    </row>
    <row r="567" spans="2:61" ht="20.100000000000001" customHeight="1" x14ac:dyDescent="0.45">
      <c r="B567" s="137"/>
      <c r="C567" s="31"/>
      <c r="D567" s="31"/>
      <c r="E567" s="31"/>
      <c r="F567" s="31"/>
      <c r="G567" s="138"/>
      <c r="H567" s="145"/>
      <c r="I567" s="146"/>
      <c r="J567" s="145" t="s">
        <v>518</v>
      </c>
      <c r="K567" s="146"/>
      <c r="L567" s="146"/>
      <c r="M567" s="146"/>
      <c r="N567" s="146"/>
      <c r="O567" s="146"/>
      <c r="P567" s="146"/>
      <c r="Q567" s="146"/>
      <c r="R567" s="146"/>
      <c r="S567" s="146"/>
      <c r="T567" s="146"/>
      <c r="U567" s="146"/>
      <c r="V567" s="146"/>
      <c r="W567" s="146"/>
      <c r="X567" s="146"/>
      <c r="Y567" s="146"/>
      <c r="Z567" s="146"/>
      <c r="AA567" s="146"/>
      <c r="AB567" s="146"/>
      <c r="AC567" s="146"/>
      <c r="AD567" s="146"/>
      <c r="AE567" s="146"/>
      <c r="AF567" s="146"/>
      <c r="AG567" s="146"/>
      <c r="AH567" s="146"/>
      <c r="AI567" s="146"/>
      <c r="AJ567" s="146"/>
      <c r="AK567" s="147"/>
      <c r="AL567" s="146"/>
      <c r="AM567" s="146"/>
      <c r="AN567" s="146"/>
      <c r="AO567" s="146"/>
      <c r="AP567" s="146"/>
      <c r="AQ567" s="146"/>
      <c r="AR567" s="146"/>
      <c r="AS567" s="146"/>
      <c r="AT567" s="146"/>
      <c r="AU567" s="146"/>
      <c r="AV567" s="146"/>
      <c r="AW567" s="146"/>
      <c r="AX567" s="146"/>
      <c r="AY567" s="146"/>
      <c r="AZ567" s="146"/>
      <c r="BA567" s="146"/>
      <c r="BB567" s="146"/>
      <c r="BC567" s="146"/>
      <c r="BD567" s="146"/>
      <c r="BE567" s="146"/>
      <c r="BF567" s="146"/>
      <c r="BG567" s="146"/>
      <c r="BH567" s="146"/>
      <c r="BI567" s="148"/>
    </row>
    <row r="568" spans="2:61" ht="20.100000000000001" customHeight="1" thickBot="1" x14ac:dyDescent="0.5">
      <c r="B568" s="137"/>
      <c r="C568" s="31"/>
      <c r="D568" s="31"/>
      <c r="E568" s="31"/>
      <c r="F568" s="31"/>
      <c r="G568" s="138"/>
      <c r="H568" s="139" t="s">
        <v>521</v>
      </c>
      <c r="I568" s="31"/>
      <c r="J568" s="139" t="s">
        <v>519</v>
      </c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140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141"/>
    </row>
    <row r="569" spans="2:61" ht="20.100000000000001" customHeight="1" x14ac:dyDescent="0.45">
      <c r="B569" s="131" t="s">
        <v>522</v>
      </c>
      <c r="C569" s="132"/>
      <c r="D569" s="132"/>
      <c r="E569" s="132"/>
      <c r="F569" s="132"/>
      <c r="G569" s="133"/>
      <c r="H569" s="134" t="s">
        <v>237</v>
      </c>
      <c r="I569" s="133"/>
      <c r="J569" s="173" t="s">
        <v>311</v>
      </c>
      <c r="K569" s="166"/>
      <c r="L569" s="166"/>
      <c r="M569" s="166"/>
      <c r="N569" s="166"/>
      <c r="O569" s="166"/>
      <c r="P569" s="166"/>
      <c r="Q569" s="166"/>
      <c r="R569" s="173" t="s">
        <v>437</v>
      </c>
      <c r="S569" s="166"/>
      <c r="T569" s="166"/>
      <c r="U569" s="166"/>
      <c r="V569" s="166"/>
      <c r="W569" s="166"/>
      <c r="X569" s="166"/>
      <c r="Y569" s="166"/>
      <c r="Z569" s="166"/>
      <c r="AA569" s="166"/>
      <c r="AB569" s="166"/>
      <c r="AC569" s="166"/>
      <c r="AD569" s="166"/>
      <c r="AE569" s="166"/>
      <c r="AF569" s="166"/>
      <c r="AG569" s="166"/>
      <c r="AH569" s="166"/>
      <c r="AI569" s="166"/>
      <c r="AJ569" s="167"/>
      <c r="AK569" s="135"/>
      <c r="AL569" s="132"/>
      <c r="AM569" s="132"/>
      <c r="AN569" s="132"/>
      <c r="AO569" s="132"/>
      <c r="AP569" s="132"/>
      <c r="AQ569" s="132"/>
      <c r="AR569" s="132"/>
      <c r="AS569" s="132"/>
      <c r="AT569" s="132"/>
      <c r="AU569" s="132"/>
      <c r="AV569" s="132"/>
      <c r="AW569" s="132"/>
      <c r="AX569" s="132"/>
      <c r="AY569" s="132"/>
      <c r="AZ569" s="132"/>
      <c r="BA569" s="132"/>
      <c r="BB569" s="132"/>
      <c r="BC569" s="132"/>
      <c r="BD569" s="132"/>
      <c r="BE569" s="132"/>
      <c r="BF569" s="132"/>
      <c r="BG569" s="132"/>
      <c r="BH569" s="132"/>
      <c r="BI569" s="136"/>
    </row>
    <row r="570" spans="2:61" ht="20.100000000000001" customHeight="1" x14ac:dyDescent="0.45">
      <c r="B570" s="168"/>
      <c r="C570" s="31"/>
      <c r="D570" s="31"/>
      <c r="E570" s="31"/>
      <c r="F570" s="31"/>
      <c r="G570" s="138"/>
      <c r="H570" s="139"/>
      <c r="I570" s="138"/>
      <c r="J570" s="169" t="s">
        <v>293</v>
      </c>
      <c r="K570" s="52"/>
      <c r="L570" s="52"/>
      <c r="M570" s="52"/>
      <c r="N570" s="52"/>
      <c r="O570" s="52"/>
      <c r="P570" s="52"/>
      <c r="Q570" s="52"/>
      <c r="R570" s="169" t="s">
        <v>438</v>
      </c>
      <c r="S570" s="52"/>
      <c r="T570" s="52"/>
      <c r="U570" s="52"/>
      <c r="V570" s="52"/>
      <c r="W570" s="52"/>
      <c r="X570" s="52"/>
      <c r="Y570" s="52"/>
      <c r="Z570" s="52"/>
      <c r="AA570" s="52"/>
      <c r="AB570" s="52"/>
      <c r="AC570" s="52"/>
      <c r="AD570" s="52"/>
      <c r="AE570" s="52"/>
      <c r="AF570" s="52"/>
      <c r="AG570" s="52"/>
      <c r="AH570" s="52"/>
      <c r="AI570" s="52"/>
      <c r="AJ570" s="170"/>
      <c r="AK570" s="140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141"/>
    </row>
    <row r="571" spans="2:61" ht="20.100000000000001" customHeight="1" x14ac:dyDescent="0.45">
      <c r="B571" s="168"/>
      <c r="C571" s="31"/>
      <c r="D571" s="31"/>
      <c r="E571" s="31"/>
      <c r="F571" s="31"/>
      <c r="G571" s="138"/>
      <c r="H571" s="139"/>
      <c r="I571" s="138"/>
      <c r="J571" s="169" t="s">
        <v>313</v>
      </c>
      <c r="K571" s="52"/>
      <c r="L571" s="52"/>
      <c r="M571" s="52"/>
      <c r="N571" s="52"/>
      <c r="O571" s="52"/>
      <c r="P571" s="52"/>
      <c r="Q571" s="52"/>
      <c r="R571" s="169" t="s">
        <v>439</v>
      </c>
      <c r="S571" s="52"/>
      <c r="T571" s="52"/>
      <c r="U571" s="52"/>
      <c r="V571" s="52"/>
      <c r="W571" s="52"/>
      <c r="X571" s="52"/>
      <c r="Y571" s="52"/>
      <c r="Z571" s="52"/>
      <c r="AA571" s="52"/>
      <c r="AB571" s="52"/>
      <c r="AC571" s="52"/>
      <c r="AD571" s="52"/>
      <c r="AE571" s="52"/>
      <c r="AF571" s="52"/>
      <c r="AG571" s="52"/>
      <c r="AH571" s="52"/>
      <c r="AI571" s="52"/>
      <c r="AJ571" s="170"/>
      <c r="AK571" s="140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141"/>
    </row>
    <row r="572" spans="2:61" ht="20.100000000000001" customHeight="1" x14ac:dyDescent="0.45">
      <c r="B572" s="168"/>
      <c r="C572" s="31"/>
      <c r="D572" s="31"/>
      <c r="E572" s="31"/>
      <c r="F572" s="31"/>
      <c r="G572" s="138"/>
      <c r="H572" s="139"/>
      <c r="I572" s="138"/>
      <c r="J572" s="169" t="s">
        <v>524</v>
      </c>
      <c r="K572" s="52"/>
      <c r="L572" s="52"/>
      <c r="M572" s="52"/>
      <c r="N572" s="52"/>
      <c r="O572" s="52"/>
      <c r="P572" s="52"/>
      <c r="Q572" s="52"/>
      <c r="R572" s="169" t="s">
        <v>525</v>
      </c>
      <c r="S572" s="52"/>
      <c r="T572" s="52"/>
      <c r="U572" s="52"/>
      <c r="V572" s="52"/>
      <c r="W572" s="52"/>
      <c r="X572" s="52"/>
      <c r="Y572" s="52"/>
      <c r="Z572" s="52"/>
      <c r="AA572" s="52"/>
      <c r="AB572" s="52"/>
      <c r="AC572" s="52"/>
      <c r="AD572" s="52"/>
      <c r="AE572" s="52"/>
      <c r="AF572" s="52"/>
      <c r="AG572" s="52"/>
      <c r="AH572" s="52"/>
      <c r="AI572" s="52"/>
      <c r="AJ572" s="170"/>
      <c r="AK572" s="140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141"/>
    </row>
    <row r="573" spans="2:61" ht="20.100000000000001" customHeight="1" x14ac:dyDescent="0.45">
      <c r="B573" s="168"/>
      <c r="C573" s="31"/>
      <c r="D573" s="31"/>
      <c r="E573" s="31"/>
      <c r="F573" s="31"/>
      <c r="G573" s="138"/>
      <c r="H573" s="139"/>
      <c r="I573" s="138"/>
      <c r="J573" s="169"/>
      <c r="K573" s="52"/>
      <c r="L573" s="52"/>
      <c r="M573" s="52"/>
      <c r="N573" s="52"/>
      <c r="O573" s="52"/>
      <c r="P573" s="52"/>
      <c r="Q573" s="52"/>
      <c r="R573" s="169" t="s">
        <v>526</v>
      </c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170"/>
      <c r="AK573" s="140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141"/>
    </row>
    <row r="574" spans="2:61" ht="20.100000000000001" customHeight="1" x14ac:dyDescent="0.45">
      <c r="B574" s="168"/>
      <c r="C574" s="31"/>
      <c r="D574" s="31"/>
      <c r="E574" s="31"/>
      <c r="F574" s="31"/>
      <c r="G574" s="138"/>
      <c r="H574" s="142" t="s">
        <v>145</v>
      </c>
      <c r="I574" s="55"/>
      <c r="J574" s="142" t="s">
        <v>527</v>
      </c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  <c r="AA574" s="55"/>
      <c r="AB574" s="55"/>
      <c r="AC574" s="55"/>
      <c r="AD574" s="55"/>
      <c r="AE574" s="55"/>
      <c r="AF574" s="55"/>
      <c r="AG574" s="55"/>
      <c r="AH574" s="55"/>
      <c r="AI574" s="55"/>
      <c r="AJ574" s="55"/>
      <c r="AK574" s="143"/>
      <c r="AL574" s="55"/>
      <c r="AM574" s="55"/>
      <c r="AN574" s="55"/>
      <c r="AO574" s="55"/>
      <c r="AP574" s="55"/>
      <c r="AQ574" s="55"/>
      <c r="AR574" s="55"/>
      <c r="AS574" s="55"/>
      <c r="AT574" s="55"/>
      <c r="AU574" s="55"/>
      <c r="AV574" s="55"/>
      <c r="AW574" s="55"/>
      <c r="AX574" s="55"/>
      <c r="AY574" s="55"/>
      <c r="AZ574" s="55"/>
      <c r="BA574" s="55"/>
      <c r="BB574" s="55"/>
      <c r="BC574" s="55"/>
      <c r="BD574" s="55"/>
      <c r="BE574" s="55"/>
      <c r="BF574" s="55"/>
      <c r="BG574" s="55"/>
      <c r="BH574" s="55"/>
      <c r="BI574" s="144"/>
    </row>
    <row r="575" spans="2:61" ht="20.100000000000001" customHeight="1" x14ac:dyDescent="0.45">
      <c r="B575" s="137"/>
      <c r="C575" s="31"/>
      <c r="D575" s="31"/>
      <c r="E575" s="31"/>
      <c r="F575" s="31"/>
      <c r="G575" s="138"/>
      <c r="H575" s="139"/>
      <c r="I575" s="31"/>
      <c r="J575" s="139" t="s">
        <v>528</v>
      </c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140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141"/>
    </row>
    <row r="576" spans="2:61" ht="20.100000000000001" customHeight="1" x14ac:dyDescent="0.45">
      <c r="B576" s="137"/>
      <c r="C576" s="31"/>
      <c r="D576" s="31"/>
      <c r="E576" s="31"/>
      <c r="F576" s="31"/>
      <c r="G576" s="138"/>
      <c r="H576" s="142" t="s">
        <v>146</v>
      </c>
      <c r="I576" s="55"/>
      <c r="J576" s="142" t="s">
        <v>509</v>
      </c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  <c r="AA576" s="55"/>
      <c r="AB576" s="55"/>
      <c r="AC576" s="55"/>
      <c r="AD576" s="55"/>
      <c r="AE576" s="55"/>
      <c r="AF576" s="55"/>
      <c r="AG576" s="55"/>
      <c r="AH576" s="55"/>
      <c r="AI576" s="55"/>
      <c r="AJ576" s="55"/>
      <c r="AK576" s="143"/>
      <c r="AL576" s="55"/>
      <c r="AM576" s="55"/>
      <c r="AN576" s="55"/>
      <c r="AO576" s="55"/>
      <c r="AP576" s="55"/>
      <c r="AQ576" s="55"/>
      <c r="AR576" s="55"/>
      <c r="AS576" s="55"/>
      <c r="AT576" s="55"/>
      <c r="AU576" s="55"/>
      <c r="AV576" s="55"/>
      <c r="AW576" s="55"/>
      <c r="AX576" s="55"/>
      <c r="AY576" s="55"/>
      <c r="AZ576" s="55"/>
      <c r="BA576" s="55"/>
      <c r="BB576" s="55"/>
      <c r="BC576" s="55"/>
      <c r="BD576" s="55"/>
      <c r="BE576" s="55"/>
      <c r="BF576" s="55"/>
      <c r="BG576" s="55"/>
      <c r="BH576" s="55"/>
      <c r="BI576" s="144"/>
    </row>
    <row r="577" spans="2:61" ht="20.100000000000001" customHeight="1" x14ac:dyDescent="0.45">
      <c r="B577" s="137"/>
      <c r="C577" s="31"/>
      <c r="D577" s="31"/>
      <c r="E577" s="31"/>
      <c r="F577" s="31"/>
      <c r="G577" s="138"/>
      <c r="H577" s="139"/>
      <c r="I577" s="31"/>
      <c r="J577" s="139"/>
      <c r="K577" s="31" t="s">
        <v>529</v>
      </c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140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141"/>
    </row>
    <row r="578" spans="2:61" ht="20.100000000000001" customHeight="1" x14ac:dyDescent="0.45">
      <c r="B578" s="137"/>
      <c r="C578" s="31"/>
      <c r="D578" s="31"/>
      <c r="E578" s="31"/>
      <c r="F578" s="31"/>
      <c r="G578" s="138"/>
      <c r="H578" s="139"/>
      <c r="I578" s="31"/>
      <c r="J578" s="139"/>
      <c r="K578" s="31"/>
      <c r="M578" s="31" t="s">
        <v>530</v>
      </c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140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141"/>
    </row>
    <row r="579" spans="2:61" ht="20.100000000000001" customHeight="1" x14ac:dyDescent="0.45">
      <c r="B579" s="137"/>
      <c r="C579" s="31"/>
      <c r="D579" s="31"/>
      <c r="E579" s="31"/>
      <c r="F579" s="31"/>
      <c r="G579" s="138"/>
      <c r="H579" s="139"/>
      <c r="I579" s="31"/>
      <c r="J579" s="139"/>
      <c r="K579" s="31"/>
      <c r="L579" s="31" t="s">
        <v>425</v>
      </c>
      <c r="M579" s="31" t="s">
        <v>531</v>
      </c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140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141"/>
    </row>
    <row r="580" spans="2:61" ht="20.100000000000001" customHeight="1" x14ac:dyDescent="0.45">
      <c r="B580" s="137"/>
      <c r="C580" s="31"/>
      <c r="D580" s="31"/>
      <c r="E580" s="31"/>
      <c r="F580" s="31"/>
      <c r="G580" s="138"/>
      <c r="H580" s="139"/>
      <c r="I580" s="31"/>
      <c r="J580" s="139"/>
      <c r="K580" s="31"/>
      <c r="L580" s="31" t="s">
        <v>425</v>
      </c>
      <c r="M580" s="31" t="s">
        <v>532</v>
      </c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140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141"/>
    </row>
    <row r="581" spans="2:61" ht="20.100000000000001" customHeight="1" x14ac:dyDescent="0.45">
      <c r="B581" s="137"/>
      <c r="C581" s="31"/>
      <c r="D581" s="31"/>
      <c r="E581" s="31"/>
      <c r="F581" s="31"/>
      <c r="G581" s="138"/>
      <c r="H581" s="142" t="s">
        <v>521</v>
      </c>
      <c r="I581" s="55"/>
      <c r="J581" s="142" t="s">
        <v>533</v>
      </c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  <c r="AA581" s="55"/>
      <c r="AB581" s="55"/>
      <c r="AC581" s="55"/>
      <c r="AD581" s="55"/>
      <c r="AE581" s="55"/>
      <c r="AF581" s="55"/>
      <c r="AG581" s="55"/>
      <c r="AH581" s="55"/>
      <c r="AI581" s="55"/>
      <c r="AJ581" s="55"/>
      <c r="AK581" s="142"/>
      <c r="AL581" s="55"/>
      <c r="AM581" s="55"/>
      <c r="AN581" s="55"/>
      <c r="AO581" s="55"/>
      <c r="AP581" s="55"/>
      <c r="AQ581" s="55"/>
      <c r="AR581" s="55"/>
      <c r="AS581" s="55"/>
      <c r="AT581" s="55"/>
      <c r="AU581" s="55"/>
      <c r="AV581" s="55"/>
      <c r="AW581" s="55"/>
      <c r="AX581" s="55"/>
      <c r="AY581" s="55"/>
      <c r="AZ581" s="55"/>
      <c r="BA581" s="55"/>
      <c r="BB581" s="55"/>
      <c r="BC581" s="55"/>
      <c r="BD581" s="55"/>
      <c r="BE581" s="55"/>
      <c r="BF581" s="55"/>
      <c r="BG581" s="55"/>
      <c r="BH581" s="55"/>
      <c r="BI581" s="144"/>
    </row>
    <row r="582" spans="2:61" ht="20.100000000000001" customHeight="1" thickBot="1" x14ac:dyDescent="0.5">
      <c r="B582" s="137"/>
      <c r="C582" s="31"/>
      <c r="D582" s="31"/>
      <c r="E582" s="31"/>
      <c r="F582" s="31"/>
      <c r="G582" s="138"/>
      <c r="H582" s="158"/>
      <c r="I582" s="156"/>
      <c r="J582" s="158" t="s">
        <v>534</v>
      </c>
      <c r="K582" s="156"/>
      <c r="L582" s="156"/>
      <c r="M582" s="156"/>
      <c r="N582" s="156"/>
      <c r="O582" s="156"/>
      <c r="P582" s="156"/>
      <c r="Q582" s="156"/>
      <c r="R582" s="156"/>
      <c r="S582" s="156"/>
      <c r="T582" s="156"/>
      <c r="U582" s="156"/>
      <c r="V582" s="156"/>
      <c r="W582" s="156"/>
      <c r="X582" s="156"/>
      <c r="Y582" s="156"/>
      <c r="Z582" s="156"/>
      <c r="AA582" s="156"/>
      <c r="AB582" s="156"/>
      <c r="AC582" s="156"/>
      <c r="AD582" s="156"/>
      <c r="AE582" s="156"/>
      <c r="AF582" s="156"/>
      <c r="AG582" s="156"/>
      <c r="AH582" s="156"/>
      <c r="AI582" s="156"/>
      <c r="AJ582" s="156"/>
      <c r="AK582" s="182"/>
      <c r="AL582" s="156"/>
      <c r="AM582" s="156"/>
      <c r="AN582" s="156"/>
      <c r="AO582" s="156"/>
      <c r="AP582" s="156"/>
      <c r="AQ582" s="156"/>
      <c r="AR582" s="156"/>
      <c r="AS582" s="156"/>
      <c r="AT582" s="156"/>
      <c r="AU582" s="156"/>
      <c r="AV582" s="156"/>
      <c r="AW582" s="156"/>
      <c r="AX582" s="156"/>
      <c r="AY582" s="156"/>
      <c r="AZ582" s="156"/>
      <c r="BA582" s="156"/>
      <c r="BB582" s="156"/>
      <c r="BC582" s="156"/>
      <c r="BD582" s="156"/>
      <c r="BE582" s="156"/>
      <c r="BF582" s="156"/>
      <c r="BG582" s="156"/>
      <c r="BH582" s="156"/>
      <c r="BI582" s="159"/>
    </row>
    <row r="583" spans="2:61" ht="20.100000000000001" customHeight="1" x14ac:dyDescent="0.45">
      <c r="B583" s="131" t="s">
        <v>523</v>
      </c>
      <c r="C583" s="132"/>
      <c r="D583" s="132"/>
      <c r="E583" s="132"/>
      <c r="F583" s="132"/>
      <c r="G583" s="133"/>
      <c r="H583" s="134" t="s">
        <v>237</v>
      </c>
      <c r="I583" s="133"/>
      <c r="J583" s="173" t="s">
        <v>311</v>
      </c>
      <c r="K583" s="166"/>
      <c r="L583" s="166"/>
      <c r="M583" s="166"/>
      <c r="N583" s="166"/>
      <c r="O583" s="166"/>
      <c r="P583" s="166"/>
      <c r="Q583" s="166"/>
      <c r="R583" s="173" t="s">
        <v>437</v>
      </c>
      <c r="S583" s="166"/>
      <c r="T583" s="166"/>
      <c r="U583" s="166"/>
      <c r="V583" s="166"/>
      <c r="W583" s="166"/>
      <c r="X583" s="166"/>
      <c r="Y583" s="166"/>
      <c r="Z583" s="166"/>
      <c r="AA583" s="166"/>
      <c r="AB583" s="166"/>
      <c r="AC583" s="166"/>
      <c r="AD583" s="166"/>
      <c r="AE583" s="166"/>
      <c r="AF583" s="166"/>
      <c r="AG583" s="166"/>
      <c r="AH583" s="166"/>
      <c r="AI583" s="166"/>
      <c r="AJ583" s="167"/>
      <c r="AK583" s="135"/>
      <c r="AL583" s="132"/>
      <c r="AM583" s="132"/>
      <c r="AN583" s="132"/>
      <c r="AO583" s="132"/>
      <c r="AP583" s="132"/>
      <c r="AQ583" s="132"/>
      <c r="AR583" s="132"/>
      <c r="AS583" s="132"/>
      <c r="AT583" s="132"/>
      <c r="AU583" s="132"/>
      <c r="AV583" s="132"/>
      <c r="AW583" s="132"/>
      <c r="AX583" s="132"/>
      <c r="AY583" s="132"/>
      <c r="AZ583" s="132"/>
      <c r="BA583" s="132"/>
      <c r="BB583" s="132"/>
      <c r="BC583" s="132"/>
      <c r="BD583" s="132"/>
      <c r="BE583" s="132"/>
      <c r="BF583" s="132"/>
      <c r="BG583" s="132"/>
      <c r="BH583" s="132"/>
      <c r="BI583" s="136"/>
    </row>
    <row r="584" spans="2:61" ht="20.100000000000001" customHeight="1" x14ac:dyDescent="0.45">
      <c r="B584" s="168"/>
      <c r="C584" s="31"/>
      <c r="D584" s="31"/>
      <c r="E584" s="31"/>
      <c r="F584" s="31"/>
      <c r="G584" s="138"/>
      <c r="H584" s="139"/>
      <c r="I584" s="138"/>
      <c r="J584" s="169" t="s">
        <v>293</v>
      </c>
      <c r="K584" s="52"/>
      <c r="L584" s="52"/>
      <c r="M584" s="52"/>
      <c r="N584" s="52"/>
      <c r="O584" s="52"/>
      <c r="P584" s="52"/>
      <c r="Q584" s="52"/>
      <c r="R584" s="169" t="s">
        <v>438</v>
      </c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170"/>
      <c r="AK584" s="140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141"/>
    </row>
    <row r="585" spans="2:61" ht="20.100000000000001" customHeight="1" x14ac:dyDescent="0.45">
      <c r="B585" s="168"/>
      <c r="C585" s="31"/>
      <c r="D585" s="31"/>
      <c r="E585" s="31"/>
      <c r="F585" s="31"/>
      <c r="G585" s="138"/>
      <c r="H585" s="139"/>
      <c r="I585" s="138"/>
      <c r="J585" s="169" t="s">
        <v>313</v>
      </c>
      <c r="K585" s="52"/>
      <c r="L585" s="52"/>
      <c r="M585" s="52"/>
      <c r="N585" s="52"/>
      <c r="O585" s="52"/>
      <c r="P585" s="52"/>
      <c r="Q585" s="52"/>
      <c r="R585" s="169" t="s">
        <v>439</v>
      </c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170"/>
      <c r="AK585" s="140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141"/>
    </row>
    <row r="586" spans="2:61" ht="20.100000000000001" customHeight="1" x14ac:dyDescent="0.45">
      <c r="B586" s="168"/>
      <c r="C586" s="31"/>
      <c r="D586" s="31"/>
      <c r="E586" s="31"/>
      <c r="F586" s="31"/>
      <c r="G586" s="138"/>
      <c r="H586" s="139"/>
      <c r="I586" s="138"/>
      <c r="J586" s="169" t="s">
        <v>524</v>
      </c>
      <c r="K586" s="52"/>
      <c r="L586" s="52"/>
      <c r="M586" s="52"/>
      <c r="N586" s="52"/>
      <c r="O586" s="52"/>
      <c r="P586" s="52"/>
      <c r="Q586" s="52"/>
      <c r="R586" s="169" t="s">
        <v>525</v>
      </c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170"/>
      <c r="AK586" s="140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141"/>
    </row>
    <row r="587" spans="2:61" ht="20.100000000000001" customHeight="1" x14ac:dyDescent="0.45">
      <c r="B587" s="168"/>
      <c r="C587" s="31"/>
      <c r="D587" s="31"/>
      <c r="E587" s="31"/>
      <c r="F587" s="31"/>
      <c r="G587" s="138"/>
      <c r="H587" s="142" t="s">
        <v>145</v>
      </c>
      <c r="I587" s="55"/>
      <c r="J587" s="142" t="s">
        <v>432</v>
      </c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  <c r="AA587" s="55"/>
      <c r="AB587" s="55"/>
      <c r="AC587" s="55"/>
      <c r="AD587" s="55"/>
      <c r="AE587" s="55"/>
      <c r="AF587" s="55"/>
      <c r="AG587" s="55"/>
      <c r="AH587" s="55"/>
      <c r="AI587" s="55"/>
      <c r="AJ587" s="55"/>
      <c r="AK587" s="143"/>
      <c r="AL587" s="55"/>
      <c r="AM587" s="55"/>
      <c r="AN587" s="55"/>
      <c r="AO587" s="55"/>
      <c r="AP587" s="55"/>
      <c r="AQ587" s="55"/>
      <c r="AR587" s="55"/>
      <c r="AS587" s="55"/>
      <c r="AT587" s="55"/>
      <c r="AU587" s="55"/>
      <c r="AV587" s="55"/>
      <c r="AW587" s="55"/>
      <c r="AX587" s="55"/>
      <c r="AY587" s="55"/>
      <c r="AZ587" s="55"/>
      <c r="BA587" s="55"/>
      <c r="BB587" s="55"/>
      <c r="BC587" s="55"/>
      <c r="BD587" s="55"/>
      <c r="BE587" s="55"/>
      <c r="BF587" s="55"/>
      <c r="BG587" s="55"/>
      <c r="BH587" s="55"/>
      <c r="BI587" s="144"/>
    </row>
    <row r="588" spans="2:61" ht="20.100000000000001" customHeight="1" x14ac:dyDescent="0.45">
      <c r="B588" s="137"/>
      <c r="C588" s="31"/>
      <c r="D588" s="31"/>
      <c r="E588" s="31"/>
      <c r="F588" s="31"/>
      <c r="G588" s="138"/>
      <c r="H588" s="142" t="s">
        <v>166</v>
      </c>
      <c r="I588" s="55"/>
      <c r="J588" s="142" t="s">
        <v>437</v>
      </c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  <c r="AA588" s="55"/>
      <c r="AB588" s="55"/>
      <c r="AC588" s="55"/>
      <c r="AD588" s="55"/>
      <c r="AE588" s="55"/>
      <c r="AF588" s="55"/>
      <c r="AG588" s="55"/>
      <c r="AH588" s="55"/>
      <c r="AI588" s="55"/>
      <c r="AJ588" s="55"/>
      <c r="AK588" s="143"/>
      <c r="AL588" s="55"/>
      <c r="AM588" s="55"/>
      <c r="AN588" s="55"/>
      <c r="AO588" s="55"/>
      <c r="AP588" s="55"/>
      <c r="AQ588" s="55"/>
      <c r="AR588" s="55"/>
      <c r="AS588" s="55"/>
      <c r="AT588" s="55"/>
      <c r="AU588" s="55"/>
      <c r="AV588" s="55"/>
      <c r="AW588" s="55"/>
      <c r="AX588" s="55"/>
      <c r="AY588" s="55"/>
      <c r="AZ588" s="55"/>
      <c r="BA588" s="55"/>
      <c r="BB588" s="55"/>
      <c r="BC588" s="55"/>
      <c r="BD588" s="55"/>
      <c r="BE588" s="55"/>
      <c r="BF588" s="55"/>
      <c r="BG588" s="55"/>
      <c r="BH588" s="55"/>
      <c r="BI588" s="144"/>
    </row>
    <row r="589" spans="2:61" ht="20.100000000000001" customHeight="1" x14ac:dyDescent="0.45">
      <c r="B589" s="137"/>
      <c r="C589" s="31"/>
      <c r="D589" s="31"/>
      <c r="E589" s="31"/>
      <c r="F589" s="31"/>
      <c r="G589" s="138"/>
      <c r="H589" s="139"/>
      <c r="I589" s="31"/>
      <c r="J589" s="139" t="s">
        <v>438</v>
      </c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140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141"/>
    </row>
    <row r="590" spans="2:61" ht="20.100000000000001" customHeight="1" thickBot="1" x14ac:dyDescent="0.5">
      <c r="B590" s="137"/>
      <c r="C590" s="31"/>
      <c r="D590" s="31"/>
      <c r="E590" s="31"/>
      <c r="F590" s="31"/>
      <c r="G590" s="138"/>
      <c r="H590" s="139"/>
      <c r="I590" s="31"/>
      <c r="J590" s="139" t="s">
        <v>439</v>
      </c>
      <c r="K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140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141"/>
    </row>
    <row r="591" spans="2:61" ht="5.0999999999999996" customHeight="1" x14ac:dyDescent="0.45">
      <c r="B591" s="132"/>
      <c r="C591" s="132"/>
      <c r="D591" s="132"/>
      <c r="E591" s="132"/>
      <c r="F591" s="132"/>
      <c r="G591" s="132"/>
      <c r="H591" s="132"/>
      <c r="I591" s="132"/>
      <c r="J591" s="132"/>
      <c r="K591" s="132"/>
      <c r="L591" s="132"/>
      <c r="M591" s="132"/>
      <c r="N591" s="132"/>
      <c r="O591" s="132"/>
      <c r="P591" s="132"/>
      <c r="Q591" s="132"/>
      <c r="R591" s="132"/>
      <c r="S591" s="132"/>
      <c r="T591" s="132"/>
      <c r="U591" s="132"/>
      <c r="V591" s="132"/>
      <c r="W591" s="132"/>
      <c r="X591" s="132"/>
      <c r="Y591" s="132"/>
      <c r="Z591" s="132"/>
      <c r="AA591" s="132"/>
      <c r="AB591" s="132"/>
      <c r="AC591" s="132"/>
      <c r="AD591" s="132"/>
      <c r="AE591" s="132"/>
      <c r="AF591" s="132"/>
      <c r="AG591" s="132"/>
      <c r="AH591" s="132"/>
      <c r="AI591" s="132"/>
      <c r="AJ591" s="132"/>
      <c r="AK591" s="132"/>
      <c r="AL591" s="132"/>
      <c r="AM591" s="132"/>
      <c r="AN591" s="132"/>
      <c r="AO591" s="132"/>
      <c r="AP591" s="132"/>
      <c r="AQ591" s="132"/>
      <c r="AR591" s="132"/>
      <c r="AS591" s="132"/>
      <c r="AT591" s="132"/>
      <c r="AU591" s="132"/>
      <c r="AV591" s="132"/>
      <c r="AW591" s="132"/>
      <c r="AX591" s="132"/>
      <c r="AY591" s="132"/>
      <c r="AZ591" s="132"/>
      <c r="BA591" s="132"/>
      <c r="BB591" s="132"/>
      <c r="BC591" s="132"/>
      <c r="BD591" s="132"/>
      <c r="BE591" s="132"/>
      <c r="BF591" s="132"/>
      <c r="BG591" s="132"/>
      <c r="BH591" s="132"/>
      <c r="BI591" s="132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56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B1:BM36"/>
  <sheetViews>
    <sheetView showGridLines="0" zoomScaleNormal="100" zoomScaleSheetLayoutView="100" workbookViewId="0">
      <selection activeCell="H7" sqref="H7:AJ9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73" t="s">
        <v>0</v>
      </c>
      <c r="C2" s="274"/>
      <c r="D2" s="274"/>
      <c r="E2" s="274"/>
      <c r="F2" s="274"/>
      <c r="G2" s="274"/>
      <c r="H2" s="274" t="s">
        <v>17</v>
      </c>
      <c r="I2" s="274"/>
      <c r="J2" s="274"/>
      <c r="K2" s="274"/>
      <c r="L2" s="274" t="s">
        <v>1</v>
      </c>
      <c r="M2" s="274"/>
      <c r="N2" s="274"/>
      <c r="O2" s="274"/>
      <c r="P2" s="274"/>
      <c r="Q2" s="274"/>
      <c r="R2" s="274" t="s">
        <v>2</v>
      </c>
      <c r="S2" s="274"/>
      <c r="T2" s="274"/>
      <c r="U2" s="274"/>
      <c r="V2" s="274"/>
      <c r="W2" s="274"/>
      <c r="X2" s="275" t="s">
        <v>3</v>
      </c>
      <c r="Y2" s="276"/>
      <c r="Z2" s="276"/>
      <c r="AA2" s="276"/>
      <c r="AB2" s="276"/>
      <c r="AC2" s="276"/>
      <c r="AD2" s="276"/>
      <c r="AE2" s="276"/>
      <c r="AF2" s="276"/>
      <c r="AG2" s="276"/>
      <c r="AH2" s="276"/>
      <c r="AI2" s="276"/>
      <c r="AJ2" s="277"/>
      <c r="AK2" s="275" t="s">
        <v>32</v>
      </c>
      <c r="AL2" s="276"/>
      <c r="AM2" s="276"/>
      <c r="AN2" s="276"/>
      <c r="AO2" s="276"/>
      <c r="AP2" s="276"/>
      <c r="AQ2" s="276"/>
      <c r="AR2" s="276"/>
      <c r="AS2" s="276"/>
      <c r="AT2" s="276"/>
      <c r="AU2" s="276"/>
      <c r="AV2" s="276"/>
      <c r="AW2" s="277"/>
      <c r="AX2" s="274" t="s">
        <v>5</v>
      </c>
      <c r="AY2" s="274"/>
      <c r="AZ2" s="274"/>
      <c r="BA2" s="274"/>
      <c r="BB2" s="274" t="s">
        <v>4</v>
      </c>
      <c r="BC2" s="274"/>
      <c r="BD2" s="274"/>
      <c r="BE2" s="274"/>
      <c r="BF2" s="274" t="s">
        <v>6</v>
      </c>
      <c r="BG2" s="274"/>
      <c r="BH2" s="274"/>
      <c r="BI2" s="274"/>
      <c r="BJ2" s="274" t="s">
        <v>7</v>
      </c>
      <c r="BK2" s="274"/>
      <c r="BL2" s="274"/>
      <c r="BM2" s="284"/>
    </row>
    <row r="3" spans="2:65" ht="20.100000000000001" customHeight="1" x14ac:dyDescent="0.45">
      <c r="B3" s="278" t="s">
        <v>639</v>
      </c>
      <c r="C3" s="201"/>
      <c r="D3" s="201"/>
      <c r="E3" s="201"/>
      <c r="F3" s="201"/>
      <c r="G3" s="201"/>
      <c r="H3" s="201" t="s">
        <v>640</v>
      </c>
      <c r="I3" s="201"/>
      <c r="J3" s="201"/>
      <c r="K3" s="201"/>
      <c r="L3" s="201" t="s">
        <v>641</v>
      </c>
      <c r="M3" s="201"/>
      <c r="N3" s="201"/>
      <c r="O3" s="201"/>
      <c r="P3" s="201"/>
      <c r="Q3" s="201"/>
      <c r="R3" s="201" t="s">
        <v>642</v>
      </c>
      <c r="S3" s="201"/>
      <c r="T3" s="201"/>
      <c r="U3" s="201"/>
      <c r="V3" s="201"/>
      <c r="W3" s="201"/>
      <c r="X3" s="205" t="s">
        <v>643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">
        <v>644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v>0</v>
      </c>
      <c r="AY3" s="212"/>
      <c r="AZ3" s="212"/>
      <c r="BA3" s="212"/>
      <c r="BB3" s="201">
        <v>0</v>
      </c>
      <c r="BC3" s="201"/>
      <c r="BD3" s="201"/>
      <c r="BE3" s="201"/>
      <c r="BF3" s="212">
        <v>0</v>
      </c>
      <c r="BG3" s="212"/>
      <c r="BH3" s="212"/>
      <c r="BI3" s="212"/>
      <c r="BJ3" s="201">
        <v>0</v>
      </c>
      <c r="BK3" s="201"/>
      <c r="BL3" s="201"/>
      <c r="BM3" s="282"/>
    </row>
    <row r="4" spans="2:65" ht="20.100000000000001" customHeight="1" thickBot="1" x14ac:dyDescent="0.5">
      <c r="B4" s="279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70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2"/>
      <c r="AK4" s="270"/>
      <c r="AL4" s="271"/>
      <c r="AM4" s="271"/>
      <c r="AN4" s="271"/>
      <c r="AO4" s="271"/>
      <c r="AP4" s="271"/>
      <c r="AQ4" s="271"/>
      <c r="AR4" s="271"/>
      <c r="AS4" s="271"/>
      <c r="AT4" s="271"/>
      <c r="AU4" s="271"/>
      <c r="AV4" s="271"/>
      <c r="AW4" s="272"/>
      <c r="AX4" s="281"/>
      <c r="AY4" s="281"/>
      <c r="AZ4" s="281"/>
      <c r="BA4" s="281"/>
      <c r="BB4" s="280"/>
      <c r="BC4" s="280"/>
      <c r="BD4" s="280"/>
      <c r="BE4" s="280"/>
      <c r="BF4" s="281"/>
      <c r="BG4" s="281"/>
      <c r="BH4" s="281"/>
      <c r="BI4" s="281"/>
      <c r="BJ4" s="280"/>
      <c r="BK4" s="280"/>
      <c r="BL4" s="280"/>
      <c r="BM4" s="283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31" t="s">
        <v>148</v>
      </c>
      <c r="C7" s="132"/>
      <c r="D7" s="132"/>
      <c r="E7" s="132"/>
      <c r="F7" s="132"/>
      <c r="G7" s="132"/>
      <c r="H7" s="134" t="s">
        <v>237</v>
      </c>
      <c r="I7" s="133"/>
      <c r="J7" s="165" t="s">
        <v>20</v>
      </c>
      <c r="K7" s="166"/>
      <c r="L7" s="166"/>
      <c r="M7" s="166"/>
      <c r="N7" s="166"/>
      <c r="O7" s="166"/>
      <c r="P7" s="166"/>
      <c r="Q7" s="166"/>
      <c r="R7" s="165" t="s">
        <v>238</v>
      </c>
      <c r="S7" s="166"/>
      <c r="T7" s="166"/>
      <c r="U7" s="166"/>
      <c r="V7" s="166"/>
      <c r="W7" s="166"/>
      <c r="X7" s="166"/>
      <c r="Y7" s="166"/>
      <c r="Z7" s="166"/>
      <c r="AA7" s="166"/>
      <c r="AB7" s="166"/>
      <c r="AC7" s="166"/>
      <c r="AD7" s="166"/>
      <c r="AE7" s="166"/>
      <c r="AF7" s="166"/>
      <c r="AG7" s="166"/>
      <c r="AH7" s="166"/>
      <c r="AI7" s="166"/>
      <c r="AJ7" s="167"/>
      <c r="AK7" s="135"/>
      <c r="AL7" s="132"/>
      <c r="AM7" s="132"/>
      <c r="AN7" s="132"/>
      <c r="AO7" s="132"/>
      <c r="AP7" s="132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32"/>
      <c r="BD7" s="132"/>
      <c r="BE7" s="132"/>
      <c r="BF7" s="132"/>
      <c r="BG7" s="132"/>
      <c r="BH7" s="132"/>
      <c r="BI7" s="136"/>
      <c r="BJ7" s="29"/>
      <c r="BK7" s="29"/>
      <c r="BL7" s="29"/>
      <c r="BM7" s="29"/>
    </row>
    <row r="8" spans="2:65" ht="20.100000000000001" customHeight="1" x14ac:dyDescent="0.45">
      <c r="B8" s="168"/>
      <c r="C8" s="31"/>
      <c r="D8" s="31"/>
      <c r="E8" s="31"/>
      <c r="F8" s="31"/>
      <c r="G8" s="31"/>
      <c r="H8" s="139"/>
      <c r="I8" s="138"/>
      <c r="J8" s="169" t="s">
        <v>239</v>
      </c>
      <c r="K8" s="52"/>
      <c r="L8" s="52"/>
      <c r="M8" s="52"/>
      <c r="N8" s="52"/>
      <c r="O8" s="52"/>
      <c r="P8" s="52"/>
      <c r="Q8" s="52"/>
      <c r="R8" s="169" t="s">
        <v>240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70"/>
      <c r="AK8" s="140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41"/>
      <c r="BJ8" s="29"/>
      <c r="BK8" s="29"/>
      <c r="BL8" s="29"/>
      <c r="BM8" s="29"/>
    </row>
    <row r="9" spans="2:65" ht="20.100000000000001" customHeight="1" x14ac:dyDescent="0.45">
      <c r="B9" s="168"/>
      <c r="C9" s="31"/>
      <c r="D9" s="31"/>
      <c r="E9" s="31"/>
      <c r="F9" s="31"/>
      <c r="G9" s="31"/>
      <c r="H9" s="145"/>
      <c r="I9" s="171"/>
      <c r="J9" s="169" t="s">
        <v>241</v>
      </c>
      <c r="K9" s="52"/>
      <c r="L9" s="52"/>
      <c r="M9" s="52"/>
      <c r="N9" s="52"/>
      <c r="O9" s="52"/>
      <c r="P9" s="52"/>
      <c r="Q9" s="52"/>
      <c r="R9" s="169" t="s">
        <v>242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70"/>
      <c r="AK9" s="147"/>
      <c r="AL9" s="146"/>
      <c r="AM9" s="146"/>
      <c r="AN9" s="146"/>
      <c r="AO9" s="146"/>
      <c r="AP9" s="146"/>
      <c r="AQ9" s="146"/>
      <c r="AR9" s="146"/>
      <c r="AS9" s="146"/>
      <c r="AT9" s="146"/>
      <c r="AU9" s="146"/>
      <c r="AV9" s="146"/>
      <c r="AW9" s="146"/>
      <c r="AX9" s="146"/>
      <c r="AY9" s="146"/>
      <c r="AZ9" s="146"/>
      <c r="BA9" s="146"/>
      <c r="BB9" s="146"/>
      <c r="BC9" s="146"/>
      <c r="BD9" s="146"/>
      <c r="BE9" s="146"/>
      <c r="BF9" s="146"/>
      <c r="BG9" s="146"/>
      <c r="BH9" s="146"/>
      <c r="BI9" s="148"/>
      <c r="BJ9" s="29"/>
      <c r="BK9" s="29"/>
      <c r="BL9" s="29"/>
      <c r="BM9" s="29"/>
    </row>
    <row r="10" spans="2:65" ht="20.100000000000001" customHeight="1" x14ac:dyDescent="0.45">
      <c r="B10" s="168"/>
      <c r="C10" s="31"/>
      <c r="D10" s="31"/>
      <c r="E10" s="31"/>
      <c r="F10" s="31"/>
      <c r="G10" s="138"/>
      <c r="H10" s="139" t="s">
        <v>243</v>
      </c>
      <c r="I10" s="31"/>
      <c r="J10" s="152" t="s">
        <v>149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4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41"/>
      <c r="BJ10" s="29"/>
      <c r="BK10" s="29"/>
      <c r="BL10" s="29"/>
      <c r="BM10" s="29"/>
    </row>
    <row r="11" spans="2:65" ht="20.100000000000001" customHeight="1" x14ac:dyDescent="0.45">
      <c r="B11" s="137"/>
      <c r="C11" s="31"/>
      <c r="D11" s="31"/>
      <c r="E11" s="31"/>
      <c r="F11" s="31"/>
      <c r="G11" s="138"/>
      <c r="H11" s="139"/>
      <c r="I11" s="31"/>
      <c r="J11" s="139" t="s">
        <v>150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4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41"/>
      <c r="BJ11" s="29"/>
      <c r="BK11" s="29"/>
      <c r="BL11" s="29"/>
      <c r="BM11" s="29"/>
    </row>
    <row r="12" spans="2:65" ht="20.100000000000001" customHeight="1" x14ac:dyDescent="0.45">
      <c r="B12" s="137"/>
      <c r="C12" s="31"/>
      <c r="D12" s="31"/>
      <c r="E12" s="31"/>
      <c r="F12" s="31"/>
      <c r="G12" s="138"/>
      <c r="H12" s="139"/>
      <c r="I12" s="31"/>
      <c r="J12" s="139" t="s">
        <v>151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4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41"/>
      <c r="BJ12" s="29"/>
      <c r="BK12" s="29"/>
      <c r="BL12" s="29"/>
      <c r="BM12" s="29"/>
    </row>
    <row r="13" spans="2:65" ht="20.100000000000001" customHeight="1" x14ac:dyDescent="0.45">
      <c r="B13" s="137"/>
      <c r="C13" s="31"/>
      <c r="D13" s="31"/>
      <c r="E13" s="31"/>
      <c r="F13" s="31"/>
      <c r="G13" s="138"/>
      <c r="H13" s="139"/>
      <c r="I13" s="31"/>
      <c r="J13" s="139" t="s">
        <v>152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4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41"/>
      <c r="BJ13" s="29"/>
      <c r="BK13" s="29"/>
      <c r="BL13" s="29"/>
      <c r="BM13" s="29"/>
    </row>
    <row r="14" spans="2:65" ht="20.100000000000001" customHeight="1" x14ac:dyDescent="0.45">
      <c r="B14" s="137"/>
      <c r="C14" s="31"/>
      <c r="D14" s="31"/>
      <c r="E14" s="31"/>
      <c r="F14" s="31"/>
      <c r="G14" s="138"/>
      <c r="H14" s="142" t="s">
        <v>244</v>
      </c>
      <c r="I14" s="55"/>
      <c r="J14" s="149" t="s">
        <v>181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43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44"/>
      <c r="BJ14" s="29"/>
      <c r="BK14" s="29"/>
      <c r="BL14" s="29"/>
      <c r="BM14" s="29"/>
    </row>
    <row r="15" spans="2:65" ht="20.100000000000001" customHeight="1" x14ac:dyDescent="0.45">
      <c r="B15" s="137"/>
      <c r="C15" s="31"/>
      <c r="D15" s="31"/>
      <c r="E15" s="31"/>
      <c r="F15" s="31"/>
      <c r="G15" s="138"/>
      <c r="H15" s="139"/>
      <c r="I15" s="31"/>
      <c r="J15" s="161"/>
      <c r="K15" s="151" t="s">
        <v>245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4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41"/>
      <c r="BJ15" s="29"/>
      <c r="BK15" s="29"/>
      <c r="BL15" s="29"/>
      <c r="BM15" s="29"/>
    </row>
    <row r="16" spans="2:65" ht="20.100000000000001" customHeight="1" x14ac:dyDescent="0.45">
      <c r="B16" s="137"/>
      <c r="C16" s="31"/>
      <c r="D16" s="31"/>
      <c r="E16" s="31"/>
      <c r="F16" s="31"/>
      <c r="G16" s="138"/>
      <c r="H16" s="139"/>
      <c r="I16" s="31"/>
      <c r="J16" s="139"/>
      <c r="K16" s="29"/>
      <c r="L16" s="150"/>
      <c r="M16" s="151" t="s">
        <v>153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4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41"/>
      <c r="BJ16" s="29"/>
      <c r="BK16" s="29"/>
      <c r="BL16" s="29"/>
      <c r="BM16" s="29"/>
    </row>
    <row r="17" spans="2:65" ht="20.100000000000001" customHeight="1" x14ac:dyDescent="0.45">
      <c r="B17" s="137"/>
      <c r="C17" s="31"/>
      <c r="D17" s="31"/>
      <c r="E17" s="31"/>
      <c r="F17" s="31"/>
      <c r="G17" s="138"/>
      <c r="H17" s="139"/>
      <c r="I17" s="31"/>
      <c r="J17" s="139"/>
      <c r="K17" s="29"/>
      <c r="L17" s="150" t="s">
        <v>246</v>
      </c>
      <c r="M17" s="151" t="s">
        <v>153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4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41"/>
      <c r="BJ17" s="29"/>
      <c r="BK17" s="29"/>
      <c r="BL17" s="29"/>
      <c r="BM17" s="29"/>
    </row>
    <row r="18" spans="2:65" ht="20.100000000000001" customHeight="1" x14ac:dyDescent="0.45">
      <c r="B18" s="137"/>
      <c r="C18" s="31"/>
      <c r="D18" s="31"/>
      <c r="E18" s="31"/>
      <c r="F18" s="31"/>
      <c r="G18" s="138"/>
      <c r="H18" s="139"/>
      <c r="I18" s="31"/>
      <c r="J18" s="139"/>
      <c r="K18" s="29"/>
      <c r="L18" s="150" t="s">
        <v>247</v>
      </c>
      <c r="M18" s="151" t="s">
        <v>153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4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41"/>
      <c r="BJ18" s="29"/>
      <c r="BK18" s="29"/>
      <c r="BL18" s="29"/>
      <c r="BM18" s="29"/>
    </row>
    <row r="19" spans="2:65" ht="20.100000000000001" customHeight="1" x14ac:dyDescent="0.45">
      <c r="B19" s="137"/>
      <c r="C19" s="31"/>
      <c r="D19" s="31"/>
      <c r="E19" s="31"/>
      <c r="F19" s="31"/>
      <c r="G19" s="138"/>
      <c r="H19" s="139"/>
      <c r="I19" s="31"/>
      <c r="J19" s="139" t="s">
        <v>248</v>
      </c>
      <c r="K19" s="150"/>
      <c r="L19" s="15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4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41"/>
      <c r="BJ19" s="29"/>
      <c r="BK19" s="29"/>
      <c r="BL19" s="29"/>
      <c r="BM19" s="29"/>
    </row>
    <row r="20" spans="2:65" ht="20.100000000000001" customHeight="1" x14ac:dyDescent="0.45">
      <c r="B20" s="137"/>
      <c r="C20" s="31"/>
      <c r="D20" s="31"/>
      <c r="E20" s="31"/>
      <c r="F20" s="31"/>
      <c r="G20" s="138"/>
      <c r="H20" s="139"/>
      <c r="I20" s="31"/>
      <c r="J20" s="139"/>
      <c r="K20" s="31" t="s">
        <v>249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40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41"/>
      <c r="BJ20" s="29"/>
      <c r="BK20" s="29"/>
      <c r="BL20" s="29"/>
      <c r="BM20" s="29"/>
    </row>
    <row r="21" spans="2:65" ht="20.100000000000001" customHeight="1" x14ac:dyDescent="0.45">
      <c r="B21" s="137"/>
      <c r="C21" s="31"/>
      <c r="D21" s="31"/>
      <c r="E21" s="31"/>
      <c r="F21" s="31"/>
      <c r="G21" s="138"/>
      <c r="H21" s="139"/>
      <c r="I21" s="31"/>
      <c r="J21" s="139"/>
      <c r="K21" s="29"/>
      <c r="L21" s="31"/>
      <c r="M21" s="31" t="s">
        <v>154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4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41"/>
    </row>
    <row r="22" spans="2:65" ht="20.100000000000001" customHeight="1" x14ac:dyDescent="0.45">
      <c r="B22" s="137"/>
      <c r="C22" s="31"/>
      <c r="D22" s="31"/>
      <c r="E22" s="31"/>
      <c r="F22" s="31"/>
      <c r="G22" s="138"/>
      <c r="H22" s="145"/>
      <c r="I22" s="146"/>
      <c r="J22" s="145"/>
      <c r="K22" s="146"/>
      <c r="L22" s="146" t="s">
        <v>246</v>
      </c>
      <c r="M22" s="146" t="s">
        <v>155</v>
      </c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7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6"/>
      <c r="BD22" s="146"/>
      <c r="BE22" s="146"/>
      <c r="BF22" s="146"/>
      <c r="BG22" s="146"/>
      <c r="BH22" s="146"/>
      <c r="BI22" s="148"/>
    </row>
    <row r="23" spans="2:65" ht="20.100000000000001" customHeight="1" x14ac:dyDescent="0.45">
      <c r="B23" s="137"/>
      <c r="C23" s="31"/>
      <c r="D23" s="31"/>
      <c r="E23" s="31"/>
      <c r="F23" s="31"/>
      <c r="G23" s="138"/>
      <c r="H23" s="139" t="s">
        <v>250</v>
      </c>
      <c r="I23" s="31"/>
      <c r="J23" s="152"/>
      <c r="K23" s="151" t="s">
        <v>251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53" t="s">
        <v>157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41"/>
    </row>
    <row r="24" spans="2:65" ht="20.100000000000001" customHeight="1" x14ac:dyDescent="0.45">
      <c r="B24" s="137"/>
      <c r="C24" s="31"/>
      <c r="D24" s="31"/>
      <c r="E24" s="31"/>
      <c r="F24" s="31"/>
      <c r="G24" s="138"/>
      <c r="H24" s="139"/>
      <c r="I24" s="31"/>
      <c r="J24" s="152" t="s">
        <v>246</v>
      </c>
      <c r="K24" s="151" t="s">
        <v>156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4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41"/>
    </row>
    <row r="25" spans="2:65" ht="20.100000000000001" customHeight="1" x14ac:dyDescent="0.45">
      <c r="B25" s="137"/>
      <c r="C25" s="31"/>
      <c r="D25" s="31"/>
      <c r="E25" s="31"/>
      <c r="F25" s="31"/>
      <c r="G25" s="138"/>
      <c r="H25" s="139"/>
      <c r="I25" s="31"/>
      <c r="J25" s="152" t="s">
        <v>247</v>
      </c>
      <c r="K25" s="151" t="s">
        <v>156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4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41"/>
    </row>
    <row r="26" spans="2:65" ht="20.100000000000001" customHeight="1" x14ac:dyDescent="0.45">
      <c r="B26" s="137"/>
      <c r="C26" s="31"/>
      <c r="D26" s="31"/>
      <c r="E26" s="31"/>
      <c r="F26" s="31"/>
      <c r="G26" s="138"/>
      <c r="H26" s="139"/>
      <c r="I26" s="31"/>
      <c r="J26" s="152" t="s">
        <v>158</v>
      </c>
      <c r="K26" s="15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4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41"/>
    </row>
    <row r="27" spans="2:65" ht="20.100000000000001" customHeight="1" x14ac:dyDescent="0.45">
      <c r="B27" s="137"/>
      <c r="C27" s="31"/>
      <c r="D27" s="31"/>
      <c r="E27" s="31"/>
      <c r="F27" s="31"/>
      <c r="G27" s="138"/>
      <c r="H27" s="139"/>
      <c r="I27" s="31"/>
      <c r="J27" s="139"/>
      <c r="K27" s="31" t="s">
        <v>252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54" t="s">
        <v>159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41"/>
    </row>
    <row r="28" spans="2:65" ht="20.100000000000001" customHeight="1" x14ac:dyDescent="0.45">
      <c r="B28" s="137"/>
      <c r="C28" s="31"/>
      <c r="D28" s="31"/>
      <c r="E28" s="31"/>
      <c r="F28" s="31"/>
      <c r="G28" s="138"/>
      <c r="H28" s="139"/>
      <c r="I28" s="31"/>
      <c r="J28" s="139" t="s">
        <v>246</v>
      </c>
      <c r="K28" s="31" t="s">
        <v>160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39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41"/>
    </row>
    <row r="29" spans="2:65" ht="20.100000000000001" customHeight="1" x14ac:dyDescent="0.45">
      <c r="B29" s="137"/>
      <c r="C29" s="31"/>
      <c r="D29" s="31"/>
      <c r="E29" s="31"/>
      <c r="F29" s="31"/>
      <c r="G29" s="138"/>
      <c r="H29" s="139"/>
      <c r="I29" s="31"/>
      <c r="J29" s="152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39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41"/>
    </row>
    <row r="30" spans="2:65" ht="20.100000000000001" customHeight="1" x14ac:dyDescent="0.45">
      <c r="B30" s="137"/>
      <c r="C30" s="31"/>
      <c r="D30" s="31"/>
      <c r="E30" s="31"/>
      <c r="F30" s="31"/>
      <c r="G30" s="138"/>
      <c r="H30" s="139"/>
      <c r="I30" s="31"/>
      <c r="J30" s="139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39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41"/>
    </row>
    <row r="31" spans="2:65" ht="20.100000000000001" customHeight="1" x14ac:dyDescent="0.45">
      <c r="B31" s="137"/>
      <c r="C31" s="31"/>
      <c r="D31" s="31"/>
      <c r="E31" s="31"/>
      <c r="F31" s="31"/>
      <c r="G31" s="138"/>
      <c r="H31" s="145"/>
      <c r="I31" s="146"/>
      <c r="J31" s="145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6"/>
      <c r="AI31" s="146"/>
      <c r="AJ31" s="146"/>
      <c r="AK31" s="145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8"/>
    </row>
    <row r="32" spans="2:65" ht="20.100000000000001" customHeight="1" x14ac:dyDescent="0.45">
      <c r="B32" s="137"/>
      <c r="C32" s="31"/>
      <c r="D32" s="31"/>
      <c r="E32" s="31"/>
      <c r="F32" s="31"/>
      <c r="G32" s="138"/>
      <c r="H32" s="139" t="s">
        <v>253</v>
      </c>
      <c r="I32" s="31"/>
      <c r="J32" s="152" t="s">
        <v>161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9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41"/>
    </row>
    <row r="33" spans="2:61" ht="20.100000000000001" customHeight="1" x14ac:dyDescent="0.45">
      <c r="B33" s="137"/>
      <c r="C33" s="31"/>
      <c r="D33" s="31"/>
      <c r="E33" s="31"/>
      <c r="F33" s="31"/>
      <c r="G33" s="138"/>
      <c r="H33" s="139"/>
      <c r="I33" s="31"/>
      <c r="J33" s="152" t="s">
        <v>162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39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41"/>
    </row>
    <row r="34" spans="2:61" ht="20.100000000000001" customHeight="1" thickBot="1" x14ac:dyDescent="0.5">
      <c r="B34" s="155"/>
      <c r="C34" s="156"/>
      <c r="D34" s="156"/>
      <c r="E34" s="156"/>
      <c r="F34" s="156"/>
      <c r="G34" s="157"/>
      <c r="H34" s="158"/>
      <c r="I34" s="156"/>
      <c r="J34" s="158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  <c r="Z34" s="156"/>
      <c r="AA34" s="156"/>
      <c r="AB34" s="156"/>
      <c r="AC34" s="156"/>
      <c r="AD34" s="156"/>
      <c r="AE34" s="156"/>
      <c r="AF34" s="156"/>
      <c r="AG34" s="156"/>
      <c r="AH34" s="156"/>
      <c r="AI34" s="156"/>
      <c r="AJ34" s="156"/>
      <c r="AK34" s="158"/>
      <c r="AL34" s="156"/>
      <c r="AM34" s="156"/>
      <c r="AN34" s="156"/>
      <c r="AO34" s="156"/>
      <c r="AP34" s="156"/>
      <c r="AQ34" s="156"/>
      <c r="AR34" s="156"/>
      <c r="AS34" s="156"/>
      <c r="AT34" s="156"/>
      <c r="AU34" s="156"/>
      <c r="AV34" s="156"/>
      <c r="AW34" s="156"/>
      <c r="AX34" s="156"/>
      <c r="AY34" s="156"/>
      <c r="AZ34" s="156"/>
      <c r="BA34" s="156"/>
      <c r="BB34" s="156"/>
      <c r="BC34" s="156"/>
      <c r="BD34" s="156"/>
      <c r="BE34" s="156"/>
      <c r="BF34" s="156"/>
      <c r="BG34" s="156"/>
      <c r="BH34" s="156"/>
      <c r="BI34" s="159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60" t="s">
        <v>163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  <pageSetUpPr fitToPage="1"/>
  </sheetPr>
  <dimension ref="A1:BN638"/>
  <sheetViews>
    <sheetView topLeftCell="A515" zoomScaleNormal="100" zoomScaleSheetLayoutView="100" workbookViewId="0">
      <selection activeCell="AU584" sqref="AU584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95" t="s">
        <v>0</v>
      </c>
      <c r="C2" s="196"/>
      <c r="D2" s="196"/>
      <c r="E2" s="196"/>
      <c r="F2" s="196"/>
      <c r="G2" s="196"/>
      <c r="H2" s="196" t="s">
        <v>17</v>
      </c>
      <c r="I2" s="196"/>
      <c r="J2" s="196"/>
      <c r="K2" s="196"/>
      <c r="L2" s="196" t="s">
        <v>628</v>
      </c>
      <c r="M2" s="196"/>
      <c r="N2" s="196"/>
      <c r="O2" s="196"/>
      <c r="P2" s="196"/>
      <c r="Q2" s="196"/>
      <c r="R2" s="196" t="s">
        <v>2</v>
      </c>
      <c r="S2" s="196"/>
      <c r="T2" s="196"/>
      <c r="U2" s="196"/>
      <c r="V2" s="196"/>
      <c r="W2" s="196"/>
      <c r="X2" s="197" t="s">
        <v>3</v>
      </c>
      <c r="Y2" s="198"/>
      <c r="Z2" s="198"/>
      <c r="AA2" s="198"/>
      <c r="AB2" s="198"/>
      <c r="AC2" s="198"/>
      <c r="AD2" s="198"/>
      <c r="AE2" s="198"/>
      <c r="AF2" s="198"/>
      <c r="AG2" s="198"/>
      <c r="AH2" s="198"/>
      <c r="AI2" s="198"/>
      <c r="AJ2" s="199"/>
      <c r="AK2" s="197" t="s">
        <v>32</v>
      </c>
      <c r="AL2" s="198"/>
      <c r="AM2" s="198"/>
      <c r="AN2" s="198"/>
      <c r="AO2" s="198"/>
      <c r="AP2" s="198"/>
      <c r="AQ2" s="198"/>
      <c r="AR2" s="198"/>
      <c r="AS2" s="198"/>
      <c r="AT2" s="198"/>
      <c r="AU2" s="198"/>
      <c r="AV2" s="198"/>
      <c r="AW2" s="199"/>
      <c r="AX2" s="196" t="s">
        <v>5</v>
      </c>
      <c r="AY2" s="196"/>
      <c r="AZ2" s="196"/>
      <c r="BA2" s="196"/>
      <c r="BB2" s="196" t="s">
        <v>4</v>
      </c>
      <c r="BC2" s="196"/>
      <c r="BD2" s="196"/>
      <c r="BE2" s="196"/>
      <c r="BF2" s="196" t="s">
        <v>6</v>
      </c>
      <c r="BG2" s="196"/>
      <c r="BH2" s="196"/>
      <c r="BI2" s="196"/>
      <c r="BJ2" s="196" t="s">
        <v>7</v>
      </c>
      <c r="BK2" s="196"/>
      <c r="BL2" s="196"/>
      <c r="BM2" s="210"/>
      <c r="BN2" s="35"/>
    </row>
    <row r="3" spans="1:66" ht="20.100000000000001" customHeight="1" x14ac:dyDescent="0.45">
      <c r="A3" s="32"/>
      <c r="B3" s="200" t="str">
        <f>変更履歴!B3</f>
        <v>受発注システム</v>
      </c>
      <c r="C3" s="201"/>
      <c r="D3" s="201"/>
      <c r="E3" s="201"/>
      <c r="F3" s="201"/>
      <c r="G3" s="201"/>
      <c r="H3" s="201" t="str">
        <f ca="1">変更履歴!H3</f>
        <v>SU0110</v>
      </c>
      <c r="I3" s="201"/>
      <c r="J3" s="201"/>
      <c r="K3" s="201"/>
      <c r="L3" s="201" t="str">
        <f>変更履歴!L3</f>
        <v>受発注</v>
      </c>
      <c r="M3" s="201"/>
      <c r="N3" s="201"/>
      <c r="O3" s="201"/>
      <c r="P3" s="201"/>
      <c r="Q3" s="201"/>
      <c r="R3" s="201" t="str">
        <f ca="1">変更履歴!R3</f>
        <v>帳票設計書</v>
      </c>
      <c r="S3" s="201"/>
      <c r="T3" s="201"/>
      <c r="U3" s="201"/>
      <c r="V3" s="201"/>
      <c r="W3" s="201"/>
      <c r="X3" s="205" t="str">
        <f ca="1">変更履歴!X3</f>
        <v>SU0110_売上前請求書_帳票設計書</v>
      </c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2"/>
      <c r="AK3" s="205" t="str">
        <f ca="1">変更履歴!AK3</f>
        <v>売上前請求書</v>
      </c>
      <c r="AL3" s="206"/>
      <c r="AM3" s="206"/>
      <c r="AN3" s="206"/>
      <c r="AO3" s="206"/>
      <c r="AP3" s="206"/>
      <c r="AQ3" s="206"/>
      <c r="AR3" s="206"/>
      <c r="AS3" s="206"/>
      <c r="AT3" s="206"/>
      <c r="AU3" s="206"/>
      <c r="AV3" s="206"/>
      <c r="AW3" s="202"/>
      <c r="AX3" s="212">
        <f>変更履歴!AX3</f>
        <v>45646</v>
      </c>
      <c r="AY3" s="212"/>
      <c r="AZ3" s="212"/>
      <c r="BA3" s="212"/>
      <c r="BB3" s="201" t="str">
        <f>変更履歴!BB3</f>
        <v>大谷</v>
      </c>
      <c r="BC3" s="201"/>
      <c r="BD3" s="201"/>
      <c r="BE3" s="201"/>
      <c r="BF3" s="212">
        <f>変更履歴!BF3</f>
        <v>45646</v>
      </c>
      <c r="BG3" s="212"/>
      <c r="BH3" s="212"/>
      <c r="BI3" s="212"/>
      <c r="BJ3" s="201" t="str">
        <f>変更履歴!BJ3</f>
        <v>大谷</v>
      </c>
      <c r="BK3" s="201"/>
      <c r="BL3" s="201"/>
      <c r="BM3" s="213"/>
      <c r="BN3" s="35"/>
    </row>
    <row r="4" spans="1:66" ht="20.100000000000001" customHeight="1" thickBot="1" x14ac:dyDescent="0.5">
      <c r="A4" s="32"/>
      <c r="B4" s="202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7"/>
      <c r="Y4" s="208"/>
      <c r="Z4" s="208"/>
      <c r="AA4" s="208"/>
      <c r="AB4" s="208"/>
      <c r="AC4" s="208"/>
      <c r="AD4" s="208"/>
      <c r="AE4" s="208"/>
      <c r="AF4" s="208"/>
      <c r="AG4" s="208"/>
      <c r="AH4" s="208"/>
      <c r="AI4" s="208"/>
      <c r="AJ4" s="209"/>
      <c r="AK4" s="207"/>
      <c r="AL4" s="208"/>
      <c r="AM4" s="208"/>
      <c r="AN4" s="208"/>
      <c r="AO4" s="208"/>
      <c r="AP4" s="208"/>
      <c r="AQ4" s="208"/>
      <c r="AR4" s="208"/>
      <c r="AS4" s="208"/>
      <c r="AT4" s="208"/>
      <c r="AU4" s="208"/>
      <c r="AV4" s="208"/>
      <c r="AW4" s="209"/>
      <c r="AX4" s="221"/>
      <c r="AY4" s="221"/>
      <c r="AZ4" s="221"/>
      <c r="BA4" s="221"/>
      <c r="BB4" s="203"/>
      <c r="BC4" s="203"/>
      <c r="BD4" s="203"/>
      <c r="BE4" s="203"/>
      <c r="BF4" s="221"/>
      <c r="BG4" s="221"/>
      <c r="BH4" s="221"/>
      <c r="BI4" s="221"/>
      <c r="BJ4" s="203"/>
      <c r="BK4" s="203"/>
      <c r="BL4" s="203"/>
      <c r="BM4" s="205"/>
      <c r="BN4" s="35"/>
    </row>
    <row r="5" spans="1:66" ht="5.25" customHeight="1" thickTop="1" thickBot="1" x14ac:dyDescent="0.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x14ac:dyDescent="0.45">
      <c r="B6" s="131" t="s">
        <v>257</v>
      </c>
      <c r="C6" s="132"/>
      <c r="D6" s="132"/>
      <c r="E6" s="132"/>
      <c r="F6" s="132"/>
      <c r="G6" s="133"/>
      <c r="H6" s="134" t="s">
        <v>258</v>
      </c>
      <c r="I6" s="132"/>
      <c r="J6" s="134" t="s">
        <v>259</v>
      </c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  <c r="AA6" s="132"/>
      <c r="AB6" s="132"/>
      <c r="AC6" s="132"/>
      <c r="AD6" s="132"/>
      <c r="AE6" s="132"/>
      <c r="AF6" s="132"/>
      <c r="AG6" s="132"/>
      <c r="AH6" s="132"/>
      <c r="AI6" s="132"/>
      <c r="AJ6" s="132"/>
      <c r="AK6" s="135"/>
      <c r="AL6" s="132"/>
      <c r="AM6" s="132"/>
      <c r="AN6" s="132"/>
      <c r="AO6" s="132"/>
      <c r="AP6" s="132"/>
      <c r="AQ6" s="132"/>
      <c r="AR6" s="132"/>
      <c r="AS6" s="132"/>
      <c r="AT6" s="132"/>
      <c r="AU6" s="132"/>
      <c r="AV6" s="132"/>
      <c r="AW6" s="132"/>
      <c r="AX6" s="132"/>
      <c r="AY6" s="132"/>
      <c r="AZ6" s="132"/>
      <c r="BA6" s="132"/>
      <c r="BB6" s="132"/>
      <c r="BC6" s="132"/>
      <c r="BD6" s="132"/>
      <c r="BE6" s="132"/>
      <c r="BF6" s="132"/>
      <c r="BG6" s="132"/>
      <c r="BH6" s="132"/>
      <c r="BI6" s="136"/>
    </row>
    <row r="7" spans="1:66" ht="20.100000000000001" customHeight="1" thickBot="1" x14ac:dyDescent="0.5">
      <c r="B7" s="137"/>
      <c r="C7" s="31"/>
      <c r="D7" s="31"/>
      <c r="E7" s="31"/>
      <c r="F7" s="31"/>
      <c r="G7" s="138"/>
      <c r="H7" s="142" t="s">
        <v>145</v>
      </c>
      <c r="I7" s="55"/>
      <c r="J7" s="142" t="s">
        <v>261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143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144"/>
    </row>
    <row r="8" spans="1:66" ht="20.100000000000001" customHeight="1" x14ac:dyDescent="0.45">
      <c r="B8" s="131" t="s">
        <v>236</v>
      </c>
      <c r="C8" s="132"/>
      <c r="D8" s="132"/>
      <c r="E8" s="132"/>
      <c r="F8" s="132"/>
      <c r="G8" s="133"/>
      <c r="H8" s="134" t="s">
        <v>237</v>
      </c>
      <c r="I8" s="133"/>
      <c r="J8" s="173" t="s">
        <v>311</v>
      </c>
      <c r="K8" s="166"/>
      <c r="L8" s="166"/>
      <c r="M8" s="166"/>
      <c r="N8" s="166"/>
      <c r="O8" s="166"/>
      <c r="P8" s="166"/>
      <c r="Q8" s="166"/>
      <c r="R8" s="173" t="s">
        <v>588</v>
      </c>
      <c r="S8" s="166"/>
      <c r="T8" s="166"/>
      <c r="U8" s="166"/>
      <c r="V8" s="166"/>
      <c r="W8" s="166"/>
      <c r="X8" s="166"/>
      <c r="Y8" s="166"/>
      <c r="Z8" s="166"/>
      <c r="AA8" s="166"/>
      <c r="AB8" s="166"/>
      <c r="AC8" s="166"/>
      <c r="AD8" s="166"/>
      <c r="AE8" s="166"/>
      <c r="AF8" s="166"/>
      <c r="AG8" s="166"/>
      <c r="AH8" s="166"/>
      <c r="AI8" s="166"/>
      <c r="AJ8" s="167"/>
      <c r="AK8" s="135"/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  <c r="BG8" s="132"/>
      <c r="BH8" s="132"/>
      <c r="BI8" s="136"/>
    </row>
    <row r="9" spans="1:66" ht="20.100000000000001" customHeight="1" x14ac:dyDescent="0.45">
      <c r="B9" s="168"/>
      <c r="C9" s="31"/>
      <c r="D9" s="31"/>
      <c r="E9" s="31"/>
      <c r="F9" s="31"/>
      <c r="G9" s="138"/>
      <c r="H9" s="139"/>
      <c r="I9" s="138"/>
      <c r="J9" s="169" t="s">
        <v>294</v>
      </c>
      <c r="K9" s="52"/>
      <c r="L9" s="52"/>
      <c r="M9" s="52"/>
      <c r="N9" s="52"/>
      <c r="O9" s="52"/>
      <c r="P9" s="52"/>
      <c r="Q9" s="52"/>
      <c r="R9" s="169" t="s">
        <v>589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70"/>
      <c r="AK9" s="140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41"/>
    </row>
    <row r="10" spans="1:66" ht="20.100000000000001" customHeight="1" x14ac:dyDescent="0.45">
      <c r="B10" s="168"/>
      <c r="C10" s="31"/>
      <c r="D10" s="31"/>
      <c r="E10" s="31"/>
      <c r="F10" s="31"/>
      <c r="G10" s="138"/>
      <c r="H10" s="139"/>
      <c r="I10" s="138"/>
      <c r="J10" s="169" t="s">
        <v>314</v>
      </c>
      <c r="K10" s="52"/>
      <c r="L10" s="52"/>
      <c r="M10" s="52"/>
      <c r="N10" s="52"/>
      <c r="O10" s="52"/>
      <c r="P10" s="52"/>
      <c r="Q10" s="52"/>
      <c r="R10" s="169" t="s">
        <v>590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70"/>
      <c r="AK10" s="14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41"/>
    </row>
    <row r="11" spans="1:66" ht="20.100000000000001" customHeight="1" x14ac:dyDescent="0.45">
      <c r="B11" s="168"/>
      <c r="C11" s="31"/>
      <c r="D11" s="31"/>
      <c r="E11" s="31"/>
      <c r="F11" s="31"/>
      <c r="G11" s="138"/>
      <c r="H11" s="139"/>
      <c r="I11" s="138"/>
      <c r="J11" s="169" t="s">
        <v>315</v>
      </c>
      <c r="K11" s="52"/>
      <c r="L11" s="52"/>
      <c r="M11" s="52"/>
      <c r="N11" s="52"/>
      <c r="O11" s="52"/>
      <c r="P11" s="52"/>
      <c r="Q11" s="52"/>
      <c r="R11" s="169" t="s">
        <v>591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70"/>
      <c r="AK11" s="14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41"/>
    </row>
    <row r="12" spans="1:66" ht="20.100000000000001" customHeight="1" x14ac:dyDescent="0.45">
      <c r="B12" s="168"/>
      <c r="C12" s="31"/>
      <c r="D12" s="31"/>
      <c r="E12" s="31"/>
      <c r="F12" s="31"/>
      <c r="G12" s="138"/>
      <c r="H12" s="139"/>
      <c r="I12" s="138"/>
      <c r="J12" s="169" t="s">
        <v>316</v>
      </c>
      <c r="K12" s="52"/>
      <c r="L12" s="52"/>
      <c r="M12" s="52"/>
      <c r="N12" s="52"/>
      <c r="O12" s="52"/>
      <c r="P12" s="52"/>
      <c r="Q12" s="52"/>
      <c r="R12" s="169" t="s">
        <v>592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70"/>
      <c r="AK12" s="14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41"/>
    </row>
    <row r="13" spans="1:66" ht="20.100000000000001" customHeight="1" x14ac:dyDescent="0.45">
      <c r="B13" s="168"/>
      <c r="C13" s="31"/>
      <c r="D13" s="31"/>
      <c r="E13" s="31"/>
      <c r="F13" s="31"/>
      <c r="G13" s="138"/>
      <c r="H13" s="139"/>
      <c r="I13" s="138"/>
      <c r="J13" s="169" t="s">
        <v>317</v>
      </c>
      <c r="K13" s="52"/>
      <c r="L13" s="52"/>
      <c r="M13" s="52"/>
      <c r="N13" s="52"/>
      <c r="O13" s="52"/>
      <c r="P13" s="52"/>
      <c r="Q13" s="52"/>
      <c r="R13" s="169" t="s">
        <v>593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70"/>
      <c r="AK13" s="14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41"/>
    </row>
    <row r="14" spans="1:66" ht="20.100000000000001" customHeight="1" x14ac:dyDescent="0.45">
      <c r="B14" s="168"/>
      <c r="C14" s="31"/>
      <c r="D14" s="31"/>
      <c r="E14" s="31"/>
      <c r="F14" s="31"/>
      <c r="G14" s="138"/>
      <c r="H14" s="139"/>
      <c r="I14" s="138"/>
      <c r="J14" s="169" t="s">
        <v>318</v>
      </c>
      <c r="K14" s="52"/>
      <c r="L14" s="52"/>
      <c r="M14" s="52"/>
      <c r="N14" s="52"/>
      <c r="O14" s="52"/>
      <c r="P14" s="52"/>
      <c r="Q14" s="52"/>
      <c r="R14" s="169" t="s">
        <v>594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70"/>
      <c r="AK14" s="140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41"/>
    </row>
    <row r="15" spans="1:66" ht="20.100000000000001" customHeight="1" x14ac:dyDescent="0.45">
      <c r="B15" s="168"/>
      <c r="C15" s="31"/>
      <c r="D15" s="31"/>
      <c r="E15" s="31"/>
      <c r="F15" s="31"/>
      <c r="G15" s="138"/>
      <c r="H15" s="139"/>
      <c r="I15" s="138"/>
      <c r="J15" s="169" t="s">
        <v>319</v>
      </c>
      <c r="K15" s="52"/>
      <c r="L15" s="52"/>
      <c r="M15" s="52"/>
      <c r="N15" s="52"/>
      <c r="O15" s="52"/>
      <c r="P15" s="52"/>
      <c r="Q15" s="52"/>
      <c r="R15" s="169" t="s">
        <v>595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70"/>
      <c r="AK15" s="14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41"/>
    </row>
    <row r="16" spans="1:66" ht="20.100000000000001" customHeight="1" x14ac:dyDescent="0.45">
      <c r="B16" s="168"/>
      <c r="C16" s="31"/>
      <c r="D16" s="31"/>
      <c r="E16" s="31"/>
      <c r="F16" s="31"/>
      <c r="G16" s="138"/>
      <c r="H16" s="139"/>
      <c r="I16" s="138"/>
      <c r="J16" s="169" t="s">
        <v>320</v>
      </c>
      <c r="K16" s="52"/>
      <c r="L16" s="52"/>
      <c r="M16" s="52"/>
      <c r="N16" s="52"/>
      <c r="O16" s="52"/>
      <c r="P16" s="52"/>
      <c r="Q16" s="52"/>
      <c r="R16" s="169" t="s">
        <v>596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70"/>
      <c r="AK16" s="14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41"/>
    </row>
    <row r="17" spans="2:61" ht="20.100000000000001" customHeight="1" x14ac:dyDescent="0.45">
      <c r="B17" s="168"/>
      <c r="C17" s="31"/>
      <c r="D17" s="31"/>
      <c r="E17" s="31"/>
      <c r="F17" s="31"/>
      <c r="G17" s="138"/>
      <c r="H17" s="139"/>
      <c r="I17" s="138"/>
      <c r="J17" s="169" t="s">
        <v>321</v>
      </c>
      <c r="K17" s="52"/>
      <c r="L17" s="52"/>
      <c r="M17" s="52"/>
      <c r="N17" s="52"/>
      <c r="O17" s="52"/>
      <c r="P17" s="52"/>
      <c r="Q17" s="52"/>
      <c r="R17" s="169" t="s">
        <v>597</v>
      </c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70"/>
      <c r="AK17" s="14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41"/>
    </row>
    <row r="18" spans="2:61" ht="20.100000000000001" customHeight="1" x14ac:dyDescent="0.45">
      <c r="B18" s="168"/>
      <c r="C18" s="31"/>
      <c r="D18" s="31"/>
      <c r="E18" s="31"/>
      <c r="F18" s="31"/>
      <c r="G18" s="138"/>
      <c r="H18" s="139"/>
      <c r="I18" s="138"/>
      <c r="J18" s="169" t="s">
        <v>322</v>
      </c>
      <c r="K18" s="52"/>
      <c r="L18" s="52"/>
      <c r="M18" s="52"/>
      <c r="N18" s="52"/>
      <c r="O18" s="52"/>
      <c r="P18" s="52"/>
      <c r="Q18" s="52"/>
      <c r="R18" s="169" t="s">
        <v>598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170"/>
      <c r="AK18" s="14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41"/>
    </row>
    <row r="19" spans="2:61" ht="20.100000000000001" customHeight="1" x14ac:dyDescent="0.45">
      <c r="B19" s="168"/>
      <c r="C19" s="31"/>
      <c r="D19" s="31"/>
      <c r="E19" s="31"/>
      <c r="F19" s="31"/>
      <c r="G19" s="138"/>
      <c r="H19" s="139"/>
      <c r="I19" s="138"/>
      <c r="J19" s="169" t="s">
        <v>323</v>
      </c>
      <c r="K19" s="52"/>
      <c r="L19" s="52"/>
      <c r="M19" s="52"/>
      <c r="N19" s="52"/>
      <c r="O19" s="52"/>
      <c r="P19" s="52"/>
      <c r="Q19" s="52"/>
      <c r="R19" s="169" t="s">
        <v>599</v>
      </c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170"/>
      <c r="AK19" s="14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41"/>
    </row>
    <row r="20" spans="2:61" ht="20.100000000000001" customHeight="1" x14ac:dyDescent="0.45">
      <c r="B20" s="168"/>
      <c r="C20" s="31"/>
      <c r="D20" s="31"/>
      <c r="E20" s="31"/>
      <c r="F20" s="31"/>
      <c r="G20" s="138"/>
      <c r="H20" s="139"/>
      <c r="I20" s="138"/>
      <c r="J20" s="169" t="s">
        <v>324</v>
      </c>
      <c r="K20" s="52"/>
      <c r="L20" s="52"/>
      <c r="M20" s="52"/>
      <c r="N20" s="52"/>
      <c r="O20" s="52"/>
      <c r="P20" s="52"/>
      <c r="Q20" s="52"/>
      <c r="R20" s="169" t="s">
        <v>600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70"/>
      <c r="AK20" s="140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41"/>
    </row>
    <row r="21" spans="2:61" ht="20.100000000000001" customHeight="1" x14ac:dyDescent="0.45">
      <c r="B21" s="168"/>
      <c r="C21" s="31"/>
      <c r="D21" s="31"/>
      <c r="E21" s="31"/>
      <c r="F21" s="31"/>
      <c r="G21" s="138"/>
      <c r="H21" s="139"/>
      <c r="I21" s="138"/>
      <c r="J21" s="169" t="s">
        <v>325</v>
      </c>
      <c r="K21" s="52"/>
      <c r="L21" s="52"/>
      <c r="M21" s="52"/>
      <c r="N21" s="52"/>
      <c r="O21" s="52"/>
      <c r="P21" s="52"/>
      <c r="Q21" s="52"/>
      <c r="R21" s="169" t="s">
        <v>601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70"/>
      <c r="AK21" s="14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41"/>
    </row>
    <row r="22" spans="2:61" ht="20.100000000000001" customHeight="1" x14ac:dyDescent="0.45">
      <c r="B22" s="168"/>
      <c r="C22" s="31"/>
      <c r="D22" s="31"/>
      <c r="E22" s="31"/>
      <c r="F22" s="31"/>
      <c r="G22" s="138"/>
      <c r="H22" s="139"/>
      <c r="I22" s="138"/>
      <c r="J22" s="169" t="s">
        <v>326</v>
      </c>
      <c r="K22" s="52"/>
      <c r="L22" s="52"/>
      <c r="M22" s="52"/>
      <c r="N22" s="52"/>
      <c r="O22" s="52"/>
      <c r="P22" s="52"/>
      <c r="Q22" s="52"/>
      <c r="R22" s="169" t="s">
        <v>602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70"/>
      <c r="AK22" s="140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41"/>
    </row>
    <row r="23" spans="2:61" ht="20.100000000000001" customHeight="1" x14ac:dyDescent="0.45">
      <c r="B23" s="168"/>
      <c r="C23" s="31"/>
      <c r="D23" s="31"/>
      <c r="E23" s="31"/>
      <c r="F23" s="31"/>
      <c r="G23" s="138"/>
      <c r="H23" s="139"/>
      <c r="I23" s="138"/>
      <c r="J23" s="169" t="s">
        <v>327</v>
      </c>
      <c r="K23" s="52"/>
      <c r="L23" s="52"/>
      <c r="M23" s="52"/>
      <c r="N23" s="52"/>
      <c r="O23" s="52"/>
      <c r="P23" s="52"/>
      <c r="Q23" s="52"/>
      <c r="R23" s="169" t="s">
        <v>603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70"/>
      <c r="AK23" s="140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41"/>
    </row>
    <row r="24" spans="2:61" ht="20.100000000000001" customHeight="1" x14ac:dyDescent="0.45">
      <c r="B24" s="168"/>
      <c r="C24" s="31"/>
      <c r="D24" s="31"/>
      <c r="E24" s="31"/>
      <c r="F24" s="31"/>
      <c r="G24" s="138"/>
      <c r="H24" s="139"/>
      <c r="I24" s="138"/>
      <c r="J24" s="169" t="s">
        <v>296</v>
      </c>
      <c r="K24" s="52"/>
      <c r="L24" s="52"/>
      <c r="M24" s="52"/>
      <c r="N24" s="52"/>
      <c r="O24" s="52"/>
      <c r="P24" s="52"/>
      <c r="Q24" s="52"/>
      <c r="R24" s="169" t="s">
        <v>604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70"/>
      <c r="AK24" s="14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41"/>
    </row>
    <row r="25" spans="2:61" ht="20.100000000000001" customHeight="1" x14ac:dyDescent="0.45">
      <c r="B25" s="168"/>
      <c r="C25" s="31"/>
      <c r="D25" s="31"/>
      <c r="E25" s="31"/>
      <c r="F25" s="31"/>
      <c r="G25" s="138"/>
      <c r="H25" s="139"/>
      <c r="I25" s="138"/>
      <c r="J25" s="169" t="s">
        <v>328</v>
      </c>
      <c r="K25" s="52"/>
      <c r="L25" s="52"/>
      <c r="M25" s="52"/>
      <c r="N25" s="52"/>
      <c r="O25" s="52"/>
      <c r="P25" s="52"/>
      <c r="Q25" s="52"/>
      <c r="R25" s="169" t="s">
        <v>605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70"/>
      <c r="AK25" s="14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41"/>
    </row>
    <row r="26" spans="2:61" ht="20.100000000000001" customHeight="1" x14ac:dyDescent="0.45">
      <c r="B26" s="168"/>
      <c r="C26" s="31"/>
      <c r="D26" s="31"/>
      <c r="E26" s="31"/>
      <c r="F26" s="31"/>
      <c r="G26" s="138"/>
      <c r="H26" s="139"/>
      <c r="I26" s="138"/>
      <c r="J26" s="169" t="s">
        <v>329</v>
      </c>
      <c r="K26" s="52"/>
      <c r="L26" s="52"/>
      <c r="M26" s="52"/>
      <c r="N26" s="52"/>
      <c r="O26" s="52"/>
      <c r="P26" s="52"/>
      <c r="Q26" s="52"/>
      <c r="R26" s="181" t="s">
        <v>606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70"/>
      <c r="AK26" s="14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41"/>
    </row>
    <row r="27" spans="2:61" ht="20.100000000000001" customHeight="1" x14ac:dyDescent="0.45">
      <c r="B27" s="168"/>
      <c r="C27" s="31"/>
      <c r="D27" s="31"/>
      <c r="E27" s="31"/>
      <c r="F27" s="31"/>
      <c r="G27" s="138"/>
      <c r="H27" s="139"/>
      <c r="I27" s="138"/>
      <c r="J27" s="169" t="s">
        <v>298</v>
      </c>
      <c r="K27" s="52"/>
      <c r="L27" s="52"/>
      <c r="M27" s="52"/>
      <c r="N27" s="52"/>
      <c r="O27" s="52"/>
      <c r="P27" s="52"/>
      <c r="Q27" s="52"/>
      <c r="R27" s="176" t="s">
        <v>607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70"/>
      <c r="AK27" s="140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41"/>
    </row>
    <row r="28" spans="2:61" ht="20.100000000000001" customHeight="1" x14ac:dyDescent="0.45">
      <c r="B28" s="168"/>
      <c r="C28" s="31"/>
      <c r="D28" s="31"/>
      <c r="E28" s="31"/>
      <c r="F28" s="31"/>
      <c r="G28" s="138"/>
      <c r="H28" s="139"/>
      <c r="I28" s="138"/>
      <c r="J28" s="169" t="s">
        <v>330</v>
      </c>
      <c r="K28" s="52"/>
      <c r="L28" s="52"/>
      <c r="M28" s="52"/>
      <c r="N28" s="52"/>
      <c r="O28" s="52"/>
      <c r="P28" s="52"/>
      <c r="Q28" s="52"/>
      <c r="R28" s="181" t="s">
        <v>608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70"/>
      <c r="AK28" s="140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41"/>
    </row>
    <row r="29" spans="2:61" ht="20.100000000000001" customHeight="1" x14ac:dyDescent="0.45">
      <c r="B29" s="168"/>
      <c r="C29" s="31"/>
      <c r="D29" s="31"/>
      <c r="E29" s="31"/>
      <c r="F29" s="31"/>
      <c r="G29" s="138"/>
      <c r="H29" s="139"/>
      <c r="I29" s="138"/>
      <c r="J29" s="169" t="s">
        <v>301</v>
      </c>
      <c r="K29" s="52"/>
      <c r="L29" s="52"/>
      <c r="M29" s="52"/>
      <c r="N29" s="52"/>
      <c r="O29" s="52"/>
      <c r="P29" s="52"/>
      <c r="Q29" s="52"/>
      <c r="R29" s="181" t="s">
        <v>609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70"/>
      <c r="AK29" s="140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41"/>
    </row>
    <row r="30" spans="2:61" ht="20.100000000000001" customHeight="1" x14ac:dyDescent="0.45">
      <c r="B30" s="168"/>
      <c r="C30" s="31"/>
      <c r="D30" s="31"/>
      <c r="E30" s="31"/>
      <c r="F30" s="31"/>
      <c r="G30" s="138"/>
      <c r="H30" s="139"/>
      <c r="I30" s="138"/>
      <c r="J30" s="169" t="s">
        <v>331</v>
      </c>
      <c r="K30" s="52"/>
      <c r="L30" s="52"/>
      <c r="M30" s="52"/>
      <c r="N30" s="52"/>
      <c r="O30" s="52"/>
      <c r="P30" s="52"/>
      <c r="Q30" s="52"/>
      <c r="R30" s="181" t="s">
        <v>610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70"/>
      <c r="AK30" s="140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41"/>
    </row>
    <row r="31" spans="2:61" ht="20.100000000000001" customHeight="1" x14ac:dyDescent="0.45">
      <c r="B31" s="168"/>
      <c r="C31" s="31"/>
      <c r="D31" s="31"/>
      <c r="E31" s="31"/>
      <c r="F31" s="31"/>
      <c r="G31" s="138"/>
      <c r="H31" s="139"/>
      <c r="I31" s="138"/>
      <c r="J31" s="169" t="s">
        <v>302</v>
      </c>
      <c r="K31" s="52"/>
      <c r="L31" s="52"/>
      <c r="M31" s="52"/>
      <c r="N31" s="52"/>
      <c r="O31" s="52"/>
      <c r="P31" s="52"/>
      <c r="Q31" s="52"/>
      <c r="R31" s="176" t="s">
        <v>611</v>
      </c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70"/>
      <c r="AK31" s="140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141"/>
    </row>
    <row r="32" spans="2:61" ht="20.100000000000001" customHeight="1" x14ac:dyDescent="0.45">
      <c r="B32" s="168"/>
      <c r="C32" s="31"/>
      <c r="D32" s="31"/>
      <c r="E32" s="31"/>
      <c r="F32" s="31"/>
      <c r="G32" s="138"/>
      <c r="H32" s="139"/>
      <c r="I32" s="138"/>
      <c r="J32" s="169" t="s">
        <v>307</v>
      </c>
      <c r="K32" s="52"/>
      <c r="L32" s="52"/>
      <c r="M32" s="52"/>
      <c r="N32" s="52"/>
      <c r="O32" s="52"/>
      <c r="P32" s="52"/>
      <c r="Q32" s="52"/>
      <c r="R32" s="169" t="s">
        <v>612</v>
      </c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170"/>
      <c r="AK32" s="140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41"/>
    </row>
    <row r="33" spans="2:61" ht="20.100000000000001" customHeight="1" x14ac:dyDescent="0.45">
      <c r="B33" s="168"/>
      <c r="C33" s="31"/>
      <c r="D33" s="31"/>
      <c r="E33" s="31"/>
      <c r="F33" s="31"/>
      <c r="G33" s="138"/>
      <c r="H33" s="139"/>
      <c r="I33" s="138"/>
      <c r="J33" s="169" t="s">
        <v>309</v>
      </c>
      <c r="K33" s="52"/>
      <c r="L33" s="52"/>
      <c r="M33" s="52"/>
      <c r="N33" s="52"/>
      <c r="O33" s="52"/>
      <c r="P33" s="52"/>
      <c r="Q33" s="52"/>
      <c r="R33" s="169" t="s">
        <v>613</v>
      </c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170"/>
      <c r="AK33" s="140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41"/>
    </row>
    <row r="34" spans="2:61" ht="20.100000000000001" customHeight="1" x14ac:dyDescent="0.45">
      <c r="B34" s="168"/>
      <c r="C34" s="31"/>
      <c r="D34" s="31"/>
      <c r="E34" s="31"/>
      <c r="F34" s="31"/>
      <c r="G34" s="138"/>
      <c r="H34" s="139"/>
      <c r="I34" s="138"/>
      <c r="J34" s="169" t="s">
        <v>333</v>
      </c>
      <c r="K34" s="52"/>
      <c r="L34" s="52"/>
      <c r="M34" s="52"/>
      <c r="N34" s="52"/>
      <c r="O34" s="52"/>
      <c r="P34" s="52"/>
      <c r="Q34" s="52"/>
      <c r="R34" s="169" t="s">
        <v>614</v>
      </c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170"/>
      <c r="AK34" s="140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41"/>
    </row>
    <row r="35" spans="2:61" ht="20.100000000000001" customHeight="1" x14ac:dyDescent="0.45">
      <c r="B35" s="168"/>
      <c r="C35" s="31"/>
      <c r="D35" s="31"/>
      <c r="E35" s="31"/>
      <c r="F35" s="31"/>
      <c r="G35" s="138"/>
      <c r="H35" s="139"/>
      <c r="I35" s="138"/>
      <c r="J35" s="169" t="s">
        <v>305</v>
      </c>
      <c r="K35" s="52"/>
      <c r="L35" s="52"/>
      <c r="M35" s="52"/>
      <c r="N35" s="52"/>
      <c r="O35" s="52"/>
      <c r="P35" s="52"/>
      <c r="Q35" s="52"/>
      <c r="R35" s="169" t="s">
        <v>615</v>
      </c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170"/>
      <c r="AK35" s="140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41"/>
    </row>
    <row r="36" spans="2:61" ht="20.100000000000001" customHeight="1" x14ac:dyDescent="0.45">
      <c r="B36" s="168"/>
      <c r="C36" s="31"/>
      <c r="D36" s="31"/>
      <c r="E36" s="31"/>
      <c r="F36" s="31"/>
      <c r="G36" s="138"/>
      <c r="H36" s="139"/>
      <c r="I36" s="138"/>
      <c r="J36" s="169" t="s">
        <v>334</v>
      </c>
      <c r="K36" s="52"/>
      <c r="L36" s="52"/>
      <c r="M36" s="52"/>
      <c r="N36" s="52"/>
      <c r="O36" s="52"/>
      <c r="P36" s="52"/>
      <c r="Q36" s="52"/>
      <c r="R36" s="169" t="s">
        <v>616</v>
      </c>
      <c r="S36" s="52"/>
      <c r="T36" s="52"/>
      <c r="U36" s="52"/>
      <c r="V36" s="52"/>
      <c r="W36" s="52"/>
      <c r="X36" s="52"/>
      <c r="Y36" s="52"/>
      <c r="Z36" s="52"/>
      <c r="AA36" s="52"/>
      <c r="AB36" s="52"/>
      <c r="AC36" s="52"/>
      <c r="AD36" s="52"/>
      <c r="AE36" s="52"/>
      <c r="AF36" s="52"/>
      <c r="AG36" s="52"/>
      <c r="AH36" s="52"/>
      <c r="AI36" s="52"/>
      <c r="AJ36" s="170"/>
      <c r="AK36" s="140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41"/>
    </row>
    <row r="37" spans="2:61" ht="20.100000000000001" customHeight="1" x14ac:dyDescent="0.45">
      <c r="B37" s="168"/>
      <c r="C37" s="31"/>
      <c r="D37" s="31"/>
      <c r="E37" s="31"/>
      <c r="F37" s="31"/>
      <c r="G37" s="138"/>
      <c r="H37" s="139"/>
      <c r="I37" s="138"/>
      <c r="J37" s="169" t="s">
        <v>335</v>
      </c>
      <c r="K37" s="52"/>
      <c r="L37" s="52"/>
      <c r="M37" s="52"/>
      <c r="N37" s="52"/>
      <c r="O37" s="52"/>
      <c r="P37" s="52"/>
      <c r="Q37" s="52"/>
      <c r="R37" s="169" t="s">
        <v>617</v>
      </c>
      <c r="S37" s="52"/>
      <c r="T37" s="52"/>
      <c r="U37" s="52"/>
      <c r="V37" s="52"/>
      <c r="W37" s="52"/>
      <c r="X37" s="52"/>
      <c r="Y37" s="52"/>
      <c r="Z37" s="52"/>
      <c r="AA37" s="52"/>
      <c r="AB37" s="52"/>
      <c r="AC37" s="52"/>
      <c r="AD37" s="52"/>
      <c r="AE37" s="52"/>
      <c r="AF37" s="52"/>
      <c r="AG37" s="52"/>
      <c r="AH37" s="52"/>
      <c r="AI37" s="52"/>
      <c r="AJ37" s="170"/>
      <c r="AK37" s="140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41"/>
    </row>
    <row r="38" spans="2:61" ht="20.100000000000001" customHeight="1" x14ac:dyDescent="0.45">
      <c r="B38" s="168"/>
      <c r="C38" s="31"/>
      <c r="D38" s="31"/>
      <c r="E38" s="31"/>
      <c r="F38" s="31"/>
      <c r="G38" s="138"/>
      <c r="H38" s="139"/>
      <c r="I38" s="138"/>
      <c r="J38" s="169" t="s">
        <v>336</v>
      </c>
      <c r="K38" s="52"/>
      <c r="L38" s="52"/>
      <c r="M38" s="52"/>
      <c r="N38" s="52"/>
      <c r="O38" s="52"/>
      <c r="P38" s="52"/>
      <c r="Q38" s="52"/>
      <c r="R38" s="169" t="s">
        <v>618</v>
      </c>
      <c r="S38" s="52"/>
      <c r="T38" s="52"/>
      <c r="U38" s="52"/>
      <c r="V38" s="52"/>
      <c r="W38" s="52"/>
      <c r="X38" s="52"/>
      <c r="Y38" s="52"/>
      <c r="Z38" s="52"/>
      <c r="AA38" s="52"/>
      <c r="AB38" s="52"/>
      <c r="AC38" s="52"/>
      <c r="AD38" s="52"/>
      <c r="AE38" s="52"/>
      <c r="AF38" s="52"/>
      <c r="AG38" s="52"/>
      <c r="AH38" s="52"/>
      <c r="AI38" s="52"/>
      <c r="AJ38" s="170"/>
      <c r="AK38" s="140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41"/>
    </row>
    <row r="39" spans="2:61" ht="20.100000000000001" customHeight="1" x14ac:dyDescent="0.45">
      <c r="B39" s="168"/>
      <c r="C39" s="31"/>
      <c r="D39" s="31"/>
      <c r="E39" s="31"/>
      <c r="F39" s="31"/>
      <c r="G39" s="138"/>
      <c r="H39" s="139"/>
      <c r="I39" s="138"/>
      <c r="J39" s="169" t="s">
        <v>337</v>
      </c>
      <c r="K39" s="52"/>
      <c r="L39" s="52"/>
      <c r="M39" s="52"/>
      <c r="N39" s="52"/>
      <c r="O39" s="52"/>
      <c r="P39" s="52"/>
      <c r="Q39" s="52"/>
      <c r="R39" s="169" t="s">
        <v>619</v>
      </c>
      <c r="S39" s="52"/>
      <c r="T39" s="52"/>
      <c r="U39" s="52"/>
      <c r="V39" s="52"/>
      <c r="W39" s="52"/>
      <c r="X39" s="52"/>
      <c r="Y39" s="52"/>
      <c r="Z39" s="52"/>
      <c r="AA39" s="52"/>
      <c r="AB39" s="52"/>
      <c r="AC39" s="52"/>
      <c r="AD39" s="52"/>
      <c r="AE39" s="52"/>
      <c r="AF39" s="52"/>
      <c r="AG39" s="52"/>
      <c r="AH39" s="52"/>
      <c r="AI39" s="52"/>
      <c r="AJ39" s="170"/>
      <c r="AK39" s="140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41"/>
    </row>
    <row r="40" spans="2:61" ht="20.100000000000001" customHeight="1" x14ac:dyDescent="0.45">
      <c r="B40" s="168"/>
      <c r="C40" s="31"/>
      <c r="D40" s="31"/>
      <c r="E40" s="31"/>
      <c r="F40" s="31"/>
      <c r="G40" s="138"/>
      <c r="H40" s="139"/>
      <c r="I40" s="138"/>
      <c r="J40" s="169" t="s">
        <v>338</v>
      </c>
      <c r="K40" s="52"/>
      <c r="L40" s="52"/>
      <c r="M40" s="52"/>
      <c r="N40" s="52"/>
      <c r="O40" s="52"/>
      <c r="P40" s="52"/>
      <c r="Q40" s="52"/>
      <c r="R40" s="169" t="s">
        <v>620</v>
      </c>
      <c r="S40" s="52"/>
      <c r="T40" s="52"/>
      <c r="U40" s="52"/>
      <c r="V40" s="52"/>
      <c r="W40" s="52"/>
      <c r="X40" s="52"/>
      <c r="Y40" s="52"/>
      <c r="Z40" s="52"/>
      <c r="AA40" s="52"/>
      <c r="AB40" s="52"/>
      <c r="AC40" s="52"/>
      <c r="AD40" s="52"/>
      <c r="AE40" s="52"/>
      <c r="AF40" s="52"/>
      <c r="AG40" s="52"/>
      <c r="AH40" s="52"/>
      <c r="AI40" s="52"/>
      <c r="AJ40" s="170"/>
      <c r="AK40" s="140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41"/>
    </row>
    <row r="41" spans="2:61" ht="20.100000000000001" customHeight="1" x14ac:dyDescent="0.45">
      <c r="B41" s="168"/>
      <c r="C41" s="31"/>
      <c r="D41" s="31"/>
      <c r="E41" s="31"/>
      <c r="F41" s="31"/>
      <c r="G41" s="138"/>
      <c r="H41" s="139"/>
      <c r="I41" s="138"/>
      <c r="J41" s="169" t="s">
        <v>339</v>
      </c>
      <c r="K41" s="52"/>
      <c r="L41" s="52"/>
      <c r="M41" s="52"/>
      <c r="N41" s="52"/>
      <c r="O41" s="52"/>
      <c r="P41" s="52"/>
      <c r="Q41" s="52"/>
      <c r="R41" s="169" t="s">
        <v>621</v>
      </c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170"/>
      <c r="AK41" s="140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41"/>
    </row>
    <row r="42" spans="2:61" ht="20.100000000000001" customHeight="1" x14ac:dyDescent="0.45">
      <c r="B42" s="168"/>
      <c r="C42" s="31"/>
      <c r="D42" s="31"/>
      <c r="E42" s="31"/>
      <c r="F42" s="31"/>
      <c r="G42" s="138"/>
      <c r="H42" s="145"/>
      <c r="I42" s="171"/>
      <c r="J42" s="169" t="s">
        <v>340</v>
      </c>
      <c r="K42" s="52"/>
      <c r="L42" s="52"/>
      <c r="M42" s="52"/>
      <c r="N42" s="52"/>
      <c r="O42" s="52"/>
      <c r="P42" s="52"/>
      <c r="Q42" s="52"/>
      <c r="R42" s="169" t="s">
        <v>622</v>
      </c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170"/>
      <c r="AK42" s="140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41"/>
    </row>
    <row r="43" spans="2:61" ht="20.100000000000001" customHeight="1" x14ac:dyDescent="0.45">
      <c r="B43" s="168"/>
      <c r="C43" s="31"/>
      <c r="D43" s="31"/>
      <c r="E43" s="31"/>
      <c r="F43" s="31"/>
      <c r="G43" s="138"/>
      <c r="H43" s="139" t="s">
        <v>145</v>
      </c>
      <c r="I43" s="31"/>
      <c r="J43" s="139" t="s">
        <v>164</v>
      </c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40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41"/>
    </row>
    <row r="44" spans="2:61" ht="20.100000000000001" customHeight="1" x14ac:dyDescent="0.45">
      <c r="B44" s="137"/>
      <c r="C44" s="31"/>
      <c r="D44" s="31"/>
      <c r="E44" s="31"/>
      <c r="F44" s="31"/>
      <c r="G44" s="138"/>
      <c r="H44" s="139"/>
      <c r="I44" s="31"/>
      <c r="J44" s="139" t="s">
        <v>172</v>
      </c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40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41"/>
    </row>
    <row r="45" spans="2:61" ht="20.100000000000001" customHeight="1" x14ac:dyDescent="0.45">
      <c r="B45" s="137"/>
      <c r="C45" s="31"/>
      <c r="D45" s="31"/>
      <c r="E45" s="31"/>
      <c r="F45" s="31"/>
      <c r="G45" s="138"/>
      <c r="H45" s="139"/>
      <c r="I45" s="31"/>
      <c r="J45" s="139" t="s">
        <v>168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40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41"/>
    </row>
    <row r="46" spans="2:61" ht="20.100000000000001" customHeight="1" x14ac:dyDescent="0.45">
      <c r="B46" s="137"/>
      <c r="C46" s="31"/>
      <c r="D46" s="31"/>
      <c r="E46" s="31"/>
      <c r="F46" s="31"/>
      <c r="G46" s="138"/>
      <c r="H46" s="139"/>
      <c r="I46" s="31"/>
      <c r="J46" s="139" t="s">
        <v>169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40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41"/>
    </row>
    <row r="47" spans="2:61" ht="20.100000000000001" customHeight="1" x14ac:dyDescent="0.45">
      <c r="B47" s="137"/>
      <c r="C47" s="31"/>
      <c r="D47" s="31"/>
      <c r="E47" s="31"/>
      <c r="F47" s="31"/>
      <c r="G47" s="138"/>
      <c r="H47" s="139"/>
      <c r="I47" s="31"/>
      <c r="J47" s="139" t="s">
        <v>170</v>
      </c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40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41"/>
    </row>
    <row r="48" spans="2:61" ht="20.100000000000001" customHeight="1" x14ac:dyDescent="0.45">
      <c r="B48" s="137"/>
      <c r="C48" s="31"/>
      <c r="D48" s="31"/>
      <c r="E48" s="31"/>
      <c r="F48" s="31"/>
      <c r="G48" s="138"/>
      <c r="H48" s="139"/>
      <c r="I48" s="31"/>
      <c r="J48" s="139" t="s">
        <v>171</v>
      </c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40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41"/>
    </row>
    <row r="49" spans="2:61" ht="20.100000000000001" customHeight="1" x14ac:dyDescent="0.45">
      <c r="B49" s="137"/>
      <c r="C49" s="31"/>
      <c r="D49" s="31"/>
      <c r="E49" s="31"/>
      <c r="F49" s="31"/>
      <c r="G49" s="138"/>
      <c r="H49" s="139"/>
      <c r="I49" s="31"/>
      <c r="J49" s="139" t="s">
        <v>208</v>
      </c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140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141"/>
    </row>
    <row r="50" spans="2:61" ht="20.100000000000001" customHeight="1" x14ac:dyDescent="0.45">
      <c r="B50" s="137"/>
      <c r="C50" s="31"/>
      <c r="D50" s="31"/>
      <c r="E50" s="31"/>
      <c r="F50" s="31"/>
      <c r="G50" s="138"/>
      <c r="H50" s="142" t="s">
        <v>235</v>
      </c>
      <c r="I50" s="55"/>
      <c r="J50" s="142" t="s">
        <v>184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143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144"/>
    </row>
    <row r="51" spans="2:61" ht="20.100000000000001" customHeight="1" x14ac:dyDescent="0.45">
      <c r="B51" s="137"/>
      <c r="C51" s="31"/>
      <c r="D51" s="31"/>
      <c r="E51" s="31"/>
      <c r="F51" s="31"/>
      <c r="G51" s="138"/>
      <c r="H51" s="139"/>
      <c r="I51" s="31"/>
      <c r="J51" s="139"/>
      <c r="K51" s="31"/>
      <c r="L51" s="31" t="s">
        <v>164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40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41"/>
    </row>
    <row r="52" spans="2:61" ht="20.100000000000001" customHeight="1" x14ac:dyDescent="0.45">
      <c r="B52" s="137"/>
      <c r="C52" s="31"/>
      <c r="D52" s="31"/>
      <c r="E52" s="31"/>
      <c r="F52" s="31"/>
      <c r="G52" s="138"/>
      <c r="H52" s="139"/>
      <c r="I52" s="31"/>
      <c r="J52" s="139"/>
      <c r="K52" s="31" t="s">
        <v>173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40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41"/>
    </row>
    <row r="53" spans="2:61" ht="20.100000000000001" customHeight="1" x14ac:dyDescent="0.45">
      <c r="B53" s="137"/>
      <c r="C53" s="31"/>
      <c r="D53" s="31"/>
      <c r="E53" s="31"/>
      <c r="F53" s="31"/>
      <c r="G53" s="138"/>
      <c r="H53" s="139"/>
      <c r="I53" s="31"/>
      <c r="J53" s="139"/>
      <c r="K53" s="31"/>
      <c r="L53" s="31" t="s">
        <v>172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40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41"/>
    </row>
    <row r="54" spans="2:61" ht="20.100000000000001" customHeight="1" x14ac:dyDescent="0.45">
      <c r="B54" s="137"/>
      <c r="C54" s="31"/>
      <c r="D54" s="31"/>
      <c r="E54" s="31"/>
      <c r="F54" s="31"/>
      <c r="G54" s="138"/>
      <c r="H54" s="139"/>
      <c r="I54" s="31"/>
      <c r="J54" s="139"/>
      <c r="K54" s="31" t="s">
        <v>173</v>
      </c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140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141"/>
    </row>
    <row r="55" spans="2:61" ht="20.100000000000001" customHeight="1" x14ac:dyDescent="0.45">
      <c r="B55" s="137"/>
      <c r="C55" s="31"/>
      <c r="D55" s="31"/>
      <c r="E55" s="31"/>
      <c r="F55" s="31"/>
      <c r="G55" s="138"/>
      <c r="H55" s="139"/>
      <c r="I55" s="31"/>
      <c r="J55" s="139"/>
      <c r="K55" s="31"/>
      <c r="L55" s="31" t="s">
        <v>168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40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41"/>
    </row>
    <row r="56" spans="2:61" ht="20.100000000000001" customHeight="1" x14ac:dyDescent="0.45">
      <c r="B56" s="137"/>
      <c r="C56" s="31"/>
      <c r="D56" s="31"/>
      <c r="E56" s="31"/>
      <c r="F56" s="31"/>
      <c r="G56" s="138"/>
      <c r="H56" s="139"/>
      <c r="I56" s="31"/>
      <c r="J56" s="139"/>
      <c r="K56" s="31" t="s">
        <v>173</v>
      </c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140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141"/>
    </row>
    <row r="57" spans="2:61" ht="20.100000000000001" customHeight="1" x14ac:dyDescent="0.45">
      <c r="B57" s="137"/>
      <c r="C57" s="31"/>
      <c r="D57" s="31"/>
      <c r="E57" s="31"/>
      <c r="F57" s="31"/>
      <c r="G57" s="138"/>
      <c r="H57" s="139"/>
      <c r="I57" s="31"/>
      <c r="J57" s="139"/>
      <c r="K57" s="31"/>
      <c r="L57" s="31" t="s">
        <v>342</v>
      </c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40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41"/>
    </row>
    <row r="58" spans="2:61" ht="20.100000000000001" customHeight="1" x14ac:dyDescent="0.45">
      <c r="B58" s="137"/>
      <c r="C58" s="31"/>
      <c r="D58" s="31"/>
      <c r="E58" s="31"/>
      <c r="F58" s="31"/>
      <c r="G58" s="138"/>
      <c r="H58" s="139"/>
      <c r="I58" s="31"/>
      <c r="J58" s="139"/>
      <c r="K58" s="31" t="s">
        <v>173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140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141"/>
    </row>
    <row r="59" spans="2:61" ht="20.100000000000001" customHeight="1" x14ac:dyDescent="0.45">
      <c r="B59" s="137"/>
      <c r="C59" s="31"/>
      <c r="D59" s="31"/>
      <c r="E59" s="31"/>
      <c r="F59" s="31"/>
      <c r="G59" s="138"/>
      <c r="H59" s="139"/>
      <c r="I59" s="31"/>
      <c r="J59" s="139"/>
      <c r="K59" s="31"/>
      <c r="L59" s="31" t="s">
        <v>343</v>
      </c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40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41"/>
    </row>
    <row r="60" spans="2:61" ht="20.100000000000001" customHeight="1" x14ac:dyDescent="0.45">
      <c r="B60" s="137"/>
      <c r="C60" s="31"/>
      <c r="D60" s="31"/>
      <c r="E60" s="31"/>
      <c r="F60" s="31"/>
      <c r="G60" s="138"/>
      <c r="H60" s="139"/>
      <c r="I60" s="31"/>
      <c r="J60" s="139"/>
      <c r="K60" s="31" t="s">
        <v>173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40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41"/>
    </row>
    <row r="61" spans="2:61" ht="20.100000000000001" customHeight="1" x14ac:dyDescent="0.45">
      <c r="B61" s="137"/>
      <c r="C61" s="31"/>
      <c r="D61" s="31"/>
      <c r="E61" s="31"/>
      <c r="F61" s="31"/>
      <c r="G61" s="138"/>
      <c r="H61" s="139"/>
      <c r="I61" s="31"/>
      <c r="J61" s="139"/>
      <c r="K61" s="31"/>
      <c r="L61" s="31" t="s">
        <v>344</v>
      </c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40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41"/>
    </row>
    <row r="62" spans="2:61" ht="20.100000000000001" customHeight="1" x14ac:dyDescent="0.45">
      <c r="B62" s="137"/>
      <c r="C62" s="31"/>
      <c r="D62" s="31"/>
      <c r="E62" s="31"/>
      <c r="F62" s="31"/>
      <c r="G62" s="138"/>
      <c r="H62" s="139"/>
      <c r="I62" s="31"/>
      <c r="J62" s="139"/>
      <c r="K62" s="31" t="s">
        <v>173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40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41"/>
    </row>
    <row r="63" spans="2:61" ht="20.100000000000001" customHeight="1" x14ac:dyDescent="0.45">
      <c r="B63" s="137"/>
      <c r="C63" s="31"/>
      <c r="D63" s="31"/>
      <c r="E63" s="31"/>
      <c r="F63" s="31"/>
      <c r="G63" s="138"/>
      <c r="H63" s="139"/>
      <c r="I63" s="31"/>
      <c r="J63" s="139"/>
      <c r="K63" s="31"/>
      <c r="L63" s="31" t="s">
        <v>208</v>
      </c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40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41"/>
    </row>
    <row r="64" spans="2:61" ht="20.100000000000001" customHeight="1" thickBot="1" x14ac:dyDescent="0.5">
      <c r="B64" s="137"/>
      <c r="C64" s="31"/>
      <c r="D64" s="31"/>
      <c r="E64" s="31"/>
      <c r="F64" s="31"/>
      <c r="G64" s="138"/>
      <c r="H64" s="139"/>
      <c r="I64" s="31"/>
      <c r="J64" s="139" t="s">
        <v>587</v>
      </c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140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141"/>
    </row>
    <row r="65" spans="2:61" ht="20.100000000000001" customHeight="1" x14ac:dyDescent="0.45">
      <c r="B65" s="131" t="s">
        <v>379</v>
      </c>
      <c r="C65" s="132"/>
      <c r="D65" s="132"/>
      <c r="E65" s="132"/>
      <c r="F65" s="132"/>
      <c r="G65" s="133"/>
      <c r="H65" s="134" t="s">
        <v>237</v>
      </c>
      <c r="I65" s="133"/>
      <c r="J65" s="173" t="s">
        <v>311</v>
      </c>
      <c r="K65" s="166"/>
      <c r="L65" s="166"/>
      <c r="M65" s="166"/>
      <c r="N65" s="166"/>
      <c r="O65" s="166"/>
      <c r="P65" s="166"/>
      <c r="Q65" s="166"/>
      <c r="R65" s="173" t="s">
        <v>262</v>
      </c>
      <c r="S65" s="166"/>
      <c r="T65" s="166"/>
      <c r="U65" s="166"/>
      <c r="V65" s="166"/>
      <c r="W65" s="166"/>
      <c r="X65" s="166"/>
      <c r="Y65" s="166"/>
      <c r="Z65" s="166"/>
      <c r="AA65" s="166"/>
      <c r="AB65" s="166"/>
      <c r="AC65" s="166"/>
      <c r="AD65" s="166"/>
      <c r="AE65" s="166"/>
      <c r="AF65" s="166"/>
      <c r="AG65" s="166"/>
      <c r="AH65" s="166"/>
      <c r="AI65" s="166"/>
      <c r="AJ65" s="167"/>
      <c r="AK65" s="135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6"/>
    </row>
    <row r="66" spans="2:61" ht="20.100000000000001" customHeight="1" x14ac:dyDescent="0.45">
      <c r="B66" s="168"/>
      <c r="C66" s="31"/>
      <c r="D66" s="31"/>
      <c r="E66" s="31"/>
      <c r="F66" s="31"/>
      <c r="G66" s="138"/>
      <c r="H66" s="139"/>
      <c r="I66" s="138"/>
      <c r="J66" s="169" t="s">
        <v>294</v>
      </c>
      <c r="K66" s="52"/>
      <c r="L66" s="52"/>
      <c r="M66" s="52"/>
      <c r="N66" s="52"/>
      <c r="O66" s="52"/>
      <c r="P66" s="52"/>
      <c r="Q66" s="52"/>
      <c r="R66" s="169" t="s">
        <v>292</v>
      </c>
      <c r="S66" s="52"/>
      <c r="T66" s="52"/>
      <c r="U66" s="52"/>
      <c r="V66" s="52"/>
      <c r="W66" s="52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170"/>
      <c r="AK66" s="140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41"/>
    </row>
    <row r="67" spans="2:61" ht="20.100000000000001" customHeight="1" x14ac:dyDescent="0.45">
      <c r="B67" s="168"/>
      <c r="C67" s="31"/>
      <c r="D67" s="31"/>
      <c r="E67" s="31"/>
      <c r="F67" s="31"/>
      <c r="G67" s="138"/>
      <c r="H67" s="139"/>
      <c r="I67" s="138"/>
      <c r="J67" s="169" t="s">
        <v>314</v>
      </c>
      <c r="K67" s="52"/>
      <c r="L67" s="52"/>
      <c r="M67" s="52"/>
      <c r="N67" s="52"/>
      <c r="O67" s="52"/>
      <c r="P67" s="52"/>
      <c r="Q67" s="52"/>
      <c r="R67" s="169" t="s">
        <v>312</v>
      </c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170"/>
      <c r="AK67" s="140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41"/>
    </row>
    <row r="68" spans="2:61" ht="20.100000000000001" customHeight="1" x14ac:dyDescent="0.45">
      <c r="B68" s="168"/>
      <c r="C68" s="31"/>
      <c r="D68" s="31"/>
      <c r="E68" s="31"/>
      <c r="F68" s="31"/>
      <c r="G68" s="138"/>
      <c r="H68" s="139"/>
      <c r="I68" s="138"/>
      <c r="J68" s="169" t="s">
        <v>315</v>
      </c>
      <c r="K68" s="52"/>
      <c r="L68" s="52"/>
      <c r="M68" s="52"/>
      <c r="N68" s="52"/>
      <c r="O68" s="52"/>
      <c r="P68" s="52"/>
      <c r="Q68" s="52"/>
      <c r="R68" s="169" t="s">
        <v>263</v>
      </c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170"/>
      <c r="AK68" s="140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41"/>
    </row>
    <row r="69" spans="2:61" ht="20.100000000000001" customHeight="1" x14ac:dyDescent="0.45">
      <c r="B69" s="168"/>
      <c r="C69" s="31"/>
      <c r="D69" s="31"/>
      <c r="E69" s="31"/>
      <c r="F69" s="31"/>
      <c r="G69" s="138"/>
      <c r="H69" s="139"/>
      <c r="I69" s="138"/>
      <c r="J69" s="169" t="s">
        <v>316</v>
      </c>
      <c r="K69" s="52"/>
      <c r="L69" s="52"/>
      <c r="M69" s="52"/>
      <c r="N69" s="52"/>
      <c r="O69" s="52"/>
      <c r="P69" s="52"/>
      <c r="Q69" s="52"/>
      <c r="R69" s="169" t="s">
        <v>264</v>
      </c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170"/>
      <c r="AK69" s="140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141"/>
    </row>
    <row r="70" spans="2:61" ht="20.100000000000001" customHeight="1" x14ac:dyDescent="0.45">
      <c r="B70" s="168"/>
      <c r="C70" s="31"/>
      <c r="D70" s="31"/>
      <c r="E70" s="31"/>
      <c r="F70" s="31"/>
      <c r="G70" s="138"/>
      <c r="H70" s="139"/>
      <c r="I70" s="138"/>
      <c r="J70" s="169" t="s">
        <v>317</v>
      </c>
      <c r="K70" s="52"/>
      <c r="L70" s="52"/>
      <c r="M70" s="52"/>
      <c r="N70" s="52"/>
      <c r="O70" s="52"/>
      <c r="P70" s="52"/>
      <c r="Q70" s="52"/>
      <c r="R70" s="169" t="s">
        <v>265</v>
      </c>
      <c r="S70" s="52"/>
      <c r="T70" s="52"/>
      <c r="U70" s="52"/>
      <c r="V70" s="52"/>
      <c r="W70" s="52"/>
      <c r="X70" s="52"/>
      <c r="Y70" s="52"/>
      <c r="Z70" s="52"/>
      <c r="AA70" s="52"/>
      <c r="AB70" s="52"/>
      <c r="AC70" s="52"/>
      <c r="AD70" s="52"/>
      <c r="AE70" s="52"/>
      <c r="AF70" s="52"/>
      <c r="AG70" s="52"/>
      <c r="AH70" s="52"/>
      <c r="AI70" s="52"/>
      <c r="AJ70" s="170"/>
      <c r="AK70" s="140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41"/>
    </row>
    <row r="71" spans="2:61" ht="20.100000000000001" customHeight="1" x14ac:dyDescent="0.45">
      <c r="B71" s="168"/>
      <c r="C71" s="31"/>
      <c r="D71" s="31"/>
      <c r="E71" s="31"/>
      <c r="F71" s="31"/>
      <c r="G71" s="138"/>
      <c r="H71" s="139"/>
      <c r="I71" s="138"/>
      <c r="J71" s="169" t="s">
        <v>318</v>
      </c>
      <c r="K71" s="52"/>
      <c r="L71" s="52"/>
      <c r="M71" s="52"/>
      <c r="N71" s="52"/>
      <c r="O71" s="52"/>
      <c r="P71" s="52"/>
      <c r="Q71" s="52"/>
      <c r="R71" s="169" t="s">
        <v>266</v>
      </c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2"/>
      <c r="AE71" s="52"/>
      <c r="AF71" s="52"/>
      <c r="AG71" s="52"/>
      <c r="AH71" s="52"/>
      <c r="AI71" s="52"/>
      <c r="AJ71" s="170"/>
      <c r="AK71" s="140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41"/>
    </row>
    <row r="72" spans="2:61" ht="20.100000000000001" customHeight="1" x14ac:dyDescent="0.45">
      <c r="B72" s="168"/>
      <c r="C72" s="31"/>
      <c r="D72" s="31"/>
      <c r="E72" s="31"/>
      <c r="F72" s="31"/>
      <c r="G72" s="138"/>
      <c r="H72" s="139"/>
      <c r="I72" s="138"/>
      <c r="J72" s="169" t="s">
        <v>319</v>
      </c>
      <c r="K72" s="52"/>
      <c r="L72" s="52"/>
      <c r="M72" s="52"/>
      <c r="N72" s="52"/>
      <c r="O72" s="52"/>
      <c r="P72" s="52"/>
      <c r="Q72" s="52"/>
      <c r="R72" s="169" t="s">
        <v>267</v>
      </c>
      <c r="S72" s="52"/>
      <c r="T72" s="52"/>
      <c r="U72" s="52"/>
      <c r="V72" s="52"/>
      <c r="W72" s="52"/>
      <c r="X72" s="52"/>
      <c r="Y72" s="52"/>
      <c r="Z72" s="52"/>
      <c r="AA72" s="52"/>
      <c r="AB72" s="52"/>
      <c r="AC72" s="52"/>
      <c r="AD72" s="52"/>
      <c r="AE72" s="52"/>
      <c r="AF72" s="52"/>
      <c r="AG72" s="52"/>
      <c r="AH72" s="52"/>
      <c r="AI72" s="52"/>
      <c r="AJ72" s="170"/>
      <c r="AK72" s="140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41"/>
    </row>
    <row r="73" spans="2:61" ht="20.100000000000001" customHeight="1" x14ac:dyDescent="0.45">
      <c r="B73" s="168"/>
      <c r="C73" s="31"/>
      <c r="D73" s="31"/>
      <c r="E73" s="31"/>
      <c r="F73" s="31"/>
      <c r="G73" s="138"/>
      <c r="H73" s="139"/>
      <c r="I73" s="138"/>
      <c r="J73" s="169" t="s">
        <v>320</v>
      </c>
      <c r="K73" s="52"/>
      <c r="L73" s="52"/>
      <c r="M73" s="52"/>
      <c r="N73" s="52"/>
      <c r="O73" s="52"/>
      <c r="P73" s="52"/>
      <c r="Q73" s="52"/>
      <c r="R73" s="169" t="s">
        <v>268</v>
      </c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2"/>
      <c r="AJ73" s="170"/>
      <c r="AK73" s="140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41"/>
    </row>
    <row r="74" spans="2:61" ht="20.100000000000001" customHeight="1" x14ac:dyDescent="0.45">
      <c r="B74" s="168"/>
      <c r="C74" s="31"/>
      <c r="D74" s="31"/>
      <c r="E74" s="31"/>
      <c r="F74" s="31"/>
      <c r="G74" s="138"/>
      <c r="H74" s="139"/>
      <c r="I74" s="138"/>
      <c r="J74" s="169" t="s">
        <v>321</v>
      </c>
      <c r="K74" s="52"/>
      <c r="L74" s="52"/>
      <c r="M74" s="52"/>
      <c r="N74" s="52"/>
      <c r="O74" s="52"/>
      <c r="P74" s="52"/>
      <c r="Q74" s="52"/>
      <c r="R74" s="169" t="s">
        <v>269</v>
      </c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2"/>
      <c r="AJ74" s="170"/>
      <c r="AK74" s="140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41"/>
    </row>
    <row r="75" spans="2:61" ht="20.100000000000001" customHeight="1" x14ac:dyDescent="0.45">
      <c r="B75" s="168"/>
      <c r="C75" s="31"/>
      <c r="D75" s="31"/>
      <c r="E75" s="31"/>
      <c r="F75" s="31"/>
      <c r="G75" s="138"/>
      <c r="H75" s="139"/>
      <c r="I75" s="138"/>
      <c r="J75" s="169" t="s">
        <v>322</v>
      </c>
      <c r="K75" s="52"/>
      <c r="L75" s="52"/>
      <c r="M75" s="52"/>
      <c r="N75" s="52"/>
      <c r="O75" s="52"/>
      <c r="P75" s="52"/>
      <c r="Q75" s="52"/>
      <c r="R75" s="169" t="s">
        <v>270</v>
      </c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2"/>
      <c r="AJ75" s="170"/>
      <c r="AK75" s="140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41"/>
    </row>
    <row r="76" spans="2:61" ht="20.100000000000001" customHeight="1" x14ac:dyDescent="0.45">
      <c r="B76" s="168"/>
      <c r="C76" s="31"/>
      <c r="D76" s="31"/>
      <c r="E76" s="31"/>
      <c r="F76" s="31"/>
      <c r="G76" s="138"/>
      <c r="H76" s="139"/>
      <c r="I76" s="138"/>
      <c r="J76" s="169" t="s">
        <v>323</v>
      </c>
      <c r="K76" s="52"/>
      <c r="L76" s="52"/>
      <c r="M76" s="52"/>
      <c r="N76" s="52"/>
      <c r="O76" s="52"/>
      <c r="P76" s="52"/>
      <c r="Q76" s="52"/>
      <c r="R76" s="169" t="s">
        <v>271</v>
      </c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170"/>
      <c r="AK76" s="140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41"/>
    </row>
    <row r="77" spans="2:61" ht="20.100000000000001" customHeight="1" x14ac:dyDescent="0.45">
      <c r="B77" s="168"/>
      <c r="C77" s="31"/>
      <c r="D77" s="31"/>
      <c r="E77" s="31"/>
      <c r="F77" s="31"/>
      <c r="G77" s="138"/>
      <c r="H77" s="139"/>
      <c r="I77" s="138"/>
      <c r="J77" s="169" t="s">
        <v>324</v>
      </c>
      <c r="K77" s="52"/>
      <c r="L77" s="52"/>
      <c r="M77" s="52"/>
      <c r="N77" s="52"/>
      <c r="O77" s="52"/>
      <c r="P77" s="52"/>
      <c r="Q77" s="52"/>
      <c r="R77" s="169" t="s">
        <v>272</v>
      </c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2"/>
      <c r="AJ77" s="170"/>
      <c r="AK77" s="140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41"/>
    </row>
    <row r="78" spans="2:61" ht="20.100000000000001" customHeight="1" x14ac:dyDescent="0.45">
      <c r="B78" s="168"/>
      <c r="C78" s="31"/>
      <c r="D78" s="31"/>
      <c r="E78" s="31"/>
      <c r="F78" s="31"/>
      <c r="G78" s="138"/>
      <c r="H78" s="139"/>
      <c r="I78" s="138"/>
      <c r="J78" s="169" t="s">
        <v>325</v>
      </c>
      <c r="K78" s="52"/>
      <c r="L78" s="52"/>
      <c r="M78" s="52"/>
      <c r="N78" s="52"/>
      <c r="O78" s="52"/>
      <c r="P78" s="52"/>
      <c r="Q78" s="52"/>
      <c r="R78" s="169" t="s">
        <v>273</v>
      </c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2"/>
      <c r="AJ78" s="170"/>
      <c r="AK78" s="140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41"/>
    </row>
    <row r="79" spans="2:61" ht="20.100000000000001" customHeight="1" x14ac:dyDescent="0.45">
      <c r="B79" s="168"/>
      <c r="C79" s="31"/>
      <c r="D79" s="31"/>
      <c r="E79" s="31"/>
      <c r="F79" s="31"/>
      <c r="G79" s="138"/>
      <c r="H79" s="139"/>
      <c r="I79" s="138"/>
      <c r="J79" s="169" t="s">
        <v>326</v>
      </c>
      <c r="K79" s="52"/>
      <c r="L79" s="52"/>
      <c r="M79" s="52"/>
      <c r="N79" s="52"/>
      <c r="O79" s="52"/>
      <c r="P79" s="52"/>
      <c r="Q79" s="52"/>
      <c r="R79" s="169" t="s">
        <v>274</v>
      </c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2"/>
      <c r="AJ79" s="170"/>
      <c r="AK79" s="140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41"/>
    </row>
    <row r="80" spans="2:61" ht="20.100000000000001" customHeight="1" x14ac:dyDescent="0.45">
      <c r="B80" s="168"/>
      <c r="C80" s="31"/>
      <c r="D80" s="31"/>
      <c r="E80" s="31"/>
      <c r="F80" s="31"/>
      <c r="G80" s="138"/>
      <c r="H80" s="139"/>
      <c r="I80" s="138"/>
      <c r="J80" s="169" t="s">
        <v>327</v>
      </c>
      <c r="K80" s="52"/>
      <c r="L80" s="52"/>
      <c r="M80" s="52"/>
      <c r="N80" s="52"/>
      <c r="O80" s="52"/>
      <c r="P80" s="52"/>
      <c r="Q80" s="52"/>
      <c r="R80" s="169" t="s">
        <v>275</v>
      </c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2"/>
      <c r="AJ80" s="170"/>
      <c r="AK80" s="140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41"/>
    </row>
    <row r="81" spans="2:61" ht="20.100000000000001" customHeight="1" x14ac:dyDescent="0.45">
      <c r="B81" s="168"/>
      <c r="C81" s="31"/>
      <c r="D81" s="31"/>
      <c r="E81" s="31"/>
      <c r="F81" s="31"/>
      <c r="G81" s="138"/>
      <c r="H81" s="139"/>
      <c r="I81" s="138"/>
      <c r="J81" s="169" t="s">
        <v>296</v>
      </c>
      <c r="K81" s="52"/>
      <c r="L81" s="52"/>
      <c r="M81" s="52"/>
      <c r="N81" s="52"/>
      <c r="O81" s="52"/>
      <c r="P81" s="52"/>
      <c r="Q81" s="52"/>
      <c r="R81" s="169" t="s">
        <v>295</v>
      </c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170"/>
      <c r="AK81" s="140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41"/>
    </row>
    <row r="82" spans="2:61" ht="20.100000000000001" customHeight="1" x14ac:dyDescent="0.45">
      <c r="B82" s="168"/>
      <c r="C82" s="31"/>
      <c r="D82" s="31"/>
      <c r="E82" s="31"/>
      <c r="F82" s="31"/>
      <c r="G82" s="138"/>
      <c r="H82" s="139"/>
      <c r="I82" s="138"/>
      <c r="J82" s="169" t="s">
        <v>328</v>
      </c>
      <c r="K82" s="52"/>
      <c r="L82" s="52"/>
      <c r="M82" s="52"/>
      <c r="N82" s="52"/>
      <c r="O82" s="52"/>
      <c r="P82" s="52"/>
      <c r="Q82" s="52"/>
      <c r="R82" s="169" t="s">
        <v>276</v>
      </c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2"/>
      <c r="AJ82" s="170"/>
      <c r="AK82" s="140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41"/>
    </row>
    <row r="83" spans="2:61" ht="20.100000000000001" customHeight="1" x14ac:dyDescent="0.45">
      <c r="B83" s="168"/>
      <c r="C83" s="31"/>
      <c r="D83" s="31"/>
      <c r="E83" s="31"/>
      <c r="F83" s="31"/>
      <c r="G83" s="138"/>
      <c r="H83" s="139"/>
      <c r="I83" s="138"/>
      <c r="J83" s="169" t="s">
        <v>329</v>
      </c>
      <c r="K83" s="52"/>
      <c r="L83" s="52"/>
      <c r="M83" s="52"/>
      <c r="N83" s="52"/>
      <c r="O83" s="52"/>
      <c r="P83" s="52"/>
      <c r="Q83" s="52"/>
      <c r="R83" s="169" t="s">
        <v>277</v>
      </c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2"/>
      <c r="AJ83" s="170"/>
      <c r="AK83" s="140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41"/>
    </row>
    <row r="84" spans="2:61" ht="20.100000000000001" customHeight="1" x14ac:dyDescent="0.45">
      <c r="B84" s="168"/>
      <c r="C84" s="31"/>
      <c r="D84" s="31"/>
      <c r="E84" s="31"/>
      <c r="F84" s="31"/>
      <c r="G84" s="138"/>
      <c r="H84" s="139"/>
      <c r="I84" s="138"/>
      <c r="J84" s="169" t="s">
        <v>298</v>
      </c>
      <c r="K84" s="52"/>
      <c r="L84" s="52"/>
      <c r="M84" s="52"/>
      <c r="N84" s="52"/>
      <c r="O84" s="52"/>
      <c r="P84" s="52"/>
      <c r="Q84" s="52"/>
      <c r="R84" s="174" t="s">
        <v>278</v>
      </c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170"/>
      <c r="AK84" s="140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41"/>
    </row>
    <row r="85" spans="2:61" ht="20.100000000000001" customHeight="1" x14ac:dyDescent="0.45">
      <c r="B85" s="168"/>
      <c r="C85" s="31"/>
      <c r="D85" s="31"/>
      <c r="E85" s="31"/>
      <c r="F85" s="31"/>
      <c r="G85" s="138"/>
      <c r="H85" s="139"/>
      <c r="I85" s="138"/>
      <c r="J85" s="169" t="s">
        <v>330</v>
      </c>
      <c r="K85" s="52"/>
      <c r="L85" s="52"/>
      <c r="M85" s="52"/>
      <c r="N85" s="52"/>
      <c r="O85" s="52"/>
      <c r="P85" s="52"/>
      <c r="Q85" s="52"/>
      <c r="R85" s="169" t="s">
        <v>279</v>
      </c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2"/>
      <c r="AJ85" s="170"/>
      <c r="AK85" s="140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41"/>
    </row>
    <row r="86" spans="2:61" ht="20.100000000000001" customHeight="1" x14ac:dyDescent="0.45">
      <c r="B86" s="168"/>
      <c r="C86" s="31"/>
      <c r="D86" s="31"/>
      <c r="E86" s="31"/>
      <c r="F86" s="31"/>
      <c r="G86" s="138"/>
      <c r="H86" s="139"/>
      <c r="I86" s="138"/>
      <c r="J86" s="169" t="s">
        <v>301</v>
      </c>
      <c r="K86" s="52"/>
      <c r="L86" s="52"/>
      <c r="M86" s="52"/>
      <c r="N86" s="52"/>
      <c r="O86" s="52"/>
      <c r="P86" s="52"/>
      <c r="Q86" s="52"/>
      <c r="R86" s="169" t="s">
        <v>299</v>
      </c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170"/>
      <c r="AK86" s="140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41"/>
    </row>
    <row r="87" spans="2:61" ht="20.100000000000001" customHeight="1" x14ac:dyDescent="0.45">
      <c r="B87" s="168"/>
      <c r="C87" s="31"/>
      <c r="D87" s="31"/>
      <c r="E87" s="31"/>
      <c r="F87" s="31"/>
      <c r="G87" s="138"/>
      <c r="H87" s="139"/>
      <c r="I87" s="138"/>
      <c r="J87" s="169" t="s">
        <v>331</v>
      </c>
      <c r="K87" s="52"/>
      <c r="L87" s="52"/>
      <c r="M87" s="52"/>
      <c r="N87" s="52"/>
      <c r="O87" s="52"/>
      <c r="P87" s="52"/>
      <c r="Q87" s="52"/>
      <c r="R87" s="169" t="s">
        <v>280</v>
      </c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2"/>
      <c r="AJ87" s="170"/>
      <c r="AK87" s="140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41"/>
    </row>
    <row r="88" spans="2:61" ht="20.100000000000001" customHeight="1" x14ac:dyDescent="0.45">
      <c r="B88" s="168"/>
      <c r="C88" s="31"/>
      <c r="D88" s="31"/>
      <c r="E88" s="31"/>
      <c r="F88" s="31"/>
      <c r="G88" s="138"/>
      <c r="H88" s="139"/>
      <c r="I88" s="138"/>
      <c r="J88" s="169" t="s">
        <v>302</v>
      </c>
      <c r="K88" s="52"/>
      <c r="L88" s="52"/>
      <c r="M88" s="52"/>
      <c r="N88" s="52"/>
      <c r="O88" s="52"/>
      <c r="P88" s="52"/>
      <c r="Q88" s="52"/>
      <c r="R88" s="174" t="s">
        <v>281</v>
      </c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2"/>
      <c r="AJ88" s="170"/>
      <c r="AK88" s="140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41"/>
    </row>
    <row r="89" spans="2:61" ht="20.100000000000001" customHeight="1" x14ac:dyDescent="0.45">
      <c r="B89" s="168"/>
      <c r="C89" s="31"/>
      <c r="D89" s="31"/>
      <c r="E89" s="31"/>
      <c r="F89" s="31"/>
      <c r="G89" s="138"/>
      <c r="H89" s="139"/>
      <c r="I89" s="138"/>
      <c r="J89" s="169" t="s">
        <v>307</v>
      </c>
      <c r="K89" s="52"/>
      <c r="L89" s="52"/>
      <c r="M89" s="52"/>
      <c r="N89" s="52"/>
      <c r="O89" s="52"/>
      <c r="P89" s="52"/>
      <c r="Q89" s="52"/>
      <c r="R89" s="169">
        <v>0</v>
      </c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2"/>
      <c r="AJ89" s="170"/>
      <c r="AK89" s="140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41"/>
    </row>
    <row r="90" spans="2:61" ht="20.100000000000001" customHeight="1" x14ac:dyDescent="0.45">
      <c r="B90" s="168"/>
      <c r="C90" s="31"/>
      <c r="D90" s="31"/>
      <c r="E90" s="31"/>
      <c r="F90" s="31"/>
      <c r="G90" s="138"/>
      <c r="H90" s="139"/>
      <c r="I90" s="138"/>
      <c r="J90" s="169" t="s">
        <v>309</v>
      </c>
      <c r="K90" s="52"/>
      <c r="L90" s="52"/>
      <c r="M90" s="52"/>
      <c r="N90" s="52"/>
      <c r="O90" s="52"/>
      <c r="P90" s="52"/>
      <c r="Q90" s="52"/>
      <c r="R90" s="169">
        <v>0</v>
      </c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2"/>
      <c r="AJ90" s="170"/>
      <c r="AK90" s="140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141"/>
    </row>
    <row r="91" spans="2:61" ht="20.100000000000001" customHeight="1" x14ac:dyDescent="0.45">
      <c r="B91" s="168"/>
      <c r="C91" s="31"/>
      <c r="D91" s="31"/>
      <c r="E91" s="31"/>
      <c r="F91" s="31"/>
      <c r="G91" s="138"/>
      <c r="H91" s="139"/>
      <c r="I91" s="138"/>
      <c r="J91" s="169" t="s">
        <v>333</v>
      </c>
      <c r="K91" s="52"/>
      <c r="L91" s="52"/>
      <c r="M91" s="52"/>
      <c r="N91" s="52"/>
      <c r="O91" s="52"/>
      <c r="P91" s="52"/>
      <c r="Q91" s="52"/>
      <c r="R91" s="169" t="s">
        <v>284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70"/>
      <c r="AK91" s="140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41"/>
    </row>
    <row r="92" spans="2:61" ht="20.100000000000001" customHeight="1" x14ac:dyDescent="0.45">
      <c r="B92" s="168"/>
      <c r="C92" s="31"/>
      <c r="D92" s="31"/>
      <c r="E92" s="31"/>
      <c r="F92" s="31"/>
      <c r="G92" s="138"/>
      <c r="H92" s="139"/>
      <c r="I92" s="138"/>
      <c r="J92" s="169" t="s">
        <v>305</v>
      </c>
      <c r="K92" s="52"/>
      <c r="L92" s="52"/>
      <c r="M92" s="52"/>
      <c r="N92" s="52"/>
      <c r="O92" s="52"/>
      <c r="P92" s="52"/>
      <c r="Q92" s="52"/>
      <c r="R92" s="169" t="s">
        <v>303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70"/>
      <c r="AK92" s="140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41"/>
    </row>
    <row r="93" spans="2:61" ht="20.100000000000001" customHeight="1" x14ac:dyDescent="0.45">
      <c r="B93" s="168"/>
      <c r="C93" s="31"/>
      <c r="D93" s="31"/>
      <c r="E93" s="31"/>
      <c r="F93" s="31"/>
      <c r="G93" s="138"/>
      <c r="H93" s="139"/>
      <c r="I93" s="138"/>
      <c r="J93" s="169" t="s">
        <v>334</v>
      </c>
      <c r="K93" s="52"/>
      <c r="L93" s="52"/>
      <c r="M93" s="52"/>
      <c r="N93" s="52"/>
      <c r="O93" s="52"/>
      <c r="P93" s="52"/>
      <c r="Q93" s="52"/>
      <c r="R93" s="169" t="s">
        <v>285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70"/>
      <c r="AK93" s="140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41"/>
    </row>
    <row r="94" spans="2:61" ht="20.100000000000001" customHeight="1" x14ac:dyDescent="0.45">
      <c r="B94" s="168"/>
      <c r="C94" s="31"/>
      <c r="D94" s="31"/>
      <c r="E94" s="31"/>
      <c r="F94" s="31"/>
      <c r="G94" s="138"/>
      <c r="H94" s="139"/>
      <c r="I94" s="138"/>
      <c r="J94" s="169" t="s">
        <v>335</v>
      </c>
      <c r="K94" s="52"/>
      <c r="L94" s="52"/>
      <c r="M94" s="52"/>
      <c r="N94" s="52"/>
      <c r="O94" s="52"/>
      <c r="P94" s="52"/>
      <c r="Q94" s="52"/>
      <c r="R94" s="169" t="s">
        <v>286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70"/>
      <c r="AK94" s="140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41"/>
    </row>
    <row r="95" spans="2:61" ht="20.100000000000001" customHeight="1" x14ac:dyDescent="0.45">
      <c r="B95" s="168"/>
      <c r="C95" s="31"/>
      <c r="D95" s="31"/>
      <c r="E95" s="31"/>
      <c r="F95" s="31"/>
      <c r="G95" s="138"/>
      <c r="H95" s="139"/>
      <c r="I95" s="138"/>
      <c r="J95" s="169" t="s">
        <v>336</v>
      </c>
      <c r="K95" s="52"/>
      <c r="L95" s="52"/>
      <c r="M95" s="52"/>
      <c r="N95" s="52"/>
      <c r="O95" s="52"/>
      <c r="P95" s="52"/>
      <c r="Q95" s="52"/>
      <c r="R95" s="169" t="s">
        <v>287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70"/>
      <c r="AK95" s="140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41"/>
    </row>
    <row r="96" spans="2:61" ht="20.100000000000001" customHeight="1" x14ac:dyDescent="0.45">
      <c r="B96" s="168"/>
      <c r="C96" s="31"/>
      <c r="D96" s="31"/>
      <c r="E96" s="31"/>
      <c r="F96" s="31"/>
      <c r="G96" s="138"/>
      <c r="H96" s="139"/>
      <c r="I96" s="138"/>
      <c r="J96" s="169" t="s">
        <v>337</v>
      </c>
      <c r="K96" s="52"/>
      <c r="L96" s="52"/>
      <c r="M96" s="52"/>
      <c r="N96" s="52"/>
      <c r="O96" s="52"/>
      <c r="P96" s="52"/>
      <c r="Q96" s="52"/>
      <c r="R96" s="169" t="s">
        <v>288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70"/>
      <c r="AK96" s="140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41"/>
    </row>
    <row r="97" spans="2:61" ht="20.100000000000001" customHeight="1" x14ac:dyDescent="0.45">
      <c r="B97" s="168"/>
      <c r="C97" s="31"/>
      <c r="D97" s="31"/>
      <c r="E97" s="31"/>
      <c r="F97" s="31"/>
      <c r="G97" s="138"/>
      <c r="H97" s="139"/>
      <c r="I97" s="138"/>
      <c r="J97" s="169" t="s">
        <v>338</v>
      </c>
      <c r="K97" s="52"/>
      <c r="L97" s="52"/>
      <c r="M97" s="52"/>
      <c r="N97" s="52"/>
      <c r="O97" s="52"/>
      <c r="P97" s="52"/>
      <c r="Q97" s="52"/>
      <c r="R97" s="169" t="s">
        <v>289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70"/>
      <c r="AK97" s="140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41"/>
    </row>
    <row r="98" spans="2:61" ht="20.100000000000001" customHeight="1" x14ac:dyDescent="0.45">
      <c r="B98" s="168"/>
      <c r="C98" s="31"/>
      <c r="D98" s="31"/>
      <c r="E98" s="31"/>
      <c r="F98" s="31"/>
      <c r="G98" s="138"/>
      <c r="H98" s="139"/>
      <c r="I98" s="138"/>
      <c r="J98" s="169" t="s">
        <v>339</v>
      </c>
      <c r="K98" s="52"/>
      <c r="L98" s="52"/>
      <c r="M98" s="52"/>
      <c r="N98" s="52"/>
      <c r="O98" s="52"/>
      <c r="P98" s="52"/>
      <c r="Q98" s="52"/>
      <c r="R98" s="169" t="s">
        <v>630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70"/>
      <c r="AK98" s="140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41"/>
    </row>
    <row r="99" spans="2:61" ht="20.100000000000001" customHeight="1" x14ac:dyDescent="0.45">
      <c r="B99" s="168"/>
      <c r="C99" s="31"/>
      <c r="D99" s="31"/>
      <c r="E99" s="31"/>
      <c r="F99" s="31"/>
      <c r="G99" s="138"/>
      <c r="H99" s="139"/>
      <c r="I99" s="138"/>
      <c r="J99" s="142" t="s">
        <v>340</v>
      </c>
      <c r="K99" s="55"/>
      <c r="L99" s="55"/>
      <c r="M99" s="55"/>
      <c r="N99" s="55"/>
      <c r="O99" s="55"/>
      <c r="P99" s="55"/>
      <c r="Q99" s="55"/>
      <c r="R99" s="142" t="s">
        <v>291</v>
      </c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175"/>
      <c r="AK99" s="140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41"/>
    </row>
    <row r="100" spans="2:61" ht="20.100000000000001" customHeight="1" x14ac:dyDescent="0.45">
      <c r="B100" s="168"/>
      <c r="C100" s="31"/>
      <c r="D100" s="31"/>
      <c r="E100" s="31"/>
      <c r="F100" s="31"/>
      <c r="G100" s="138"/>
      <c r="H100" s="142" t="s">
        <v>145</v>
      </c>
      <c r="I100" s="55"/>
      <c r="J100" s="142" t="s">
        <v>359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143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5"/>
      <c r="BD100" s="55"/>
      <c r="BE100" s="55"/>
      <c r="BF100" s="55"/>
      <c r="BG100" s="55"/>
      <c r="BH100" s="55"/>
      <c r="BI100" s="144"/>
    </row>
    <row r="101" spans="2:61" ht="20.100000000000001" customHeight="1" x14ac:dyDescent="0.45">
      <c r="B101" s="137"/>
      <c r="C101" s="31"/>
      <c r="D101" s="31"/>
      <c r="E101" s="31"/>
      <c r="F101" s="31"/>
      <c r="G101" s="138"/>
      <c r="H101" s="139"/>
      <c r="I101" s="31"/>
      <c r="J101" s="139" t="s">
        <v>360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140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41"/>
    </row>
    <row r="102" spans="2:61" ht="20.100000000000001" customHeight="1" x14ac:dyDescent="0.45">
      <c r="B102" s="137"/>
      <c r="C102" s="31"/>
      <c r="D102" s="31"/>
      <c r="E102" s="31"/>
      <c r="F102" s="31"/>
      <c r="G102" s="138"/>
      <c r="H102" s="139"/>
      <c r="I102" s="31"/>
      <c r="J102" s="139" t="s">
        <v>361</v>
      </c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140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141"/>
    </row>
    <row r="103" spans="2:61" ht="20.100000000000001" customHeight="1" x14ac:dyDescent="0.45">
      <c r="B103" s="137"/>
      <c r="C103" s="31"/>
      <c r="D103" s="31"/>
      <c r="E103" s="31"/>
      <c r="F103" s="31"/>
      <c r="G103" s="138"/>
      <c r="H103" s="139"/>
      <c r="I103" s="31"/>
      <c r="J103" s="139" t="s">
        <v>362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40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41"/>
    </row>
    <row r="104" spans="2:61" ht="20.100000000000001" customHeight="1" x14ac:dyDescent="0.45">
      <c r="B104" s="137"/>
      <c r="C104" s="31"/>
      <c r="D104" s="31"/>
      <c r="E104" s="31"/>
      <c r="F104" s="31"/>
      <c r="G104" s="138"/>
      <c r="H104" s="139"/>
      <c r="I104" s="31"/>
      <c r="J104" s="139" t="s">
        <v>363</v>
      </c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40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41"/>
    </row>
    <row r="105" spans="2:61" ht="20.100000000000001" customHeight="1" x14ac:dyDescent="0.45">
      <c r="B105" s="137"/>
      <c r="C105" s="31"/>
      <c r="D105" s="31"/>
      <c r="E105" s="31"/>
      <c r="F105" s="31"/>
      <c r="G105" s="138"/>
      <c r="H105" s="142" t="s">
        <v>146</v>
      </c>
      <c r="I105" s="55"/>
      <c r="J105" s="142" t="s">
        <v>174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143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5"/>
      <c r="BD105" s="55"/>
      <c r="BE105" s="55"/>
      <c r="BF105" s="55"/>
      <c r="BG105" s="55"/>
      <c r="BH105" s="55"/>
      <c r="BI105" s="144"/>
    </row>
    <row r="106" spans="2:61" ht="20.100000000000001" customHeight="1" x14ac:dyDescent="0.45">
      <c r="B106" s="137"/>
      <c r="C106" s="31"/>
      <c r="D106" s="31"/>
      <c r="E106" s="31"/>
      <c r="F106" s="31"/>
      <c r="G106" s="138"/>
      <c r="H106" s="139"/>
      <c r="I106" s="31"/>
      <c r="J106" s="139"/>
      <c r="K106" s="31" t="s">
        <v>175</v>
      </c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40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41"/>
    </row>
    <row r="107" spans="2:61" ht="20.100000000000001" customHeight="1" x14ac:dyDescent="0.45">
      <c r="B107" s="137"/>
      <c r="C107" s="31"/>
      <c r="D107" s="31"/>
      <c r="E107" s="31"/>
      <c r="F107" s="31"/>
      <c r="G107" s="138"/>
      <c r="H107" s="139"/>
      <c r="I107" s="31"/>
      <c r="J107" s="139"/>
      <c r="K107" s="31"/>
      <c r="M107" s="31" t="s">
        <v>212</v>
      </c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40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41"/>
    </row>
    <row r="108" spans="2:61" ht="20.100000000000001" customHeight="1" x14ac:dyDescent="0.45">
      <c r="B108" s="137"/>
      <c r="C108" s="31"/>
      <c r="D108" s="31"/>
      <c r="E108" s="31"/>
      <c r="F108" s="31"/>
      <c r="G108" s="138"/>
      <c r="H108" s="139"/>
      <c r="I108" s="31"/>
      <c r="J108" s="139" t="s">
        <v>174</v>
      </c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40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41"/>
    </row>
    <row r="109" spans="2:61" ht="20.100000000000001" customHeight="1" x14ac:dyDescent="0.45">
      <c r="B109" s="137"/>
      <c r="C109" s="31"/>
      <c r="D109" s="31"/>
      <c r="E109" s="31"/>
      <c r="F109" s="31"/>
      <c r="G109" s="138"/>
      <c r="H109" s="139"/>
      <c r="I109" s="31"/>
      <c r="J109" s="139"/>
      <c r="K109" s="31" t="s">
        <v>203</v>
      </c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40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41"/>
    </row>
    <row r="110" spans="2:61" ht="20.100000000000001" customHeight="1" x14ac:dyDescent="0.45">
      <c r="B110" s="137"/>
      <c r="C110" s="31"/>
      <c r="D110" s="31"/>
      <c r="E110" s="31"/>
      <c r="F110" s="31"/>
      <c r="G110" s="138"/>
      <c r="H110" s="139"/>
      <c r="I110" s="31"/>
      <c r="J110" s="139"/>
      <c r="K110" s="31"/>
      <c r="M110" s="31" t="s">
        <v>219</v>
      </c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40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41"/>
    </row>
    <row r="111" spans="2:61" ht="20.100000000000001" customHeight="1" x14ac:dyDescent="0.45">
      <c r="B111" s="137"/>
      <c r="C111" s="31"/>
      <c r="D111" s="31"/>
      <c r="E111" s="31"/>
      <c r="F111" s="31"/>
      <c r="G111" s="138"/>
      <c r="H111" s="139"/>
      <c r="I111" s="31"/>
      <c r="J111" s="139" t="s">
        <v>174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40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41"/>
    </row>
    <row r="112" spans="2:61" ht="20.100000000000001" customHeight="1" x14ac:dyDescent="0.45">
      <c r="B112" s="137"/>
      <c r="C112" s="31"/>
      <c r="D112" s="31"/>
      <c r="E112" s="31"/>
      <c r="F112" s="31"/>
      <c r="G112" s="138"/>
      <c r="H112" s="139"/>
      <c r="I112" s="31"/>
      <c r="J112" s="139"/>
      <c r="K112" s="6" t="s">
        <v>167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40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41"/>
    </row>
    <row r="113" spans="2:61" ht="20.100000000000001" customHeight="1" x14ac:dyDescent="0.45">
      <c r="B113" s="137"/>
      <c r="C113" s="31"/>
      <c r="D113" s="31"/>
      <c r="E113" s="31"/>
      <c r="F113" s="31"/>
      <c r="G113" s="138"/>
      <c r="H113" s="139"/>
      <c r="I113" s="31"/>
      <c r="J113" s="139"/>
      <c r="L113" s="31"/>
      <c r="M113" s="31" t="s">
        <v>226</v>
      </c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40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41"/>
    </row>
    <row r="114" spans="2:61" ht="20.100000000000001" customHeight="1" x14ac:dyDescent="0.45">
      <c r="B114" s="137"/>
      <c r="C114" s="31"/>
      <c r="D114" s="31"/>
      <c r="E114" s="31"/>
      <c r="F114" s="31"/>
      <c r="G114" s="138"/>
      <c r="H114" s="139"/>
      <c r="I114" s="31"/>
      <c r="J114" s="139" t="s">
        <v>178</v>
      </c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40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41"/>
    </row>
    <row r="115" spans="2:61" ht="20.100000000000001" customHeight="1" x14ac:dyDescent="0.45">
      <c r="B115" s="137"/>
      <c r="C115" s="31"/>
      <c r="D115" s="31"/>
      <c r="E115" s="31"/>
      <c r="F115" s="31"/>
      <c r="G115" s="138"/>
      <c r="H115" s="139"/>
      <c r="I115" s="31"/>
      <c r="J115" s="139"/>
      <c r="K115" s="31" t="s">
        <v>179</v>
      </c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40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41"/>
    </row>
    <row r="116" spans="2:61" ht="20.100000000000001" customHeight="1" x14ac:dyDescent="0.45">
      <c r="B116" s="137"/>
      <c r="C116" s="31"/>
      <c r="D116" s="31"/>
      <c r="E116" s="31"/>
      <c r="F116" s="31"/>
      <c r="G116" s="138"/>
      <c r="H116" s="139"/>
      <c r="I116" s="31"/>
      <c r="J116" s="139"/>
      <c r="L116" s="31"/>
      <c r="M116" s="31" t="s">
        <v>228</v>
      </c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40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41"/>
    </row>
    <row r="117" spans="2:61" ht="20.100000000000001" customHeight="1" x14ac:dyDescent="0.45">
      <c r="B117" s="137"/>
      <c r="C117" s="31"/>
      <c r="D117" s="31"/>
      <c r="E117" s="31"/>
      <c r="F117" s="31"/>
      <c r="G117" s="138"/>
      <c r="H117" s="139"/>
      <c r="I117" s="31"/>
      <c r="J117" s="139"/>
      <c r="L117" s="31" t="s">
        <v>180</v>
      </c>
      <c r="M117" s="31" t="s">
        <v>229</v>
      </c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140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41"/>
    </row>
    <row r="118" spans="2:61" ht="20.100000000000001" customHeight="1" x14ac:dyDescent="0.45">
      <c r="B118" s="137"/>
      <c r="C118" s="31"/>
      <c r="D118" s="31"/>
      <c r="E118" s="31"/>
      <c r="F118" s="31"/>
      <c r="G118" s="138"/>
      <c r="H118" s="142" t="s">
        <v>147</v>
      </c>
      <c r="I118" s="55"/>
      <c r="J118" s="142"/>
      <c r="K118" s="55" t="s">
        <v>209</v>
      </c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143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5"/>
      <c r="BD118" s="55"/>
      <c r="BE118" s="55"/>
      <c r="BF118" s="55"/>
      <c r="BG118" s="55"/>
      <c r="BH118" s="55"/>
      <c r="BI118" s="144"/>
    </row>
    <row r="119" spans="2:61" ht="20.100000000000001" customHeight="1" x14ac:dyDescent="0.45">
      <c r="B119" s="137"/>
      <c r="C119" s="31"/>
      <c r="D119" s="31"/>
      <c r="E119" s="31"/>
      <c r="F119" s="31"/>
      <c r="G119" s="138"/>
      <c r="H119" s="139"/>
      <c r="I119" s="31"/>
      <c r="J119" s="139" t="s">
        <v>180</v>
      </c>
      <c r="K119" s="31" t="s">
        <v>213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39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41"/>
    </row>
    <row r="120" spans="2:61" ht="20.100000000000001" customHeight="1" x14ac:dyDescent="0.45">
      <c r="B120" s="137"/>
      <c r="C120" s="31"/>
      <c r="D120" s="31"/>
      <c r="E120" s="31"/>
      <c r="F120" s="31"/>
      <c r="G120" s="138"/>
      <c r="H120" s="139"/>
      <c r="I120" s="31"/>
      <c r="J120" s="139" t="s">
        <v>180</v>
      </c>
      <c r="K120" s="31" t="s">
        <v>227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39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41"/>
    </row>
    <row r="121" spans="2:61" ht="20.100000000000001" customHeight="1" thickBot="1" x14ac:dyDescent="0.5">
      <c r="B121" s="137"/>
      <c r="C121" s="31"/>
      <c r="D121" s="31"/>
      <c r="E121" s="31"/>
      <c r="F121" s="31"/>
      <c r="G121" s="138"/>
      <c r="H121" s="139"/>
      <c r="I121" s="31"/>
      <c r="J121" s="139" t="s">
        <v>180</v>
      </c>
      <c r="K121" s="31" t="s">
        <v>220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40" t="s">
        <v>192</v>
      </c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41"/>
    </row>
    <row r="122" spans="2:61" ht="20.100000000000001" customHeight="1" x14ac:dyDescent="0.45">
      <c r="B122" s="131" t="s">
        <v>380</v>
      </c>
      <c r="C122" s="132"/>
      <c r="D122" s="132"/>
      <c r="E122" s="132"/>
      <c r="F122" s="132"/>
      <c r="G122" s="133"/>
      <c r="H122" s="134" t="s">
        <v>237</v>
      </c>
      <c r="I122" s="133"/>
      <c r="J122" s="173" t="s">
        <v>311</v>
      </c>
      <c r="K122" s="166"/>
      <c r="L122" s="166"/>
      <c r="M122" s="166"/>
      <c r="N122" s="166"/>
      <c r="O122" s="166"/>
      <c r="P122" s="166"/>
      <c r="Q122" s="166"/>
      <c r="R122" s="173" t="s">
        <v>262</v>
      </c>
      <c r="S122" s="166"/>
      <c r="T122" s="166"/>
      <c r="U122" s="166"/>
      <c r="V122" s="166"/>
      <c r="W122" s="166"/>
      <c r="X122" s="166"/>
      <c r="Y122" s="166"/>
      <c r="Z122" s="166"/>
      <c r="AA122" s="166"/>
      <c r="AB122" s="166"/>
      <c r="AC122" s="166"/>
      <c r="AD122" s="166"/>
      <c r="AE122" s="166"/>
      <c r="AF122" s="166"/>
      <c r="AG122" s="166"/>
      <c r="AH122" s="166"/>
      <c r="AI122" s="166"/>
      <c r="AJ122" s="167"/>
      <c r="AK122" s="135"/>
      <c r="AL122" s="132"/>
      <c r="AM122" s="132"/>
      <c r="AN122" s="132"/>
      <c r="AO122" s="132"/>
      <c r="AP122" s="132"/>
      <c r="AQ122" s="132"/>
      <c r="AR122" s="132"/>
      <c r="AS122" s="132"/>
      <c r="AT122" s="132"/>
      <c r="AU122" s="132"/>
      <c r="AV122" s="132"/>
      <c r="AW122" s="132"/>
      <c r="AX122" s="132"/>
      <c r="AY122" s="132"/>
      <c r="AZ122" s="132"/>
      <c r="BA122" s="132"/>
      <c r="BB122" s="132"/>
      <c r="BC122" s="132"/>
      <c r="BD122" s="132"/>
      <c r="BE122" s="132"/>
      <c r="BF122" s="132"/>
      <c r="BG122" s="132"/>
      <c r="BH122" s="132"/>
      <c r="BI122" s="136"/>
    </row>
    <row r="123" spans="2:61" ht="20.100000000000001" customHeight="1" x14ac:dyDescent="0.45">
      <c r="B123" s="168"/>
      <c r="C123" s="31"/>
      <c r="D123" s="31"/>
      <c r="E123" s="31"/>
      <c r="F123" s="31"/>
      <c r="G123" s="138"/>
      <c r="H123" s="139"/>
      <c r="I123" s="138"/>
      <c r="J123" s="169" t="s">
        <v>294</v>
      </c>
      <c r="K123" s="52"/>
      <c r="L123" s="52"/>
      <c r="M123" s="52"/>
      <c r="N123" s="52"/>
      <c r="O123" s="52"/>
      <c r="P123" s="52"/>
      <c r="Q123" s="52"/>
      <c r="R123" s="169" t="s">
        <v>292</v>
      </c>
      <c r="S123" s="52"/>
      <c r="T123" s="52"/>
      <c r="U123" s="52"/>
      <c r="V123" s="52"/>
      <c r="W123" s="52"/>
      <c r="X123" s="52"/>
      <c r="Y123" s="52"/>
      <c r="Z123" s="52"/>
      <c r="AA123" s="52"/>
      <c r="AB123" s="52"/>
      <c r="AC123" s="52"/>
      <c r="AD123" s="52"/>
      <c r="AE123" s="52"/>
      <c r="AF123" s="52"/>
      <c r="AG123" s="52"/>
      <c r="AH123" s="52"/>
      <c r="AI123" s="52"/>
      <c r="AJ123" s="170"/>
      <c r="AK123" s="140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141"/>
    </row>
    <row r="124" spans="2:61" ht="20.100000000000001" customHeight="1" x14ac:dyDescent="0.45">
      <c r="B124" s="168"/>
      <c r="C124" s="31"/>
      <c r="D124" s="31"/>
      <c r="E124" s="31"/>
      <c r="F124" s="31"/>
      <c r="G124" s="138"/>
      <c r="H124" s="139"/>
      <c r="I124" s="138"/>
      <c r="J124" s="169" t="s">
        <v>314</v>
      </c>
      <c r="K124" s="52"/>
      <c r="L124" s="52"/>
      <c r="M124" s="52"/>
      <c r="N124" s="52"/>
      <c r="O124" s="52"/>
      <c r="P124" s="52"/>
      <c r="Q124" s="52"/>
      <c r="R124" s="169" t="s">
        <v>312</v>
      </c>
      <c r="S124" s="52"/>
      <c r="T124" s="52"/>
      <c r="U124" s="52"/>
      <c r="V124" s="52"/>
      <c r="W124" s="52"/>
      <c r="X124" s="52"/>
      <c r="Y124" s="52"/>
      <c r="Z124" s="52"/>
      <c r="AA124" s="52"/>
      <c r="AB124" s="52"/>
      <c r="AC124" s="52"/>
      <c r="AD124" s="52"/>
      <c r="AE124" s="52"/>
      <c r="AF124" s="52"/>
      <c r="AG124" s="52"/>
      <c r="AH124" s="52"/>
      <c r="AI124" s="52"/>
      <c r="AJ124" s="170"/>
      <c r="AK124" s="140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41"/>
    </row>
    <row r="125" spans="2:61" ht="20.100000000000001" customHeight="1" x14ac:dyDescent="0.45">
      <c r="B125" s="168"/>
      <c r="C125" s="31"/>
      <c r="D125" s="31"/>
      <c r="E125" s="31"/>
      <c r="F125" s="31"/>
      <c r="G125" s="138"/>
      <c r="H125" s="139"/>
      <c r="I125" s="138"/>
      <c r="J125" s="169" t="s">
        <v>315</v>
      </c>
      <c r="K125" s="52"/>
      <c r="L125" s="52"/>
      <c r="M125" s="52"/>
      <c r="N125" s="52"/>
      <c r="O125" s="52"/>
      <c r="P125" s="52"/>
      <c r="Q125" s="52"/>
      <c r="R125" s="169" t="s">
        <v>263</v>
      </c>
      <c r="S125" s="52"/>
      <c r="T125" s="52"/>
      <c r="U125" s="52"/>
      <c r="V125" s="52"/>
      <c r="W125" s="52"/>
      <c r="X125" s="52"/>
      <c r="Y125" s="52"/>
      <c r="Z125" s="52"/>
      <c r="AA125" s="52"/>
      <c r="AB125" s="52"/>
      <c r="AC125" s="52"/>
      <c r="AD125" s="52"/>
      <c r="AE125" s="52"/>
      <c r="AF125" s="52"/>
      <c r="AG125" s="52"/>
      <c r="AH125" s="52"/>
      <c r="AI125" s="52"/>
      <c r="AJ125" s="170"/>
      <c r="AK125" s="140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141"/>
    </row>
    <row r="126" spans="2:61" ht="20.100000000000001" customHeight="1" x14ac:dyDescent="0.45">
      <c r="B126" s="168"/>
      <c r="C126" s="31"/>
      <c r="D126" s="31"/>
      <c r="E126" s="31"/>
      <c r="F126" s="31"/>
      <c r="G126" s="138"/>
      <c r="H126" s="139"/>
      <c r="I126" s="138"/>
      <c r="J126" s="169" t="s">
        <v>316</v>
      </c>
      <c r="K126" s="52"/>
      <c r="L126" s="52"/>
      <c r="M126" s="52"/>
      <c r="N126" s="52"/>
      <c r="O126" s="52"/>
      <c r="P126" s="52"/>
      <c r="Q126" s="52"/>
      <c r="R126" s="169" t="s">
        <v>264</v>
      </c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70"/>
      <c r="AK126" s="140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41"/>
    </row>
    <row r="127" spans="2:61" ht="20.100000000000001" customHeight="1" x14ac:dyDescent="0.45">
      <c r="B127" s="168"/>
      <c r="C127" s="31"/>
      <c r="D127" s="31"/>
      <c r="E127" s="31"/>
      <c r="F127" s="31"/>
      <c r="G127" s="138"/>
      <c r="H127" s="139"/>
      <c r="I127" s="138"/>
      <c r="J127" s="169" t="s">
        <v>317</v>
      </c>
      <c r="K127" s="52"/>
      <c r="L127" s="52"/>
      <c r="M127" s="52"/>
      <c r="N127" s="52"/>
      <c r="O127" s="52"/>
      <c r="P127" s="52"/>
      <c r="Q127" s="52"/>
      <c r="R127" s="169" t="s">
        <v>265</v>
      </c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70"/>
      <c r="AK127" s="140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41"/>
    </row>
    <row r="128" spans="2:61" ht="20.100000000000001" customHeight="1" x14ac:dyDescent="0.45">
      <c r="B128" s="168"/>
      <c r="C128" s="31"/>
      <c r="D128" s="31"/>
      <c r="E128" s="31"/>
      <c r="F128" s="31"/>
      <c r="G128" s="138"/>
      <c r="H128" s="139"/>
      <c r="I128" s="138"/>
      <c r="J128" s="169" t="s">
        <v>318</v>
      </c>
      <c r="K128" s="52"/>
      <c r="L128" s="52"/>
      <c r="M128" s="52"/>
      <c r="N128" s="52"/>
      <c r="O128" s="52"/>
      <c r="P128" s="52"/>
      <c r="Q128" s="52"/>
      <c r="R128" s="169" t="s">
        <v>266</v>
      </c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70"/>
      <c r="AK128" s="140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41"/>
    </row>
    <row r="129" spans="2:61" ht="20.100000000000001" customHeight="1" x14ac:dyDescent="0.45">
      <c r="B129" s="168"/>
      <c r="C129" s="31"/>
      <c r="D129" s="31"/>
      <c r="E129" s="31"/>
      <c r="F129" s="31"/>
      <c r="G129" s="138"/>
      <c r="H129" s="139"/>
      <c r="I129" s="138"/>
      <c r="J129" s="169" t="s">
        <v>319</v>
      </c>
      <c r="K129" s="52"/>
      <c r="L129" s="52"/>
      <c r="M129" s="52"/>
      <c r="N129" s="52"/>
      <c r="O129" s="52"/>
      <c r="P129" s="52"/>
      <c r="Q129" s="52"/>
      <c r="R129" s="169" t="s">
        <v>267</v>
      </c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70"/>
      <c r="AK129" s="140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41"/>
    </row>
    <row r="130" spans="2:61" ht="20.100000000000001" customHeight="1" x14ac:dyDescent="0.45">
      <c r="B130" s="168"/>
      <c r="C130" s="31"/>
      <c r="D130" s="31"/>
      <c r="E130" s="31"/>
      <c r="F130" s="31"/>
      <c r="G130" s="138"/>
      <c r="H130" s="139"/>
      <c r="I130" s="138"/>
      <c r="J130" s="169" t="s">
        <v>320</v>
      </c>
      <c r="K130" s="52"/>
      <c r="L130" s="52"/>
      <c r="M130" s="52"/>
      <c r="N130" s="52"/>
      <c r="O130" s="52"/>
      <c r="P130" s="52"/>
      <c r="Q130" s="52"/>
      <c r="R130" s="169" t="s">
        <v>268</v>
      </c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70"/>
      <c r="AK130" s="140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41"/>
    </row>
    <row r="131" spans="2:61" ht="20.100000000000001" customHeight="1" x14ac:dyDescent="0.45">
      <c r="B131" s="168"/>
      <c r="C131" s="31"/>
      <c r="D131" s="31"/>
      <c r="E131" s="31"/>
      <c r="F131" s="31"/>
      <c r="G131" s="138"/>
      <c r="H131" s="139"/>
      <c r="I131" s="138"/>
      <c r="J131" s="169" t="s">
        <v>321</v>
      </c>
      <c r="K131" s="52"/>
      <c r="L131" s="52"/>
      <c r="M131" s="52"/>
      <c r="N131" s="52"/>
      <c r="O131" s="52"/>
      <c r="P131" s="52"/>
      <c r="Q131" s="52"/>
      <c r="R131" s="169" t="s">
        <v>269</v>
      </c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70"/>
      <c r="AK131" s="140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41"/>
    </row>
    <row r="132" spans="2:61" ht="20.100000000000001" customHeight="1" x14ac:dyDescent="0.45">
      <c r="B132" s="168"/>
      <c r="C132" s="31"/>
      <c r="D132" s="31"/>
      <c r="E132" s="31"/>
      <c r="F132" s="31"/>
      <c r="G132" s="138"/>
      <c r="H132" s="139"/>
      <c r="I132" s="138"/>
      <c r="J132" s="169" t="s">
        <v>322</v>
      </c>
      <c r="K132" s="52"/>
      <c r="L132" s="52"/>
      <c r="M132" s="52"/>
      <c r="N132" s="52"/>
      <c r="O132" s="52"/>
      <c r="P132" s="52"/>
      <c r="Q132" s="52"/>
      <c r="R132" s="169" t="s">
        <v>270</v>
      </c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70"/>
      <c r="AK132" s="140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41"/>
    </row>
    <row r="133" spans="2:61" ht="20.100000000000001" customHeight="1" x14ac:dyDescent="0.45">
      <c r="B133" s="168"/>
      <c r="C133" s="31"/>
      <c r="D133" s="31"/>
      <c r="E133" s="31"/>
      <c r="F133" s="31"/>
      <c r="G133" s="138"/>
      <c r="H133" s="139"/>
      <c r="I133" s="138"/>
      <c r="J133" s="169" t="s">
        <v>323</v>
      </c>
      <c r="K133" s="52"/>
      <c r="L133" s="52"/>
      <c r="M133" s="52"/>
      <c r="N133" s="52"/>
      <c r="O133" s="52"/>
      <c r="P133" s="52"/>
      <c r="Q133" s="52"/>
      <c r="R133" s="169" t="s">
        <v>271</v>
      </c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70"/>
      <c r="AK133" s="140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41"/>
    </row>
    <row r="134" spans="2:61" ht="20.100000000000001" customHeight="1" x14ac:dyDescent="0.45">
      <c r="B134" s="168"/>
      <c r="C134" s="31"/>
      <c r="D134" s="31"/>
      <c r="E134" s="31"/>
      <c r="F134" s="31"/>
      <c r="G134" s="138"/>
      <c r="H134" s="139"/>
      <c r="I134" s="138"/>
      <c r="J134" s="169" t="s">
        <v>324</v>
      </c>
      <c r="K134" s="52"/>
      <c r="L134" s="52"/>
      <c r="M134" s="52"/>
      <c r="N134" s="52"/>
      <c r="O134" s="52"/>
      <c r="P134" s="52"/>
      <c r="Q134" s="52"/>
      <c r="R134" s="169" t="s">
        <v>272</v>
      </c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70"/>
      <c r="AK134" s="140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41"/>
    </row>
    <row r="135" spans="2:61" ht="20.100000000000001" customHeight="1" x14ac:dyDescent="0.45">
      <c r="B135" s="168"/>
      <c r="C135" s="31"/>
      <c r="D135" s="31"/>
      <c r="E135" s="31"/>
      <c r="F135" s="31"/>
      <c r="G135" s="138"/>
      <c r="H135" s="139"/>
      <c r="I135" s="138"/>
      <c r="J135" s="169" t="s">
        <v>325</v>
      </c>
      <c r="K135" s="52"/>
      <c r="L135" s="52"/>
      <c r="M135" s="52"/>
      <c r="N135" s="52"/>
      <c r="O135" s="52"/>
      <c r="P135" s="52"/>
      <c r="Q135" s="52"/>
      <c r="R135" s="169" t="s">
        <v>273</v>
      </c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70"/>
      <c r="AK135" s="140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41"/>
    </row>
    <row r="136" spans="2:61" ht="20.100000000000001" customHeight="1" x14ac:dyDescent="0.45">
      <c r="B136" s="168"/>
      <c r="C136" s="31"/>
      <c r="D136" s="31"/>
      <c r="E136" s="31"/>
      <c r="F136" s="31"/>
      <c r="G136" s="138"/>
      <c r="H136" s="139"/>
      <c r="I136" s="138"/>
      <c r="J136" s="169" t="s">
        <v>326</v>
      </c>
      <c r="K136" s="52"/>
      <c r="L136" s="52"/>
      <c r="M136" s="52"/>
      <c r="N136" s="52"/>
      <c r="O136" s="52"/>
      <c r="P136" s="52"/>
      <c r="Q136" s="52"/>
      <c r="R136" s="169" t="s">
        <v>274</v>
      </c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70"/>
      <c r="AK136" s="140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41"/>
    </row>
    <row r="137" spans="2:61" ht="20.100000000000001" customHeight="1" x14ac:dyDescent="0.45">
      <c r="B137" s="168"/>
      <c r="C137" s="31"/>
      <c r="D137" s="31"/>
      <c r="E137" s="31"/>
      <c r="F137" s="31"/>
      <c r="G137" s="138"/>
      <c r="H137" s="139"/>
      <c r="I137" s="138"/>
      <c r="J137" s="169" t="s">
        <v>327</v>
      </c>
      <c r="K137" s="52"/>
      <c r="L137" s="52"/>
      <c r="M137" s="52"/>
      <c r="N137" s="52"/>
      <c r="O137" s="52"/>
      <c r="P137" s="52"/>
      <c r="Q137" s="52"/>
      <c r="R137" s="169" t="s">
        <v>275</v>
      </c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70"/>
      <c r="AK137" s="140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41"/>
    </row>
    <row r="138" spans="2:61" ht="20.100000000000001" customHeight="1" x14ac:dyDescent="0.45">
      <c r="B138" s="168"/>
      <c r="C138" s="31"/>
      <c r="D138" s="31"/>
      <c r="E138" s="31"/>
      <c r="F138" s="31"/>
      <c r="G138" s="138"/>
      <c r="H138" s="139"/>
      <c r="I138" s="138"/>
      <c r="J138" s="169" t="s">
        <v>296</v>
      </c>
      <c r="K138" s="52"/>
      <c r="L138" s="52"/>
      <c r="M138" s="52"/>
      <c r="N138" s="52"/>
      <c r="O138" s="52"/>
      <c r="P138" s="52"/>
      <c r="Q138" s="52"/>
      <c r="R138" s="169" t="s">
        <v>295</v>
      </c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70"/>
      <c r="AK138" s="140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41"/>
    </row>
    <row r="139" spans="2:61" ht="20.100000000000001" customHeight="1" x14ac:dyDescent="0.45">
      <c r="B139" s="168"/>
      <c r="C139" s="31"/>
      <c r="D139" s="31"/>
      <c r="E139" s="31"/>
      <c r="F139" s="31"/>
      <c r="G139" s="138"/>
      <c r="H139" s="139"/>
      <c r="I139" s="138"/>
      <c r="J139" s="169" t="s">
        <v>328</v>
      </c>
      <c r="K139" s="52"/>
      <c r="L139" s="52"/>
      <c r="M139" s="52"/>
      <c r="N139" s="52"/>
      <c r="O139" s="52"/>
      <c r="P139" s="52"/>
      <c r="Q139" s="52"/>
      <c r="R139" s="169" t="s">
        <v>276</v>
      </c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70"/>
      <c r="AK139" s="140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41"/>
    </row>
    <row r="140" spans="2:61" ht="20.100000000000001" customHeight="1" x14ac:dyDescent="0.45">
      <c r="B140" s="168"/>
      <c r="C140" s="31"/>
      <c r="D140" s="31"/>
      <c r="E140" s="31"/>
      <c r="F140" s="31"/>
      <c r="G140" s="138"/>
      <c r="H140" s="139"/>
      <c r="I140" s="138"/>
      <c r="J140" s="169" t="s">
        <v>329</v>
      </c>
      <c r="K140" s="52"/>
      <c r="L140" s="52"/>
      <c r="M140" s="52"/>
      <c r="N140" s="52"/>
      <c r="O140" s="52"/>
      <c r="P140" s="52"/>
      <c r="Q140" s="52"/>
      <c r="R140" s="169" t="s">
        <v>277</v>
      </c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70"/>
      <c r="AK140" s="140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41"/>
    </row>
    <row r="141" spans="2:61" ht="20.100000000000001" customHeight="1" x14ac:dyDescent="0.45">
      <c r="B141" s="168"/>
      <c r="C141" s="31"/>
      <c r="D141" s="31"/>
      <c r="E141" s="31"/>
      <c r="F141" s="31"/>
      <c r="G141" s="138"/>
      <c r="H141" s="139"/>
      <c r="I141" s="138"/>
      <c r="J141" s="169" t="s">
        <v>298</v>
      </c>
      <c r="K141" s="52"/>
      <c r="L141" s="52"/>
      <c r="M141" s="52"/>
      <c r="N141" s="52"/>
      <c r="O141" s="52"/>
      <c r="P141" s="52"/>
      <c r="Q141" s="52"/>
      <c r="R141" s="174" t="s">
        <v>278</v>
      </c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70"/>
      <c r="AK141" s="140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141"/>
    </row>
    <row r="142" spans="2:61" ht="20.100000000000001" customHeight="1" x14ac:dyDescent="0.45">
      <c r="B142" s="168"/>
      <c r="C142" s="31"/>
      <c r="D142" s="31"/>
      <c r="E142" s="31"/>
      <c r="F142" s="31"/>
      <c r="G142" s="138"/>
      <c r="H142" s="139"/>
      <c r="I142" s="138"/>
      <c r="J142" s="169" t="s">
        <v>330</v>
      </c>
      <c r="K142" s="52"/>
      <c r="L142" s="52"/>
      <c r="M142" s="52"/>
      <c r="N142" s="52"/>
      <c r="O142" s="52"/>
      <c r="P142" s="52"/>
      <c r="Q142" s="52"/>
      <c r="R142" s="169" t="s">
        <v>279</v>
      </c>
      <c r="S142" s="52"/>
      <c r="T142" s="52"/>
      <c r="U142" s="52"/>
      <c r="V142" s="52"/>
      <c r="W142" s="52"/>
      <c r="X142" s="52"/>
      <c r="Y142" s="52"/>
      <c r="Z142" s="52"/>
      <c r="AA142" s="52"/>
      <c r="AB142" s="52"/>
      <c r="AC142" s="52"/>
      <c r="AD142" s="52"/>
      <c r="AE142" s="52"/>
      <c r="AF142" s="52"/>
      <c r="AG142" s="52"/>
      <c r="AH142" s="52"/>
      <c r="AI142" s="52"/>
      <c r="AJ142" s="170"/>
      <c r="AK142" s="140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41"/>
    </row>
    <row r="143" spans="2:61" ht="20.100000000000001" customHeight="1" x14ac:dyDescent="0.45">
      <c r="B143" s="168"/>
      <c r="C143" s="31"/>
      <c r="D143" s="31"/>
      <c r="E143" s="31"/>
      <c r="F143" s="31"/>
      <c r="G143" s="138"/>
      <c r="H143" s="139"/>
      <c r="I143" s="138"/>
      <c r="J143" s="169" t="s">
        <v>301</v>
      </c>
      <c r="K143" s="52"/>
      <c r="L143" s="52"/>
      <c r="M143" s="52"/>
      <c r="N143" s="52"/>
      <c r="O143" s="52"/>
      <c r="P143" s="52"/>
      <c r="Q143" s="52"/>
      <c r="R143" s="169" t="s">
        <v>299</v>
      </c>
      <c r="S143" s="52"/>
      <c r="T143" s="52"/>
      <c r="U143" s="52"/>
      <c r="V143" s="52"/>
      <c r="W143" s="52"/>
      <c r="X143" s="52"/>
      <c r="Y143" s="52"/>
      <c r="Z143" s="52"/>
      <c r="AA143" s="52"/>
      <c r="AB143" s="52"/>
      <c r="AC143" s="52"/>
      <c r="AD143" s="52"/>
      <c r="AE143" s="52"/>
      <c r="AF143" s="52"/>
      <c r="AG143" s="52"/>
      <c r="AH143" s="52"/>
      <c r="AI143" s="52"/>
      <c r="AJ143" s="170"/>
      <c r="AK143" s="140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141"/>
    </row>
    <row r="144" spans="2:61" ht="20.100000000000001" customHeight="1" x14ac:dyDescent="0.45">
      <c r="B144" s="168"/>
      <c r="C144" s="31"/>
      <c r="D144" s="31"/>
      <c r="E144" s="31"/>
      <c r="F144" s="31"/>
      <c r="G144" s="138"/>
      <c r="H144" s="139"/>
      <c r="I144" s="138"/>
      <c r="J144" s="169" t="s">
        <v>331</v>
      </c>
      <c r="K144" s="52"/>
      <c r="L144" s="52"/>
      <c r="M144" s="52"/>
      <c r="N144" s="52"/>
      <c r="O144" s="52"/>
      <c r="P144" s="52"/>
      <c r="Q144" s="52"/>
      <c r="R144" s="169" t="s">
        <v>280</v>
      </c>
      <c r="S144" s="52"/>
      <c r="T144" s="52"/>
      <c r="U144" s="52"/>
      <c r="V144" s="52"/>
      <c r="W144" s="52"/>
      <c r="X144" s="52"/>
      <c r="Y144" s="52"/>
      <c r="Z144" s="52"/>
      <c r="AA144" s="52"/>
      <c r="AB144" s="52"/>
      <c r="AC144" s="52"/>
      <c r="AD144" s="52"/>
      <c r="AE144" s="52"/>
      <c r="AF144" s="52"/>
      <c r="AG144" s="52"/>
      <c r="AH144" s="52"/>
      <c r="AI144" s="52"/>
      <c r="AJ144" s="170"/>
      <c r="AK144" s="140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41"/>
    </row>
    <row r="145" spans="2:61" ht="20.100000000000001" customHeight="1" x14ac:dyDescent="0.45">
      <c r="B145" s="168"/>
      <c r="C145" s="31"/>
      <c r="D145" s="31"/>
      <c r="E145" s="31"/>
      <c r="F145" s="31"/>
      <c r="G145" s="138"/>
      <c r="H145" s="139"/>
      <c r="I145" s="138"/>
      <c r="J145" s="169" t="s">
        <v>302</v>
      </c>
      <c r="K145" s="52"/>
      <c r="L145" s="52"/>
      <c r="M145" s="52"/>
      <c r="N145" s="52"/>
      <c r="O145" s="52"/>
      <c r="P145" s="52"/>
      <c r="Q145" s="52"/>
      <c r="R145" s="174" t="s">
        <v>281</v>
      </c>
      <c r="S145" s="52"/>
      <c r="T145" s="52"/>
      <c r="U145" s="52"/>
      <c r="V145" s="52"/>
      <c r="W145" s="52"/>
      <c r="X145" s="52"/>
      <c r="Y145" s="52"/>
      <c r="Z145" s="52"/>
      <c r="AA145" s="52"/>
      <c r="AB145" s="52"/>
      <c r="AC145" s="52"/>
      <c r="AD145" s="52"/>
      <c r="AE145" s="52"/>
      <c r="AF145" s="52"/>
      <c r="AG145" s="52"/>
      <c r="AH145" s="52"/>
      <c r="AI145" s="52"/>
      <c r="AJ145" s="170"/>
      <c r="AK145" s="140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41"/>
    </row>
    <row r="146" spans="2:61" ht="20.100000000000001" customHeight="1" x14ac:dyDescent="0.45">
      <c r="B146" s="168"/>
      <c r="C146" s="31"/>
      <c r="D146" s="31"/>
      <c r="E146" s="31"/>
      <c r="F146" s="31"/>
      <c r="G146" s="138"/>
      <c r="H146" s="139"/>
      <c r="I146" s="138"/>
      <c r="J146" s="169" t="s">
        <v>307</v>
      </c>
      <c r="K146" s="52"/>
      <c r="L146" s="52"/>
      <c r="M146" s="52"/>
      <c r="N146" s="52"/>
      <c r="O146" s="52"/>
      <c r="P146" s="52"/>
      <c r="Q146" s="52"/>
      <c r="R146" s="169">
        <v>0</v>
      </c>
      <c r="S146" s="52"/>
      <c r="T146" s="52"/>
      <c r="U146" s="52"/>
      <c r="V146" s="52"/>
      <c r="W146" s="52"/>
      <c r="X146" s="52"/>
      <c r="Y146" s="52"/>
      <c r="Z146" s="52"/>
      <c r="AA146" s="52"/>
      <c r="AB146" s="52"/>
      <c r="AC146" s="52"/>
      <c r="AD146" s="52"/>
      <c r="AE146" s="52"/>
      <c r="AF146" s="52"/>
      <c r="AG146" s="52"/>
      <c r="AH146" s="52"/>
      <c r="AI146" s="52"/>
      <c r="AJ146" s="170"/>
      <c r="AK146" s="140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41"/>
    </row>
    <row r="147" spans="2:61" ht="20.100000000000001" customHeight="1" x14ac:dyDescent="0.45">
      <c r="B147" s="168"/>
      <c r="C147" s="31"/>
      <c r="D147" s="31"/>
      <c r="E147" s="31"/>
      <c r="F147" s="31"/>
      <c r="G147" s="138"/>
      <c r="H147" s="139"/>
      <c r="I147" s="138"/>
      <c r="J147" s="169" t="s">
        <v>309</v>
      </c>
      <c r="K147" s="52"/>
      <c r="L147" s="52"/>
      <c r="M147" s="52"/>
      <c r="N147" s="52"/>
      <c r="O147" s="52"/>
      <c r="P147" s="52"/>
      <c r="Q147" s="52"/>
      <c r="R147" s="169">
        <v>0</v>
      </c>
      <c r="S147" s="52"/>
      <c r="T147" s="52"/>
      <c r="U147" s="52"/>
      <c r="V147" s="52"/>
      <c r="W147" s="52"/>
      <c r="X147" s="52"/>
      <c r="Y147" s="52"/>
      <c r="Z147" s="52"/>
      <c r="AA147" s="52"/>
      <c r="AB147" s="52"/>
      <c r="AC147" s="52"/>
      <c r="AD147" s="52"/>
      <c r="AE147" s="52"/>
      <c r="AF147" s="52"/>
      <c r="AG147" s="52"/>
      <c r="AH147" s="52"/>
      <c r="AI147" s="52"/>
      <c r="AJ147" s="170"/>
      <c r="AK147" s="140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41"/>
    </row>
    <row r="148" spans="2:61" ht="20.100000000000001" customHeight="1" x14ac:dyDescent="0.45">
      <c r="B148" s="168"/>
      <c r="C148" s="31"/>
      <c r="D148" s="31"/>
      <c r="E148" s="31"/>
      <c r="F148" s="31"/>
      <c r="G148" s="138"/>
      <c r="H148" s="139"/>
      <c r="I148" s="138"/>
      <c r="J148" s="169" t="s">
        <v>333</v>
      </c>
      <c r="K148" s="52"/>
      <c r="L148" s="52"/>
      <c r="M148" s="52"/>
      <c r="N148" s="52"/>
      <c r="O148" s="52"/>
      <c r="P148" s="52"/>
      <c r="Q148" s="52"/>
      <c r="R148" s="169" t="s">
        <v>284</v>
      </c>
      <c r="S148" s="52"/>
      <c r="T148" s="52"/>
      <c r="U148" s="52"/>
      <c r="V148" s="52"/>
      <c r="W148" s="52"/>
      <c r="X148" s="52"/>
      <c r="Y148" s="52"/>
      <c r="Z148" s="52"/>
      <c r="AA148" s="52"/>
      <c r="AB148" s="52"/>
      <c r="AC148" s="52"/>
      <c r="AD148" s="52"/>
      <c r="AE148" s="52"/>
      <c r="AF148" s="52"/>
      <c r="AG148" s="52"/>
      <c r="AH148" s="52"/>
      <c r="AI148" s="52"/>
      <c r="AJ148" s="170"/>
      <c r="AK148" s="140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41"/>
    </row>
    <row r="149" spans="2:61" ht="20.100000000000001" customHeight="1" x14ac:dyDescent="0.45">
      <c r="B149" s="168"/>
      <c r="C149" s="31"/>
      <c r="D149" s="31"/>
      <c r="E149" s="31"/>
      <c r="F149" s="31"/>
      <c r="G149" s="138"/>
      <c r="H149" s="139"/>
      <c r="I149" s="138"/>
      <c r="J149" s="169" t="s">
        <v>305</v>
      </c>
      <c r="K149" s="52"/>
      <c r="L149" s="52"/>
      <c r="M149" s="52"/>
      <c r="N149" s="52"/>
      <c r="O149" s="52"/>
      <c r="P149" s="52"/>
      <c r="Q149" s="52"/>
      <c r="R149" s="169" t="s">
        <v>303</v>
      </c>
      <c r="S149" s="52"/>
      <c r="T149" s="52"/>
      <c r="U149" s="52"/>
      <c r="V149" s="52"/>
      <c r="W149" s="52"/>
      <c r="X149" s="52"/>
      <c r="Y149" s="52"/>
      <c r="Z149" s="52"/>
      <c r="AA149" s="52"/>
      <c r="AB149" s="52"/>
      <c r="AC149" s="52"/>
      <c r="AD149" s="52"/>
      <c r="AE149" s="52"/>
      <c r="AF149" s="52"/>
      <c r="AG149" s="52"/>
      <c r="AH149" s="52"/>
      <c r="AI149" s="52"/>
      <c r="AJ149" s="170"/>
      <c r="AK149" s="140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41"/>
    </row>
    <row r="150" spans="2:61" ht="20.100000000000001" customHeight="1" x14ac:dyDescent="0.45">
      <c r="B150" s="168"/>
      <c r="C150" s="31"/>
      <c r="D150" s="31"/>
      <c r="E150" s="31"/>
      <c r="F150" s="31"/>
      <c r="G150" s="138"/>
      <c r="H150" s="139"/>
      <c r="I150" s="138"/>
      <c r="J150" s="169" t="s">
        <v>334</v>
      </c>
      <c r="K150" s="52"/>
      <c r="L150" s="52"/>
      <c r="M150" s="52"/>
      <c r="N150" s="52"/>
      <c r="O150" s="52"/>
      <c r="P150" s="52"/>
      <c r="Q150" s="52"/>
      <c r="R150" s="169" t="s">
        <v>285</v>
      </c>
      <c r="S150" s="52"/>
      <c r="T150" s="52"/>
      <c r="U150" s="52"/>
      <c r="V150" s="52"/>
      <c r="W150" s="52"/>
      <c r="X150" s="52"/>
      <c r="Y150" s="52"/>
      <c r="Z150" s="52"/>
      <c r="AA150" s="52"/>
      <c r="AB150" s="52"/>
      <c r="AC150" s="52"/>
      <c r="AD150" s="52"/>
      <c r="AE150" s="52"/>
      <c r="AF150" s="52"/>
      <c r="AG150" s="52"/>
      <c r="AH150" s="52"/>
      <c r="AI150" s="52"/>
      <c r="AJ150" s="170"/>
      <c r="AK150" s="140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41"/>
    </row>
    <row r="151" spans="2:61" ht="20.100000000000001" customHeight="1" x14ac:dyDescent="0.45">
      <c r="B151" s="168"/>
      <c r="C151" s="31"/>
      <c r="D151" s="31"/>
      <c r="E151" s="31"/>
      <c r="F151" s="31"/>
      <c r="G151" s="138"/>
      <c r="H151" s="139"/>
      <c r="I151" s="138"/>
      <c r="J151" s="169" t="s">
        <v>335</v>
      </c>
      <c r="K151" s="52"/>
      <c r="L151" s="52"/>
      <c r="M151" s="52"/>
      <c r="N151" s="52"/>
      <c r="O151" s="52"/>
      <c r="P151" s="52"/>
      <c r="Q151" s="52"/>
      <c r="R151" s="169" t="s">
        <v>286</v>
      </c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170"/>
      <c r="AK151" s="140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141"/>
    </row>
    <row r="152" spans="2:61" ht="20.100000000000001" customHeight="1" x14ac:dyDescent="0.45">
      <c r="B152" s="168"/>
      <c r="C152" s="31"/>
      <c r="D152" s="31"/>
      <c r="E152" s="31"/>
      <c r="F152" s="31"/>
      <c r="G152" s="138"/>
      <c r="H152" s="139"/>
      <c r="I152" s="138"/>
      <c r="J152" s="169" t="s">
        <v>336</v>
      </c>
      <c r="K152" s="52"/>
      <c r="L152" s="52"/>
      <c r="M152" s="52"/>
      <c r="N152" s="52"/>
      <c r="O152" s="52"/>
      <c r="P152" s="52"/>
      <c r="Q152" s="52"/>
      <c r="R152" s="169" t="s">
        <v>287</v>
      </c>
      <c r="S152" s="52"/>
      <c r="T152" s="52"/>
      <c r="U152" s="52"/>
      <c r="V152" s="52"/>
      <c r="W152" s="52"/>
      <c r="X152" s="52"/>
      <c r="Y152" s="52"/>
      <c r="Z152" s="52"/>
      <c r="AA152" s="52"/>
      <c r="AB152" s="52"/>
      <c r="AC152" s="52"/>
      <c r="AD152" s="52"/>
      <c r="AE152" s="52"/>
      <c r="AF152" s="52"/>
      <c r="AG152" s="52"/>
      <c r="AH152" s="52"/>
      <c r="AI152" s="52"/>
      <c r="AJ152" s="170"/>
      <c r="AK152" s="140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41"/>
    </row>
    <row r="153" spans="2:61" ht="20.100000000000001" customHeight="1" x14ac:dyDescent="0.45">
      <c r="B153" s="168"/>
      <c r="C153" s="31"/>
      <c r="D153" s="31"/>
      <c r="E153" s="31"/>
      <c r="F153" s="31"/>
      <c r="G153" s="138"/>
      <c r="H153" s="139"/>
      <c r="I153" s="138"/>
      <c r="J153" s="169" t="s">
        <v>337</v>
      </c>
      <c r="K153" s="52"/>
      <c r="L153" s="52"/>
      <c r="M153" s="52"/>
      <c r="N153" s="52"/>
      <c r="O153" s="52"/>
      <c r="P153" s="52"/>
      <c r="Q153" s="52"/>
      <c r="R153" s="169" t="s">
        <v>288</v>
      </c>
      <c r="S153" s="52"/>
      <c r="T153" s="52"/>
      <c r="U153" s="52"/>
      <c r="V153" s="52"/>
      <c r="W153" s="52"/>
      <c r="X153" s="52"/>
      <c r="Y153" s="52"/>
      <c r="Z153" s="52"/>
      <c r="AA153" s="52"/>
      <c r="AB153" s="52"/>
      <c r="AC153" s="52"/>
      <c r="AD153" s="52"/>
      <c r="AE153" s="52"/>
      <c r="AF153" s="52"/>
      <c r="AG153" s="52"/>
      <c r="AH153" s="52"/>
      <c r="AI153" s="52"/>
      <c r="AJ153" s="170"/>
      <c r="AK153" s="140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41"/>
    </row>
    <row r="154" spans="2:61" ht="20.100000000000001" customHeight="1" x14ac:dyDescent="0.45">
      <c r="B154" s="168"/>
      <c r="C154" s="31"/>
      <c r="D154" s="31"/>
      <c r="E154" s="31"/>
      <c r="F154" s="31"/>
      <c r="G154" s="138"/>
      <c r="H154" s="139"/>
      <c r="I154" s="138"/>
      <c r="J154" s="169" t="s">
        <v>338</v>
      </c>
      <c r="K154" s="52"/>
      <c r="L154" s="52"/>
      <c r="M154" s="52"/>
      <c r="N154" s="52"/>
      <c r="O154" s="52"/>
      <c r="P154" s="52"/>
      <c r="Q154" s="52"/>
      <c r="R154" s="169" t="s">
        <v>289</v>
      </c>
      <c r="S154" s="52"/>
      <c r="T154" s="52"/>
      <c r="U154" s="52"/>
      <c r="V154" s="52"/>
      <c r="W154" s="52"/>
      <c r="X154" s="52"/>
      <c r="Y154" s="52"/>
      <c r="Z154" s="52"/>
      <c r="AA154" s="52"/>
      <c r="AB154" s="52"/>
      <c r="AC154" s="52"/>
      <c r="AD154" s="52"/>
      <c r="AE154" s="52"/>
      <c r="AF154" s="52"/>
      <c r="AG154" s="52"/>
      <c r="AH154" s="52"/>
      <c r="AI154" s="52"/>
      <c r="AJ154" s="170"/>
      <c r="AK154" s="140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41"/>
    </row>
    <row r="155" spans="2:61" ht="20.100000000000001" customHeight="1" x14ac:dyDescent="0.45">
      <c r="B155" s="168"/>
      <c r="C155" s="31"/>
      <c r="D155" s="31"/>
      <c r="E155" s="31"/>
      <c r="F155" s="31"/>
      <c r="G155" s="138"/>
      <c r="H155" s="139"/>
      <c r="I155" s="138"/>
      <c r="J155" s="169" t="s">
        <v>339</v>
      </c>
      <c r="K155" s="52"/>
      <c r="L155" s="52"/>
      <c r="M155" s="52"/>
      <c r="N155" s="52"/>
      <c r="O155" s="52"/>
      <c r="P155" s="52"/>
      <c r="Q155" s="52"/>
      <c r="R155" s="169" t="s">
        <v>290</v>
      </c>
      <c r="S155" s="52"/>
      <c r="T155" s="52"/>
      <c r="U155" s="52"/>
      <c r="V155" s="52"/>
      <c r="W155" s="52"/>
      <c r="X155" s="52"/>
      <c r="Y155" s="52"/>
      <c r="Z155" s="52"/>
      <c r="AA155" s="52"/>
      <c r="AB155" s="52"/>
      <c r="AC155" s="52"/>
      <c r="AD155" s="52"/>
      <c r="AE155" s="52"/>
      <c r="AF155" s="52"/>
      <c r="AG155" s="52"/>
      <c r="AH155" s="52"/>
      <c r="AI155" s="52"/>
      <c r="AJ155" s="170"/>
      <c r="AK155" s="140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41"/>
    </row>
    <row r="156" spans="2:61" ht="20.100000000000001" customHeight="1" x14ac:dyDescent="0.45">
      <c r="B156" s="168"/>
      <c r="C156" s="31"/>
      <c r="D156" s="31"/>
      <c r="E156" s="31"/>
      <c r="F156" s="31"/>
      <c r="G156" s="138"/>
      <c r="H156" s="139"/>
      <c r="I156" s="138"/>
      <c r="J156" s="142" t="s">
        <v>340</v>
      </c>
      <c r="K156" s="55"/>
      <c r="L156" s="55"/>
      <c r="M156" s="55"/>
      <c r="N156" s="55"/>
      <c r="O156" s="55"/>
      <c r="P156" s="55"/>
      <c r="Q156" s="55"/>
      <c r="R156" s="142" t="s">
        <v>291</v>
      </c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175"/>
      <c r="AK156" s="140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41"/>
    </row>
    <row r="157" spans="2:61" ht="20.100000000000001" customHeight="1" x14ac:dyDescent="0.45">
      <c r="B157" s="168"/>
      <c r="C157" s="31"/>
      <c r="D157" s="31"/>
      <c r="E157" s="31"/>
      <c r="F157" s="31"/>
      <c r="G157" s="138"/>
      <c r="H157" s="142" t="s">
        <v>145</v>
      </c>
      <c r="I157" s="55"/>
      <c r="J157" s="142" t="s">
        <v>359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143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5"/>
      <c r="BD157" s="55"/>
      <c r="BE157" s="55"/>
      <c r="BF157" s="55"/>
      <c r="BG157" s="55"/>
      <c r="BH157" s="55"/>
      <c r="BI157" s="144"/>
    </row>
    <row r="158" spans="2:61" ht="20.100000000000001" customHeight="1" x14ac:dyDescent="0.45">
      <c r="B158" s="137"/>
      <c r="C158" s="31"/>
      <c r="D158" s="31"/>
      <c r="E158" s="31"/>
      <c r="F158" s="31"/>
      <c r="G158" s="138"/>
      <c r="H158" s="139"/>
      <c r="I158" s="31"/>
      <c r="J158" s="139" t="s">
        <v>360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40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41"/>
    </row>
    <row r="159" spans="2:61" ht="20.100000000000001" customHeight="1" x14ac:dyDescent="0.45">
      <c r="B159" s="137"/>
      <c r="C159" s="31"/>
      <c r="D159" s="31"/>
      <c r="E159" s="31"/>
      <c r="F159" s="31"/>
      <c r="G159" s="138"/>
      <c r="H159" s="139"/>
      <c r="I159" s="31"/>
      <c r="J159" s="139" t="s">
        <v>361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40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41"/>
    </row>
    <row r="160" spans="2:61" ht="20.100000000000001" customHeight="1" x14ac:dyDescent="0.45">
      <c r="B160" s="137"/>
      <c r="C160" s="31"/>
      <c r="D160" s="31"/>
      <c r="E160" s="31"/>
      <c r="F160" s="31"/>
      <c r="G160" s="138"/>
      <c r="H160" s="139"/>
      <c r="I160" s="31"/>
      <c r="J160" s="139" t="s">
        <v>362</v>
      </c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40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41"/>
    </row>
    <row r="161" spans="2:61" ht="20.100000000000001" customHeight="1" x14ac:dyDescent="0.45">
      <c r="B161" s="137"/>
      <c r="C161" s="31"/>
      <c r="D161" s="31"/>
      <c r="E161" s="31"/>
      <c r="F161" s="31"/>
      <c r="G161" s="138"/>
      <c r="H161" s="139"/>
      <c r="I161" s="31"/>
      <c r="J161" s="139" t="s">
        <v>363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40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41"/>
    </row>
    <row r="162" spans="2:61" ht="20.100000000000001" customHeight="1" x14ac:dyDescent="0.45">
      <c r="B162" s="137"/>
      <c r="C162" s="31"/>
      <c r="D162" s="31"/>
      <c r="E162" s="31"/>
      <c r="F162" s="31"/>
      <c r="G162" s="138"/>
      <c r="H162" s="142" t="s">
        <v>146</v>
      </c>
      <c r="I162" s="55"/>
      <c r="J162" s="142" t="s">
        <v>174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143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5"/>
      <c r="BD162" s="55"/>
      <c r="BE162" s="55"/>
      <c r="BF162" s="55"/>
      <c r="BG162" s="55"/>
      <c r="BH162" s="55"/>
      <c r="BI162" s="144"/>
    </row>
    <row r="163" spans="2:61" ht="20.100000000000001" customHeight="1" x14ac:dyDescent="0.45">
      <c r="B163" s="137"/>
      <c r="C163" s="31"/>
      <c r="D163" s="31"/>
      <c r="E163" s="31"/>
      <c r="F163" s="31"/>
      <c r="G163" s="138"/>
      <c r="H163" s="139"/>
      <c r="I163" s="31"/>
      <c r="J163" s="139"/>
      <c r="K163" s="31" t="s">
        <v>175</v>
      </c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140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41"/>
    </row>
    <row r="164" spans="2:61" ht="20.100000000000001" customHeight="1" x14ac:dyDescent="0.45">
      <c r="B164" s="137"/>
      <c r="C164" s="31"/>
      <c r="D164" s="31"/>
      <c r="E164" s="31"/>
      <c r="F164" s="31"/>
      <c r="G164" s="138"/>
      <c r="H164" s="139"/>
      <c r="I164" s="31"/>
      <c r="J164" s="139"/>
      <c r="K164" s="31"/>
      <c r="M164" s="31" t="s">
        <v>212</v>
      </c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140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41"/>
    </row>
    <row r="165" spans="2:61" ht="20.100000000000001" customHeight="1" x14ac:dyDescent="0.45">
      <c r="B165" s="137"/>
      <c r="C165" s="31"/>
      <c r="D165" s="31"/>
      <c r="E165" s="31"/>
      <c r="F165" s="31"/>
      <c r="G165" s="138"/>
      <c r="H165" s="139"/>
      <c r="I165" s="31"/>
      <c r="J165" s="139" t="s">
        <v>174</v>
      </c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140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41"/>
    </row>
    <row r="166" spans="2:61" ht="20.100000000000001" customHeight="1" x14ac:dyDescent="0.45">
      <c r="B166" s="137"/>
      <c r="C166" s="31"/>
      <c r="D166" s="31"/>
      <c r="E166" s="31"/>
      <c r="F166" s="31"/>
      <c r="G166" s="138"/>
      <c r="H166" s="139"/>
      <c r="I166" s="31"/>
      <c r="J166" s="139"/>
      <c r="K166" s="31" t="s">
        <v>203</v>
      </c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140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41"/>
    </row>
    <row r="167" spans="2:61" ht="20.100000000000001" customHeight="1" x14ac:dyDescent="0.45">
      <c r="B167" s="137"/>
      <c r="C167" s="31"/>
      <c r="D167" s="31"/>
      <c r="E167" s="31"/>
      <c r="F167" s="31"/>
      <c r="G167" s="138"/>
      <c r="H167" s="139"/>
      <c r="I167" s="31"/>
      <c r="J167" s="139"/>
      <c r="K167" s="31"/>
      <c r="M167" s="31" t="s">
        <v>219</v>
      </c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140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41"/>
    </row>
    <row r="168" spans="2:61" ht="20.100000000000001" customHeight="1" x14ac:dyDescent="0.45">
      <c r="B168" s="137"/>
      <c r="C168" s="31"/>
      <c r="D168" s="31"/>
      <c r="E168" s="31"/>
      <c r="F168" s="31"/>
      <c r="G168" s="138"/>
      <c r="H168" s="139"/>
      <c r="I168" s="31"/>
      <c r="J168" s="139" t="s">
        <v>174</v>
      </c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140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141"/>
    </row>
    <row r="169" spans="2:61" ht="20.100000000000001" customHeight="1" x14ac:dyDescent="0.45">
      <c r="B169" s="137"/>
      <c r="C169" s="31"/>
      <c r="D169" s="31"/>
      <c r="E169" s="31"/>
      <c r="F169" s="31"/>
      <c r="G169" s="138"/>
      <c r="H169" s="139"/>
      <c r="I169" s="31"/>
      <c r="J169" s="139"/>
      <c r="K169" s="6" t="s">
        <v>167</v>
      </c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140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141"/>
    </row>
    <row r="170" spans="2:61" ht="20.100000000000001" customHeight="1" x14ac:dyDescent="0.45">
      <c r="B170" s="137"/>
      <c r="C170" s="31"/>
      <c r="D170" s="31"/>
      <c r="E170" s="31"/>
      <c r="F170" s="31"/>
      <c r="G170" s="138"/>
      <c r="H170" s="139"/>
      <c r="I170" s="31"/>
      <c r="J170" s="139"/>
      <c r="L170" s="31"/>
      <c r="M170" s="31" t="s">
        <v>226</v>
      </c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140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141"/>
    </row>
    <row r="171" spans="2:61" ht="20.100000000000001" customHeight="1" x14ac:dyDescent="0.45">
      <c r="B171" s="137"/>
      <c r="C171" s="31"/>
      <c r="D171" s="31"/>
      <c r="E171" s="31"/>
      <c r="F171" s="31"/>
      <c r="G171" s="138"/>
      <c r="H171" s="139"/>
      <c r="I171" s="31"/>
      <c r="J171" s="139" t="s">
        <v>178</v>
      </c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140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141"/>
    </row>
    <row r="172" spans="2:61" ht="20.100000000000001" customHeight="1" x14ac:dyDescent="0.45">
      <c r="B172" s="137"/>
      <c r="C172" s="31"/>
      <c r="D172" s="31"/>
      <c r="E172" s="31"/>
      <c r="F172" s="31"/>
      <c r="G172" s="138"/>
      <c r="H172" s="139"/>
      <c r="I172" s="31"/>
      <c r="J172" s="139"/>
      <c r="K172" s="31" t="s">
        <v>179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140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141"/>
    </row>
    <row r="173" spans="2:61" ht="20.100000000000001" customHeight="1" x14ac:dyDescent="0.45">
      <c r="B173" s="137"/>
      <c r="C173" s="31"/>
      <c r="D173" s="31"/>
      <c r="E173" s="31"/>
      <c r="F173" s="31"/>
      <c r="G173" s="138"/>
      <c r="H173" s="139"/>
      <c r="I173" s="31"/>
      <c r="J173" s="139"/>
      <c r="L173" s="31"/>
      <c r="M173" s="31" t="s">
        <v>228</v>
      </c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140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141"/>
    </row>
    <row r="174" spans="2:61" ht="20.100000000000001" customHeight="1" x14ac:dyDescent="0.45">
      <c r="B174" s="137"/>
      <c r="C174" s="31"/>
      <c r="D174" s="31"/>
      <c r="E174" s="31"/>
      <c r="F174" s="31"/>
      <c r="G174" s="138"/>
      <c r="H174" s="145"/>
      <c r="I174" s="146"/>
      <c r="J174" s="139"/>
      <c r="L174" s="31" t="s">
        <v>180</v>
      </c>
      <c r="M174" s="31" t="s">
        <v>229</v>
      </c>
      <c r="N174" s="31"/>
      <c r="O174" s="31"/>
      <c r="P174" s="31"/>
      <c r="Q174" s="146"/>
      <c r="R174" s="146"/>
      <c r="S174" s="146"/>
      <c r="T174" s="146"/>
      <c r="U174" s="146"/>
      <c r="V174" s="146"/>
      <c r="W174" s="146"/>
      <c r="X174" s="146"/>
      <c r="Y174" s="146"/>
      <c r="Z174" s="146"/>
      <c r="AA174" s="146"/>
      <c r="AB174" s="146"/>
      <c r="AC174" s="146"/>
      <c r="AD174" s="146"/>
      <c r="AE174" s="146"/>
      <c r="AF174" s="146"/>
      <c r="AG174" s="146"/>
      <c r="AH174" s="146"/>
      <c r="AI174" s="146"/>
      <c r="AJ174" s="146"/>
      <c r="AK174" s="147"/>
      <c r="AL174" s="146"/>
      <c r="AM174" s="146"/>
      <c r="AN174" s="146"/>
      <c r="AO174" s="146"/>
      <c r="AP174" s="146"/>
      <c r="AQ174" s="146"/>
      <c r="AR174" s="146"/>
      <c r="AS174" s="146"/>
      <c r="AT174" s="146"/>
      <c r="AU174" s="146"/>
      <c r="AV174" s="146"/>
      <c r="AW174" s="146"/>
      <c r="AX174" s="146"/>
      <c r="AY174" s="146"/>
      <c r="AZ174" s="146"/>
      <c r="BA174" s="146"/>
      <c r="BB174" s="146"/>
      <c r="BC174" s="146"/>
      <c r="BD174" s="146"/>
      <c r="BE174" s="146"/>
      <c r="BF174" s="146"/>
      <c r="BG174" s="146"/>
      <c r="BH174" s="146"/>
      <c r="BI174" s="148"/>
    </row>
    <row r="175" spans="2:61" ht="20.100000000000001" customHeight="1" x14ac:dyDescent="0.45">
      <c r="B175" s="137"/>
      <c r="C175" s="31"/>
      <c r="D175" s="31"/>
      <c r="E175" s="31"/>
      <c r="F175" s="31"/>
      <c r="G175" s="138"/>
      <c r="H175" s="139" t="s">
        <v>147</v>
      </c>
      <c r="I175" s="31"/>
      <c r="J175" s="142"/>
      <c r="K175" s="55" t="s">
        <v>210</v>
      </c>
      <c r="L175" s="55"/>
      <c r="M175" s="55"/>
      <c r="N175" s="55"/>
      <c r="O175" s="55"/>
      <c r="P175" s="55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140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141"/>
    </row>
    <row r="176" spans="2:61" ht="20.100000000000001" customHeight="1" x14ac:dyDescent="0.45">
      <c r="B176" s="137"/>
      <c r="C176" s="31"/>
      <c r="D176" s="31"/>
      <c r="E176" s="31"/>
      <c r="F176" s="31"/>
      <c r="G176" s="138"/>
      <c r="H176" s="139"/>
      <c r="I176" s="31"/>
      <c r="J176" s="139" t="s">
        <v>180</v>
      </c>
      <c r="K176" s="31" t="s">
        <v>220</v>
      </c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140" t="s">
        <v>192</v>
      </c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141"/>
    </row>
    <row r="177" spans="2:61" ht="20.100000000000001" customHeight="1" x14ac:dyDescent="0.45">
      <c r="B177" s="137"/>
      <c r="C177" s="31"/>
      <c r="D177" s="31"/>
      <c r="E177" s="31"/>
      <c r="F177" s="31"/>
      <c r="G177" s="138"/>
      <c r="H177" s="139"/>
      <c r="I177" s="31"/>
      <c r="J177" s="139" t="s">
        <v>180</v>
      </c>
      <c r="K177" s="6" t="s">
        <v>214</v>
      </c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139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141"/>
    </row>
    <row r="178" spans="2:61" ht="20.100000000000001" customHeight="1" thickBot="1" x14ac:dyDescent="0.5">
      <c r="B178" s="137"/>
      <c r="C178" s="31"/>
      <c r="D178" s="31"/>
      <c r="E178" s="31"/>
      <c r="F178" s="31"/>
      <c r="G178" s="138"/>
      <c r="H178" s="139"/>
      <c r="I178" s="31"/>
      <c r="J178" s="139" t="s">
        <v>180</v>
      </c>
      <c r="K178" s="6" t="s">
        <v>204</v>
      </c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139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141"/>
    </row>
    <row r="179" spans="2:61" ht="20.100000000000001" customHeight="1" x14ac:dyDescent="0.45">
      <c r="B179" s="131" t="s">
        <v>381</v>
      </c>
      <c r="C179" s="132"/>
      <c r="D179" s="132"/>
      <c r="E179" s="132"/>
      <c r="F179" s="132"/>
      <c r="G179" s="133"/>
      <c r="H179" s="134" t="s">
        <v>237</v>
      </c>
      <c r="I179" s="133"/>
      <c r="J179" s="173" t="s">
        <v>311</v>
      </c>
      <c r="K179" s="166"/>
      <c r="L179" s="166"/>
      <c r="M179" s="166"/>
      <c r="N179" s="166"/>
      <c r="O179" s="166"/>
      <c r="P179" s="166"/>
      <c r="Q179" s="166"/>
      <c r="R179" s="173" t="s">
        <v>262</v>
      </c>
      <c r="S179" s="166"/>
      <c r="T179" s="166"/>
      <c r="U179" s="166"/>
      <c r="V179" s="166"/>
      <c r="W179" s="166"/>
      <c r="X179" s="166"/>
      <c r="Y179" s="166"/>
      <c r="Z179" s="166"/>
      <c r="AA179" s="166"/>
      <c r="AB179" s="166"/>
      <c r="AC179" s="166"/>
      <c r="AD179" s="166"/>
      <c r="AE179" s="166"/>
      <c r="AF179" s="166"/>
      <c r="AG179" s="166"/>
      <c r="AH179" s="166"/>
      <c r="AI179" s="166"/>
      <c r="AJ179" s="167"/>
      <c r="AK179" s="135"/>
      <c r="AL179" s="132"/>
      <c r="AM179" s="132"/>
      <c r="AN179" s="132"/>
      <c r="AO179" s="132"/>
      <c r="AP179" s="132"/>
      <c r="AQ179" s="132"/>
      <c r="AR179" s="132"/>
      <c r="AS179" s="132"/>
      <c r="AT179" s="132"/>
      <c r="AU179" s="132"/>
      <c r="AV179" s="132"/>
      <c r="AW179" s="132"/>
      <c r="AX179" s="132"/>
      <c r="AY179" s="132"/>
      <c r="AZ179" s="132"/>
      <c r="BA179" s="132"/>
      <c r="BB179" s="132"/>
      <c r="BC179" s="132"/>
      <c r="BD179" s="132"/>
      <c r="BE179" s="132"/>
      <c r="BF179" s="132"/>
      <c r="BG179" s="132"/>
      <c r="BH179" s="132"/>
      <c r="BI179" s="136"/>
    </row>
    <row r="180" spans="2:61" ht="20.100000000000001" customHeight="1" x14ac:dyDescent="0.45">
      <c r="B180" s="168"/>
      <c r="C180" s="31"/>
      <c r="D180" s="31"/>
      <c r="E180" s="31"/>
      <c r="F180" s="31"/>
      <c r="G180" s="138"/>
      <c r="H180" s="139"/>
      <c r="I180" s="138"/>
      <c r="J180" s="169" t="s">
        <v>294</v>
      </c>
      <c r="K180" s="52"/>
      <c r="L180" s="52"/>
      <c r="M180" s="52"/>
      <c r="N180" s="52"/>
      <c r="O180" s="52"/>
      <c r="P180" s="52"/>
      <c r="Q180" s="52"/>
      <c r="R180" s="169" t="s">
        <v>341</v>
      </c>
      <c r="S180" s="52"/>
      <c r="T180" s="52"/>
      <c r="U180" s="52"/>
      <c r="V180" s="52"/>
      <c r="W180" s="52"/>
      <c r="X180" s="52"/>
      <c r="Y180" s="52"/>
      <c r="Z180" s="52"/>
      <c r="AA180" s="52"/>
      <c r="AB180" s="52"/>
      <c r="AC180" s="52"/>
      <c r="AD180" s="52"/>
      <c r="AE180" s="52"/>
      <c r="AF180" s="52"/>
      <c r="AG180" s="52"/>
      <c r="AH180" s="52"/>
      <c r="AI180" s="52"/>
      <c r="AJ180" s="170"/>
      <c r="AK180" s="140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141"/>
    </row>
    <row r="181" spans="2:61" ht="20.100000000000001" customHeight="1" x14ac:dyDescent="0.45">
      <c r="B181" s="168"/>
      <c r="C181" s="31"/>
      <c r="D181" s="31"/>
      <c r="E181" s="31"/>
      <c r="F181" s="31"/>
      <c r="G181" s="138"/>
      <c r="H181" s="139"/>
      <c r="I181" s="138"/>
      <c r="J181" s="169" t="s">
        <v>314</v>
      </c>
      <c r="K181" s="52"/>
      <c r="L181" s="52"/>
      <c r="M181" s="52"/>
      <c r="N181" s="52"/>
      <c r="O181" s="52"/>
      <c r="P181" s="52"/>
      <c r="Q181" s="52"/>
      <c r="R181" s="169" t="s">
        <v>312</v>
      </c>
      <c r="S181" s="52"/>
      <c r="T181" s="52"/>
      <c r="U181" s="52"/>
      <c r="V181" s="52"/>
      <c r="W181" s="52"/>
      <c r="X181" s="52"/>
      <c r="Y181" s="52"/>
      <c r="Z181" s="52"/>
      <c r="AA181" s="52"/>
      <c r="AB181" s="52"/>
      <c r="AC181" s="52"/>
      <c r="AD181" s="52"/>
      <c r="AE181" s="52"/>
      <c r="AF181" s="52"/>
      <c r="AG181" s="52"/>
      <c r="AH181" s="52"/>
      <c r="AI181" s="52"/>
      <c r="AJ181" s="170"/>
      <c r="AK181" s="140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141"/>
    </row>
    <row r="182" spans="2:61" ht="20.100000000000001" customHeight="1" x14ac:dyDescent="0.45">
      <c r="B182" s="168"/>
      <c r="C182" s="31"/>
      <c r="D182" s="31"/>
      <c r="E182" s="31"/>
      <c r="F182" s="31"/>
      <c r="G182" s="138"/>
      <c r="H182" s="139"/>
      <c r="I182" s="138"/>
      <c r="J182" s="169" t="s">
        <v>315</v>
      </c>
      <c r="K182" s="52"/>
      <c r="L182" s="52"/>
      <c r="M182" s="52"/>
      <c r="N182" s="52"/>
      <c r="O182" s="52"/>
      <c r="P182" s="52"/>
      <c r="Q182" s="52"/>
      <c r="R182" s="169" t="s">
        <v>263</v>
      </c>
      <c r="S182" s="52"/>
      <c r="T182" s="52"/>
      <c r="U182" s="52"/>
      <c r="V182" s="52"/>
      <c r="W182" s="52"/>
      <c r="X182" s="52"/>
      <c r="Y182" s="52"/>
      <c r="Z182" s="52"/>
      <c r="AA182" s="52"/>
      <c r="AB182" s="52"/>
      <c r="AC182" s="52"/>
      <c r="AD182" s="52"/>
      <c r="AE182" s="52"/>
      <c r="AF182" s="52"/>
      <c r="AG182" s="52"/>
      <c r="AH182" s="52"/>
      <c r="AI182" s="52"/>
      <c r="AJ182" s="170"/>
      <c r="AK182" s="140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141"/>
    </row>
    <row r="183" spans="2:61" ht="20.100000000000001" customHeight="1" x14ac:dyDescent="0.45">
      <c r="B183" s="168"/>
      <c r="C183" s="31"/>
      <c r="D183" s="31"/>
      <c r="E183" s="31"/>
      <c r="F183" s="31"/>
      <c r="G183" s="138"/>
      <c r="H183" s="139"/>
      <c r="I183" s="138"/>
      <c r="J183" s="169" t="s">
        <v>316</v>
      </c>
      <c r="K183" s="52"/>
      <c r="L183" s="52"/>
      <c r="M183" s="52"/>
      <c r="N183" s="52"/>
      <c r="O183" s="52"/>
      <c r="P183" s="52"/>
      <c r="Q183" s="52"/>
      <c r="R183" s="169" t="s">
        <v>264</v>
      </c>
      <c r="S183" s="52"/>
      <c r="T183" s="52"/>
      <c r="U183" s="52"/>
      <c r="V183" s="52"/>
      <c r="W183" s="52"/>
      <c r="X183" s="52"/>
      <c r="Y183" s="52"/>
      <c r="Z183" s="52"/>
      <c r="AA183" s="52"/>
      <c r="AB183" s="52"/>
      <c r="AC183" s="52"/>
      <c r="AD183" s="52"/>
      <c r="AE183" s="52"/>
      <c r="AF183" s="52"/>
      <c r="AG183" s="52"/>
      <c r="AH183" s="52"/>
      <c r="AI183" s="52"/>
      <c r="AJ183" s="170"/>
      <c r="AK183" s="140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141"/>
    </row>
    <row r="184" spans="2:61" ht="20.100000000000001" customHeight="1" x14ac:dyDescent="0.45">
      <c r="B184" s="168"/>
      <c r="C184" s="31"/>
      <c r="D184" s="31"/>
      <c r="E184" s="31"/>
      <c r="F184" s="31"/>
      <c r="G184" s="138"/>
      <c r="H184" s="139"/>
      <c r="I184" s="138"/>
      <c r="J184" s="169" t="s">
        <v>317</v>
      </c>
      <c r="K184" s="52"/>
      <c r="L184" s="52"/>
      <c r="M184" s="52"/>
      <c r="N184" s="52"/>
      <c r="O184" s="52"/>
      <c r="P184" s="52"/>
      <c r="Q184" s="52"/>
      <c r="R184" s="169" t="s">
        <v>265</v>
      </c>
      <c r="S184" s="52"/>
      <c r="T184" s="52"/>
      <c r="U184" s="52"/>
      <c r="V184" s="52"/>
      <c r="W184" s="52"/>
      <c r="X184" s="52"/>
      <c r="Y184" s="52"/>
      <c r="Z184" s="52"/>
      <c r="AA184" s="52"/>
      <c r="AB184" s="52"/>
      <c r="AC184" s="52"/>
      <c r="AD184" s="52"/>
      <c r="AE184" s="52"/>
      <c r="AF184" s="52"/>
      <c r="AG184" s="52"/>
      <c r="AH184" s="52"/>
      <c r="AI184" s="52"/>
      <c r="AJ184" s="170"/>
      <c r="AK184" s="140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141"/>
    </row>
    <row r="185" spans="2:61" ht="20.100000000000001" customHeight="1" x14ac:dyDescent="0.45">
      <c r="B185" s="168"/>
      <c r="C185" s="31"/>
      <c r="D185" s="31"/>
      <c r="E185" s="31"/>
      <c r="F185" s="31"/>
      <c r="G185" s="138"/>
      <c r="H185" s="139"/>
      <c r="I185" s="138"/>
      <c r="J185" s="169" t="s">
        <v>318</v>
      </c>
      <c r="K185" s="52"/>
      <c r="L185" s="52"/>
      <c r="M185" s="52"/>
      <c r="N185" s="52"/>
      <c r="O185" s="52"/>
      <c r="P185" s="52"/>
      <c r="Q185" s="52"/>
      <c r="R185" s="169" t="s">
        <v>266</v>
      </c>
      <c r="S185" s="52"/>
      <c r="T185" s="52"/>
      <c r="U185" s="52"/>
      <c r="V185" s="52"/>
      <c r="W185" s="52"/>
      <c r="X185" s="52"/>
      <c r="Y185" s="52"/>
      <c r="Z185" s="52"/>
      <c r="AA185" s="52"/>
      <c r="AB185" s="52"/>
      <c r="AC185" s="52"/>
      <c r="AD185" s="52"/>
      <c r="AE185" s="52"/>
      <c r="AF185" s="52"/>
      <c r="AG185" s="52"/>
      <c r="AH185" s="52"/>
      <c r="AI185" s="52"/>
      <c r="AJ185" s="170"/>
      <c r="AK185" s="140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141"/>
    </row>
    <row r="186" spans="2:61" ht="20.100000000000001" customHeight="1" x14ac:dyDescent="0.45">
      <c r="B186" s="168"/>
      <c r="C186" s="31"/>
      <c r="D186" s="31"/>
      <c r="E186" s="31"/>
      <c r="F186" s="31"/>
      <c r="G186" s="138"/>
      <c r="H186" s="139"/>
      <c r="I186" s="138"/>
      <c r="J186" s="169" t="s">
        <v>319</v>
      </c>
      <c r="K186" s="52"/>
      <c r="L186" s="52"/>
      <c r="M186" s="52"/>
      <c r="N186" s="52"/>
      <c r="O186" s="52"/>
      <c r="P186" s="52"/>
      <c r="Q186" s="52"/>
      <c r="R186" s="169" t="s">
        <v>267</v>
      </c>
      <c r="S186" s="52"/>
      <c r="T186" s="52"/>
      <c r="U186" s="52"/>
      <c r="V186" s="52"/>
      <c r="W186" s="52"/>
      <c r="X186" s="52"/>
      <c r="Y186" s="52"/>
      <c r="Z186" s="52"/>
      <c r="AA186" s="52"/>
      <c r="AB186" s="52"/>
      <c r="AC186" s="52"/>
      <c r="AD186" s="52"/>
      <c r="AE186" s="52"/>
      <c r="AF186" s="52"/>
      <c r="AG186" s="52"/>
      <c r="AH186" s="52"/>
      <c r="AI186" s="52"/>
      <c r="AJ186" s="170"/>
      <c r="AK186" s="140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141"/>
    </row>
    <row r="187" spans="2:61" ht="20.100000000000001" customHeight="1" x14ac:dyDescent="0.45">
      <c r="B187" s="168"/>
      <c r="C187" s="31"/>
      <c r="D187" s="31"/>
      <c r="E187" s="31"/>
      <c r="F187" s="31"/>
      <c r="G187" s="138"/>
      <c r="H187" s="139"/>
      <c r="I187" s="138"/>
      <c r="J187" s="169" t="s">
        <v>320</v>
      </c>
      <c r="K187" s="52"/>
      <c r="L187" s="52"/>
      <c r="M187" s="52"/>
      <c r="N187" s="52"/>
      <c r="O187" s="52"/>
      <c r="P187" s="52"/>
      <c r="Q187" s="52"/>
      <c r="R187" s="169" t="s">
        <v>268</v>
      </c>
      <c r="S187" s="52"/>
      <c r="T187" s="52"/>
      <c r="U187" s="52"/>
      <c r="V187" s="52"/>
      <c r="W187" s="52"/>
      <c r="X187" s="52"/>
      <c r="Y187" s="52"/>
      <c r="Z187" s="52"/>
      <c r="AA187" s="52"/>
      <c r="AB187" s="52"/>
      <c r="AC187" s="52"/>
      <c r="AD187" s="52"/>
      <c r="AE187" s="52"/>
      <c r="AF187" s="52"/>
      <c r="AG187" s="52"/>
      <c r="AH187" s="52"/>
      <c r="AI187" s="52"/>
      <c r="AJ187" s="170"/>
      <c r="AK187" s="140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141"/>
    </row>
    <row r="188" spans="2:61" ht="20.100000000000001" customHeight="1" x14ac:dyDescent="0.45">
      <c r="B188" s="168"/>
      <c r="C188" s="31"/>
      <c r="D188" s="31"/>
      <c r="E188" s="31"/>
      <c r="F188" s="31"/>
      <c r="G188" s="138"/>
      <c r="H188" s="139"/>
      <c r="I188" s="138"/>
      <c r="J188" s="169" t="s">
        <v>321</v>
      </c>
      <c r="K188" s="52"/>
      <c r="L188" s="52"/>
      <c r="M188" s="52"/>
      <c r="N188" s="52"/>
      <c r="O188" s="52"/>
      <c r="P188" s="52"/>
      <c r="Q188" s="52"/>
      <c r="R188" s="169" t="s">
        <v>269</v>
      </c>
      <c r="S188" s="52"/>
      <c r="T188" s="52"/>
      <c r="U188" s="52"/>
      <c r="V188" s="52"/>
      <c r="W188" s="52"/>
      <c r="X188" s="52"/>
      <c r="Y188" s="52"/>
      <c r="Z188" s="52"/>
      <c r="AA188" s="52"/>
      <c r="AB188" s="52"/>
      <c r="AC188" s="52"/>
      <c r="AD188" s="52"/>
      <c r="AE188" s="52"/>
      <c r="AF188" s="52"/>
      <c r="AG188" s="52"/>
      <c r="AH188" s="52"/>
      <c r="AI188" s="52"/>
      <c r="AJ188" s="170"/>
      <c r="AK188" s="140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141"/>
    </row>
    <row r="189" spans="2:61" ht="20.100000000000001" customHeight="1" x14ac:dyDescent="0.45">
      <c r="B189" s="168"/>
      <c r="C189" s="31"/>
      <c r="D189" s="31"/>
      <c r="E189" s="31"/>
      <c r="F189" s="31"/>
      <c r="G189" s="138"/>
      <c r="H189" s="139"/>
      <c r="I189" s="138"/>
      <c r="J189" s="169" t="s">
        <v>322</v>
      </c>
      <c r="K189" s="52"/>
      <c r="L189" s="52"/>
      <c r="M189" s="52"/>
      <c r="N189" s="52"/>
      <c r="O189" s="52"/>
      <c r="P189" s="52"/>
      <c r="Q189" s="52"/>
      <c r="R189" s="169" t="s">
        <v>270</v>
      </c>
      <c r="S189" s="52"/>
      <c r="T189" s="52"/>
      <c r="U189" s="52"/>
      <c r="V189" s="52"/>
      <c r="W189" s="52"/>
      <c r="X189" s="52"/>
      <c r="Y189" s="52"/>
      <c r="Z189" s="52"/>
      <c r="AA189" s="52"/>
      <c r="AB189" s="52"/>
      <c r="AC189" s="52"/>
      <c r="AD189" s="52"/>
      <c r="AE189" s="52"/>
      <c r="AF189" s="52"/>
      <c r="AG189" s="52"/>
      <c r="AH189" s="52"/>
      <c r="AI189" s="52"/>
      <c r="AJ189" s="170"/>
      <c r="AK189" s="140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141"/>
    </row>
    <row r="190" spans="2:61" ht="20.100000000000001" customHeight="1" x14ac:dyDescent="0.45">
      <c r="B190" s="168"/>
      <c r="C190" s="31"/>
      <c r="D190" s="31"/>
      <c r="E190" s="31"/>
      <c r="F190" s="31"/>
      <c r="G190" s="138"/>
      <c r="H190" s="139"/>
      <c r="I190" s="138"/>
      <c r="J190" s="169" t="s">
        <v>323</v>
      </c>
      <c r="K190" s="52"/>
      <c r="L190" s="52"/>
      <c r="M190" s="52"/>
      <c r="N190" s="52"/>
      <c r="O190" s="52"/>
      <c r="P190" s="52"/>
      <c r="Q190" s="52"/>
      <c r="R190" s="169" t="s">
        <v>271</v>
      </c>
      <c r="S190" s="52"/>
      <c r="T190" s="52"/>
      <c r="U190" s="52"/>
      <c r="V190" s="52"/>
      <c r="W190" s="52"/>
      <c r="X190" s="52"/>
      <c r="Y190" s="52"/>
      <c r="Z190" s="52"/>
      <c r="AA190" s="52"/>
      <c r="AB190" s="52"/>
      <c r="AC190" s="52"/>
      <c r="AD190" s="52"/>
      <c r="AE190" s="52"/>
      <c r="AF190" s="52"/>
      <c r="AG190" s="52"/>
      <c r="AH190" s="52"/>
      <c r="AI190" s="52"/>
      <c r="AJ190" s="170"/>
      <c r="AK190" s="140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141"/>
    </row>
    <row r="191" spans="2:61" ht="20.100000000000001" customHeight="1" x14ac:dyDescent="0.45">
      <c r="B191" s="168"/>
      <c r="C191" s="31"/>
      <c r="D191" s="31"/>
      <c r="E191" s="31"/>
      <c r="F191" s="31"/>
      <c r="G191" s="138"/>
      <c r="H191" s="139"/>
      <c r="I191" s="138"/>
      <c r="J191" s="169" t="s">
        <v>324</v>
      </c>
      <c r="K191" s="52"/>
      <c r="L191" s="52"/>
      <c r="M191" s="52"/>
      <c r="N191" s="52"/>
      <c r="O191" s="52"/>
      <c r="P191" s="52"/>
      <c r="Q191" s="52"/>
      <c r="R191" s="169" t="s">
        <v>272</v>
      </c>
      <c r="S191" s="52"/>
      <c r="T191" s="52"/>
      <c r="U191" s="52"/>
      <c r="V191" s="52"/>
      <c r="W191" s="52"/>
      <c r="X191" s="52"/>
      <c r="Y191" s="52"/>
      <c r="Z191" s="52"/>
      <c r="AA191" s="52"/>
      <c r="AB191" s="52"/>
      <c r="AC191" s="52"/>
      <c r="AD191" s="52"/>
      <c r="AE191" s="52"/>
      <c r="AF191" s="52"/>
      <c r="AG191" s="52"/>
      <c r="AH191" s="52"/>
      <c r="AI191" s="52"/>
      <c r="AJ191" s="170"/>
      <c r="AK191" s="140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141"/>
    </row>
    <row r="192" spans="2:61" ht="20.100000000000001" customHeight="1" x14ac:dyDescent="0.45">
      <c r="B192" s="168"/>
      <c r="C192" s="31"/>
      <c r="D192" s="31"/>
      <c r="E192" s="31"/>
      <c r="F192" s="31"/>
      <c r="G192" s="138"/>
      <c r="H192" s="139"/>
      <c r="I192" s="138"/>
      <c r="J192" s="169" t="s">
        <v>325</v>
      </c>
      <c r="K192" s="52"/>
      <c r="L192" s="52"/>
      <c r="M192" s="52"/>
      <c r="N192" s="52"/>
      <c r="O192" s="52"/>
      <c r="P192" s="52"/>
      <c r="Q192" s="52"/>
      <c r="R192" s="169" t="s">
        <v>273</v>
      </c>
      <c r="S192" s="52"/>
      <c r="T192" s="52"/>
      <c r="U192" s="52"/>
      <c r="V192" s="52"/>
      <c r="W192" s="52"/>
      <c r="X192" s="52"/>
      <c r="Y192" s="52"/>
      <c r="Z192" s="52"/>
      <c r="AA192" s="52"/>
      <c r="AB192" s="52"/>
      <c r="AC192" s="52"/>
      <c r="AD192" s="52"/>
      <c r="AE192" s="52"/>
      <c r="AF192" s="52"/>
      <c r="AG192" s="52"/>
      <c r="AH192" s="52"/>
      <c r="AI192" s="52"/>
      <c r="AJ192" s="170"/>
      <c r="AK192" s="140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141"/>
    </row>
    <row r="193" spans="2:61" ht="20.100000000000001" customHeight="1" x14ac:dyDescent="0.45">
      <c r="B193" s="168"/>
      <c r="C193" s="31"/>
      <c r="D193" s="31"/>
      <c r="E193" s="31"/>
      <c r="F193" s="31"/>
      <c r="G193" s="138"/>
      <c r="H193" s="139"/>
      <c r="I193" s="138"/>
      <c r="J193" s="169" t="s">
        <v>326</v>
      </c>
      <c r="K193" s="52"/>
      <c r="L193" s="52"/>
      <c r="M193" s="52"/>
      <c r="N193" s="52"/>
      <c r="O193" s="52"/>
      <c r="P193" s="52"/>
      <c r="Q193" s="52"/>
      <c r="R193" s="169" t="s">
        <v>274</v>
      </c>
      <c r="S193" s="52"/>
      <c r="T193" s="52"/>
      <c r="U193" s="52"/>
      <c r="V193" s="52"/>
      <c r="W193" s="52"/>
      <c r="X193" s="52"/>
      <c r="Y193" s="52"/>
      <c r="Z193" s="52"/>
      <c r="AA193" s="52"/>
      <c r="AB193" s="52"/>
      <c r="AC193" s="52"/>
      <c r="AD193" s="52"/>
      <c r="AE193" s="52"/>
      <c r="AF193" s="52"/>
      <c r="AG193" s="52"/>
      <c r="AH193" s="52"/>
      <c r="AI193" s="52"/>
      <c r="AJ193" s="170"/>
      <c r="AK193" s="140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141"/>
    </row>
    <row r="194" spans="2:61" ht="20.100000000000001" customHeight="1" x14ac:dyDescent="0.45">
      <c r="B194" s="168"/>
      <c r="C194" s="31"/>
      <c r="D194" s="31"/>
      <c r="E194" s="31"/>
      <c r="F194" s="31"/>
      <c r="G194" s="138"/>
      <c r="H194" s="139"/>
      <c r="I194" s="138"/>
      <c r="J194" s="169" t="s">
        <v>327</v>
      </c>
      <c r="K194" s="52"/>
      <c r="L194" s="52"/>
      <c r="M194" s="52"/>
      <c r="N194" s="52"/>
      <c r="O194" s="52"/>
      <c r="P194" s="52"/>
      <c r="Q194" s="52"/>
      <c r="R194" s="169" t="s">
        <v>275</v>
      </c>
      <c r="S194" s="52"/>
      <c r="T194" s="52"/>
      <c r="U194" s="52"/>
      <c r="V194" s="52"/>
      <c r="W194" s="52"/>
      <c r="X194" s="52"/>
      <c r="Y194" s="52"/>
      <c r="Z194" s="52"/>
      <c r="AA194" s="52"/>
      <c r="AB194" s="52"/>
      <c r="AC194" s="52"/>
      <c r="AD194" s="52"/>
      <c r="AE194" s="52"/>
      <c r="AF194" s="52"/>
      <c r="AG194" s="52"/>
      <c r="AH194" s="52"/>
      <c r="AI194" s="52"/>
      <c r="AJ194" s="170"/>
      <c r="AK194" s="140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141"/>
    </row>
    <row r="195" spans="2:61" ht="20.100000000000001" customHeight="1" x14ac:dyDescent="0.45">
      <c r="B195" s="168"/>
      <c r="C195" s="31"/>
      <c r="D195" s="31"/>
      <c r="E195" s="31"/>
      <c r="F195" s="31"/>
      <c r="G195" s="138"/>
      <c r="H195" s="139"/>
      <c r="I195" s="138"/>
      <c r="J195" s="169" t="s">
        <v>296</v>
      </c>
      <c r="K195" s="52"/>
      <c r="L195" s="52"/>
      <c r="M195" s="52"/>
      <c r="N195" s="52"/>
      <c r="O195" s="52"/>
      <c r="P195" s="52"/>
      <c r="Q195" s="52"/>
      <c r="R195" s="169" t="s">
        <v>295</v>
      </c>
      <c r="S195" s="52"/>
      <c r="T195" s="52"/>
      <c r="U195" s="52"/>
      <c r="V195" s="52"/>
      <c r="W195" s="52"/>
      <c r="X195" s="52"/>
      <c r="Y195" s="52"/>
      <c r="Z195" s="52"/>
      <c r="AA195" s="52"/>
      <c r="AB195" s="52"/>
      <c r="AC195" s="52"/>
      <c r="AD195" s="52"/>
      <c r="AE195" s="52"/>
      <c r="AF195" s="52"/>
      <c r="AG195" s="52"/>
      <c r="AH195" s="52"/>
      <c r="AI195" s="52"/>
      <c r="AJ195" s="170"/>
      <c r="AK195" s="140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141"/>
    </row>
    <row r="196" spans="2:61" ht="20.100000000000001" customHeight="1" x14ac:dyDescent="0.45">
      <c r="B196" s="168"/>
      <c r="C196" s="31"/>
      <c r="D196" s="31"/>
      <c r="E196" s="31"/>
      <c r="F196" s="31"/>
      <c r="G196" s="138"/>
      <c r="H196" s="139"/>
      <c r="I196" s="138"/>
      <c r="J196" s="169" t="s">
        <v>328</v>
      </c>
      <c r="K196" s="52"/>
      <c r="L196" s="52"/>
      <c r="M196" s="52"/>
      <c r="N196" s="52"/>
      <c r="O196" s="52"/>
      <c r="P196" s="52"/>
      <c r="Q196" s="52"/>
      <c r="R196" s="169" t="s">
        <v>276</v>
      </c>
      <c r="S196" s="52"/>
      <c r="T196" s="52"/>
      <c r="U196" s="52"/>
      <c r="V196" s="52"/>
      <c r="W196" s="52"/>
      <c r="X196" s="52"/>
      <c r="Y196" s="52"/>
      <c r="Z196" s="52"/>
      <c r="AA196" s="52"/>
      <c r="AB196" s="52"/>
      <c r="AC196" s="52"/>
      <c r="AD196" s="52"/>
      <c r="AE196" s="52"/>
      <c r="AF196" s="52"/>
      <c r="AG196" s="52"/>
      <c r="AH196" s="52"/>
      <c r="AI196" s="52"/>
      <c r="AJ196" s="170"/>
      <c r="AK196" s="140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141"/>
    </row>
    <row r="197" spans="2:61" ht="20.100000000000001" customHeight="1" x14ac:dyDescent="0.45">
      <c r="B197" s="168"/>
      <c r="C197" s="31"/>
      <c r="D197" s="31"/>
      <c r="E197" s="31"/>
      <c r="F197" s="31"/>
      <c r="G197" s="138"/>
      <c r="H197" s="139"/>
      <c r="I197" s="138"/>
      <c r="J197" s="169" t="s">
        <v>329</v>
      </c>
      <c r="K197" s="52"/>
      <c r="L197" s="52"/>
      <c r="M197" s="52"/>
      <c r="N197" s="52"/>
      <c r="O197" s="52"/>
      <c r="P197" s="52"/>
      <c r="Q197" s="52"/>
      <c r="R197" s="169" t="s">
        <v>277</v>
      </c>
      <c r="S197" s="52"/>
      <c r="T197" s="52"/>
      <c r="U197" s="52"/>
      <c r="V197" s="52"/>
      <c r="W197" s="52"/>
      <c r="X197" s="52"/>
      <c r="Y197" s="52"/>
      <c r="Z197" s="52"/>
      <c r="AA197" s="52"/>
      <c r="AB197" s="52"/>
      <c r="AC197" s="52"/>
      <c r="AD197" s="52"/>
      <c r="AE197" s="52"/>
      <c r="AF197" s="52"/>
      <c r="AG197" s="52"/>
      <c r="AH197" s="52"/>
      <c r="AI197" s="52"/>
      <c r="AJ197" s="170"/>
      <c r="AK197" s="140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141"/>
    </row>
    <row r="198" spans="2:61" ht="20.100000000000001" customHeight="1" x14ac:dyDescent="0.45">
      <c r="B198" s="168"/>
      <c r="C198" s="31"/>
      <c r="D198" s="31"/>
      <c r="E198" s="31"/>
      <c r="F198" s="31"/>
      <c r="G198" s="138"/>
      <c r="H198" s="139"/>
      <c r="I198" s="138"/>
      <c r="J198" s="169" t="s">
        <v>298</v>
      </c>
      <c r="K198" s="52"/>
      <c r="L198" s="52"/>
      <c r="M198" s="52"/>
      <c r="N198" s="52"/>
      <c r="O198" s="52"/>
      <c r="P198" s="52"/>
      <c r="Q198" s="52"/>
      <c r="R198" s="174" t="s">
        <v>278</v>
      </c>
      <c r="S198" s="52"/>
      <c r="T198" s="52"/>
      <c r="U198" s="52"/>
      <c r="V198" s="52"/>
      <c r="W198" s="52"/>
      <c r="X198" s="52"/>
      <c r="Y198" s="52"/>
      <c r="Z198" s="52"/>
      <c r="AA198" s="52"/>
      <c r="AB198" s="52"/>
      <c r="AC198" s="52"/>
      <c r="AD198" s="52"/>
      <c r="AE198" s="52"/>
      <c r="AF198" s="52"/>
      <c r="AG198" s="52"/>
      <c r="AH198" s="52"/>
      <c r="AI198" s="52"/>
      <c r="AJ198" s="170"/>
      <c r="AK198" s="140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141"/>
    </row>
    <row r="199" spans="2:61" ht="20.100000000000001" customHeight="1" x14ac:dyDescent="0.45">
      <c r="B199" s="168"/>
      <c r="C199" s="31"/>
      <c r="D199" s="31"/>
      <c r="E199" s="31"/>
      <c r="F199" s="31"/>
      <c r="G199" s="138"/>
      <c r="H199" s="139"/>
      <c r="I199" s="138"/>
      <c r="J199" s="169" t="s">
        <v>330</v>
      </c>
      <c r="K199" s="52"/>
      <c r="L199" s="52"/>
      <c r="M199" s="52"/>
      <c r="N199" s="52"/>
      <c r="O199" s="52"/>
      <c r="P199" s="52"/>
      <c r="Q199" s="52"/>
      <c r="R199" s="169" t="s">
        <v>279</v>
      </c>
      <c r="S199" s="52"/>
      <c r="T199" s="52"/>
      <c r="U199" s="52"/>
      <c r="V199" s="52"/>
      <c r="W199" s="52"/>
      <c r="X199" s="52"/>
      <c r="Y199" s="52"/>
      <c r="Z199" s="52"/>
      <c r="AA199" s="52"/>
      <c r="AB199" s="52"/>
      <c r="AC199" s="52"/>
      <c r="AD199" s="52"/>
      <c r="AE199" s="52"/>
      <c r="AF199" s="52"/>
      <c r="AG199" s="52"/>
      <c r="AH199" s="52"/>
      <c r="AI199" s="52"/>
      <c r="AJ199" s="170"/>
      <c r="AK199" s="140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141"/>
    </row>
    <row r="200" spans="2:61" ht="20.100000000000001" customHeight="1" x14ac:dyDescent="0.45">
      <c r="B200" s="168"/>
      <c r="C200" s="31"/>
      <c r="D200" s="31"/>
      <c r="E200" s="31"/>
      <c r="F200" s="31"/>
      <c r="G200" s="138"/>
      <c r="H200" s="139"/>
      <c r="I200" s="138"/>
      <c r="J200" s="169" t="s">
        <v>301</v>
      </c>
      <c r="K200" s="52"/>
      <c r="L200" s="52"/>
      <c r="M200" s="52"/>
      <c r="N200" s="52"/>
      <c r="O200" s="52"/>
      <c r="P200" s="52"/>
      <c r="Q200" s="52"/>
      <c r="R200" s="169" t="s">
        <v>299</v>
      </c>
      <c r="S200" s="52"/>
      <c r="T200" s="52"/>
      <c r="U200" s="52"/>
      <c r="V200" s="52"/>
      <c r="W200" s="52"/>
      <c r="X200" s="52"/>
      <c r="Y200" s="52"/>
      <c r="Z200" s="52"/>
      <c r="AA200" s="52"/>
      <c r="AB200" s="52"/>
      <c r="AC200" s="52"/>
      <c r="AD200" s="52"/>
      <c r="AE200" s="52"/>
      <c r="AF200" s="52"/>
      <c r="AG200" s="52"/>
      <c r="AH200" s="52"/>
      <c r="AI200" s="52"/>
      <c r="AJ200" s="170"/>
      <c r="AK200" s="140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141"/>
    </row>
    <row r="201" spans="2:61" ht="20.100000000000001" customHeight="1" x14ac:dyDescent="0.45">
      <c r="B201" s="168"/>
      <c r="C201" s="31"/>
      <c r="D201" s="31"/>
      <c r="E201" s="31"/>
      <c r="F201" s="31"/>
      <c r="G201" s="138"/>
      <c r="H201" s="139"/>
      <c r="I201" s="138"/>
      <c r="J201" s="169" t="s">
        <v>331</v>
      </c>
      <c r="K201" s="52"/>
      <c r="L201" s="52"/>
      <c r="M201" s="52"/>
      <c r="N201" s="52"/>
      <c r="O201" s="52"/>
      <c r="P201" s="52"/>
      <c r="Q201" s="52"/>
      <c r="R201" s="169" t="s">
        <v>280</v>
      </c>
      <c r="S201" s="52"/>
      <c r="T201" s="52"/>
      <c r="U201" s="52"/>
      <c r="V201" s="52"/>
      <c r="W201" s="52"/>
      <c r="X201" s="52"/>
      <c r="Y201" s="52"/>
      <c r="Z201" s="52"/>
      <c r="AA201" s="52"/>
      <c r="AB201" s="52"/>
      <c r="AC201" s="52"/>
      <c r="AD201" s="52"/>
      <c r="AE201" s="52"/>
      <c r="AF201" s="52"/>
      <c r="AG201" s="52"/>
      <c r="AH201" s="52"/>
      <c r="AI201" s="52"/>
      <c r="AJ201" s="170"/>
      <c r="AK201" s="140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141"/>
    </row>
    <row r="202" spans="2:61" ht="20.100000000000001" customHeight="1" x14ac:dyDescent="0.45">
      <c r="B202" s="168"/>
      <c r="C202" s="31"/>
      <c r="D202" s="31"/>
      <c r="E202" s="31"/>
      <c r="F202" s="31"/>
      <c r="G202" s="138"/>
      <c r="H202" s="139"/>
      <c r="I202" s="138"/>
      <c r="J202" s="169" t="s">
        <v>302</v>
      </c>
      <c r="K202" s="52"/>
      <c r="L202" s="52"/>
      <c r="M202" s="52"/>
      <c r="N202" s="52"/>
      <c r="O202" s="52"/>
      <c r="P202" s="52"/>
      <c r="Q202" s="52"/>
      <c r="R202" s="174" t="s">
        <v>281</v>
      </c>
      <c r="S202" s="52"/>
      <c r="T202" s="52"/>
      <c r="U202" s="52"/>
      <c r="V202" s="52"/>
      <c r="W202" s="52"/>
      <c r="X202" s="52"/>
      <c r="Y202" s="52"/>
      <c r="Z202" s="52"/>
      <c r="AA202" s="52"/>
      <c r="AB202" s="52"/>
      <c r="AC202" s="52"/>
      <c r="AD202" s="52"/>
      <c r="AE202" s="52"/>
      <c r="AF202" s="52"/>
      <c r="AG202" s="52"/>
      <c r="AH202" s="52"/>
      <c r="AI202" s="52"/>
      <c r="AJ202" s="170"/>
      <c r="AK202" s="140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141"/>
    </row>
    <row r="203" spans="2:61" ht="20.100000000000001" customHeight="1" x14ac:dyDescent="0.45">
      <c r="B203" s="168"/>
      <c r="C203" s="31"/>
      <c r="D203" s="31"/>
      <c r="E203" s="31"/>
      <c r="F203" s="31"/>
      <c r="G203" s="138"/>
      <c r="H203" s="139"/>
      <c r="I203" s="138"/>
      <c r="J203" s="169" t="s">
        <v>307</v>
      </c>
      <c r="K203" s="52"/>
      <c r="L203" s="52"/>
      <c r="M203" s="52"/>
      <c r="N203" s="52"/>
      <c r="O203" s="52"/>
      <c r="P203" s="52"/>
      <c r="Q203" s="52"/>
      <c r="R203" s="169">
        <v>0</v>
      </c>
      <c r="S203" s="52"/>
      <c r="T203" s="52"/>
      <c r="U203" s="52"/>
      <c r="V203" s="52"/>
      <c r="W203" s="52"/>
      <c r="X203" s="52"/>
      <c r="Y203" s="52"/>
      <c r="Z203" s="52"/>
      <c r="AA203" s="52"/>
      <c r="AB203" s="52"/>
      <c r="AC203" s="52"/>
      <c r="AD203" s="52"/>
      <c r="AE203" s="52"/>
      <c r="AF203" s="52"/>
      <c r="AG203" s="52"/>
      <c r="AH203" s="52"/>
      <c r="AI203" s="52"/>
      <c r="AJ203" s="170"/>
      <c r="AK203" s="140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141"/>
    </row>
    <row r="204" spans="2:61" ht="20.100000000000001" customHeight="1" x14ac:dyDescent="0.45">
      <c r="B204" s="168"/>
      <c r="C204" s="31"/>
      <c r="D204" s="31"/>
      <c r="E204" s="31"/>
      <c r="F204" s="31"/>
      <c r="G204" s="138"/>
      <c r="H204" s="139"/>
      <c r="I204" s="138"/>
      <c r="J204" s="169" t="s">
        <v>309</v>
      </c>
      <c r="K204" s="52"/>
      <c r="L204" s="52"/>
      <c r="M204" s="52"/>
      <c r="N204" s="52"/>
      <c r="O204" s="52"/>
      <c r="P204" s="52"/>
      <c r="Q204" s="52"/>
      <c r="R204" s="169">
        <v>0</v>
      </c>
      <c r="S204" s="52"/>
      <c r="T204" s="52"/>
      <c r="U204" s="52"/>
      <c r="V204" s="52"/>
      <c r="W204" s="52"/>
      <c r="X204" s="52"/>
      <c r="Y204" s="52"/>
      <c r="Z204" s="52"/>
      <c r="AA204" s="52"/>
      <c r="AB204" s="52"/>
      <c r="AC204" s="52"/>
      <c r="AD204" s="52"/>
      <c r="AE204" s="52"/>
      <c r="AF204" s="52"/>
      <c r="AG204" s="52"/>
      <c r="AH204" s="52"/>
      <c r="AI204" s="52"/>
      <c r="AJ204" s="170"/>
      <c r="AK204" s="140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141"/>
    </row>
    <row r="205" spans="2:61" ht="20.100000000000001" customHeight="1" x14ac:dyDescent="0.45">
      <c r="B205" s="168"/>
      <c r="C205" s="31"/>
      <c r="D205" s="31"/>
      <c r="E205" s="31"/>
      <c r="F205" s="31"/>
      <c r="G205" s="138"/>
      <c r="H205" s="139"/>
      <c r="I205" s="138"/>
      <c r="J205" s="169" t="s">
        <v>333</v>
      </c>
      <c r="K205" s="52"/>
      <c r="L205" s="52"/>
      <c r="M205" s="52"/>
      <c r="N205" s="52"/>
      <c r="O205" s="52"/>
      <c r="P205" s="52"/>
      <c r="Q205" s="52"/>
      <c r="R205" s="169" t="s">
        <v>284</v>
      </c>
      <c r="S205" s="52"/>
      <c r="T205" s="52"/>
      <c r="U205" s="52"/>
      <c r="V205" s="52"/>
      <c r="W205" s="52"/>
      <c r="X205" s="52"/>
      <c r="Y205" s="52"/>
      <c r="Z205" s="52"/>
      <c r="AA205" s="52"/>
      <c r="AB205" s="52"/>
      <c r="AC205" s="52"/>
      <c r="AD205" s="52"/>
      <c r="AE205" s="52"/>
      <c r="AF205" s="52"/>
      <c r="AG205" s="52"/>
      <c r="AH205" s="52"/>
      <c r="AI205" s="52"/>
      <c r="AJ205" s="170"/>
      <c r="AK205" s="140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141"/>
    </row>
    <row r="206" spans="2:61" ht="20.100000000000001" customHeight="1" x14ac:dyDescent="0.45">
      <c r="B206" s="168"/>
      <c r="C206" s="31"/>
      <c r="D206" s="31"/>
      <c r="E206" s="31"/>
      <c r="F206" s="31"/>
      <c r="G206" s="138"/>
      <c r="H206" s="139"/>
      <c r="I206" s="138"/>
      <c r="J206" s="169" t="s">
        <v>305</v>
      </c>
      <c r="K206" s="52"/>
      <c r="L206" s="52"/>
      <c r="M206" s="52"/>
      <c r="N206" s="52"/>
      <c r="O206" s="52"/>
      <c r="P206" s="52"/>
      <c r="Q206" s="52"/>
      <c r="R206" s="169" t="s">
        <v>303</v>
      </c>
      <c r="S206" s="52"/>
      <c r="T206" s="52"/>
      <c r="U206" s="52"/>
      <c r="V206" s="52"/>
      <c r="W206" s="52"/>
      <c r="X206" s="52"/>
      <c r="Y206" s="52"/>
      <c r="Z206" s="52"/>
      <c r="AA206" s="52"/>
      <c r="AB206" s="52"/>
      <c r="AC206" s="52"/>
      <c r="AD206" s="52"/>
      <c r="AE206" s="52"/>
      <c r="AF206" s="52"/>
      <c r="AG206" s="52"/>
      <c r="AH206" s="52"/>
      <c r="AI206" s="52"/>
      <c r="AJ206" s="170"/>
      <c r="AK206" s="140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141"/>
    </row>
    <row r="207" spans="2:61" ht="20.100000000000001" customHeight="1" x14ac:dyDescent="0.45">
      <c r="B207" s="168"/>
      <c r="C207" s="31"/>
      <c r="D207" s="31"/>
      <c r="E207" s="31"/>
      <c r="F207" s="31"/>
      <c r="G207" s="138"/>
      <c r="H207" s="139"/>
      <c r="I207" s="138"/>
      <c r="J207" s="169" t="s">
        <v>334</v>
      </c>
      <c r="K207" s="52"/>
      <c r="L207" s="52"/>
      <c r="M207" s="52"/>
      <c r="N207" s="52"/>
      <c r="O207" s="52"/>
      <c r="P207" s="52"/>
      <c r="Q207" s="52"/>
      <c r="R207" s="169" t="s">
        <v>285</v>
      </c>
      <c r="S207" s="52"/>
      <c r="T207" s="52"/>
      <c r="U207" s="52"/>
      <c r="V207" s="52"/>
      <c r="W207" s="52"/>
      <c r="X207" s="52"/>
      <c r="Y207" s="52"/>
      <c r="Z207" s="52"/>
      <c r="AA207" s="52"/>
      <c r="AB207" s="52"/>
      <c r="AC207" s="52"/>
      <c r="AD207" s="52"/>
      <c r="AE207" s="52"/>
      <c r="AF207" s="52"/>
      <c r="AG207" s="52"/>
      <c r="AH207" s="52"/>
      <c r="AI207" s="52"/>
      <c r="AJ207" s="170"/>
      <c r="AK207" s="140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141"/>
    </row>
    <row r="208" spans="2:61" ht="20.100000000000001" customHeight="1" x14ac:dyDescent="0.45">
      <c r="B208" s="168"/>
      <c r="C208" s="31"/>
      <c r="D208" s="31"/>
      <c r="E208" s="31"/>
      <c r="F208" s="31"/>
      <c r="G208" s="138"/>
      <c r="H208" s="139"/>
      <c r="I208" s="138"/>
      <c r="J208" s="169" t="s">
        <v>335</v>
      </c>
      <c r="K208" s="52"/>
      <c r="L208" s="52"/>
      <c r="M208" s="52"/>
      <c r="N208" s="52"/>
      <c r="O208" s="52"/>
      <c r="P208" s="52"/>
      <c r="Q208" s="52"/>
      <c r="R208" s="169" t="s">
        <v>286</v>
      </c>
      <c r="S208" s="52"/>
      <c r="T208" s="52"/>
      <c r="U208" s="52"/>
      <c r="V208" s="52"/>
      <c r="W208" s="52"/>
      <c r="X208" s="52"/>
      <c r="Y208" s="52"/>
      <c r="Z208" s="52"/>
      <c r="AA208" s="52"/>
      <c r="AB208" s="52"/>
      <c r="AC208" s="52"/>
      <c r="AD208" s="52"/>
      <c r="AE208" s="52"/>
      <c r="AF208" s="52"/>
      <c r="AG208" s="52"/>
      <c r="AH208" s="52"/>
      <c r="AI208" s="52"/>
      <c r="AJ208" s="170"/>
      <c r="AK208" s="140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141"/>
    </row>
    <row r="209" spans="2:61" ht="20.100000000000001" customHeight="1" x14ac:dyDescent="0.45">
      <c r="B209" s="168"/>
      <c r="C209" s="31"/>
      <c r="D209" s="31"/>
      <c r="E209" s="31"/>
      <c r="F209" s="31"/>
      <c r="G209" s="138"/>
      <c r="H209" s="139"/>
      <c r="I209" s="138"/>
      <c r="J209" s="169" t="s">
        <v>336</v>
      </c>
      <c r="K209" s="52"/>
      <c r="L209" s="52"/>
      <c r="M209" s="52"/>
      <c r="N209" s="52"/>
      <c r="O209" s="52"/>
      <c r="P209" s="52"/>
      <c r="Q209" s="52"/>
      <c r="R209" s="169" t="s">
        <v>287</v>
      </c>
      <c r="S209" s="52"/>
      <c r="T209" s="52"/>
      <c r="U209" s="52"/>
      <c r="V209" s="52"/>
      <c r="W209" s="52"/>
      <c r="X209" s="52"/>
      <c r="Y209" s="52"/>
      <c r="Z209" s="52"/>
      <c r="AA209" s="52"/>
      <c r="AB209" s="52"/>
      <c r="AC209" s="52"/>
      <c r="AD209" s="52"/>
      <c r="AE209" s="52"/>
      <c r="AF209" s="52"/>
      <c r="AG209" s="52"/>
      <c r="AH209" s="52"/>
      <c r="AI209" s="52"/>
      <c r="AJ209" s="170"/>
      <c r="AK209" s="140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141"/>
    </row>
    <row r="210" spans="2:61" ht="20.100000000000001" customHeight="1" x14ac:dyDescent="0.45">
      <c r="B210" s="168"/>
      <c r="C210" s="31"/>
      <c r="D210" s="31"/>
      <c r="E210" s="31"/>
      <c r="F210" s="31"/>
      <c r="G210" s="138"/>
      <c r="H210" s="139"/>
      <c r="I210" s="138"/>
      <c r="J210" s="169" t="s">
        <v>337</v>
      </c>
      <c r="K210" s="52"/>
      <c r="L210" s="52"/>
      <c r="M210" s="52"/>
      <c r="N210" s="52"/>
      <c r="O210" s="52"/>
      <c r="P210" s="52"/>
      <c r="Q210" s="52"/>
      <c r="R210" s="169" t="s">
        <v>288</v>
      </c>
      <c r="S210" s="52"/>
      <c r="T210" s="52"/>
      <c r="U210" s="52"/>
      <c r="V210" s="52"/>
      <c r="W210" s="52"/>
      <c r="X210" s="52"/>
      <c r="Y210" s="52"/>
      <c r="Z210" s="52"/>
      <c r="AA210" s="52"/>
      <c r="AB210" s="52"/>
      <c r="AC210" s="52"/>
      <c r="AD210" s="52"/>
      <c r="AE210" s="52"/>
      <c r="AF210" s="52"/>
      <c r="AG210" s="52"/>
      <c r="AH210" s="52"/>
      <c r="AI210" s="52"/>
      <c r="AJ210" s="170"/>
      <c r="AK210" s="140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141"/>
    </row>
    <row r="211" spans="2:61" ht="20.100000000000001" customHeight="1" x14ac:dyDescent="0.45">
      <c r="B211" s="168"/>
      <c r="C211" s="31"/>
      <c r="D211" s="31"/>
      <c r="E211" s="31"/>
      <c r="F211" s="31"/>
      <c r="G211" s="138"/>
      <c r="H211" s="139"/>
      <c r="I211" s="138"/>
      <c r="J211" s="169" t="s">
        <v>338</v>
      </c>
      <c r="K211" s="52"/>
      <c r="L211" s="52"/>
      <c r="M211" s="52"/>
      <c r="N211" s="52"/>
      <c r="O211" s="52"/>
      <c r="P211" s="52"/>
      <c r="Q211" s="52"/>
      <c r="R211" s="169" t="s">
        <v>289</v>
      </c>
      <c r="S211" s="52"/>
      <c r="T211" s="52"/>
      <c r="U211" s="52"/>
      <c r="V211" s="52"/>
      <c r="W211" s="52"/>
      <c r="X211" s="52"/>
      <c r="Y211" s="52"/>
      <c r="Z211" s="52"/>
      <c r="AA211" s="52"/>
      <c r="AB211" s="52"/>
      <c r="AC211" s="52"/>
      <c r="AD211" s="52"/>
      <c r="AE211" s="52"/>
      <c r="AF211" s="52"/>
      <c r="AG211" s="52"/>
      <c r="AH211" s="52"/>
      <c r="AI211" s="52"/>
      <c r="AJ211" s="170"/>
      <c r="AK211" s="140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141"/>
    </row>
    <row r="212" spans="2:61" ht="20.100000000000001" customHeight="1" x14ac:dyDescent="0.45">
      <c r="B212" s="168"/>
      <c r="C212" s="31"/>
      <c r="D212" s="31"/>
      <c r="E212" s="31"/>
      <c r="F212" s="31"/>
      <c r="G212" s="138"/>
      <c r="H212" s="139"/>
      <c r="I212" s="138"/>
      <c r="J212" s="169" t="s">
        <v>339</v>
      </c>
      <c r="K212" s="52"/>
      <c r="L212" s="52"/>
      <c r="M212" s="52"/>
      <c r="N212" s="52"/>
      <c r="O212" s="52"/>
      <c r="P212" s="52"/>
      <c r="Q212" s="52"/>
      <c r="R212" s="169" t="s">
        <v>290</v>
      </c>
      <c r="S212" s="52"/>
      <c r="T212" s="52"/>
      <c r="U212" s="52"/>
      <c r="V212" s="52"/>
      <c r="W212" s="52"/>
      <c r="X212" s="52"/>
      <c r="Y212" s="52"/>
      <c r="Z212" s="52"/>
      <c r="AA212" s="52"/>
      <c r="AB212" s="52"/>
      <c r="AC212" s="52"/>
      <c r="AD212" s="52"/>
      <c r="AE212" s="52"/>
      <c r="AF212" s="52"/>
      <c r="AG212" s="52"/>
      <c r="AH212" s="52"/>
      <c r="AI212" s="52"/>
      <c r="AJ212" s="170"/>
      <c r="AK212" s="140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141"/>
    </row>
    <row r="213" spans="2:61" ht="20.100000000000001" customHeight="1" x14ac:dyDescent="0.45">
      <c r="B213" s="168"/>
      <c r="C213" s="31"/>
      <c r="D213" s="31"/>
      <c r="E213" s="31"/>
      <c r="F213" s="31"/>
      <c r="G213" s="138"/>
      <c r="H213" s="139"/>
      <c r="I213" s="138"/>
      <c r="J213" s="142" t="s">
        <v>340</v>
      </c>
      <c r="K213" s="55"/>
      <c r="L213" s="55"/>
      <c r="M213" s="55"/>
      <c r="N213" s="55"/>
      <c r="O213" s="55"/>
      <c r="P213" s="55"/>
      <c r="Q213" s="55"/>
      <c r="R213" s="142" t="s">
        <v>291</v>
      </c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175"/>
      <c r="AK213" s="140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141"/>
    </row>
    <row r="214" spans="2:61" ht="20.100000000000001" customHeight="1" x14ac:dyDescent="0.45">
      <c r="B214" s="168"/>
      <c r="C214" s="31"/>
      <c r="D214" s="31"/>
      <c r="E214" s="31"/>
      <c r="F214" s="31"/>
      <c r="G214" s="138"/>
      <c r="H214" s="142" t="s">
        <v>145</v>
      </c>
      <c r="I214" s="55"/>
      <c r="J214" s="142" t="s">
        <v>359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143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5"/>
      <c r="BD214" s="55"/>
      <c r="BE214" s="55"/>
      <c r="BF214" s="55"/>
      <c r="BG214" s="55"/>
      <c r="BH214" s="55"/>
      <c r="BI214" s="144"/>
    </row>
    <row r="215" spans="2:61" ht="20.100000000000001" customHeight="1" x14ac:dyDescent="0.45">
      <c r="B215" s="137"/>
      <c r="C215" s="31"/>
      <c r="D215" s="31"/>
      <c r="E215" s="31"/>
      <c r="F215" s="31"/>
      <c r="G215" s="138"/>
      <c r="H215" s="139"/>
      <c r="I215" s="31"/>
      <c r="J215" s="139" t="s">
        <v>360</v>
      </c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140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141"/>
    </row>
    <row r="216" spans="2:61" ht="20.100000000000001" customHeight="1" x14ac:dyDescent="0.45">
      <c r="B216" s="137"/>
      <c r="C216" s="31"/>
      <c r="D216" s="31"/>
      <c r="E216" s="31"/>
      <c r="F216" s="31"/>
      <c r="G216" s="138"/>
      <c r="H216" s="139"/>
      <c r="I216" s="31"/>
      <c r="J216" s="139" t="s">
        <v>361</v>
      </c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140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141"/>
    </row>
    <row r="217" spans="2:61" ht="20.100000000000001" customHeight="1" x14ac:dyDescent="0.45">
      <c r="B217" s="137"/>
      <c r="C217" s="31"/>
      <c r="D217" s="31"/>
      <c r="E217" s="31"/>
      <c r="F217" s="31"/>
      <c r="G217" s="138"/>
      <c r="H217" s="139"/>
      <c r="I217" s="31"/>
      <c r="J217" s="139" t="s">
        <v>362</v>
      </c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140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141"/>
    </row>
    <row r="218" spans="2:61" ht="20.100000000000001" customHeight="1" x14ac:dyDescent="0.45">
      <c r="B218" s="137"/>
      <c r="C218" s="31"/>
      <c r="D218" s="31"/>
      <c r="E218" s="31"/>
      <c r="F218" s="31"/>
      <c r="G218" s="138"/>
      <c r="H218" s="139"/>
      <c r="I218" s="31"/>
      <c r="J218" s="139" t="s">
        <v>363</v>
      </c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140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141"/>
    </row>
    <row r="219" spans="2:61" ht="20.100000000000001" customHeight="1" x14ac:dyDescent="0.45">
      <c r="B219" s="137"/>
      <c r="C219" s="31"/>
      <c r="D219" s="31"/>
      <c r="E219" s="31"/>
      <c r="F219" s="31"/>
      <c r="G219" s="138"/>
      <c r="H219" s="142" t="s">
        <v>146</v>
      </c>
      <c r="I219" s="55"/>
      <c r="J219" s="142" t="s">
        <v>174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143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5"/>
      <c r="BD219" s="55"/>
      <c r="BE219" s="55"/>
      <c r="BF219" s="55"/>
      <c r="BG219" s="55"/>
      <c r="BH219" s="55"/>
      <c r="BI219" s="144"/>
    </row>
    <row r="220" spans="2:61" ht="20.100000000000001" customHeight="1" x14ac:dyDescent="0.45">
      <c r="B220" s="137"/>
      <c r="C220" s="31"/>
      <c r="D220" s="31"/>
      <c r="E220" s="31"/>
      <c r="F220" s="31"/>
      <c r="G220" s="138"/>
      <c r="H220" s="139"/>
      <c r="I220" s="31"/>
      <c r="J220" s="139"/>
      <c r="K220" s="31" t="s">
        <v>175</v>
      </c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140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141"/>
    </row>
    <row r="221" spans="2:61" ht="20.100000000000001" customHeight="1" x14ac:dyDescent="0.45">
      <c r="B221" s="137"/>
      <c r="C221" s="31"/>
      <c r="D221" s="31"/>
      <c r="E221" s="31"/>
      <c r="F221" s="31"/>
      <c r="G221" s="138"/>
      <c r="H221" s="139"/>
      <c r="I221" s="31"/>
      <c r="J221" s="139"/>
      <c r="K221" s="31"/>
      <c r="M221" s="31" t="s">
        <v>212</v>
      </c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140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141"/>
    </row>
    <row r="222" spans="2:61" ht="20.100000000000001" customHeight="1" x14ac:dyDescent="0.45">
      <c r="B222" s="137"/>
      <c r="C222" s="31"/>
      <c r="D222" s="31"/>
      <c r="E222" s="31"/>
      <c r="F222" s="31"/>
      <c r="G222" s="138"/>
      <c r="H222" s="139"/>
      <c r="I222" s="31"/>
      <c r="J222" s="139" t="s">
        <v>174</v>
      </c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140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141"/>
    </row>
    <row r="223" spans="2:61" ht="20.100000000000001" customHeight="1" x14ac:dyDescent="0.45">
      <c r="B223" s="137"/>
      <c r="C223" s="31"/>
      <c r="D223" s="31"/>
      <c r="E223" s="31"/>
      <c r="F223" s="31"/>
      <c r="G223" s="138"/>
      <c r="H223" s="139"/>
      <c r="I223" s="31"/>
      <c r="J223" s="139"/>
      <c r="K223" s="31" t="s">
        <v>203</v>
      </c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140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141"/>
    </row>
    <row r="224" spans="2:61" ht="20.100000000000001" customHeight="1" x14ac:dyDescent="0.45">
      <c r="B224" s="137"/>
      <c r="C224" s="31"/>
      <c r="D224" s="31"/>
      <c r="E224" s="31"/>
      <c r="F224" s="31"/>
      <c r="G224" s="138"/>
      <c r="H224" s="139"/>
      <c r="I224" s="31"/>
      <c r="J224" s="139"/>
      <c r="K224" s="31"/>
      <c r="M224" s="31" t="s">
        <v>219</v>
      </c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140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141"/>
    </row>
    <row r="225" spans="2:61" ht="20.100000000000001" customHeight="1" x14ac:dyDescent="0.45">
      <c r="B225" s="137"/>
      <c r="C225" s="31"/>
      <c r="D225" s="31"/>
      <c r="E225" s="31"/>
      <c r="F225" s="31"/>
      <c r="G225" s="138"/>
      <c r="H225" s="139"/>
      <c r="I225" s="31"/>
      <c r="J225" s="139" t="s">
        <v>174</v>
      </c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140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141"/>
    </row>
    <row r="226" spans="2:61" ht="20.100000000000001" customHeight="1" x14ac:dyDescent="0.45">
      <c r="B226" s="137"/>
      <c r="C226" s="31"/>
      <c r="D226" s="31"/>
      <c r="E226" s="31"/>
      <c r="F226" s="31"/>
      <c r="G226" s="138"/>
      <c r="H226" s="139"/>
      <c r="I226" s="31"/>
      <c r="J226" s="139"/>
      <c r="K226" s="6" t="s">
        <v>167</v>
      </c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140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141"/>
    </row>
    <row r="227" spans="2:61" ht="20.100000000000001" customHeight="1" x14ac:dyDescent="0.45">
      <c r="B227" s="137"/>
      <c r="C227" s="31"/>
      <c r="D227" s="31"/>
      <c r="E227" s="31"/>
      <c r="F227" s="31"/>
      <c r="G227" s="138"/>
      <c r="H227" s="139"/>
      <c r="I227" s="31"/>
      <c r="J227" s="139"/>
      <c r="M227" s="31" t="s">
        <v>226</v>
      </c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140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141"/>
    </row>
    <row r="228" spans="2:61" ht="20.100000000000001" customHeight="1" x14ac:dyDescent="0.45">
      <c r="B228" s="137"/>
      <c r="C228" s="31"/>
      <c r="D228" s="31"/>
      <c r="E228" s="31"/>
      <c r="F228" s="31"/>
      <c r="G228" s="138"/>
      <c r="H228" s="139"/>
      <c r="I228" s="31"/>
      <c r="J228" s="139" t="s">
        <v>178</v>
      </c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140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141"/>
    </row>
    <row r="229" spans="2:61" ht="20.100000000000001" customHeight="1" x14ac:dyDescent="0.45">
      <c r="B229" s="137"/>
      <c r="C229" s="31"/>
      <c r="D229" s="31"/>
      <c r="E229" s="31"/>
      <c r="F229" s="31"/>
      <c r="G229" s="138"/>
      <c r="H229" s="139"/>
      <c r="I229" s="31"/>
      <c r="J229" s="139"/>
      <c r="K229" s="31" t="s">
        <v>179</v>
      </c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140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141"/>
    </row>
    <row r="230" spans="2:61" ht="20.100000000000001" customHeight="1" x14ac:dyDescent="0.45">
      <c r="B230" s="137"/>
      <c r="C230" s="31"/>
      <c r="D230" s="31"/>
      <c r="E230" s="31"/>
      <c r="F230" s="31"/>
      <c r="G230" s="138"/>
      <c r="H230" s="139"/>
      <c r="I230" s="31"/>
      <c r="J230" s="139"/>
      <c r="L230" s="31"/>
      <c r="M230" s="31" t="s">
        <v>228</v>
      </c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140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141"/>
    </row>
    <row r="231" spans="2:61" ht="20.100000000000001" customHeight="1" x14ac:dyDescent="0.45">
      <c r="B231" s="137"/>
      <c r="C231" s="31"/>
      <c r="D231" s="31"/>
      <c r="E231" s="31"/>
      <c r="F231" s="31"/>
      <c r="G231" s="138"/>
      <c r="H231" s="145"/>
      <c r="I231" s="146"/>
      <c r="J231" s="139"/>
      <c r="L231" s="31" t="s">
        <v>180</v>
      </c>
      <c r="M231" s="31" t="s">
        <v>229</v>
      </c>
      <c r="N231" s="31"/>
      <c r="O231" s="146"/>
      <c r="P231" s="146"/>
      <c r="Q231" s="146"/>
      <c r="R231" s="146"/>
      <c r="S231" s="146"/>
      <c r="T231" s="146"/>
      <c r="U231" s="146"/>
      <c r="V231" s="146"/>
      <c r="W231" s="146"/>
      <c r="X231" s="146"/>
      <c r="Y231" s="146"/>
      <c r="Z231" s="146"/>
      <c r="AA231" s="146"/>
      <c r="AB231" s="146"/>
      <c r="AC231" s="146"/>
      <c r="AD231" s="146"/>
      <c r="AE231" s="146"/>
      <c r="AF231" s="146"/>
      <c r="AG231" s="146"/>
      <c r="AH231" s="146"/>
      <c r="AI231" s="146"/>
      <c r="AJ231" s="146"/>
      <c r="AK231" s="147"/>
      <c r="AL231" s="146"/>
      <c r="AM231" s="146"/>
      <c r="AN231" s="146"/>
      <c r="AO231" s="146"/>
      <c r="AP231" s="146"/>
      <c r="AQ231" s="146"/>
      <c r="AR231" s="146"/>
      <c r="AS231" s="146"/>
      <c r="AT231" s="146"/>
      <c r="AU231" s="146"/>
      <c r="AV231" s="146"/>
      <c r="AW231" s="146"/>
      <c r="AX231" s="146"/>
      <c r="AY231" s="146"/>
      <c r="AZ231" s="146"/>
      <c r="BA231" s="146"/>
      <c r="BB231" s="146"/>
      <c r="BC231" s="146"/>
      <c r="BD231" s="146"/>
      <c r="BE231" s="146"/>
      <c r="BF231" s="146"/>
      <c r="BG231" s="146"/>
      <c r="BH231" s="146"/>
      <c r="BI231" s="148"/>
    </row>
    <row r="232" spans="2:61" ht="20.100000000000001" customHeight="1" x14ac:dyDescent="0.45">
      <c r="B232" s="137"/>
      <c r="C232" s="31"/>
      <c r="D232" s="31"/>
      <c r="E232" s="31"/>
      <c r="F232" s="31"/>
      <c r="G232" s="138"/>
      <c r="H232" s="139" t="s">
        <v>147</v>
      </c>
      <c r="I232" s="31"/>
      <c r="J232" s="142"/>
      <c r="K232" s="55" t="s">
        <v>210</v>
      </c>
      <c r="L232" s="55"/>
      <c r="M232" s="55"/>
      <c r="N232" s="55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140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141"/>
    </row>
    <row r="233" spans="2:61" ht="20.100000000000001" customHeight="1" x14ac:dyDescent="0.45">
      <c r="B233" s="137"/>
      <c r="C233" s="31"/>
      <c r="D233" s="31"/>
      <c r="E233" s="31"/>
      <c r="F233" s="31"/>
      <c r="G233" s="138"/>
      <c r="H233" s="139"/>
      <c r="I233" s="31"/>
      <c r="J233" s="139" t="s">
        <v>180</v>
      </c>
      <c r="K233" s="31" t="s">
        <v>220</v>
      </c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140" t="s">
        <v>192</v>
      </c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141"/>
    </row>
    <row r="234" spans="2:61" ht="20.100000000000001" customHeight="1" x14ac:dyDescent="0.45">
      <c r="B234" s="137"/>
      <c r="C234" s="31"/>
      <c r="D234" s="31"/>
      <c r="E234" s="31"/>
      <c r="F234" s="31"/>
      <c r="G234" s="138"/>
      <c r="H234" s="139"/>
      <c r="I234" s="31"/>
      <c r="J234" s="139" t="s">
        <v>180</v>
      </c>
      <c r="K234" s="31" t="s">
        <v>184</v>
      </c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139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141"/>
    </row>
    <row r="235" spans="2:61" ht="20.100000000000001" customHeight="1" x14ac:dyDescent="0.45">
      <c r="B235" s="137"/>
      <c r="C235" s="31"/>
      <c r="D235" s="31"/>
      <c r="E235" s="31"/>
      <c r="F235" s="31"/>
      <c r="G235" s="138"/>
      <c r="H235" s="139"/>
      <c r="I235" s="31"/>
      <c r="J235" s="139"/>
      <c r="L235" s="31"/>
      <c r="M235" s="31" t="s">
        <v>215</v>
      </c>
      <c r="N235" s="31"/>
      <c r="O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139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141"/>
    </row>
    <row r="236" spans="2:61" ht="20.100000000000001" customHeight="1" x14ac:dyDescent="0.45">
      <c r="B236" s="137"/>
      <c r="C236" s="31"/>
      <c r="D236" s="31"/>
      <c r="E236" s="31"/>
      <c r="F236" s="31"/>
      <c r="G236" s="138"/>
      <c r="H236" s="139"/>
      <c r="I236" s="31"/>
      <c r="J236" s="139"/>
      <c r="L236" s="31" t="s">
        <v>186</v>
      </c>
      <c r="M236" s="31" t="s">
        <v>216</v>
      </c>
      <c r="N236" s="31"/>
      <c r="O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139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141"/>
    </row>
    <row r="237" spans="2:61" ht="20.100000000000001" customHeight="1" x14ac:dyDescent="0.45">
      <c r="B237" s="137"/>
      <c r="C237" s="31"/>
      <c r="D237" s="31"/>
      <c r="E237" s="31"/>
      <c r="F237" s="31"/>
      <c r="G237" s="138"/>
      <c r="H237" s="139"/>
      <c r="I237" s="31"/>
      <c r="J237" s="139"/>
      <c r="K237" s="31" t="s">
        <v>187</v>
      </c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139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141"/>
    </row>
    <row r="238" spans="2:61" ht="20.100000000000001" customHeight="1" thickBot="1" x14ac:dyDescent="0.5">
      <c r="B238" s="137"/>
      <c r="C238" s="31"/>
      <c r="D238" s="31"/>
      <c r="E238" s="31"/>
      <c r="F238" s="31"/>
      <c r="G238" s="138"/>
      <c r="H238" s="139"/>
      <c r="I238" s="31"/>
      <c r="J238" s="139" t="s">
        <v>180</v>
      </c>
      <c r="K238" s="6" t="s">
        <v>204</v>
      </c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139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141"/>
    </row>
    <row r="239" spans="2:61" ht="20.100000000000001" customHeight="1" x14ac:dyDescent="0.45">
      <c r="B239" s="131" t="s">
        <v>382</v>
      </c>
      <c r="C239" s="132"/>
      <c r="D239" s="132"/>
      <c r="E239" s="132"/>
      <c r="F239" s="132"/>
      <c r="G239" s="133"/>
      <c r="H239" s="134" t="s">
        <v>237</v>
      </c>
      <c r="I239" s="133"/>
      <c r="J239" s="173" t="s">
        <v>311</v>
      </c>
      <c r="K239" s="166"/>
      <c r="L239" s="166"/>
      <c r="M239" s="166"/>
      <c r="N239" s="166"/>
      <c r="O239" s="166"/>
      <c r="P239" s="166"/>
      <c r="Q239" s="166"/>
      <c r="R239" s="173" t="s">
        <v>262</v>
      </c>
      <c r="S239" s="166"/>
      <c r="T239" s="166"/>
      <c r="U239" s="166"/>
      <c r="V239" s="166"/>
      <c r="W239" s="166"/>
      <c r="X239" s="166"/>
      <c r="Y239" s="166"/>
      <c r="Z239" s="166"/>
      <c r="AA239" s="166"/>
      <c r="AB239" s="166"/>
      <c r="AC239" s="166"/>
      <c r="AD239" s="166"/>
      <c r="AE239" s="166"/>
      <c r="AF239" s="166"/>
      <c r="AG239" s="166"/>
      <c r="AH239" s="166"/>
      <c r="AI239" s="166"/>
      <c r="AJ239" s="167"/>
      <c r="AK239" s="135"/>
      <c r="AL239" s="132"/>
      <c r="AM239" s="132"/>
      <c r="AN239" s="132"/>
      <c r="AO239" s="132"/>
      <c r="AP239" s="132"/>
      <c r="AQ239" s="132"/>
      <c r="AR239" s="132"/>
      <c r="AS239" s="132"/>
      <c r="AT239" s="132"/>
      <c r="AU239" s="132"/>
      <c r="AV239" s="132"/>
      <c r="AW239" s="132"/>
      <c r="AX239" s="132"/>
      <c r="AY239" s="132"/>
      <c r="AZ239" s="132"/>
      <c r="BA239" s="132"/>
      <c r="BB239" s="132"/>
      <c r="BC239" s="132"/>
      <c r="BD239" s="132"/>
      <c r="BE239" s="132"/>
      <c r="BF239" s="132"/>
      <c r="BG239" s="132"/>
      <c r="BH239" s="132"/>
      <c r="BI239" s="136"/>
    </row>
    <row r="240" spans="2:61" ht="20.100000000000001" customHeight="1" x14ac:dyDescent="0.45">
      <c r="B240" s="168"/>
      <c r="C240" s="31"/>
      <c r="D240" s="31"/>
      <c r="E240" s="31"/>
      <c r="F240" s="31"/>
      <c r="G240" s="138"/>
      <c r="H240" s="139"/>
      <c r="I240" s="138"/>
      <c r="J240" s="169" t="s">
        <v>294</v>
      </c>
      <c r="K240" s="52"/>
      <c r="L240" s="52"/>
      <c r="M240" s="52"/>
      <c r="N240" s="52"/>
      <c r="O240" s="52"/>
      <c r="P240" s="52"/>
      <c r="Q240" s="52"/>
      <c r="R240" s="169" t="s">
        <v>345</v>
      </c>
      <c r="S240" s="52"/>
      <c r="T240" s="52"/>
      <c r="U240" s="52"/>
      <c r="V240" s="52"/>
      <c r="W240" s="52"/>
      <c r="X240" s="52"/>
      <c r="Y240" s="52"/>
      <c r="Z240" s="52"/>
      <c r="AA240" s="52"/>
      <c r="AB240" s="52"/>
      <c r="AC240" s="52"/>
      <c r="AD240" s="52"/>
      <c r="AE240" s="52"/>
      <c r="AF240" s="52"/>
      <c r="AG240" s="52"/>
      <c r="AH240" s="52"/>
      <c r="AI240" s="52"/>
      <c r="AJ240" s="170"/>
      <c r="AK240" s="140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141"/>
    </row>
    <row r="241" spans="2:61" ht="20.100000000000001" customHeight="1" x14ac:dyDescent="0.45">
      <c r="B241" s="168"/>
      <c r="C241" s="31"/>
      <c r="D241" s="31"/>
      <c r="E241" s="31"/>
      <c r="F241" s="31"/>
      <c r="G241" s="138"/>
      <c r="H241" s="139"/>
      <c r="I241" s="138"/>
      <c r="J241" s="169" t="s">
        <v>314</v>
      </c>
      <c r="K241" s="52"/>
      <c r="L241" s="52"/>
      <c r="M241" s="52"/>
      <c r="N241" s="52"/>
      <c r="O241" s="52"/>
      <c r="P241" s="52"/>
      <c r="Q241" s="52"/>
      <c r="R241" s="169" t="s">
        <v>346</v>
      </c>
      <c r="S241" s="52"/>
      <c r="T241" s="52"/>
      <c r="U241" s="52"/>
      <c r="V241" s="52"/>
      <c r="W241" s="52"/>
      <c r="X241" s="52"/>
      <c r="Y241" s="52"/>
      <c r="Z241" s="52"/>
      <c r="AA241" s="52"/>
      <c r="AB241" s="52"/>
      <c r="AC241" s="52"/>
      <c r="AD241" s="52"/>
      <c r="AE241" s="52"/>
      <c r="AF241" s="52"/>
      <c r="AG241" s="52"/>
      <c r="AH241" s="52"/>
      <c r="AI241" s="52"/>
      <c r="AJ241" s="170"/>
      <c r="AK241" s="140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141"/>
    </row>
    <row r="242" spans="2:61" ht="20.100000000000001" customHeight="1" x14ac:dyDescent="0.45">
      <c r="B242" s="168"/>
      <c r="C242" s="31"/>
      <c r="D242" s="31"/>
      <c r="E242" s="31"/>
      <c r="F242" s="31"/>
      <c r="G242" s="138"/>
      <c r="H242" s="139"/>
      <c r="I242" s="138"/>
      <c r="J242" s="169" t="s">
        <v>315</v>
      </c>
      <c r="K242" s="52"/>
      <c r="L242" s="52"/>
      <c r="M242" s="52"/>
      <c r="N242" s="52"/>
      <c r="O242" s="52"/>
      <c r="P242" s="52"/>
      <c r="Q242" s="52"/>
      <c r="R242" s="169" t="s">
        <v>263</v>
      </c>
      <c r="S242" s="52"/>
      <c r="T242" s="52"/>
      <c r="U242" s="52"/>
      <c r="V242" s="52"/>
      <c r="W242" s="52"/>
      <c r="X242" s="52"/>
      <c r="Y242" s="52"/>
      <c r="Z242" s="52"/>
      <c r="AA242" s="52"/>
      <c r="AB242" s="52"/>
      <c r="AC242" s="52"/>
      <c r="AD242" s="52"/>
      <c r="AE242" s="52"/>
      <c r="AF242" s="52"/>
      <c r="AG242" s="52"/>
      <c r="AH242" s="52"/>
      <c r="AI242" s="52"/>
      <c r="AJ242" s="170"/>
      <c r="AK242" s="140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141"/>
    </row>
    <row r="243" spans="2:61" ht="20.100000000000001" customHeight="1" x14ac:dyDescent="0.45">
      <c r="B243" s="168"/>
      <c r="C243" s="31"/>
      <c r="D243" s="31"/>
      <c r="E243" s="31"/>
      <c r="F243" s="31"/>
      <c r="G243" s="138"/>
      <c r="H243" s="139"/>
      <c r="I243" s="138"/>
      <c r="J243" s="169" t="s">
        <v>316</v>
      </c>
      <c r="K243" s="52"/>
      <c r="L243" s="52"/>
      <c r="M243" s="52"/>
      <c r="N243" s="52"/>
      <c r="O243" s="52"/>
      <c r="P243" s="52"/>
      <c r="Q243" s="52"/>
      <c r="R243" s="169" t="s">
        <v>264</v>
      </c>
      <c r="S243" s="52"/>
      <c r="T243" s="52"/>
      <c r="U243" s="52"/>
      <c r="V243" s="52"/>
      <c r="W243" s="52"/>
      <c r="X243" s="52"/>
      <c r="Y243" s="52"/>
      <c r="Z243" s="52"/>
      <c r="AA243" s="52"/>
      <c r="AB243" s="52"/>
      <c r="AC243" s="52"/>
      <c r="AD243" s="52"/>
      <c r="AE243" s="52"/>
      <c r="AF243" s="52"/>
      <c r="AG243" s="52"/>
      <c r="AH243" s="52"/>
      <c r="AI243" s="52"/>
      <c r="AJ243" s="170"/>
      <c r="AK243" s="140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141"/>
    </row>
    <row r="244" spans="2:61" ht="20.100000000000001" customHeight="1" x14ac:dyDescent="0.45">
      <c r="B244" s="168"/>
      <c r="C244" s="31"/>
      <c r="D244" s="31"/>
      <c r="E244" s="31"/>
      <c r="F244" s="31"/>
      <c r="G244" s="138"/>
      <c r="H244" s="139"/>
      <c r="I244" s="138"/>
      <c r="J244" s="169" t="s">
        <v>317</v>
      </c>
      <c r="K244" s="52"/>
      <c r="L244" s="52"/>
      <c r="M244" s="52"/>
      <c r="N244" s="52"/>
      <c r="O244" s="52"/>
      <c r="P244" s="52"/>
      <c r="Q244" s="52"/>
      <c r="R244" s="169" t="s">
        <v>265</v>
      </c>
      <c r="S244" s="52"/>
      <c r="T244" s="52"/>
      <c r="U244" s="52"/>
      <c r="V244" s="52"/>
      <c r="W244" s="52"/>
      <c r="X244" s="52"/>
      <c r="Y244" s="52"/>
      <c r="Z244" s="52"/>
      <c r="AA244" s="52"/>
      <c r="AB244" s="52"/>
      <c r="AC244" s="52"/>
      <c r="AD244" s="52"/>
      <c r="AE244" s="52"/>
      <c r="AF244" s="52"/>
      <c r="AG244" s="52"/>
      <c r="AH244" s="52"/>
      <c r="AI244" s="52"/>
      <c r="AJ244" s="170"/>
      <c r="AK244" s="140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141"/>
    </row>
    <row r="245" spans="2:61" ht="20.100000000000001" customHeight="1" x14ac:dyDescent="0.45">
      <c r="B245" s="168"/>
      <c r="C245" s="31"/>
      <c r="D245" s="31"/>
      <c r="E245" s="31"/>
      <c r="F245" s="31"/>
      <c r="G245" s="138"/>
      <c r="H245" s="139"/>
      <c r="I245" s="138"/>
      <c r="J245" s="169" t="s">
        <v>318</v>
      </c>
      <c r="K245" s="52"/>
      <c r="L245" s="52"/>
      <c r="M245" s="52"/>
      <c r="N245" s="52"/>
      <c r="O245" s="52"/>
      <c r="P245" s="52"/>
      <c r="Q245" s="52"/>
      <c r="R245" s="169" t="s">
        <v>266</v>
      </c>
      <c r="S245" s="52"/>
      <c r="T245" s="52"/>
      <c r="U245" s="52"/>
      <c r="V245" s="52"/>
      <c r="W245" s="52"/>
      <c r="X245" s="52"/>
      <c r="Y245" s="52"/>
      <c r="Z245" s="52"/>
      <c r="AA245" s="52"/>
      <c r="AB245" s="52"/>
      <c r="AC245" s="52"/>
      <c r="AD245" s="52"/>
      <c r="AE245" s="52"/>
      <c r="AF245" s="52"/>
      <c r="AG245" s="52"/>
      <c r="AH245" s="52"/>
      <c r="AI245" s="52"/>
      <c r="AJ245" s="170"/>
      <c r="AK245" s="140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141"/>
    </row>
    <row r="246" spans="2:61" ht="20.100000000000001" customHeight="1" x14ac:dyDescent="0.45">
      <c r="B246" s="168"/>
      <c r="C246" s="31"/>
      <c r="D246" s="31"/>
      <c r="E246" s="31"/>
      <c r="F246" s="31"/>
      <c r="G246" s="138"/>
      <c r="H246" s="139"/>
      <c r="I246" s="138"/>
      <c r="J246" s="169" t="s">
        <v>319</v>
      </c>
      <c r="K246" s="52"/>
      <c r="L246" s="52"/>
      <c r="M246" s="52"/>
      <c r="N246" s="52"/>
      <c r="O246" s="52"/>
      <c r="P246" s="52"/>
      <c r="Q246" s="52"/>
      <c r="R246" s="169" t="s">
        <v>267</v>
      </c>
      <c r="S246" s="52"/>
      <c r="T246" s="52"/>
      <c r="U246" s="52"/>
      <c r="V246" s="52"/>
      <c r="W246" s="52"/>
      <c r="X246" s="52"/>
      <c r="Y246" s="52"/>
      <c r="Z246" s="52"/>
      <c r="AA246" s="52"/>
      <c r="AB246" s="52"/>
      <c r="AC246" s="52"/>
      <c r="AD246" s="52"/>
      <c r="AE246" s="52"/>
      <c r="AF246" s="52"/>
      <c r="AG246" s="52"/>
      <c r="AH246" s="52"/>
      <c r="AI246" s="52"/>
      <c r="AJ246" s="170"/>
      <c r="AK246" s="140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141"/>
    </row>
    <row r="247" spans="2:61" ht="20.100000000000001" customHeight="1" x14ac:dyDescent="0.45">
      <c r="B247" s="168"/>
      <c r="C247" s="31"/>
      <c r="D247" s="31"/>
      <c r="E247" s="31"/>
      <c r="F247" s="31"/>
      <c r="G247" s="138"/>
      <c r="H247" s="139"/>
      <c r="I247" s="138"/>
      <c r="J247" s="169" t="s">
        <v>320</v>
      </c>
      <c r="K247" s="52"/>
      <c r="L247" s="52"/>
      <c r="M247" s="52"/>
      <c r="N247" s="52"/>
      <c r="O247" s="52"/>
      <c r="P247" s="52"/>
      <c r="Q247" s="52"/>
      <c r="R247" s="169" t="s">
        <v>268</v>
      </c>
      <c r="S247" s="52"/>
      <c r="T247" s="52"/>
      <c r="U247" s="52"/>
      <c r="V247" s="52"/>
      <c r="W247" s="52"/>
      <c r="X247" s="52"/>
      <c r="Y247" s="52"/>
      <c r="Z247" s="52"/>
      <c r="AA247" s="52"/>
      <c r="AB247" s="52"/>
      <c r="AC247" s="52"/>
      <c r="AD247" s="52"/>
      <c r="AE247" s="52"/>
      <c r="AF247" s="52"/>
      <c r="AG247" s="52"/>
      <c r="AH247" s="52"/>
      <c r="AI247" s="52"/>
      <c r="AJ247" s="170"/>
      <c r="AK247" s="140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141"/>
    </row>
    <row r="248" spans="2:61" ht="20.100000000000001" customHeight="1" x14ac:dyDescent="0.45">
      <c r="B248" s="168"/>
      <c r="C248" s="31"/>
      <c r="D248" s="31"/>
      <c r="E248" s="31"/>
      <c r="F248" s="31"/>
      <c r="G248" s="138"/>
      <c r="H248" s="139"/>
      <c r="I248" s="138"/>
      <c r="J248" s="169" t="s">
        <v>321</v>
      </c>
      <c r="K248" s="52"/>
      <c r="L248" s="52"/>
      <c r="M248" s="52"/>
      <c r="N248" s="52"/>
      <c r="O248" s="52"/>
      <c r="P248" s="52"/>
      <c r="Q248" s="52"/>
      <c r="R248" s="169" t="s">
        <v>269</v>
      </c>
      <c r="S248" s="52"/>
      <c r="T248" s="52"/>
      <c r="U248" s="52"/>
      <c r="V248" s="52"/>
      <c r="W248" s="52"/>
      <c r="X248" s="52"/>
      <c r="Y248" s="52"/>
      <c r="Z248" s="52"/>
      <c r="AA248" s="52"/>
      <c r="AB248" s="52"/>
      <c r="AC248" s="52"/>
      <c r="AD248" s="52"/>
      <c r="AE248" s="52"/>
      <c r="AF248" s="52"/>
      <c r="AG248" s="52"/>
      <c r="AH248" s="52"/>
      <c r="AI248" s="52"/>
      <c r="AJ248" s="170"/>
      <c r="AK248" s="140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141"/>
    </row>
    <row r="249" spans="2:61" ht="20.100000000000001" customHeight="1" x14ac:dyDescent="0.45">
      <c r="B249" s="168"/>
      <c r="C249" s="31"/>
      <c r="D249" s="31"/>
      <c r="E249" s="31"/>
      <c r="F249" s="31"/>
      <c r="G249" s="138"/>
      <c r="H249" s="139"/>
      <c r="I249" s="138"/>
      <c r="J249" s="169" t="s">
        <v>322</v>
      </c>
      <c r="K249" s="52"/>
      <c r="L249" s="52"/>
      <c r="M249" s="52"/>
      <c r="N249" s="52"/>
      <c r="O249" s="52"/>
      <c r="P249" s="52"/>
      <c r="Q249" s="52"/>
      <c r="R249" s="169" t="s">
        <v>270</v>
      </c>
      <c r="S249" s="52"/>
      <c r="T249" s="52"/>
      <c r="U249" s="52"/>
      <c r="V249" s="52"/>
      <c r="W249" s="52"/>
      <c r="X249" s="52"/>
      <c r="Y249" s="52"/>
      <c r="Z249" s="52"/>
      <c r="AA249" s="52"/>
      <c r="AB249" s="52"/>
      <c r="AC249" s="52"/>
      <c r="AD249" s="52"/>
      <c r="AE249" s="52"/>
      <c r="AF249" s="52"/>
      <c r="AG249" s="52"/>
      <c r="AH249" s="52"/>
      <c r="AI249" s="52"/>
      <c r="AJ249" s="170"/>
      <c r="AK249" s="140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141"/>
    </row>
    <row r="250" spans="2:61" ht="20.100000000000001" customHeight="1" x14ac:dyDescent="0.45">
      <c r="B250" s="168"/>
      <c r="C250" s="31"/>
      <c r="D250" s="31"/>
      <c r="E250" s="31"/>
      <c r="F250" s="31"/>
      <c r="G250" s="138"/>
      <c r="H250" s="139"/>
      <c r="I250" s="138"/>
      <c r="J250" s="169" t="s">
        <v>323</v>
      </c>
      <c r="K250" s="52"/>
      <c r="L250" s="52"/>
      <c r="M250" s="52"/>
      <c r="N250" s="52"/>
      <c r="O250" s="52"/>
      <c r="P250" s="52"/>
      <c r="Q250" s="52"/>
      <c r="R250" s="169" t="s">
        <v>271</v>
      </c>
      <c r="S250" s="52"/>
      <c r="T250" s="52"/>
      <c r="U250" s="52"/>
      <c r="V250" s="52"/>
      <c r="W250" s="52"/>
      <c r="X250" s="52"/>
      <c r="Y250" s="52"/>
      <c r="Z250" s="52"/>
      <c r="AA250" s="52"/>
      <c r="AB250" s="52"/>
      <c r="AC250" s="52"/>
      <c r="AD250" s="52"/>
      <c r="AE250" s="52"/>
      <c r="AF250" s="52"/>
      <c r="AG250" s="52"/>
      <c r="AH250" s="52"/>
      <c r="AI250" s="52"/>
      <c r="AJ250" s="170"/>
      <c r="AK250" s="140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141"/>
    </row>
    <row r="251" spans="2:61" ht="20.100000000000001" customHeight="1" x14ac:dyDescent="0.45">
      <c r="B251" s="168"/>
      <c r="C251" s="31"/>
      <c r="D251" s="31"/>
      <c r="E251" s="31"/>
      <c r="F251" s="31"/>
      <c r="G251" s="138"/>
      <c r="H251" s="139"/>
      <c r="I251" s="138"/>
      <c r="J251" s="169" t="s">
        <v>324</v>
      </c>
      <c r="K251" s="52"/>
      <c r="L251" s="52"/>
      <c r="M251" s="52"/>
      <c r="N251" s="52"/>
      <c r="O251" s="52"/>
      <c r="P251" s="52"/>
      <c r="Q251" s="52"/>
      <c r="R251" s="169" t="s">
        <v>272</v>
      </c>
      <c r="S251" s="52"/>
      <c r="T251" s="52"/>
      <c r="U251" s="52"/>
      <c r="V251" s="52"/>
      <c r="W251" s="52"/>
      <c r="X251" s="52"/>
      <c r="Y251" s="52"/>
      <c r="Z251" s="52"/>
      <c r="AA251" s="52"/>
      <c r="AB251" s="52"/>
      <c r="AC251" s="52"/>
      <c r="AD251" s="52"/>
      <c r="AE251" s="52"/>
      <c r="AF251" s="52"/>
      <c r="AG251" s="52"/>
      <c r="AH251" s="52"/>
      <c r="AI251" s="52"/>
      <c r="AJ251" s="170"/>
      <c r="AK251" s="140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141"/>
    </row>
    <row r="252" spans="2:61" ht="20.100000000000001" customHeight="1" x14ac:dyDescent="0.45">
      <c r="B252" s="168"/>
      <c r="C252" s="31"/>
      <c r="D252" s="31"/>
      <c r="E252" s="31"/>
      <c r="F252" s="31"/>
      <c r="G252" s="138"/>
      <c r="H252" s="139"/>
      <c r="I252" s="138"/>
      <c r="J252" s="169" t="s">
        <v>325</v>
      </c>
      <c r="K252" s="52"/>
      <c r="L252" s="52"/>
      <c r="M252" s="52"/>
      <c r="N252" s="52"/>
      <c r="O252" s="52"/>
      <c r="P252" s="52"/>
      <c r="Q252" s="52"/>
      <c r="R252" s="169" t="s">
        <v>273</v>
      </c>
      <c r="S252" s="52"/>
      <c r="T252" s="52"/>
      <c r="U252" s="52"/>
      <c r="V252" s="52"/>
      <c r="W252" s="52"/>
      <c r="X252" s="52"/>
      <c r="Y252" s="52"/>
      <c r="Z252" s="52"/>
      <c r="AA252" s="52"/>
      <c r="AB252" s="52"/>
      <c r="AC252" s="52"/>
      <c r="AD252" s="52"/>
      <c r="AE252" s="52"/>
      <c r="AF252" s="52"/>
      <c r="AG252" s="52"/>
      <c r="AH252" s="52"/>
      <c r="AI252" s="52"/>
      <c r="AJ252" s="170"/>
      <c r="AK252" s="140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141"/>
    </row>
    <row r="253" spans="2:61" ht="20.100000000000001" customHeight="1" x14ac:dyDescent="0.45">
      <c r="B253" s="168"/>
      <c r="C253" s="31"/>
      <c r="D253" s="31"/>
      <c r="E253" s="31"/>
      <c r="F253" s="31"/>
      <c r="G253" s="138"/>
      <c r="H253" s="139"/>
      <c r="I253" s="138"/>
      <c r="J253" s="169" t="s">
        <v>326</v>
      </c>
      <c r="K253" s="52"/>
      <c r="L253" s="52"/>
      <c r="M253" s="52"/>
      <c r="N253" s="52"/>
      <c r="O253" s="52"/>
      <c r="P253" s="52"/>
      <c r="Q253" s="52"/>
      <c r="R253" s="169" t="s">
        <v>274</v>
      </c>
      <c r="S253" s="52"/>
      <c r="T253" s="52"/>
      <c r="U253" s="52"/>
      <c r="V253" s="52"/>
      <c r="W253" s="52"/>
      <c r="X253" s="52"/>
      <c r="Y253" s="52"/>
      <c r="Z253" s="52"/>
      <c r="AA253" s="52"/>
      <c r="AB253" s="52"/>
      <c r="AC253" s="52"/>
      <c r="AD253" s="52"/>
      <c r="AE253" s="52"/>
      <c r="AF253" s="52"/>
      <c r="AG253" s="52"/>
      <c r="AH253" s="52"/>
      <c r="AI253" s="52"/>
      <c r="AJ253" s="170"/>
      <c r="AK253" s="140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141"/>
    </row>
    <row r="254" spans="2:61" ht="20.100000000000001" customHeight="1" x14ac:dyDescent="0.45">
      <c r="B254" s="168"/>
      <c r="C254" s="31"/>
      <c r="D254" s="31"/>
      <c r="E254" s="31"/>
      <c r="F254" s="31"/>
      <c r="G254" s="138"/>
      <c r="H254" s="139"/>
      <c r="I254" s="138"/>
      <c r="J254" s="169" t="s">
        <v>327</v>
      </c>
      <c r="K254" s="52"/>
      <c r="L254" s="52"/>
      <c r="M254" s="52"/>
      <c r="N254" s="52"/>
      <c r="O254" s="52"/>
      <c r="P254" s="52"/>
      <c r="Q254" s="52"/>
      <c r="R254" s="169" t="s">
        <v>275</v>
      </c>
      <c r="S254" s="52"/>
      <c r="T254" s="52"/>
      <c r="U254" s="52"/>
      <c r="V254" s="52"/>
      <c r="W254" s="52"/>
      <c r="X254" s="52"/>
      <c r="Y254" s="52"/>
      <c r="Z254" s="52"/>
      <c r="AA254" s="52"/>
      <c r="AB254" s="52"/>
      <c r="AC254" s="52"/>
      <c r="AD254" s="52"/>
      <c r="AE254" s="52"/>
      <c r="AF254" s="52"/>
      <c r="AG254" s="52"/>
      <c r="AH254" s="52"/>
      <c r="AI254" s="52"/>
      <c r="AJ254" s="170"/>
      <c r="AK254" s="140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141"/>
    </row>
    <row r="255" spans="2:61" ht="20.100000000000001" customHeight="1" x14ac:dyDescent="0.45">
      <c r="B255" s="168"/>
      <c r="C255" s="31"/>
      <c r="D255" s="31"/>
      <c r="E255" s="31"/>
      <c r="F255" s="31"/>
      <c r="G255" s="138"/>
      <c r="H255" s="139"/>
      <c r="I255" s="138"/>
      <c r="J255" s="169" t="s">
        <v>296</v>
      </c>
      <c r="K255" s="52"/>
      <c r="L255" s="52"/>
      <c r="M255" s="52"/>
      <c r="N255" s="52"/>
      <c r="O255" s="52"/>
      <c r="P255" s="52"/>
      <c r="Q255" s="52"/>
      <c r="R255" s="169" t="s">
        <v>347</v>
      </c>
      <c r="S255" s="52"/>
      <c r="T255" s="52"/>
      <c r="U255" s="52"/>
      <c r="V255" s="52"/>
      <c r="W255" s="52"/>
      <c r="X255" s="52"/>
      <c r="Y255" s="52"/>
      <c r="Z255" s="52"/>
      <c r="AA255" s="52"/>
      <c r="AB255" s="52"/>
      <c r="AC255" s="52"/>
      <c r="AD255" s="52"/>
      <c r="AE255" s="52"/>
      <c r="AF255" s="52"/>
      <c r="AG255" s="52"/>
      <c r="AH255" s="52"/>
      <c r="AI255" s="52"/>
      <c r="AJ255" s="170"/>
      <c r="AK255" s="140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141"/>
    </row>
    <row r="256" spans="2:61" ht="20.100000000000001" customHeight="1" x14ac:dyDescent="0.45">
      <c r="B256" s="168"/>
      <c r="C256" s="31"/>
      <c r="D256" s="31"/>
      <c r="E256" s="31"/>
      <c r="F256" s="31"/>
      <c r="G256" s="138"/>
      <c r="H256" s="139"/>
      <c r="I256" s="138"/>
      <c r="J256" s="169" t="s">
        <v>328</v>
      </c>
      <c r="K256" s="52"/>
      <c r="L256" s="52"/>
      <c r="M256" s="52"/>
      <c r="N256" s="52"/>
      <c r="O256" s="52"/>
      <c r="P256" s="52"/>
      <c r="Q256" s="52"/>
      <c r="R256" s="169" t="s">
        <v>276</v>
      </c>
      <c r="S256" s="52"/>
      <c r="T256" s="52"/>
      <c r="U256" s="52"/>
      <c r="V256" s="52"/>
      <c r="W256" s="52"/>
      <c r="X256" s="52"/>
      <c r="Y256" s="52"/>
      <c r="Z256" s="52"/>
      <c r="AA256" s="52"/>
      <c r="AB256" s="52"/>
      <c r="AC256" s="52"/>
      <c r="AD256" s="52"/>
      <c r="AE256" s="52"/>
      <c r="AF256" s="52"/>
      <c r="AG256" s="52"/>
      <c r="AH256" s="52"/>
      <c r="AI256" s="52"/>
      <c r="AJ256" s="170"/>
      <c r="AK256" s="140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141"/>
    </row>
    <row r="257" spans="2:61" ht="20.100000000000001" customHeight="1" x14ac:dyDescent="0.45">
      <c r="B257" s="168"/>
      <c r="C257" s="31"/>
      <c r="D257" s="31"/>
      <c r="E257" s="31"/>
      <c r="F257" s="31"/>
      <c r="G257" s="138"/>
      <c r="H257" s="139"/>
      <c r="I257" s="138"/>
      <c r="J257" s="169" t="s">
        <v>329</v>
      </c>
      <c r="K257" s="52"/>
      <c r="L257" s="52"/>
      <c r="M257" s="52"/>
      <c r="N257" s="52"/>
      <c r="O257" s="52"/>
      <c r="P257" s="52"/>
      <c r="Q257" s="52"/>
      <c r="R257" s="169" t="s">
        <v>277</v>
      </c>
      <c r="S257" s="52"/>
      <c r="T257" s="52"/>
      <c r="U257" s="52"/>
      <c r="V257" s="52"/>
      <c r="W257" s="52"/>
      <c r="X257" s="52"/>
      <c r="Y257" s="52"/>
      <c r="Z257" s="52"/>
      <c r="AA257" s="52"/>
      <c r="AB257" s="52"/>
      <c r="AC257" s="52"/>
      <c r="AD257" s="52"/>
      <c r="AE257" s="52"/>
      <c r="AF257" s="52"/>
      <c r="AG257" s="52"/>
      <c r="AH257" s="52"/>
      <c r="AI257" s="52"/>
      <c r="AJ257" s="170"/>
      <c r="AK257" s="140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141"/>
    </row>
    <row r="258" spans="2:61" ht="20.100000000000001" customHeight="1" x14ac:dyDescent="0.45">
      <c r="B258" s="168"/>
      <c r="C258" s="31"/>
      <c r="D258" s="31"/>
      <c r="E258" s="31"/>
      <c r="F258" s="31"/>
      <c r="G258" s="138"/>
      <c r="H258" s="139"/>
      <c r="I258" s="138"/>
      <c r="J258" s="169" t="s">
        <v>298</v>
      </c>
      <c r="K258" s="52"/>
      <c r="L258" s="52"/>
      <c r="M258" s="52"/>
      <c r="N258" s="52"/>
      <c r="O258" s="52"/>
      <c r="P258" s="52"/>
      <c r="Q258" s="52"/>
      <c r="R258" s="174" t="s">
        <v>348</v>
      </c>
      <c r="S258" s="52"/>
      <c r="T258" s="52"/>
      <c r="U258" s="52"/>
      <c r="V258" s="52"/>
      <c r="W258" s="52"/>
      <c r="X258" s="52"/>
      <c r="Y258" s="52"/>
      <c r="Z258" s="52"/>
      <c r="AA258" s="52"/>
      <c r="AB258" s="52"/>
      <c r="AC258" s="52"/>
      <c r="AD258" s="52"/>
      <c r="AE258" s="52"/>
      <c r="AF258" s="52"/>
      <c r="AG258" s="52"/>
      <c r="AH258" s="52"/>
      <c r="AI258" s="52"/>
      <c r="AJ258" s="170"/>
      <c r="AK258" s="140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141"/>
    </row>
    <row r="259" spans="2:61" ht="20.100000000000001" customHeight="1" x14ac:dyDescent="0.45">
      <c r="B259" s="168"/>
      <c r="C259" s="31"/>
      <c r="D259" s="31"/>
      <c r="E259" s="31"/>
      <c r="F259" s="31"/>
      <c r="G259" s="138"/>
      <c r="H259" s="139"/>
      <c r="I259" s="138"/>
      <c r="J259" s="169" t="s">
        <v>330</v>
      </c>
      <c r="K259" s="52"/>
      <c r="L259" s="52"/>
      <c r="M259" s="52"/>
      <c r="N259" s="52"/>
      <c r="O259" s="52"/>
      <c r="P259" s="52"/>
      <c r="Q259" s="52"/>
      <c r="R259" s="169" t="s">
        <v>279</v>
      </c>
      <c r="S259" s="52"/>
      <c r="T259" s="52"/>
      <c r="U259" s="52"/>
      <c r="V259" s="52"/>
      <c r="W259" s="52"/>
      <c r="X259" s="52"/>
      <c r="Y259" s="52"/>
      <c r="Z259" s="52"/>
      <c r="AA259" s="52"/>
      <c r="AB259" s="52"/>
      <c r="AC259" s="52"/>
      <c r="AD259" s="52"/>
      <c r="AE259" s="52"/>
      <c r="AF259" s="52"/>
      <c r="AG259" s="52"/>
      <c r="AH259" s="52"/>
      <c r="AI259" s="52"/>
      <c r="AJ259" s="170"/>
      <c r="AK259" s="140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141"/>
    </row>
    <row r="260" spans="2:61" ht="20.100000000000001" customHeight="1" x14ac:dyDescent="0.45">
      <c r="B260" s="168"/>
      <c r="C260" s="31"/>
      <c r="D260" s="31"/>
      <c r="E260" s="31"/>
      <c r="F260" s="31"/>
      <c r="G260" s="138"/>
      <c r="H260" s="139"/>
      <c r="I260" s="138"/>
      <c r="J260" s="169" t="s">
        <v>301</v>
      </c>
      <c r="K260" s="52"/>
      <c r="L260" s="52"/>
      <c r="M260" s="52"/>
      <c r="N260" s="52"/>
      <c r="O260" s="52"/>
      <c r="P260" s="52"/>
      <c r="Q260" s="52"/>
      <c r="R260" s="169" t="s">
        <v>349</v>
      </c>
      <c r="S260" s="52"/>
      <c r="T260" s="52"/>
      <c r="U260" s="52"/>
      <c r="V260" s="52"/>
      <c r="W260" s="52"/>
      <c r="X260" s="52"/>
      <c r="Y260" s="52"/>
      <c r="Z260" s="52"/>
      <c r="AA260" s="52"/>
      <c r="AB260" s="52"/>
      <c r="AC260" s="52"/>
      <c r="AD260" s="52"/>
      <c r="AE260" s="52"/>
      <c r="AF260" s="52"/>
      <c r="AG260" s="52"/>
      <c r="AH260" s="52"/>
      <c r="AI260" s="52"/>
      <c r="AJ260" s="170"/>
      <c r="AK260" s="140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141"/>
    </row>
    <row r="261" spans="2:61" ht="20.100000000000001" customHeight="1" x14ac:dyDescent="0.45">
      <c r="B261" s="168"/>
      <c r="C261" s="31"/>
      <c r="D261" s="31"/>
      <c r="E261" s="31"/>
      <c r="F261" s="31"/>
      <c r="G261" s="138"/>
      <c r="H261" s="139"/>
      <c r="I261" s="138"/>
      <c r="J261" s="169" t="s">
        <v>331</v>
      </c>
      <c r="K261" s="52"/>
      <c r="L261" s="52"/>
      <c r="M261" s="52"/>
      <c r="N261" s="52"/>
      <c r="O261" s="52"/>
      <c r="P261" s="52"/>
      <c r="Q261" s="52"/>
      <c r="R261" s="169" t="s">
        <v>280</v>
      </c>
      <c r="S261" s="52"/>
      <c r="T261" s="52"/>
      <c r="U261" s="52"/>
      <c r="V261" s="52"/>
      <c r="W261" s="52"/>
      <c r="X261" s="52"/>
      <c r="Y261" s="52"/>
      <c r="Z261" s="52"/>
      <c r="AA261" s="52"/>
      <c r="AB261" s="52"/>
      <c r="AC261" s="52"/>
      <c r="AD261" s="52"/>
      <c r="AE261" s="52"/>
      <c r="AF261" s="52"/>
      <c r="AG261" s="52"/>
      <c r="AH261" s="52"/>
      <c r="AI261" s="52"/>
      <c r="AJ261" s="170"/>
      <c r="AK261" s="140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141"/>
    </row>
    <row r="262" spans="2:61" ht="20.100000000000001" customHeight="1" x14ac:dyDescent="0.45">
      <c r="B262" s="168"/>
      <c r="C262" s="31"/>
      <c r="D262" s="31"/>
      <c r="E262" s="31"/>
      <c r="F262" s="31"/>
      <c r="G262" s="138"/>
      <c r="H262" s="139"/>
      <c r="I262" s="138"/>
      <c r="J262" s="169" t="s">
        <v>302</v>
      </c>
      <c r="K262" s="52"/>
      <c r="L262" s="52"/>
      <c r="M262" s="52"/>
      <c r="N262" s="52"/>
      <c r="O262" s="52"/>
      <c r="P262" s="52"/>
      <c r="Q262" s="52"/>
      <c r="R262" s="174" t="s">
        <v>350</v>
      </c>
      <c r="S262" s="52"/>
      <c r="T262" s="52"/>
      <c r="U262" s="52"/>
      <c r="V262" s="52"/>
      <c r="W262" s="52"/>
      <c r="X262" s="52"/>
      <c r="Y262" s="52"/>
      <c r="Z262" s="52"/>
      <c r="AA262" s="52"/>
      <c r="AB262" s="52"/>
      <c r="AC262" s="52"/>
      <c r="AD262" s="52"/>
      <c r="AE262" s="52"/>
      <c r="AF262" s="52"/>
      <c r="AG262" s="52"/>
      <c r="AH262" s="52"/>
      <c r="AI262" s="52"/>
      <c r="AJ262" s="170"/>
      <c r="AK262" s="140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141"/>
    </row>
    <row r="263" spans="2:61" ht="20.100000000000001" customHeight="1" x14ac:dyDescent="0.45">
      <c r="B263" s="168"/>
      <c r="C263" s="31"/>
      <c r="D263" s="31"/>
      <c r="E263" s="31"/>
      <c r="F263" s="31"/>
      <c r="G263" s="138"/>
      <c r="H263" s="139"/>
      <c r="I263" s="138"/>
      <c r="J263" s="169" t="s">
        <v>307</v>
      </c>
      <c r="K263" s="52"/>
      <c r="L263" s="52"/>
      <c r="M263" s="52"/>
      <c r="N263" s="52"/>
      <c r="O263" s="52"/>
      <c r="P263" s="52"/>
      <c r="Q263" s="52"/>
      <c r="R263" s="169">
        <v>0</v>
      </c>
      <c r="S263" s="52"/>
      <c r="T263" s="52"/>
      <c r="U263" s="52"/>
      <c r="V263" s="52"/>
      <c r="W263" s="52"/>
      <c r="X263" s="52"/>
      <c r="Y263" s="52"/>
      <c r="Z263" s="52"/>
      <c r="AA263" s="52"/>
      <c r="AB263" s="52"/>
      <c r="AC263" s="52"/>
      <c r="AD263" s="52"/>
      <c r="AE263" s="52"/>
      <c r="AF263" s="52"/>
      <c r="AG263" s="52"/>
      <c r="AH263" s="52"/>
      <c r="AI263" s="52"/>
      <c r="AJ263" s="170"/>
      <c r="AK263" s="140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141"/>
    </row>
    <row r="264" spans="2:61" ht="20.100000000000001" customHeight="1" x14ac:dyDescent="0.45">
      <c r="B264" s="168"/>
      <c r="C264" s="31"/>
      <c r="D264" s="31"/>
      <c r="E264" s="31"/>
      <c r="F264" s="31"/>
      <c r="G264" s="138"/>
      <c r="H264" s="139"/>
      <c r="I264" s="138"/>
      <c r="J264" s="169" t="s">
        <v>309</v>
      </c>
      <c r="K264" s="52"/>
      <c r="L264" s="52"/>
      <c r="M264" s="52"/>
      <c r="N264" s="52"/>
      <c r="O264" s="52"/>
      <c r="P264" s="52"/>
      <c r="Q264" s="52"/>
      <c r="R264" s="169">
        <v>0</v>
      </c>
      <c r="S264" s="52"/>
      <c r="T264" s="52"/>
      <c r="U264" s="52"/>
      <c r="V264" s="52"/>
      <c r="W264" s="52"/>
      <c r="X264" s="52"/>
      <c r="Y264" s="52"/>
      <c r="Z264" s="52"/>
      <c r="AA264" s="52"/>
      <c r="AB264" s="52"/>
      <c r="AC264" s="52"/>
      <c r="AD264" s="52"/>
      <c r="AE264" s="52"/>
      <c r="AF264" s="52"/>
      <c r="AG264" s="52"/>
      <c r="AH264" s="52"/>
      <c r="AI264" s="52"/>
      <c r="AJ264" s="170"/>
      <c r="AK264" s="140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141"/>
    </row>
    <row r="265" spans="2:61" ht="20.100000000000001" customHeight="1" x14ac:dyDescent="0.45">
      <c r="B265" s="168"/>
      <c r="C265" s="31"/>
      <c r="D265" s="31"/>
      <c r="E265" s="31"/>
      <c r="F265" s="31"/>
      <c r="G265" s="138"/>
      <c r="H265" s="139"/>
      <c r="I265" s="138"/>
      <c r="J265" s="169" t="s">
        <v>333</v>
      </c>
      <c r="K265" s="52"/>
      <c r="L265" s="52"/>
      <c r="M265" s="52"/>
      <c r="N265" s="52"/>
      <c r="O265" s="52"/>
      <c r="P265" s="52"/>
      <c r="Q265" s="52"/>
      <c r="R265" s="169" t="s">
        <v>284</v>
      </c>
      <c r="S265" s="52"/>
      <c r="T265" s="52"/>
      <c r="U265" s="52"/>
      <c r="V265" s="52"/>
      <c r="W265" s="52"/>
      <c r="X265" s="52"/>
      <c r="Y265" s="52"/>
      <c r="Z265" s="52"/>
      <c r="AA265" s="52"/>
      <c r="AB265" s="52"/>
      <c r="AC265" s="52"/>
      <c r="AD265" s="52"/>
      <c r="AE265" s="52"/>
      <c r="AF265" s="52"/>
      <c r="AG265" s="52"/>
      <c r="AH265" s="52"/>
      <c r="AI265" s="52"/>
      <c r="AJ265" s="170"/>
      <c r="AK265" s="140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141"/>
    </row>
    <row r="266" spans="2:61" ht="20.100000000000001" customHeight="1" x14ac:dyDescent="0.45">
      <c r="B266" s="168"/>
      <c r="C266" s="31"/>
      <c r="D266" s="31"/>
      <c r="E266" s="31"/>
      <c r="F266" s="31"/>
      <c r="G266" s="138"/>
      <c r="H266" s="139"/>
      <c r="I266" s="138"/>
      <c r="J266" s="169" t="s">
        <v>305</v>
      </c>
      <c r="K266" s="52"/>
      <c r="L266" s="52"/>
      <c r="M266" s="52"/>
      <c r="N266" s="52"/>
      <c r="O266" s="52"/>
      <c r="P266" s="52"/>
      <c r="Q266" s="52"/>
      <c r="R266" s="169" t="s">
        <v>303</v>
      </c>
      <c r="S266" s="52"/>
      <c r="T266" s="52"/>
      <c r="U266" s="52"/>
      <c r="V266" s="52"/>
      <c r="W266" s="52"/>
      <c r="X266" s="52"/>
      <c r="Y266" s="52"/>
      <c r="Z266" s="52"/>
      <c r="AA266" s="52"/>
      <c r="AB266" s="52"/>
      <c r="AC266" s="52"/>
      <c r="AD266" s="52"/>
      <c r="AE266" s="52"/>
      <c r="AF266" s="52"/>
      <c r="AG266" s="52"/>
      <c r="AH266" s="52"/>
      <c r="AI266" s="52"/>
      <c r="AJ266" s="170"/>
      <c r="AK266" s="140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141"/>
    </row>
    <row r="267" spans="2:61" ht="20.100000000000001" customHeight="1" x14ac:dyDescent="0.45">
      <c r="B267" s="168"/>
      <c r="C267" s="31"/>
      <c r="D267" s="31"/>
      <c r="E267" s="31"/>
      <c r="F267" s="31"/>
      <c r="G267" s="138"/>
      <c r="H267" s="139"/>
      <c r="I267" s="138"/>
      <c r="J267" s="169" t="s">
        <v>334</v>
      </c>
      <c r="K267" s="52"/>
      <c r="L267" s="52"/>
      <c r="M267" s="52"/>
      <c r="N267" s="52"/>
      <c r="O267" s="52"/>
      <c r="P267" s="52"/>
      <c r="Q267" s="52"/>
      <c r="R267" s="169" t="s">
        <v>285</v>
      </c>
      <c r="S267" s="52"/>
      <c r="T267" s="52"/>
      <c r="U267" s="52"/>
      <c r="V267" s="52"/>
      <c r="W267" s="52"/>
      <c r="X267" s="52"/>
      <c r="Y267" s="52"/>
      <c r="Z267" s="52"/>
      <c r="AA267" s="52"/>
      <c r="AB267" s="52"/>
      <c r="AC267" s="52"/>
      <c r="AD267" s="52"/>
      <c r="AE267" s="52"/>
      <c r="AF267" s="52"/>
      <c r="AG267" s="52"/>
      <c r="AH267" s="52"/>
      <c r="AI267" s="52"/>
      <c r="AJ267" s="170"/>
      <c r="AK267" s="140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141"/>
    </row>
    <row r="268" spans="2:61" ht="20.100000000000001" customHeight="1" x14ac:dyDescent="0.45">
      <c r="B268" s="168"/>
      <c r="C268" s="31"/>
      <c r="D268" s="31"/>
      <c r="E268" s="31"/>
      <c r="F268" s="31"/>
      <c r="G268" s="138"/>
      <c r="H268" s="139"/>
      <c r="I268" s="138"/>
      <c r="J268" s="169" t="s">
        <v>335</v>
      </c>
      <c r="K268" s="52"/>
      <c r="L268" s="52"/>
      <c r="M268" s="52"/>
      <c r="N268" s="52"/>
      <c r="O268" s="52"/>
      <c r="P268" s="52"/>
      <c r="Q268" s="52"/>
      <c r="R268" s="169" t="s">
        <v>286</v>
      </c>
      <c r="S268" s="52"/>
      <c r="T268" s="52"/>
      <c r="U268" s="52"/>
      <c r="V268" s="52"/>
      <c r="W268" s="52"/>
      <c r="X268" s="52"/>
      <c r="Y268" s="52"/>
      <c r="Z268" s="52"/>
      <c r="AA268" s="52"/>
      <c r="AB268" s="52"/>
      <c r="AC268" s="52"/>
      <c r="AD268" s="52"/>
      <c r="AE268" s="52"/>
      <c r="AF268" s="52"/>
      <c r="AG268" s="52"/>
      <c r="AH268" s="52"/>
      <c r="AI268" s="52"/>
      <c r="AJ268" s="170"/>
      <c r="AK268" s="140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141"/>
    </row>
    <row r="269" spans="2:61" ht="20.100000000000001" customHeight="1" x14ac:dyDescent="0.45">
      <c r="B269" s="168"/>
      <c r="C269" s="31"/>
      <c r="D269" s="31"/>
      <c r="E269" s="31"/>
      <c r="F269" s="31"/>
      <c r="G269" s="138"/>
      <c r="H269" s="139"/>
      <c r="I269" s="138"/>
      <c r="J269" s="169" t="s">
        <v>336</v>
      </c>
      <c r="K269" s="52"/>
      <c r="L269" s="52"/>
      <c r="M269" s="52"/>
      <c r="N269" s="52"/>
      <c r="O269" s="52"/>
      <c r="P269" s="52"/>
      <c r="Q269" s="52"/>
      <c r="R269" s="169" t="s">
        <v>287</v>
      </c>
      <c r="S269" s="52"/>
      <c r="T269" s="52"/>
      <c r="U269" s="52"/>
      <c r="V269" s="52"/>
      <c r="W269" s="52"/>
      <c r="X269" s="52"/>
      <c r="Y269" s="52"/>
      <c r="Z269" s="52"/>
      <c r="AA269" s="52"/>
      <c r="AB269" s="52"/>
      <c r="AC269" s="52"/>
      <c r="AD269" s="52"/>
      <c r="AE269" s="52"/>
      <c r="AF269" s="52"/>
      <c r="AG269" s="52"/>
      <c r="AH269" s="52"/>
      <c r="AI269" s="52"/>
      <c r="AJ269" s="170"/>
      <c r="AK269" s="140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141"/>
    </row>
    <row r="270" spans="2:61" ht="20.100000000000001" customHeight="1" x14ac:dyDescent="0.45">
      <c r="B270" s="168"/>
      <c r="C270" s="31"/>
      <c r="D270" s="31"/>
      <c r="E270" s="31"/>
      <c r="F270" s="31"/>
      <c r="G270" s="138"/>
      <c r="H270" s="139"/>
      <c r="I270" s="138"/>
      <c r="J270" s="169" t="s">
        <v>337</v>
      </c>
      <c r="K270" s="52"/>
      <c r="L270" s="52"/>
      <c r="M270" s="52"/>
      <c r="N270" s="52"/>
      <c r="O270" s="52"/>
      <c r="P270" s="52"/>
      <c r="Q270" s="52"/>
      <c r="R270" s="169" t="s">
        <v>288</v>
      </c>
      <c r="S270" s="52"/>
      <c r="T270" s="52"/>
      <c r="U270" s="52"/>
      <c r="V270" s="52"/>
      <c r="W270" s="52"/>
      <c r="X270" s="52"/>
      <c r="Y270" s="52"/>
      <c r="Z270" s="52"/>
      <c r="AA270" s="52"/>
      <c r="AB270" s="52"/>
      <c r="AC270" s="52"/>
      <c r="AD270" s="52"/>
      <c r="AE270" s="52"/>
      <c r="AF270" s="52"/>
      <c r="AG270" s="52"/>
      <c r="AH270" s="52"/>
      <c r="AI270" s="52"/>
      <c r="AJ270" s="170"/>
      <c r="AK270" s="140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141"/>
    </row>
    <row r="271" spans="2:61" ht="20.100000000000001" customHeight="1" x14ac:dyDescent="0.45">
      <c r="B271" s="168"/>
      <c r="C271" s="31"/>
      <c r="D271" s="31"/>
      <c r="E271" s="31"/>
      <c r="F271" s="31"/>
      <c r="G271" s="138"/>
      <c r="H271" s="139"/>
      <c r="I271" s="138"/>
      <c r="J271" s="169" t="s">
        <v>338</v>
      </c>
      <c r="K271" s="52"/>
      <c r="L271" s="52"/>
      <c r="M271" s="52"/>
      <c r="N271" s="52"/>
      <c r="O271" s="52"/>
      <c r="P271" s="52"/>
      <c r="Q271" s="52"/>
      <c r="R271" s="169" t="s">
        <v>289</v>
      </c>
      <c r="S271" s="52"/>
      <c r="T271" s="52"/>
      <c r="U271" s="52"/>
      <c r="V271" s="52"/>
      <c r="W271" s="52"/>
      <c r="X271" s="52"/>
      <c r="Y271" s="52"/>
      <c r="Z271" s="52"/>
      <c r="AA271" s="52"/>
      <c r="AB271" s="52"/>
      <c r="AC271" s="52"/>
      <c r="AD271" s="52"/>
      <c r="AE271" s="52"/>
      <c r="AF271" s="52"/>
      <c r="AG271" s="52"/>
      <c r="AH271" s="52"/>
      <c r="AI271" s="52"/>
      <c r="AJ271" s="170"/>
      <c r="AK271" s="140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141"/>
    </row>
    <row r="272" spans="2:61" ht="20.100000000000001" customHeight="1" x14ac:dyDescent="0.45">
      <c r="B272" s="168"/>
      <c r="C272" s="31"/>
      <c r="D272" s="31"/>
      <c r="E272" s="31"/>
      <c r="F272" s="31"/>
      <c r="G272" s="138"/>
      <c r="H272" s="139"/>
      <c r="I272" s="138"/>
      <c r="J272" s="169" t="s">
        <v>339</v>
      </c>
      <c r="K272" s="52"/>
      <c r="L272" s="52"/>
      <c r="M272" s="52"/>
      <c r="N272" s="52"/>
      <c r="O272" s="52"/>
      <c r="P272" s="52"/>
      <c r="Q272" s="52"/>
      <c r="R272" s="169" t="s">
        <v>290</v>
      </c>
      <c r="S272" s="52"/>
      <c r="T272" s="52"/>
      <c r="U272" s="52"/>
      <c r="V272" s="52"/>
      <c r="W272" s="52"/>
      <c r="X272" s="52"/>
      <c r="Y272" s="52"/>
      <c r="Z272" s="52"/>
      <c r="AA272" s="52"/>
      <c r="AB272" s="52"/>
      <c r="AC272" s="52"/>
      <c r="AD272" s="52"/>
      <c r="AE272" s="52"/>
      <c r="AF272" s="52"/>
      <c r="AG272" s="52"/>
      <c r="AH272" s="52"/>
      <c r="AI272" s="52"/>
      <c r="AJ272" s="170"/>
      <c r="AK272" s="140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141"/>
    </row>
    <row r="273" spans="2:61" ht="20.100000000000001" customHeight="1" x14ac:dyDescent="0.45">
      <c r="B273" s="168"/>
      <c r="C273" s="31"/>
      <c r="D273" s="31"/>
      <c r="E273" s="31"/>
      <c r="F273" s="31"/>
      <c r="G273" s="138"/>
      <c r="H273" s="139"/>
      <c r="I273" s="138"/>
      <c r="J273" s="142" t="s">
        <v>340</v>
      </c>
      <c r="K273" s="55"/>
      <c r="L273" s="55"/>
      <c r="M273" s="55"/>
      <c r="N273" s="55"/>
      <c r="O273" s="55"/>
      <c r="P273" s="55"/>
      <c r="Q273" s="55"/>
      <c r="R273" s="142" t="s">
        <v>291</v>
      </c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175"/>
      <c r="AK273" s="140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141"/>
    </row>
    <row r="274" spans="2:61" ht="20.100000000000001" customHeight="1" x14ac:dyDescent="0.45">
      <c r="B274" s="168"/>
      <c r="C274" s="31"/>
      <c r="D274" s="31"/>
      <c r="E274" s="31"/>
      <c r="F274" s="31"/>
      <c r="G274" s="138"/>
      <c r="H274" s="142" t="s">
        <v>145</v>
      </c>
      <c r="I274" s="55"/>
      <c r="J274" s="142" t="s">
        <v>359</v>
      </c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143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5"/>
      <c r="BD274" s="55"/>
      <c r="BE274" s="55"/>
      <c r="BF274" s="55"/>
      <c r="BG274" s="55"/>
      <c r="BH274" s="55"/>
      <c r="BI274" s="144"/>
    </row>
    <row r="275" spans="2:61" ht="20.100000000000001" customHeight="1" x14ac:dyDescent="0.45">
      <c r="B275" s="137"/>
      <c r="C275" s="31"/>
      <c r="D275" s="31"/>
      <c r="E275" s="31"/>
      <c r="F275" s="31"/>
      <c r="G275" s="138"/>
      <c r="H275" s="139"/>
      <c r="I275" s="31"/>
      <c r="J275" s="139" t="s">
        <v>360</v>
      </c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140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141"/>
    </row>
    <row r="276" spans="2:61" ht="20.100000000000001" customHeight="1" x14ac:dyDescent="0.45">
      <c r="B276" s="137"/>
      <c r="C276" s="31"/>
      <c r="D276" s="31"/>
      <c r="E276" s="31"/>
      <c r="F276" s="31"/>
      <c r="G276" s="138"/>
      <c r="H276" s="139"/>
      <c r="I276" s="31"/>
      <c r="J276" s="139" t="s">
        <v>361</v>
      </c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140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141"/>
    </row>
    <row r="277" spans="2:61" ht="20.100000000000001" customHeight="1" x14ac:dyDescent="0.45">
      <c r="B277" s="137"/>
      <c r="C277" s="31"/>
      <c r="D277" s="31"/>
      <c r="E277" s="31"/>
      <c r="F277" s="31"/>
      <c r="G277" s="138"/>
      <c r="H277" s="142" t="s">
        <v>146</v>
      </c>
      <c r="I277" s="55"/>
      <c r="J277" s="142" t="s">
        <v>174</v>
      </c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143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5"/>
      <c r="BD277" s="55"/>
      <c r="BE277" s="55"/>
      <c r="BF277" s="55"/>
      <c r="BG277" s="55"/>
      <c r="BH277" s="55"/>
      <c r="BI277" s="144"/>
    </row>
    <row r="278" spans="2:61" ht="20.100000000000001" customHeight="1" x14ac:dyDescent="0.45">
      <c r="B278" s="137"/>
      <c r="C278" s="31"/>
      <c r="D278" s="31"/>
      <c r="E278" s="31"/>
      <c r="F278" s="31"/>
      <c r="G278" s="138"/>
      <c r="H278" s="139"/>
      <c r="I278" s="31"/>
      <c r="J278" s="139"/>
      <c r="K278" s="31" t="s">
        <v>175</v>
      </c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140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141"/>
    </row>
    <row r="279" spans="2:61" ht="20.100000000000001" customHeight="1" x14ac:dyDescent="0.45">
      <c r="B279" s="137"/>
      <c r="C279" s="31"/>
      <c r="D279" s="31"/>
      <c r="E279" s="31"/>
      <c r="F279" s="31"/>
      <c r="G279" s="138"/>
      <c r="H279" s="139"/>
      <c r="I279" s="31"/>
      <c r="J279" s="139"/>
      <c r="K279" s="31"/>
      <c r="M279" s="31" t="s">
        <v>212</v>
      </c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140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141"/>
    </row>
    <row r="280" spans="2:61" ht="20.100000000000001" customHeight="1" x14ac:dyDescent="0.45">
      <c r="B280" s="137"/>
      <c r="C280" s="31"/>
      <c r="D280" s="31"/>
      <c r="E280" s="31"/>
      <c r="F280" s="31"/>
      <c r="G280" s="138"/>
      <c r="H280" s="139"/>
      <c r="I280" s="31"/>
      <c r="J280" s="139" t="s">
        <v>174</v>
      </c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140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141"/>
    </row>
    <row r="281" spans="2:61" ht="20.100000000000001" customHeight="1" x14ac:dyDescent="0.45">
      <c r="B281" s="137"/>
      <c r="C281" s="31"/>
      <c r="D281" s="31"/>
      <c r="E281" s="31"/>
      <c r="F281" s="31"/>
      <c r="G281" s="138"/>
      <c r="H281" s="139"/>
      <c r="I281" s="31"/>
      <c r="J281" s="139"/>
      <c r="K281" s="31" t="s">
        <v>203</v>
      </c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140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141"/>
    </row>
    <row r="282" spans="2:61" ht="20.100000000000001" customHeight="1" x14ac:dyDescent="0.45">
      <c r="B282" s="137"/>
      <c r="C282" s="31"/>
      <c r="D282" s="31"/>
      <c r="E282" s="31"/>
      <c r="F282" s="31"/>
      <c r="G282" s="138"/>
      <c r="H282" s="145"/>
      <c r="I282" s="146"/>
      <c r="J282" s="145"/>
      <c r="K282" s="146"/>
      <c r="L282" s="146"/>
      <c r="M282" s="146" t="s">
        <v>219</v>
      </c>
      <c r="N282" s="146"/>
      <c r="O282" s="146"/>
      <c r="P282" s="146"/>
      <c r="Q282" s="146"/>
      <c r="R282" s="146"/>
      <c r="S282" s="146"/>
      <c r="T282" s="146"/>
      <c r="U282" s="146"/>
      <c r="V282" s="146"/>
      <c r="W282" s="146"/>
      <c r="X282" s="146"/>
      <c r="Y282" s="146"/>
      <c r="Z282" s="146"/>
      <c r="AA282" s="146"/>
      <c r="AB282" s="146"/>
      <c r="AC282" s="146"/>
      <c r="AD282" s="146"/>
      <c r="AE282" s="146"/>
      <c r="AF282" s="146"/>
      <c r="AG282" s="146"/>
      <c r="AH282" s="146"/>
      <c r="AI282" s="146"/>
      <c r="AJ282" s="146"/>
      <c r="AK282" s="147"/>
      <c r="AL282" s="146"/>
      <c r="AM282" s="146"/>
      <c r="AN282" s="146"/>
      <c r="AO282" s="146"/>
      <c r="AP282" s="146"/>
      <c r="AQ282" s="146"/>
      <c r="AR282" s="146"/>
      <c r="AS282" s="146"/>
      <c r="AT282" s="146"/>
      <c r="AU282" s="146"/>
      <c r="AV282" s="146"/>
      <c r="AW282" s="146"/>
      <c r="AX282" s="146"/>
      <c r="AY282" s="146"/>
      <c r="AZ282" s="146"/>
      <c r="BA282" s="146"/>
      <c r="BB282" s="146"/>
      <c r="BC282" s="146"/>
      <c r="BD282" s="146"/>
      <c r="BE282" s="146"/>
      <c r="BF282" s="146"/>
      <c r="BG282" s="146"/>
      <c r="BH282" s="146"/>
      <c r="BI282" s="148"/>
    </row>
    <row r="283" spans="2:61" ht="20.100000000000001" customHeight="1" x14ac:dyDescent="0.45">
      <c r="B283" s="137"/>
      <c r="C283" s="31"/>
      <c r="D283" s="31"/>
      <c r="E283" s="31"/>
      <c r="F283" s="31"/>
      <c r="G283" s="138"/>
      <c r="H283" s="139" t="s">
        <v>147</v>
      </c>
      <c r="I283" s="31"/>
      <c r="J283" s="139"/>
      <c r="K283" s="55" t="s">
        <v>210</v>
      </c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140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141"/>
    </row>
    <row r="284" spans="2:61" ht="20.100000000000001" customHeight="1" x14ac:dyDescent="0.45">
      <c r="B284" s="137"/>
      <c r="C284" s="31"/>
      <c r="D284" s="31"/>
      <c r="E284" s="31"/>
      <c r="F284" s="31"/>
      <c r="G284" s="138"/>
      <c r="H284" s="139"/>
      <c r="I284" s="31"/>
      <c r="J284" s="139" t="s">
        <v>180</v>
      </c>
      <c r="K284" s="31" t="s">
        <v>220</v>
      </c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140" t="s">
        <v>192</v>
      </c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141"/>
    </row>
    <row r="285" spans="2:61" ht="20.100000000000001" customHeight="1" x14ac:dyDescent="0.45">
      <c r="B285" s="137"/>
      <c r="C285" s="31"/>
      <c r="D285" s="31"/>
      <c r="E285" s="31"/>
      <c r="F285" s="31"/>
      <c r="G285" s="138"/>
      <c r="H285" s="139"/>
      <c r="I285" s="31"/>
      <c r="J285" s="139" t="s">
        <v>180</v>
      </c>
      <c r="K285" s="31" t="s">
        <v>213</v>
      </c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139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141"/>
    </row>
    <row r="286" spans="2:61" ht="20.100000000000001" customHeight="1" x14ac:dyDescent="0.45">
      <c r="B286" s="137"/>
      <c r="C286" s="31"/>
      <c r="D286" s="31"/>
      <c r="E286" s="31"/>
      <c r="F286" s="31"/>
      <c r="G286" s="138"/>
      <c r="H286" s="139"/>
      <c r="I286" s="31"/>
      <c r="J286" s="139" t="s">
        <v>180</v>
      </c>
      <c r="K286" s="31" t="s">
        <v>184</v>
      </c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139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141"/>
    </row>
    <row r="287" spans="2:61" ht="20.100000000000001" customHeight="1" x14ac:dyDescent="0.45">
      <c r="B287" s="137"/>
      <c r="C287" s="31"/>
      <c r="D287" s="31"/>
      <c r="E287" s="31"/>
      <c r="F287" s="31"/>
      <c r="G287" s="138"/>
      <c r="H287" s="139"/>
      <c r="I287" s="31"/>
      <c r="J287" s="139"/>
      <c r="L287" s="31"/>
      <c r="M287" s="31" t="s">
        <v>233</v>
      </c>
      <c r="N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139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141"/>
    </row>
    <row r="288" spans="2:61" ht="20.100000000000001" customHeight="1" x14ac:dyDescent="0.45">
      <c r="B288" s="137"/>
      <c r="C288" s="31"/>
      <c r="D288" s="31"/>
      <c r="E288" s="31"/>
      <c r="F288" s="31"/>
      <c r="G288" s="138"/>
      <c r="H288" s="139"/>
      <c r="I288" s="31"/>
      <c r="J288" s="139"/>
      <c r="L288" s="31" t="s">
        <v>186</v>
      </c>
      <c r="M288" s="31" t="s">
        <v>234</v>
      </c>
      <c r="N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139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141"/>
    </row>
    <row r="289" spans="2:61" ht="20.100000000000001" customHeight="1" thickBot="1" x14ac:dyDescent="0.5">
      <c r="B289" s="137"/>
      <c r="C289" s="31"/>
      <c r="D289" s="31"/>
      <c r="E289" s="31"/>
      <c r="F289" s="31"/>
      <c r="G289" s="138"/>
      <c r="H289" s="139"/>
      <c r="I289" s="31"/>
      <c r="J289" s="139"/>
      <c r="K289" s="31" t="s">
        <v>187</v>
      </c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139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141"/>
    </row>
    <row r="290" spans="2:61" ht="20.100000000000001" customHeight="1" x14ac:dyDescent="0.45">
      <c r="B290" s="131" t="s">
        <v>383</v>
      </c>
      <c r="C290" s="132"/>
      <c r="D290" s="132"/>
      <c r="E290" s="132"/>
      <c r="F290" s="132"/>
      <c r="G290" s="133"/>
      <c r="H290" s="134" t="s">
        <v>237</v>
      </c>
      <c r="I290" s="133"/>
      <c r="J290" s="173" t="s">
        <v>311</v>
      </c>
      <c r="K290" s="166"/>
      <c r="L290" s="166"/>
      <c r="M290" s="166"/>
      <c r="N290" s="166"/>
      <c r="O290" s="166"/>
      <c r="P290" s="166"/>
      <c r="Q290" s="166"/>
      <c r="R290" s="173" t="s">
        <v>262</v>
      </c>
      <c r="S290" s="166"/>
      <c r="T290" s="166"/>
      <c r="U290" s="166"/>
      <c r="V290" s="166"/>
      <c r="W290" s="166"/>
      <c r="X290" s="166"/>
      <c r="Y290" s="166"/>
      <c r="Z290" s="166"/>
      <c r="AA290" s="166"/>
      <c r="AB290" s="166"/>
      <c r="AC290" s="166"/>
      <c r="AD290" s="166"/>
      <c r="AE290" s="166"/>
      <c r="AF290" s="166"/>
      <c r="AG290" s="166"/>
      <c r="AH290" s="166"/>
      <c r="AI290" s="166"/>
      <c r="AJ290" s="167"/>
      <c r="AK290" s="135"/>
      <c r="AL290" s="132"/>
      <c r="AM290" s="132"/>
      <c r="AN290" s="132"/>
      <c r="AO290" s="132"/>
      <c r="AP290" s="132"/>
      <c r="AQ290" s="132"/>
      <c r="AR290" s="132"/>
      <c r="AS290" s="132"/>
      <c r="AT290" s="132"/>
      <c r="AU290" s="132"/>
      <c r="AV290" s="132"/>
      <c r="AW290" s="132"/>
      <c r="AX290" s="132"/>
      <c r="AY290" s="132"/>
      <c r="AZ290" s="132"/>
      <c r="BA290" s="132"/>
      <c r="BB290" s="132"/>
      <c r="BC290" s="132"/>
      <c r="BD290" s="132"/>
      <c r="BE290" s="132"/>
      <c r="BF290" s="132"/>
      <c r="BG290" s="132"/>
      <c r="BH290" s="132"/>
      <c r="BI290" s="136"/>
    </row>
    <row r="291" spans="2:61" ht="20.100000000000001" customHeight="1" x14ac:dyDescent="0.45">
      <c r="B291" s="168"/>
      <c r="C291" s="31"/>
      <c r="D291" s="31"/>
      <c r="E291" s="31"/>
      <c r="F291" s="31"/>
      <c r="G291" s="138"/>
      <c r="H291" s="139"/>
      <c r="I291" s="138"/>
      <c r="J291" s="169" t="s">
        <v>294</v>
      </c>
      <c r="K291" s="52"/>
      <c r="L291" s="52"/>
      <c r="M291" s="52"/>
      <c r="N291" s="52"/>
      <c r="O291" s="52"/>
      <c r="P291" s="52"/>
      <c r="Q291" s="52"/>
      <c r="R291" s="169" t="s">
        <v>345</v>
      </c>
      <c r="S291" s="52"/>
      <c r="T291" s="52"/>
      <c r="U291" s="52"/>
      <c r="V291" s="52"/>
      <c r="W291" s="52"/>
      <c r="X291" s="52"/>
      <c r="Y291" s="52"/>
      <c r="Z291" s="52"/>
      <c r="AA291" s="52"/>
      <c r="AB291" s="52"/>
      <c r="AC291" s="52"/>
      <c r="AD291" s="52"/>
      <c r="AE291" s="52"/>
      <c r="AF291" s="52"/>
      <c r="AG291" s="52"/>
      <c r="AH291" s="52"/>
      <c r="AI291" s="52"/>
      <c r="AJ291" s="170"/>
      <c r="AK291" s="140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141"/>
    </row>
    <row r="292" spans="2:61" ht="20.100000000000001" customHeight="1" x14ac:dyDescent="0.45">
      <c r="B292" s="168"/>
      <c r="C292" s="31"/>
      <c r="D292" s="31"/>
      <c r="E292" s="31"/>
      <c r="F292" s="31"/>
      <c r="G292" s="138"/>
      <c r="H292" s="139"/>
      <c r="I292" s="138"/>
      <c r="J292" s="169" t="s">
        <v>314</v>
      </c>
      <c r="K292" s="52"/>
      <c r="L292" s="52"/>
      <c r="M292" s="52"/>
      <c r="N292" s="52"/>
      <c r="O292" s="52"/>
      <c r="P292" s="52"/>
      <c r="Q292" s="52"/>
      <c r="R292" s="169" t="s">
        <v>346</v>
      </c>
      <c r="S292" s="52"/>
      <c r="T292" s="52"/>
      <c r="U292" s="52"/>
      <c r="V292" s="52"/>
      <c r="W292" s="52"/>
      <c r="X292" s="52"/>
      <c r="Y292" s="52"/>
      <c r="Z292" s="52"/>
      <c r="AA292" s="52"/>
      <c r="AB292" s="52"/>
      <c r="AC292" s="52"/>
      <c r="AD292" s="52"/>
      <c r="AE292" s="52"/>
      <c r="AF292" s="52"/>
      <c r="AG292" s="52"/>
      <c r="AH292" s="52"/>
      <c r="AI292" s="52"/>
      <c r="AJ292" s="170"/>
      <c r="AK292" s="140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141"/>
    </row>
    <row r="293" spans="2:61" ht="20.100000000000001" customHeight="1" x14ac:dyDescent="0.45">
      <c r="B293" s="168"/>
      <c r="C293" s="31"/>
      <c r="D293" s="31"/>
      <c r="E293" s="31"/>
      <c r="F293" s="31"/>
      <c r="G293" s="138"/>
      <c r="H293" s="139"/>
      <c r="I293" s="138"/>
      <c r="J293" s="169" t="s">
        <v>315</v>
      </c>
      <c r="K293" s="52"/>
      <c r="L293" s="52"/>
      <c r="M293" s="52"/>
      <c r="N293" s="52"/>
      <c r="O293" s="52"/>
      <c r="P293" s="52"/>
      <c r="Q293" s="52"/>
      <c r="R293" s="169" t="s">
        <v>263</v>
      </c>
      <c r="S293" s="52"/>
      <c r="T293" s="52"/>
      <c r="U293" s="52"/>
      <c r="V293" s="52"/>
      <c r="W293" s="52"/>
      <c r="X293" s="52"/>
      <c r="Y293" s="52"/>
      <c r="Z293" s="52"/>
      <c r="AA293" s="52"/>
      <c r="AB293" s="52"/>
      <c r="AC293" s="52"/>
      <c r="AD293" s="52"/>
      <c r="AE293" s="52"/>
      <c r="AF293" s="52"/>
      <c r="AG293" s="52"/>
      <c r="AH293" s="52"/>
      <c r="AI293" s="52"/>
      <c r="AJ293" s="170"/>
      <c r="AK293" s="140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141"/>
    </row>
    <row r="294" spans="2:61" ht="20.100000000000001" customHeight="1" x14ac:dyDescent="0.45">
      <c r="B294" s="168"/>
      <c r="C294" s="31"/>
      <c r="D294" s="31"/>
      <c r="E294" s="31"/>
      <c r="F294" s="31"/>
      <c r="G294" s="138"/>
      <c r="H294" s="139"/>
      <c r="I294" s="138"/>
      <c r="J294" s="169" t="s">
        <v>316</v>
      </c>
      <c r="K294" s="52"/>
      <c r="L294" s="52"/>
      <c r="M294" s="52"/>
      <c r="N294" s="52"/>
      <c r="O294" s="52"/>
      <c r="P294" s="52"/>
      <c r="Q294" s="52"/>
      <c r="R294" s="169" t="s">
        <v>264</v>
      </c>
      <c r="S294" s="52"/>
      <c r="T294" s="52"/>
      <c r="U294" s="52"/>
      <c r="V294" s="52"/>
      <c r="W294" s="52"/>
      <c r="X294" s="52"/>
      <c r="Y294" s="52"/>
      <c r="Z294" s="52"/>
      <c r="AA294" s="52"/>
      <c r="AB294" s="52"/>
      <c r="AC294" s="52"/>
      <c r="AD294" s="52"/>
      <c r="AE294" s="52"/>
      <c r="AF294" s="52"/>
      <c r="AG294" s="52"/>
      <c r="AH294" s="52"/>
      <c r="AI294" s="52"/>
      <c r="AJ294" s="170"/>
      <c r="AK294" s="140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141"/>
    </row>
    <row r="295" spans="2:61" ht="20.100000000000001" customHeight="1" x14ac:dyDescent="0.45">
      <c r="B295" s="168"/>
      <c r="C295" s="31"/>
      <c r="D295" s="31"/>
      <c r="E295" s="31"/>
      <c r="F295" s="31"/>
      <c r="G295" s="138"/>
      <c r="H295" s="139"/>
      <c r="I295" s="138"/>
      <c r="J295" s="169" t="s">
        <v>317</v>
      </c>
      <c r="K295" s="52"/>
      <c r="L295" s="52"/>
      <c r="M295" s="52"/>
      <c r="N295" s="52"/>
      <c r="O295" s="52"/>
      <c r="P295" s="52"/>
      <c r="Q295" s="52"/>
      <c r="R295" s="169" t="s">
        <v>265</v>
      </c>
      <c r="S295" s="52"/>
      <c r="T295" s="52"/>
      <c r="U295" s="52"/>
      <c r="V295" s="52"/>
      <c r="W295" s="52"/>
      <c r="X295" s="52"/>
      <c r="Y295" s="52"/>
      <c r="Z295" s="52"/>
      <c r="AA295" s="52"/>
      <c r="AB295" s="52"/>
      <c r="AC295" s="52"/>
      <c r="AD295" s="52"/>
      <c r="AE295" s="52"/>
      <c r="AF295" s="52"/>
      <c r="AG295" s="52"/>
      <c r="AH295" s="52"/>
      <c r="AI295" s="52"/>
      <c r="AJ295" s="170"/>
      <c r="AK295" s="140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141"/>
    </row>
    <row r="296" spans="2:61" ht="20.100000000000001" customHeight="1" x14ac:dyDescent="0.45">
      <c r="B296" s="168"/>
      <c r="C296" s="31"/>
      <c r="D296" s="31"/>
      <c r="E296" s="31"/>
      <c r="F296" s="31"/>
      <c r="G296" s="138"/>
      <c r="H296" s="139"/>
      <c r="I296" s="138"/>
      <c r="J296" s="169" t="s">
        <v>318</v>
      </c>
      <c r="K296" s="52"/>
      <c r="L296" s="52"/>
      <c r="M296" s="52"/>
      <c r="N296" s="52"/>
      <c r="O296" s="52"/>
      <c r="P296" s="52"/>
      <c r="Q296" s="52"/>
      <c r="R296" s="169" t="s">
        <v>266</v>
      </c>
      <c r="S296" s="52"/>
      <c r="T296" s="52"/>
      <c r="U296" s="52"/>
      <c r="V296" s="52"/>
      <c r="W296" s="52"/>
      <c r="X296" s="52"/>
      <c r="Y296" s="52"/>
      <c r="Z296" s="52"/>
      <c r="AA296" s="52"/>
      <c r="AB296" s="52"/>
      <c r="AC296" s="52"/>
      <c r="AD296" s="52"/>
      <c r="AE296" s="52"/>
      <c r="AF296" s="52"/>
      <c r="AG296" s="52"/>
      <c r="AH296" s="52"/>
      <c r="AI296" s="52"/>
      <c r="AJ296" s="170"/>
      <c r="AK296" s="140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141"/>
    </row>
    <row r="297" spans="2:61" ht="20.100000000000001" customHeight="1" x14ac:dyDescent="0.45">
      <c r="B297" s="168"/>
      <c r="C297" s="31"/>
      <c r="D297" s="31"/>
      <c r="E297" s="31"/>
      <c r="F297" s="31"/>
      <c r="G297" s="138"/>
      <c r="H297" s="139"/>
      <c r="I297" s="138"/>
      <c r="J297" s="169" t="s">
        <v>319</v>
      </c>
      <c r="K297" s="52"/>
      <c r="L297" s="52"/>
      <c r="M297" s="52"/>
      <c r="N297" s="52"/>
      <c r="O297" s="52"/>
      <c r="P297" s="52"/>
      <c r="Q297" s="52"/>
      <c r="R297" s="169" t="s">
        <v>267</v>
      </c>
      <c r="S297" s="52"/>
      <c r="T297" s="52"/>
      <c r="U297" s="52"/>
      <c r="V297" s="52"/>
      <c r="W297" s="52"/>
      <c r="X297" s="52"/>
      <c r="Y297" s="52"/>
      <c r="Z297" s="52"/>
      <c r="AA297" s="52"/>
      <c r="AB297" s="52"/>
      <c r="AC297" s="52"/>
      <c r="AD297" s="52"/>
      <c r="AE297" s="52"/>
      <c r="AF297" s="52"/>
      <c r="AG297" s="52"/>
      <c r="AH297" s="52"/>
      <c r="AI297" s="52"/>
      <c r="AJ297" s="170"/>
      <c r="AK297" s="140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141"/>
    </row>
    <row r="298" spans="2:61" ht="20.100000000000001" customHeight="1" x14ac:dyDescent="0.45">
      <c r="B298" s="168"/>
      <c r="C298" s="31"/>
      <c r="D298" s="31"/>
      <c r="E298" s="31"/>
      <c r="F298" s="31"/>
      <c r="G298" s="138"/>
      <c r="H298" s="139"/>
      <c r="I298" s="138"/>
      <c r="J298" s="169" t="s">
        <v>320</v>
      </c>
      <c r="K298" s="52"/>
      <c r="L298" s="52"/>
      <c r="M298" s="52"/>
      <c r="N298" s="52"/>
      <c r="O298" s="52"/>
      <c r="P298" s="52"/>
      <c r="Q298" s="52"/>
      <c r="R298" s="169" t="s">
        <v>268</v>
      </c>
      <c r="S298" s="52"/>
      <c r="T298" s="52"/>
      <c r="U298" s="52"/>
      <c r="V298" s="52"/>
      <c r="W298" s="52"/>
      <c r="X298" s="52"/>
      <c r="Y298" s="52"/>
      <c r="Z298" s="52"/>
      <c r="AA298" s="52"/>
      <c r="AB298" s="52"/>
      <c r="AC298" s="52"/>
      <c r="AD298" s="52"/>
      <c r="AE298" s="52"/>
      <c r="AF298" s="52"/>
      <c r="AG298" s="52"/>
      <c r="AH298" s="52"/>
      <c r="AI298" s="52"/>
      <c r="AJ298" s="170"/>
      <c r="AK298" s="140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141"/>
    </row>
    <row r="299" spans="2:61" ht="20.100000000000001" customHeight="1" x14ac:dyDescent="0.45">
      <c r="B299" s="168"/>
      <c r="C299" s="31"/>
      <c r="D299" s="31"/>
      <c r="E299" s="31"/>
      <c r="F299" s="31"/>
      <c r="G299" s="138"/>
      <c r="H299" s="139"/>
      <c r="I299" s="138"/>
      <c r="J299" s="169" t="s">
        <v>321</v>
      </c>
      <c r="K299" s="52"/>
      <c r="L299" s="52"/>
      <c r="M299" s="52"/>
      <c r="N299" s="52"/>
      <c r="O299" s="52"/>
      <c r="P299" s="52"/>
      <c r="Q299" s="52"/>
      <c r="R299" s="169" t="s">
        <v>269</v>
      </c>
      <c r="S299" s="52"/>
      <c r="T299" s="52"/>
      <c r="U299" s="52"/>
      <c r="V299" s="52"/>
      <c r="W299" s="52"/>
      <c r="X299" s="52"/>
      <c r="Y299" s="52"/>
      <c r="Z299" s="52"/>
      <c r="AA299" s="52"/>
      <c r="AB299" s="52"/>
      <c r="AC299" s="52"/>
      <c r="AD299" s="52"/>
      <c r="AE299" s="52"/>
      <c r="AF299" s="52"/>
      <c r="AG299" s="52"/>
      <c r="AH299" s="52"/>
      <c r="AI299" s="52"/>
      <c r="AJ299" s="170"/>
      <c r="AK299" s="140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141"/>
    </row>
    <row r="300" spans="2:61" ht="20.100000000000001" customHeight="1" x14ac:dyDescent="0.45">
      <c r="B300" s="168"/>
      <c r="C300" s="31"/>
      <c r="D300" s="31"/>
      <c r="E300" s="31"/>
      <c r="F300" s="31"/>
      <c r="G300" s="138"/>
      <c r="H300" s="139"/>
      <c r="I300" s="138"/>
      <c r="J300" s="169" t="s">
        <v>322</v>
      </c>
      <c r="K300" s="52"/>
      <c r="L300" s="52"/>
      <c r="M300" s="52"/>
      <c r="N300" s="52"/>
      <c r="O300" s="52"/>
      <c r="P300" s="52"/>
      <c r="Q300" s="52"/>
      <c r="R300" s="169" t="s">
        <v>270</v>
      </c>
      <c r="S300" s="52"/>
      <c r="T300" s="52"/>
      <c r="U300" s="52"/>
      <c r="V300" s="52"/>
      <c r="W300" s="52"/>
      <c r="X300" s="52"/>
      <c r="Y300" s="52"/>
      <c r="Z300" s="52"/>
      <c r="AA300" s="52"/>
      <c r="AB300" s="52"/>
      <c r="AC300" s="52"/>
      <c r="AD300" s="52"/>
      <c r="AE300" s="52"/>
      <c r="AF300" s="52"/>
      <c r="AG300" s="52"/>
      <c r="AH300" s="52"/>
      <c r="AI300" s="52"/>
      <c r="AJ300" s="170"/>
      <c r="AK300" s="140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141"/>
    </row>
    <row r="301" spans="2:61" ht="20.100000000000001" customHeight="1" x14ac:dyDescent="0.45">
      <c r="B301" s="168"/>
      <c r="C301" s="31"/>
      <c r="D301" s="31"/>
      <c r="E301" s="31"/>
      <c r="F301" s="31"/>
      <c r="G301" s="138"/>
      <c r="H301" s="139"/>
      <c r="I301" s="138"/>
      <c r="J301" s="169" t="s">
        <v>323</v>
      </c>
      <c r="K301" s="52"/>
      <c r="L301" s="52"/>
      <c r="M301" s="52"/>
      <c r="N301" s="52"/>
      <c r="O301" s="52"/>
      <c r="P301" s="52"/>
      <c r="Q301" s="52"/>
      <c r="R301" s="169" t="s">
        <v>271</v>
      </c>
      <c r="S301" s="52"/>
      <c r="T301" s="52"/>
      <c r="U301" s="52"/>
      <c r="V301" s="52"/>
      <c r="W301" s="52"/>
      <c r="X301" s="52"/>
      <c r="Y301" s="52"/>
      <c r="Z301" s="52"/>
      <c r="AA301" s="52"/>
      <c r="AB301" s="52"/>
      <c r="AC301" s="52"/>
      <c r="AD301" s="52"/>
      <c r="AE301" s="52"/>
      <c r="AF301" s="52"/>
      <c r="AG301" s="52"/>
      <c r="AH301" s="52"/>
      <c r="AI301" s="52"/>
      <c r="AJ301" s="170"/>
      <c r="AK301" s="140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141"/>
    </row>
    <row r="302" spans="2:61" ht="20.100000000000001" customHeight="1" x14ac:dyDescent="0.45">
      <c r="B302" s="168"/>
      <c r="C302" s="31"/>
      <c r="D302" s="31"/>
      <c r="E302" s="31"/>
      <c r="F302" s="31"/>
      <c r="G302" s="138"/>
      <c r="H302" s="139"/>
      <c r="I302" s="138"/>
      <c r="J302" s="169" t="s">
        <v>324</v>
      </c>
      <c r="K302" s="52"/>
      <c r="L302" s="52"/>
      <c r="M302" s="52"/>
      <c r="N302" s="52"/>
      <c r="O302" s="52"/>
      <c r="P302" s="52"/>
      <c r="Q302" s="52"/>
      <c r="R302" s="169" t="s">
        <v>272</v>
      </c>
      <c r="S302" s="52"/>
      <c r="T302" s="52"/>
      <c r="U302" s="52"/>
      <c r="V302" s="52"/>
      <c r="W302" s="52"/>
      <c r="X302" s="52"/>
      <c r="Y302" s="52"/>
      <c r="Z302" s="52"/>
      <c r="AA302" s="52"/>
      <c r="AB302" s="52"/>
      <c r="AC302" s="52"/>
      <c r="AD302" s="52"/>
      <c r="AE302" s="52"/>
      <c r="AF302" s="52"/>
      <c r="AG302" s="52"/>
      <c r="AH302" s="52"/>
      <c r="AI302" s="52"/>
      <c r="AJ302" s="170"/>
      <c r="AK302" s="140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141"/>
    </row>
    <row r="303" spans="2:61" ht="20.100000000000001" customHeight="1" x14ac:dyDescent="0.45">
      <c r="B303" s="168"/>
      <c r="C303" s="31"/>
      <c r="D303" s="31"/>
      <c r="E303" s="31"/>
      <c r="F303" s="31"/>
      <c r="G303" s="138"/>
      <c r="H303" s="139"/>
      <c r="I303" s="138"/>
      <c r="J303" s="169" t="s">
        <v>325</v>
      </c>
      <c r="K303" s="52"/>
      <c r="L303" s="52"/>
      <c r="M303" s="52"/>
      <c r="N303" s="52"/>
      <c r="O303" s="52"/>
      <c r="P303" s="52"/>
      <c r="Q303" s="52"/>
      <c r="R303" s="169" t="s">
        <v>273</v>
      </c>
      <c r="S303" s="52"/>
      <c r="T303" s="52"/>
      <c r="U303" s="52"/>
      <c r="V303" s="52"/>
      <c r="W303" s="52"/>
      <c r="X303" s="52"/>
      <c r="Y303" s="52"/>
      <c r="Z303" s="52"/>
      <c r="AA303" s="52"/>
      <c r="AB303" s="52"/>
      <c r="AC303" s="52"/>
      <c r="AD303" s="52"/>
      <c r="AE303" s="52"/>
      <c r="AF303" s="52"/>
      <c r="AG303" s="52"/>
      <c r="AH303" s="52"/>
      <c r="AI303" s="52"/>
      <c r="AJ303" s="170"/>
      <c r="AK303" s="140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141"/>
    </row>
    <row r="304" spans="2:61" ht="20.100000000000001" customHeight="1" x14ac:dyDescent="0.45">
      <c r="B304" s="168"/>
      <c r="C304" s="31"/>
      <c r="D304" s="31"/>
      <c r="E304" s="31"/>
      <c r="F304" s="31"/>
      <c r="G304" s="138"/>
      <c r="H304" s="139"/>
      <c r="I304" s="138"/>
      <c r="J304" s="169" t="s">
        <v>326</v>
      </c>
      <c r="K304" s="52"/>
      <c r="L304" s="52"/>
      <c r="M304" s="52"/>
      <c r="N304" s="52"/>
      <c r="O304" s="52"/>
      <c r="P304" s="52"/>
      <c r="Q304" s="52"/>
      <c r="R304" s="169" t="s">
        <v>274</v>
      </c>
      <c r="S304" s="52"/>
      <c r="T304" s="52"/>
      <c r="U304" s="52"/>
      <c r="V304" s="52"/>
      <c r="W304" s="52"/>
      <c r="X304" s="52"/>
      <c r="Y304" s="52"/>
      <c r="Z304" s="52"/>
      <c r="AA304" s="52"/>
      <c r="AB304" s="52"/>
      <c r="AC304" s="52"/>
      <c r="AD304" s="52"/>
      <c r="AE304" s="52"/>
      <c r="AF304" s="52"/>
      <c r="AG304" s="52"/>
      <c r="AH304" s="52"/>
      <c r="AI304" s="52"/>
      <c r="AJ304" s="170"/>
      <c r="AK304" s="140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141"/>
    </row>
    <row r="305" spans="2:61" ht="20.100000000000001" customHeight="1" x14ac:dyDescent="0.45">
      <c r="B305" s="168"/>
      <c r="C305" s="31"/>
      <c r="D305" s="31"/>
      <c r="E305" s="31"/>
      <c r="F305" s="31"/>
      <c r="G305" s="138"/>
      <c r="H305" s="139"/>
      <c r="I305" s="138"/>
      <c r="J305" s="169" t="s">
        <v>327</v>
      </c>
      <c r="K305" s="52"/>
      <c r="L305" s="52"/>
      <c r="M305" s="52"/>
      <c r="N305" s="52"/>
      <c r="O305" s="52"/>
      <c r="P305" s="52"/>
      <c r="Q305" s="52"/>
      <c r="R305" s="169" t="s">
        <v>275</v>
      </c>
      <c r="S305" s="52"/>
      <c r="T305" s="52"/>
      <c r="U305" s="52"/>
      <c r="V305" s="52"/>
      <c r="W305" s="52"/>
      <c r="X305" s="52"/>
      <c r="Y305" s="52"/>
      <c r="Z305" s="52"/>
      <c r="AA305" s="52"/>
      <c r="AB305" s="52"/>
      <c r="AC305" s="52"/>
      <c r="AD305" s="52"/>
      <c r="AE305" s="52"/>
      <c r="AF305" s="52"/>
      <c r="AG305" s="52"/>
      <c r="AH305" s="52"/>
      <c r="AI305" s="52"/>
      <c r="AJ305" s="170"/>
      <c r="AK305" s="140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141"/>
    </row>
    <row r="306" spans="2:61" ht="20.100000000000001" customHeight="1" x14ac:dyDescent="0.45">
      <c r="B306" s="168"/>
      <c r="C306" s="31"/>
      <c r="D306" s="31"/>
      <c r="E306" s="31"/>
      <c r="F306" s="31"/>
      <c r="G306" s="138"/>
      <c r="H306" s="139"/>
      <c r="I306" s="138"/>
      <c r="J306" s="169" t="s">
        <v>296</v>
      </c>
      <c r="K306" s="52"/>
      <c r="L306" s="52"/>
      <c r="M306" s="52"/>
      <c r="N306" s="52"/>
      <c r="O306" s="52"/>
      <c r="P306" s="52"/>
      <c r="Q306" s="52"/>
      <c r="R306" s="169" t="s">
        <v>347</v>
      </c>
      <c r="S306" s="52"/>
      <c r="T306" s="52"/>
      <c r="U306" s="52"/>
      <c r="V306" s="52"/>
      <c r="W306" s="52"/>
      <c r="X306" s="52"/>
      <c r="Y306" s="52"/>
      <c r="Z306" s="52"/>
      <c r="AA306" s="52"/>
      <c r="AB306" s="52"/>
      <c r="AC306" s="52"/>
      <c r="AD306" s="52"/>
      <c r="AE306" s="52"/>
      <c r="AF306" s="52"/>
      <c r="AG306" s="52"/>
      <c r="AH306" s="52"/>
      <c r="AI306" s="52"/>
      <c r="AJ306" s="170"/>
      <c r="AK306" s="140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141"/>
    </row>
    <row r="307" spans="2:61" ht="20.100000000000001" customHeight="1" x14ac:dyDescent="0.45">
      <c r="B307" s="168"/>
      <c r="C307" s="31"/>
      <c r="D307" s="31"/>
      <c r="E307" s="31"/>
      <c r="F307" s="31"/>
      <c r="G307" s="138"/>
      <c r="H307" s="139"/>
      <c r="I307" s="138"/>
      <c r="J307" s="169" t="s">
        <v>328</v>
      </c>
      <c r="K307" s="52"/>
      <c r="L307" s="52"/>
      <c r="M307" s="52"/>
      <c r="N307" s="52"/>
      <c r="O307" s="52"/>
      <c r="P307" s="52"/>
      <c r="Q307" s="52"/>
      <c r="R307" s="169" t="s">
        <v>276</v>
      </c>
      <c r="S307" s="52"/>
      <c r="T307" s="52"/>
      <c r="U307" s="52"/>
      <c r="V307" s="52"/>
      <c r="W307" s="52"/>
      <c r="X307" s="52"/>
      <c r="Y307" s="52"/>
      <c r="Z307" s="52"/>
      <c r="AA307" s="52"/>
      <c r="AB307" s="52"/>
      <c r="AC307" s="52"/>
      <c r="AD307" s="52"/>
      <c r="AE307" s="52"/>
      <c r="AF307" s="52"/>
      <c r="AG307" s="52"/>
      <c r="AH307" s="52"/>
      <c r="AI307" s="52"/>
      <c r="AJ307" s="170"/>
      <c r="AK307" s="140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141"/>
    </row>
    <row r="308" spans="2:61" ht="20.100000000000001" customHeight="1" x14ac:dyDescent="0.45">
      <c r="B308" s="168"/>
      <c r="C308" s="31"/>
      <c r="D308" s="31"/>
      <c r="E308" s="31"/>
      <c r="F308" s="31"/>
      <c r="G308" s="138"/>
      <c r="H308" s="139"/>
      <c r="I308" s="138"/>
      <c r="J308" s="169" t="s">
        <v>329</v>
      </c>
      <c r="K308" s="52"/>
      <c r="L308" s="52"/>
      <c r="M308" s="52"/>
      <c r="N308" s="52"/>
      <c r="O308" s="52"/>
      <c r="P308" s="52"/>
      <c r="Q308" s="52"/>
      <c r="R308" s="169" t="s">
        <v>277</v>
      </c>
      <c r="S308" s="52"/>
      <c r="T308" s="52"/>
      <c r="U308" s="52"/>
      <c r="V308" s="52"/>
      <c r="W308" s="52"/>
      <c r="X308" s="52"/>
      <c r="Y308" s="52"/>
      <c r="Z308" s="52"/>
      <c r="AA308" s="52"/>
      <c r="AB308" s="52"/>
      <c r="AC308" s="52"/>
      <c r="AD308" s="52"/>
      <c r="AE308" s="52"/>
      <c r="AF308" s="52"/>
      <c r="AG308" s="52"/>
      <c r="AH308" s="52"/>
      <c r="AI308" s="52"/>
      <c r="AJ308" s="170"/>
      <c r="AK308" s="140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141"/>
    </row>
    <row r="309" spans="2:61" ht="20.100000000000001" customHeight="1" x14ac:dyDescent="0.45">
      <c r="B309" s="168"/>
      <c r="C309" s="31"/>
      <c r="D309" s="31"/>
      <c r="E309" s="31"/>
      <c r="F309" s="31"/>
      <c r="G309" s="138"/>
      <c r="H309" s="139"/>
      <c r="I309" s="138"/>
      <c r="J309" s="169" t="s">
        <v>298</v>
      </c>
      <c r="K309" s="52"/>
      <c r="L309" s="52"/>
      <c r="M309" s="52"/>
      <c r="N309" s="52"/>
      <c r="O309" s="52"/>
      <c r="P309" s="52"/>
      <c r="Q309" s="52"/>
      <c r="R309" s="174" t="s">
        <v>348</v>
      </c>
      <c r="S309" s="52"/>
      <c r="T309" s="52"/>
      <c r="U309" s="52"/>
      <c r="V309" s="52"/>
      <c r="W309" s="52"/>
      <c r="X309" s="52"/>
      <c r="Y309" s="52"/>
      <c r="Z309" s="52"/>
      <c r="AA309" s="52"/>
      <c r="AB309" s="52"/>
      <c r="AC309" s="52"/>
      <c r="AD309" s="52"/>
      <c r="AE309" s="52"/>
      <c r="AF309" s="52"/>
      <c r="AG309" s="52"/>
      <c r="AH309" s="52"/>
      <c r="AI309" s="52"/>
      <c r="AJ309" s="170"/>
      <c r="AK309" s="140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141"/>
    </row>
    <row r="310" spans="2:61" ht="20.100000000000001" customHeight="1" x14ac:dyDescent="0.45">
      <c r="B310" s="168"/>
      <c r="C310" s="31"/>
      <c r="D310" s="31"/>
      <c r="E310" s="31"/>
      <c r="F310" s="31"/>
      <c r="G310" s="138"/>
      <c r="H310" s="139"/>
      <c r="I310" s="138"/>
      <c r="J310" s="169" t="s">
        <v>330</v>
      </c>
      <c r="K310" s="52"/>
      <c r="L310" s="52"/>
      <c r="M310" s="52"/>
      <c r="N310" s="52"/>
      <c r="O310" s="52"/>
      <c r="P310" s="52"/>
      <c r="Q310" s="52"/>
      <c r="R310" s="169" t="s">
        <v>279</v>
      </c>
      <c r="S310" s="52"/>
      <c r="T310" s="52"/>
      <c r="U310" s="52"/>
      <c r="V310" s="52"/>
      <c r="W310" s="52"/>
      <c r="X310" s="52"/>
      <c r="Y310" s="52"/>
      <c r="Z310" s="52"/>
      <c r="AA310" s="52"/>
      <c r="AB310" s="52"/>
      <c r="AC310" s="52"/>
      <c r="AD310" s="52"/>
      <c r="AE310" s="52"/>
      <c r="AF310" s="52"/>
      <c r="AG310" s="52"/>
      <c r="AH310" s="52"/>
      <c r="AI310" s="52"/>
      <c r="AJ310" s="170"/>
      <c r="AK310" s="140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141"/>
    </row>
    <row r="311" spans="2:61" ht="20.100000000000001" customHeight="1" x14ac:dyDescent="0.45">
      <c r="B311" s="168"/>
      <c r="C311" s="31"/>
      <c r="D311" s="31"/>
      <c r="E311" s="31"/>
      <c r="F311" s="31"/>
      <c r="G311" s="138"/>
      <c r="H311" s="139"/>
      <c r="I311" s="138"/>
      <c r="J311" s="169" t="s">
        <v>301</v>
      </c>
      <c r="K311" s="52"/>
      <c r="L311" s="52"/>
      <c r="M311" s="52"/>
      <c r="N311" s="52"/>
      <c r="O311" s="52"/>
      <c r="P311" s="52"/>
      <c r="Q311" s="52"/>
      <c r="R311" s="169" t="s">
        <v>351</v>
      </c>
      <c r="S311" s="52"/>
      <c r="T311" s="52"/>
      <c r="U311" s="52"/>
      <c r="V311" s="52"/>
      <c r="W311" s="52"/>
      <c r="X311" s="52"/>
      <c r="Y311" s="52"/>
      <c r="Z311" s="52"/>
      <c r="AA311" s="52"/>
      <c r="AB311" s="52"/>
      <c r="AC311" s="52"/>
      <c r="AD311" s="52"/>
      <c r="AE311" s="52"/>
      <c r="AF311" s="52"/>
      <c r="AG311" s="52"/>
      <c r="AH311" s="52"/>
      <c r="AI311" s="52"/>
      <c r="AJ311" s="170"/>
      <c r="AK311" s="140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141"/>
    </row>
    <row r="312" spans="2:61" ht="20.100000000000001" customHeight="1" x14ac:dyDescent="0.45">
      <c r="B312" s="168"/>
      <c r="C312" s="31"/>
      <c r="D312" s="31"/>
      <c r="E312" s="31"/>
      <c r="F312" s="31"/>
      <c r="G312" s="138"/>
      <c r="H312" s="139"/>
      <c r="I312" s="138"/>
      <c r="J312" s="169" t="s">
        <v>331</v>
      </c>
      <c r="K312" s="52"/>
      <c r="L312" s="52"/>
      <c r="M312" s="52"/>
      <c r="N312" s="52"/>
      <c r="O312" s="52"/>
      <c r="P312" s="52"/>
      <c r="Q312" s="52"/>
      <c r="R312" s="169" t="s">
        <v>280</v>
      </c>
      <c r="S312" s="52"/>
      <c r="T312" s="52"/>
      <c r="U312" s="52"/>
      <c r="V312" s="52"/>
      <c r="W312" s="52"/>
      <c r="X312" s="52"/>
      <c r="Y312" s="52"/>
      <c r="Z312" s="52"/>
      <c r="AA312" s="52"/>
      <c r="AB312" s="52"/>
      <c r="AC312" s="52"/>
      <c r="AD312" s="52"/>
      <c r="AE312" s="52"/>
      <c r="AF312" s="52"/>
      <c r="AG312" s="52"/>
      <c r="AH312" s="52"/>
      <c r="AI312" s="52"/>
      <c r="AJ312" s="170"/>
      <c r="AK312" s="140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141"/>
    </row>
    <row r="313" spans="2:61" ht="20.100000000000001" customHeight="1" x14ac:dyDescent="0.45">
      <c r="B313" s="168"/>
      <c r="C313" s="31"/>
      <c r="D313" s="31"/>
      <c r="E313" s="31"/>
      <c r="F313" s="31"/>
      <c r="G313" s="138"/>
      <c r="H313" s="139"/>
      <c r="I313" s="138"/>
      <c r="J313" s="169" t="s">
        <v>302</v>
      </c>
      <c r="K313" s="52"/>
      <c r="L313" s="52"/>
      <c r="M313" s="52"/>
      <c r="N313" s="52"/>
      <c r="O313" s="52"/>
      <c r="P313" s="52"/>
      <c r="Q313" s="52"/>
      <c r="R313" s="174" t="s">
        <v>350</v>
      </c>
      <c r="S313" s="52"/>
      <c r="T313" s="52"/>
      <c r="U313" s="52"/>
      <c r="V313" s="52"/>
      <c r="W313" s="52"/>
      <c r="X313" s="52"/>
      <c r="Y313" s="52"/>
      <c r="Z313" s="52"/>
      <c r="AA313" s="52"/>
      <c r="AB313" s="52"/>
      <c r="AC313" s="52"/>
      <c r="AD313" s="52"/>
      <c r="AE313" s="52"/>
      <c r="AF313" s="52"/>
      <c r="AG313" s="52"/>
      <c r="AH313" s="52"/>
      <c r="AI313" s="52"/>
      <c r="AJ313" s="170"/>
      <c r="AK313" s="140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141"/>
    </row>
    <row r="314" spans="2:61" ht="20.100000000000001" customHeight="1" x14ac:dyDescent="0.45">
      <c r="B314" s="168"/>
      <c r="C314" s="31"/>
      <c r="D314" s="31"/>
      <c r="E314" s="31"/>
      <c r="F314" s="31"/>
      <c r="G314" s="138"/>
      <c r="H314" s="139"/>
      <c r="I314" s="138"/>
      <c r="J314" s="169" t="s">
        <v>307</v>
      </c>
      <c r="K314" s="52"/>
      <c r="L314" s="52"/>
      <c r="M314" s="52"/>
      <c r="N314" s="52"/>
      <c r="O314" s="52"/>
      <c r="P314" s="52"/>
      <c r="Q314" s="52"/>
      <c r="R314" s="169">
        <v>0</v>
      </c>
      <c r="S314" s="52"/>
      <c r="T314" s="52"/>
      <c r="U314" s="52"/>
      <c r="V314" s="52"/>
      <c r="W314" s="52"/>
      <c r="X314" s="52"/>
      <c r="Y314" s="52"/>
      <c r="Z314" s="52"/>
      <c r="AA314" s="52"/>
      <c r="AB314" s="52"/>
      <c r="AC314" s="52"/>
      <c r="AD314" s="52"/>
      <c r="AE314" s="52"/>
      <c r="AF314" s="52"/>
      <c r="AG314" s="52"/>
      <c r="AH314" s="52"/>
      <c r="AI314" s="52"/>
      <c r="AJ314" s="170"/>
      <c r="AK314" s="140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141"/>
    </row>
    <row r="315" spans="2:61" ht="20.100000000000001" customHeight="1" x14ac:dyDescent="0.45">
      <c r="B315" s="168"/>
      <c r="C315" s="31"/>
      <c r="D315" s="31"/>
      <c r="E315" s="31"/>
      <c r="F315" s="31"/>
      <c r="G315" s="138"/>
      <c r="H315" s="139"/>
      <c r="I315" s="138"/>
      <c r="J315" s="169" t="s">
        <v>309</v>
      </c>
      <c r="K315" s="52"/>
      <c r="L315" s="52"/>
      <c r="M315" s="52"/>
      <c r="N315" s="52"/>
      <c r="O315" s="52"/>
      <c r="P315" s="52"/>
      <c r="Q315" s="52"/>
      <c r="R315" s="169">
        <v>0</v>
      </c>
      <c r="S315" s="52"/>
      <c r="T315" s="52"/>
      <c r="U315" s="52"/>
      <c r="V315" s="52"/>
      <c r="W315" s="52"/>
      <c r="X315" s="52"/>
      <c r="Y315" s="52"/>
      <c r="Z315" s="52"/>
      <c r="AA315" s="52"/>
      <c r="AB315" s="52"/>
      <c r="AC315" s="52"/>
      <c r="AD315" s="52"/>
      <c r="AE315" s="52"/>
      <c r="AF315" s="52"/>
      <c r="AG315" s="52"/>
      <c r="AH315" s="52"/>
      <c r="AI315" s="52"/>
      <c r="AJ315" s="170"/>
      <c r="AK315" s="140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141"/>
    </row>
    <row r="316" spans="2:61" ht="20.100000000000001" customHeight="1" x14ac:dyDescent="0.45">
      <c r="B316" s="168"/>
      <c r="C316" s="31"/>
      <c r="D316" s="31"/>
      <c r="E316" s="31"/>
      <c r="F316" s="31"/>
      <c r="G316" s="138"/>
      <c r="H316" s="139"/>
      <c r="I316" s="138"/>
      <c r="J316" s="169" t="s">
        <v>333</v>
      </c>
      <c r="K316" s="52"/>
      <c r="L316" s="52"/>
      <c r="M316" s="52"/>
      <c r="N316" s="52"/>
      <c r="O316" s="52"/>
      <c r="P316" s="52"/>
      <c r="Q316" s="52"/>
      <c r="R316" s="169" t="s">
        <v>284</v>
      </c>
      <c r="S316" s="52"/>
      <c r="T316" s="52"/>
      <c r="U316" s="52"/>
      <c r="V316" s="52"/>
      <c r="W316" s="52"/>
      <c r="X316" s="52"/>
      <c r="Y316" s="52"/>
      <c r="Z316" s="52"/>
      <c r="AA316" s="52"/>
      <c r="AB316" s="52"/>
      <c r="AC316" s="52"/>
      <c r="AD316" s="52"/>
      <c r="AE316" s="52"/>
      <c r="AF316" s="52"/>
      <c r="AG316" s="52"/>
      <c r="AH316" s="52"/>
      <c r="AI316" s="52"/>
      <c r="AJ316" s="170"/>
      <c r="AK316" s="140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141"/>
    </row>
    <row r="317" spans="2:61" ht="20.100000000000001" customHeight="1" x14ac:dyDescent="0.45">
      <c r="B317" s="168"/>
      <c r="C317" s="31"/>
      <c r="D317" s="31"/>
      <c r="E317" s="31"/>
      <c r="F317" s="31"/>
      <c r="G317" s="138"/>
      <c r="H317" s="139"/>
      <c r="I317" s="138"/>
      <c r="J317" s="169" t="s">
        <v>305</v>
      </c>
      <c r="K317" s="52"/>
      <c r="L317" s="52"/>
      <c r="M317" s="52"/>
      <c r="N317" s="52"/>
      <c r="O317" s="52"/>
      <c r="P317" s="52"/>
      <c r="Q317" s="52"/>
      <c r="R317" s="169" t="s">
        <v>303</v>
      </c>
      <c r="S317" s="52"/>
      <c r="T317" s="52"/>
      <c r="U317" s="52"/>
      <c r="V317" s="52"/>
      <c r="W317" s="52"/>
      <c r="X317" s="52"/>
      <c r="Y317" s="52"/>
      <c r="Z317" s="52"/>
      <c r="AA317" s="52"/>
      <c r="AB317" s="52"/>
      <c r="AC317" s="52"/>
      <c r="AD317" s="52"/>
      <c r="AE317" s="52"/>
      <c r="AF317" s="52"/>
      <c r="AG317" s="52"/>
      <c r="AH317" s="52"/>
      <c r="AI317" s="52"/>
      <c r="AJ317" s="170"/>
      <c r="AK317" s="140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141"/>
    </row>
    <row r="318" spans="2:61" ht="20.100000000000001" customHeight="1" x14ac:dyDescent="0.45">
      <c r="B318" s="168"/>
      <c r="C318" s="31"/>
      <c r="D318" s="31"/>
      <c r="E318" s="31"/>
      <c r="F318" s="31"/>
      <c r="G318" s="138"/>
      <c r="H318" s="139"/>
      <c r="I318" s="138"/>
      <c r="J318" s="169" t="s">
        <v>334</v>
      </c>
      <c r="K318" s="52"/>
      <c r="L318" s="52"/>
      <c r="M318" s="52"/>
      <c r="N318" s="52"/>
      <c r="O318" s="52"/>
      <c r="P318" s="52"/>
      <c r="Q318" s="52"/>
      <c r="R318" s="169" t="s">
        <v>285</v>
      </c>
      <c r="S318" s="52"/>
      <c r="T318" s="52"/>
      <c r="U318" s="52"/>
      <c r="V318" s="52"/>
      <c r="W318" s="52"/>
      <c r="X318" s="52"/>
      <c r="Y318" s="52"/>
      <c r="Z318" s="52"/>
      <c r="AA318" s="52"/>
      <c r="AB318" s="52"/>
      <c r="AC318" s="52"/>
      <c r="AD318" s="52"/>
      <c r="AE318" s="52"/>
      <c r="AF318" s="52"/>
      <c r="AG318" s="52"/>
      <c r="AH318" s="52"/>
      <c r="AI318" s="52"/>
      <c r="AJ318" s="170"/>
      <c r="AK318" s="140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141"/>
    </row>
    <row r="319" spans="2:61" ht="20.100000000000001" customHeight="1" x14ac:dyDescent="0.45">
      <c r="B319" s="168"/>
      <c r="C319" s="31"/>
      <c r="D319" s="31"/>
      <c r="E319" s="31"/>
      <c r="F319" s="31"/>
      <c r="G319" s="138"/>
      <c r="H319" s="139"/>
      <c r="I319" s="138"/>
      <c r="J319" s="169" t="s">
        <v>335</v>
      </c>
      <c r="K319" s="52"/>
      <c r="L319" s="52"/>
      <c r="M319" s="52"/>
      <c r="N319" s="52"/>
      <c r="O319" s="52"/>
      <c r="P319" s="52"/>
      <c r="Q319" s="52"/>
      <c r="R319" s="169" t="s">
        <v>286</v>
      </c>
      <c r="S319" s="52"/>
      <c r="T319" s="52"/>
      <c r="U319" s="52"/>
      <c r="V319" s="52"/>
      <c r="W319" s="52"/>
      <c r="X319" s="52"/>
      <c r="Y319" s="52"/>
      <c r="Z319" s="52"/>
      <c r="AA319" s="52"/>
      <c r="AB319" s="52"/>
      <c r="AC319" s="52"/>
      <c r="AD319" s="52"/>
      <c r="AE319" s="52"/>
      <c r="AF319" s="52"/>
      <c r="AG319" s="52"/>
      <c r="AH319" s="52"/>
      <c r="AI319" s="52"/>
      <c r="AJ319" s="170"/>
      <c r="AK319" s="140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141"/>
    </row>
    <row r="320" spans="2:61" ht="20.100000000000001" customHeight="1" x14ac:dyDescent="0.45">
      <c r="B320" s="168"/>
      <c r="C320" s="31"/>
      <c r="D320" s="31"/>
      <c r="E320" s="31"/>
      <c r="F320" s="31"/>
      <c r="G320" s="138"/>
      <c r="H320" s="139"/>
      <c r="I320" s="138"/>
      <c r="J320" s="169" t="s">
        <v>336</v>
      </c>
      <c r="K320" s="52"/>
      <c r="L320" s="52"/>
      <c r="M320" s="52"/>
      <c r="N320" s="52"/>
      <c r="O320" s="52"/>
      <c r="P320" s="52"/>
      <c r="Q320" s="52"/>
      <c r="R320" s="169" t="s">
        <v>287</v>
      </c>
      <c r="S320" s="52"/>
      <c r="T320" s="52"/>
      <c r="U320" s="52"/>
      <c r="V320" s="52"/>
      <c r="W320" s="52"/>
      <c r="X320" s="52"/>
      <c r="Y320" s="52"/>
      <c r="Z320" s="52"/>
      <c r="AA320" s="52"/>
      <c r="AB320" s="52"/>
      <c r="AC320" s="52"/>
      <c r="AD320" s="52"/>
      <c r="AE320" s="52"/>
      <c r="AF320" s="52"/>
      <c r="AG320" s="52"/>
      <c r="AH320" s="52"/>
      <c r="AI320" s="52"/>
      <c r="AJ320" s="170"/>
      <c r="AK320" s="140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141"/>
    </row>
    <row r="321" spans="2:61" ht="20.100000000000001" customHeight="1" x14ac:dyDescent="0.45">
      <c r="B321" s="168"/>
      <c r="C321" s="31"/>
      <c r="D321" s="31"/>
      <c r="E321" s="31"/>
      <c r="F321" s="31"/>
      <c r="G321" s="138"/>
      <c r="H321" s="139"/>
      <c r="I321" s="138"/>
      <c r="J321" s="169" t="s">
        <v>337</v>
      </c>
      <c r="K321" s="52"/>
      <c r="L321" s="52"/>
      <c r="M321" s="52"/>
      <c r="N321" s="52"/>
      <c r="O321" s="52"/>
      <c r="P321" s="52"/>
      <c r="Q321" s="52"/>
      <c r="R321" s="169" t="s">
        <v>288</v>
      </c>
      <c r="S321" s="52"/>
      <c r="T321" s="52"/>
      <c r="U321" s="52"/>
      <c r="V321" s="52"/>
      <c r="W321" s="52"/>
      <c r="X321" s="52"/>
      <c r="Y321" s="52"/>
      <c r="Z321" s="52"/>
      <c r="AA321" s="52"/>
      <c r="AB321" s="52"/>
      <c r="AC321" s="52"/>
      <c r="AD321" s="52"/>
      <c r="AE321" s="52"/>
      <c r="AF321" s="52"/>
      <c r="AG321" s="52"/>
      <c r="AH321" s="52"/>
      <c r="AI321" s="52"/>
      <c r="AJ321" s="170"/>
      <c r="AK321" s="140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141"/>
    </row>
    <row r="322" spans="2:61" ht="20.100000000000001" customHeight="1" x14ac:dyDescent="0.45">
      <c r="B322" s="168"/>
      <c r="C322" s="31"/>
      <c r="D322" s="31"/>
      <c r="E322" s="31"/>
      <c r="F322" s="31"/>
      <c r="G322" s="138"/>
      <c r="H322" s="139"/>
      <c r="I322" s="138"/>
      <c r="J322" s="169" t="s">
        <v>338</v>
      </c>
      <c r="K322" s="52"/>
      <c r="L322" s="52"/>
      <c r="M322" s="52"/>
      <c r="N322" s="52"/>
      <c r="O322" s="52"/>
      <c r="P322" s="52"/>
      <c r="Q322" s="52"/>
      <c r="R322" s="169" t="s">
        <v>289</v>
      </c>
      <c r="S322" s="52"/>
      <c r="T322" s="52"/>
      <c r="U322" s="52"/>
      <c r="V322" s="52"/>
      <c r="W322" s="52"/>
      <c r="X322" s="52"/>
      <c r="Y322" s="52"/>
      <c r="Z322" s="52"/>
      <c r="AA322" s="52"/>
      <c r="AB322" s="52"/>
      <c r="AC322" s="52"/>
      <c r="AD322" s="52"/>
      <c r="AE322" s="52"/>
      <c r="AF322" s="52"/>
      <c r="AG322" s="52"/>
      <c r="AH322" s="52"/>
      <c r="AI322" s="52"/>
      <c r="AJ322" s="170"/>
      <c r="AK322" s="140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141"/>
    </row>
    <row r="323" spans="2:61" ht="20.100000000000001" customHeight="1" x14ac:dyDescent="0.45">
      <c r="B323" s="168"/>
      <c r="C323" s="31"/>
      <c r="D323" s="31"/>
      <c r="E323" s="31"/>
      <c r="F323" s="31"/>
      <c r="G323" s="138"/>
      <c r="H323" s="139"/>
      <c r="I323" s="138"/>
      <c r="J323" s="169" t="s">
        <v>339</v>
      </c>
      <c r="K323" s="52"/>
      <c r="L323" s="52"/>
      <c r="M323" s="52"/>
      <c r="N323" s="52"/>
      <c r="O323" s="52"/>
      <c r="P323" s="52"/>
      <c r="Q323" s="52"/>
      <c r="R323" s="169" t="s">
        <v>290</v>
      </c>
      <c r="S323" s="52"/>
      <c r="T323" s="52"/>
      <c r="U323" s="52"/>
      <c r="V323" s="52"/>
      <c r="W323" s="52"/>
      <c r="X323" s="52"/>
      <c r="Y323" s="52"/>
      <c r="Z323" s="52"/>
      <c r="AA323" s="52"/>
      <c r="AB323" s="52"/>
      <c r="AC323" s="52"/>
      <c r="AD323" s="52"/>
      <c r="AE323" s="52"/>
      <c r="AF323" s="52"/>
      <c r="AG323" s="52"/>
      <c r="AH323" s="52"/>
      <c r="AI323" s="52"/>
      <c r="AJ323" s="170"/>
      <c r="AK323" s="140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141"/>
    </row>
    <row r="324" spans="2:61" ht="20.100000000000001" customHeight="1" x14ac:dyDescent="0.45">
      <c r="B324" s="168"/>
      <c r="C324" s="31"/>
      <c r="D324" s="31"/>
      <c r="E324" s="31"/>
      <c r="F324" s="31"/>
      <c r="G324" s="138"/>
      <c r="H324" s="139"/>
      <c r="I324" s="138"/>
      <c r="J324" s="142" t="s">
        <v>340</v>
      </c>
      <c r="K324" s="55"/>
      <c r="L324" s="55"/>
      <c r="M324" s="55"/>
      <c r="N324" s="55"/>
      <c r="O324" s="55"/>
      <c r="P324" s="55"/>
      <c r="Q324" s="170"/>
      <c r="R324" s="31" t="s">
        <v>291</v>
      </c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175"/>
      <c r="AK324" s="140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141"/>
    </row>
    <row r="325" spans="2:61" ht="20.100000000000001" customHeight="1" x14ac:dyDescent="0.45">
      <c r="B325" s="168"/>
      <c r="C325" s="31"/>
      <c r="D325" s="31"/>
      <c r="E325" s="31"/>
      <c r="F325" s="31"/>
      <c r="G325" s="138"/>
      <c r="H325" s="142" t="s">
        <v>145</v>
      </c>
      <c r="I325" s="55"/>
      <c r="J325" s="142" t="s">
        <v>359</v>
      </c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143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5"/>
      <c r="BD325" s="55"/>
      <c r="BE325" s="55"/>
      <c r="BF325" s="55"/>
      <c r="BG325" s="55"/>
      <c r="BH325" s="55"/>
      <c r="BI325" s="144"/>
    </row>
    <row r="326" spans="2:61" ht="20.100000000000001" customHeight="1" x14ac:dyDescent="0.45">
      <c r="B326" s="137"/>
      <c r="C326" s="31"/>
      <c r="D326" s="31"/>
      <c r="E326" s="31"/>
      <c r="F326" s="31"/>
      <c r="G326" s="138"/>
      <c r="H326" s="139"/>
      <c r="I326" s="31"/>
      <c r="J326" s="139" t="s">
        <v>360</v>
      </c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140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141"/>
    </row>
    <row r="327" spans="2:61" ht="20.100000000000001" customHeight="1" x14ac:dyDescent="0.45">
      <c r="B327" s="137"/>
      <c r="C327" s="31"/>
      <c r="D327" s="31"/>
      <c r="E327" s="31"/>
      <c r="F327" s="31"/>
      <c r="G327" s="138"/>
      <c r="H327" s="139"/>
      <c r="I327" s="31"/>
      <c r="J327" s="139" t="s">
        <v>361</v>
      </c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140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141"/>
    </row>
    <row r="328" spans="2:61" ht="20.100000000000001" customHeight="1" x14ac:dyDescent="0.45">
      <c r="B328" s="137"/>
      <c r="C328" s="31"/>
      <c r="D328" s="31"/>
      <c r="E328" s="31"/>
      <c r="F328" s="31"/>
      <c r="G328" s="138"/>
      <c r="H328" s="142" t="s">
        <v>146</v>
      </c>
      <c r="I328" s="55"/>
      <c r="J328" s="142" t="s">
        <v>174</v>
      </c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  <c r="AA328" s="55"/>
      <c r="AB328" s="55"/>
      <c r="AC328" s="55"/>
      <c r="AD328" s="55"/>
      <c r="AE328" s="55"/>
      <c r="AF328" s="55"/>
      <c r="AG328" s="55"/>
      <c r="AH328" s="55"/>
      <c r="AI328" s="55"/>
      <c r="AJ328" s="55"/>
      <c r="AK328" s="143"/>
      <c r="AL328" s="55"/>
      <c r="AM328" s="55"/>
      <c r="AN328" s="55"/>
      <c r="AO328" s="55"/>
      <c r="AP328" s="55"/>
      <c r="AQ328" s="55"/>
      <c r="AR328" s="55"/>
      <c r="AS328" s="55"/>
      <c r="AT328" s="55"/>
      <c r="AU328" s="55"/>
      <c r="AV328" s="55"/>
      <c r="AW328" s="55"/>
      <c r="AX328" s="55"/>
      <c r="AY328" s="55"/>
      <c r="AZ328" s="55"/>
      <c r="BA328" s="55"/>
      <c r="BB328" s="55"/>
      <c r="BC328" s="55"/>
      <c r="BD328" s="55"/>
      <c r="BE328" s="55"/>
      <c r="BF328" s="55"/>
      <c r="BG328" s="55"/>
      <c r="BH328" s="55"/>
      <c r="BI328" s="144"/>
    </row>
    <row r="329" spans="2:61" ht="20.100000000000001" customHeight="1" x14ac:dyDescent="0.45">
      <c r="B329" s="137"/>
      <c r="C329" s="31"/>
      <c r="D329" s="31"/>
      <c r="E329" s="31"/>
      <c r="F329" s="31"/>
      <c r="G329" s="138"/>
      <c r="H329" s="139"/>
      <c r="I329" s="31"/>
      <c r="J329" s="139"/>
      <c r="K329" s="31" t="s">
        <v>175</v>
      </c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140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141"/>
    </row>
    <row r="330" spans="2:61" ht="20.100000000000001" customHeight="1" x14ac:dyDescent="0.45">
      <c r="B330" s="137"/>
      <c r="C330" s="31"/>
      <c r="D330" s="31"/>
      <c r="E330" s="31"/>
      <c r="F330" s="31"/>
      <c r="G330" s="138"/>
      <c r="H330" s="139"/>
      <c r="I330" s="31"/>
      <c r="J330" s="139"/>
      <c r="K330" s="31"/>
      <c r="M330" s="31" t="s">
        <v>212</v>
      </c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140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141"/>
    </row>
    <row r="331" spans="2:61" ht="20.100000000000001" customHeight="1" x14ac:dyDescent="0.45">
      <c r="B331" s="137"/>
      <c r="C331" s="31"/>
      <c r="D331" s="31"/>
      <c r="E331" s="31"/>
      <c r="F331" s="31"/>
      <c r="G331" s="138"/>
      <c r="H331" s="139"/>
      <c r="I331" s="31"/>
      <c r="J331" s="139" t="s">
        <v>174</v>
      </c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140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141"/>
    </row>
    <row r="332" spans="2:61" ht="20.100000000000001" customHeight="1" x14ac:dyDescent="0.45">
      <c r="B332" s="137"/>
      <c r="C332" s="31"/>
      <c r="D332" s="31"/>
      <c r="E332" s="31"/>
      <c r="F332" s="31"/>
      <c r="G332" s="138"/>
      <c r="H332" s="139"/>
      <c r="I332" s="31"/>
      <c r="J332" s="139"/>
      <c r="K332" s="31" t="s">
        <v>203</v>
      </c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140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141"/>
    </row>
    <row r="333" spans="2:61" ht="20.100000000000001" customHeight="1" x14ac:dyDescent="0.45">
      <c r="B333" s="137"/>
      <c r="C333" s="31"/>
      <c r="D333" s="31"/>
      <c r="E333" s="31"/>
      <c r="F333" s="31"/>
      <c r="G333" s="138"/>
      <c r="H333" s="145"/>
      <c r="I333" s="146"/>
      <c r="J333" s="145"/>
      <c r="K333" s="146"/>
      <c r="L333" s="146"/>
      <c r="M333" s="146" t="s">
        <v>219</v>
      </c>
      <c r="N333" s="146"/>
      <c r="O333" s="146"/>
      <c r="P333" s="146"/>
      <c r="Q333" s="146"/>
      <c r="R333" s="146"/>
      <c r="S333" s="146"/>
      <c r="T333" s="146"/>
      <c r="U333" s="146"/>
      <c r="V333" s="146"/>
      <c r="W333" s="146"/>
      <c r="X333" s="146"/>
      <c r="Y333" s="146"/>
      <c r="Z333" s="146"/>
      <c r="AA333" s="146"/>
      <c r="AB333" s="146"/>
      <c r="AC333" s="146"/>
      <c r="AD333" s="146"/>
      <c r="AE333" s="146"/>
      <c r="AF333" s="146"/>
      <c r="AG333" s="146"/>
      <c r="AH333" s="146"/>
      <c r="AI333" s="146"/>
      <c r="AJ333" s="146"/>
      <c r="AK333" s="147"/>
      <c r="AL333" s="146"/>
      <c r="AM333" s="146"/>
      <c r="AN333" s="146"/>
      <c r="AO333" s="146"/>
      <c r="AP333" s="146"/>
      <c r="AQ333" s="146"/>
      <c r="AR333" s="146"/>
      <c r="AS333" s="146"/>
      <c r="AT333" s="146"/>
      <c r="AU333" s="146"/>
      <c r="AV333" s="146"/>
      <c r="AW333" s="146"/>
      <c r="AX333" s="146"/>
      <c r="AY333" s="146"/>
      <c r="AZ333" s="146"/>
      <c r="BA333" s="146"/>
      <c r="BB333" s="146"/>
      <c r="BC333" s="146"/>
      <c r="BD333" s="146"/>
      <c r="BE333" s="146"/>
      <c r="BF333" s="146"/>
      <c r="BG333" s="146"/>
      <c r="BH333" s="146"/>
      <c r="BI333" s="148"/>
    </row>
    <row r="334" spans="2:61" ht="20.100000000000001" customHeight="1" x14ac:dyDescent="0.45">
      <c r="B334" s="137"/>
      <c r="C334" s="31"/>
      <c r="D334" s="31"/>
      <c r="E334" s="31"/>
      <c r="F334" s="31"/>
      <c r="G334" s="138"/>
      <c r="H334" s="139" t="s">
        <v>147</v>
      </c>
      <c r="I334" s="31"/>
      <c r="J334" s="139"/>
      <c r="K334" s="55" t="s">
        <v>210</v>
      </c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140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141"/>
    </row>
    <row r="335" spans="2:61" ht="20.100000000000001" customHeight="1" x14ac:dyDescent="0.45">
      <c r="B335" s="137"/>
      <c r="C335" s="31"/>
      <c r="D335" s="31"/>
      <c r="E335" s="31"/>
      <c r="F335" s="31"/>
      <c r="G335" s="138"/>
      <c r="H335" s="139"/>
      <c r="I335" s="31"/>
      <c r="J335" s="139" t="s">
        <v>180</v>
      </c>
      <c r="K335" s="31" t="s">
        <v>220</v>
      </c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140" t="s">
        <v>192</v>
      </c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141"/>
    </row>
    <row r="336" spans="2:61" ht="20.100000000000001" customHeight="1" x14ac:dyDescent="0.45">
      <c r="B336" s="137"/>
      <c r="C336" s="31"/>
      <c r="D336" s="31"/>
      <c r="E336" s="31"/>
      <c r="F336" s="31"/>
      <c r="G336" s="138"/>
      <c r="H336" s="139"/>
      <c r="I336" s="31"/>
      <c r="J336" s="139" t="s">
        <v>180</v>
      </c>
      <c r="K336" s="31" t="s">
        <v>214</v>
      </c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139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141"/>
    </row>
    <row r="337" spans="2:61" ht="20.100000000000001" customHeight="1" x14ac:dyDescent="0.45">
      <c r="B337" s="137"/>
      <c r="C337" s="31"/>
      <c r="D337" s="31"/>
      <c r="E337" s="31"/>
      <c r="F337" s="31"/>
      <c r="G337" s="138"/>
      <c r="H337" s="139"/>
      <c r="I337" s="31"/>
      <c r="J337" s="139" t="s">
        <v>180</v>
      </c>
      <c r="K337" s="31" t="s">
        <v>184</v>
      </c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139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141"/>
    </row>
    <row r="338" spans="2:61" ht="20.100000000000001" customHeight="1" x14ac:dyDescent="0.45">
      <c r="B338" s="137"/>
      <c r="C338" s="31"/>
      <c r="D338" s="31"/>
      <c r="E338" s="31"/>
      <c r="F338" s="31"/>
      <c r="G338" s="138"/>
      <c r="H338" s="139"/>
      <c r="I338" s="31"/>
      <c r="J338" s="139"/>
      <c r="K338" s="31"/>
      <c r="L338" s="31" t="s">
        <v>184</v>
      </c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139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141"/>
    </row>
    <row r="339" spans="2:61" ht="20.100000000000001" customHeight="1" x14ac:dyDescent="0.45">
      <c r="B339" s="137"/>
      <c r="C339" s="31"/>
      <c r="D339" s="31"/>
      <c r="E339" s="31"/>
      <c r="F339" s="31"/>
      <c r="G339" s="138"/>
      <c r="H339" s="139"/>
      <c r="I339" s="31"/>
      <c r="J339" s="139"/>
      <c r="K339" s="31"/>
      <c r="L339" s="31"/>
      <c r="M339" s="31"/>
      <c r="N339" s="31" t="s">
        <v>205</v>
      </c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139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141"/>
    </row>
    <row r="340" spans="2:61" ht="20.100000000000001" customHeight="1" x14ac:dyDescent="0.45">
      <c r="B340" s="137"/>
      <c r="C340" s="31"/>
      <c r="D340" s="31"/>
      <c r="E340" s="31"/>
      <c r="F340" s="31"/>
      <c r="G340" s="138"/>
      <c r="H340" s="139"/>
      <c r="I340" s="31"/>
      <c r="J340" s="139"/>
      <c r="K340" s="31"/>
      <c r="L340" s="31" t="s">
        <v>187</v>
      </c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139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141"/>
    </row>
    <row r="341" spans="2:61" ht="20.100000000000001" customHeight="1" x14ac:dyDescent="0.45">
      <c r="B341" s="137"/>
      <c r="C341" s="31"/>
      <c r="D341" s="31"/>
      <c r="E341" s="31"/>
      <c r="F341" s="31"/>
      <c r="G341" s="138"/>
      <c r="H341" s="139"/>
      <c r="I341" s="31"/>
      <c r="J341" s="139"/>
      <c r="K341" s="31" t="s">
        <v>186</v>
      </c>
      <c r="L341" s="31" t="s">
        <v>184</v>
      </c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139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141"/>
    </row>
    <row r="342" spans="2:61" ht="20.100000000000001" customHeight="1" x14ac:dyDescent="0.45">
      <c r="B342" s="137"/>
      <c r="C342" s="31"/>
      <c r="D342" s="31"/>
      <c r="E342" s="31"/>
      <c r="F342" s="31"/>
      <c r="G342" s="138"/>
      <c r="H342" s="139"/>
      <c r="I342" s="31"/>
      <c r="J342" s="139"/>
      <c r="K342" s="31"/>
      <c r="L342" s="31"/>
      <c r="M342" s="31"/>
      <c r="N342" s="31" t="s">
        <v>206</v>
      </c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139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141"/>
    </row>
    <row r="343" spans="2:61" ht="20.100000000000001" customHeight="1" x14ac:dyDescent="0.45">
      <c r="B343" s="137"/>
      <c r="C343" s="31"/>
      <c r="D343" s="31"/>
      <c r="E343" s="31"/>
      <c r="F343" s="31"/>
      <c r="G343" s="138"/>
      <c r="H343" s="139"/>
      <c r="I343" s="31"/>
      <c r="J343" s="139"/>
      <c r="K343" s="31"/>
      <c r="L343" s="31" t="s">
        <v>187</v>
      </c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139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141"/>
    </row>
    <row r="344" spans="2:61" ht="20.100000000000001" customHeight="1" thickBot="1" x14ac:dyDescent="0.5">
      <c r="B344" s="137"/>
      <c r="C344" s="31"/>
      <c r="D344" s="31"/>
      <c r="E344" s="31"/>
      <c r="F344" s="31"/>
      <c r="G344" s="138"/>
      <c r="H344" s="145"/>
      <c r="I344" s="146"/>
      <c r="J344" s="145"/>
      <c r="K344" s="146" t="s">
        <v>187</v>
      </c>
      <c r="L344" s="146"/>
      <c r="M344" s="146"/>
      <c r="N344" s="146"/>
      <c r="O344" s="146"/>
      <c r="P344" s="146"/>
      <c r="Q344" s="146"/>
      <c r="R344" s="146"/>
      <c r="S344" s="146"/>
      <c r="T344" s="146"/>
      <c r="U344" s="146"/>
      <c r="V344" s="146"/>
      <c r="W344" s="146"/>
      <c r="X344" s="146"/>
      <c r="Y344" s="146"/>
      <c r="Z344" s="146"/>
      <c r="AA344" s="146"/>
      <c r="AB344" s="146"/>
      <c r="AC344" s="146"/>
      <c r="AD344" s="146"/>
      <c r="AE344" s="146"/>
      <c r="AF344" s="146"/>
      <c r="AG344" s="146"/>
      <c r="AH344" s="146"/>
      <c r="AI344" s="146"/>
      <c r="AJ344" s="146"/>
      <c r="AK344" s="145"/>
      <c r="AL344" s="146"/>
      <c r="AM344" s="146"/>
      <c r="AN344" s="146"/>
      <c r="AO344" s="146"/>
      <c r="AP344" s="146"/>
      <c r="AQ344" s="146"/>
      <c r="AR344" s="146"/>
      <c r="AS344" s="146"/>
      <c r="AT344" s="146"/>
      <c r="AU344" s="146"/>
      <c r="AV344" s="146"/>
      <c r="AW344" s="146"/>
      <c r="AX344" s="146"/>
      <c r="AY344" s="146"/>
      <c r="AZ344" s="146"/>
      <c r="BA344" s="146"/>
      <c r="BB344" s="146"/>
      <c r="BC344" s="146"/>
      <c r="BD344" s="146"/>
      <c r="BE344" s="146"/>
      <c r="BF344" s="146"/>
      <c r="BG344" s="146"/>
      <c r="BH344" s="146"/>
      <c r="BI344" s="148"/>
    </row>
    <row r="345" spans="2:61" ht="20.100000000000001" customHeight="1" x14ac:dyDescent="0.45">
      <c r="B345" s="131" t="s">
        <v>384</v>
      </c>
      <c r="C345" s="132"/>
      <c r="D345" s="132"/>
      <c r="E345" s="132"/>
      <c r="F345" s="132"/>
      <c r="G345" s="133"/>
      <c r="H345" s="134" t="s">
        <v>237</v>
      </c>
      <c r="I345" s="133"/>
      <c r="J345" s="173" t="s">
        <v>311</v>
      </c>
      <c r="K345" s="166"/>
      <c r="L345" s="166"/>
      <c r="M345" s="166"/>
      <c r="N345" s="166"/>
      <c r="O345" s="166"/>
      <c r="P345" s="166"/>
      <c r="Q345" s="166"/>
      <c r="R345" s="173" t="s">
        <v>262</v>
      </c>
      <c r="S345" s="166"/>
      <c r="T345" s="166"/>
      <c r="U345" s="166"/>
      <c r="V345" s="166"/>
      <c r="W345" s="166"/>
      <c r="X345" s="166"/>
      <c r="Y345" s="166"/>
      <c r="Z345" s="166"/>
      <c r="AA345" s="166"/>
      <c r="AB345" s="166"/>
      <c r="AC345" s="166"/>
      <c r="AD345" s="166"/>
      <c r="AE345" s="166"/>
      <c r="AF345" s="166"/>
      <c r="AG345" s="166"/>
      <c r="AH345" s="166"/>
      <c r="AI345" s="166"/>
      <c r="AJ345" s="167"/>
      <c r="AK345" s="135"/>
      <c r="AL345" s="132"/>
      <c r="AM345" s="132"/>
      <c r="AN345" s="132"/>
      <c r="AO345" s="132"/>
      <c r="AP345" s="132"/>
      <c r="AQ345" s="132"/>
      <c r="AR345" s="132"/>
      <c r="AS345" s="132"/>
      <c r="AT345" s="132"/>
      <c r="AU345" s="132"/>
      <c r="AV345" s="132"/>
      <c r="AW345" s="132"/>
      <c r="AX345" s="132"/>
      <c r="AY345" s="132"/>
      <c r="AZ345" s="132"/>
      <c r="BA345" s="132"/>
      <c r="BB345" s="132"/>
      <c r="BC345" s="132"/>
      <c r="BD345" s="132"/>
      <c r="BE345" s="132"/>
      <c r="BF345" s="132"/>
      <c r="BG345" s="132"/>
      <c r="BH345" s="132"/>
      <c r="BI345" s="136"/>
    </row>
    <row r="346" spans="2:61" ht="20.100000000000001" customHeight="1" x14ac:dyDescent="0.45">
      <c r="B346" s="168"/>
      <c r="C346" s="31"/>
      <c r="D346" s="31"/>
      <c r="E346" s="31"/>
      <c r="F346" s="31"/>
      <c r="G346" s="138"/>
      <c r="H346" s="139"/>
      <c r="I346" s="138"/>
      <c r="J346" s="169" t="s">
        <v>294</v>
      </c>
      <c r="K346" s="52"/>
      <c r="L346" s="52"/>
      <c r="M346" s="52"/>
      <c r="N346" s="52"/>
      <c r="O346" s="52"/>
      <c r="P346" s="52"/>
      <c r="Q346" s="52"/>
      <c r="R346" s="169" t="s">
        <v>345</v>
      </c>
      <c r="S346" s="52"/>
      <c r="T346" s="52"/>
      <c r="U346" s="52"/>
      <c r="V346" s="52"/>
      <c r="W346" s="52"/>
      <c r="X346" s="52"/>
      <c r="Y346" s="52"/>
      <c r="Z346" s="52"/>
      <c r="AA346" s="52"/>
      <c r="AB346" s="52"/>
      <c r="AC346" s="52"/>
      <c r="AD346" s="52"/>
      <c r="AE346" s="52"/>
      <c r="AF346" s="52"/>
      <c r="AG346" s="52"/>
      <c r="AH346" s="52"/>
      <c r="AI346" s="52"/>
      <c r="AJ346" s="170"/>
      <c r="AK346" s="140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141"/>
    </row>
    <row r="347" spans="2:61" ht="20.100000000000001" customHeight="1" x14ac:dyDescent="0.45">
      <c r="B347" s="168"/>
      <c r="C347" s="31"/>
      <c r="D347" s="31"/>
      <c r="E347" s="31"/>
      <c r="F347" s="31"/>
      <c r="G347" s="138"/>
      <c r="H347" s="139"/>
      <c r="I347" s="138"/>
      <c r="J347" s="169" t="s">
        <v>314</v>
      </c>
      <c r="K347" s="52"/>
      <c r="L347" s="52"/>
      <c r="M347" s="52"/>
      <c r="N347" s="52"/>
      <c r="O347" s="52"/>
      <c r="P347" s="52"/>
      <c r="Q347" s="52"/>
      <c r="R347" s="169" t="s">
        <v>346</v>
      </c>
      <c r="S347" s="52"/>
      <c r="T347" s="52"/>
      <c r="U347" s="52"/>
      <c r="V347" s="52"/>
      <c r="W347" s="52"/>
      <c r="X347" s="52"/>
      <c r="Y347" s="52"/>
      <c r="Z347" s="52"/>
      <c r="AA347" s="52"/>
      <c r="AB347" s="52"/>
      <c r="AC347" s="52"/>
      <c r="AD347" s="52"/>
      <c r="AE347" s="52"/>
      <c r="AF347" s="52"/>
      <c r="AG347" s="52"/>
      <c r="AH347" s="52"/>
      <c r="AI347" s="52"/>
      <c r="AJ347" s="170"/>
      <c r="AK347" s="140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141"/>
    </row>
    <row r="348" spans="2:61" ht="20.100000000000001" customHeight="1" x14ac:dyDescent="0.45">
      <c r="B348" s="168"/>
      <c r="C348" s="31"/>
      <c r="D348" s="31"/>
      <c r="E348" s="31"/>
      <c r="F348" s="31"/>
      <c r="G348" s="138"/>
      <c r="H348" s="139"/>
      <c r="I348" s="138"/>
      <c r="J348" s="169" t="s">
        <v>315</v>
      </c>
      <c r="K348" s="52"/>
      <c r="L348" s="52"/>
      <c r="M348" s="52"/>
      <c r="N348" s="52"/>
      <c r="O348" s="52"/>
      <c r="P348" s="52"/>
      <c r="Q348" s="52"/>
      <c r="R348" s="169" t="s">
        <v>263</v>
      </c>
      <c r="S348" s="52"/>
      <c r="T348" s="52"/>
      <c r="U348" s="52"/>
      <c r="V348" s="52"/>
      <c r="W348" s="52"/>
      <c r="X348" s="52"/>
      <c r="Y348" s="52"/>
      <c r="Z348" s="52"/>
      <c r="AA348" s="52"/>
      <c r="AB348" s="52"/>
      <c r="AC348" s="52"/>
      <c r="AD348" s="52"/>
      <c r="AE348" s="52"/>
      <c r="AF348" s="52"/>
      <c r="AG348" s="52"/>
      <c r="AH348" s="52"/>
      <c r="AI348" s="52"/>
      <c r="AJ348" s="170"/>
      <c r="AK348" s="140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141"/>
    </row>
    <row r="349" spans="2:61" ht="20.100000000000001" customHeight="1" x14ac:dyDescent="0.45">
      <c r="B349" s="168"/>
      <c r="C349" s="31"/>
      <c r="D349" s="31"/>
      <c r="E349" s="31"/>
      <c r="F349" s="31"/>
      <c r="G349" s="138"/>
      <c r="H349" s="139"/>
      <c r="I349" s="138"/>
      <c r="J349" s="169" t="s">
        <v>316</v>
      </c>
      <c r="K349" s="52"/>
      <c r="L349" s="52"/>
      <c r="M349" s="52"/>
      <c r="N349" s="52"/>
      <c r="O349" s="52"/>
      <c r="P349" s="52"/>
      <c r="Q349" s="52"/>
      <c r="R349" s="169" t="s">
        <v>264</v>
      </c>
      <c r="S349" s="52"/>
      <c r="T349" s="52"/>
      <c r="U349" s="52"/>
      <c r="V349" s="52"/>
      <c r="W349" s="52"/>
      <c r="X349" s="52"/>
      <c r="Y349" s="52"/>
      <c r="Z349" s="52"/>
      <c r="AA349" s="52"/>
      <c r="AB349" s="52"/>
      <c r="AC349" s="52"/>
      <c r="AD349" s="52"/>
      <c r="AE349" s="52"/>
      <c r="AF349" s="52"/>
      <c r="AG349" s="52"/>
      <c r="AH349" s="52"/>
      <c r="AI349" s="52"/>
      <c r="AJ349" s="170"/>
      <c r="AK349" s="140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141"/>
    </row>
    <row r="350" spans="2:61" ht="20.100000000000001" customHeight="1" x14ac:dyDescent="0.45">
      <c r="B350" s="168"/>
      <c r="C350" s="31"/>
      <c r="D350" s="31"/>
      <c r="E350" s="31"/>
      <c r="F350" s="31"/>
      <c r="G350" s="138"/>
      <c r="H350" s="139"/>
      <c r="I350" s="138"/>
      <c r="J350" s="169" t="s">
        <v>317</v>
      </c>
      <c r="K350" s="52"/>
      <c r="L350" s="52"/>
      <c r="M350" s="52"/>
      <c r="N350" s="52"/>
      <c r="O350" s="52"/>
      <c r="P350" s="52"/>
      <c r="Q350" s="52"/>
      <c r="R350" s="169" t="s">
        <v>265</v>
      </c>
      <c r="S350" s="52"/>
      <c r="T350" s="52"/>
      <c r="U350" s="52"/>
      <c r="V350" s="52"/>
      <c r="W350" s="52"/>
      <c r="X350" s="52"/>
      <c r="Y350" s="52"/>
      <c r="Z350" s="52"/>
      <c r="AA350" s="52"/>
      <c r="AB350" s="52"/>
      <c r="AC350" s="52"/>
      <c r="AD350" s="52"/>
      <c r="AE350" s="52"/>
      <c r="AF350" s="52"/>
      <c r="AG350" s="52"/>
      <c r="AH350" s="52"/>
      <c r="AI350" s="52"/>
      <c r="AJ350" s="170"/>
      <c r="AK350" s="140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141"/>
    </row>
    <row r="351" spans="2:61" ht="20.100000000000001" customHeight="1" x14ac:dyDescent="0.45">
      <c r="B351" s="168"/>
      <c r="C351" s="31"/>
      <c r="D351" s="31"/>
      <c r="E351" s="31"/>
      <c r="F351" s="31"/>
      <c r="G351" s="138"/>
      <c r="H351" s="139"/>
      <c r="I351" s="138"/>
      <c r="J351" s="169" t="s">
        <v>318</v>
      </c>
      <c r="K351" s="52"/>
      <c r="L351" s="52"/>
      <c r="M351" s="52"/>
      <c r="N351" s="52"/>
      <c r="O351" s="52"/>
      <c r="P351" s="52"/>
      <c r="Q351" s="52"/>
      <c r="R351" s="169" t="s">
        <v>266</v>
      </c>
      <c r="S351" s="52"/>
      <c r="T351" s="52"/>
      <c r="U351" s="52"/>
      <c r="V351" s="52"/>
      <c r="W351" s="52"/>
      <c r="X351" s="52"/>
      <c r="Y351" s="52"/>
      <c r="Z351" s="52"/>
      <c r="AA351" s="52"/>
      <c r="AB351" s="52"/>
      <c r="AC351" s="52"/>
      <c r="AD351" s="52"/>
      <c r="AE351" s="52"/>
      <c r="AF351" s="52"/>
      <c r="AG351" s="52"/>
      <c r="AH351" s="52"/>
      <c r="AI351" s="52"/>
      <c r="AJ351" s="170"/>
      <c r="AK351" s="140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141"/>
    </row>
    <row r="352" spans="2:61" ht="20.100000000000001" customHeight="1" x14ac:dyDescent="0.45">
      <c r="B352" s="168"/>
      <c r="C352" s="31"/>
      <c r="D352" s="31"/>
      <c r="E352" s="31"/>
      <c r="F352" s="31"/>
      <c r="G352" s="138"/>
      <c r="H352" s="139"/>
      <c r="I352" s="138"/>
      <c r="J352" s="169" t="s">
        <v>319</v>
      </c>
      <c r="K352" s="52"/>
      <c r="L352" s="52"/>
      <c r="M352" s="52"/>
      <c r="N352" s="52"/>
      <c r="O352" s="52"/>
      <c r="P352" s="52"/>
      <c r="Q352" s="52"/>
      <c r="R352" s="169" t="s">
        <v>267</v>
      </c>
      <c r="S352" s="52"/>
      <c r="T352" s="52"/>
      <c r="U352" s="52"/>
      <c r="V352" s="52"/>
      <c r="W352" s="52"/>
      <c r="X352" s="52"/>
      <c r="Y352" s="52"/>
      <c r="Z352" s="52"/>
      <c r="AA352" s="52"/>
      <c r="AB352" s="52"/>
      <c r="AC352" s="52"/>
      <c r="AD352" s="52"/>
      <c r="AE352" s="52"/>
      <c r="AF352" s="52"/>
      <c r="AG352" s="52"/>
      <c r="AH352" s="52"/>
      <c r="AI352" s="52"/>
      <c r="AJ352" s="170"/>
      <c r="AK352" s="140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141"/>
    </row>
    <row r="353" spans="2:61" ht="20.100000000000001" customHeight="1" x14ac:dyDescent="0.45">
      <c r="B353" s="168"/>
      <c r="C353" s="31"/>
      <c r="D353" s="31"/>
      <c r="E353" s="31"/>
      <c r="F353" s="31"/>
      <c r="G353" s="138"/>
      <c r="H353" s="139"/>
      <c r="I353" s="138"/>
      <c r="J353" s="169" t="s">
        <v>320</v>
      </c>
      <c r="K353" s="52"/>
      <c r="L353" s="52"/>
      <c r="M353" s="52"/>
      <c r="N353" s="52"/>
      <c r="O353" s="52"/>
      <c r="P353" s="52"/>
      <c r="Q353" s="52"/>
      <c r="R353" s="169" t="s">
        <v>268</v>
      </c>
      <c r="S353" s="52"/>
      <c r="T353" s="52"/>
      <c r="U353" s="52"/>
      <c r="V353" s="52"/>
      <c r="W353" s="52"/>
      <c r="X353" s="52"/>
      <c r="Y353" s="52"/>
      <c r="Z353" s="52"/>
      <c r="AA353" s="52"/>
      <c r="AB353" s="52"/>
      <c r="AC353" s="52"/>
      <c r="AD353" s="52"/>
      <c r="AE353" s="52"/>
      <c r="AF353" s="52"/>
      <c r="AG353" s="52"/>
      <c r="AH353" s="52"/>
      <c r="AI353" s="52"/>
      <c r="AJ353" s="170"/>
      <c r="AK353" s="140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141"/>
    </row>
    <row r="354" spans="2:61" ht="20.100000000000001" customHeight="1" x14ac:dyDescent="0.45">
      <c r="B354" s="168"/>
      <c r="C354" s="31"/>
      <c r="D354" s="31"/>
      <c r="E354" s="31"/>
      <c r="F354" s="31"/>
      <c r="G354" s="138"/>
      <c r="H354" s="139"/>
      <c r="I354" s="138"/>
      <c r="J354" s="169" t="s">
        <v>321</v>
      </c>
      <c r="K354" s="52"/>
      <c r="L354" s="52"/>
      <c r="M354" s="52"/>
      <c r="N354" s="52"/>
      <c r="O354" s="52"/>
      <c r="P354" s="52"/>
      <c r="Q354" s="52"/>
      <c r="R354" s="169" t="s">
        <v>269</v>
      </c>
      <c r="S354" s="52"/>
      <c r="T354" s="52"/>
      <c r="U354" s="52"/>
      <c r="V354" s="52"/>
      <c r="W354" s="52"/>
      <c r="X354" s="52"/>
      <c r="Y354" s="52"/>
      <c r="Z354" s="52"/>
      <c r="AA354" s="52"/>
      <c r="AB354" s="52"/>
      <c r="AC354" s="52"/>
      <c r="AD354" s="52"/>
      <c r="AE354" s="52"/>
      <c r="AF354" s="52"/>
      <c r="AG354" s="52"/>
      <c r="AH354" s="52"/>
      <c r="AI354" s="52"/>
      <c r="AJ354" s="170"/>
      <c r="AK354" s="140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141"/>
    </row>
    <row r="355" spans="2:61" ht="20.100000000000001" customHeight="1" x14ac:dyDescent="0.45">
      <c r="B355" s="168"/>
      <c r="C355" s="31"/>
      <c r="D355" s="31"/>
      <c r="E355" s="31"/>
      <c r="F355" s="31"/>
      <c r="G355" s="138"/>
      <c r="H355" s="139"/>
      <c r="I355" s="138"/>
      <c r="J355" s="169" t="s">
        <v>322</v>
      </c>
      <c r="K355" s="52"/>
      <c r="L355" s="52"/>
      <c r="M355" s="52"/>
      <c r="N355" s="52"/>
      <c r="O355" s="52"/>
      <c r="P355" s="52"/>
      <c r="Q355" s="52"/>
      <c r="R355" s="169" t="s">
        <v>270</v>
      </c>
      <c r="S355" s="52"/>
      <c r="T355" s="52"/>
      <c r="U355" s="52"/>
      <c r="V355" s="52"/>
      <c r="W355" s="52"/>
      <c r="X355" s="52"/>
      <c r="Y355" s="52"/>
      <c r="Z355" s="52"/>
      <c r="AA355" s="52"/>
      <c r="AB355" s="52"/>
      <c r="AC355" s="52"/>
      <c r="AD355" s="52"/>
      <c r="AE355" s="52"/>
      <c r="AF355" s="52"/>
      <c r="AG355" s="52"/>
      <c r="AH355" s="52"/>
      <c r="AI355" s="52"/>
      <c r="AJ355" s="170"/>
      <c r="AK355" s="140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141"/>
    </row>
    <row r="356" spans="2:61" ht="20.100000000000001" customHeight="1" x14ac:dyDescent="0.45">
      <c r="B356" s="168"/>
      <c r="C356" s="31"/>
      <c r="D356" s="31"/>
      <c r="E356" s="31"/>
      <c r="F356" s="31"/>
      <c r="G356" s="138"/>
      <c r="H356" s="139"/>
      <c r="I356" s="138"/>
      <c r="J356" s="169" t="s">
        <v>323</v>
      </c>
      <c r="K356" s="52"/>
      <c r="L356" s="52"/>
      <c r="M356" s="52"/>
      <c r="N356" s="52"/>
      <c r="O356" s="52"/>
      <c r="P356" s="52"/>
      <c r="Q356" s="52"/>
      <c r="R356" s="169" t="s">
        <v>271</v>
      </c>
      <c r="S356" s="52"/>
      <c r="T356" s="52"/>
      <c r="U356" s="52"/>
      <c r="V356" s="52"/>
      <c r="W356" s="52"/>
      <c r="X356" s="52"/>
      <c r="Y356" s="52"/>
      <c r="Z356" s="52"/>
      <c r="AA356" s="52"/>
      <c r="AB356" s="52"/>
      <c r="AC356" s="52"/>
      <c r="AD356" s="52"/>
      <c r="AE356" s="52"/>
      <c r="AF356" s="52"/>
      <c r="AG356" s="52"/>
      <c r="AH356" s="52"/>
      <c r="AI356" s="52"/>
      <c r="AJ356" s="170"/>
      <c r="AK356" s="140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141"/>
    </row>
    <row r="357" spans="2:61" ht="20.100000000000001" customHeight="1" x14ac:dyDescent="0.45">
      <c r="B357" s="168"/>
      <c r="C357" s="31"/>
      <c r="D357" s="31"/>
      <c r="E357" s="31"/>
      <c r="F357" s="31"/>
      <c r="G357" s="138"/>
      <c r="H357" s="139"/>
      <c r="I357" s="138"/>
      <c r="J357" s="169" t="s">
        <v>324</v>
      </c>
      <c r="K357" s="52"/>
      <c r="L357" s="52"/>
      <c r="M357" s="52"/>
      <c r="N357" s="52"/>
      <c r="O357" s="52"/>
      <c r="P357" s="52"/>
      <c r="Q357" s="52"/>
      <c r="R357" s="169" t="s">
        <v>272</v>
      </c>
      <c r="S357" s="52"/>
      <c r="T357" s="52"/>
      <c r="U357" s="52"/>
      <c r="V357" s="52"/>
      <c r="W357" s="52"/>
      <c r="X357" s="52"/>
      <c r="Y357" s="52"/>
      <c r="Z357" s="52"/>
      <c r="AA357" s="52"/>
      <c r="AB357" s="52"/>
      <c r="AC357" s="52"/>
      <c r="AD357" s="52"/>
      <c r="AE357" s="52"/>
      <c r="AF357" s="52"/>
      <c r="AG357" s="52"/>
      <c r="AH357" s="52"/>
      <c r="AI357" s="52"/>
      <c r="AJ357" s="170"/>
      <c r="AK357" s="140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141"/>
    </row>
    <row r="358" spans="2:61" ht="20.100000000000001" customHeight="1" x14ac:dyDescent="0.45">
      <c r="B358" s="168"/>
      <c r="C358" s="31"/>
      <c r="D358" s="31"/>
      <c r="E358" s="31"/>
      <c r="F358" s="31"/>
      <c r="G358" s="138"/>
      <c r="H358" s="139"/>
      <c r="I358" s="138"/>
      <c r="J358" s="169" t="s">
        <v>325</v>
      </c>
      <c r="K358" s="52"/>
      <c r="L358" s="52"/>
      <c r="M358" s="52"/>
      <c r="N358" s="52"/>
      <c r="O358" s="52"/>
      <c r="P358" s="52"/>
      <c r="Q358" s="52"/>
      <c r="R358" s="169" t="s">
        <v>273</v>
      </c>
      <c r="S358" s="52"/>
      <c r="T358" s="52"/>
      <c r="U358" s="52"/>
      <c r="V358" s="52"/>
      <c r="W358" s="52"/>
      <c r="X358" s="52"/>
      <c r="Y358" s="52"/>
      <c r="Z358" s="52"/>
      <c r="AA358" s="52"/>
      <c r="AB358" s="52"/>
      <c r="AC358" s="52"/>
      <c r="AD358" s="52"/>
      <c r="AE358" s="52"/>
      <c r="AF358" s="52"/>
      <c r="AG358" s="52"/>
      <c r="AH358" s="52"/>
      <c r="AI358" s="52"/>
      <c r="AJ358" s="170"/>
      <c r="AK358" s="140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141"/>
    </row>
    <row r="359" spans="2:61" ht="20.100000000000001" customHeight="1" x14ac:dyDescent="0.45">
      <c r="B359" s="168"/>
      <c r="C359" s="31"/>
      <c r="D359" s="31"/>
      <c r="E359" s="31"/>
      <c r="F359" s="31"/>
      <c r="G359" s="138"/>
      <c r="H359" s="139"/>
      <c r="I359" s="138"/>
      <c r="J359" s="169" t="s">
        <v>326</v>
      </c>
      <c r="K359" s="52"/>
      <c r="L359" s="52"/>
      <c r="M359" s="52"/>
      <c r="N359" s="52"/>
      <c r="O359" s="52"/>
      <c r="P359" s="52"/>
      <c r="Q359" s="52"/>
      <c r="R359" s="169" t="s">
        <v>274</v>
      </c>
      <c r="S359" s="52"/>
      <c r="T359" s="52"/>
      <c r="U359" s="52"/>
      <c r="V359" s="52"/>
      <c r="W359" s="52"/>
      <c r="X359" s="52"/>
      <c r="Y359" s="52"/>
      <c r="Z359" s="52"/>
      <c r="AA359" s="52"/>
      <c r="AB359" s="52"/>
      <c r="AC359" s="52"/>
      <c r="AD359" s="52"/>
      <c r="AE359" s="52"/>
      <c r="AF359" s="52"/>
      <c r="AG359" s="52"/>
      <c r="AH359" s="52"/>
      <c r="AI359" s="52"/>
      <c r="AJ359" s="170"/>
      <c r="AK359" s="140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141"/>
    </row>
    <row r="360" spans="2:61" ht="20.100000000000001" customHeight="1" x14ac:dyDescent="0.45">
      <c r="B360" s="168"/>
      <c r="C360" s="31"/>
      <c r="D360" s="31"/>
      <c r="E360" s="31"/>
      <c r="F360" s="31"/>
      <c r="G360" s="138"/>
      <c r="H360" s="139"/>
      <c r="I360" s="138"/>
      <c r="J360" s="169" t="s">
        <v>327</v>
      </c>
      <c r="K360" s="52"/>
      <c r="L360" s="52"/>
      <c r="M360" s="52"/>
      <c r="N360" s="52"/>
      <c r="O360" s="52"/>
      <c r="P360" s="52"/>
      <c r="Q360" s="52"/>
      <c r="R360" s="169" t="s">
        <v>275</v>
      </c>
      <c r="S360" s="52"/>
      <c r="T360" s="52"/>
      <c r="U360" s="52"/>
      <c r="V360" s="52"/>
      <c r="W360" s="52"/>
      <c r="X360" s="52"/>
      <c r="Y360" s="52"/>
      <c r="Z360" s="52"/>
      <c r="AA360" s="52"/>
      <c r="AB360" s="52"/>
      <c r="AC360" s="52"/>
      <c r="AD360" s="52"/>
      <c r="AE360" s="52"/>
      <c r="AF360" s="52"/>
      <c r="AG360" s="52"/>
      <c r="AH360" s="52"/>
      <c r="AI360" s="52"/>
      <c r="AJ360" s="170"/>
      <c r="AK360" s="140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141"/>
    </row>
    <row r="361" spans="2:61" ht="20.100000000000001" customHeight="1" x14ac:dyDescent="0.45">
      <c r="B361" s="168"/>
      <c r="C361" s="31"/>
      <c r="D361" s="31"/>
      <c r="E361" s="31"/>
      <c r="F361" s="31"/>
      <c r="G361" s="138"/>
      <c r="H361" s="139"/>
      <c r="I361" s="138"/>
      <c r="J361" s="169" t="s">
        <v>296</v>
      </c>
      <c r="K361" s="52"/>
      <c r="L361" s="52"/>
      <c r="M361" s="52"/>
      <c r="N361" s="52"/>
      <c r="O361" s="52"/>
      <c r="P361" s="52"/>
      <c r="Q361" s="52"/>
      <c r="R361" s="169" t="s">
        <v>352</v>
      </c>
      <c r="S361" s="52"/>
      <c r="T361" s="52"/>
      <c r="U361" s="52"/>
      <c r="V361" s="52"/>
      <c r="W361" s="52"/>
      <c r="X361" s="52"/>
      <c r="Y361" s="52"/>
      <c r="Z361" s="52"/>
      <c r="AA361" s="52"/>
      <c r="AB361" s="52"/>
      <c r="AC361" s="52"/>
      <c r="AD361" s="52"/>
      <c r="AE361" s="52"/>
      <c r="AF361" s="52"/>
      <c r="AG361" s="52"/>
      <c r="AH361" s="52"/>
      <c r="AI361" s="52"/>
      <c r="AJ361" s="170"/>
      <c r="AK361" s="140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141"/>
    </row>
    <row r="362" spans="2:61" ht="20.100000000000001" customHeight="1" x14ac:dyDescent="0.45">
      <c r="B362" s="168"/>
      <c r="C362" s="31"/>
      <c r="D362" s="31"/>
      <c r="E362" s="31"/>
      <c r="F362" s="31"/>
      <c r="G362" s="138"/>
      <c r="H362" s="139"/>
      <c r="I362" s="138"/>
      <c r="J362" s="169" t="s">
        <v>328</v>
      </c>
      <c r="K362" s="52"/>
      <c r="L362" s="52"/>
      <c r="M362" s="52"/>
      <c r="N362" s="52"/>
      <c r="O362" s="52"/>
      <c r="P362" s="52"/>
      <c r="Q362" s="52"/>
      <c r="R362" s="169" t="s">
        <v>276</v>
      </c>
      <c r="S362" s="52"/>
      <c r="T362" s="52"/>
      <c r="U362" s="52"/>
      <c r="V362" s="52"/>
      <c r="W362" s="52"/>
      <c r="X362" s="52"/>
      <c r="Y362" s="52"/>
      <c r="Z362" s="52"/>
      <c r="AA362" s="52"/>
      <c r="AB362" s="52"/>
      <c r="AC362" s="52"/>
      <c r="AD362" s="52"/>
      <c r="AE362" s="52"/>
      <c r="AF362" s="52"/>
      <c r="AG362" s="52"/>
      <c r="AH362" s="52"/>
      <c r="AI362" s="52"/>
      <c r="AJ362" s="170"/>
      <c r="AK362" s="140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141"/>
    </row>
    <row r="363" spans="2:61" ht="20.100000000000001" customHeight="1" x14ac:dyDescent="0.45">
      <c r="B363" s="168"/>
      <c r="C363" s="31"/>
      <c r="D363" s="31"/>
      <c r="E363" s="31"/>
      <c r="F363" s="31"/>
      <c r="G363" s="138"/>
      <c r="H363" s="139"/>
      <c r="I363" s="138"/>
      <c r="J363" s="169" t="s">
        <v>329</v>
      </c>
      <c r="K363" s="52"/>
      <c r="L363" s="52"/>
      <c r="M363" s="52"/>
      <c r="N363" s="52"/>
      <c r="O363" s="52"/>
      <c r="P363" s="52"/>
      <c r="Q363" s="52"/>
      <c r="R363" s="169" t="s">
        <v>277</v>
      </c>
      <c r="S363" s="52"/>
      <c r="T363" s="52"/>
      <c r="U363" s="52"/>
      <c r="V363" s="52"/>
      <c r="W363" s="52"/>
      <c r="X363" s="52"/>
      <c r="Y363" s="52"/>
      <c r="Z363" s="52"/>
      <c r="AA363" s="52"/>
      <c r="AB363" s="52"/>
      <c r="AC363" s="52"/>
      <c r="AD363" s="52"/>
      <c r="AE363" s="52"/>
      <c r="AF363" s="52"/>
      <c r="AG363" s="52"/>
      <c r="AH363" s="52"/>
      <c r="AI363" s="52"/>
      <c r="AJ363" s="170"/>
      <c r="AK363" s="140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141"/>
    </row>
    <row r="364" spans="2:61" ht="20.100000000000001" customHeight="1" x14ac:dyDescent="0.45">
      <c r="B364" s="168"/>
      <c r="C364" s="31"/>
      <c r="D364" s="31"/>
      <c r="E364" s="31"/>
      <c r="F364" s="31"/>
      <c r="G364" s="138"/>
      <c r="H364" s="139"/>
      <c r="I364" s="138"/>
      <c r="J364" s="169" t="s">
        <v>298</v>
      </c>
      <c r="K364" s="52"/>
      <c r="L364" s="52"/>
      <c r="M364" s="52"/>
      <c r="N364" s="52"/>
      <c r="O364" s="52"/>
      <c r="P364" s="52"/>
      <c r="Q364" s="52"/>
      <c r="R364" s="176" t="s">
        <v>353</v>
      </c>
      <c r="S364" s="52"/>
      <c r="T364" s="52"/>
      <c r="U364" s="52"/>
      <c r="V364" s="52"/>
      <c r="W364" s="52"/>
      <c r="X364" s="52"/>
      <c r="Y364" s="52"/>
      <c r="Z364" s="52"/>
      <c r="AA364" s="52"/>
      <c r="AB364" s="52"/>
      <c r="AC364" s="52"/>
      <c r="AD364" s="52"/>
      <c r="AE364" s="52"/>
      <c r="AF364" s="52"/>
      <c r="AG364" s="52"/>
      <c r="AH364" s="52"/>
      <c r="AI364" s="52"/>
      <c r="AJ364" s="170"/>
      <c r="AK364" s="140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141"/>
    </row>
    <row r="365" spans="2:61" ht="20.100000000000001" customHeight="1" x14ac:dyDescent="0.45">
      <c r="B365" s="168"/>
      <c r="C365" s="31"/>
      <c r="D365" s="31"/>
      <c r="E365" s="31"/>
      <c r="F365" s="31"/>
      <c r="G365" s="138"/>
      <c r="H365" s="139"/>
      <c r="I365" s="138"/>
      <c r="J365" s="169" t="s">
        <v>330</v>
      </c>
      <c r="K365" s="52"/>
      <c r="L365" s="52"/>
      <c r="M365" s="52"/>
      <c r="N365" s="52"/>
      <c r="O365" s="52"/>
      <c r="P365" s="52"/>
      <c r="Q365" s="52"/>
      <c r="R365" s="169" t="s">
        <v>279</v>
      </c>
      <c r="S365" s="52"/>
      <c r="T365" s="52"/>
      <c r="U365" s="52"/>
      <c r="V365" s="52"/>
      <c r="W365" s="52"/>
      <c r="X365" s="52"/>
      <c r="Y365" s="52"/>
      <c r="Z365" s="52"/>
      <c r="AA365" s="52"/>
      <c r="AB365" s="52"/>
      <c r="AC365" s="52"/>
      <c r="AD365" s="52"/>
      <c r="AE365" s="52"/>
      <c r="AF365" s="52"/>
      <c r="AG365" s="52"/>
      <c r="AH365" s="52"/>
      <c r="AI365" s="52"/>
      <c r="AJ365" s="170"/>
      <c r="AK365" s="140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141"/>
    </row>
    <row r="366" spans="2:61" ht="20.100000000000001" customHeight="1" x14ac:dyDescent="0.45">
      <c r="B366" s="168"/>
      <c r="C366" s="31"/>
      <c r="D366" s="31"/>
      <c r="E366" s="31"/>
      <c r="F366" s="31"/>
      <c r="G366" s="138"/>
      <c r="H366" s="139"/>
      <c r="I366" s="138"/>
      <c r="J366" s="169" t="s">
        <v>301</v>
      </c>
      <c r="K366" s="52"/>
      <c r="L366" s="52"/>
      <c r="M366" s="52"/>
      <c r="N366" s="52"/>
      <c r="O366" s="52"/>
      <c r="P366" s="52"/>
      <c r="Q366" s="52"/>
      <c r="R366" s="169" t="s">
        <v>351</v>
      </c>
      <c r="S366" s="52"/>
      <c r="T366" s="52"/>
      <c r="U366" s="52"/>
      <c r="V366" s="52"/>
      <c r="W366" s="52"/>
      <c r="X366" s="52"/>
      <c r="Y366" s="52"/>
      <c r="Z366" s="52"/>
      <c r="AA366" s="52"/>
      <c r="AB366" s="52"/>
      <c r="AC366" s="52"/>
      <c r="AD366" s="52"/>
      <c r="AE366" s="52"/>
      <c r="AF366" s="52"/>
      <c r="AG366" s="52"/>
      <c r="AH366" s="52"/>
      <c r="AI366" s="52"/>
      <c r="AJ366" s="170"/>
      <c r="AK366" s="140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141"/>
    </row>
    <row r="367" spans="2:61" ht="20.100000000000001" customHeight="1" x14ac:dyDescent="0.45">
      <c r="B367" s="168"/>
      <c r="C367" s="31"/>
      <c r="D367" s="31"/>
      <c r="E367" s="31"/>
      <c r="F367" s="31"/>
      <c r="G367" s="138"/>
      <c r="H367" s="139"/>
      <c r="I367" s="138"/>
      <c r="J367" s="169" t="s">
        <v>331</v>
      </c>
      <c r="K367" s="52"/>
      <c r="L367" s="52"/>
      <c r="M367" s="52"/>
      <c r="N367" s="52"/>
      <c r="O367" s="52"/>
      <c r="P367" s="52"/>
      <c r="Q367" s="52"/>
      <c r="R367" s="169" t="s">
        <v>280</v>
      </c>
      <c r="S367" s="52"/>
      <c r="T367" s="52"/>
      <c r="U367" s="52"/>
      <c r="V367" s="52"/>
      <c r="W367" s="52"/>
      <c r="X367" s="52"/>
      <c r="Y367" s="52"/>
      <c r="Z367" s="52"/>
      <c r="AA367" s="52"/>
      <c r="AB367" s="52"/>
      <c r="AC367" s="52"/>
      <c r="AD367" s="52"/>
      <c r="AE367" s="52"/>
      <c r="AF367" s="52"/>
      <c r="AG367" s="52"/>
      <c r="AH367" s="52"/>
      <c r="AI367" s="52"/>
      <c r="AJ367" s="170"/>
      <c r="AK367" s="140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141"/>
    </row>
    <row r="368" spans="2:61" ht="20.100000000000001" customHeight="1" x14ac:dyDescent="0.45">
      <c r="B368" s="168"/>
      <c r="C368" s="31"/>
      <c r="D368" s="31"/>
      <c r="E368" s="31"/>
      <c r="F368" s="31"/>
      <c r="G368" s="138"/>
      <c r="H368" s="139"/>
      <c r="I368" s="138"/>
      <c r="J368" s="169" t="s">
        <v>302</v>
      </c>
      <c r="K368" s="52"/>
      <c r="L368" s="52"/>
      <c r="M368" s="52"/>
      <c r="N368" s="52"/>
      <c r="O368" s="52"/>
      <c r="P368" s="52"/>
      <c r="Q368" s="52"/>
      <c r="R368" s="176" t="s">
        <v>354</v>
      </c>
      <c r="S368" s="52"/>
      <c r="T368" s="52"/>
      <c r="U368" s="52"/>
      <c r="V368" s="52"/>
      <c r="W368" s="52"/>
      <c r="X368" s="52"/>
      <c r="Y368" s="52"/>
      <c r="Z368" s="52"/>
      <c r="AA368" s="52"/>
      <c r="AB368" s="52"/>
      <c r="AC368" s="52"/>
      <c r="AD368" s="52"/>
      <c r="AE368" s="52"/>
      <c r="AF368" s="52"/>
      <c r="AG368" s="52"/>
      <c r="AH368" s="52"/>
      <c r="AI368" s="52"/>
      <c r="AJ368" s="170"/>
      <c r="AK368" s="140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141"/>
    </row>
    <row r="369" spans="2:61" ht="20.100000000000001" customHeight="1" x14ac:dyDescent="0.45">
      <c r="B369" s="168"/>
      <c r="C369" s="31"/>
      <c r="D369" s="31"/>
      <c r="E369" s="31"/>
      <c r="F369" s="31"/>
      <c r="G369" s="138"/>
      <c r="H369" s="139"/>
      <c r="I369" s="138"/>
      <c r="J369" s="169" t="s">
        <v>307</v>
      </c>
      <c r="K369" s="52"/>
      <c r="L369" s="52"/>
      <c r="M369" s="52"/>
      <c r="N369" s="52"/>
      <c r="O369" s="52"/>
      <c r="P369" s="52"/>
      <c r="Q369" s="52"/>
      <c r="R369" s="169" t="s">
        <v>282</v>
      </c>
      <c r="S369" s="52"/>
      <c r="T369" s="52"/>
      <c r="U369" s="52"/>
      <c r="V369" s="52"/>
      <c r="W369" s="52"/>
      <c r="X369" s="52"/>
      <c r="Y369" s="52"/>
      <c r="Z369" s="52"/>
      <c r="AA369" s="52"/>
      <c r="AB369" s="52"/>
      <c r="AC369" s="52"/>
      <c r="AD369" s="52"/>
      <c r="AE369" s="52"/>
      <c r="AF369" s="52"/>
      <c r="AG369" s="52"/>
      <c r="AH369" s="52"/>
      <c r="AI369" s="52"/>
      <c r="AJ369" s="170"/>
      <c r="AK369" s="140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141"/>
    </row>
    <row r="370" spans="2:61" ht="20.100000000000001" customHeight="1" x14ac:dyDescent="0.45">
      <c r="B370" s="168"/>
      <c r="C370" s="31"/>
      <c r="D370" s="31"/>
      <c r="E370" s="31"/>
      <c r="F370" s="31"/>
      <c r="G370" s="138"/>
      <c r="H370" s="139"/>
      <c r="I370" s="138"/>
      <c r="J370" s="169" t="s">
        <v>309</v>
      </c>
      <c r="K370" s="52"/>
      <c r="L370" s="52"/>
      <c r="M370" s="52"/>
      <c r="N370" s="52"/>
      <c r="O370" s="52"/>
      <c r="P370" s="52"/>
      <c r="Q370" s="52"/>
      <c r="R370" s="169" t="s">
        <v>283</v>
      </c>
      <c r="S370" s="52"/>
      <c r="T370" s="52"/>
      <c r="U370" s="52"/>
      <c r="V370" s="52"/>
      <c r="W370" s="52"/>
      <c r="X370" s="52"/>
      <c r="Y370" s="52"/>
      <c r="Z370" s="52"/>
      <c r="AA370" s="52"/>
      <c r="AB370" s="52"/>
      <c r="AC370" s="52"/>
      <c r="AD370" s="52"/>
      <c r="AE370" s="52"/>
      <c r="AF370" s="52"/>
      <c r="AG370" s="52"/>
      <c r="AH370" s="52"/>
      <c r="AI370" s="52"/>
      <c r="AJ370" s="170"/>
      <c r="AK370" s="140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141"/>
    </row>
    <row r="371" spans="2:61" ht="20.100000000000001" customHeight="1" x14ac:dyDescent="0.45">
      <c r="B371" s="168"/>
      <c r="C371" s="31"/>
      <c r="D371" s="31"/>
      <c r="E371" s="31"/>
      <c r="F371" s="31"/>
      <c r="G371" s="138"/>
      <c r="H371" s="139"/>
      <c r="I371" s="138"/>
      <c r="J371" s="169" t="s">
        <v>333</v>
      </c>
      <c r="K371" s="52"/>
      <c r="L371" s="52"/>
      <c r="M371" s="52"/>
      <c r="N371" s="52"/>
      <c r="O371" s="52"/>
      <c r="P371" s="52"/>
      <c r="Q371" s="52"/>
      <c r="R371" s="169" t="s">
        <v>284</v>
      </c>
      <c r="S371" s="52"/>
      <c r="T371" s="52"/>
      <c r="U371" s="52"/>
      <c r="V371" s="52"/>
      <c r="W371" s="52"/>
      <c r="X371" s="52"/>
      <c r="Y371" s="52"/>
      <c r="Z371" s="52"/>
      <c r="AA371" s="52"/>
      <c r="AB371" s="52"/>
      <c r="AC371" s="52"/>
      <c r="AD371" s="52"/>
      <c r="AE371" s="52"/>
      <c r="AF371" s="52"/>
      <c r="AG371" s="52"/>
      <c r="AH371" s="52"/>
      <c r="AI371" s="52"/>
      <c r="AJ371" s="170"/>
      <c r="AK371" s="140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141"/>
    </row>
    <row r="372" spans="2:61" ht="20.100000000000001" customHeight="1" x14ac:dyDescent="0.45">
      <c r="B372" s="168"/>
      <c r="C372" s="31"/>
      <c r="D372" s="31"/>
      <c r="E372" s="31"/>
      <c r="F372" s="31"/>
      <c r="G372" s="138"/>
      <c r="H372" s="139"/>
      <c r="I372" s="138"/>
      <c r="J372" s="169" t="s">
        <v>305</v>
      </c>
      <c r="K372" s="52"/>
      <c r="L372" s="52"/>
      <c r="M372" s="52"/>
      <c r="N372" s="52"/>
      <c r="O372" s="52"/>
      <c r="P372" s="52"/>
      <c r="Q372" s="52"/>
      <c r="R372" s="169" t="s">
        <v>303</v>
      </c>
      <c r="S372" s="52"/>
      <c r="T372" s="52"/>
      <c r="U372" s="52"/>
      <c r="V372" s="52"/>
      <c r="W372" s="52"/>
      <c r="X372" s="52"/>
      <c r="Y372" s="52"/>
      <c r="Z372" s="52"/>
      <c r="AA372" s="52"/>
      <c r="AB372" s="52"/>
      <c r="AC372" s="52"/>
      <c r="AD372" s="52"/>
      <c r="AE372" s="52"/>
      <c r="AF372" s="52"/>
      <c r="AG372" s="52"/>
      <c r="AH372" s="52"/>
      <c r="AI372" s="52"/>
      <c r="AJ372" s="170"/>
      <c r="AK372" s="140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141"/>
    </row>
    <row r="373" spans="2:61" ht="20.100000000000001" customHeight="1" x14ac:dyDescent="0.45">
      <c r="B373" s="168"/>
      <c r="C373" s="31"/>
      <c r="D373" s="31"/>
      <c r="E373" s="31"/>
      <c r="F373" s="31"/>
      <c r="G373" s="138"/>
      <c r="H373" s="139"/>
      <c r="I373" s="138"/>
      <c r="J373" s="169" t="s">
        <v>334</v>
      </c>
      <c r="K373" s="52"/>
      <c r="L373" s="52"/>
      <c r="M373" s="52"/>
      <c r="N373" s="52"/>
      <c r="O373" s="52"/>
      <c r="P373" s="52"/>
      <c r="Q373" s="52"/>
      <c r="R373" s="169" t="s">
        <v>285</v>
      </c>
      <c r="S373" s="52"/>
      <c r="T373" s="52"/>
      <c r="U373" s="52"/>
      <c r="V373" s="52"/>
      <c r="W373" s="52"/>
      <c r="X373" s="52"/>
      <c r="Y373" s="52"/>
      <c r="Z373" s="52"/>
      <c r="AA373" s="52"/>
      <c r="AB373" s="52"/>
      <c r="AC373" s="52"/>
      <c r="AD373" s="52"/>
      <c r="AE373" s="52"/>
      <c r="AF373" s="52"/>
      <c r="AG373" s="52"/>
      <c r="AH373" s="52"/>
      <c r="AI373" s="52"/>
      <c r="AJ373" s="170"/>
      <c r="AK373" s="140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141"/>
    </row>
    <row r="374" spans="2:61" ht="20.100000000000001" customHeight="1" x14ac:dyDescent="0.45">
      <c r="B374" s="168"/>
      <c r="C374" s="31"/>
      <c r="D374" s="31"/>
      <c r="E374" s="31"/>
      <c r="F374" s="31"/>
      <c r="G374" s="138"/>
      <c r="H374" s="139"/>
      <c r="I374" s="138"/>
      <c r="J374" s="169" t="s">
        <v>335</v>
      </c>
      <c r="K374" s="52"/>
      <c r="L374" s="52"/>
      <c r="M374" s="52"/>
      <c r="N374" s="52"/>
      <c r="O374" s="52"/>
      <c r="P374" s="52"/>
      <c r="Q374" s="52"/>
      <c r="R374" s="169" t="s">
        <v>286</v>
      </c>
      <c r="S374" s="52"/>
      <c r="T374" s="52"/>
      <c r="U374" s="52"/>
      <c r="V374" s="52"/>
      <c r="W374" s="52"/>
      <c r="X374" s="52"/>
      <c r="Y374" s="52"/>
      <c r="Z374" s="52"/>
      <c r="AA374" s="52"/>
      <c r="AB374" s="52"/>
      <c r="AC374" s="52"/>
      <c r="AD374" s="52"/>
      <c r="AE374" s="52"/>
      <c r="AF374" s="52"/>
      <c r="AG374" s="52"/>
      <c r="AH374" s="52"/>
      <c r="AI374" s="52"/>
      <c r="AJ374" s="170"/>
      <c r="AK374" s="140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141"/>
    </row>
    <row r="375" spans="2:61" ht="20.100000000000001" customHeight="1" x14ac:dyDescent="0.45">
      <c r="B375" s="168"/>
      <c r="C375" s="31"/>
      <c r="D375" s="31"/>
      <c r="E375" s="31"/>
      <c r="F375" s="31"/>
      <c r="G375" s="138"/>
      <c r="H375" s="139"/>
      <c r="I375" s="138"/>
      <c r="J375" s="169" t="s">
        <v>336</v>
      </c>
      <c r="K375" s="52"/>
      <c r="L375" s="52"/>
      <c r="M375" s="52"/>
      <c r="N375" s="52"/>
      <c r="O375" s="52"/>
      <c r="P375" s="52"/>
      <c r="Q375" s="52"/>
      <c r="R375" s="169" t="s">
        <v>287</v>
      </c>
      <c r="S375" s="52"/>
      <c r="T375" s="52"/>
      <c r="U375" s="52"/>
      <c r="V375" s="52"/>
      <c r="W375" s="52"/>
      <c r="X375" s="52"/>
      <c r="Y375" s="52"/>
      <c r="Z375" s="52"/>
      <c r="AA375" s="52"/>
      <c r="AB375" s="52"/>
      <c r="AC375" s="52"/>
      <c r="AD375" s="52"/>
      <c r="AE375" s="52"/>
      <c r="AF375" s="52"/>
      <c r="AG375" s="52"/>
      <c r="AH375" s="52"/>
      <c r="AI375" s="52"/>
      <c r="AJ375" s="170"/>
      <c r="AK375" s="140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141"/>
    </row>
    <row r="376" spans="2:61" ht="20.100000000000001" customHeight="1" x14ac:dyDescent="0.45">
      <c r="B376" s="168"/>
      <c r="C376" s="31"/>
      <c r="D376" s="31"/>
      <c r="E376" s="31"/>
      <c r="F376" s="31"/>
      <c r="G376" s="138"/>
      <c r="H376" s="139"/>
      <c r="I376" s="138"/>
      <c r="J376" s="169" t="s">
        <v>337</v>
      </c>
      <c r="K376" s="52"/>
      <c r="L376" s="52"/>
      <c r="M376" s="52"/>
      <c r="N376" s="52"/>
      <c r="O376" s="52"/>
      <c r="P376" s="52"/>
      <c r="Q376" s="52"/>
      <c r="R376" s="169" t="s">
        <v>288</v>
      </c>
      <c r="S376" s="52"/>
      <c r="T376" s="52"/>
      <c r="U376" s="52"/>
      <c r="V376" s="52"/>
      <c r="W376" s="52"/>
      <c r="X376" s="52"/>
      <c r="Y376" s="52"/>
      <c r="Z376" s="52"/>
      <c r="AA376" s="52"/>
      <c r="AB376" s="52"/>
      <c r="AC376" s="52"/>
      <c r="AD376" s="52"/>
      <c r="AE376" s="52"/>
      <c r="AF376" s="52"/>
      <c r="AG376" s="52"/>
      <c r="AH376" s="52"/>
      <c r="AI376" s="52"/>
      <c r="AJ376" s="170"/>
      <c r="AK376" s="140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141"/>
    </row>
    <row r="377" spans="2:61" ht="20.100000000000001" customHeight="1" x14ac:dyDescent="0.45">
      <c r="B377" s="168"/>
      <c r="C377" s="31"/>
      <c r="D377" s="31"/>
      <c r="E377" s="31"/>
      <c r="F377" s="31"/>
      <c r="G377" s="138"/>
      <c r="H377" s="139"/>
      <c r="I377" s="138"/>
      <c r="J377" s="169" t="s">
        <v>338</v>
      </c>
      <c r="K377" s="52"/>
      <c r="L377" s="52"/>
      <c r="M377" s="52"/>
      <c r="N377" s="52"/>
      <c r="O377" s="52"/>
      <c r="P377" s="52"/>
      <c r="Q377" s="52"/>
      <c r="R377" s="169" t="s">
        <v>289</v>
      </c>
      <c r="S377" s="52"/>
      <c r="T377" s="52"/>
      <c r="U377" s="52"/>
      <c r="V377" s="52"/>
      <c r="W377" s="52"/>
      <c r="X377" s="52"/>
      <c r="Y377" s="52"/>
      <c r="Z377" s="52"/>
      <c r="AA377" s="52"/>
      <c r="AB377" s="52"/>
      <c r="AC377" s="52"/>
      <c r="AD377" s="52"/>
      <c r="AE377" s="52"/>
      <c r="AF377" s="52"/>
      <c r="AG377" s="52"/>
      <c r="AH377" s="52"/>
      <c r="AI377" s="52"/>
      <c r="AJ377" s="170"/>
      <c r="AK377" s="140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141"/>
    </row>
    <row r="378" spans="2:61" ht="20.100000000000001" customHeight="1" x14ac:dyDescent="0.45">
      <c r="B378" s="168"/>
      <c r="C378" s="31"/>
      <c r="D378" s="31"/>
      <c r="E378" s="31"/>
      <c r="F378" s="31"/>
      <c r="G378" s="138"/>
      <c r="H378" s="139"/>
      <c r="I378" s="138"/>
      <c r="J378" s="169" t="s">
        <v>339</v>
      </c>
      <c r="K378" s="52"/>
      <c r="L378" s="52"/>
      <c r="M378" s="52"/>
      <c r="N378" s="52"/>
      <c r="O378" s="52"/>
      <c r="P378" s="52"/>
      <c r="Q378" s="52"/>
      <c r="R378" s="169" t="s">
        <v>290</v>
      </c>
      <c r="S378" s="52"/>
      <c r="T378" s="52"/>
      <c r="U378" s="52"/>
      <c r="V378" s="52"/>
      <c r="W378" s="52"/>
      <c r="X378" s="52"/>
      <c r="Y378" s="52"/>
      <c r="Z378" s="52"/>
      <c r="AA378" s="52"/>
      <c r="AB378" s="52"/>
      <c r="AC378" s="52"/>
      <c r="AD378" s="52"/>
      <c r="AE378" s="52"/>
      <c r="AF378" s="52"/>
      <c r="AG378" s="52"/>
      <c r="AH378" s="52"/>
      <c r="AI378" s="52"/>
      <c r="AJ378" s="170"/>
      <c r="AK378" s="140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141"/>
    </row>
    <row r="379" spans="2:61" ht="20.100000000000001" customHeight="1" x14ac:dyDescent="0.45">
      <c r="B379" s="168"/>
      <c r="C379" s="31"/>
      <c r="D379" s="31"/>
      <c r="E379" s="31"/>
      <c r="F379" s="31"/>
      <c r="G379" s="138"/>
      <c r="H379" s="139"/>
      <c r="I379" s="138"/>
      <c r="J379" s="142" t="s">
        <v>340</v>
      </c>
      <c r="K379" s="55"/>
      <c r="L379" s="55"/>
      <c r="M379" s="55"/>
      <c r="N379" s="55"/>
      <c r="O379" s="55"/>
      <c r="P379" s="55"/>
      <c r="Q379" s="170"/>
      <c r="R379" s="31" t="s">
        <v>291</v>
      </c>
      <c r="S379" s="55"/>
      <c r="T379" s="55"/>
      <c r="U379" s="55"/>
      <c r="V379" s="55"/>
      <c r="W379" s="55"/>
      <c r="X379" s="55"/>
      <c r="Y379" s="55"/>
      <c r="Z379" s="55"/>
      <c r="AA379" s="55"/>
      <c r="AB379" s="55"/>
      <c r="AC379" s="55"/>
      <c r="AD379" s="55"/>
      <c r="AE379" s="55"/>
      <c r="AF379" s="55"/>
      <c r="AG379" s="55"/>
      <c r="AH379" s="55"/>
      <c r="AI379" s="55"/>
      <c r="AJ379" s="175"/>
      <c r="AK379" s="140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141"/>
    </row>
    <row r="380" spans="2:61" ht="20.100000000000001" customHeight="1" x14ac:dyDescent="0.45">
      <c r="B380" s="168"/>
      <c r="C380" s="31"/>
      <c r="D380" s="31"/>
      <c r="E380" s="31"/>
      <c r="F380" s="31"/>
      <c r="G380" s="138"/>
      <c r="H380" s="142" t="s">
        <v>145</v>
      </c>
      <c r="I380" s="55"/>
      <c r="J380" s="142" t="s">
        <v>359</v>
      </c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  <c r="AA380" s="55"/>
      <c r="AB380" s="55"/>
      <c r="AC380" s="55"/>
      <c r="AD380" s="55"/>
      <c r="AE380" s="55"/>
      <c r="AF380" s="55"/>
      <c r="AG380" s="55"/>
      <c r="AH380" s="55"/>
      <c r="AI380" s="55"/>
      <c r="AJ380" s="55"/>
      <c r="AK380" s="143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55"/>
      <c r="BI380" s="144"/>
    </row>
    <row r="381" spans="2:61" ht="20.100000000000001" customHeight="1" x14ac:dyDescent="0.45">
      <c r="B381" s="137"/>
      <c r="C381" s="31"/>
      <c r="D381" s="31"/>
      <c r="E381" s="31"/>
      <c r="F381" s="31"/>
      <c r="G381" s="138"/>
      <c r="H381" s="139"/>
      <c r="I381" s="31"/>
      <c r="J381" s="139" t="s">
        <v>360</v>
      </c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140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141"/>
    </row>
    <row r="382" spans="2:61" ht="20.100000000000001" customHeight="1" x14ac:dyDescent="0.45">
      <c r="B382" s="137"/>
      <c r="C382" s="31"/>
      <c r="D382" s="31"/>
      <c r="E382" s="31"/>
      <c r="F382" s="31"/>
      <c r="G382" s="138"/>
      <c r="H382" s="139"/>
      <c r="I382" s="31"/>
      <c r="J382" s="139" t="s">
        <v>361</v>
      </c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140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141"/>
    </row>
    <row r="383" spans="2:61" ht="20.100000000000001" customHeight="1" x14ac:dyDescent="0.45">
      <c r="B383" s="137"/>
      <c r="C383" s="31"/>
      <c r="D383" s="31"/>
      <c r="E383" s="31"/>
      <c r="F383" s="31"/>
      <c r="G383" s="138"/>
      <c r="H383" s="142" t="s">
        <v>146</v>
      </c>
      <c r="I383" s="55"/>
      <c r="J383" s="142" t="s">
        <v>174</v>
      </c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  <c r="AA383" s="55"/>
      <c r="AB383" s="55"/>
      <c r="AC383" s="55"/>
      <c r="AD383" s="55"/>
      <c r="AE383" s="55"/>
      <c r="AF383" s="55"/>
      <c r="AG383" s="55"/>
      <c r="AH383" s="55"/>
      <c r="AI383" s="55"/>
      <c r="AJ383" s="55"/>
      <c r="AK383" s="143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55"/>
      <c r="BI383" s="144"/>
    </row>
    <row r="384" spans="2:61" ht="20.100000000000001" customHeight="1" x14ac:dyDescent="0.45">
      <c r="B384" s="137"/>
      <c r="C384" s="31"/>
      <c r="D384" s="31"/>
      <c r="E384" s="31"/>
      <c r="F384" s="31"/>
      <c r="G384" s="138"/>
      <c r="H384" s="139"/>
      <c r="I384" s="31"/>
      <c r="J384" s="139"/>
      <c r="K384" s="31" t="s">
        <v>175</v>
      </c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140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141"/>
    </row>
    <row r="385" spans="2:61" ht="20.100000000000001" customHeight="1" x14ac:dyDescent="0.45">
      <c r="B385" s="137"/>
      <c r="C385" s="31"/>
      <c r="D385" s="31"/>
      <c r="E385" s="31"/>
      <c r="F385" s="31"/>
      <c r="G385" s="138"/>
      <c r="H385" s="139"/>
      <c r="I385" s="31"/>
      <c r="J385" s="139"/>
      <c r="K385" s="31"/>
      <c r="M385" s="31" t="s">
        <v>212</v>
      </c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140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141"/>
    </row>
    <row r="386" spans="2:61" ht="20.100000000000001" customHeight="1" x14ac:dyDescent="0.45">
      <c r="B386" s="137"/>
      <c r="C386" s="31"/>
      <c r="D386" s="31"/>
      <c r="E386" s="31"/>
      <c r="F386" s="31"/>
      <c r="G386" s="138"/>
      <c r="H386" s="139"/>
      <c r="I386" s="31"/>
      <c r="J386" s="139" t="s">
        <v>174</v>
      </c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140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141"/>
    </row>
    <row r="387" spans="2:61" ht="20.100000000000001" customHeight="1" x14ac:dyDescent="0.45">
      <c r="B387" s="137"/>
      <c r="C387" s="31"/>
      <c r="D387" s="31"/>
      <c r="E387" s="31"/>
      <c r="F387" s="31"/>
      <c r="G387" s="138"/>
      <c r="H387" s="139"/>
      <c r="I387" s="31"/>
      <c r="J387" s="139"/>
      <c r="K387" s="31" t="s">
        <v>203</v>
      </c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140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141"/>
    </row>
    <row r="388" spans="2:61" ht="20.100000000000001" customHeight="1" x14ac:dyDescent="0.45">
      <c r="B388" s="137"/>
      <c r="C388" s="31"/>
      <c r="D388" s="31"/>
      <c r="E388" s="31"/>
      <c r="F388" s="31"/>
      <c r="G388" s="138"/>
      <c r="H388" s="145"/>
      <c r="I388" s="146"/>
      <c r="J388" s="145"/>
      <c r="K388" s="146"/>
      <c r="L388" s="146"/>
      <c r="M388" s="146" t="s">
        <v>219</v>
      </c>
      <c r="N388" s="146"/>
      <c r="O388" s="146"/>
      <c r="P388" s="146"/>
      <c r="Q388" s="146"/>
      <c r="R388" s="146"/>
      <c r="S388" s="146"/>
      <c r="T388" s="146"/>
      <c r="U388" s="146"/>
      <c r="V388" s="146"/>
      <c r="W388" s="146"/>
      <c r="X388" s="146"/>
      <c r="Y388" s="146"/>
      <c r="Z388" s="146"/>
      <c r="AA388" s="146"/>
      <c r="AB388" s="146"/>
      <c r="AC388" s="146"/>
      <c r="AD388" s="146"/>
      <c r="AE388" s="146"/>
      <c r="AF388" s="146"/>
      <c r="AG388" s="146"/>
      <c r="AH388" s="146"/>
      <c r="AI388" s="146"/>
      <c r="AJ388" s="146"/>
      <c r="AK388" s="147"/>
      <c r="AL388" s="146"/>
      <c r="AM388" s="146"/>
      <c r="AN388" s="146"/>
      <c r="AO388" s="146"/>
      <c r="AP388" s="146"/>
      <c r="AQ388" s="146"/>
      <c r="AR388" s="146"/>
      <c r="AS388" s="146"/>
      <c r="AT388" s="146"/>
      <c r="AU388" s="146"/>
      <c r="AV388" s="146"/>
      <c r="AW388" s="146"/>
      <c r="AX388" s="146"/>
      <c r="AY388" s="146"/>
      <c r="AZ388" s="146"/>
      <c r="BA388" s="146"/>
      <c r="BB388" s="146"/>
      <c r="BC388" s="146"/>
      <c r="BD388" s="146"/>
      <c r="BE388" s="146"/>
      <c r="BF388" s="146"/>
      <c r="BG388" s="146"/>
      <c r="BH388" s="146"/>
      <c r="BI388" s="148"/>
    </row>
    <row r="389" spans="2:61" ht="20.100000000000001" customHeight="1" x14ac:dyDescent="0.45">
      <c r="B389" s="137"/>
      <c r="C389" s="31"/>
      <c r="D389" s="31"/>
      <c r="E389" s="31"/>
      <c r="F389" s="31"/>
      <c r="G389" s="138"/>
      <c r="H389" s="142" t="s">
        <v>147</v>
      </c>
      <c r="I389" s="55"/>
      <c r="J389" s="139"/>
      <c r="K389" s="55" t="s">
        <v>210</v>
      </c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140"/>
      <c r="AL389" s="31"/>
      <c r="AM389" s="31"/>
      <c r="AN389" s="31"/>
      <c r="AO389" s="31"/>
      <c r="AP389" s="31"/>
      <c r="AQ389" s="31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55"/>
      <c r="BI389" s="144"/>
    </row>
    <row r="390" spans="2:61" ht="20.100000000000001" customHeight="1" x14ac:dyDescent="0.45">
      <c r="B390" s="137"/>
      <c r="C390" s="31"/>
      <c r="D390" s="31"/>
      <c r="E390" s="31"/>
      <c r="F390" s="31"/>
      <c r="G390" s="138"/>
      <c r="H390" s="139"/>
      <c r="I390" s="31"/>
      <c r="J390" s="139" t="s">
        <v>180</v>
      </c>
      <c r="K390" s="31" t="s">
        <v>220</v>
      </c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140" t="s">
        <v>192</v>
      </c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141"/>
    </row>
    <row r="391" spans="2:61" ht="20.100000000000001" customHeight="1" x14ac:dyDescent="0.45">
      <c r="B391" s="137"/>
      <c r="C391" s="31"/>
      <c r="D391" s="31"/>
      <c r="E391" s="31"/>
      <c r="F391" s="31"/>
      <c r="G391" s="138"/>
      <c r="H391" s="139"/>
      <c r="I391" s="31"/>
      <c r="J391" s="139" t="s">
        <v>180</v>
      </c>
      <c r="K391" s="31" t="s">
        <v>184</v>
      </c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139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141"/>
    </row>
    <row r="392" spans="2:61" ht="20.100000000000001" customHeight="1" x14ac:dyDescent="0.45">
      <c r="B392" s="137"/>
      <c r="C392" s="31"/>
      <c r="D392" s="31"/>
      <c r="E392" s="31"/>
      <c r="F392" s="31"/>
      <c r="G392" s="138"/>
      <c r="H392" s="139"/>
      <c r="I392" s="31"/>
      <c r="J392" s="139"/>
      <c r="K392" s="31"/>
      <c r="L392" s="31"/>
      <c r="M392" s="31" t="s">
        <v>215</v>
      </c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139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141"/>
    </row>
    <row r="393" spans="2:61" ht="20.100000000000001" customHeight="1" x14ac:dyDescent="0.45">
      <c r="B393" s="137"/>
      <c r="C393" s="31"/>
      <c r="D393" s="31"/>
      <c r="E393" s="31"/>
      <c r="F393" s="31"/>
      <c r="G393" s="138"/>
      <c r="H393" s="139"/>
      <c r="I393" s="31"/>
      <c r="J393" s="139"/>
      <c r="K393" s="31"/>
      <c r="L393" s="31" t="s">
        <v>186</v>
      </c>
      <c r="M393" s="31" t="s">
        <v>216</v>
      </c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139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141"/>
    </row>
    <row r="394" spans="2:61" ht="20.100000000000001" customHeight="1" x14ac:dyDescent="0.45">
      <c r="B394" s="137"/>
      <c r="C394" s="31"/>
      <c r="D394" s="31"/>
      <c r="E394" s="31"/>
      <c r="F394" s="31"/>
      <c r="G394" s="138"/>
      <c r="H394" s="139"/>
      <c r="I394" s="31"/>
      <c r="J394" s="139"/>
      <c r="K394" s="31" t="s">
        <v>187</v>
      </c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139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141"/>
    </row>
    <row r="395" spans="2:61" ht="20.100000000000001" customHeight="1" x14ac:dyDescent="0.45">
      <c r="B395" s="137"/>
      <c r="C395" s="31"/>
      <c r="D395" s="31"/>
      <c r="E395" s="31"/>
      <c r="F395" s="31"/>
      <c r="G395" s="138"/>
      <c r="H395" s="139"/>
      <c r="I395" s="31"/>
      <c r="J395" s="139" t="s">
        <v>180</v>
      </c>
      <c r="K395" s="31" t="s">
        <v>184</v>
      </c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139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141"/>
    </row>
    <row r="396" spans="2:61" ht="20.100000000000001" customHeight="1" x14ac:dyDescent="0.45">
      <c r="B396" s="137"/>
      <c r="C396" s="31"/>
      <c r="D396" s="31"/>
      <c r="E396" s="31"/>
      <c r="F396" s="31"/>
      <c r="G396" s="138"/>
      <c r="H396" s="139"/>
      <c r="I396" s="31"/>
      <c r="J396" s="139"/>
      <c r="K396" s="31"/>
      <c r="L396" s="31" t="s">
        <v>184</v>
      </c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139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141"/>
    </row>
    <row r="397" spans="2:61" ht="20.100000000000001" customHeight="1" x14ac:dyDescent="0.45">
      <c r="B397" s="137"/>
      <c r="C397" s="31"/>
      <c r="D397" s="31"/>
      <c r="E397" s="31"/>
      <c r="F397" s="31"/>
      <c r="G397" s="138"/>
      <c r="H397" s="139"/>
      <c r="I397" s="31"/>
      <c r="J397" s="139"/>
      <c r="K397" s="31"/>
      <c r="L397" s="31"/>
      <c r="M397" s="31"/>
      <c r="N397" s="31" t="s">
        <v>202</v>
      </c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139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141"/>
    </row>
    <row r="398" spans="2:61" ht="20.100000000000001" customHeight="1" x14ac:dyDescent="0.45">
      <c r="B398" s="137"/>
      <c r="C398" s="31"/>
      <c r="D398" s="31"/>
      <c r="E398" s="31"/>
      <c r="F398" s="31"/>
      <c r="G398" s="138"/>
      <c r="H398" s="139"/>
      <c r="I398" s="31"/>
      <c r="J398" s="139"/>
      <c r="K398" s="31"/>
      <c r="L398" s="31" t="s">
        <v>187</v>
      </c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139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141"/>
    </row>
    <row r="399" spans="2:61" ht="20.100000000000001" customHeight="1" x14ac:dyDescent="0.45">
      <c r="B399" s="137"/>
      <c r="C399" s="31"/>
      <c r="D399" s="31"/>
      <c r="E399" s="31"/>
      <c r="F399" s="31"/>
      <c r="G399" s="138"/>
      <c r="H399" s="139"/>
      <c r="I399" s="31"/>
      <c r="J399" s="139"/>
      <c r="K399" s="31" t="s">
        <v>186</v>
      </c>
      <c r="L399" s="31" t="s">
        <v>184</v>
      </c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139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141"/>
    </row>
    <row r="400" spans="2:61" ht="20.100000000000001" customHeight="1" x14ac:dyDescent="0.45">
      <c r="B400" s="137"/>
      <c r="C400" s="31"/>
      <c r="D400" s="31"/>
      <c r="E400" s="31"/>
      <c r="F400" s="31"/>
      <c r="G400" s="138"/>
      <c r="H400" s="139"/>
      <c r="I400" s="31"/>
      <c r="J400" s="139"/>
      <c r="K400" s="31"/>
      <c r="L400" s="31"/>
      <c r="M400" s="31"/>
      <c r="N400" s="31" t="s">
        <v>207</v>
      </c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139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141"/>
    </row>
    <row r="401" spans="2:61" ht="20.100000000000001" customHeight="1" x14ac:dyDescent="0.45">
      <c r="B401" s="137"/>
      <c r="C401" s="31"/>
      <c r="D401" s="31"/>
      <c r="E401" s="31"/>
      <c r="F401" s="31"/>
      <c r="G401" s="138"/>
      <c r="H401" s="139"/>
      <c r="I401" s="31"/>
      <c r="J401" s="139"/>
      <c r="K401" s="31"/>
      <c r="L401" s="31" t="s">
        <v>187</v>
      </c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139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141"/>
    </row>
    <row r="402" spans="2:61" ht="20.100000000000001" customHeight="1" thickBot="1" x14ac:dyDescent="0.5">
      <c r="B402" s="137"/>
      <c r="C402" s="31"/>
      <c r="D402" s="31"/>
      <c r="E402" s="31"/>
      <c r="F402" s="31"/>
      <c r="G402" s="138"/>
      <c r="H402" s="139"/>
      <c r="I402" s="31"/>
      <c r="J402" s="139"/>
      <c r="K402" s="31" t="s">
        <v>187</v>
      </c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139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141"/>
    </row>
    <row r="403" spans="2:61" ht="20.100000000000001" customHeight="1" x14ac:dyDescent="0.45">
      <c r="B403" s="131" t="s">
        <v>385</v>
      </c>
      <c r="C403" s="132"/>
      <c r="D403" s="132"/>
      <c r="E403" s="132"/>
      <c r="F403" s="132"/>
      <c r="G403" s="133"/>
      <c r="H403" s="134" t="s">
        <v>237</v>
      </c>
      <c r="I403" s="133"/>
      <c r="J403" s="173" t="s">
        <v>311</v>
      </c>
      <c r="K403" s="166"/>
      <c r="L403" s="166"/>
      <c r="M403" s="166"/>
      <c r="N403" s="166"/>
      <c r="O403" s="166"/>
      <c r="P403" s="166"/>
      <c r="Q403" s="166"/>
      <c r="R403" s="173" t="s">
        <v>310</v>
      </c>
      <c r="S403" s="166"/>
      <c r="T403" s="166"/>
      <c r="U403" s="166"/>
      <c r="V403" s="166"/>
      <c r="W403" s="166"/>
      <c r="X403" s="166"/>
      <c r="Y403" s="166"/>
      <c r="Z403" s="166"/>
      <c r="AA403" s="166"/>
      <c r="AB403" s="166"/>
      <c r="AC403" s="166"/>
      <c r="AD403" s="166"/>
      <c r="AE403" s="166"/>
      <c r="AF403" s="166"/>
      <c r="AG403" s="166"/>
      <c r="AH403" s="166"/>
      <c r="AI403" s="166"/>
      <c r="AJ403" s="167"/>
      <c r="AK403" s="135"/>
      <c r="AL403" s="132"/>
      <c r="AM403" s="132"/>
      <c r="AN403" s="132"/>
      <c r="AO403" s="132"/>
      <c r="AP403" s="132"/>
      <c r="AQ403" s="132"/>
      <c r="AR403" s="132"/>
      <c r="AS403" s="132"/>
      <c r="AT403" s="132"/>
      <c r="AU403" s="132"/>
      <c r="AV403" s="132"/>
      <c r="AW403" s="132"/>
      <c r="AX403" s="132"/>
      <c r="AY403" s="132"/>
      <c r="AZ403" s="132"/>
      <c r="BA403" s="132"/>
      <c r="BB403" s="132"/>
      <c r="BC403" s="132"/>
      <c r="BD403" s="132"/>
      <c r="BE403" s="132"/>
      <c r="BF403" s="132"/>
      <c r="BG403" s="132"/>
      <c r="BH403" s="132"/>
      <c r="BI403" s="136"/>
    </row>
    <row r="404" spans="2:61" ht="20.100000000000001" customHeight="1" x14ac:dyDescent="0.45">
      <c r="B404" s="168"/>
      <c r="C404" s="31"/>
      <c r="D404" s="31"/>
      <c r="E404" s="31"/>
      <c r="F404" s="31"/>
      <c r="G404" s="138"/>
      <c r="H404" s="139"/>
      <c r="I404" s="138"/>
      <c r="J404" s="169" t="s">
        <v>294</v>
      </c>
      <c r="K404" s="52"/>
      <c r="L404" s="52"/>
      <c r="M404" s="52"/>
      <c r="N404" s="52"/>
      <c r="O404" s="52"/>
      <c r="P404" s="52"/>
      <c r="Q404" s="52"/>
      <c r="R404" s="169" t="s">
        <v>355</v>
      </c>
      <c r="S404" s="52"/>
      <c r="T404" s="52"/>
      <c r="U404" s="52"/>
      <c r="V404" s="52"/>
      <c r="W404" s="52"/>
      <c r="X404" s="52"/>
      <c r="Y404" s="52"/>
      <c r="Z404" s="52"/>
      <c r="AA404" s="52"/>
      <c r="AB404" s="52"/>
      <c r="AC404" s="52"/>
      <c r="AD404" s="52"/>
      <c r="AE404" s="52"/>
      <c r="AF404" s="52"/>
      <c r="AG404" s="52"/>
      <c r="AH404" s="52"/>
      <c r="AI404" s="52"/>
      <c r="AJ404" s="170"/>
      <c r="AK404" s="140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141"/>
    </row>
    <row r="405" spans="2:61" ht="20.100000000000001" customHeight="1" x14ac:dyDescent="0.45">
      <c r="B405" s="168"/>
      <c r="C405" s="31"/>
      <c r="D405" s="31"/>
      <c r="E405" s="31"/>
      <c r="F405" s="31"/>
      <c r="G405" s="138"/>
      <c r="H405" s="139"/>
      <c r="I405" s="138"/>
      <c r="J405" s="169" t="s">
        <v>314</v>
      </c>
      <c r="K405" s="52"/>
      <c r="L405" s="52"/>
      <c r="M405" s="52"/>
      <c r="N405" s="52"/>
      <c r="O405" s="52"/>
      <c r="P405" s="52"/>
      <c r="Q405" s="52"/>
      <c r="R405" s="169" t="s">
        <v>356</v>
      </c>
      <c r="S405" s="52"/>
      <c r="T405" s="52"/>
      <c r="U405" s="52"/>
      <c r="V405" s="52"/>
      <c r="W405" s="52"/>
      <c r="X405" s="52"/>
      <c r="Y405" s="52"/>
      <c r="Z405" s="52"/>
      <c r="AA405" s="52"/>
      <c r="AB405" s="52"/>
      <c r="AC405" s="52"/>
      <c r="AD405" s="52"/>
      <c r="AE405" s="52"/>
      <c r="AF405" s="52"/>
      <c r="AG405" s="52"/>
      <c r="AH405" s="52"/>
      <c r="AI405" s="52"/>
      <c r="AJ405" s="170"/>
      <c r="AK405" s="140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141"/>
    </row>
    <row r="406" spans="2:61" ht="20.100000000000001" customHeight="1" x14ac:dyDescent="0.45">
      <c r="B406" s="168"/>
      <c r="C406" s="31"/>
      <c r="D406" s="31"/>
      <c r="E406" s="31"/>
      <c r="F406" s="31"/>
      <c r="G406" s="138"/>
      <c r="H406" s="139"/>
      <c r="I406" s="138"/>
      <c r="J406" s="169" t="s">
        <v>315</v>
      </c>
      <c r="K406" s="52"/>
      <c r="L406" s="52"/>
      <c r="M406" s="52"/>
      <c r="N406" s="52"/>
      <c r="O406" s="52"/>
      <c r="P406" s="52"/>
      <c r="Q406" s="52"/>
      <c r="R406" s="169">
        <v>1</v>
      </c>
      <c r="S406" s="52"/>
      <c r="T406" s="52"/>
      <c r="U406" s="52"/>
      <c r="V406" s="52"/>
      <c r="W406" s="52"/>
      <c r="X406" s="52"/>
      <c r="Y406" s="52"/>
      <c r="Z406" s="52"/>
      <c r="AA406" s="52"/>
      <c r="AB406" s="52"/>
      <c r="AC406" s="52"/>
      <c r="AD406" s="52"/>
      <c r="AE406" s="52"/>
      <c r="AF406" s="52"/>
      <c r="AG406" s="52"/>
      <c r="AH406" s="52"/>
      <c r="AI406" s="52"/>
      <c r="AJ406" s="170"/>
      <c r="AK406" s="140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141"/>
    </row>
    <row r="407" spans="2:61" ht="20.100000000000001" customHeight="1" x14ac:dyDescent="0.45">
      <c r="B407" s="168"/>
      <c r="C407" s="31"/>
      <c r="D407" s="31"/>
      <c r="E407" s="31"/>
      <c r="F407" s="31"/>
      <c r="G407" s="138"/>
      <c r="H407" s="139"/>
      <c r="I407" s="138"/>
      <c r="J407" s="169" t="s">
        <v>316</v>
      </c>
      <c r="K407" s="52"/>
      <c r="L407" s="52"/>
      <c r="M407" s="52"/>
      <c r="N407" s="52"/>
      <c r="O407" s="52"/>
      <c r="P407" s="52"/>
      <c r="Q407" s="52"/>
      <c r="R407" s="169" t="s">
        <v>357</v>
      </c>
      <c r="S407" s="52"/>
      <c r="T407" s="52"/>
      <c r="U407" s="52"/>
      <c r="V407" s="52"/>
      <c r="W407" s="52"/>
      <c r="X407" s="52"/>
      <c r="Y407" s="52"/>
      <c r="Z407" s="52"/>
      <c r="AA407" s="52"/>
      <c r="AB407" s="52"/>
      <c r="AC407" s="52"/>
      <c r="AD407" s="52"/>
      <c r="AE407" s="52"/>
      <c r="AF407" s="52"/>
      <c r="AG407" s="52"/>
      <c r="AH407" s="52"/>
      <c r="AI407" s="52"/>
      <c r="AJ407" s="170"/>
      <c r="AK407" s="140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141"/>
    </row>
    <row r="408" spans="2:61" ht="20.100000000000001" customHeight="1" x14ac:dyDescent="0.45">
      <c r="B408" s="168"/>
      <c r="C408" s="31"/>
      <c r="D408" s="31"/>
      <c r="E408" s="31"/>
      <c r="F408" s="31"/>
      <c r="G408" s="138"/>
      <c r="H408" s="139"/>
      <c r="I408" s="138"/>
      <c r="J408" s="169" t="s">
        <v>317</v>
      </c>
      <c r="K408" s="52"/>
      <c r="L408" s="52"/>
      <c r="M408" s="52"/>
      <c r="N408" s="52"/>
      <c r="O408" s="52"/>
      <c r="P408" s="52"/>
      <c r="Q408" s="52"/>
      <c r="R408" s="169" t="s">
        <v>357</v>
      </c>
      <c r="S408" s="52"/>
      <c r="T408" s="52"/>
      <c r="U408" s="52"/>
      <c r="V408" s="52"/>
      <c r="W408" s="52"/>
      <c r="X408" s="52"/>
      <c r="Y408" s="52"/>
      <c r="Z408" s="52"/>
      <c r="AA408" s="52"/>
      <c r="AB408" s="52"/>
      <c r="AC408" s="52"/>
      <c r="AD408" s="52"/>
      <c r="AE408" s="52"/>
      <c r="AF408" s="52"/>
      <c r="AG408" s="52"/>
      <c r="AH408" s="52"/>
      <c r="AI408" s="52"/>
      <c r="AJ408" s="170"/>
      <c r="AK408" s="140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141"/>
    </row>
    <row r="409" spans="2:61" ht="20.100000000000001" customHeight="1" x14ac:dyDescent="0.45">
      <c r="B409" s="168"/>
      <c r="C409" s="31"/>
      <c r="D409" s="31"/>
      <c r="E409" s="31"/>
      <c r="F409" s="31"/>
      <c r="G409" s="138"/>
      <c r="H409" s="139"/>
      <c r="I409" s="138"/>
      <c r="J409" s="169" t="s">
        <v>318</v>
      </c>
      <c r="K409" s="52"/>
      <c r="L409" s="52"/>
      <c r="M409" s="52"/>
      <c r="N409" s="52"/>
      <c r="O409" s="52"/>
      <c r="P409" s="52"/>
      <c r="Q409" s="52"/>
      <c r="R409" s="169" t="s">
        <v>357</v>
      </c>
      <c r="S409" s="52"/>
      <c r="T409" s="52"/>
      <c r="U409" s="52"/>
      <c r="V409" s="52"/>
      <c r="W409" s="52"/>
      <c r="X409" s="52"/>
      <c r="Y409" s="52"/>
      <c r="Z409" s="52"/>
      <c r="AA409" s="52"/>
      <c r="AB409" s="52"/>
      <c r="AC409" s="52"/>
      <c r="AD409" s="52"/>
      <c r="AE409" s="52"/>
      <c r="AF409" s="52"/>
      <c r="AG409" s="52"/>
      <c r="AH409" s="52"/>
      <c r="AI409" s="52"/>
      <c r="AJ409" s="170"/>
      <c r="AK409" s="140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141"/>
    </row>
    <row r="410" spans="2:61" ht="20.100000000000001" customHeight="1" x14ac:dyDescent="0.45">
      <c r="B410" s="168"/>
      <c r="C410" s="31"/>
      <c r="D410" s="31"/>
      <c r="E410" s="31"/>
      <c r="F410" s="31"/>
      <c r="G410" s="138"/>
      <c r="H410" s="139"/>
      <c r="I410" s="138"/>
      <c r="J410" s="169" t="s">
        <v>319</v>
      </c>
      <c r="K410" s="52"/>
      <c r="L410" s="52"/>
      <c r="M410" s="52"/>
      <c r="N410" s="52"/>
      <c r="O410" s="52"/>
      <c r="P410" s="52"/>
      <c r="Q410" s="52"/>
      <c r="R410" s="169" t="s">
        <v>357</v>
      </c>
      <c r="S410" s="52"/>
      <c r="T410" s="52"/>
      <c r="U410" s="52"/>
      <c r="V410" s="52"/>
      <c r="W410" s="52"/>
      <c r="X410" s="52"/>
      <c r="Y410" s="52"/>
      <c r="Z410" s="52"/>
      <c r="AA410" s="52"/>
      <c r="AB410" s="52"/>
      <c r="AC410" s="52"/>
      <c r="AD410" s="52"/>
      <c r="AE410" s="52"/>
      <c r="AF410" s="52"/>
      <c r="AG410" s="52"/>
      <c r="AH410" s="52"/>
      <c r="AI410" s="52"/>
      <c r="AJ410" s="170"/>
      <c r="AK410" s="140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141"/>
    </row>
    <row r="411" spans="2:61" ht="20.100000000000001" customHeight="1" x14ac:dyDescent="0.45">
      <c r="B411" s="168"/>
      <c r="C411" s="31"/>
      <c r="D411" s="31"/>
      <c r="E411" s="31"/>
      <c r="F411" s="31"/>
      <c r="G411" s="138"/>
      <c r="H411" s="139"/>
      <c r="I411" s="138"/>
      <c r="J411" s="169" t="s">
        <v>320</v>
      </c>
      <c r="K411" s="52"/>
      <c r="L411" s="52"/>
      <c r="M411" s="52"/>
      <c r="N411" s="52"/>
      <c r="O411" s="52"/>
      <c r="P411" s="52"/>
      <c r="Q411" s="52"/>
      <c r="R411" s="169" t="s">
        <v>356</v>
      </c>
      <c r="S411" s="52"/>
      <c r="T411" s="52"/>
      <c r="U411" s="52"/>
      <c r="V411" s="52"/>
      <c r="W411" s="52"/>
      <c r="X411" s="52"/>
      <c r="Y411" s="52"/>
      <c r="Z411" s="52"/>
      <c r="AA411" s="52"/>
      <c r="AB411" s="52"/>
      <c r="AC411" s="52"/>
      <c r="AD411" s="52"/>
      <c r="AE411" s="52"/>
      <c r="AF411" s="52"/>
      <c r="AG411" s="52"/>
      <c r="AH411" s="52"/>
      <c r="AI411" s="52"/>
      <c r="AJ411" s="170"/>
      <c r="AK411" s="140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141"/>
    </row>
    <row r="412" spans="2:61" ht="20.100000000000001" customHeight="1" x14ac:dyDescent="0.45">
      <c r="B412" s="168"/>
      <c r="C412" s="31"/>
      <c r="D412" s="31"/>
      <c r="E412" s="31"/>
      <c r="F412" s="31"/>
      <c r="G412" s="138"/>
      <c r="H412" s="139"/>
      <c r="I412" s="138"/>
      <c r="J412" s="169" t="s">
        <v>321</v>
      </c>
      <c r="K412" s="52"/>
      <c r="L412" s="52"/>
      <c r="M412" s="52"/>
      <c r="N412" s="52"/>
      <c r="O412" s="52"/>
      <c r="P412" s="52"/>
      <c r="Q412" s="52"/>
      <c r="R412" s="169">
        <v>0</v>
      </c>
      <c r="S412" s="52"/>
      <c r="T412" s="52"/>
      <c r="U412" s="52"/>
      <c r="V412" s="52"/>
      <c r="W412" s="52"/>
      <c r="X412" s="52"/>
      <c r="Y412" s="52"/>
      <c r="Z412" s="52"/>
      <c r="AA412" s="52"/>
      <c r="AB412" s="52"/>
      <c r="AC412" s="52"/>
      <c r="AD412" s="52"/>
      <c r="AE412" s="52"/>
      <c r="AF412" s="52"/>
      <c r="AG412" s="52"/>
      <c r="AH412" s="52"/>
      <c r="AI412" s="52"/>
      <c r="AJ412" s="170"/>
      <c r="AK412" s="140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141"/>
    </row>
    <row r="413" spans="2:61" ht="20.100000000000001" customHeight="1" x14ac:dyDescent="0.45">
      <c r="B413" s="168"/>
      <c r="C413" s="31"/>
      <c r="D413" s="31"/>
      <c r="E413" s="31"/>
      <c r="F413" s="31"/>
      <c r="G413" s="138"/>
      <c r="H413" s="139"/>
      <c r="I413" s="138"/>
      <c r="J413" s="169" t="s">
        <v>322</v>
      </c>
      <c r="K413" s="52"/>
      <c r="L413" s="52"/>
      <c r="M413" s="52"/>
      <c r="N413" s="52"/>
      <c r="O413" s="52"/>
      <c r="P413" s="52"/>
      <c r="Q413" s="52"/>
      <c r="R413" s="169">
        <v>0</v>
      </c>
      <c r="S413" s="52"/>
      <c r="T413" s="52"/>
      <c r="U413" s="52"/>
      <c r="V413" s="52"/>
      <c r="W413" s="52"/>
      <c r="X413" s="52"/>
      <c r="Y413" s="52"/>
      <c r="Z413" s="52"/>
      <c r="AA413" s="52"/>
      <c r="AB413" s="52"/>
      <c r="AC413" s="52"/>
      <c r="AD413" s="52"/>
      <c r="AE413" s="52"/>
      <c r="AF413" s="52"/>
      <c r="AG413" s="52"/>
      <c r="AH413" s="52"/>
      <c r="AI413" s="52"/>
      <c r="AJ413" s="170"/>
      <c r="AK413" s="140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141"/>
    </row>
    <row r="414" spans="2:61" ht="20.100000000000001" customHeight="1" x14ac:dyDescent="0.45">
      <c r="B414" s="168"/>
      <c r="C414" s="31"/>
      <c r="D414" s="31"/>
      <c r="E414" s="31"/>
      <c r="F414" s="31"/>
      <c r="G414" s="138"/>
      <c r="H414" s="139"/>
      <c r="I414" s="138"/>
      <c r="J414" s="169" t="s">
        <v>323</v>
      </c>
      <c r="K414" s="52"/>
      <c r="L414" s="52"/>
      <c r="M414" s="52"/>
      <c r="N414" s="52"/>
      <c r="O414" s="52"/>
      <c r="P414" s="52"/>
      <c r="Q414" s="52"/>
      <c r="R414" s="169">
        <v>0</v>
      </c>
      <c r="S414" s="52"/>
      <c r="T414" s="52"/>
      <c r="U414" s="52"/>
      <c r="V414" s="52"/>
      <c r="W414" s="52"/>
      <c r="X414" s="52"/>
      <c r="Y414" s="52"/>
      <c r="Z414" s="52"/>
      <c r="AA414" s="52"/>
      <c r="AB414" s="52"/>
      <c r="AC414" s="52"/>
      <c r="AD414" s="52"/>
      <c r="AE414" s="52"/>
      <c r="AF414" s="52"/>
      <c r="AG414" s="52"/>
      <c r="AH414" s="52"/>
      <c r="AI414" s="52"/>
      <c r="AJ414" s="170"/>
      <c r="AK414" s="140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141"/>
    </row>
    <row r="415" spans="2:61" ht="20.100000000000001" customHeight="1" x14ac:dyDescent="0.45">
      <c r="B415" s="168"/>
      <c r="C415" s="31"/>
      <c r="D415" s="31"/>
      <c r="E415" s="31"/>
      <c r="F415" s="31"/>
      <c r="G415" s="138"/>
      <c r="H415" s="139"/>
      <c r="I415" s="138"/>
      <c r="J415" s="169" t="s">
        <v>324</v>
      </c>
      <c r="K415" s="52"/>
      <c r="L415" s="52"/>
      <c r="M415" s="52"/>
      <c r="N415" s="52"/>
      <c r="O415" s="52"/>
      <c r="P415" s="52"/>
      <c r="Q415" s="52"/>
      <c r="R415" s="169">
        <v>0</v>
      </c>
      <c r="S415" s="52"/>
      <c r="T415" s="52"/>
      <c r="U415" s="52"/>
      <c r="V415" s="52"/>
      <c r="W415" s="52"/>
      <c r="X415" s="52"/>
      <c r="Y415" s="52"/>
      <c r="Z415" s="52"/>
      <c r="AA415" s="52"/>
      <c r="AB415" s="52"/>
      <c r="AC415" s="52"/>
      <c r="AD415" s="52"/>
      <c r="AE415" s="52"/>
      <c r="AF415" s="52"/>
      <c r="AG415" s="52"/>
      <c r="AH415" s="52"/>
      <c r="AI415" s="52"/>
      <c r="AJ415" s="170"/>
      <c r="AK415" s="140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141"/>
    </row>
    <row r="416" spans="2:61" ht="20.100000000000001" customHeight="1" x14ac:dyDescent="0.45">
      <c r="B416" s="168"/>
      <c r="C416" s="31"/>
      <c r="D416" s="31"/>
      <c r="E416" s="31"/>
      <c r="F416" s="31"/>
      <c r="G416" s="138"/>
      <c r="H416" s="139"/>
      <c r="I416" s="138"/>
      <c r="J416" s="169" t="s">
        <v>325</v>
      </c>
      <c r="K416" s="52"/>
      <c r="L416" s="52"/>
      <c r="M416" s="52"/>
      <c r="N416" s="52"/>
      <c r="O416" s="52"/>
      <c r="P416" s="52"/>
      <c r="Q416" s="52"/>
      <c r="R416" s="169">
        <v>0</v>
      </c>
      <c r="S416" s="52"/>
      <c r="T416" s="52"/>
      <c r="U416" s="52"/>
      <c r="V416" s="52"/>
      <c r="W416" s="52"/>
      <c r="X416" s="52"/>
      <c r="Y416" s="52"/>
      <c r="Z416" s="52"/>
      <c r="AA416" s="52"/>
      <c r="AB416" s="52"/>
      <c r="AC416" s="52"/>
      <c r="AD416" s="52"/>
      <c r="AE416" s="52"/>
      <c r="AF416" s="52"/>
      <c r="AG416" s="52"/>
      <c r="AH416" s="52"/>
      <c r="AI416" s="52"/>
      <c r="AJ416" s="170"/>
      <c r="AK416" s="140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141"/>
    </row>
    <row r="417" spans="2:61" ht="20.100000000000001" customHeight="1" x14ac:dyDescent="0.45">
      <c r="B417" s="168"/>
      <c r="C417" s="31"/>
      <c r="D417" s="31"/>
      <c r="E417" s="31"/>
      <c r="F417" s="31"/>
      <c r="G417" s="138"/>
      <c r="H417" s="139"/>
      <c r="I417" s="138"/>
      <c r="J417" s="169" t="s">
        <v>326</v>
      </c>
      <c r="K417" s="52"/>
      <c r="L417" s="52"/>
      <c r="M417" s="52"/>
      <c r="N417" s="52"/>
      <c r="O417" s="52"/>
      <c r="P417" s="52"/>
      <c r="Q417" s="52"/>
      <c r="R417" s="169">
        <v>0</v>
      </c>
      <c r="S417" s="52"/>
      <c r="T417" s="52"/>
      <c r="U417" s="52"/>
      <c r="V417" s="52"/>
      <c r="W417" s="52"/>
      <c r="X417" s="52"/>
      <c r="Y417" s="52"/>
      <c r="Z417" s="52"/>
      <c r="AA417" s="52"/>
      <c r="AB417" s="52"/>
      <c r="AC417" s="52"/>
      <c r="AD417" s="52"/>
      <c r="AE417" s="52"/>
      <c r="AF417" s="52"/>
      <c r="AG417" s="52"/>
      <c r="AH417" s="52"/>
      <c r="AI417" s="52"/>
      <c r="AJ417" s="170"/>
      <c r="AK417" s="140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141"/>
    </row>
    <row r="418" spans="2:61" ht="20.100000000000001" customHeight="1" x14ac:dyDescent="0.45">
      <c r="B418" s="168"/>
      <c r="C418" s="31"/>
      <c r="D418" s="31"/>
      <c r="E418" s="31"/>
      <c r="F418" s="31"/>
      <c r="G418" s="138"/>
      <c r="H418" s="139"/>
      <c r="I418" s="138"/>
      <c r="J418" s="169" t="s">
        <v>327</v>
      </c>
      <c r="K418" s="52"/>
      <c r="L418" s="52"/>
      <c r="M418" s="52"/>
      <c r="N418" s="52"/>
      <c r="O418" s="52"/>
      <c r="P418" s="52"/>
      <c r="Q418" s="52"/>
      <c r="R418" s="169">
        <v>0</v>
      </c>
      <c r="S418" s="52"/>
      <c r="T418" s="52"/>
      <c r="U418" s="52"/>
      <c r="V418" s="52"/>
      <c r="W418" s="52"/>
      <c r="X418" s="52"/>
      <c r="Y418" s="52"/>
      <c r="Z418" s="52"/>
      <c r="AA418" s="52"/>
      <c r="AB418" s="52"/>
      <c r="AC418" s="52"/>
      <c r="AD418" s="52"/>
      <c r="AE418" s="52"/>
      <c r="AF418" s="52"/>
      <c r="AG418" s="52"/>
      <c r="AH418" s="52"/>
      <c r="AI418" s="52"/>
      <c r="AJ418" s="170"/>
      <c r="AK418" s="140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141"/>
    </row>
    <row r="419" spans="2:61" ht="20.100000000000001" customHeight="1" x14ac:dyDescent="0.45">
      <c r="B419" s="168"/>
      <c r="C419" s="31"/>
      <c r="D419" s="31"/>
      <c r="E419" s="31"/>
      <c r="F419" s="31"/>
      <c r="G419" s="138"/>
      <c r="H419" s="139"/>
      <c r="I419" s="138"/>
      <c r="J419" s="169" t="s">
        <v>296</v>
      </c>
      <c r="K419" s="52"/>
      <c r="L419" s="52"/>
      <c r="M419" s="52"/>
      <c r="N419" s="52"/>
      <c r="O419" s="52"/>
      <c r="P419" s="52"/>
      <c r="Q419" s="52"/>
      <c r="R419" s="169">
        <v>0</v>
      </c>
      <c r="S419" s="52"/>
      <c r="T419" s="52"/>
      <c r="U419" s="52"/>
      <c r="V419" s="52"/>
      <c r="W419" s="52"/>
      <c r="X419" s="52"/>
      <c r="Y419" s="52"/>
      <c r="Z419" s="52"/>
      <c r="AA419" s="52"/>
      <c r="AB419" s="52"/>
      <c r="AC419" s="52"/>
      <c r="AD419" s="52"/>
      <c r="AE419" s="52"/>
      <c r="AF419" s="52"/>
      <c r="AG419" s="52"/>
      <c r="AH419" s="52"/>
      <c r="AI419" s="52"/>
      <c r="AJ419" s="170"/>
      <c r="AK419" s="140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141"/>
    </row>
    <row r="420" spans="2:61" ht="20.100000000000001" customHeight="1" x14ac:dyDescent="0.45">
      <c r="B420" s="168"/>
      <c r="C420" s="31"/>
      <c r="D420" s="31"/>
      <c r="E420" s="31"/>
      <c r="F420" s="31"/>
      <c r="G420" s="138"/>
      <c r="H420" s="139"/>
      <c r="I420" s="138"/>
      <c r="J420" s="169" t="s">
        <v>328</v>
      </c>
      <c r="K420" s="52"/>
      <c r="L420" s="52"/>
      <c r="M420" s="52"/>
      <c r="N420" s="52"/>
      <c r="O420" s="52"/>
      <c r="P420" s="52"/>
      <c r="Q420" s="52"/>
      <c r="R420" s="169" t="s">
        <v>357</v>
      </c>
      <c r="S420" s="52"/>
      <c r="T420" s="52"/>
      <c r="U420" s="52"/>
      <c r="V420" s="52"/>
      <c r="W420" s="52"/>
      <c r="X420" s="52"/>
      <c r="Y420" s="52"/>
      <c r="Z420" s="52"/>
      <c r="AA420" s="52"/>
      <c r="AB420" s="52"/>
      <c r="AC420" s="52"/>
      <c r="AD420" s="52"/>
      <c r="AE420" s="52"/>
      <c r="AF420" s="52"/>
      <c r="AG420" s="52"/>
      <c r="AH420" s="52"/>
      <c r="AI420" s="52"/>
      <c r="AJ420" s="170"/>
      <c r="AK420" s="140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141"/>
    </row>
    <row r="421" spans="2:61" ht="20.100000000000001" customHeight="1" x14ac:dyDescent="0.45">
      <c r="B421" s="168"/>
      <c r="C421" s="31"/>
      <c r="D421" s="31"/>
      <c r="E421" s="31"/>
      <c r="F421" s="31"/>
      <c r="G421" s="138"/>
      <c r="H421" s="139"/>
      <c r="I421" s="138"/>
      <c r="J421" s="169" t="s">
        <v>329</v>
      </c>
      <c r="K421" s="52"/>
      <c r="L421" s="52"/>
      <c r="M421" s="52"/>
      <c r="N421" s="52"/>
      <c r="O421" s="52"/>
      <c r="P421" s="52"/>
      <c r="Q421" s="52"/>
      <c r="R421" s="169" t="s">
        <v>297</v>
      </c>
      <c r="S421" s="52"/>
      <c r="T421" s="52"/>
      <c r="U421" s="52"/>
      <c r="V421" s="52"/>
      <c r="W421" s="52"/>
      <c r="X421" s="52"/>
      <c r="Y421" s="52"/>
      <c r="Z421" s="52"/>
      <c r="AA421" s="52"/>
      <c r="AB421" s="52"/>
      <c r="AC421" s="52"/>
      <c r="AD421" s="52"/>
      <c r="AE421" s="52"/>
      <c r="AF421" s="52"/>
      <c r="AG421" s="52"/>
      <c r="AH421" s="52"/>
      <c r="AI421" s="52"/>
      <c r="AJ421" s="170"/>
      <c r="AK421" s="140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141"/>
    </row>
    <row r="422" spans="2:61" ht="20.100000000000001" customHeight="1" x14ac:dyDescent="0.45">
      <c r="B422" s="168"/>
      <c r="C422" s="31"/>
      <c r="D422" s="31"/>
      <c r="E422" s="31"/>
      <c r="F422" s="31"/>
      <c r="G422" s="138"/>
      <c r="H422" s="139"/>
      <c r="I422" s="138"/>
      <c r="J422" s="169" t="s">
        <v>298</v>
      </c>
      <c r="K422" s="52"/>
      <c r="L422" s="52"/>
      <c r="M422" s="52"/>
      <c r="N422" s="52"/>
      <c r="O422" s="52"/>
      <c r="P422" s="52"/>
      <c r="Q422" s="52"/>
      <c r="R422" s="176" t="s">
        <v>297</v>
      </c>
      <c r="S422" s="52"/>
      <c r="T422" s="52"/>
      <c r="U422" s="52"/>
      <c r="V422" s="52"/>
      <c r="W422" s="52"/>
      <c r="X422" s="52"/>
      <c r="Y422" s="52"/>
      <c r="Z422" s="52"/>
      <c r="AA422" s="52"/>
      <c r="AB422" s="52"/>
      <c r="AC422" s="52"/>
      <c r="AD422" s="52"/>
      <c r="AE422" s="52"/>
      <c r="AF422" s="52"/>
      <c r="AG422" s="52"/>
      <c r="AH422" s="52"/>
      <c r="AI422" s="52"/>
      <c r="AJ422" s="170"/>
      <c r="AK422" s="140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141"/>
    </row>
    <row r="423" spans="2:61" ht="20.100000000000001" customHeight="1" x14ac:dyDescent="0.45">
      <c r="B423" s="168"/>
      <c r="C423" s="31"/>
      <c r="D423" s="31"/>
      <c r="E423" s="31"/>
      <c r="F423" s="31"/>
      <c r="G423" s="138"/>
      <c r="H423" s="139"/>
      <c r="I423" s="138"/>
      <c r="J423" s="169" t="s">
        <v>330</v>
      </c>
      <c r="K423" s="52"/>
      <c r="L423" s="52"/>
      <c r="M423" s="52"/>
      <c r="N423" s="52"/>
      <c r="O423" s="52"/>
      <c r="P423" s="52"/>
      <c r="Q423" s="52"/>
      <c r="R423" s="169" t="s">
        <v>357</v>
      </c>
      <c r="S423" s="52"/>
      <c r="T423" s="52"/>
      <c r="U423" s="52"/>
      <c r="V423" s="52"/>
      <c r="W423" s="52"/>
      <c r="X423" s="52"/>
      <c r="Y423" s="52"/>
      <c r="Z423" s="52"/>
      <c r="AA423" s="52"/>
      <c r="AB423" s="52"/>
      <c r="AC423" s="52"/>
      <c r="AD423" s="52"/>
      <c r="AE423" s="52"/>
      <c r="AF423" s="52"/>
      <c r="AG423" s="52"/>
      <c r="AH423" s="52"/>
      <c r="AI423" s="52"/>
      <c r="AJ423" s="170"/>
      <c r="AK423" s="140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141"/>
    </row>
    <row r="424" spans="2:61" ht="20.100000000000001" customHeight="1" x14ac:dyDescent="0.45">
      <c r="B424" s="168"/>
      <c r="C424" s="31"/>
      <c r="D424" s="31"/>
      <c r="E424" s="31"/>
      <c r="F424" s="31"/>
      <c r="G424" s="138"/>
      <c r="H424" s="139"/>
      <c r="I424" s="138"/>
      <c r="J424" s="169" t="s">
        <v>301</v>
      </c>
      <c r="K424" s="52"/>
      <c r="L424" s="52"/>
      <c r="M424" s="52"/>
      <c r="N424" s="52"/>
      <c r="O424" s="52"/>
      <c r="P424" s="52"/>
      <c r="Q424" s="52"/>
      <c r="R424" s="169" t="s">
        <v>357</v>
      </c>
      <c r="S424" s="52"/>
      <c r="T424" s="52"/>
      <c r="U424" s="52"/>
      <c r="V424" s="52"/>
      <c r="W424" s="52"/>
      <c r="X424" s="52"/>
      <c r="Y424" s="52"/>
      <c r="Z424" s="52"/>
      <c r="AA424" s="52"/>
      <c r="AB424" s="52"/>
      <c r="AC424" s="52"/>
      <c r="AD424" s="52"/>
      <c r="AE424" s="52"/>
      <c r="AF424" s="52"/>
      <c r="AG424" s="52"/>
      <c r="AH424" s="52"/>
      <c r="AI424" s="52"/>
      <c r="AJ424" s="170"/>
      <c r="AK424" s="140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141"/>
    </row>
    <row r="425" spans="2:61" ht="20.100000000000001" customHeight="1" x14ac:dyDescent="0.45">
      <c r="B425" s="168"/>
      <c r="C425" s="31"/>
      <c r="D425" s="31"/>
      <c r="E425" s="31"/>
      <c r="F425" s="31"/>
      <c r="G425" s="138"/>
      <c r="H425" s="139"/>
      <c r="I425" s="138"/>
      <c r="J425" s="169" t="s">
        <v>331</v>
      </c>
      <c r="K425" s="52"/>
      <c r="L425" s="52"/>
      <c r="M425" s="52"/>
      <c r="N425" s="52"/>
      <c r="O425" s="52"/>
      <c r="P425" s="52"/>
      <c r="Q425" s="52"/>
      <c r="R425" s="169">
        <v>0</v>
      </c>
      <c r="S425" s="52"/>
      <c r="T425" s="52"/>
      <c r="U425" s="52"/>
      <c r="V425" s="52"/>
      <c r="W425" s="52"/>
      <c r="X425" s="52"/>
      <c r="Y425" s="52"/>
      <c r="Z425" s="52"/>
      <c r="AA425" s="52"/>
      <c r="AB425" s="52"/>
      <c r="AC425" s="52"/>
      <c r="AD425" s="52"/>
      <c r="AE425" s="52"/>
      <c r="AF425" s="52"/>
      <c r="AG425" s="52"/>
      <c r="AH425" s="52"/>
      <c r="AI425" s="52"/>
      <c r="AJ425" s="170"/>
      <c r="AK425" s="140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141"/>
    </row>
    <row r="426" spans="2:61" ht="20.100000000000001" customHeight="1" x14ac:dyDescent="0.45">
      <c r="B426" s="168"/>
      <c r="C426" s="31"/>
      <c r="D426" s="31"/>
      <c r="E426" s="31"/>
      <c r="F426" s="31"/>
      <c r="G426" s="138"/>
      <c r="H426" s="139"/>
      <c r="I426" s="138"/>
      <c r="J426" s="169" t="s">
        <v>302</v>
      </c>
      <c r="K426" s="52"/>
      <c r="L426" s="52"/>
      <c r="M426" s="52"/>
      <c r="N426" s="52"/>
      <c r="O426" s="52"/>
      <c r="P426" s="52"/>
      <c r="Q426" s="52"/>
      <c r="R426" s="176">
        <v>0</v>
      </c>
      <c r="S426" s="52"/>
      <c r="T426" s="52"/>
      <c r="U426" s="52"/>
      <c r="V426" s="52"/>
      <c r="W426" s="52"/>
      <c r="X426" s="52"/>
      <c r="Y426" s="52"/>
      <c r="Z426" s="52"/>
      <c r="AA426" s="52"/>
      <c r="AB426" s="52"/>
      <c r="AC426" s="52"/>
      <c r="AD426" s="52"/>
      <c r="AE426" s="52"/>
      <c r="AF426" s="52"/>
      <c r="AG426" s="52"/>
      <c r="AH426" s="52"/>
      <c r="AI426" s="52"/>
      <c r="AJ426" s="170"/>
      <c r="AK426" s="140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141"/>
    </row>
    <row r="427" spans="2:61" ht="20.100000000000001" customHeight="1" x14ac:dyDescent="0.45">
      <c r="B427" s="168"/>
      <c r="C427" s="31"/>
      <c r="D427" s="31"/>
      <c r="E427" s="31"/>
      <c r="F427" s="31"/>
      <c r="G427" s="138"/>
      <c r="H427" s="139"/>
      <c r="I427" s="138"/>
      <c r="J427" s="169" t="s">
        <v>307</v>
      </c>
      <c r="K427" s="52"/>
      <c r="L427" s="52"/>
      <c r="M427" s="52"/>
      <c r="N427" s="52"/>
      <c r="O427" s="52"/>
      <c r="P427" s="52"/>
      <c r="Q427" s="52"/>
      <c r="R427" s="169">
        <v>0</v>
      </c>
      <c r="S427" s="52"/>
      <c r="T427" s="52"/>
      <c r="U427" s="52"/>
      <c r="V427" s="52"/>
      <c r="W427" s="52"/>
      <c r="X427" s="52"/>
      <c r="Y427" s="52"/>
      <c r="Z427" s="52"/>
      <c r="AA427" s="52"/>
      <c r="AB427" s="52"/>
      <c r="AC427" s="52"/>
      <c r="AD427" s="52"/>
      <c r="AE427" s="52"/>
      <c r="AF427" s="52"/>
      <c r="AG427" s="52"/>
      <c r="AH427" s="52"/>
      <c r="AI427" s="52"/>
      <c r="AJ427" s="170"/>
      <c r="AK427" s="140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141"/>
    </row>
    <row r="428" spans="2:61" ht="20.100000000000001" customHeight="1" x14ac:dyDescent="0.45">
      <c r="B428" s="168"/>
      <c r="C428" s="31"/>
      <c r="D428" s="31"/>
      <c r="E428" s="31"/>
      <c r="F428" s="31"/>
      <c r="G428" s="138"/>
      <c r="H428" s="139"/>
      <c r="I428" s="138"/>
      <c r="J428" s="169" t="s">
        <v>309</v>
      </c>
      <c r="K428" s="52"/>
      <c r="L428" s="52"/>
      <c r="M428" s="52"/>
      <c r="N428" s="52"/>
      <c r="O428" s="52"/>
      <c r="P428" s="52"/>
      <c r="Q428" s="52"/>
      <c r="R428" s="169">
        <v>0</v>
      </c>
      <c r="S428" s="52"/>
      <c r="T428" s="52"/>
      <c r="U428" s="52"/>
      <c r="V428" s="52"/>
      <c r="W428" s="52"/>
      <c r="X428" s="52"/>
      <c r="Y428" s="52"/>
      <c r="Z428" s="52"/>
      <c r="AA428" s="52"/>
      <c r="AB428" s="52"/>
      <c r="AC428" s="52"/>
      <c r="AD428" s="52"/>
      <c r="AE428" s="52"/>
      <c r="AF428" s="52"/>
      <c r="AG428" s="52"/>
      <c r="AH428" s="52"/>
      <c r="AI428" s="52"/>
      <c r="AJ428" s="170"/>
      <c r="AK428" s="140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141"/>
    </row>
    <row r="429" spans="2:61" ht="20.100000000000001" customHeight="1" x14ac:dyDescent="0.45">
      <c r="B429" s="168"/>
      <c r="C429" s="31"/>
      <c r="D429" s="31"/>
      <c r="E429" s="31"/>
      <c r="F429" s="31"/>
      <c r="G429" s="138"/>
      <c r="H429" s="139"/>
      <c r="I429" s="138"/>
      <c r="J429" s="169" t="s">
        <v>333</v>
      </c>
      <c r="K429" s="52"/>
      <c r="L429" s="52"/>
      <c r="M429" s="52"/>
      <c r="N429" s="52"/>
      <c r="O429" s="52"/>
      <c r="P429" s="52"/>
      <c r="Q429" s="52"/>
      <c r="R429" s="169" t="s">
        <v>357</v>
      </c>
      <c r="S429" s="52"/>
      <c r="T429" s="52"/>
      <c r="U429" s="52"/>
      <c r="V429" s="52"/>
      <c r="W429" s="52"/>
      <c r="X429" s="52"/>
      <c r="Y429" s="52"/>
      <c r="Z429" s="52"/>
      <c r="AA429" s="52"/>
      <c r="AB429" s="52"/>
      <c r="AC429" s="52"/>
      <c r="AD429" s="52"/>
      <c r="AE429" s="52"/>
      <c r="AF429" s="52"/>
      <c r="AG429" s="52"/>
      <c r="AH429" s="52"/>
      <c r="AI429" s="52"/>
      <c r="AJ429" s="170"/>
      <c r="AK429" s="140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141"/>
    </row>
    <row r="430" spans="2:61" ht="20.100000000000001" customHeight="1" x14ac:dyDescent="0.45">
      <c r="B430" s="168"/>
      <c r="C430" s="31"/>
      <c r="D430" s="31"/>
      <c r="E430" s="31"/>
      <c r="F430" s="31"/>
      <c r="G430" s="138"/>
      <c r="H430" s="139"/>
      <c r="I430" s="138"/>
      <c r="J430" s="169" t="s">
        <v>305</v>
      </c>
      <c r="K430" s="52"/>
      <c r="L430" s="52"/>
      <c r="M430" s="52"/>
      <c r="N430" s="52"/>
      <c r="O430" s="52"/>
      <c r="P430" s="52"/>
      <c r="Q430" s="52"/>
      <c r="R430" s="169" t="s">
        <v>357</v>
      </c>
      <c r="S430" s="52"/>
      <c r="T430" s="52"/>
      <c r="U430" s="52"/>
      <c r="V430" s="52"/>
      <c r="W430" s="52"/>
      <c r="X430" s="52"/>
      <c r="Y430" s="52"/>
      <c r="Z430" s="52"/>
      <c r="AA430" s="52"/>
      <c r="AB430" s="52"/>
      <c r="AC430" s="52"/>
      <c r="AD430" s="52"/>
      <c r="AE430" s="52"/>
      <c r="AF430" s="52"/>
      <c r="AG430" s="52"/>
      <c r="AH430" s="52"/>
      <c r="AI430" s="52"/>
      <c r="AJ430" s="170"/>
      <c r="AK430" s="140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141"/>
    </row>
    <row r="431" spans="2:61" ht="20.100000000000001" customHeight="1" x14ac:dyDescent="0.45">
      <c r="B431" s="168"/>
      <c r="C431" s="31"/>
      <c r="D431" s="31"/>
      <c r="E431" s="31"/>
      <c r="F431" s="31"/>
      <c r="G431" s="138"/>
      <c r="H431" s="139"/>
      <c r="I431" s="138"/>
      <c r="J431" s="169" t="s">
        <v>334</v>
      </c>
      <c r="K431" s="52"/>
      <c r="L431" s="52"/>
      <c r="M431" s="52"/>
      <c r="N431" s="52"/>
      <c r="O431" s="52"/>
      <c r="P431" s="52"/>
      <c r="Q431" s="52"/>
      <c r="R431" s="169">
        <v>0</v>
      </c>
      <c r="S431" s="52"/>
      <c r="T431" s="52"/>
      <c r="U431" s="52"/>
      <c r="V431" s="52"/>
      <c r="W431" s="52"/>
      <c r="X431" s="52"/>
      <c r="Y431" s="52"/>
      <c r="Z431" s="52"/>
      <c r="AA431" s="52"/>
      <c r="AB431" s="52"/>
      <c r="AC431" s="52"/>
      <c r="AD431" s="52"/>
      <c r="AE431" s="52"/>
      <c r="AF431" s="52"/>
      <c r="AG431" s="52"/>
      <c r="AH431" s="52"/>
      <c r="AI431" s="52"/>
      <c r="AJ431" s="170"/>
      <c r="AK431" s="140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141"/>
    </row>
    <row r="432" spans="2:61" ht="20.100000000000001" customHeight="1" x14ac:dyDescent="0.45">
      <c r="B432" s="168"/>
      <c r="C432" s="31"/>
      <c r="D432" s="31"/>
      <c r="E432" s="31"/>
      <c r="F432" s="31"/>
      <c r="G432" s="138"/>
      <c r="H432" s="139"/>
      <c r="I432" s="138"/>
      <c r="J432" s="169" t="s">
        <v>335</v>
      </c>
      <c r="K432" s="52"/>
      <c r="L432" s="52"/>
      <c r="M432" s="52"/>
      <c r="N432" s="52"/>
      <c r="O432" s="52"/>
      <c r="P432" s="52"/>
      <c r="Q432" s="52"/>
      <c r="R432" s="169">
        <v>0</v>
      </c>
      <c r="S432" s="52"/>
      <c r="T432" s="52"/>
      <c r="U432" s="52"/>
      <c r="V432" s="52"/>
      <c r="W432" s="52"/>
      <c r="X432" s="52"/>
      <c r="Y432" s="52"/>
      <c r="Z432" s="52"/>
      <c r="AA432" s="52"/>
      <c r="AB432" s="52"/>
      <c r="AC432" s="52"/>
      <c r="AD432" s="52"/>
      <c r="AE432" s="52"/>
      <c r="AF432" s="52"/>
      <c r="AG432" s="52"/>
      <c r="AH432" s="52"/>
      <c r="AI432" s="52"/>
      <c r="AJ432" s="170"/>
      <c r="AK432" s="140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141"/>
    </row>
    <row r="433" spans="2:61" ht="20.100000000000001" customHeight="1" x14ac:dyDescent="0.45">
      <c r="B433" s="168"/>
      <c r="C433" s="31"/>
      <c r="D433" s="31"/>
      <c r="E433" s="31"/>
      <c r="F433" s="31"/>
      <c r="G433" s="138"/>
      <c r="H433" s="139"/>
      <c r="I433" s="138"/>
      <c r="J433" s="169" t="s">
        <v>336</v>
      </c>
      <c r="K433" s="52"/>
      <c r="L433" s="52"/>
      <c r="M433" s="52"/>
      <c r="N433" s="52"/>
      <c r="O433" s="52"/>
      <c r="P433" s="52"/>
      <c r="Q433" s="52"/>
      <c r="R433" s="169">
        <v>0</v>
      </c>
      <c r="S433" s="52"/>
      <c r="T433" s="52"/>
      <c r="U433" s="52"/>
      <c r="V433" s="52"/>
      <c r="W433" s="52"/>
      <c r="X433" s="52"/>
      <c r="Y433" s="52"/>
      <c r="Z433" s="52"/>
      <c r="AA433" s="52"/>
      <c r="AB433" s="52"/>
      <c r="AC433" s="52"/>
      <c r="AD433" s="52"/>
      <c r="AE433" s="52"/>
      <c r="AF433" s="52"/>
      <c r="AG433" s="52"/>
      <c r="AH433" s="52"/>
      <c r="AI433" s="52"/>
      <c r="AJ433" s="170"/>
      <c r="AK433" s="140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141"/>
    </row>
    <row r="434" spans="2:61" ht="20.100000000000001" customHeight="1" x14ac:dyDescent="0.45">
      <c r="B434" s="168"/>
      <c r="C434" s="31"/>
      <c r="D434" s="31"/>
      <c r="E434" s="31"/>
      <c r="F434" s="31"/>
      <c r="G434" s="138"/>
      <c r="H434" s="139"/>
      <c r="I434" s="138"/>
      <c r="J434" s="169" t="s">
        <v>337</v>
      </c>
      <c r="K434" s="52"/>
      <c r="L434" s="52"/>
      <c r="M434" s="52"/>
      <c r="N434" s="52"/>
      <c r="O434" s="52"/>
      <c r="P434" s="52"/>
      <c r="Q434" s="52"/>
      <c r="R434" s="169">
        <v>0</v>
      </c>
      <c r="S434" s="52"/>
      <c r="T434" s="52"/>
      <c r="U434" s="52"/>
      <c r="V434" s="52"/>
      <c r="W434" s="52"/>
      <c r="X434" s="52"/>
      <c r="Y434" s="52"/>
      <c r="Z434" s="52"/>
      <c r="AA434" s="52"/>
      <c r="AB434" s="52"/>
      <c r="AC434" s="52"/>
      <c r="AD434" s="52"/>
      <c r="AE434" s="52"/>
      <c r="AF434" s="52"/>
      <c r="AG434" s="52"/>
      <c r="AH434" s="52"/>
      <c r="AI434" s="52"/>
      <c r="AJ434" s="170"/>
      <c r="AK434" s="140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141"/>
    </row>
    <row r="435" spans="2:61" ht="20.100000000000001" customHeight="1" x14ac:dyDescent="0.45">
      <c r="B435" s="168"/>
      <c r="C435" s="31"/>
      <c r="D435" s="31"/>
      <c r="E435" s="31"/>
      <c r="F435" s="31"/>
      <c r="G435" s="138"/>
      <c r="H435" s="139"/>
      <c r="I435" s="138"/>
      <c r="J435" s="169" t="s">
        <v>338</v>
      </c>
      <c r="K435" s="52"/>
      <c r="L435" s="52"/>
      <c r="M435" s="52"/>
      <c r="N435" s="52"/>
      <c r="O435" s="52"/>
      <c r="P435" s="52"/>
      <c r="Q435" s="52"/>
      <c r="R435" s="169" t="s">
        <v>358</v>
      </c>
      <c r="S435" s="52"/>
      <c r="T435" s="52"/>
      <c r="U435" s="52"/>
      <c r="V435" s="52"/>
      <c r="W435" s="52"/>
      <c r="X435" s="52"/>
      <c r="Y435" s="52"/>
      <c r="Z435" s="52"/>
      <c r="AA435" s="52"/>
      <c r="AB435" s="52"/>
      <c r="AC435" s="52"/>
      <c r="AD435" s="52"/>
      <c r="AE435" s="52"/>
      <c r="AF435" s="52"/>
      <c r="AG435" s="52"/>
      <c r="AH435" s="52"/>
      <c r="AI435" s="52"/>
      <c r="AJ435" s="170"/>
      <c r="AK435" s="140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141"/>
    </row>
    <row r="436" spans="2:61" ht="20.100000000000001" customHeight="1" x14ac:dyDescent="0.45">
      <c r="B436" s="168"/>
      <c r="C436" s="31"/>
      <c r="D436" s="31"/>
      <c r="E436" s="31"/>
      <c r="F436" s="31"/>
      <c r="G436" s="138"/>
      <c r="H436" s="139"/>
      <c r="I436" s="138"/>
      <c r="J436" s="169" t="s">
        <v>339</v>
      </c>
      <c r="K436" s="52"/>
      <c r="L436" s="52"/>
      <c r="M436" s="52"/>
      <c r="N436" s="52"/>
      <c r="O436" s="52"/>
      <c r="P436" s="52"/>
      <c r="Q436" s="52"/>
      <c r="R436" s="169" t="s">
        <v>357</v>
      </c>
      <c r="S436" s="52"/>
      <c r="T436" s="52"/>
      <c r="U436" s="52"/>
      <c r="V436" s="52"/>
      <c r="W436" s="52"/>
      <c r="X436" s="52"/>
      <c r="Y436" s="52"/>
      <c r="Z436" s="52"/>
      <c r="AA436" s="52"/>
      <c r="AB436" s="52"/>
      <c r="AC436" s="52"/>
      <c r="AD436" s="52"/>
      <c r="AE436" s="52"/>
      <c r="AF436" s="52"/>
      <c r="AG436" s="52"/>
      <c r="AH436" s="52"/>
      <c r="AI436" s="52"/>
      <c r="AJ436" s="170"/>
      <c r="AK436" s="140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141"/>
    </row>
    <row r="437" spans="2:61" ht="20.100000000000001" customHeight="1" x14ac:dyDescent="0.45">
      <c r="B437" s="168"/>
      <c r="C437" s="31"/>
      <c r="D437" s="31"/>
      <c r="E437" s="31"/>
      <c r="F437" s="31"/>
      <c r="G437" s="138"/>
      <c r="H437" s="139"/>
      <c r="I437" s="138"/>
      <c r="J437" s="142" t="s">
        <v>340</v>
      </c>
      <c r="K437" s="55"/>
      <c r="L437" s="55"/>
      <c r="M437" s="55"/>
      <c r="N437" s="55"/>
      <c r="O437" s="55"/>
      <c r="P437" s="55"/>
      <c r="Q437" s="175"/>
      <c r="R437" s="31" t="s">
        <v>291</v>
      </c>
      <c r="S437" s="55"/>
      <c r="T437" s="55"/>
      <c r="U437" s="55"/>
      <c r="V437" s="55"/>
      <c r="W437" s="55"/>
      <c r="X437" s="55"/>
      <c r="Y437" s="55"/>
      <c r="Z437" s="55"/>
      <c r="AA437" s="55"/>
      <c r="AB437" s="55"/>
      <c r="AC437" s="55"/>
      <c r="AD437" s="55"/>
      <c r="AE437" s="55"/>
      <c r="AF437" s="55"/>
      <c r="AG437" s="55"/>
      <c r="AH437" s="55"/>
      <c r="AI437" s="55"/>
      <c r="AJ437" s="175"/>
      <c r="AK437" s="140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141"/>
    </row>
    <row r="438" spans="2:61" ht="20.100000000000001" customHeight="1" x14ac:dyDescent="0.45">
      <c r="B438" s="168"/>
      <c r="C438" s="31"/>
      <c r="D438" s="31"/>
      <c r="E438" s="31"/>
      <c r="F438" s="31"/>
      <c r="G438" s="138"/>
      <c r="H438" s="142" t="s">
        <v>145</v>
      </c>
      <c r="I438" s="55"/>
      <c r="J438" s="142" t="s">
        <v>364</v>
      </c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  <c r="AA438" s="55"/>
      <c r="AB438" s="55"/>
      <c r="AC438" s="55"/>
      <c r="AD438" s="55"/>
      <c r="AE438" s="55"/>
      <c r="AF438" s="55"/>
      <c r="AG438" s="55"/>
      <c r="AH438" s="55"/>
      <c r="AI438" s="55"/>
      <c r="AJ438" s="55"/>
      <c r="AK438" s="143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55"/>
      <c r="BI438" s="144"/>
    </row>
    <row r="439" spans="2:61" ht="20.100000000000001" customHeight="1" x14ac:dyDescent="0.45">
      <c r="B439" s="137"/>
      <c r="C439" s="31"/>
      <c r="D439" s="31"/>
      <c r="E439" s="31"/>
      <c r="F439" s="31"/>
      <c r="G439" s="138"/>
      <c r="H439" s="139"/>
      <c r="I439" s="31"/>
      <c r="J439" s="139" t="s">
        <v>365</v>
      </c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140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141"/>
    </row>
    <row r="440" spans="2:61" ht="20.100000000000001" customHeight="1" x14ac:dyDescent="0.45">
      <c r="B440" s="137"/>
      <c r="C440" s="31"/>
      <c r="D440" s="31"/>
      <c r="E440" s="31"/>
      <c r="F440" s="31"/>
      <c r="G440" s="138"/>
      <c r="H440" s="142" t="s">
        <v>146</v>
      </c>
      <c r="I440" s="55"/>
      <c r="J440" s="142" t="s">
        <v>174</v>
      </c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  <c r="AA440" s="55"/>
      <c r="AB440" s="55"/>
      <c r="AC440" s="55"/>
      <c r="AD440" s="55"/>
      <c r="AE440" s="55"/>
      <c r="AF440" s="55"/>
      <c r="AG440" s="55"/>
      <c r="AH440" s="55"/>
      <c r="AI440" s="55"/>
      <c r="AJ440" s="55"/>
      <c r="AK440" s="143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55"/>
      <c r="BI440" s="144"/>
    </row>
    <row r="441" spans="2:61" ht="20.100000000000001" customHeight="1" x14ac:dyDescent="0.45">
      <c r="B441" s="137"/>
      <c r="C441" s="31"/>
      <c r="D441" s="31"/>
      <c r="E441" s="31"/>
      <c r="F441" s="31"/>
      <c r="G441" s="138"/>
      <c r="H441" s="139"/>
      <c r="I441" s="31"/>
      <c r="J441" s="139"/>
      <c r="K441" s="31" t="s">
        <v>165</v>
      </c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140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141"/>
    </row>
    <row r="442" spans="2:61" ht="20.100000000000001" customHeight="1" x14ac:dyDescent="0.45">
      <c r="B442" s="137"/>
      <c r="C442" s="31"/>
      <c r="D442" s="31"/>
      <c r="E442" s="31"/>
      <c r="F442" s="31"/>
      <c r="G442" s="138"/>
      <c r="H442" s="139"/>
      <c r="I442" s="31"/>
      <c r="J442" s="139"/>
      <c r="K442" s="31"/>
      <c r="L442" s="31"/>
      <c r="M442" s="31" t="s">
        <v>230</v>
      </c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140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141"/>
    </row>
    <row r="443" spans="2:61" ht="20.100000000000001" customHeight="1" x14ac:dyDescent="0.45">
      <c r="B443" s="137"/>
      <c r="C443" s="31"/>
      <c r="D443" s="31"/>
      <c r="E443" s="31"/>
      <c r="F443" s="31"/>
      <c r="G443" s="138"/>
      <c r="H443" s="142" t="s">
        <v>147</v>
      </c>
      <c r="I443" s="55"/>
      <c r="J443" s="142"/>
      <c r="K443" s="55" t="s">
        <v>211</v>
      </c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  <c r="AA443" s="55"/>
      <c r="AB443" s="55"/>
      <c r="AC443" s="55"/>
      <c r="AD443" s="55"/>
      <c r="AE443" s="55"/>
      <c r="AF443" s="55"/>
      <c r="AG443" s="55"/>
      <c r="AH443" s="55"/>
      <c r="AI443" s="55"/>
      <c r="AJ443" s="55"/>
      <c r="AK443" s="143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55"/>
      <c r="BI443" s="144"/>
    </row>
    <row r="444" spans="2:61" ht="20.100000000000001" customHeight="1" thickBot="1" x14ac:dyDescent="0.5">
      <c r="B444" s="137"/>
      <c r="C444" s="31"/>
      <c r="D444" s="31"/>
      <c r="E444" s="31"/>
      <c r="F444" s="31"/>
      <c r="G444" s="138"/>
      <c r="H444" s="139"/>
      <c r="I444" s="31"/>
      <c r="J444" s="139" t="s">
        <v>180</v>
      </c>
      <c r="K444" s="31" t="s">
        <v>221</v>
      </c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139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141"/>
    </row>
    <row r="445" spans="2:61" ht="20.100000000000001" customHeight="1" x14ac:dyDescent="0.45">
      <c r="B445" s="131" t="s">
        <v>386</v>
      </c>
      <c r="C445" s="132"/>
      <c r="D445" s="132"/>
      <c r="E445" s="132"/>
      <c r="F445" s="132"/>
      <c r="G445" s="133"/>
      <c r="H445" s="134" t="s">
        <v>237</v>
      </c>
      <c r="I445" s="133"/>
      <c r="J445" s="173" t="s">
        <v>366</v>
      </c>
      <c r="K445" s="166"/>
      <c r="L445" s="166"/>
      <c r="M445" s="166"/>
      <c r="N445" s="166"/>
      <c r="O445" s="166"/>
      <c r="P445" s="166"/>
      <c r="Q445" s="166"/>
      <c r="R445" s="173" t="s">
        <v>369</v>
      </c>
      <c r="S445" s="166"/>
      <c r="T445" s="166"/>
      <c r="U445" s="166"/>
      <c r="V445" s="166"/>
      <c r="W445" s="166"/>
      <c r="X445" s="166"/>
      <c r="Y445" s="166"/>
      <c r="Z445" s="166"/>
      <c r="AA445" s="166"/>
      <c r="AB445" s="166"/>
      <c r="AC445" s="166"/>
      <c r="AD445" s="166"/>
      <c r="AE445" s="166"/>
      <c r="AF445" s="166"/>
      <c r="AG445" s="166"/>
      <c r="AH445" s="166"/>
      <c r="AI445" s="166"/>
      <c r="AJ445" s="167"/>
      <c r="AK445" s="135"/>
      <c r="AL445" s="132"/>
      <c r="AM445" s="132"/>
      <c r="AN445" s="132"/>
      <c r="AO445" s="132"/>
      <c r="AP445" s="132"/>
      <c r="AQ445" s="132"/>
      <c r="AR445" s="132"/>
      <c r="AS445" s="132"/>
      <c r="AT445" s="132"/>
      <c r="AU445" s="132"/>
      <c r="AV445" s="132"/>
      <c r="AW445" s="132"/>
      <c r="AX445" s="132"/>
      <c r="AY445" s="132"/>
      <c r="AZ445" s="132"/>
      <c r="BA445" s="132"/>
      <c r="BB445" s="132"/>
      <c r="BC445" s="132"/>
      <c r="BD445" s="132"/>
      <c r="BE445" s="132"/>
      <c r="BF445" s="132"/>
      <c r="BG445" s="132"/>
      <c r="BH445" s="132"/>
      <c r="BI445" s="136"/>
    </row>
    <row r="446" spans="2:61" ht="20.100000000000001" customHeight="1" x14ac:dyDescent="0.45">
      <c r="B446" s="168"/>
      <c r="C446" s="31"/>
      <c r="D446" s="31"/>
      <c r="E446" s="31"/>
      <c r="F446" s="31"/>
      <c r="G446" s="138"/>
      <c r="H446" s="139"/>
      <c r="I446" s="138"/>
      <c r="J446" s="169" t="s">
        <v>367</v>
      </c>
      <c r="K446" s="52"/>
      <c r="L446" s="52"/>
      <c r="M446" s="52"/>
      <c r="N446" s="52"/>
      <c r="O446" s="52"/>
      <c r="P446" s="52"/>
      <c r="Q446" s="52"/>
      <c r="R446" s="169" t="s">
        <v>370</v>
      </c>
      <c r="S446" s="52"/>
      <c r="T446" s="52"/>
      <c r="U446" s="52"/>
      <c r="V446" s="52"/>
      <c r="W446" s="52"/>
      <c r="X446" s="52"/>
      <c r="Y446" s="52"/>
      <c r="Z446" s="52"/>
      <c r="AA446" s="52"/>
      <c r="AB446" s="52"/>
      <c r="AC446" s="52"/>
      <c r="AD446" s="52"/>
      <c r="AE446" s="52"/>
      <c r="AF446" s="52"/>
      <c r="AG446" s="52"/>
      <c r="AH446" s="52"/>
      <c r="AI446" s="52"/>
      <c r="AJ446" s="170"/>
      <c r="AK446" s="140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141"/>
    </row>
    <row r="447" spans="2:61" ht="20.100000000000001" customHeight="1" x14ac:dyDescent="0.45">
      <c r="B447" s="168"/>
      <c r="C447" s="31"/>
      <c r="D447" s="31"/>
      <c r="E447" s="31"/>
      <c r="F447" s="31"/>
      <c r="G447" s="138"/>
      <c r="H447" s="139"/>
      <c r="I447" s="138"/>
      <c r="J447" s="169" t="s">
        <v>368</v>
      </c>
      <c r="K447" s="52"/>
      <c r="L447" s="52"/>
      <c r="M447" s="52"/>
      <c r="N447" s="52"/>
      <c r="O447" s="52"/>
      <c r="P447" s="52"/>
      <c r="Q447" s="52"/>
      <c r="R447" s="169" t="s">
        <v>371</v>
      </c>
      <c r="S447" s="52"/>
      <c r="T447" s="52"/>
      <c r="U447" s="52"/>
      <c r="V447" s="52"/>
      <c r="W447" s="52"/>
      <c r="X447" s="52"/>
      <c r="Y447" s="52"/>
      <c r="Z447" s="52"/>
      <c r="AA447" s="52"/>
      <c r="AB447" s="52"/>
      <c r="AC447" s="52"/>
      <c r="AD447" s="52"/>
      <c r="AE447" s="52"/>
      <c r="AF447" s="52"/>
      <c r="AG447" s="52"/>
      <c r="AH447" s="52"/>
      <c r="AI447" s="52"/>
      <c r="AJ447" s="170"/>
      <c r="AK447" s="140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141"/>
    </row>
    <row r="448" spans="2:61" ht="20.100000000000001" customHeight="1" x14ac:dyDescent="0.45">
      <c r="B448" s="168"/>
      <c r="C448" s="31"/>
      <c r="D448" s="31"/>
      <c r="E448" s="31"/>
      <c r="F448" s="31"/>
      <c r="G448" s="138"/>
      <c r="H448" s="169" t="s">
        <v>145</v>
      </c>
      <c r="I448" s="52"/>
      <c r="J448" s="169" t="s">
        <v>165</v>
      </c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  <c r="AA448" s="52"/>
      <c r="AB448" s="52"/>
      <c r="AC448" s="52"/>
      <c r="AD448" s="52"/>
      <c r="AE448" s="52"/>
      <c r="AF448" s="52"/>
      <c r="AG448" s="52"/>
      <c r="AH448" s="52"/>
      <c r="AI448" s="52"/>
      <c r="AJ448" s="52"/>
      <c r="AK448" s="177"/>
      <c r="AL448" s="52"/>
      <c r="AM448" s="52"/>
      <c r="AN448" s="52"/>
      <c r="AO448" s="52"/>
      <c r="AP448" s="52"/>
      <c r="AQ448" s="52"/>
      <c r="AR448" s="52"/>
      <c r="AS448" s="52"/>
      <c r="AT448" s="52"/>
      <c r="AU448" s="52"/>
      <c r="AV448" s="52"/>
      <c r="AW448" s="52"/>
      <c r="AX448" s="52"/>
      <c r="AY448" s="52"/>
      <c r="AZ448" s="52"/>
      <c r="BA448" s="52"/>
      <c r="BB448" s="52"/>
      <c r="BC448" s="52"/>
      <c r="BD448" s="52"/>
      <c r="BE448" s="52"/>
      <c r="BF448" s="52"/>
      <c r="BG448" s="52"/>
      <c r="BH448" s="52"/>
      <c r="BI448" s="178"/>
    </row>
    <row r="449" spans="2:61" ht="20.100000000000001" customHeight="1" thickBot="1" x14ac:dyDescent="0.5">
      <c r="B449" s="137"/>
      <c r="C449" s="31"/>
      <c r="D449" s="31"/>
      <c r="E449" s="31"/>
      <c r="F449" s="31"/>
      <c r="G449" s="138"/>
      <c r="H449" s="142" t="s">
        <v>166</v>
      </c>
      <c r="I449" s="55"/>
      <c r="J449" s="142" t="s">
        <v>369</v>
      </c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  <c r="AA449" s="55"/>
      <c r="AB449" s="55"/>
      <c r="AC449" s="55"/>
      <c r="AD449" s="55"/>
      <c r="AE449" s="55"/>
      <c r="AF449" s="55"/>
      <c r="AG449" s="55"/>
      <c r="AH449" s="55"/>
      <c r="AI449" s="55"/>
      <c r="AJ449" s="55"/>
      <c r="AK449" s="143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55"/>
      <c r="BI449" s="144"/>
    </row>
    <row r="450" spans="2:61" ht="20.100000000000001" customHeight="1" x14ac:dyDescent="0.45">
      <c r="B450" s="131" t="s">
        <v>387</v>
      </c>
      <c r="C450" s="132"/>
      <c r="D450" s="132"/>
      <c r="E450" s="132"/>
      <c r="F450" s="132"/>
      <c r="G450" s="133"/>
      <c r="H450" s="173" t="s">
        <v>237</v>
      </c>
      <c r="I450" s="167"/>
      <c r="J450" s="173" t="s">
        <v>372</v>
      </c>
      <c r="K450" s="166"/>
      <c r="L450" s="166"/>
      <c r="M450" s="166"/>
      <c r="N450" s="166"/>
      <c r="O450" s="166"/>
      <c r="P450" s="166"/>
      <c r="Q450" s="166"/>
      <c r="R450" s="173" t="s">
        <v>373</v>
      </c>
      <c r="S450" s="166"/>
      <c r="T450" s="166"/>
      <c r="U450" s="166"/>
      <c r="V450" s="166"/>
      <c r="W450" s="166"/>
      <c r="X450" s="166"/>
      <c r="Y450" s="166"/>
      <c r="Z450" s="166"/>
      <c r="AA450" s="166"/>
      <c r="AB450" s="166"/>
      <c r="AC450" s="166"/>
      <c r="AD450" s="166"/>
      <c r="AE450" s="166"/>
      <c r="AF450" s="166"/>
      <c r="AG450" s="166"/>
      <c r="AH450" s="166"/>
      <c r="AI450" s="166"/>
      <c r="AJ450" s="167"/>
      <c r="AK450" s="179"/>
      <c r="AL450" s="166"/>
      <c r="AM450" s="166"/>
      <c r="AN450" s="166"/>
      <c r="AO450" s="166"/>
      <c r="AP450" s="166"/>
      <c r="AQ450" s="166"/>
      <c r="AR450" s="166"/>
      <c r="AS450" s="166"/>
      <c r="AT450" s="166"/>
      <c r="AU450" s="166"/>
      <c r="AV450" s="166"/>
      <c r="AW450" s="166"/>
      <c r="AX450" s="166"/>
      <c r="AY450" s="166"/>
      <c r="AZ450" s="166"/>
      <c r="BA450" s="166"/>
      <c r="BB450" s="166"/>
      <c r="BC450" s="166"/>
      <c r="BD450" s="166"/>
      <c r="BE450" s="166"/>
      <c r="BF450" s="166"/>
      <c r="BG450" s="166"/>
      <c r="BH450" s="166"/>
      <c r="BI450" s="180"/>
    </row>
    <row r="451" spans="2:61" ht="20.100000000000001" customHeight="1" x14ac:dyDescent="0.45">
      <c r="B451" s="168"/>
      <c r="C451" s="31"/>
      <c r="D451" s="31"/>
      <c r="E451" s="31"/>
      <c r="F451" s="31"/>
      <c r="G451" s="138"/>
      <c r="H451" s="139" t="s">
        <v>145</v>
      </c>
      <c r="I451" s="31"/>
      <c r="J451" s="139" t="s">
        <v>175</v>
      </c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140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141"/>
    </row>
    <row r="452" spans="2:61" ht="20.100000000000001" customHeight="1" x14ac:dyDescent="0.45">
      <c r="B452" s="137"/>
      <c r="C452" s="31"/>
      <c r="D452" s="31"/>
      <c r="E452" s="31"/>
      <c r="F452" s="31"/>
      <c r="G452" s="138"/>
      <c r="H452" s="139"/>
      <c r="I452" s="31"/>
      <c r="J452" s="139" t="s">
        <v>167</v>
      </c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140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141"/>
    </row>
    <row r="453" spans="2:61" ht="20.100000000000001" customHeight="1" x14ac:dyDescent="0.45">
      <c r="B453" s="137"/>
      <c r="C453" s="31"/>
      <c r="D453" s="31"/>
      <c r="E453" s="31"/>
      <c r="F453" s="31"/>
      <c r="G453" s="138"/>
      <c r="H453" s="142" t="s">
        <v>146</v>
      </c>
      <c r="I453" s="55"/>
      <c r="J453" s="142" t="s">
        <v>174</v>
      </c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  <c r="AA453" s="55"/>
      <c r="AB453" s="55"/>
      <c r="AC453" s="55"/>
      <c r="AD453" s="55"/>
      <c r="AE453" s="55"/>
      <c r="AF453" s="55"/>
      <c r="AG453" s="55"/>
      <c r="AH453" s="55"/>
      <c r="AI453" s="55"/>
      <c r="AJ453" s="55"/>
      <c r="AK453" s="143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55"/>
      <c r="BI453" s="144"/>
    </row>
    <row r="454" spans="2:61" ht="20.100000000000001" customHeight="1" x14ac:dyDescent="0.45">
      <c r="B454" s="137"/>
      <c r="C454" s="31"/>
      <c r="D454" s="31"/>
      <c r="E454" s="31"/>
      <c r="F454" s="31"/>
      <c r="G454" s="138"/>
      <c r="H454" s="139"/>
      <c r="I454" s="31"/>
      <c r="J454" s="139"/>
      <c r="K454" s="31" t="s">
        <v>167</v>
      </c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140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141"/>
    </row>
    <row r="455" spans="2:61" ht="20.100000000000001" customHeight="1" x14ac:dyDescent="0.45">
      <c r="B455" s="137"/>
      <c r="C455" s="31"/>
      <c r="D455" s="31"/>
      <c r="E455" s="31"/>
      <c r="F455" s="31"/>
      <c r="G455" s="138"/>
      <c r="H455" s="139"/>
      <c r="I455" s="31"/>
      <c r="J455" s="139"/>
      <c r="K455" s="31"/>
      <c r="L455" s="31"/>
      <c r="M455" s="31" t="s">
        <v>231</v>
      </c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140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141"/>
    </row>
    <row r="456" spans="2:61" ht="20.100000000000001" customHeight="1" x14ac:dyDescent="0.45">
      <c r="B456" s="137"/>
      <c r="C456" s="31"/>
      <c r="D456" s="31"/>
      <c r="E456" s="31"/>
      <c r="F456" s="31"/>
      <c r="G456" s="138"/>
      <c r="H456" s="142" t="s">
        <v>147</v>
      </c>
      <c r="I456" s="55"/>
      <c r="J456" s="142"/>
      <c r="K456" s="55" t="s">
        <v>223</v>
      </c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  <c r="AA456" s="55"/>
      <c r="AB456" s="55"/>
      <c r="AC456" s="55"/>
      <c r="AD456" s="55"/>
      <c r="AE456" s="55"/>
      <c r="AF456" s="55"/>
      <c r="AG456" s="55"/>
      <c r="AH456" s="55"/>
      <c r="AI456" s="55"/>
      <c r="AJ456" s="55"/>
      <c r="AK456" s="143"/>
      <c r="AL456" s="55"/>
      <c r="AM456" s="55"/>
      <c r="AN456" s="55"/>
      <c r="AO456" s="55"/>
      <c r="AP456" s="55"/>
      <c r="AQ456" s="55"/>
      <c r="AR456" s="55"/>
      <c r="AS456" s="55"/>
      <c r="AT456" s="55"/>
      <c r="AU456" s="55"/>
      <c r="AV456" s="55"/>
      <c r="AW456" s="55"/>
      <c r="AX456" s="55"/>
      <c r="AY456" s="55"/>
      <c r="AZ456" s="55"/>
      <c r="BA456" s="55"/>
      <c r="BB456" s="55"/>
      <c r="BC456" s="55"/>
      <c r="BD456" s="55"/>
      <c r="BE456" s="55"/>
      <c r="BF456" s="55"/>
      <c r="BG456" s="55"/>
      <c r="BH456" s="55"/>
      <c r="BI456" s="144"/>
    </row>
    <row r="457" spans="2:61" ht="20.100000000000001" customHeight="1" x14ac:dyDescent="0.45">
      <c r="B457" s="137"/>
      <c r="C457" s="31"/>
      <c r="D457" s="31"/>
      <c r="E457" s="31"/>
      <c r="F457" s="31"/>
      <c r="G457" s="138"/>
      <c r="H457" s="139"/>
      <c r="I457" s="31"/>
      <c r="J457" s="139" t="s">
        <v>180</v>
      </c>
      <c r="K457" s="31" t="s">
        <v>213</v>
      </c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139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141"/>
    </row>
    <row r="458" spans="2:61" ht="20.100000000000001" customHeight="1" x14ac:dyDescent="0.45">
      <c r="B458" s="137"/>
      <c r="C458" s="31"/>
      <c r="D458" s="31"/>
      <c r="E458" s="31"/>
      <c r="F458" s="31"/>
      <c r="G458" s="138"/>
      <c r="H458" s="139"/>
      <c r="I458" s="31"/>
      <c r="J458" s="139" t="s">
        <v>180</v>
      </c>
      <c r="K458" s="31" t="s">
        <v>232</v>
      </c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139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141"/>
    </row>
    <row r="459" spans="2:61" ht="20.100000000000001" customHeight="1" x14ac:dyDescent="0.45">
      <c r="B459" s="137"/>
      <c r="C459" s="31"/>
      <c r="D459" s="31"/>
      <c r="E459" s="31"/>
      <c r="F459" s="31"/>
      <c r="G459" s="138"/>
      <c r="H459" s="139"/>
      <c r="I459" s="31"/>
      <c r="J459" s="139" t="s">
        <v>180</v>
      </c>
      <c r="K459" s="31" t="s">
        <v>225</v>
      </c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139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141"/>
    </row>
    <row r="460" spans="2:61" ht="20.100000000000001" customHeight="1" thickBot="1" x14ac:dyDescent="0.5">
      <c r="B460" s="137"/>
      <c r="C460" s="31"/>
      <c r="D460" s="31"/>
      <c r="E460" s="31"/>
      <c r="F460" s="31"/>
      <c r="G460" s="138"/>
      <c r="H460" s="162" t="s">
        <v>190</v>
      </c>
      <c r="I460" s="163"/>
      <c r="J460" s="162" t="s">
        <v>217</v>
      </c>
      <c r="K460" s="163"/>
      <c r="L460" s="163"/>
      <c r="M460" s="163"/>
      <c r="N460" s="163"/>
      <c r="O460" s="163"/>
      <c r="P460" s="163"/>
      <c r="Q460" s="163"/>
      <c r="R460" s="163"/>
      <c r="S460" s="163"/>
      <c r="T460" s="163"/>
      <c r="U460" s="163"/>
      <c r="V460" s="163"/>
      <c r="W460" s="163"/>
      <c r="X460" s="163"/>
      <c r="Y460" s="163"/>
      <c r="Z460" s="163"/>
      <c r="AA460" s="163"/>
      <c r="AB460" s="163"/>
      <c r="AC460" s="163"/>
      <c r="AD460" s="163"/>
      <c r="AE460" s="163"/>
      <c r="AF460" s="163"/>
      <c r="AG460" s="163"/>
      <c r="AH460" s="163"/>
      <c r="AI460" s="163"/>
      <c r="AJ460" s="163"/>
      <c r="AK460" s="162"/>
      <c r="AL460" s="163"/>
      <c r="AM460" s="163"/>
      <c r="AN460" s="163"/>
      <c r="AO460" s="163"/>
      <c r="AP460" s="163"/>
      <c r="AQ460" s="163"/>
      <c r="AR460" s="163"/>
      <c r="AS460" s="163"/>
      <c r="AT460" s="163"/>
      <c r="AU460" s="163"/>
      <c r="AV460" s="163"/>
      <c r="AW460" s="163"/>
      <c r="AX460" s="163"/>
      <c r="AY460" s="163"/>
      <c r="AZ460" s="163"/>
      <c r="BA460" s="163"/>
      <c r="BB460" s="163"/>
      <c r="BC460" s="163"/>
      <c r="BD460" s="163"/>
      <c r="BE460" s="163"/>
      <c r="BF460" s="163"/>
      <c r="BG460" s="163"/>
      <c r="BH460" s="163"/>
      <c r="BI460" s="164"/>
    </row>
    <row r="461" spans="2:61" ht="20.100000000000001" customHeight="1" x14ac:dyDescent="0.45">
      <c r="B461" s="131" t="s">
        <v>388</v>
      </c>
      <c r="C461" s="132"/>
      <c r="D461" s="132"/>
      <c r="E461" s="132"/>
      <c r="F461" s="132"/>
      <c r="G461" s="133"/>
      <c r="H461" s="134" t="s">
        <v>237</v>
      </c>
      <c r="I461" s="133"/>
      <c r="J461" s="134" t="s">
        <v>374</v>
      </c>
      <c r="K461" s="132"/>
      <c r="L461" s="132"/>
      <c r="M461" s="132"/>
      <c r="N461" s="132"/>
      <c r="O461" s="132"/>
      <c r="P461" s="132"/>
      <c r="Q461" s="132"/>
      <c r="R461" s="134" t="s">
        <v>375</v>
      </c>
      <c r="S461" s="132"/>
      <c r="T461" s="132"/>
      <c r="U461" s="132"/>
      <c r="V461" s="132"/>
      <c r="W461" s="132"/>
      <c r="X461" s="132"/>
      <c r="Y461" s="132"/>
      <c r="Z461" s="132"/>
      <c r="AA461" s="132"/>
      <c r="AB461" s="132"/>
      <c r="AC461" s="132"/>
      <c r="AD461" s="132"/>
      <c r="AE461" s="132"/>
      <c r="AF461" s="132"/>
      <c r="AG461" s="132"/>
      <c r="AH461" s="132"/>
      <c r="AI461" s="132"/>
      <c r="AJ461" s="133"/>
      <c r="AK461" s="135"/>
      <c r="AL461" s="132"/>
      <c r="AM461" s="132"/>
      <c r="AN461" s="132"/>
      <c r="AO461" s="132"/>
      <c r="AP461" s="132"/>
      <c r="AQ461" s="132"/>
      <c r="AR461" s="132"/>
      <c r="AS461" s="132"/>
      <c r="AT461" s="132"/>
      <c r="AU461" s="132"/>
      <c r="AV461" s="132"/>
      <c r="AW461" s="132"/>
      <c r="AX461" s="132"/>
      <c r="AY461" s="132"/>
      <c r="AZ461" s="132"/>
      <c r="BA461" s="132"/>
      <c r="BB461" s="132"/>
      <c r="BC461" s="132"/>
      <c r="BD461" s="132"/>
      <c r="BE461" s="132"/>
      <c r="BF461" s="132"/>
      <c r="BG461" s="132"/>
      <c r="BH461" s="132"/>
      <c r="BI461" s="136"/>
    </row>
    <row r="462" spans="2:61" ht="20.100000000000001" customHeight="1" x14ac:dyDescent="0.45">
      <c r="B462" s="168"/>
      <c r="C462" s="31"/>
      <c r="D462" s="31"/>
      <c r="E462" s="31"/>
      <c r="F462" s="31"/>
      <c r="G462" s="138"/>
      <c r="H462" s="142" t="s">
        <v>145</v>
      </c>
      <c r="I462" s="55"/>
      <c r="J462" s="142" t="s">
        <v>175</v>
      </c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  <c r="AA462" s="55"/>
      <c r="AB462" s="55"/>
      <c r="AC462" s="55"/>
      <c r="AD462" s="55"/>
      <c r="AE462" s="55"/>
      <c r="AF462" s="55"/>
      <c r="AG462" s="55"/>
      <c r="AH462" s="55"/>
      <c r="AI462" s="55"/>
      <c r="AJ462" s="55"/>
      <c r="AK462" s="143"/>
      <c r="AL462" s="55"/>
      <c r="AM462" s="55"/>
      <c r="AN462" s="55"/>
      <c r="AO462" s="55"/>
      <c r="AP462" s="55"/>
      <c r="AQ462" s="55"/>
      <c r="AR462" s="55"/>
      <c r="AS462" s="55"/>
      <c r="AT462" s="55"/>
      <c r="AU462" s="55"/>
      <c r="AV462" s="55"/>
      <c r="AW462" s="55"/>
      <c r="AX462" s="55"/>
      <c r="AY462" s="55"/>
      <c r="AZ462" s="55"/>
      <c r="BA462" s="55"/>
      <c r="BB462" s="55"/>
      <c r="BC462" s="55"/>
      <c r="BD462" s="55"/>
      <c r="BE462" s="55"/>
      <c r="BF462" s="55"/>
      <c r="BG462" s="55"/>
      <c r="BH462" s="55"/>
      <c r="BI462" s="144"/>
    </row>
    <row r="463" spans="2:61" ht="20.100000000000001" customHeight="1" x14ac:dyDescent="0.45">
      <c r="B463" s="137"/>
      <c r="C463" s="31"/>
      <c r="D463" s="31"/>
      <c r="E463" s="31"/>
      <c r="F463" s="31"/>
      <c r="G463" s="138"/>
      <c r="H463" s="142" t="s">
        <v>147</v>
      </c>
      <c r="I463" s="55"/>
      <c r="J463" s="142"/>
      <c r="K463" s="55" t="s">
        <v>223</v>
      </c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  <c r="AA463" s="55"/>
      <c r="AB463" s="55"/>
      <c r="AC463" s="55"/>
      <c r="AD463" s="55"/>
      <c r="AE463" s="55"/>
      <c r="AF463" s="55"/>
      <c r="AG463" s="55"/>
      <c r="AH463" s="55"/>
      <c r="AI463" s="55"/>
      <c r="AJ463" s="55"/>
      <c r="AK463" s="143"/>
      <c r="AL463" s="55"/>
      <c r="AM463" s="55"/>
      <c r="AN463" s="55"/>
      <c r="AO463" s="55"/>
      <c r="AP463" s="55"/>
      <c r="AQ463" s="55"/>
      <c r="AR463" s="55"/>
      <c r="AS463" s="55"/>
      <c r="AT463" s="55"/>
      <c r="AU463" s="55"/>
      <c r="AV463" s="55"/>
      <c r="AW463" s="55"/>
      <c r="AX463" s="55"/>
      <c r="AY463" s="55"/>
      <c r="AZ463" s="55"/>
      <c r="BA463" s="55"/>
      <c r="BB463" s="55"/>
      <c r="BC463" s="55"/>
      <c r="BD463" s="55"/>
      <c r="BE463" s="55"/>
      <c r="BF463" s="55"/>
      <c r="BG463" s="55"/>
      <c r="BH463" s="55"/>
      <c r="BI463" s="144"/>
    </row>
    <row r="464" spans="2:61" ht="20.100000000000001" customHeight="1" x14ac:dyDescent="0.45">
      <c r="B464" s="137"/>
      <c r="C464" s="31"/>
      <c r="D464" s="31"/>
      <c r="E464" s="31"/>
      <c r="F464" s="31"/>
      <c r="G464" s="138"/>
      <c r="H464" s="139"/>
      <c r="I464" s="31"/>
      <c r="J464" s="139" t="s">
        <v>180</v>
      </c>
      <c r="K464" s="31" t="s">
        <v>213</v>
      </c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139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141"/>
    </row>
    <row r="465" spans="2:61" ht="20.100000000000001" customHeight="1" x14ac:dyDescent="0.45">
      <c r="B465" s="137"/>
      <c r="C465" s="31"/>
      <c r="D465" s="31"/>
      <c r="E465" s="31"/>
      <c r="F465" s="31"/>
      <c r="G465" s="138"/>
      <c r="H465" s="139"/>
      <c r="I465" s="31"/>
      <c r="J465" s="139" t="s">
        <v>180</v>
      </c>
      <c r="K465" s="31" t="s">
        <v>225</v>
      </c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139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141"/>
    </row>
    <row r="466" spans="2:61" ht="20.100000000000001" customHeight="1" thickBot="1" x14ac:dyDescent="0.5">
      <c r="B466" s="137"/>
      <c r="C466" s="31"/>
      <c r="D466" s="31"/>
      <c r="E466" s="31"/>
      <c r="F466" s="31"/>
      <c r="G466" s="138"/>
      <c r="H466" s="162" t="s">
        <v>190</v>
      </c>
      <c r="I466" s="163"/>
      <c r="J466" s="162" t="s">
        <v>217</v>
      </c>
      <c r="K466" s="163"/>
      <c r="L466" s="163"/>
      <c r="M466" s="163"/>
      <c r="N466" s="163"/>
      <c r="O466" s="163"/>
      <c r="P466" s="163"/>
      <c r="Q466" s="163"/>
      <c r="R466" s="163"/>
      <c r="S466" s="163"/>
      <c r="T466" s="163"/>
      <c r="U466" s="163"/>
      <c r="V466" s="163"/>
      <c r="W466" s="163"/>
      <c r="X466" s="163"/>
      <c r="Y466" s="163"/>
      <c r="Z466" s="163"/>
      <c r="AA466" s="163"/>
      <c r="AB466" s="163"/>
      <c r="AC466" s="163"/>
      <c r="AD466" s="163"/>
      <c r="AE466" s="163"/>
      <c r="AF466" s="163"/>
      <c r="AG466" s="163"/>
      <c r="AH466" s="163"/>
      <c r="AI466" s="163"/>
      <c r="AJ466" s="163"/>
      <c r="AK466" s="162"/>
      <c r="AL466" s="163"/>
      <c r="AM466" s="163"/>
      <c r="AN466" s="163"/>
      <c r="AO466" s="163"/>
      <c r="AP466" s="163"/>
      <c r="AQ466" s="163"/>
      <c r="AR466" s="163"/>
      <c r="AS466" s="163"/>
      <c r="AT466" s="163"/>
      <c r="AU466" s="163"/>
      <c r="AV466" s="163"/>
      <c r="AW466" s="163"/>
      <c r="AX466" s="163"/>
      <c r="AY466" s="163"/>
      <c r="AZ466" s="163"/>
      <c r="BA466" s="163"/>
      <c r="BB466" s="163"/>
      <c r="BC466" s="163"/>
      <c r="BD466" s="163"/>
      <c r="BE466" s="163"/>
      <c r="BF466" s="163"/>
      <c r="BG466" s="163"/>
      <c r="BH466" s="163"/>
      <c r="BI466" s="164"/>
    </row>
    <row r="467" spans="2:61" ht="20.100000000000001" customHeight="1" x14ac:dyDescent="0.45">
      <c r="B467" s="131" t="s">
        <v>389</v>
      </c>
      <c r="C467" s="132"/>
      <c r="D467" s="132"/>
      <c r="E467" s="132"/>
      <c r="F467" s="132"/>
      <c r="G467" s="133"/>
      <c r="H467" s="173" t="s">
        <v>237</v>
      </c>
      <c r="I467" s="167"/>
      <c r="J467" s="173" t="s">
        <v>376</v>
      </c>
      <c r="K467" s="166"/>
      <c r="L467" s="166"/>
      <c r="M467" s="166"/>
      <c r="N467" s="166"/>
      <c r="O467" s="166"/>
      <c r="P467" s="166"/>
      <c r="Q467" s="166"/>
      <c r="R467" s="173" t="s">
        <v>377</v>
      </c>
      <c r="S467" s="166"/>
      <c r="T467" s="166"/>
      <c r="U467" s="166"/>
      <c r="V467" s="166"/>
      <c r="W467" s="166"/>
      <c r="X467" s="166"/>
      <c r="Y467" s="166"/>
      <c r="Z467" s="166"/>
      <c r="AA467" s="166"/>
      <c r="AB467" s="166"/>
      <c r="AC467" s="166"/>
      <c r="AD467" s="166"/>
      <c r="AE467" s="166"/>
      <c r="AF467" s="166"/>
      <c r="AG467" s="166"/>
      <c r="AH467" s="166"/>
      <c r="AI467" s="166"/>
      <c r="AJ467" s="167"/>
      <c r="AK467" s="179"/>
      <c r="AL467" s="166"/>
      <c r="AM467" s="166"/>
      <c r="AN467" s="166"/>
      <c r="AO467" s="166"/>
      <c r="AP467" s="166"/>
      <c r="AQ467" s="166"/>
      <c r="AR467" s="166"/>
      <c r="AS467" s="166"/>
      <c r="AT467" s="166"/>
      <c r="AU467" s="166"/>
      <c r="AV467" s="166"/>
      <c r="AW467" s="166"/>
      <c r="AX467" s="166"/>
      <c r="AY467" s="166"/>
      <c r="AZ467" s="166"/>
      <c r="BA467" s="166"/>
      <c r="BB467" s="166"/>
      <c r="BC467" s="166"/>
      <c r="BD467" s="166"/>
      <c r="BE467" s="166"/>
      <c r="BF467" s="166"/>
      <c r="BG467" s="166"/>
      <c r="BH467" s="166"/>
      <c r="BI467" s="180"/>
    </row>
    <row r="468" spans="2:61" ht="20.100000000000001" customHeight="1" x14ac:dyDescent="0.45">
      <c r="B468" s="168"/>
      <c r="C468" s="31"/>
      <c r="D468" s="31"/>
      <c r="E468" s="31"/>
      <c r="F468" s="31"/>
      <c r="G468" s="138"/>
      <c r="H468" s="139" t="s">
        <v>145</v>
      </c>
      <c r="I468" s="31"/>
      <c r="J468" s="139" t="s">
        <v>175</v>
      </c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140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141"/>
    </row>
    <row r="469" spans="2:61" ht="20.100000000000001" customHeight="1" x14ac:dyDescent="0.45">
      <c r="B469" s="137"/>
      <c r="C469" s="31"/>
      <c r="D469" s="31"/>
      <c r="E469" s="31"/>
      <c r="F469" s="31"/>
      <c r="G469" s="138"/>
      <c r="H469" s="142" t="s">
        <v>147</v>
      </c>
      <c r="I469" s="55"/>
      <c r="J469" s="142"/>
      <c r="K469" s="55" t="s">
        <v>224</v>
      </c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/>
      <c r="AB469" s="55"/>
      <c r="AC469" s="55"/>
      <c r="AD469" s="55"/>
      <c r="AE469" s="55"/>
      <c r="AF469" s="55"/>
      <c r="AG469" s="55"/>
      <c r="AH469" s="55"/>
      <c r="AI469" s="55"/>
      <c r="AJ469" s="55"/>
      <c r="AK469" s="143"/>
      <c r="AL469" s="55"/>
      <c r="AM469" s="55"/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/>
      <c r="BB469" s="55"/>
      <c r="BC469" s="55"/>
      <c r="BD469" s="55"/>
      <c r="BE469" s="55"/>
      <c r="BF469" s="55"/>
      <c r="BG469" s="55"/>
      <c r="BH469" s="55"/>
      <c r="BI469" s="144"/>
    </row>
    <row r="470" spans="2:61" ht="20.100000000000001" customHeight="1" x14ac:dyDescent="0.45">
      <c r="B470" s="137"/>
      <c r="C470" s="31"/>
      <c r="D470" s="31"/>
      <c r="E470" s="31"/>
      <c r="F470" s="31"/>
      <c r="G470" s="138"/>
      <c r="H470" s="139"/>
      <c r="I470" s="31"/>
      <c r="J470" s="139" t="s">
        <v>180</v>
      </c>
      <c r="K470" s="31" t="s">
        <v>213</v>
      </c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139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141"/>
    </row>
    <row r="471" spans="2:61" ht="20.100000000000001" customHeight="1" x14ac:dyDescent="0.45">
      <c r="B471" s="137"/>
      <c r="C471" s="31"/>
      <c r="D471" s="31"/>
      <c r="E471" s="31"/>
      <c r="F471" s="31"/>
      <c r="G471" s="138"/>
      <c r="H471" s="139"/>
      <c r="I471" s="31"/>
      <c r="J471" s="139" t="s">
        <v>180</v>
      </c>
      <c r="K471" s="31" t="s">
        <v>225</v>
      </c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139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141"/>
    </row>
    <row r="472" spans="2:61" ht="20.100000000000001" customHeight="1" thickBot="1" x14ac:dyDescent="0.5">
      <c r="B472" s="137"/>
      <c r="C472" s="31"/>
      <c r="D472" s="31"/>
      <c r="E472" s="31"/>
      <c r="F472" s="31"/>
      <c r="G472" s="138"/>
      <c r="H472" s="162" t="s">
        <v>190</v>
      </c>
      <c r="I472" s="163"/>
      <c r="J472" s="162" t="s">
        <v>217</v>
      </c>
      <c r="K472" s="163"/>
      <c r="L472" s="163"/>
      <c r="M472" s="163"/>
      <c r="N472" s="163"/>
      <c r="O472" s="163"/>
      <c r="P472" s="163"/>
      <c r="Q472" s="163"/>
      <c r="R472" s="163"/>
      <c r="S472" s="163"/>
      <c r="T472" s="163"/>
      <c r="U472" s="163"/>
      <c r="V472" s="163"/>
      <c r="W472" s="163"/>
      <c r="X472" s="163"/>
      <c r="Y472" s="163"/>
      <c r="Z472" s="163"/>
      <c r="AA472" s="163"/>
      <c r="AB472" s="163"/>
      <c r="AC472" s="163"/>
      <c r="AD472" s="163"/>
      <c r="AE472" s="163"/>
      <c r="AF472" s="163"/>
      <c r="AG472" s="163"/>
      <c r="AH472" s="163"/>
      <c r="AI472" s="163"/>
      <c r="AJ472" s="163"/>
      <c r="AK472" s="162"/>
      <c r="AL472" s="163"/>
      <c r="AM472" s="163"/>
      <c r="AN472" s="163"/>
      <c r="AO472" s="163"/>
      <c r="AP472" s="163"/>
      <c r="AQ472" s="163"/>
      <c r="AR472" s="163"/>
      <c r="AS472" s="163"/>
      <c r="AT472" s="163"/>
      <c r="AU472" s="163"/>
      <c r="AV472" s="163"/>
      <c r="AW472" s="163"/>
      <c r="AX472" s="163"/>
      <c r="AY472" s="163"/>
      <c r="AZ472" s="163"/>
      <c r="BA472" s="163"/>
      <c r="BB472" s="163"/>
      <c r="BC472" s="163"/>
      <c r="BD472" s="163"/>
      <c r="BE472" s="163"/>
      <c r="BF472" s="163"/>
      <c r="BG472" s="163"/>
      <c r="BH472" s="163"/>
      <c r="BI472" s="164"/>
    </row>
    <row r="473" spans="2:61" ht="20.100000000000001" customHeight="1" x14ac:dyDescent="0.45">
      <c r="B473" s="131" t="s">
        <v>390</v>
      </c>
      <c r="C473" s="132"/>
      <c r="D473" s="132"/>
      <c r="E473" s="132"/>
      <c r="F473" s="132"/>
      <c r="G473" s="133"/>
      <c r="H473" s="134" t="s">
        <v>237</v>
      </c>
      <c r="I473" s="133"/>
      <c r="J473" s="134" t="s">
        <v>374</v>
      </c>
      <c r="K473" s="132"/>
      <c r="L473" s="132"/>
      <c r="M473" s="132"/>
      <c r="N473" s="132"/>
      <c r="O473" s="132"/>
      <c r="P473" s="132"/>
      <c r="Q473" s="132"/>
      <c r="R473" s="134" t="s">
        <v>375</v>
      </c>
      <c r="S473" s="132"/>
      <c r="T473" s="132"/>
      <c r="U473" s="132"/>
      <c r="V473" s="132"/>
      <c r="W473" s="132"/>
      <c r="X473" s="132"/>
      <c r="Y473" s="132"/>
      <c r="Z473" s="132"/>
      <c r="AA473" s="132"/>
      <c r="AB473" s="132"/>
      <c r="AC473" s="132"/>
      <c r="AD473" s="132"/>
      <c r="AE473" s="132"/>
      <c r="AF473" s="132"/>
      <c r="AG473" s="132"/>
      <c r="AH473" s="132"/>
      <c r="AI473" s="132"/>
      <c r="AJ473" s="133"/>
      <c r="AK473" s="135"/>
      <c r="AL473" s="132"/>
      <c r="AM473" s="132"/>
      <c r="AN473" s="132"/>
      <c r="AO473" s="132"/>
      <c r="AP473" s="132"/>
      <c r="AQ473" s="132"/>
      <c r="AR473" s="132"/>
      <c r="AS473" s="132"/>
      <c r="AT473" s="132"/>
      <c r="AU473" s="132"/>
      <c r="AV473" s="132"/>
      <c r="AW473" s="132"/>
      <c r="AX473" s="132"/>
      <c r="AY473" s="132"/>
      <c r="AZ473" s="132"/>
      <c r="BA473" s="132"/>
      <c r="BB473" s="132"/>
      <c r="BC473" s="132"/>
      <c r="BD473" s="132"/>
      <c r="BE473" s="132"/>
      <c r="BF473" s="132"/>
      <c r="BG473" s="132"/>
      <c r="BH473" s="132"/>
      <c r="BI473" s="136"/>
    </row>
    <row r="474" spans="2:61" ht="20.100000000000001" customHeight="1" x14ac:dyDescent="0.45">
      <c r="B474" s="168"/>
      <c r="C474" s="31"/>
      <c r="D474" s="31"/>
      <c r="E474" s="31"/>
      <c r="F474" s="31"/>
      <c r="G474" s="138"/>
      <c r="H474" s="142" t="s">
        <v>145</v>
      </c>
      <c r="I474" s="55"/>
      <c r="J474" s="142" t="s">
        <v>175</v>
      </c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  <c r="AA474" s="55"/>
      <c r="AB474" s="55"/>
      <c r="AC474" s="55"/>
      <c r="AD474" s="55"/>
      <c r="AE474" s="55"/>
      <c r="AF474" s="55"/>
      <c r="AG474" s="55"/>
      <c r="AH474" s="55"/>
      <c r="AI474" s="55"/>
      <c r="AJ474" s="55"/>
      <c r="AK474" s="143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55"/>
      <c r="BI474" s="144"/>
    </row>
    <row r="475" spans="2:61" ht="20.100000000000001" customHeight="1" x14ac:dyDescent="0.45">
      <c r="B475" s="137"/>
      <c r="C475" s="31"/>
      <c r="D475" s="31"/>
      <c r="E475" s="31"/>
      <c r="F475" s="31"/>
      <c r="G475" s="138"/>
      <c r="H475" s="142" t="s">
        <v>147</v>
      </c>
      <c r="I475" s="55"/>
      <c r="J475" s="142"/>
      <c r="K475" s="55" t="s">
        <v>223</v>
      </c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  <c r="AA475" s="55"/>
      <c r="AB475" s="55"/>
      <c r="AC475" s="55"/>
      <c r="AD475" s="55"/>
      <c r="AE475" s="55"/>
      <c r="AF475" s="55"/>
      <c r="AG475" s="55"/>
      <c r="AH475" s="55"/>
      <c r="AI475" s="55"/>
      <c r="AJ475" s="55"/>
      <c r="AK475" s="143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55"/>
      <c r="BI475" s="144"/>
    </row>
    <row r="476" spans="2:61" ht="20.100000000000001" customHeight="1" x14ac:dyDescent="0.45">
      <c r="B476" s="137"/>
      <c r="C476" s="31"/>
      <c r="D476" s="31"/>
      <c r="E476" s="31"/>
      <c r="F476" s="31"/>
      <c r="G476" s="138"/>
      <c r="H476" s="139"/>
      <c r="I476" s="31"/>
      <c r="J476" s="139" t="s">
        <v>180</v>
      </c>
      <c r="K476" s="31" t="s">
        <v>213</v>
      </c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139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141"/>
    </row>
    <row r="477" spans="2:61" ht="20.100000000000001" customHeight="1" x14ac:dyDescent="0.45">
      <c r="B477" s="137"/>
      <c r="C477" s="31"/>
      <c r="D477" s="31"/>
      <c r="E477" s="31"/>
      <c r="F477" s="31"/>
      <c r="G477" s="138"/>
      <c r="H477" s="139"/>
      <c r="I477" s="31"/>
      <c r="J477" s="139" t="s">
        <v>180</v>
      </c>
      <c r="K477" s="31" t="s">
        <v>222</v>
      </c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139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141"/>
    </row>
    <row r="478" spans="2:61" ht="20.100000000000001" customHeight="1" thickBot="1" x14ac:dyDescent="0.5">
      <c r="B478" s="155"/>
      <c r="C478" s="31"/>
      <c r="D478" s="31"/>
      <c r="E478" s="31"/>
      <c r="F478" s="31"/>
      <c r="G478" s="138"/>
      <c r="H478" s="162" t="s">
        <v>190</v>
      </c>
      <c r="I478" s="163"/>
      <c r="J478" s="162" t="s">
        <v>218</v>
      </c>
      <c r="K478" s="163"/>
      <c r="L478" s="163"/>
      <c r="M478" s="163"/>
      <c r="N478" s="163"/>
      <c r="O478" s="163"/>
      <c r="P478" s="163"/>
      <c r="Q478" s="163"/>
      <c r="R478" s="163"/>
      <c r="S478" s="163"/>
      <c r="T478" s="163"/>
      <c r="U478" s="163"/>
      <c r="V478" s="163"/>
      <c r="W478" s="163"/>
      <c r="X478" s="163"/>
      <c r="Y478" s="163"/>
      <c r="Z478" s="163"/>
      <c r="AA478" s="163"/>
      <c r="AB478" s="163"/>
      <c r="AC478" s="163"/>
      <c r="AD478" s="163"/>
      <c r="AE478" s="163"/>
      <c r="AF478" s="163"/>
      <c r="AG478" s="163"/>
      <c r="AH478" s="163"/>
      <c r="AI478" s="163"/>
      <c r="AJ478" s="163"/>
      <c r="AK478" s="162"/>
      <c r="AL478" s="163"/>
      <c r="AM478" s="163"/>
      <c r="AN478" s="163"/>
      <c r="AO478" s="163"/>
      <c r="AP478" s="163"/>
      <c r="AQ478" s="163"/>
      <c r="AR478" s="163"/>
      <c r="AS478" s="163"/>
      <c r="AT478" s="163"/>
      <c r="AU478" s="163"/>
      <c r="AV478" s="163"/>
      <c r="AW478" s="163"/>
      <c r="AX478" s="163"/>
      <c r="AY478" s="163"/>
      <c r="AZ478" s="163"/>
      <c r="BA478" s="163"/>
      <c r="BB478" s="163"/>
      <c r="BC478" s="163"/>
      <c r="BD478" s="163"/>
      <c r="BE478" s="163"/>
      <c r="BF478" s="163"/>
      <c r="BG478" s="163"/>
      <c r="BH478" s="163"/>
      <c r="BI478" s="164"/>
    </row>
    <row r="479" spans="2:61" ht="20.100000000000001" customHeight="1" x14ac:dyDescent="0.45">
      <c r="B479" s="168" t="s">
        <v>391</v>
      </c>
      <c r="C479" s="132"/>
      <c r="D479" s="132"/>
      <c r="E479" s="132"/>
      <c r="F479" s="132"/>
      <c r="G479" s="133"/>
      <c r="H479" s="173" t="s">
        <v>237</v>
      </c>
      <c r="I479" s="167"/>
      <c r="J479" s="173" t="s">
        <v>376</v>
      </c>
      <c r="K479" s="166"/>
      <c r="L479" s="166"/>
      <c r="M479" s="166"/>
      <c r="N479" s="166"/>
      <c r="O479" s="166"/>
      <c r="P479" s="166"/>
      <c r="Q479" s="166"/>
      <c r="R479" s="173" t="s">
        <v>377</v>
      </c>
      <c r="S479" s="166"/>
      <c r="T479" s="166"/>
      <c r="U479" s="166"/>
      <c r="V479" s="166"/>
      <c r="W479" s="166"/>
      <c r="X479" s="166"/>
      <c r="Y479" s="166"/>
      <c r="Z479" s="166"/>
      <c r="AA479" s="166"/>
      <c r="AB479" s="166"/>
      <c r="AC479" s="166"/>
      <c r="AD479" s="166"/>
      <c r="AE479" s="166"/>
      <c r="AF479" s="166"/>
      <c r="AG479" s="166"/>
      <c r="AH479" s="166"/>
      <c r="AI479" s="166"/>
      <c r="AJ479" s="167"/>
      <c r="AK479" s="179"/>
      <c r="AL479" s="166"/>
      <c r="AM479" s="166"/>
      <c r="AN479" s="166"/>
      <c r="AO479" s="166"/>
      <c r="AP479" s="166"/>
      <c r="AQ479" s="166"/>
      <c r="AR479" s="166"/>
      <c r="AS479" s="166"/>
      <c r="AT479" s="166"/>
      <c r="AU479" s="166"/>
      <c r="AV479" s="166"/>
      <c r="AW479" s="166"/>
      <c r="AX479" s="166"/>
      <c r="AY479" s="166"/>
      <c r="AZ479" s="166"/>
      <c r="BA479" s="166"/>
      <c r="BB479" s="166"/>
      <c r="BC479" s="166"/>
      <c r="BD479" s="166"/>
      <c r="BE479" s="166"/>
      <c r="BF479" s="166"/>
      <c r="BG479" s="166"/>
      <c r="BH479" s="166"/>
      <c r="BI479" s="180"/>
    </row>
    <row r="480" spans="2:61" ht="20.100000000000001" customHeight="1" x14ac:dyDescent="0.45">
      <c r="B480" s="168"/>
      <c r="C480" s="31"/>
      <c r="D480" s="31"/>
      <c r="E480" s="31"/>
      <c r="F480" s="31"/>
      <c r="G480" s="138"/>
      <c r="H480" s="139" t="s">
        <v>145</v>
      </c>
      <c r="I480" s="31"/>
      <c r="J480" s="139" t="s">
        <v>175</v>
      </c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140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141"/>
    </row>
    <row r="481" spans="2:61" ht="20.100000000000001" customHeight="1" x14ac:dyDescent="0.45">
      <c r="B481" s="137"/>
      <c r="C481" s="31"/>
      <c r="D481" s="31"/>
      <c r="E481" s="31"/>
      <c r="F481" s="31"/>
      <c r="G481" s="138"/>
      <c r="H481" s="142" t="s">
        <v>147</v>
      </c>
      <c r="I481" s="55"/>
      <c r="J481" s="142"/>
      <c r="K481" s="55" t="s">
        <v>223</v>
      </c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  <c r="AA481" s="55"/>
      <c r="AB481" s="55"/>
      <c r="AC481" s="55"/>
      <c r="AD481" s="55"/>
      <c r="AE481" s="55"/>
      <c r="AF481" s="55"/>
      <c r="AG481" s="55"/>
      <c r="AH481" s="55"/>
      <c r="AI481" s="55"/>
      <c r="AJ481" s="55"/>
      <c r="AK481" s="143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55"/>
      <c r="BI481" s="144"/>
    </row>
    <row r="482" spans="2:61" ht="20.100000000000001" customHeight="1" x14ac:dyDescent="0.45">
      <c r="B482" s="137"/>
      <c r="C482" s="31"/>
      <c r="D482" s="31"/>
      <c r="E482" s="31"/>
      <c r="F482" s="31"/>
      <c r="G482" s="138"/>
      <c r="H482" s="139"/>
      <c r="I482" s="31"/>
      <c r="J482" s="139" t="s">
        <v>180</v>
      </c>
      <c r="K482" s="31" t="s">
        <v>213</v>
      </c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139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141"/>
    </row>
    <row r="483" spans="2:61" ht="20.100000000000001" customHeight="1" x14ac:dyDescent="0.45">
      <c r="B483" s="137"/>
      <c r="C483" s="31"/>
      <c r="D483" s="31"/>
      <c r="E483" s="31"/>
      <c r="F483" s="31"/>
      <c r="G483" s="138"/>
      <c r="H483" s="139"/>
      <c r="I483" s="31"/>
      <c r="J483" s="139" t="s">
        <v>180</v>
      </c>
      <c r="K483" s="31" t="s">
        <v>222</v>
      </c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139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141"/>
    </row>
    <row r="484" spans="2:61" ht="20.100000000000001" customHeight="1" thickBot="1" x14ac:dyDescent="0.5">
      <c r="B484" s="137"/>
      <c r="C484" s="31"/>
      <c r="D484" s="31"/>
      <c r="E484" s="31"/>
      <c r="F484" s="31"/>
      <c r="G484" s="138"/>
      <c r="H484" s="162" t="s">
        <v>190</v>
      </c>
      <c r="I484" s="163"/>
      <c r="J484" s="162" t="s">
        <v>218</v>
      </c>
      <c r="K484" s="163"/>
      <c r="L484" s="163"/>
      <c r="M484" s="163"/>
      <c r="N484" s="163"/>
      <c r="O484" s="163"/>
      <c r="P484" s="163"/>
      <c r="Q484" s="163"/>
      <c r="R484" s="163"/>
      <c r="S484" s="163"/>
      <c r="T484" s="163"/>
      <c r="U484" s="163"/>
      <c r="V484" s="163"/>
      <c r="W484" s="163"/>
      <c r="X484" s="163"/>
      <c r="Y484" s="163"/>
      <c r="Z484" s="163"/>
      <c r="AA484" s="163"/>
      <c r="AB484" s="163"/>
      <c r="AC484" s="163"/>
      <c r="AD484" s="163"/>
      <c r="AE484" s="163"/>
      <c r="AF484" s="163"/>
      <c r="AG484" s="163"/>
      <c r="AH484" s="163"/>
      <c r="AI484" s="163"/>
      <c r="AJ484" s="163"/>
      <c r="AK484" s="162"/>
      <c r="AL484" s="163"/>
      <c r="AM484" s="163"/>
      <c r="AN484" s="163"/>
      <c r="AO484" s="163"/>
      <c r="AP484" s="163"/>
      <c r="AQ484" s="163"/>
      <c r="AR484" s="163"/>
      <c r="AS484" s="163"/>
      <c r="AT484" s="163"/>
      <c r="AU484" s="163"/>
      <c r="AV484" s="163"/>
      <c r="AW484" s="163"/>
      <c r="AX484" s="163"/>
      <c r="AY484" s="163"/>
      <c r="AZ484" s="163"/>
      <c r="BA484" s="163"/>
      <c r="BB484" s="163"/>
      <c r="BC484" s="163"/>
      <c r="BD484" s="163"/>
      <c r="BE484" s="163"/>
      <c r="BF484" s="163"/>
      <c r="BG484" s="163"/>
      <c r="BH484" s="163"/>
      <c r="BI484" s="164"/>
    </row>
    <row r="485" spans="2:61" ht="20.100000000000001" customHeight="1" x14ac:dyDescent="0.45">
      <c r="B485" s="131" t="s">
        <v>392</v>
      </c>
      <c r="C485" s="132"/>
      <c r="D485" s="132"/>
      <c r="E485" s="132"/>
      <c r="F485" s="132"/>
      <c r="G485" s="133"/>
      <c r="H485" s="134" t="s">
        <v>258</v>
      </c>
      <c r="I485" s="132"/>
      <c r="J485" s="134" t="s">
        <v>378</v>
      </c>
      <c r="K485" s="132"/>
      <c r="L485" s="132"/>
      <c r="M485" s="132"/>
      <c r="N485" s="132"/>
      <c r="O485" s="132"/>
      <c r="P485" s="132"/>
      <c r="Q485" s="132"/>
      <c r="R485" s="132"/>
      <c r="S485" s="132"/>
      <c r="T485" s="132"/>
      <c r="U485" s="132"/>
      <c r="V485" s="132"/>
      <c r="W485" s="132"/>
      <c r="X485" s="132"/>
      <c r="Y485" s="132"/>
      <c r="Z485" s="132"/>
      <c r="AA485" s="132"/>
      <c r="AB485" s="132"/>
      <c r="AC485" s="132"/>
      <c r="AD485" s="132"/>
      <c r="AE485" s="132"/>
      <c r="AF485" s="132"/>
      <c r="AG485" s="132"/>
      <c r="AH485" s="132"/>
      <c r="AI485" s="132"/>
      <c r="AJ485" s="132"/>
      <c r="AK485" s="135"/>
      <c r="AL485" s="132"/>
      <c r="AM485" s="132"/>
      <c r="AN485" s="132"/>
      <c r="AO485" s="132"/>
      <c r="AP485" s="132"/>
      <c r="AQ485" s="132"/>
      <c r="AR485" s="132"/>
      <c r="AS485" s="132"/>
      <c r="AT485" s="132"/>
      <c r="AU485" s="132"/>
      <c r="AV485" s="132"/>
      <c r="AW485" s="132"/>
      <c r="AX485" s="132"/>
      <c r="AY485" s="132"/>
      <c r="AZ485" s="132"/>
      <c r="BA485" s="132"/>
      <c r="BB485" s="132"/>
      <c r="BC485" s="132"/>
      <c r="BD485" s="132"/>
      <c r="BE485" s="132"/>
      <c r="BF485" s="132"/>
      <c r="BG485" s="132"/>
      <c r="BH485" s="132"/>
      <c r="BI485" s="136"/>
    </row>
    <row r="486" spans="2:61" ht="20.100000000000001" customHeight="1" thickBot="1" x14ac:dyDescent="0.5">
      <c r="B486" s="137"/>
      <c r="C486" s="31"/>
      <c r="D486" s="31"/>
      <c r="E486" s="31"/>
      <c r="F486" s="31"/>
      <c r="G486" s="138"/>
      <c r="H486" s="142" t="s">
        <v>145</v>
      </c>
      <c r="I486" s="55"/>
      <c r="J486" s="142" t="s">
        <v>394</v>
      </c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  <c r="AA486" s="55"/>
      <c r="AB486" s="55"/>
      <c r="AC486" s="55"/>
      <c r="AD486" s="55"/>
      <c r="AE486" s="55"/>
      <c r="AF486" s="55"/>
      <c r="AG486" s="55"/>
      <c r="AH486" s="55"/>
      <c r="AI486" s="55"/>
      <c r="AJ486" s="55"/>
      <c r="AK486" s="143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55"/>
      <c r="BI486" s="144"/>
    </row>
    <row r="487" spans="2:61" ht="20.100000000000001" customHeight="1" x14ac:dyDescent="0.45">
      <c r="B487" s="131" t="s">
        <v>393</v>
      </c>
      <c r="C487" s="132"/>
      <c r="D487" s="132"/>
      <c r="E487" s="132"/>
      <c r="F487" s="132"/>
      <c r="G487" s="133"/>
      <c r="H487" s="134" t="s">
        <v>237</v>
      </c>
      <c r="I487" s="133"/>
      <c r="J487" s="173" t="s">
        <v>311</v>
      </c>
      <c r="K487" s="166"/>
      <c r="L487" s="166"/>
      <c r="M487" s="166"/>
      <c r="N487" s="166"/>
      <c r="O487" s="166"/>
      <c r="P487" s="166"/>
      <c r="Q487" s="166"/>
      <c r="R487" s="173" t="s">
        <v>395</v>
      </c>
      <c r="S487" s="166"/>
      <c r="T487" s="166"/>
      <c r="U487" s="166"/>
      <c r="V487" s="166"/>
      <c r="W487" s="166"/>
      <c r="X487" s="166"/>
      <c r="Y487" s="166"/>
      <c r="Z487" s="166"/>
      <c r="AA487" s="166"/>
      <c r="AB487" s="166"/>
      <c r="AC487" s="166"/>
      <c r="AD487" s="166"/>
      <c r="AE487" s="166"/>
      <c r="AF487" s="166"/>
      <c r="AG487" s="166"/>
      <c r="AH487" s="166"/>
      <c r="AI487" s="166"/>
      <c r="AJ487" s="167"/>
      <c r="AK487" s="135"/>
      <c r="AL487" s="132"/>
      <c r="AM487" s="132"/>
      <c r="AN487" s="132"/>
      <c r="AO487" s="132"/>
      <c r="AP487" s="132"/>
      <c r="AQ487" s="132"/>
      <c r="AR487" s="132"/>
      <c r="AS487" s="132"/>
      <c r="AT487" s="132"/>
      <c r="AU487" s="132"/>
      <c r="AV487" s="132"/>
      <c r="AW487" s="132"/>
      <c r="AX487" s="132"/>
      <c r="AY487" s="132"/>
      <c r="AZ487" s="132"/>
      <c r="BA487" s="132"/>
      <c r="BB487" s="132"/>
      <c r="BC487" s="132"/>
      <c r="BD487" s="132"/>
      <c r="BE487" s="132"/>
      <c r="BF487" s="132"/>
      <c r="BG487" s="132"/>
      <c r="BH487" s="132"/>
      <c r="BI487" s="136"/>
    </row>
    <row r="488" spans="2:61" ht="20.100000000000001" customHeight="1" x14ac:dyDescent="0.45">
      <c r="B488" s="168"/>
      <c r="C488" s="31"/>
      <c r="D488" s="31"/>
      <c r="E488" s="31"/>
      <c r="F488" s="31"/>
      <c r="G488" s="138"/>
      <c r="H488" s="139"/>
      <c r="I488" s="138"/>
      <c r="J488" s="169" t="s">
        <v>294</v>
      </c>
      <c r="K488" s="52"/>
      <c r="L488" s="52"/>
      <c r="M488" s="52"/>
      <c r="N488" s="52"/>
      <c r="O488" s="52"/>
      <c r="P488" s="52"/>
      <c r="Q488" s="52"/>
      <c r="R488" s="169" t="s">
        <v>396</v>
      </c>
      <c r="S488" s="52"/>
      <c r="T488" s="52"/>
      <c r="U488" s="52"/>
      <c r="V488" s="52"/>
      <c r="W488" s="52"/>
      <c r="X488" s="52"/>
      <c r="Y488" s="52"/>
      <c r="Z488" s="52"/>
      <c r="AA488" s="52"/>
      <c r="AB488" s="52"/>
      <c r="AC488" s="52"/>
      <c r="AD488" s="52"/>
      <c r="AE488" s="52"/>
      <c r="AF488" s="52"/>
      <c r="AG488" s="52"/>
      <c r="AH488" s="52"/>
      <c r="AI488" s="52"/>
      <c r="AJ488" s="170"/>
      <c r="AK488" s="140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141"/>
    </row>
    <row r="489" spans="2:61" ht="20.100000000000001" customHeight="1" x14ac:dyDescent="0.45">
      <c r="B489" s="168"/>
      <c r="C489" s="31"/>
      <c r="D489" s="31"/>
      <c r="E489" s="31"/>
      <c r="F489" s="31"/>
      <c r="G489" s="138"/>
      <c r="H489" s="139"/>
      <c r="I489" s="138"/>
      <c r="J489" s="169" t="s">
        <v>314</v>
      </c>
      <c r="K489" s="52"/>
      <c r="L489" s="52"/>
      <c r="M489" s="52"/>
      <c r="N489" s="52"/>
      <c r="O489" s="52"/>
      <c r="P489" s="52"/>
      <c r="Q489" s="52"/>
      <c r="R489" s="169" t="s">
        <v>397</v>
      </c>
      <c r="S489" s="52"/>
      <c r="T489" s="52"/>
      <c r="U489" s="52"/>
      <c r="V489" s="52"/>
      <c r="W489" s="52"/>
      <c r="X489" s="52"/>
      <c r="Y489" s="52"/>
      <c r="Z489" s="52"/>
      <c r="AA489" s="52"/>
      <c r="AB489" s="52"/>
      <c r="AC489" s="52"/>
      <c r="AD489" s="52"/>
      <c r="AE489" s="52"/>
      <c r="AF489" s="52"/>
      <c r="AG489" s="52"/>
      <c r="AH489" s="52"/>
      <c r="AI489" s="52"/>
      <c r="AJ489" s="170"/>
      <c r="AK489" s="140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141"/>
    </row>
    <row r="490" spans="2:61" ht="20.100000000000001" customHeight="1" x14ac:dyDescent="0.45">
      <c r="B490" s="168"/>
      <c r="C490" s="31"/>
      <c r="D490" s="31"/>
      <c r="E490" s="31"/>
      <c r="F490" s="31"/>
      <c r="G490" s="138"/>
      <c r="H490" s="139"/>
      <c r="I490" s="138"/>
      <c r="J490" s="169" t="s">
        <v>315</v>
      </c>
      <c r="K490" s="52"/>
      <c r="L490" s="52"/>
      <c r="M490" s="52"/>
      <c r="N490" s="52"/>
      <c r="O490" s="52"/>
      <c r="P490" s="52"/>
      <c r="Q490" s="52"/>
      <c r="R490" s="169" t="s">
        <v>398</v>
      </c>
      <c r="S490" s="52"/>
      <c r="T490" s="52"/>
      <c r="U490" s="52"/>
      <c r="V490" s="52"/>
      <c r="W490" s="52"/>
      <c r="X490" s="52"/>
      <c r="Y490" s="52"/>
      <c r="Z490" s="52"/>
      <c r="AA490" s="52"/>
      <c r="AB490" s="52"/>
      <c r="AC490" s="52"/>
      <c r="AD490" s="52"/>
      <c r="AE490" s="52"/>
      <c r="AF490" s="52"/>
      <c r="AG490" s="52"/>
      <c r="AH490" s="52"/>
      <c r="AI490" s="52"/>
      <c r="AJ490" s="170"/>
      <c r="AK490" s="140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141"/>
    </row>
    <row r="491" spans="2:61" ht="20.100000000000001" customHeight="1" x14ac:dyDescent="0.45">
      <c r="B491" s="168"/>
      <c r="C491" s="31"/>
      <c r="D491" s="31"/>
      <c r="E491" s="31"/>
      <c r="F491" s="31"/>
      <c r="G491" s="138"/>
      <c r="H491" s="139"/>
      <c r="I491" s="138"/>
      <c r="J491" s="169" t="s">
        <v>316</v>
      </c>
      <c r="K491" s="52"/>
      <c r="L491" s="52"/>
      <c r="M491" s="52"/>
      <c r="N491" s="52"/>
      <c r="O491" s="52"/>
      <c r="P491" s="52"/>
      <c r="Q491" s="52"/>
      <c r="R491" s="169" t="s">
        <v>399</v>
      </c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170"/>
      <c r="AK491" s="140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141"/>
    </row>
    <row r="492" spans="2:61" ht="20.100000000000001" customHeight="1" x14ac:dyDescent="0.45">
      <c r="B492" s="168"/>
      <c r="C492" s="31"/>
      <c r="D492" s="31"/>
      <c r="E492" s="31"/>
      <c r="F492" s="31"/>
      <c r="G492" s="138"/>
      <c r="H492" s="139"/>
      <c r="I492" s="138"/>
      <c r="J492" s="169" t="s">
        <v>317</v>
      </c>
      <c r="K492" s="52"/>
      <c r="L492" s="52"/>
      <c r="M492" s="52"/>
      <c r="N492" s="52"/>
      <c r="O492" s="52"/>
      <c r="P492" s="52"/>
      <c r="Q492" s="52"/>
      <c r="R492" s="169" t="s">
        <v>400</v>
      </c>
      <c r="S492" s="52"/>
      <c r="T492" s="52"/>
      <c r="U492" s="52"/>
      <c r="V492" s="52"/>
      <c r="W492" s="52"/>
      <c r="X492" s="52"/>
      <c r="Y492" s="52"/>
      <c r="Z492" s="52"/>
      <c r="AA492" s="52"/>
      <c r="AB492" s="52"/>
      <c r="AC492" s="52"/>
      <c r="AD492" s="52"/>
      <c r="AE492" s="52"/>
      <c r="AF492" s="52"/>
      <c r="AG492" s="52"/>
      <c r="AH492" s="52"/>
      <c r="AI492" s="52"/>
      <c r="AJ492" s="170"/>
      <c r="AK492" s="140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141"/>
    </row>
    <row r="493" spans="2:61" ht="20.100000000000001" customHeight="1" x14ac:dyDescent="0.45">
      <c r="B493" s="168"/>
      <c r="C493" s="31"/>
      <c r="D493" s="31"/>
      <c r="E493" s="31"/>
      <c r="F493" s="31"/>
      <c r="G493" s="138"/>
      <c r="H493" s="139"/>
      <c r="I493" s="138"/>
      <c r="J493" s="169" t="s">
        <v>318</v>
      </c>
      <c r="K493" s="52"/>
      <c r="L493" s="52"/>
      <c r="M493" s="52"/>
      <c r="N493" s="52"/>
      <c r="O493" s="52"/>
      <c r="P493" s="52"/>
      <c r="Q493" s="52"/>
      <c r="R493" s="169" t="s">
        <v>401</v>
      </c>
      <c r="S493" s="52"/>
      <c r="T493" s="52"/>
      <c r="U493" s="52"/>
      <c r="V493" s="52"/>
      <c r="W493" s="52"/>
      <c r="X493" s="52"/>
      <c r="Y493" s="52"/>
      <c r="Z493" s="52"/>
      <c r="AA493" s="52"/>
      <c r="AB493" s="52"/>
      <c r="AC493" s="52"/>
      <c r="AD493" s="52"/>
      <c r="AE493" s="52"/>
      <c r="AF493" s="52"/>
      <c r="AG493" s="52"/>
      <c r="AH493" s="52"/>
      <c r="AI493" s="52"/>
      <c r="AJ493" s="170"/>
      <c r="AK493" s="140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141"/>
    </row>
    <row r="494" spans="2:61" ht="20.100000000000001" customHeight="1" x14ac:dyDescent="0.45">
      <c r="B494" s="168"/>
      <c r="C494" s="31"/>
      <c r="D494" s="31"/>
      <c r="E494" s="31"/>
      <c r="F494" s="31"/>
      <c r="G494" s="138"/>
      <c r="H494" s="139"/>
      <c r="I494" s="138"/>
      <c r="J494" s="169" t="s">
        <v>319</v>
      </c>
      <c r="K494" s="52"/>
      <c r="L494" s="52"/>
      <c r="M494" s="52"/>
      <c r="N494" s="52"/>
      <c r="O494" s="52"/>
      <c r="P494" s="52"/>
      <c r="Q494" s="52"/>
      <c r="R494" s="169" t="s">
        <v>402</v>
      </c>
      <c r="S494" s="52"/>
      <c r="T494" s="52"/>
      <c r="U494" s="52"/>
      <c r="V494" s="52"/>
      <c r="W494" s="52"/>
      <c r="X494" s="52"/>
      <c r="Y494" s="52"/>
      <c r="Z494" s="52"/>
      <c r="AA494" s="52"/>
      <c r="AB494" s="52"/>
      <c r="AC494" s="52"/>
      <c r="AD494" s="52"/>
      <c r="AE494" s="52"/>
      <c r="AF494" s="52"/>
      <c r="AG494" s="52"/>
      <c r="AH494" s="52"/>
      <c r="AI494" s="52"/>
      <c r="AJ494" s="170"/>
      <c r="AK494" s="140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141"/>
    </row>
    <row r="495" spans="2:61" ht="20.100000000000001" customHeight="1" x14ac:dyDescent="0.45">
      <c r="B495" s="168"/>
      <c r="C495" s="31"/>
      <c r="D495" s="31"/>
      <c r="E495" s="31"/>
      <c r="F495" s="31"/>
      <c r="G495" s="138"/>
      <c r="H495" s="139"/>
      <c r="I495" s="138"/>
      <c r="J495" s="169" t="s">
        <v>320</v>
      </c>
      <c r="K495" s="52"/>
      <c r="L495" s="52"/>
      <c r="M495" s="52"/>
      <c r="N495" s="52"/>
      <c r="O495" s="52"/>
      <c r="P495" s="52"/>
      <c r="Q495" s="52"/>
      <c r="R495" s="169" t="s">
        <v>403</v>
      </c>
      <c r="S495" s="52"/>
      <c r="T495" s="52"/>
      <c r="U495" s="52"/>
      <c r="V495" s="52"/>
      <c r="W495" s="52"/>
      <c r="X495" s="52"/>
      <c r="Y495" s="52"/>
      <c r="Z495" s="52"/>
      <c r="AA495" s="52"/>
      <c r="AB495" s="52"/>
      <c r="AC495" s="52"/>
      <c r="AD495" s="52"/>
      <c r="AE495" s="52"/>
      <c r="AF495" s="52"/>
      <c r="AG495" s="52"/>
      <c r="AH495" s="52"/>
      <c r="AI495" s="52"/>
      <c r="AJ495" s="170"/>
      <c r="AK495" s="140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141"/>
    </row>
    <row r="496" spans="2:61" ht="20.100000000000001" customHeight="1" x14ac:dyDescent="0.45">
      <c r="B496" s="168"/>
      <c r="C496" s="31"/>
      <c r="D496" s="31"/>
      <c r="E496" s="31"/>
      <c r="F496" s="31"/>
      <c r="G496" s="138"/>
      <c r="H496" s="139"/>
      <c r="I496" s="138"/>
      <c r="J496" s="169" t="s">
        <v>321</v>
      </c>
      <c r="K496" s="52"/>
      <c r="L496" s="52"/>
      <c r="M496" s="52"/>
      <c r="N496" s="52"/>
      <c r="O496" s="52"/>
      <c r="P496" s="52"/>
      <c r="Q496" s="52"/>
      <c r="R496" s="169" t="s">
        <v>404</v>
      </c>
      <c r="S496" s="52"/>
      <c r="T496" s="52"/>
      <c r="U496" s="52"/>
      <c r="V496" s="52"/>
      <c r="W496" s="52"/>
      <c r="X496" s="52"/>
      <c r="Y496" s="52"/>
      <c r="Z496" s="52"/>
      <c r="AA496" s="52"/>
      <c r="AB496" s="52"/>
      <c r="AC496" s="52"/>
      <c r="AD496" s="52"/>
      <c r="AE496" s="52"/>
      <c r="AF496" s="52"/>
      <c r="AG496" s="52"/>
      <c r="AH496" s="52"/>
      <c r="AI496" s="52"/>
      <c r="AJ496" s="170"/>
      <c r="AK496" s="140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141"/>
    </row>
    <row r="497" spans="2:61" ht="20.100000000000001" customHeight="1" x14ac:dyDescent="0.45">
      <c r="B497" s="168"/>
      <c r="C497" s="31"/>
      <c r="D497" s="31"/>
      <c r="E497" s="31"/>
      <c r="F497" s="31"/>
      <c r="G497" s="138"/>
      <c r="H497" s="139"/>
      <c r="I497" s="138"/>
      <c r="J497" s="169" t="s">
        <v>322</v>
      </c>
      <c r="K497" s="52"/>
      <c r="L497" s="52"/>
      <c r="M497" s="52"/>
      <c r="N497" s="52"/>
      <c r="O497" s="52"/>
      <c r="P497" s="52"/>
      <c r="Q497" s="52"/>
      <c r="R497" s="169" t="s">
        <v>405</v>
      </c>
      <c r="S497" s="52"/>
      <c r="T497" s="52"/>
      <c r="U497" s="52"/>
      <c r="V497" s="52"/>
      <c r="W497" s="52"/>
      <c r="X497" s="52"/>
      <c r="Y497" s="52"/>
      <c r="Z497" s="52"/>
      <c r="AA497" s="52"/>
      <c r="AB497" s="52"/>
      <c r="AC497" s="52"/>
      <c r="AD497" s="52"/>
      <c r="AE497" s="52"/>
      <c r="AF497" s="52"/>
      <c r="AG497" s="52"/>
      <c r="AH497" s="52"/>
      <c r="AI497" s="52"/>
      <c r="AJ497" s="170"/>
      <c r="AK497" s="140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141"/>
    </row>
    <row r="498" spans="2:61" ht="20.100000000000001" customHeight="1" x14ac:dyDescent="0.45">
      <c r="B498" s="168"/>
      <c r="C498" s="31"/>
      <c r="D498" s="31"/>
      <c r="E498" s="31"/>
      <c r="F498" s="31"/>
      <c r="G498" s="138"/>
      <c r="H498" s="139"/>
      <c r="I498" s="138"/>
      <c r="J498" s="169" t="s">
        <v>323</v>
      </c>
      <c r="K498" s="52"/>
      <c r="L498" s="52"/>
      <c r="M498" s="52"/>
      <c r="N498" s="52"/>
      <c r="O498" s="52"/>
      <c r="P498" s="52"/>
      <c r="Q498" s="52"/>
      <c r="R498" s="169" t="s">
        <v>406</v>
      </c>
      <c r="S498" s="52"/>
      <c r="T498" s="52"/>
      <c r="U498" s="52"/>
      <c r="V498" s="52"/>
      <c r="W498" s="52"/>
      <c r="X498" s="52"/>
      <c r="Y498" s="52"/>
      <c r="Z498" s="52"/>
      <c r="AA498" s="52"/>
      <c r="AB498" s="52"/>
      <c r="AC498" s="52"/>
      <c r="AD498" s="52"/>
      <c r="AE498" s="52"/>
      <c r="AF498" s="52"/>
      <c r="AG498" s="52"/>
      <c r="AH498" s="52"/>
      <c r="AI498" s="52"/>
      <c r="AJ498" s="170"/>
      <c r="AK498" s="140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141"/>
    </row>
    <row r="499" spans="2:61" ht="20.100000000000001" customHeight="1" x14ac:dyDescent="0.45">
      <c r="B499" s="168"/>
      <c r="C499" s="31"/>
      <c r="D499" s="31"/>
      <c r="E499" s="31"/>
      <c r="F499" s="31"/>
      <c r="G499" s="138"/>
      <c r="H499" s="139"/>
      <c r="I499" s="138"/>
      <c r="J499" s="169" t="s">
        <v>324</v>
      </c>
      <c r="K499" s="52"/>
      <c r="L499" s="52"/>
      <c r="M499" s="52"/>
      <c r="N499" s="52"/>
      <c r="O499" s="52"/>
      <c r="P499" s="52"/>
      <c r="Q499" s="52"/>
      <c r="R499" s="169" t="s">
        <v>407</v>
      </c>
      <c r="S499" s="52"/>
      <c r="T499" s="52"/>
      <c r="U499" s="52"/>
      <c r="V499" s="52"/>
      <c r="W499" s="52"/>
      <c r="X499" s="52"/>
      <c r="Y499" s="52"/>
      <c r="Z499" s="52"/>
      <c r="AA499" s="52"/>
      <c r="AB499" s="52"/>
      <c r="AC499" s="52"/>
      <c r="AD499" s="52"/>
      <c r="AE499" s="52"/>
      <c r="AF499" s="52"/>
      <c r="AG499" s="52"/>
      <c r="AH499" s="52"/>
      <c r="AI499" s="52"/>
      <c r="AJ499" s="170"/>
      <c r="AK499" s="140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141"/>
    </row>
    <row r="500" spans="2:61" ht="20.100000000000001" customHeight="1" x14ac:dyDescent="0.45">
      <c r="B500" s="168"/>
      <c r="C500" s="31"/>
      <c r="D500" s="31"/>
      <c r="E500" s="31"/>
      <c r="F500" s="31"/>
      <c r="G500" s="138"/>
      <c r="H500" s="139"/>
      <c r="I500" s="138"/>
      <c r="J500" s="169" t="s">
        <v>325</v>
      </c>
      <c r="K500" s="52"/>
      <c r="L500" s="52"/>
      <c r="M500" s="52"/>
      <c r="N500" s="52"/>
      <c r="O500" s="52"/>
      <c r="P500" s="52"/>
      <c r="Q500" s="52"/>
      <c r="R500" s="169" t="s">
        <v>408</v>
      </c>
      <c r="S500" s="52"/>
      <c r="T500" s="52"/>
      <c r="U500" s="52"/>
      <c r="V500" s="52"/>
      <c r="W500" s="52"/>
      <c r="X500" s="52"/>
      <c r="Y500" s="52"/>
      <c r="Z500" s="52"/>
      <c r="AA500" s="52"/>
      <c r="AB500" s="52"/>
      <c r="AC500" s="52"/>
      <c r="AD500" s="52"/>
      <c r="AE500" s="52"/>
      <c r="AF500" s="52"/>
      <c r="AG500" s="52"/>
      <c r="AH500" s="52"/>
      <c r="AI500" s="52"/>
      <c r="AJ500" s="170"/>
      <c r="AK500" s="140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141"/>
    </row>
    <row r="501" spans="2:61" ht="20.100000000000001" customHeight="1" x14ac:dyDescent="0.45">
      <c r="B501" s="168"/>
      <c r="C501" s="31"/>
      <c r="D501" s="31"/>
      <c r="E501" s="31"/>
      <c r="F501" s="31"/>
      <c r="G501" s="138"/>
      <c r="H501" s="139"/>
      <c r="I501" s="138"/>
      <c r="J501" s="169" t="s">
        <v>326</v>
      </c>
      <c r="K501" s="52"/>
      <c r="L501" s="52"/>
      <c r="M501" s="52"/>
      <c r="N501" s="52"/>
      <c r="O501" s="52"/>
      <c r="P501" s="52"/>
      <c r="Q501" s="52"/>
      <c r="R501" s="169" t="s">
        <v>409</v>
      </c>
      <c r="S501" s="52"/>
      <c r="T501" s="52"/>
      <c r="U501" s="52"/>
      <c r="V501" s="52"/>
      <c r="W501" s="52"/>
      <c r="X501" s="52"/>
      <c r="Y501" s="52"/>
      <c r="Z501" s="52"/>
      <c r="AA501" s="52"/>
      <c r="AB501" s="52"/>
      <c r="AC501" s="52"/>
      <c r="AD501" s="52"/>
      <c r="AE501" s="52"/>
      <c r="AF501" s="52"/>
      <c r="AG501" s="52"/>
      <c r="AH501" s="52"/>
      <c r="AI501" s="52"/>
      <c r="AJ501" s="170"/>
      <c r="AK501" s="140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141"/>
    </row>
    <row r="502" spans="2:61" ht="20.100000000000001" customHeight="1" x14ac:dyDescent="0.45">
      <c r="B502" s="168"/>
      <c r="C502" s="31"/>
      <c r="D502" s="31"/>
      <c r="E502" s="31"/>
      <c r="F502" s="31"/>
      <c r="G502" s="138"/>
      <c r="H502" s="139"/>
      <c r="I502" s="138"/>
      <c r="J502" s="169" t="s">
        <v>327</v>
      </c>
      <c r="K502" s="52"/>
      <c r="L502" s="52"/>
      <c r="M502" s="52"/>
      <c r="N502" s="52"/>
      <c r="O502" s="52"/>
      <c r="P502" s="52"/>
      <c r="Q502" s="52"/>
      <c r="R502" s="169" t="s">
        <v>410</v>
      </c>
      <c r="S502" s="52"/>
      <c r="T502" s="52"/>
      <c r="U502" s="52"/>
      <c r="V502" s="52"/>
      <c r="W502" s="52"/>
      <c r="X502" s="52"/>
      <c r="Y502" s="52"/>
      <c r="Z502" s="52"/>
      <c r="AA502" s="52"/>
      <c r="AB502" s="52"/>
      <c r="AC502" s="52"/>
      <c r="AD502" s="52"/>
      <c r="AE502" s="52"/>
      <c r="AF502" s="52"/>
      <c r="AG502" s="52"/>
      <c r="AH502" s="52"/>
      <c r="AI502" s="52"/>
      <c r="AJ502" s="170"/>
      <c r="AK502" s="140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141"/>
    </row>
    <row r="503" spans="2:61" ht="20.100000000000001" customHeight="1" x14ac:dyDescent="0.45">
      <c r="B503" s="168"/>
      <c r="C503" s="31"/>
      <c r="D503" s="31"/>
      <c r="E503" s="31"/>
      <c r="F503" s="31"/>
      <c r="G503" s="138"/>
      <c r="H503" s="139"/>
      <c r="I503" s="138"/>
      <c r="J503" s="169" t="s">
        <v>296</v>
      </c>
      <c r="K503" s="52"/>
      <c r="L503" s="52"/>
      <c r="M503" s="52"/>
      <c r="N503" s="52"/>
      <c r="O503" s="52"/>
      <c r="P503" s="52"/>
      <c r="Q503" s="52"/>
      <c r="R503" s="169" t="s">
        <v>411</v>
      </c>
      <c r="S503" s="52"/>
      <c r="T503" s="52"/>
      <c r="U503" s="52"/>
      <c r="V503" s="52"/>
      <c r="W503" s="52"/>
      <c r="X503" s="52"/>
      <c r="Y503" s="52"/>
      <c r="Z503" s="52"/>
      <c r="AA503" s="52"/>
      <c r="AB503" s="52"/>
      <c r="AC503" s="52"/>
      <c r="AD503" s="52"/>
      <c r="AE503" s="52"/>
      <c r="AF503" s="52"/>
      <c r="AG503" s="52"/>
      <c r="AH503" s="52"/>
      <c r="AI503" s="52"/>
      <c r="AJ503" s="170"/>
      <c r="AK503" s="140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141"/>
    </row>
    <row r="504" spans="2:61" ht="20.100000000000001" customHeight="1" x14ac:dyDescent="0.45">
      <c r="B504" s="168"/>
      <c r="C504" s="31"/>
      <c r="D504" s="31"/>
      <c r="E504" s="31"/>
      <c r="F504" s="31"/>
      <c r="G504" s="138"/>
      <c r="H504" s="139"/>
      <c r="I504" s="138"/>
      <c r="J504" s="169" t="s">
        <v>328</v>
      </c>
      <c r="K504" s="52"/>
      <c r="L504" s="52"/>
      <c r="M504" s="52"/>
      <c r="N504" s="52"/>
      <c r="O504" s="52"/>
      <c r="P504" s="52"/>
      <c r="Q504" s="52"/>
      <c r="R504" s="169" t="s">
        <v>412</v>
      </c>
      <c r="S504" s="52"/>
      <c r="T504" s="52"/>
      <c r="U504" s="52"/>
      <c r="V504" s="52"/>
      <c r="W504" s="52"/>
      <c r="X504" s="52"/>
      <c r="Y504" s="52"/>
      <c r="Z504" s="52"/>
      <c r="AA504" s="52"/>
      <c r="AB504" s="52"/>
      <c r="AC504" s="52"/>
      <c r="AD504" s="52"/>
      <c r="AE504" s="52"/>
      <c r="AF504" s="52"/>
      <c r="AG504" s="52"/>
      <c r="AH504" s="52"/>
      <c r="AI504" s="52"/>
      <c r="AJ504" s="170"/>
      <c r="AK504" s="140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141"/>
    </row>
    <row r="505" spans="2:61" ht="20.100000000000001" customHeight="1" x14ac:dyDescent="0.45">
      <c r="B505" s="168"/>
      <c r="C505" s="31"/>
      <c r="D505" s="31"/>
      <c r="E505" s="31"/>
      <c r="F505" s="31"/>
      <c r="G505" s="138"/>
      <c r="H505" s="139"/>
      <c r="I505" s="138"/>
      <c r="J505" s="169" t="s">
        <v>329</v>
      </c>
      <c r="K505" s="52"/>
      <c r="L505" s="52"/>
      <c r="M505" s="52"/>
      <c r="N505" s="52"/>
      <c r="O505" s="52"/>
      <c r="P505" s="52"/>
      <c r="Q505" s="52"/>
      <c r="R505" s="169" t="s">
        <v>413</v>
      </c>
      <c r="S505" s="52"/>
      <c r="T505" s="52"/>
      <c r="U505" s="52"/>
      <c r="V505" s="52"/>
      <c r="W505" s="52"/>
      <c r="X505" s="52"/>
      <c r="Y505" s="52"/>
      <c r="Z505" s="52"/>
      <c r="AA505" s="52"/>
      <c r="AB505" s="52"/>
      <c r="AC505" s="52"/>
      <c r="AD505" s="52"/>
      <c r="AE505" s="52"/>
      <c r="AF505" s="52"/>
      <c r="AG505" s="52"/>
      <c r="AH505" s="52"/>
      <c r="AI505" s="52"/>
      <c r="AJ505" s="170"/>
      <c r="AK505" s="140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141"/>
    </row>
    <row r="506" spans="2:61" ht="20.100000000000001" customHeight="1" x14ac:dyDescent="0.45">
      <c r="B506" s="168"/>
      <c r="C506" s="31"/>
      <c r="D506" s="31"/>
      <c r="E506" s="31"/>
      <c r="F506" s="31"/>
      <c r="G506" s="138"/>
      <c r="H506" s="139"/>
      <c r="I506" s="138"/>
      <c r="J506" s="169" t="s">
        <v>298</v>
      </c>
      <c r="K506" s="52"/>
      <c r="L506" s="52"/>
      <c r="M506" s="52"/>
      <c r="N506" s="52"/>
      <c r="O506" s="52"/>
      <c r="P506" s="52"/>
      <c r="Q506" s="52"/>
      <c r="R506" s="176" t="s">
        <v>413</v>
      </c>
      <c r="S506" s="52"/>
      <c r="T506" s="52"/>
      <c r="U506" s="52"/>
      <c r="V506" s="52"/>
      <c r="W506" s="52"/>
      <c r="X506" s="52"/>
      <c r="Y506" s="52"/>
      <c r="Z506" s="52"/>
      <c r="AA506" s="52"/>
      <c r="AB506" s="52"/>
      <c r="AC506" s="52"/>
      <c r="AD506" s="52"/>
      <c r="AE506" s="52"/>
      <c r="AF506" s="52"/>
      <c r="AG506" s="52"/>
      <c r="AH506" s="52"/>
      <c r="AI506" s="52"/>
      <c r="AJ506" s="170"/>
      <c r="AK506" s="140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141"/>
    </row>
    <row r="507" spans="2:61" ht="20.100000000000001" customHeight="1" x14ac:dyDescent="0.45">
      <c r="B507" s="168"/>
      <c r="C507" s="31"/>
      <c r="D507" s="31"/>
      <c r="E507" s="31"/>
      <c r="F507" s="31"/>
      <c r="G507" s="138"/>
      <c r="H507" s="139"/>
      <c r="I507" s="138"/>
      <c r="J507" s="169" t="s">
        <v>330</v>
      </c>
      <c r="K507" s="52"/>
      <c r="L507" s="52"/>
      <c r="M507" s="52"/>
      <c r="N507" s="52"/>
      <c r="O507" s="52"/>
      <c r="P507" s="52"/>
      <c r="Q507" s="52"/>
      <c r="R507" s="181" t="s">
        <v>414</v>
      </c>
      <c r="S507" s="52"/>
      <c r="T507" s="52"/>
      <c r="U507" s="52"/>
      <c r="V507" s="52"/>
      <c r="W507" s="52"/>
      <c r="X507" s="52"/>
      <c r="Y507" s="52"/>
      <c r="Z507" s="52"/>
      <c r="AA507" s="52"/>
      <c r="AB507" s="52"/>
      <c r="AC507" s="52"/>
      <c r="AD507" s="52"/>
      <c r="AE507" s="52"/>
      <c r="AF507" s="52"/>
      <c r="AG507" s="52"/>
      <c r="AH507" s="52"/>
      <c r="AI507" s="52"/>
      <c r="AJ507" s="170"/>
      <c r="AK507" s="140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141"/>
    </row>
    <row r="508" spans="2:61" ht="20.100000000000001" customHeight="1" x14ac:dyDescent="0.45">
      <c r="B508" s="168"/>
      <c r="C508" s="31"/>
      <c r="D508" s="31"/>
      <c r="E508" s="31"/>
      <c r="F508" s="31"/>
      <c r="G508" s="138"/>
      <c r="H508" s="139"/>
      <c r="I508" s="138"/>
      <c r="J508" s="169" t="s">
        <v>301</v>
      </c>
      <c r="K508" s="52"/>
      <c r="L508" s="52"/>
      <c r="M508" s="52"/>
      <c r="N508" s="52"/>
      <c r="O508" s="52"/>
      <c r="P508" s="52"/>
      <c r="Q508" s="52"/>
      <c r="R508" s="181" t="s">
        <v>300</v>
      </c>
      <c r="S508" s="52"/>
      <c r="T508" s="52"/>
      <c r="U508" s="52"/>
      <c r="V508" s="52"/>
      <c r="W508" s="52"/>
      <c r="X508" s="52"/>
      <c r="Y508" s="52"/>
      <c r="Z508" s="52"/>
      <c r="AA508" s="52"/>
      <c r="AB508" s="52"/>
      <c r="AC508" s="52"/>
      <c r="AD508" s="52"/>
      <c r="AE508" s="52"/>
      <c r="AF508" s="52"/>
      <c r="AG508" s="52"/>
      <c r="AH508" s="52"/>
      <c r="AI508" s="52"/>
      <c r="AJ508" s="170"/>
      <c r="AK508" s="140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141"/>
    </row>
    <row r="509" spans="2:61" ht="20.100000000000001" customHeight="1" x14ac:dyDescent="0.45">
      <c r="B509" s="168"/>
      <c r="C509" s="31"/>
      <c r="D509" s="31"/>
      <c r="E509" s="31"/>
      <c r="F509" s="31"/>
      <c r="G509" s="138"/>
      <c r="H509" s="139"/>
      <c r="I509" s="138"/>
      <c r="J509" s="169" t="s">
        <v>331</v>
      </c>
      <c r="K509" s="52"/>
      <c r="L509" s="52"/>
      <c r="M509" s="52"/>
      <c r="N509" s="52"/>
      <c r="O509" s="52"/>
      <c r="P509" s="52"/>
      <c r="Q509" s="52"/>
      <c r="R509" s="181" t="s">
        <v>415</v>
      </c>
      <c r="S509" s="52"/>
      <c r="T509" s="52"/>
      <c r="U509" s="52"/>
      <c r="V509" s="52"/>
      <c r="W509" s="52"/>
      <c r="X509" s="52"/>
      <c r="Y509" s="52"/>
      <c r="Z509" s="52"/>
      <c r="AA509" s="52"/>
      <c r="AB509" s="52"/>
      <c r="AC509" s="52"/>
      <c r="AD509" s="52"/>
      <c r="AE509" s="52"/>
      <c r="AF509" s="52"/>
      <c r="AG509" s="52"/>
      <c r="AH509" s="52"/>
      <c r="AI509" s="52"/>
      <c r="AJ509" s="170"/>
      <c r="AK509" s="140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141"/>
    </row>
    <row r="510" spans="2:61" ht="20.100000000000001" customHeight="1" x14ac:dyDescent="0.45">
      <c r="B510" s="168"/>
      <c r="C510" s="31"/>
      <c r="D510" s="31"/>
      <c r="E510" s="31"/>
      <c r="F510" s="31"/>
      <c r="G510" s="138"/>
      <c r="H510" s="139"/>
      <c r="I510" s="138"/>
      <c r="J510" s="169" t="s">
        <v>302</v>
      </c>
      <c r="K510" s="52"/>
      <c r="L510" s="52"/>
      <c r="M510" s="52"/>
      <c r="N510" s="52"/>
      <c r="O510" s="52"/>
      <c r="P510" s="52"/>
      <c r="Q510" s="52"/>
      <c r="R510" s="176" t="s">
        <v>415</v>
      </c>
      <c r="S510" s="52"/>
      <c r="T510" s="52"/>
      <c r="U510" s="52"/>
      <c r="V510" s="52"/>
      <c r="W510" s="52"/>
      <c r="X510" s="52"/>
      <c r="Y510" s="52"/>
      <c r="Z510" s="52"/>
      <c r="AA510" s="52"/>
      <c r="AB510" s="52"/>
      <c r="AC510" s="52"/>
      <c r="AD510" s="52"/>
      <c r="AE510" s="52"/>
      <c r="AF510" s="52"/>
      <c r="AG510" s="52"/>
      <c r="AH510" s="52"/>
      <c r="AI510" s="52"/>
      <c r="AJ510" s="170"/>
      <c r="AK510" s="140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141"/>
    </row>
    <row r="511" spans="2:61" ht="20.100000000000001" customHeight="1" x14ac:dyDescent="0.45">
      <c r="B511" s="168"/>
      <c r="C511" s="31"/>
      <c r="D511" s="31"/>
      <c r="E511" s="31"/>
      <c r="F511" s="31"/>
      <c r="G511" s="138"/>
      <c r="H511" s="139"/>
      <c r="I511" s="138"/>
      <c r="J511" s="169" t="s">
        <v>307</v>
      </c>
      <c r="K511" s="52"/>
      <c r="L511" s="52"/>
      <c r="M511" s="52"/>
      <c r="N511" s="52"/>
      <c r="O511" s="52"/>
      <c r="P511" s="52"/>
      <c r="Q511" s="52"/>
      <c r="R511" s="181" t="s">
        <v>306</v>
      </c>
      <c r="S511" s="52"/>
      <c r="T511" s="52"/>
      <c r="U511" s="52"/>
      <c r="V511" s="52"/>
      <c r="W511" s="52"/>
      <c r="X511" s="52"/>
      <c r="Y511" s="52"/>
      <c r="Z511" s="52"/>
      <c r="AA511" s="52"/>
      <c r="AB511" s="52"/>
      <c r="AC511" s="52"/>
      <c r="AD511" s="52"/>
      <c r="AE511" s="52"/>
      <c r="AF511" s="52"/>
      <c r="AG511" s="52"/>
      <c r="AH511" s="52"/>
      <c r="AI511" s="52"/>
      <c r="AJ511" s="170"/>
      <c r="AK511" s="140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141"/>
    </row>
    <row r="512" spans="2:61" ht="20.100000000000001" customHeight="1" x14ac:dyDescent="0.45">
      <c r="B512" s="168"/>
      <c r="C512" s="31"/>
      <c r="D512" s="31"/>
      <c r="E512" s="31"/>
      <c r="F512" s="31"/>
      <c r="G512" s="138"/>
      <c r="H512" s="139"/>
      <c r="I512" s="138"/>
      <c r="J512" s="169" t="s">
        <v>309</v>
      </c>
      <c r="K512" s="52"/>
      <c r="L512" s="52"/>
      <c r="M512" s="52"/>
      <c r="N512" s="52"/>
      <c r="O512" s="52"/>
      <c r="P512" s="52"/>
      <c r="Q512" s="52"/>
      <c r="R512" s="169" t="s">
        <v>308</v>
      </c>
      <c r="S512" s="52"/>
      <c r="T512" s="52"/>
      <c r="U512" s="52"/>
      <c r="V512" s="52"/>
      <c r="W512" s="52"/>
      <c r="X512" s="52"/>
      <c r="Y512" s="52"/>
      <c r="Z512" s="52"/>
      <c r="AA512" s="52"/>
      <c r="AB512" s="52"/>
      <c r="AC512" s="52"/>
      <c r="AD512" s="52"/>
      <c r="AE512" s="52"/>
      <c r="AF512" s="52"/>
      <c r="AG512" s="52"/>
      <c r="AH512" s="52"/>
      <c r="AI512" s="52"/>
      <c r="AJ512" s="170"/>
      <c r="AK512" s="140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141"/>
    </row>
    <row r="513" spans="2:61" ht="20.100000000000001" customHeight="1" x14ac:dyDescent="0.45">
      <c r="B513" s="168"/>
      <c r="C513" s="31"/>
      <c r="D513" s="31"/>
      <c r="E513" s="31"/>
      <c r="F513" s="31"/>
      <c r="G513" s="138"/>
      <c r="H513" s="139"/>
      <c r="I513" s="138"/>
      <c r="J513" s="169" t="s">
        <v>333</v>
      </c>
      <c r="K513" s="52"/>
      <c r="L513" s="52"/>
      <c r="M513" s="52"/>
      <c r="N513" s="52"/>
      <c r="O513" s="52"/>
      <c r="P513" s="52"/>
      <c r="Q513" s="52"/>
      <c r="R513" s="169" t="s">
        <v>332</v>
      </c>
      <c r="S513" s="52"/>
      <c r="T513" s="52"/>
      <c r="U513" s="52"/>
      <c r="V513" s="52"/>
      <c r="W513" s="52"/>
      <c r="X513" s="52"/>
      <c r="Y513" s="52"/>
      <c r="Z513" s="52"/>
      <c r="AA513" s="52"/>
      <c r="AB513" s="52"/>
      <c r="AC513" s="52"/>
      <c r="AD513" s="52"/>
      <c r="AE513" s="52"/>
      <c r="AF513" s="52"/>
      <c r="AG513" s="52"/>
      <c r="AH513" s="52"/>
      <c r="AI513" s="52"/>
      <c r="AJ513" s="170"/>
      <c r="AK513" s="140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141"/>
    </row>
    <row r="514" spans="2:61" ht="20.100000000000001" customHeight="1" x14ac:dyDescent="0.45">
      <c r="B514" s="168"/>
      <c r="C514" s="31"/>
      <c r="D514" s="31"/>
      <c r="E514" s="31"/>
      <c r="F514" s="31"/>
      <c r="G514" s="138"/>
      <c r="H514" s="139"/>
      <c r="I514" s="138"/>
      <c r="J514" s="169" t="s">
        <v>305</v>
      </c>
      <c r="K514" s="52"/>
      <c r="L514" s="52"/>
      <c r="M514" s="52"/>
      <c r="N514" s="52"/>
      <c r="O514" s="52"/>
      <c r="P514" s="52"/>
      <c r="Q514" s="52"/>
      <c r="R514" s="169" t="s">
        <v>304</v>
      </c>
      <c r="S514" s="52"/>
      <c r="T514" s="52"/>
      <c r="U514" s="52"/>
      <c r="V514" s="52"/>
      <c r="W514" s="52"/>
      <c r="X514" s="52"/>
      <c r="Y514" s="52"/>
      <c r="Z514" s="52"/>
      <c r="AA514" s="52"/>
      <c r="AB514" s="52"/>
      <c r="AC514" s="52"/>
      <c r="AD514" s="52"/>
      <c r="AE514" s="52"/>
      <c r="AF514" s="52"/>
      <c r="AG514" s="52"/>
      <c r="AH514" s="52"/>
      <c r="AI514" s="52"/>
      <c r="AJ514" s="170"/>
      <c r="AK514" s="140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141"/>
    </row>
    <row r="515" spans="2:61" ht="20.100000000000001" customHeight="1" x14ac:dyDescent="0.45">
      <c r="B515" s="168"/>
      <c r="C515" s="31"/>
      <c r="D515" s="31"/>
      <c r="E515" s="31"/>
      <c r="F515" s="31"/>
      <c r="G515" s="138"/>
      <c r="H515" s="139"/>
      <c r="I515" s="138"/>
      <c r="J515" s="169" t="s">
        <v>334</v>
      </c>
      <c r="K515" s="52"/>
      <c r="L515" s="52"/>
      <c r="M515" s="52"/>
      <c r="N515" s="52"/>
      <c r="O515" s="52"/>
      <c r="P515" s="52"/>
      <c r="Q515" s="52"/>
      <c r="R515" s="169" t="s">
        <v>334</v>
      </c>
      <c r="S515" s="52"/>
      <c r="T515" s="52"/>
      <c r="U515" s="52"/>
      <c r="V515" s="52"/>
      <c r="W515" s="52"/>
      <c r="X515" s="52"/>
      <c r="Y515" s="52"/>
      <c r="Z515" s="52"/>
      <c r="AA515" s="52"/>
      <c r="AB515" s="52"/>
      <c r="AC515" s="52"/>
      <c r="AD515" s="52"/>
      <c r="AE515" s="52"/>
      <c r="AF515" s="52"/>
      <c r="AG515" s="52"/>
      <c r="AH515" s="52"/>
      <c r="AI515" s="52"/>
      <c r="AJ515" s="170"/>
      <c r="AK515" s="140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141"/>
    </row>
    <row r="516" spans="2:61" ht="20.100000000000001" customHeight="1" x14ac:dyDescent="0.45">
      <c r="B516" s="168"/>
      <c r="C516" s="31"/>
      <c r="D516" s="31"/>
      <c r="E516" s="31"/>
      <c r="F516" s="31"/>
      <c r="G516" s="138"/>
      <c r="H516" s="139"/>
      <c r="I516" s="138"/>
      <c r="J516" s="169" t="s">
        <v>335</v>
      </c>
      <c r="K516" s="52"/>
      <c r="L516" s="52"/>
      <c r="M516" s="52"/>
      <c r="N516" s="52"/>
      <c r="O516" s="52"/>
      <c r="P516" s="52"/>
      <c r="Q516" s="52"/>
      <c r="R516" s="169" t="s">
        <v>335</v>
      </c>
      <c r="S516" s="52"/>
      <c r="T516" s="52"/>
      <c r="U516" s="52"/>
      <c r="V516" s="52"/>
      <c r="W516" s="52"/>
      <c r="X516" s="52"/>
      <c r="Y516" s="52"/>
      <c r="Z516" s="52"/>
      <c r="AA516" s="52"/>
      <c r="AB516" s="52"/>
      <c r="AC516" s="52"/>
      <c r="AD516" s="52"/>
      <c r="AE516" s="52"/>
      <c r="AF516" s="52"/>
      <c r="AG516" s="52"/>
      <c r="AH516" s="52"/>
      <c r="AI516" s="52"/>
      <c r="AJ516" s="170"/>
      <c r="AK516" s="140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141"/>
    </row>
    <row r="517" spans="2:61" ht="20.100000000000001" customHeight="1" x14ac:dyDescent="0.45">
      <c r="B517" s="168"/>
      <c r="C517" s="31"/>
      <c r="D517" s="31"/>
      <c r="E517" s="31"/>
      <c r="F517" s="31"/>
      <c r="G517" s="138"/>
      <c r="H517" s="139"/>
      <c r="I517" s="138"/>
      <c r="J517" s="169" t="s">
        <v>336</v>
      </c>
      <c r="K517" s="52"/>
      <c r="L517" s="52"/>
      <c r="M517" s="52"/>
      <c r="N517" s="52"/>
      <c r="O517" s="52"/>
      <c r="P517" s="52"/>
      <c r="Q517" s="52"/>
      <c r="R517" s="169" t="s">
        <v>336</v>
      </c>
      <c r="S517" s="52"/>
      <c r="T517" s="52"/>
      <c r="U517" s="52"/>
      <c r="V517" s="52"/>
      <c r="W517" s="52"/>
      <c r="X517" s="52"/>
      <c r="Y517" s="52"/>
      <c r="Z517" s="52"/>
      <c r="AA517" s="52"/>
      <c r="AB517" s="52"/>
      <c r="AC517" s="52"/>
      <c r="AD517" s="52"/>
      <c r="AE517" s="52"/>
      <c r="AF517" s="52"/>
      <c r="AG517" s="52"/>
      <c r="AH517" s="52"/>
      <c r="AI517" s="52"/>
      <c r="AJ517" s="170"/>
      <c r="AK517" s="140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141"/>
    </row>
    <row r="518" spans="2:61" ht="20.100000000000001" customHeight="1" x14ac:dyDescent="0.45">
      <c r="B518" s="168"/>
      <c r="C518" s="31"/>
      <c r="D518" s="31"/>
      <c r="E518" s="31"/>
      <c r="F518" s="31"/>
      <c r="G518" s="138"/>
      <c r="H518" s="139"/>
      <c r="I518" s="138"/>
      <c r="J518" s="169" t="s">
        <v>337</v>
      </c>
      <c r="K518" s="52"/>
      <c r="L518" s="52"/>
      <c r="M518" s="52"/>
      <c r="N518" s="52"/>
      <c r="O518" s="52"/>
      <c r="P518" s="52"/>
      <c r="Q518" s="52"/>
      <c r="R518" s="169" t="s">
        <v>337</v>
      </c>
      <c r="S518" s="52"/>
      <c r="T518" s="52"/>
      <c r="U518" s="52"/>
      <c r="V518" s="52"/>
      <c r="W518" s="52"/>
      <c r="X518" s="52"/>
      <c r="Y518" s="52"/>
      <c r="Z518" s="52"/>
      <c r="AA518" s="52"/>
      <c r="AB518" s="52"/>
      <c r="AC518" s="52"/>
      <c r="AD518" s="52"/>
      <c r="AE518" s="52"/>
      <c r="AF518" s="52"/>
      <c r="AG518" s="52"/>
      <c r="AH518" s="52"/>
      <c r="AI518" s="52"/>
      <c r="AJ518" s="170"/>
      <c r="AK518" s="140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141"/>
    </row>
    <row r="519" spans="2:61" ht="20.100000000000001" customHeight="1" x14ac:dyDescent="0.45">
      <c r="B519" s="168"/>
      <c r="C519" s="31"/>
      <c r="D519" s="31"/>
      <c r="E519" s="31"/>
      <c r="F519" s="31"/>
      <c r="G519" s="138"/>
      <c r="H519" s="139"/>
      <c r="I519" s="138"/>
      <c r="J519" s="169" t="s">
        <v>338</v>
      </c>
      <c r="K519" s="52"/>
      <c r="L519" s="52"/>
      <c r="M519" s="52"/>
      <c r="N519" s="52"/>
      <c r="O519" s="52"/>
      <c r="P519" s="52"/>
      <c r="Q519" s="52"/>
      <c r="R519" s="169" t="s">
        <v>338</v>
      </c>
      <c r="S519" s="52"/>
      <c r="T519" s="52"/>
      <c r="U519" s="52"/>
      <c r="V519" s="52"/>
      <c r="W519" s="52"/>
      <c r="X519" s="52"/>
      <c r="Y519" s="52"/>
      <c r="Z519" s="52"/>
      <c r="AA519" s="52"/>
      <c r="AB519" s="52"/>
      <c r="AC519" s="52"/>
      <c r="AD519" s="52"/>
      <c r="AE519" s="52"/>
      <c r="AF519" s="52"/>
      <c r="AG519" s="52"/>
      <c r="AH519" s="52"/>
      <c r="AI519" s="52"/>
      <c r="AJ519" s="170"/>
      <c r="AK519" s="140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141"/>
    </row>
    <row r="520" spans="2:61" ht="20.100000000000001" customHeight="1" x14ac:dyDescent="0.45">
      <c r="B520" s="168"/>
      <c r="C520" s="31"/>
      <c r="D520" s="31"/>
      <c r="E520" s="31"/>
      <c r="F520" s="31"/>
      <c r="G520" s="138"/>
      <c r="H520" s="139"/>
      <c r="I520" s="138"/>
      <c r="J520" s="169" t="s">
        <v>339</v>
      </c>
      <c r="K520" s="52"/>
      <c r="L520" s="52"/>
      <c r="M520" s="52"/>
      <c r="N520" s="52"/>
      <c r="O520" s="52"/>
      <c r="P520" s="52"/>
      <c r="Q520" s="52"/>
      <c r="R520" s="169" t="s">
        <v>416</v>
      </c>
      <c r="S520" s="52"/>
      <c r="T520" s="52"/>
      <c r="U520" s="52"/>
      <c r="V520" s="52"/>
      <c r="W520" s="52"/>
      <c r="X520" s="52"/>
      <c r="Y520" s="52"/>
      <c r="Z520" s="52"/>
      <c r="AA520" s="52"/>
      <c r="AB520" s="52"/>
      <c r="AC520" s="52"/>
      <c r="AD520" s="52"/>
      <c r="AE520" s="52"/>
      <c r="AF520" s="52"/>
      <c r="AG520" s="52"/>
      <c r="AH520" s="52"/>
      <c r="AI520" s="52"/>
      <c r="AJ520" s="170"/>
      <c r="AK520" s="140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141"/>
    </row>
    <row r="521" spans="2:61" ht="20.100000000000001" customHeight="1" x14ac:dyDescent="0.45">
      <c r="B521" s="168"/>
      <c r="C521" s="31"/>
      <c r="D521" s="31"/>
      <c r="E521" s="31"/>
      <c r="F521" s="31"/>
      <c r="G521" s="138"/>
      <c r="H521" s="145"/>
      <c r="I521" s="171"/>
      <c r="J521" s="142" t="s">
        <v>340</v>
      </c>
      <c r="K521" s="52"/>
      <c r="L521" s="52"/>
      <c r="M521" s="52"/>
      <c r="N521" s="52"/>
      <c r="O521" s="52"/>
      <c r="P521" s="52"/>
      <c r="Q521" s="52"/>
      <c r="R521" s="169">
        <v>1</v>
      </c>
      <c r="S521" s="52"/>
      <c r="T521" s="52"/>
      <c r="U521" s="52"/>
      <c r="V521" s="52"/>
      <c r="W521" s="52"/>
      <c r="X521" s="52"/>
      <c r="Y521" s="52"/>
      <c r="Z521" s="52"/>
      <c r="AA521" s="52"/>
      <c r="AB521" s="52"/>
      <c r="AC521" s="52"/>
      <c r="AD521" s="52"/>
      <c r="AE521" s="52"/>
      <c r="AF521" s="52"/>
      <c r="AG521" s="52"/>
      <c r="AH521" s="52"/>
      <c r="AI521" s="52"/>
      <c r="AJ521" s="170"/>
      <c r="AK521" s="140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141"/>
    </row>
    <row r="522" spans="2:61" ht="20.100000000000001" customHeight="1" x14ac:dyDescent="0.45">
      <c r="B522" s="168"/>
      <c r="C522" s="31"/>
      <c r="D522" s="31"/>
      <c r="E522" s="31"/>
      <c r="F522" s="31"/>
      <c r="G522" s="138"/>
      <c r="H522" s="139" t="s">
        <v>145</v>
      </c>
      <c r="I522" s="31"/>
      <c r="J522" s="142" t="s">
        <v>417</v>
      </c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140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141"/>
    </row>
    <row r="523" spans="2:61" ht="20.100000000000001" customHeight="1" x14ac:dyDescent="0.45">
      <c r="B523" s="137"/>
      <c r="C523" s="31"/>
      <c r="D523" s="31"/>
      <c r="E523" s="31"/>
      <c r="F523" s="31"/>
      <c r="G523" s="138"/>
      <c r="H523" s="139"/>
      <c r="I523" s="31"/>
      <c r="J523" s="139" t="s">
        <v>418</v>
      </c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140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141"/>
    </row>
    <row r="524" spans="2:61" ht="20.100000000000001" customHeight="1" x14ac:dyDescent="0.45">
      <c r="B524" s="137"/>
      <c r="C524" s="31"/>
      <c r="D524" s="31"/>
      <c r="E524" s="31"/>
      <c r="F524" s="31"/>
      <c r="G524" s="138"/>
      <c r="H524" s="142" t="s">
        <v>146</v>
      </c>
      <c r="I524" s="55"/>
      <c r="J524" s="142" t="s">
        <v>174</v>
      </c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  <c r="AA524" s="55"/>
      <c r="AB524" s="55"/>
      <c r="AC524" s="55"/>
      <c r="AD524" s="55"/>
      <c r="AE524" s="55"/>
      <c r="AF524" s="55"/>
      <c r="AG524" s="55"/>
      <c r="AH524" s="55"/>
      <c r="AI524" s="55"/>
      <c r="AJ524" s="55"/>
      <c r="AK524" s="143"/>
      <c r="AL524" s="55"/>
      <c r="AM524" s="55"/>
      <c r="AN524" s="55"/>
      <c r="AO524" s="55"/>
      <c r="AP524" s="55"/>
      <c r="AQ524" s="55"/>
      <c r="AR524" s="55"/>
      <c r="AS524" s="55"/>
      <c r="AT524" s="55"/>
      <c r="AU524" s="55"/>
      <c r="AV524" s="55"/>
      <c r="AW524" s="55"/>
      <c r="AX524" s="55"/>
      <c r="AY524" s="55"/>
      <c r="AZ524" s="55"/>
      <c r="BA524" s="55"/>
      <c r="BB524" s="55"/>
      <c r="BC524" s="55"/>
      <c r="BD524" s="55"/>
      <c r="BE524" s="55"/>
      <c r="BF524" s="55"/>
      <c r="BG524" s="55"/>
      <c r="BH524" s="55"/>
      <c r="BI524" s="144"/>
    </row>
    <row r="525" spans="2:61" ht="20.100000000000001" customHeight="1" x14ac:dyDescent="0.45">
      <c r="B525" s="137"/>
      <c r="C525" s="31"/>
      <c r="D525" s="31"/>
      <c r="E525" s="31"/>
      <c r="F525" s="31"/>
      <c r="G525" s="138"/>
      <c r="H525" s="139"/>
      <c r="I525" s="31"/>
      <c r="J525" s="139"/>
      <c r="K525" s="31" t="s">
        <v>420</v>
      </c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140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141"/>
    </row>
    <row r="526" spans="2:61" ht="20.100000000000001" customHeight="1" x14ac:dyDescent="0.45">
      <c r="B526" s="137"/>
      <c r="C526" s="31"/>
      <c r="D526" s="31"/>
      <c r="E526" s="31"/>
      <c r="F526" s="31"/>
      <c r="G526" s="138"/>
      <c r="H526" s="139"/>
      <c r="I526" s="31"/>
      <c r="J526" s="139"/>
      <c r="K526" s="31"/>
      <c r="L526" s="31"/>
      <c r="M526" s="31" t="s">
        <v>421</v>
      </c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140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141"/>
    </row>
    <row r="527" spans="2:61" ht="20.100000000000001" customHeight="1" x14ac:dyDescent="0.45">
      <c r="B527" s="137"/>
      <c r="C527" s="31"/>
      <c r="D527" s="31"/>
      <c r="E527" s="31"/>
      <c r="F527" s="31"/>
      <c r="G527" s="138"/>
      <c r="H527" s="139"/>
      <c r="I527" s="31"/>
      <c r="J527" s="139"/>
      <c r="K527" s="31"/>
      <c r="L527" s="31" t="s">
        <v>180</v>
      </c>
      <c r="M527" s="31" t="s">
        <v>422</v>
      </c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140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141"/>
    </row>
    <row r="528" spans="2:61" ht="20.100000000000001" customHeight="1" x14ac:dyDescent="0.45">
      <c r="B528" s="137"/>
      <c r="C528" s="31"/>
      <c r="D528" s="31"/>
      <c r="E528" s="31"/>
      <c r="F528" s="31"/>
      <c r="G528" s="138"/>
      <c r="H528" s="139"/>
      <c r="I528" s="31"/>
      <c r="J528" s="139"/>
      <c r="K528" s="31"/>
      <c r="L528" s="31" t="s">
        <v>180</v>
      </c>
      <c r="M528" s="31" t="s">
        <v>423</v>
      </c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140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141"/>
    </row>
    <row r="529" spans="2:61" ht="20.100000000000001" customHeight="1" thickBot="1" x14ac:dyDescent="0.5">
      <c r="B529" s="137"/>
      <c r="C529" s="31"/>
      <c r="D529" s="31"/>
      <c r="E529" s="31"/>
      <c r="F529" s="31"/>
      <c r="G529" s="138"/>
      <c r="H529" s="139"/>
      <c r="I529" s="31"/>
      <c r="J529" s="139"/>
      <c r="K529" s="31"/>
      <c r="L529" s="31" t="s">
        <v>180</v>
      </c>
      <c r="M529" s="31" t="s">
        <v>424</v>
      </c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140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141"/>
    </row>
    <row r="530" spans="2:61" ht="20.100000000000001" customHeight="1" x14ac:dyDescent="0.45">
      <c r="B530" s="131" t="s">
        <v>426</v>
      </c>
      <c r="C530" s="132"/>
      <c r="D530" s="132"/>
      <c r="E530" s="132"/>
      <c r="F530" s="132"/>
      <c r="G530" s="133"/>
      <c r="H530" s="134" t="s">
        <v>237</v>
      </c>
      <c r="I530" s="133"/>
      <c r="J530" s="173" t="s">
        <v>311</v>
      </c>
      <c r="K530" s="166"/>
      <c r="L530" s="166"/>
      <c r="M530" s="166"/>
      <c r="N530" s="166"/>
      <c r="O530" s="166"/>
      <c r="P530" s="166"/>
      <c r="Q530" s="166"/>
      <c r="R530" s="173" t="s">
        <v>311</v>
      </c>
      <c r="S530" s="166"/>
      <c r="T530" s="166"/>
      <c r="U530" s="166"/>
      <c r="V530" s="166"/>
      <c r="W530" s="166"/>
      <c r="X530" s="166"/>
      <c r="Y530" s="166"/>
      <c r="Z530" s="166"/>
      <c r="AA530" s="166"/>
      <c r="AB530" s="166"/>
      <c r="AC530" s="166"/>
      <c r="AD530" s="166"/>
      <c r="AE530" s="166"/>
      <c r="AF530" s="166"/>
      <c r="AG530" s="166"/>
      <c r="AH530" s="166"/>
      <c r="AI530" s="166"/>
      <c r="AJ530" s="167"/>
      <c r="AK530" s="135"/>
      <c r="AL530" s="132"/>
      <c r="AM530" s="132"/>
      <c r="AN530" s="132"/>
      <c r="AO530" s="132"/>
      <c r="AP530" s="132"/>
      <c r="AQ530" s="132"/>
      <c r="AR530" s="132"/>
      <c r="AS530" s="132"/>
      <c r="AT530" s="132"/>
      <c r="AU530" s="132"/>
      <c r="AV530" s="132"/>
      <c r="AW530" s="132"/>
      <c r="AX530" s="132"/>
      <c r="AY530" s="132"/>
      <c r="AZ530" s="132"/>
      <c r="BA530" s="132"/>
      <c r="BB530" s="132"/>
      <c r="BC530" s="132"/>
      <c r="BD530" s="132"/>
      <c r="BE530" s="132"/>
      <c r="BF530" s="132"/>
      <c r="BG530" s="132"/>
      <c r="BH530" s="132"/>
      <c r="BI530" s="136"/>
    </row>
    <row r="531" spans="2:61" ht="20.100000000000001" customHeight="1" x14ac:dyDescent="0.45">
      <c r="B531" s="168"/>
      <c r="C531" s="31"/>
      <c r="D531" s="31"/>
      <c r="E531" s="31"/>
      <c r="F531" s="31"/>
      <c r="G531" s="138"/>
      <c r="H531" s="139"/>
      <c r="I531" s="138"/>
      <c r="J531" s="169" t="s">
        <v>294</v>
      </c>
      <c r="K531" s="52"/>
      <c r="L531" s="52"/>
      <c r="M531" s="52"/>
      <c r="N531" s="52"/>
      <c r="O531" s="52"/>
      <c r="P531" s="52"/>
      <c r="Q531" s="52"/>
      <c r="R531" s="169" t="s">
        <v>294</v>
      </c>
      <c r="S531" s="52"/>
      <c r="T531" s="52"/>
      <c r="U531" s="52"/>
      <c r="V531" s="52"/>
      <c r="W531" s="52"/>
      <c r="X531" s="52"/>
      <c r="Y531" s="52"/>
      <c r="Z531" s="52"/>
      <c r="AA531" s="52"/>
      <c r="AB531" s="52"/>
      <c r="AC531" s="52"/>
      <c r="AD531" s="52"/>
      <c r="AE531" s="52"/>
      <c r="AF531" s="52"/>
      <c r="AG531" s="52"/>
      <c r="AH531" s="52"/>
      <c r="AI531" s="52"/>
      <c r="AJ531" s="170"/>
      <c r="AK531" s="140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141"/>
    </row>
    <row r="532" spans="2:61" ht="20.100000000000001" customHeight="1" x14ac:dyDescent="0.45">
      <c r="B532" s="168"/>
      <c r="C532" s="31"/>
      <c r="D532" s="31"/>
      <c r="E532" s="31"/>
      <c r="F532" s="31"/>
      <c r="G532" s="138"/>
      <c r="H532" s="139"/>
      <c r="I532" s="138"/>
      <c r="J532" s="169" t="s">
        <v>339</v>
      </c>
      <c r="K532" s="52"/>
      <c r="L532" s="52"/>
      <c r="M532" s="52"/>
      <c r="N532" s="52"/>
      <c r="O532" s="52"/>
      <c r="P532" s="52"/>
      <c r="Q532" s="52"/>
      <c r="R532" s="169" t="s">
        <v>428</v>
      </c>
      <c r="S532" s="52"/>
      <c r="T532" s="52"/>
      <c r="U532" s="52"/>
      <c r="V532" s="52"/>
      <c r="W532" s="52"/>
      <c r="X532" s="52"/>
      <c r="Y532" s="52"/>
      <c r="Z532" s="52"/>
      <c r="AA532" s="52"/>
      <c r="AB532" s="52"/>
      <c r="AC532" s="52"/>
      <c r="AD532" s="52"/>
      <c r="AE532" s="52"/>
      <c r="AF532" s="52"/>
      <c r="AG532" s="52"/>
      <c r="AH532" s="52"/>
      <c r="AI532" s="52"/>
      <c r="AJ532" s="170"/>
      <c r="AK532" s="140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141"/>
    </row>
    <row r="533" spans="2:61" ht="20.100000000000001" customHeight="1" x14ac:dyDescent="0.45">
      <c r="B533" s="168"/>
      <c r="C533" s="31"/>
      <c r="D533" s="31"/>
      <c r="E533" s="31"/>
      <c r="F533" s="31"/>
      <c r="G533" s="138"/>
      <c r="H533" s="139"/>
      <c r="I533" s="138"/>
      <c r="J533" s="169" t="s">
        <v>315</v>
      </c>
      <c r="K533" s="52"/>
      <c r="L533" s="52"/>
      <c r="M533" s="52"/>
      <c r="N533" s="52"/>
      <c r="O533" s="52"/>
      <c r="P533" s="52"/>
      <c r="Q533" s="52"/>
      <c r="R533" s="169" t="s">
        <v>429</v>
      </c>
      <c r="S533" s="52"/>
      <c r="T533" s="52"/>
      <c r="U533" s="52"/>
      <c r="V533" s="52"/>
      <c r="W533" s="52"/>
      <c r="X533" s="52"/>
      <c r="Y533" s="52"/>
      <c r="Z533" s="52"/>
      <c r="AA533" s="52"/>
      <c r="AB533" s="52"/>
      <c r="AC533" s="52"/>
      <c r="AD533" s="52"/>
      <c r="AE533" s="52"/>
      <c r="AF533" s="52"/>
      <c r="AG533" s="52"/>
      <c r="AH533" s="52"/>
      <c r="AI533" s="52"/>
      <c r="AJ533" s="170"/>
      <c r="AK533" s="140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141"/>
    </row>
    <row r="534" spans="2:61" ht="20.100000000000001" customHeight="1" x14ac:dyDescent="0.45">
      <c r="B534" s="168"/>
      <c r="C534" s="31"/>
      <c r="D534" s="31"/>
      <c r="E534" s="31"/>
      <c r="F534" s="31"/>
      <c r="G534" s="138"/>
      <c r="H534" s="139"/>
      <c r="I534" s="138"/>
      <c r="J534" s="169" t="s">
        <v>372</v>
      </c>
      <c r="K534" s="52"/>
      <c r="L534" s="52"/>
      <c r="M534" s="52"/>
      <c r="N534" s="52"/>
      <c r="O534" s="52"/>
      <c r="P534" s="52"/>
      <c r="Q534" s="52"/>
      <c r="R534" s="169">
        <v>1</v>
      </c>
      <c r="S534" s="52"/>
      <c r="T534" s="52"/>
      <c r="U534" s="52"/>
      <c r="V534" s="52"/>
      <c r="W534" s="52"/>
      <c r="X534" s="52"/>
      <c r="Y534" s="52"/>
      <c r="Z534" s="52"/>
      <c r="AA534" s="52"/>
      <c r="AB534" s="52"/>
      <c r="AC534" s="52"/>
      <c r="AD534" s="52"/>
      <c r="AE534" s="52"/>
      <c r="AF534" s="52"/>
      <c r="AG534" s="52"/>
      <c r="AH534" s="52"/>
      <c r="AI534" s="52"/>
      <c r="AJ534" s="170"/>
      <c r="AK534" s="140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141"/>
    </row>
    <row r="535" spans="2:61" ht="20.100000000000001" customHeight="1" x14ac:dyDescent="0.45">
      <c r="B535" s="168"/>
      <c r="C535" s="31"/>
      <c r="D535" s="31"/>
      <c r="E535" s="31"/>
      <c r="F535" s="31"/>
      <c r="G535" s="138"/>
      <c r="H535" s="139"/>
      <c r="I535" s="138"/>
      <c r="J535" s="169" t="s">
        <v>302</v>
      </c>
      <c r="K535" s="52"/>
      <c r="L535" s="52"/>
      <c r="M535" s="52"/>
      <c r="N535" s="52"/>
      <c r="O535" s="52"/>
      <c r="P535" s="52"/>
      <c r="Q535" s="52"/>
      <c r="R535" s="176" t="s">
        <v>430</v>
      </c>
      <c r="S535" s="52"/>
      <c r="T535" s="52"/>
      <c r="U535" s="52"/>
      <c r="V535" s="52"/>
      <c r="W535" s="52"/>
      <c r="X535" s="52"/>
      <c r="Y535" s="52"/>
      <c r="Z535" s="52"/>
      <c r="AA535" s="52"/>
      <c r="AB535" s="52"/>
      <c r="AC535" s="52"/>
      <c r="AD535" s="52"/>
      <c r="AE535" s="52"/>
      <c r="AF535" s="52"/>
      <c r="AG535" s="52"/>
      <c r="AH535" s="52"/>
      <c r="AI535" s="52"/>
      <c r="AJ535" s="170"/>
      <c r="AK535" s="140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141"/>
    </row>
    <row r="536" spans="2:61" ht="20.100000000000001" customHeight="1" x14ac:dyDescent="0.45">
      <c r="B536" s="168"/>
      <c r="C536" s="31"/>
      <c r="D536" s="31"/>
      <c r="E536" s="31"/>
      <c r="F536" s="31"/>
      <c r="G536" s="138"/>
      <c r="H536" s="139"/>
      <c r="I536" s="138"/>
      <c r="J536" s="169" t="s">
        <v>298</v>
      </c>
      <c r="K536" s="52"/>
      <c r="L536" s="52"/>
      <c r="M536" s="52"/>
      <c r="N536" s="52"/>
      <c r="O536" s="52"/>
      <c r="P536" s="52"/>
      <c r="Q536" s="52"/>
      <c r="R536" s="169" t="s">
        <v>431</v>
      </c>
      <c r="S536" s="52"/>
      <c r="T536" s="52"/>
      <c r="U536" s="52"/>
      <c r="V536" s="52"/>
      <c r="W536" s="52"/>
      <c r="X536" s="52"/>
      <c r="Y536" s="52"/>
      <c r="Z536" s="52"/>
      <c r="AA536" s="52"/>
      <c r="AB536" s="52"/>
      <c r="AC536" s="52"/>
      <c r="AD536" s="52"/>
      <c r="AE536" s="52"/>
      <c r="AF536" s="52"/>
      <c r="AG536" s="52"/>
      <c r="AH536" s="52"/>
      <c r="AI536" s="52"/>
      <c r="AJ536" s="170"/>
      <c r="AK536" s="140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141"/>
    </row>
    <row r="537" spans="2:61" ht="20.100000000000001" customHeight="1" x14ac:dyDescent="0.45">
      <c r="B537" s="168"/>
      <c r="C537" s="31"/>
      <c r="D537" s="31"/>
      <c r="E537" s="31"/>
      <c r="F537" s="31"/>
      <c r="G537" s="138"/>
      <c r="H537" s="142" t="s">
        <v>145</v>
      </c>
      <c r="I537" s="175"/>
      <c r="J537" s="142" t="s">
        <v>259</v>
      </c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140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141"/>
    </row>
    <row r="538" spans="2:61" ht="20.100000000000001" customHeight="1" x14ac:dyDescent="0.45">
      <c r="B538" s="137"/>
      <c r="C538" s="31"/>
      <c r="D538" s="31"/>
      <c r="E538" s="31"/>
      <c r="F538" s="31"/>
      <c r="G538" s="138"/>
      <c r="H538" s="142" t="s">
        <v>147</v>
      </c>
      <c r="I538" s="55"/>
      <c r="J538" s="142" t="s">
        <v>433</v>
      </c>
      <c r="K538" s="55" t="s">
        <v>434</v>
      </c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  <c r="AA538" s="55"/>
      <c r="AB538" s="55"/>
      <c r="AC538" s="55"/>
      <c r="AD538" s="55"/>
      <c r="AE538" s="55"/>
      <c r="AF538" s="55"/>
      <c r="AG538" s="55"/>
      <c r="AH538" s="55"/>
      <c r="AI538" s="55"/>
      <c r="AJ538" s="55"/>
      <c r="AK538" s="143"/>
      <c r="AL538" s="55"/>
      <c r="AM538" s="55"/>
      <c r="AN538" s="55"/>
      <c r="AO538" s="55"/>
      <c r="AP538" s="55"/>
      <c r="AQ538" s="55"/>
      <c r="AR538" s="55"/>
      <c r="AS538" s="55"/>
      <c r="AT538" s="55"/>
      <c r="AU538" s="55"/>
      <c r="AV538" s="55"/>
      <c r="AW538" s="55"/>
      <c r="AX538" s="55"/>
      <c r="AY538" s="55"/>
      <c r="AZ538" s="55"/>
      <c r="BA538" s="55"/>
      <c r="BB538" s="55"/>
      <c r="BC538" s="55"/>
      <c r="BD538" s="55"/>
      <c r="BE538" s="55"/>
      <c r="BF538" s="55"/>
      <c r="BG538" s="55"/>
      <c r="BH538" s="55"/>
      <c r="BI538" s="144"/>
    </row>
    <row r="539" spans="2:61" ht="20.100000000000001" customHeight="1" x14ac:dyDescent="0.45">
      <c r="B539" s="137"/>
      <c r="C539" s="31"/>
      <c r="D539" s="31"/>
      <c r="E539" s="31"/>
      <c r="F539" s="31"/>
      <c r="G539" s="138"/>
      <c r="H539" s="142" t="s">
        <v>166</v>
      </c>
      <c r="I539" s="55"/>
      <c r="J539" s="142" t="s">
        <v>311</v>
      </c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  <c r="AA539" s="55"/>
      <c r="AB539" s="55"/>
      <c r="AC539" s="55"/>
      <c r="AD539" s="55"/>
      <c r="AE539" s="55"/>
      <c r="AF539" s="55"/>
      <c r="AG539" s="55"/>
      <c r="AH539" s="55"/>
      <c r="AI539" s="55"/>
      <c r="AJ539" s="55"/>
      <c r="AK539" s="143"/>
      <c r="AL539" s="55"/>
      <c r="AM539" s="55"/>
      <c r="AN539" s="55"/>
      <c r="AO539" s="55"/>
      <c r="AP539" s="55"/>
      <c r="AQ539" s="55"/>
      <c r="AR539" s="55"/>
      <c r="AS539" s="55"/>
      <c r="AT539" s="55"/>
      <c r="AU539" s="55"/>
      <c r="AV539" s="55"/>
      <c r="AW539" s="55"/>
      <c r="AX539" s="55"/>
      <c r="AY539" s="55"/>
      <c r="AZ539" s="55"/>
      <c r="BA539" s="55"/>
      <c r="BB539" s="55"/>
      <c r="BC539" s="55"/>
      <c r="BD539" s="55"/>
      <c r="BE539" s="55"/>
      <c r="BF539" s="55"/>
      <c r="BG539" s="55"/>
      <c r="BH539" s="55"/>
      <c r="BI539" s="144"/>
    </row>
    <row r="540" spans="2:61" ht="20.100000000000001" customHeight="1" x14ac:dyDescent="0.45">
      <c r="B540" s="137"/>
      <c r="C540" s="31"/>
      <c r="D540" s="31"/>
      <c r="E540" s="31"/>
      <c r="F540" s="31"/>
      <c r="G540" s="138"/>
      <c r="H540" s="139"/>
      <c r="I540" s="31"/>
      <c r="J540" s="139" t="s">
        <v>294</v>
      </c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140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141"/>
    </row>
    <row r="541" spans="2:61" ht="20.100000000000001" customHeight="1" thickBot="1" x14ac:dyDescent="0.5">
      <c r="B541" s="137"/>
      <c r="C541" s="31"/>
      <c r="D541" s="31"/>
      <c r="E541" s="31"/>
      <c r="F541" s="31"/>
      <c r="G541" s="138"/>
      <c r="H541" s="139"/>
      <c r="I541" s="31"/>
      <c r="J541" s="139" t="s">
        <v>428</v>
      </c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140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141"/>
    </row>
    <row r="542" spans="2:61" ht="20.100000000000001" customHeight="1" x14ac:dyDescent="0.45">
      <c r="B542" s="131" t="s">
        <v>420</v>
      </c>
      <c r="C542" s="132"/>
      <c r="D542" s="132"/>
      <c r="E542" s="132"/>
      <c r="F542" s="132"/>
      <c r="G542" s="133"/>
      <c r="H542" s="134" t="s">
        <v>237</v>
      </c>
      <c r="I542" s="133"/>
      <c r="J542" s="173" t="s">
        <v>311</v>
      </c>
      <c r="K542" s="166"/>
      <c r="L542" s="166"/>
      <c r="M542" s="166"/>
      <c r="N542" s="166"/>
      <c r="O542" s="166"/>
      <c r="P542" s="166"/>
      <c r="Q542" s="166"/>
      <c r="R542" s="173" t="s">
        <v>437</v>
      </c>
      <c r="S542" s="166"/>
      <c r="T542" s="166"/>
      <c r="U542" s="166"/>
      <c r="V542" s="166"/>
      <c r="W542" s="166"/>
      <c r="X542" s="166"/>
      <c r="Y542" s="166"/>
      <c r="Z542" s="166"/>
      <c r="AA542" s="166"/>
      <c r="AB542" s="166"/>
      <c r="AC542" s="166"/>
      <c r="AD542" s="166"/>
      <c r="AE542" s="166"/>
      <c r="AF542" s="166"/>
      <c r="AG542" s="166"/>
      <c r="AH542" s="166"/>
      <c r="AI542" s="166"/>
      <c r="AJ542" s="167"/>
      <c r="AK542" s="135"/>
      <c r="AL542" s="132"/>
      <c r="AM542" s="132"/>
      <c r="AN542" s="132"/>
      <c r="AO542" s="132"/>
      <c r="AP542" s="132"/>
      <c r="AQ542" s="132"/>
      <c r="AR542" s="132"/>
      <c r="AS542" s="132"/>
      <c r="AT542" s="132"/>
      <c r="AU542" s="132"/>
      <c r="AV542" s="132"/>
      <c r="AW542" s="132"/>
      <c r="AX542" s="132"/>
      <c r="AY542" s="132"/>
      <c r="AZ542" s="132"/>
      <c r="BA542" s="132"/>
      <c r="BB542" s="132"/>
      <c r="BC542" s="132"/>
      <c r="BD542" s="132"/>
      <c r="BE542" s="132"/>
      <c r="BF542" s="132"/>
      <c r="BG542" s="132"/>
      <c r="BH542" s="132"/>
      <c r="BI542" s="136"/>
    </row>
    <row r="543" spans="2:61" ht="20.100000000000001" customHeight="1" x14ac:dyDescent="0.45">
      <c r="B543" s="168"/>
      <c r="C543" s="31"/>
      <c r="D543" s="31"/>
      <c r="E543" s="31"/>
      <c r="F543" s="31"/>
      <c r="G543" s="138"/>
      <c r="H543" s="139"/>
      <c r="I543" s="138"/>
      <c r="J543" s="169" t="s">
        <v>294</v>
      </c>
      <c r="K543" s="52"/>
      <c r="L543" s="52"/>
      <c r="M543" s="52"/>
      <c r="N543" s="52"/>
      <c r="O543" s="52"/>
      <c r="P543" s="52"/>
      <c r="Q543" s="52"/>
      <c r="R543" s="169" t="s">
        <v>438</v>
      </c>
      <c r="S543" s="52"/>
      <c r="T543" s="52"/>
      <c r="U543" s="52"/>
      <c r="V543" s="52"/>
      <c r="W543" s="52"/>
      <c r="X543" s="52"/>
      <c r="Y543" s="52"/>
      <c r="Z543" s="52"/>
      <c r="AA543" s="52"/>
      <c r="AB543" s="52"/>
      <c r="AC543" s="52"/>
      <c r="AD543" s="52"/>
      <c r="AE543" s="52"/>
      <c r="AF543" s="52"/>
      <c r="AG543" s="52"/>
      <c r="AH543" s="52"/>
      <c r="AI543" s="52"/>
      <c r="AJ543" s="170"/>
      <c r="AK543" s="140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141"/>
    </row>
    <row r="544" spans="2:61" ht="20.100000000000001" customHeight="1" x14ac:dyDescent="0.45">
      <c r="B544" s="168"/>
      <c r="C544" s="31"/>
      <c r="D544" s="31"/>
      <c r="E544" s="31"/>
      <c r="F544" s="31"/>
      <c r="G544" s="138"/>
      <c r="H544" s="139"/>
      <c r="I544" s="138"/>
      <c r="J544" s="169" t="s">
        <v>314</v>
      </c>
      <c r="K544" s="52"/>
      <c r="L544" s="52"/>
      <c r="M544" s="52"/>
      <c r="N544" s="52"/>
      <c r="O544" s="52"/>
      <c r="P544" s="52"/>
      <c r="Q544" s="52"/>
      <c r="R544" s="169" t="s">
        <v>439</v>
      </c>
      <c r="S544" s="52"/>
      <c r="T544" s="52"/>
      <c r="U544" s="52"/>
      <c r="V544" s="52"/>
      <c r="W544" s="52"/>
      <c r="X544" s="52"/>
      <c r="Y544" s="52"/>
      <c r="Z544" s="52"/>
      <c r="AA544" s="52"/>
      <c r="AB544" s="52"/>
      <c r="AC544" s="52"/>
      <c r="AD544" s="52"/>
      <c r="AE544" s="52"/>
      <c r="AF544" s="52"/>
      <c r="AG544" s="52"/>
      <c r="AH544" s="52"/>
      <c r="AI544" s="52"/>
      <c r="AJ544" s="170"/>
      <c r="AK544" s="140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141"/>
    </row>
    <row r="545" spans="2:61" ht="20.100000000000001" customHeight="1" x14ac:dyDescent="0.45">
      <c r="B545" s="168"/>
      <c r="C545" s="31"/>
      <c r="D545" s="31"/>
      <c r="E545" s="31"/>
      <c r="F545" s="31"/>
      <c r="G545" s="138"/>
      <c r="H545" s="139"/>
      <c r="I545" s="138"/>
      <c r="J545" s="169" t="s">
        <v>315</v>
      </c>
      <c r="K545" s="52"/>
      <c r="L545" s="52"/>
      <c r="M545" s="52"/>
      <c r="N545" s="52"/>
      <c r="O545" s="52"/>
      <c r="P545" s="52"/>
      <c r="Q545" s="52"/>
      <c r="R545" s="169" t="s">
        <v>440</v>
      </c>
      <c r="S545" s="52"/>
      <c r="T545" s="52"/>
      <c r="U545" s="52"/>
      <c r="V545" s="52"/>
      <c r="W545" s="52"/>
      <c r="X545" s="52"/>
      <c r="Y545" s="52"/>
      <c r="Z545" s="52"/>
      <c r="AA545" s="52"/>
      <c r="AB545" s="52"/>
      <c r="AC545" s="52"/>
      <c r="AD545" s="52"/>
      <c r="AE545" s="52"/>
      <c r="AF545" s="52"/>
      <c r="AG545" s="52"/>
      <c r="AH545" s="52"/>
      <c r="AI545" s="52"/>
      <c r="AJ545" s="170"/>
      <c r="AK545" s="140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141"/>
    </row>
    <row r="546" spans="2:61" ht="20.100000000000001" customHeight="1" x14ac:dyDescent="0.45">
      <c r="B546" s="168"/>
      <c r="C546" s="31"/>
      <c r="D546" s="31"/>
      <c r="E546" s="31"/>
      <c r="F546" s="31"/>
      <c r="G546" s="138"/>
      <c r="H546" s="139"/>
      <c r="I546" s="138"/>
      <c r="J546" s="169" t="s">
        <v>316</v>
      </c>
      <c r="K546" s="52"/>
      <c r="L546" s="52"/>
      <c r="M546" s="52"/>
      <c r="N546" s="52"/>
      <c r="O546" s="52"/>
      <c r="P546" s="52"/>
      <c r="Q546" s="52"/>
      <c r="R546" s="169" t="s">
        <v>441</v>
      </c>
      <c r="S546" s="52"/>
      <c r="T546" s="52"/>
      <c r="U546" s="52"/>
      <c r="V546" s="52"/>
      <c r="W546" s="52"/>
      <c r="X546" s="52"/>
      <c r="Y546" s="52"/>
      <c r="Z546" s="52"/>
      <c r="AA546" s="52"/>
      <c r="AB546" s="52"/>
      <c r="AC546" s="52"/>
      <c r="AD546" s="52"/>
      <c r="AE546" s="52"/>
      <c r="AF546" s="52"/>
      <c r="AG546" s="52"/>
      <c r="AH546" s="52"/>
      <c r="AI546" s="52"/>
      <c r="AJ546" s="170"/>
      <c r="AK546" s="140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141"/>
    </row>
    <row r="547" spans="2:61" ht="20.100000000000001" customHeight="1" x14ac:dyDescent="0.45">
      <c r="B547" s="168"/>
      <c r="C547" s="31"/>
      <c r="D547" s="31"/>
      <c r="E547" s="31"/>
      <c r="F547" s="31"/>
      <c r="G547" s="138"/>
      <c r="H547" s="139"/>
      <c r="I547" s="138"/>
      <c r="J547" s="169" t="s">
        <v>317</v>
      </c>
      <c r="K547" s="52"/>
      <c r="L547" s="52"/>
      <c r="M547" s="52"/>
      <c r="N547" s="52"/>
      <c r="O547" s="52"/>
      <c r="P547" s="52"/>
      <c r="Q547" s="52"/>
      <c r="R547" s="169" t="s">
        <v>442</v>
      </c>
      <c r="S547" s="52"/>
      <c r="T547" s="52"/>
      <c r="U547" s="52"/>
      <c r="V547" s="52"/>
      <c r="W547" s="52"/>
      <c r="X547" s="52"/>
      <c r="Y547" s="52"/>
      <c r="Z547" s="52"/>
      <c r="AA547" s="52"/>
      <c r="AB547" s="52"/>
      <c r="AC547" s="52"/>
      <c r="AD547" s="52"/>
      <c r="AE547" s="52"/>
      <c r="AF547" s="52"/>
      <c r="AG547" s="52"/>
      <c r="AH547" s="52"/>
      <c r="AI547" s="52"/>
      <c r="AJ547" s="170"/>
      <c r="AK547" s="140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141"/>
    </row>
    <row r="548" spans="2:61" ht="20.100000000000001" customHeight="1" x14ac:dyDescent="0.45">
      <c r="B548" s="168"/>
      <c r="C548" s="31"/>
      <c r="D548" s="31"/>
      <c r="E548" s="31"/>
      <c r="F548" s="31"/>
      <c r="G548" s="138"/>
      <c r="H548" s="139"/>
      <c r="I548" s="138"/>
      <c r="J548" s="169" t="s">
        <v>318</v>
      </c>
      <c r="K548" s="52"/>
      <c r="L548" s="52"/>
      <c r="M548" s="52"/>
      <c r="N548" s="52"/>
      <c r="O548" s="52"/>
      <c r="P548" s="52"/>
      <c r="Q548" s="52"/>
      <c r="R548" s="169" t="s">
        <v>443</v>
      </c>
      <c r="S548" s="52"/>
      <c r="T548" s="52"/>
      <c r="U548" s="52"/>
      <c r="V548" s="52"/>
      <c r="W548" s="52"/>
      <c r="X548" s="52"/>
      <c r="Y548" s="52"/>
      <c r="Z548" s="52"/>
      <c r="AA548" s="52"/>
      <c r="AB548" s="52"/>
      <c r="AC548" s="52"/>
      <c r="AD548" s="52"/>
      <c r="AE548" s="52"/>
      <c r="AF548" s="52"/>
      <c r="AG548" s="52"/>
      <c r="AH548" s="52"/>
      <c r="AI548" s="52"/>
      <c r="AJ548" s="170"/>
      <c r="AK548" s="140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141"/>
    </row>
    <row r="549" spans="2:61" ht="20.100000000000001" customHeight="1" x14ac:dyDescent="0.45">
      <c r="B549" s="168"/>
      <c r="C549" s="31"/>
      <c r="D549" s="31"/>
      <c r="E549" s="31"/>
      <c r="F549" s="31"/>
      <c r="G549" s="138"/>
      <c r="H549" s="139"/>
      <c r="I549" s="138"/>
      <c r="J549" s="169" t="s">
        <v>319</v>
      </c>
      <c r="K549" s="52"/>
      <c r="L549" s="52"/>
      <c r="M549" s="52"/>
      <c r="N549" s="52"/>
      <c r="O549" s="52"/>
      <c r="P549" s="52"/>
      <c r="Q549" s="52"/>
      <c r="R549" s="169" t="s">
        <v>444</v>
      </c>
      <c r="S549" s="52"/>
      <c r="T549" s="52"/>
      <c r="U549" s="52"/>
      <c r="V549" s="52"/>
      <c r="W549" s="52"/>
      <c r="X549" s="52"/>
      <c r="Y549" s="52"/>
      <c r="Z549" s="52"/>
      <c r="AA549" s="52"/>
      <c r="AB549" s="52"/>
      <c r="AC549" s="52"/>
      <c r="AD549" s="52"/>
      <c r="AE549" s="52"/>
      <c r="AF549" s="52"/>
      <c r="AG549" s="52"/>
      <c r="AH549" s="52"/>
      <c r="AI549" s="52"/>
      <c r="AJ549" s="170"/>
      <c r="AK549" s="140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141"/>
    </row>
    <row r="550" spans="2:61" ht="20.100000000000001" customHeight="1" x14ac:dyDescent="0.45">
      <c r="B550" s="168"/>
      <c r="C550" s="31"/>
      <c r="D550" s="31"/>
      <c r="E550" s="31"/>
      <c r="F550" s="31"/>
      <c r="G550" s="138"/>
      <c r="H550" s="139"/>
      <c r="I550" s="138"/>
      <c r="J550" s="169" t="s">
        <v>320</v>
      </c>
      <c r="K550" s="52"/>
      <c r="L550" s="52"/>
      <c r="M550" s="52"/>
      <c r="N550" s="52"/>
      <c r="O550" s="52"/>
      <c r="P550" s="52"/>
      <c r="Q550" s="52"/>
      <c r="R550" s="169" t="s">
        <v>445</v>
      </c>
      <c r="S550" s="52"/>
      <c r="T550" s="52"/>
      <c r="U550" s="52"/>
      <c r="V550" s="52"/>
      <c r="W550" s="52"/>
      <c r="X550" s="52"/>
      <c r="Y550" s="52"/>
      <c r="Z550" s="52"/>
      <c r="AA550" s="52"/>
      <c r="AB550" s="52"/>
      <c r="AC550" s="52"/>
      <c r="AD550" s="52"/>
      <c r="AE550" s="52"/>
      <c r="AF550" s="52"/>
      <c r="AG550" s="52"/>
      <c r="AH550" s="52"/>
      <c r="AI550" s="52"/>
      <c r="AJ550" s="170"/>
      <c r="AK550" s="140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141"/>
    </row>
    <row r="551" spans="2:61" ht="20.100000000000001" customHeight="1" x14ac:dyDescent="0.45">
      <c r="B551" s="168"/>
      <c r="C551" s="31"/>
      <c r="D551" s="31"/>
      <c r="E551" s="31"/>
      <c r="F551" s="31"/>
      <c r="G551" s="138"/>
      <c r="H551" s="139"/>
      <c r="I551" s="138"/>
      <c r="J551" s="169" t="s">
        <v>321</v>
      </c>
      <c r="K551" s="52"/>
      <c r="L551" s="52"/>
      <c r="M551" s="52"/>
      <c r="N551" s="52"/>
      <c r="O551" s="52"/>
      <c r="P551" s="52"/>
      <c r="Q551" s="52"/>
      <c r="R551" s="169" t="s">
        <v>446</v>
      </c>
      <c r="S551" s="52"/>
      <c r="T551" s="52"/>
      <c r="U551" s="52"/>
      <c r="V551" s="52"/>
      <c r="W551" s="52"/>
      <c r="X551" s="52"/>
      <c r="Y551" s="52"/>
      <c r="Z551" s="52"/>
      <c r="AA551" s="52"/>
      <c r="AB551" s="52"/>
      <c r="AC551" s="52"/>
      <c r="AD551" s="52"/>
      <c r="AE551" s="52"/>
      <c r="AF551" s="52"/>
      <c r="AG551" s="52"/>
      <c r="AH551" s="52"/>
      <c r="AI551" s="52"/>
      <c r="AJ551" s="170"/>
      <c r="AK551" s="140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141"/>
    </row>
    <row r="552" spans="2:61" ht="20.100000000000001" customHeight="1" x14ac:dyDescent="0.45">
      <c r="B552" s="168"/>
      <c r="C552" s="31"/>
      <c r="D552" s="31"/>
      <c r="E552" s="31"/>
      <c r="F552" s="31"/>
      <c r="G552" s="138"/>
      <c r="H552" s="139"/>
      <c r="I552" s="138"/>
      <c r="J552" s="169" t="s">
        <v>322</v>
      </c>
      <c r="K552" s="52"/>
      <c r="L552" s="52"/>
      <c r="M552" s="52"/>
      <c r="N552" s="52"/>
      <c r="O552" s="52"/>
      <c r="P552" s="52"/>
      <c r="Q552" s="52"/>
      <c r="R552" s="169" t="s">
        <v>447</v>
      </c>
      <c r="S552" s="52"/>
      <c r="T552" s="52"/>
      <c r="U552" s="52"/>
      <c r="V552" s="52"/>
      <c r="W552" s="52"/>
      <c r="X552" s="52"/>
      <c r="Y552" s="52"/>
      <c r="Z552" s="52"/>
      <c r="AA552" s="52"/>
      <c r="AB552" s="52"/>
      <c r="AC552" s="52"/>
      <c r="AD552" s="52"/>
      <c r="AE552" s="52"/>
      <c r="AF552" s="52"/>
      <c r="AG552" s="52"/>
      <c r="AH552" s="52"/>
      <c r="AI552" s="52"/>
      <c r="AJ552" s="170"/>
      <c r="AK552" s="140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141"/>
    </row>
    <row r="553" spans="2:61" ht="20.100000000000001" customHeight="1" x14ac:dyDescent="0.45">
      <c r="B553" s="168"/>
      <c r="C553" s="31"/>
      <c r="D553" s="31"/>
      <c r="E553" s="31"/>
      <c r="F553" s="31"/>
      <c r="G553" s="138"/>
      <c r="H553" s="139"/>
      <c r="I553" s="138"/>
      <c r="J553" s="169" t="s">
        <v>323</v>
      </c>
      <c r="K553" s="52"/>
      <c r="L553" s="52"/>
      <c r="M553" s="52"/>
      <c r="N553" s="52"/>
      <c r="O553" s="52"/>
      <c r="P553" s="52"/>
      <c r="Q553" s="52"/>
      <c r="R553" s="169" t="s">
        <v>448</v>
      </c>
      <c r="S553" s="52"/>
      <c r="T553" s="52"/>
      <c r="U553" s="52"/>
      <c r="V553" s="52"/>
      <c r="W553" s="52"/>
      <c r="X553" s="52"/>
      <c r="Y553" s="52"/>
      <c r="Z553" s="52"/>
      <c r="AA553" s="52"/>
      <c r="AB553" s="52"/>
      <c r="AC553" s="52"/>
      <c r="AD553" s="52"/>
      <c r="AE553" s="52"/>
      <c r="AF553" s="52"/>
      <c r="AG553" s="52"/>
      <c r="AH553" s="52"/>
      <c r="AI553" s="52"/>
      <c r="AJ553" s="170"/>
      <c r="AK553" s="140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141"/>
    </row>
    <row r="554" spans="2:61" ht="20.100000000000001" customHeight="1" x14ac:dyDescent="0.45">
      <c r="B554" s="168"/>
      <c r="C554" s="31"/>
      <c r="D554" s="31"/>
      <c r="E554" s="31"/>
      <c r="F554" s="31"/>
      <c r="G554" s="138"/>
      <c r="H554" s="139"/>
      <c r="I554" s="138"/>
      <c r="J554" s="169" t="s">
        <v>324</v>
      </c>
      <c r="K554" s="52"/>
      <c r="L554" s="52"/>
      <c r="M554" s="52"/>
      <c r="N554" s="52"/>
      <c r="O554" s="52"/>
      <c r="P554" s="52"/>
      <c r="Q554" s="52"/>
      <c r="R554" s="169" t="s">
        <v>449</v>
      </c>
      <c r="S554" s="52"/>
      <c r="T554" s="52"/>
      <c r="U554" s="52"/>
      <c r="V554" s="52"/>
      <c r="W554" s="52"/>
      <c r="X554" s="52"/>
      <c r="Y554" s="52"/>
      <c r="Z554" s="52"/>
      <c r="AA554" s="52"/>
      <c r="AB554" s="52"/>
      <c r="AC554" s="52"/>
      <c r="AD554" s="52"/>
      <c r="AE554" s="52"/>
      <c r="AF554" s="52"/>
      <c r="AG554" s="52"/>
      <c r="AH554" s="52"/>
      <c r="AI554" s="52"/>
      <c r="AJ554" s="170"/>
      <c r="AK554" s="140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141"/>
    </row>
    <row r="555" spans="2:61" ht="20.100000000000001" customHeight="1" x14ac:dyDescent="0.45">
      <c r="B555" s="168"/>
      <c r="C555" s="31"/>
      <c r="D555" s="31"/>
      <c r="E555" s="31"/>
      <c r="F555" s="31"/>
      <c r="G555" s="138"/>
      <c r="H555" s="139"/>
      <c r="I555" s="138"/>
      <c r="J555" s="169" t="s">
        <v>325</v>
      </c>
      <c r="K555" s="52"/>
      <c r="L555" s="52"/>
      <c r="M555" s="52"/>
      <c r="N555" s="52"/>
      <c r="O555" s="52"/>
      <c r="P555" s="52"/>
      <c r="Q555" s="52"/>
      <c r="R555" s="169" t="s">
        <v>450</v>
      </c>
      <c r="S555" s="52"/>
      <c r="T555" s="52"/>
      <c r="U555" s="52"/>
      <c r="V555" s="52"/>
      <c r="W555" s="52"/>
      <c r="X555" s="52"/>
      <c r="Y555" s="52"/>
      <c r="Z555" s="52"/>
      <c r="AA555" s="52"/>
      <c r="AB555" s="52"/>
      <c r="AC555" s="52"/>
      <c r="AD555" s="52"/>
      <c r="AE555" s="52"/>
      <c r="AF555" s="52"/>
      <c r="AG555" s="52"/>
      <c r="AH555" s="52"/>
      <c r="AI555" s="52"/>
      <c r="AJ555" s="170"/>
      <c r="AK555" s="140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141"/>
    </row>
    <row r="556" spans="2:61" ht="20.100000000000001" customHeight="1" x14ac:dyDescent="0.45">
      <c r="B556" s="168"/>
      <c r="C556" s="31"/>
      <c r="D556" s="31"/>
      <c r="E556" s="31"/>
      <c r="F556" s="31"/>
      <c r="G556" s="138"/>
      <c r="H556" s="139"/>
      <c r="I556" s="138"/>
      <c r="J556" s="169" t="s">
        <v>326</v>
      </c>
      <c r="K556" s="52"/>
      <c r="L556" s="52"/>
      <c r="M556" s="52"/>
      <c r="N556" s="52"/>
      <c r="O556" s="52"/>
      <c r="P556" s="52"/>
      <c r="Q556" s="52"/>
      <c r="R556" s="169" t="s">
        <v>451</v>
      </c>
      <c r="S556" s="52"/>
      <c r="T556" s="52"/>
      <c r="U556" s="52"/>
      <c r="V556" s="52"/>
      <c r="W556" s="52"/>
      <c r="X556" s="52"/>
      <c r="Y556" s="52"/>
      <c r="Z556" s="52"/>
      <c r="AA556" s="52"/>
      <c r="AB556" s="52"/>
      <c r="AC556" s="52"/>
      <c r="AD556" s="52"/>
      <c r="AE556" s="52"/>
      <c r="AF556" s="52"/>
      <c r="AG556" s="52"/>
      <c r="AH556" s="52"/>
      <c r="AI556" s="52"/>
      <c r="AJ556" s="170"/>
      <c r="AK556" s="140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141"/>
    </row>
    <row r="557" spans="2:61" ht="20.100000000000001" customHeight="1" x14ac:dyDescent="0.45">
      <c r="B557" s="168"/>
      <c r="C557" s="31"/>
      <c r="D557" s="31"/>
      <c r="E557" s="31"/>
      <c r="F557" s="31"/>
      <c r="G557" s="138"/>
      <c r="H557" s="139"/>
      <c r="I557" s="138"/>
      <c r="J557" s="169" t="s">
        <v>327</v>
      </c>
      <c r="K557" s="52"/>
      <c r="L557" s="52"/>
      <c r="M557" s="52"/>
      <c r="N557" s="52"/>
      <c r="O557" s="52"/>
      <c r="P557" s="52"/>
      <c r="Q557" s="52"/>
      <c r="R557" s="169" t="s">
        <v>452</v>
      </c>
      <c r="S557" s="52"/>
      <c r="T557" s="52"/>
      <c r="U557" s="52"/>
      <c r="V557" s="52"/>
      <c r="W557" s="52"/>
      <c r="X557" s="52"/>
      <c r="Y557" s="52"/>
      <c r="Z557" s="52"/>
      <c r="AA557" s="52"/>
      <c r="AB557" s="52"/>
      <c r="AC557" s="52"/>
      <c r="AD557" s="52"/>
      <c r="AE557" s="52"/>
      <c r="AF557" s="52"/>
      <c r="AG557" s="52"/>
      <c r="AH557" s="52"/>
      <c r="AI557" s="52"/>
      <c r="AJ557" s="170"/>
      <c r="AK557" s="140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141"/>
    </row>
    <row r="558" spans="2:61" ht="20.100000000000001" customHeight="1" x14ac:dyDescent="0.45">
      <c r="B558" s="168"/>
      <c r="C558" s="31"/>
      <c r="D558" s="31"/>
      <c r="E558" s="31"/>
      <c r="F558" s="31"/>
      <c r="G558" s="138"/>
      <c r="H558" s="139"/>
      <c r="I558" s="138"/>
      <c r="J558" s="169" t="s">
        <v>328</v>
      </c>
      <c r="K558" s="52"/>
      <c r="L558" s="52"/>
      <c r="M558" s="52"/>
      <c r="N558" s="52"/>
      <c r="O558" s="52"/>
      <c r="P558" s="52"/>
      <c r="Q558" s="52"/>
      <c r="R558" s="169" t="s">
        <v>453</v>
      </c>
      <c r="S558" s="52"/>
      <c r="T558" s="52"/>
      <c r="U558" s="52"/>
      <c r="V558" s="52"/>
      <c r="W558" s="52"/>
      <c r="X558" s="52"/>
      <c r="Y558" s="52"/>
      <c r="Z558" s="52"/>
      <c r="AA558" s="52"/>
      <c r="AB558" s="52"/>
      <c r="AC558" s="52"/>
      <c r="AD558" s="52"/>
      <c r="AE558" s="52"/>
      <c r="AF558" s="52"/>
      <c r="AG558" s="52"/>
      <c r="AH558" s="52"/>
      <c r="AI558" s="52"/>
      <c r="AJ558" s="170"/>
      <c r="AK558" s="140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141"/>
    </row>
    <row r="559" spans="2:61" ht="20.100000000000001" customHeight="1" x14ac:dyDescent="0.45">
      <c r="B559" s="168"/>
      <c r="C559" s="31"/>
      <c r="D559" s="31"/>
      <c r="E559" s="31"/>
      <c r="F559" s="31"/>
      <c r="G559" s="138"/>
      <c r="H559" s="139"/>
      <c r="I559" s="138"/>
      <c r="J559" s="169" t="s">
        <v>330</v>
      </c>
      <c r="K559" s="52"/>
      <c r="L559" s="52"/>
      <c r="M559" s="52"/>
      <c r="N559" s="52"/>
      <c r="O559" s="52"/>
      <c r="P559" s="52"/>
      <c r="Q559" s="52"/>
      <c r="R559" s="181" t="s">
        <v>436</v>
      </c>
      <c r="S559" s="52"/>
      <c r="T559" s="52"/>
      <c r="U559" s="52"/>
      <c r="V559" s="52"/>
      <c r="W559" s="52"/>
      <c r="X559" s="52"/>
      <c r="Y559" s="52"/>
      <c r="Z559" s="52"/>
      <c r="AA559" s="52"/>
      <c r="AB559" s="52"/>
      <c r="AC559" s="52"/>
      <c r="AD559" s="52"/>
      <c r="AE559" s="52"/>
      <c r="AF559" s="52"/>
      <c r="AG559" s="52"/>
      <c r="AH559" s="52"/>
      <c r="AI559" s="52"/>
      <c r="AJ559" s="170"/>
      <c r="AK559" s="140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141"/>
    </row>
    <row r="560" spans="2:61" ht="20.100000000000001" customHeight="1" x14ac:dyDescent="0.45">
      <c r="B560" s="168"/>
      <c r="C560" s="31"/>
      <c r="D560" s="31"/>
      <c r="E560" s="31"/>
      <c r="F560" s="31"/>
      <c r="G560" s="138"/>
      <c r="H560" s="139"/>
      <c r="I560" s="138"/>
      <c r="J560" s="169" t="s">
        <v>301</v>
      </c>
      <c r="K560" s="52"/>
      <c r="L560" s="52"/>
      <c r="M560" s="52"/>
      <c r="N560" s="52"/>
      <c r="O560" s="52"/>
      <c r="P560" s="52"/>
      <c r="Q560" s="52"/>
      <c r="R560" s="181" t="s">
        <v>436</v>
      </c>
      <c r="S560" s="52"/>
      <c r="T560" s="52"/>
      <c r="U560" s="52"/>
      <c r="V560" s="52"/>
      <c r="W560" s="52"/>
      <c r="X560" s="52"/>
      <c r="Y560" s="52"/>
      <c r="Z560" s="52"/>
      <c r="AA560" s="52"/>
      <c r="AB560" s="52"/>
      <c r="AC560" s="52"/>
      <c r="AD560" s="52"/>
      <c r="AE560" s="52"/>
      <c r="AF560" s="52"/>
      <c r="AG560" s="52"/>
      <c r="AH560" s="52"/>
      <c r="AI560" s="52"/>
      <c r="AJ560" s="170"/>
      <c r="AK560" s="140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141"/>
    </row>
    <row r="561" spans="2:61" ht="20.100000000000001" customHeight="1" x14ac:dyDescent="0.45">
      <c r="B561" s="168"/>
      <c r="C561" s="31"/>
      <c r="D561" s="31"/>
      <c r="E561" s="31"/>
      <c r="F561" s="31"/>
      <c r="G561" s="138"/>
      <c r="H561" s="139"/>
      <c r="I561" s="138"/>
      <c r="J561" s="169" t="s">
        <v>307</v>
      </c>
      <c r="K561" s="52"/>
      <c r="L561" s="52"/>
      <c r="M561" s="52"/>
      <c r="N561" s="52"/>
      <c r="O561" s="52"/>
      <c r="P561" s="52"/>
      <c r="Q561" s="52"/>
      <c r="R561" s="181" t="s">
        <v>454</v>
      </c>
      <c r="S561" s="52"/>
      <c r="T561" s="52"/>
      <c r="U561" s="52"/>
      <c r="V561" s="52"/>
      <c r="W561" s="52"/>
      <c r="X561" s="52"/>
      <c r="Y561" s="52"/>
      <c r="Z561" s="52"/>
      <c r="AA561" s="52"/>
      <c r="AB561" s="52"/>
      <c r="AC561" s="52"/>
      <c r="AD561" s="52"/>
      <c r="AE561" s="52"/>
      <c r="AF561" s="52"/>
      <c r="AG561" s="52"/>
      <c r="AH561" s="52"/>
      <c r="AI561" s="52"/>
      <c r="AJ561" s="170"/>
      <c r="AK561" s="140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141"/>
    </row>
    <row r="562" spans="2:61" ht="20.100000000000001" customHeight="1" x14ac:dyDescent="0.45">
      <c r="B562" s="168"/>
      <c r="C562" s="31"/>
      <c r="D562" s="31"/>
      <c r="E562" s="31"/>
      <c r="F562" s="31"/>
      <c r="G562" s="138"/>
      <c r="H562" s="139"/>
      <c r="I562" s="138"/>
      <c r="J562" s="169" t="s">
        <v>309</v>
      </c>
      <c r="K562" s="52"/>
      <c r="L562" s="52"/>
      <c r="M562" s="52"/>
      <c r="N562" s="52"/>
      <c r="O562" s="52"/>
      <c r="P562" s="52"/>
      <c r="Q562" s="52"/>
      <c r="R562" s="169" t="s">
        <v>455</v>
      </c>
      <c r="S562" s="52"/>
      <c r="T562" s="52"/>
      <c r="U562" s="52"/>
      <c r="V562" s="52"/>
      <c r="W562" s="52"/>
      <c r="X562" s="52"/>
      <c r="Y562" s="52"/>
      <c r="Z562" s="52"/>
      <c r="AA562" s="52"/>
      <c r="AB562" s="52"/>
      <c r="AC562" s="52"/>
      <c r="AD562" s="52"/>
      <c r="AE562" s="52"/>
      <c r="AF562" s="52"/>
      <c r="AG562" s="52"/>
      <c r="AH562" s="52"/>
      <c r="AI562" s="52"/>
      <c r="AJ562" s="170"/>
      <c r="AK562" s="140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141"/>
    </row>
    <row r="563" spans="2:61" ht="20.100000000000001" customHeight="1" x14ac:dyDescent="0.45">
      <c r="B563" s="168"/>
      <c r="C563" s="31"/>
      <c r="D563" s="31"/>
      <c r="E563" s="31"/>
      <c r="F563" s="31"/>
      <c r="G563" s="138"/>
      <c r="H563" s="139"/>
      <c r="I563" s="138"/>
      <c r="J563" s="169" t="s">
        <v>333</v>
      </c>
      <c r="K563" s="52"/>
      <c r="L563" s="52"/>
      <c r="M563" s="52"/>
      <c r="N563" s="52"/>
      <c r="O563" s="52"/>
      <c r="P563" s="52"/>
      <c r="Q563" s="52"/>
      <c r="R563" s="169" t="s">
        <v>436</v>
      </c>
      <c r="S563" s="52"/>
      <c r="T563" s="52"/>
      <c r="U563" s="52"/>
      <c r="V563" s="52"/>
      <c r="W563" s="52"/>
      <c r="X563" s="52"/>
      <c r="Y563" s="52"/>
      <c r="Z563" s="52"/>
      <c r="AA563" s="52"/>
      <c r="AB563" s="52"/>
      <c r="AC563" s="52"/>
      <c r="AD563" s="52"/>
      <c r="AE563" s="52"/>
      <c r="AF563" s="52"/>
      <c r="AG563" s="52"/>
      <c r="AH563" s="52"/>
      <c r="AI563" s="52"/>
      <c r="AJ563" s="170"/>
      <c r="AK563" s="140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141"/>
    </row>
    <row r="564" spans="2:61" ht="20.100000000000001" customHeight="1" x14ac:dyDescent="0.45">
      <c r="B564" s="168"/>
      <c r="C564" s="31"/>
      <c r="D564" s="31"/>
      <c r="E564" s="31"/>
      <c r="F564" s="31"/>
      <c r="G564" s="138"/>
      <c r="H564" s="139"/>
      <c r="I564" s="138"/>
      <c r="J564" s="169" t="s">
        <v>305</v>
      </c>
      <c r="K564" s="52"/>
      <c r="L564" s="52"/>
      <c r="M564" s="52"/>
      <c r="N564" s="52"/>
      <c r="O564" s="52"/>
      <c r="P564" s="52"/>
      <c r="Q564" s="52"/>
      <c r="R564" s="169" t="s">
        <v>436</v>
      </c>
      <c r="S564" s="52"/>
      <c r="T564" s="52"/>
      <c r="U564" s="52"/>
      <c r="V564" s="52"/>
      <c r="W564" s="52"/>
      <c r="X564" s="52"/>
      <c r="Y564" s="52"/>
      <c r="Z564" s="52"/>
      <c r="AA564" s="52"/>
      <c r="AB564" s="52"/>
      <c r="AC564" s="52"/>
      <c r="AD564" s="52"/>
      <c r="AE564" s="52"/>
      <c r="AF564" s="52"/>
      <c r="AG564" s="52"/>
      <c r="AH564" s="52"/>
      <c r="AI564" s="52"/>
      <c r="AJ564" s="170"/>
      <c r="AK564" s="140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141"/>
    </row>
    <row r="565" spans="2:61" ht="20.100000000000001" customHeight="1" x14ac:dyDescent="0.45">
      <c r="B565" s="168"/>
      <c r="C565" s="31"/>
      <c r="D565" s="31"/>
      <c r="E565" s="31"/>
      <c r="F565" s="31"/>
      <c r="G565" s="138"/>
      <c r="H565" s="139"/>
      <c r="I565" s="138"/>
      <c r="J565" s="169" t="s">
        <v>334</v>
      </c>
      <c r="K565" s="52"/>
      <c r="L565" s="52"/>
      <c r="M565" s="52"/>
      <c r="N565" s="52"/>
      <c r="O565" s="52"/>
      <c r="P565" s="52"/>
      <c r="Q565" s="52"/>
      <c r="R565" s="169" t="s">
        <v>456</v>
      </c>
      <c r="S565" s="52"/>
      <c r="T565" s="52"/>
      <c r="U565" s="52"/>
      <c r="V565" s="52"/>
      <c r="W565" s="52"/>
      <c r="X565" s="52"/>
      <c r="Y565" s="52"/>
      <c r="Z565" s="52"/>
      <c r="AA565" s="52"/>
      <c r="AB565" s="52"/>
      <c r="AC565" s="52"/>
      <c r="AD565" s="52"/>
      <c r="AE565" s="52"/>
      <c r="AF565" s="52"/>
      <c r="AG565" s="52"/>
      <c r="AH565" s="52"/>
      <c r="AI565" s="52"/>
      <c r="AJ565" s="170"/>
      <c r="AK565" s="140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141"/>
    </row>
    <row r="566" spans="2:61" ht="20.100000000000001" customHeight="1" x14ac:dyDescent="0.45">
      <c r="B566" s="168"/>
      <c r="C566" s="31"/>
      <c r="D566" s="31"/>
      <c r="E566" s="31"/>
      <c r="F566" s="31"/>
      <c r="G566" s="138"/>
      <c r="H566" s="139"/>
      <c r="I566" s="138"/>
      <c r="J566" s="169" t="s">
        <v>335</v>
      </c>
      <c r="K566" s="52"/>
      <c r="L566" s="52"/>
      <c r="M566" s="52"/>
      <c r="N566" s="52"/>
      <c r="O566" s="52"/>
      <c r="P566" s="52"/>
      <c r="Q566" s="52"/>
      <c r="R566" s="169" t="s">
        <v>457</v>
      </c>
      <c r="S566" s="52"/>
      <c r="T566" s="52"/>
      <c r="U566" s="52"/>
      <c r="V566" s="52"/>
      <c r="W566" s="52"/>
      <c r="X566" s="52"/>
      <c r="Y566" s="52"/>
      <c r="Z566" s="52"/>
      <c r="AA566" s="52"/>
      <c r="AB566" s="52"/>
      <c r="AC566" s="52"/>
      <c r="AD566" s="52"/>
      <c r="AE566" s="52"/>
      <c r="AF566" s="52"/>
      <c r="AG566" s="52"/>
      <c r="AH566" s="52"/>
      <c r="AI566" s="52"/>
      <c r="AJ566" s="170"/>
      <c r="AK566" s="140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141"/>
    </row>
    <row r="567" spans="2:61" ht="20.100000000000001" customHeight="1" x14ac:dyDescent="0.45">
      <c r="B567" s="168"/>
      <c r="C567" s="31"/>
      <c r="D567" s="31"/>
      <c r="E567" s="31"/>
      <c r="F567" s="31"/>
      <c r="G567" s="138"/>
      <c r="H567" s="139"/>
      <c r="I567" s="138"/>
      <c r="J567" s="169" t="s">
        <v>336</v>
      </c>
      <c r="K567" s="52"/>
      <c r="L567" s="52"/>
      <c r="M567" s="52"/>
      <c r="N567" s="52"/>
      <c r="O567" s="52"/>
      <c r="P567" s="52"/>
      <c r="Q567" s="52"/>
      <c r="R567" s="169" t="s">
        <v>458</v>
      </c>
      <c r="S567" s="52"/>
      <c r="T567" s="52"/>
      <c r="U567" s="52"/>
      <c r="V567" s="52"/>
      <c r="W567" s="52"/>
      <c r="X567" s="52"/>
      <c r="Y567" s="52"/>
      <c r="Z567" s="52"/>
      <c r="AA567" s="52"/>
      <c r="AB567" s="52"/>
      <c r="AC567" s="52"/>
      <c r="AD567" s="52"/>
      <c r="AE567" s="52"/>
      <c r="AF567" s="52"/>
      <c r="AG567" s="52"/>
      <c r="AH567" s="52"/>
      <c r="AI567" s="52"/>
      <c r="AJ567" s="170"/>
      <c r="AK567" s="140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141"/>
    </row>
    <row r="568" spans="2:61" ht="20.100000000000001" customHeight="1" x14ac:dyDescent="0.45">
      <c r="B568" s="168"/>
      <c r="C568" s="31"/>
      <c r="D568" s="31"/>
      <c r="E568" s="31"/>
      <c r="F568" s="31"/>
      <c r="G568" s="138"/>
      <c r="H568" s="139"/>
      <c r="I568" s="138"/>
      <c r="J568" s="169" t="s">
        <v>337</v>
      </c>
      <c r="K568" s="52"/>
      <c r="L568" s="52"/>
      <c r="M568" s="52"/>
      <c r="N568" s="52"/>
      <c r="O568" s="52"/>
      <c r="P568" s="52"/>
      <c r="Q568" s="52"/>
      <c r="R568" s="169" t="s">
        <v>459</v>
      </c>
      <c r="S568" s="52"/>
      <c r="T568" s="52"/>
      <c r="U568" s="52"/>
      <c r="V568" s="52"/>
      <c r="W568" s="52"/>
      <c r="X568" s="52"/>
      <c r="Y568" s="52"/>
      <c r="Z568" s="52"/>
      <c r="AA568" s="52"/>
      <c r="AB568" s="52"/>
      <c r="AC568" s="52"/>
      <c r="AD568" s="52"/>
      <c r="AE568" s="52"/>
      <c r="AF568" s="52"/>
      <c r="AG568" s="52"/>
      <c r="AH568" s="52"/>
      <c r="AI568" s="52"/>
      <c r="AJ568" s="170"/>
      <c r="AK568" s="140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141"/>
    </row>
    <row r="569" spans="2:61" ht="20.100000000000001" customHeight="1" x14ac:dyDescent="0.45">
      <c r="B569" s="168"/>
      <c r="C569" s="31"/>
      <c r="D569" s="31"/>
      <c r="E569" s="31"/>
      <c r="F569" s="31"/>
      <c r="G569" s="138"/>
      <c r="H569" s="139"/>
      <c r="I569" s="138"/>
      <c r="J569" s="169" t="s">
        <v>338</v>
      </c>
      <c r="K569" s="52"/>
      <c r="L569" s="52"/>
      <c r="M569" s="52"/>
      <c r="N569" s="52"/>
      <c r="O569" s="52"/>
      <c r="P569" s="52"/>
      <c r="Q569" s="52"/>
      <c r="R569" s="169" t="s">
        <v>460</v>
      </c>
      <c r="S569" s="52"/>
      <c r="T569" s="52"/>
      <c r="U569" s="52"/>
      <c r="V569" s="52"/>
      <c r="W569" s="52"/>
      <c r="X569" s="52"/>
      <c r="Y569" s="52"/>
      <c r="Z569" s="52"/>
      <c r="AA569" s="52"/>
      <c r="AB569" s="52"/>
      <c r="AC569" s="52"/>
      <c r="AD569" s="52"/>
      <c r="AE569" s="52"/>
      <c r="AF569" s="52"/>
      <c r="AG569" s="52"/>
      <c r="AH569" s="52"/>
      <c r="AI569" s="52"/>
      <c r="AJ569" s="170"/>
      <c r="AK569" s="140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141"/>
    </row>
    <row r="570" spans="2:61" ht="20.100000000000001" customHeight="1" x14ac:dyDescent="0.45">
      <c r="B570" s="168"/>
      <c r="C570" s="31"/>
      <c r="D570" s="31"/>
      <c r="E570" s="31"/>
      <c r="F570" s="31"/>
      <c r="G570" s="138"/>
      <c r="H570" s="139"/>
      <c r="I570" s="138"/>
      <c r="J570" s="142" t="s">
        <v>339</v>
      </c>
      <c r="K570" s="55"/>
      <c r="L570" s="55"/>
      <c r="M570" s="55"/>
      <c r="N570" s="55"/>
      <c r="O570" s="55"/>
      <c r="P570" s="55"/>
      <c r="Q570" s="55"/>
      <c r="R570" s="142" t="s">
        <v>461</v>
      </c>
      <c r="S570" s="55"/>
      <c r="T570" s="55"/>
      <c r="U570" s="55"/>
      <c r="V570" s="55"/>
      <c r="W570" s="55"/>
      <c r="X570" s="55"/>
      <c r="Y570" s="55"/>
      <c r="Z570" s="55"/>
      <c r="AA570" s="55"/>
      <c r="AB570" s="55"/>
      <c r="AC570" s="55"/>
      <c r="AD570" s="55"/>
      <c r="AE570" s="55"/>
      <c r="AF570" s="55"/>
      <c r="AG570" s="55"/>
      <c r="AH570" s="55"/>
      <c r="AI570" s="55"/>
      <c r="AJ570" s="175"/>
      <c r="AK570" s="140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141"/>
    </row>
    <row r="571" spans="2:61" ht="20.100000000000001" customHeight="1" thickBot="1" x14ac:dyDescent="0.5">
      <c r="B571" s="168"/>
      <c r="C571" s="31"/>
      <c r="D571" s="31"/>
      <c r="E571" s="31"/>
      <c r="F571" s="31"/>
      <c r="G571" s="138"/>
      <c r="H571" s="142" t="s">
        <v>145</v>
      </c>
      <c r="I571" s="55"/>
      <c r="J571" s="142" t="s">
        <v>259</v>
      </c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  <c r="AA571" s="55"/>
      <c r="AB571" s="55"/>
      <c r="AC571" s="55"/>
      <c r="AD571" s="55"/>
      <c r="AE571" s="55"/>
      <c r="AF571" s="55"/>
      <c r="AG571" s="55"/>
      <c r="AH571" s="55"/>
      <c r="AI571" s="55"/>
      <c r="AJ571" s="55"/>
      <c r="AK571" s="143"/>
      <c r="AL571" s="55"/>
      <c r="AM571" s="55"/>
      <c r="AN571" s="55"/>
      <c r="AO571" s="55"/>
      <c r="AP571" s="55"/>
      <c r="AQ571" s="55"/>
      <c r="AR571" s="55"/>
      <c r="AS571" s="55"/>
      <c r="AT571" s="55"/>
      <c r="AU571" s="55"/>
      <c r="AV571" s="55"/>
      <c r="AW571" s="55"/>
      <c r="AX571" s="55"/>
      <c r="AY571" s="55"/>
      <c r="AZ571" s="55"/>
      <c r="BA571" s="55"/>
      <c r="BB571" s="55"/>
      <c r="BC571" s="55"/>
      <c r="BD571" s="55"/>
      <c r="BE571" s="55"/>
      <c r="BF571" s="55"/>
      <c r="BG571" s="55"/>
      <c r="BH571" s="55"/>
      <c r="BI571" s="144"/>
    </row>
    <row r="572" spans="2:61" ht="20.100000000000001" customHeight="1" x14ac:dyDescent="0.45">
      <c r="B572" s="131" t="s">
        <v>462</v>
      </c>
      <c r="C572" s="132"/>
      <c r="D572" s="132"/>
      <c r="E572" s="132"/>
      <c r="F572" s="132"/>
      <c r="G572" s="133"/>
      <c r="H572" s="134" t="s">
        <v>237</v>
      </c>
      <c r="I572" s="133"/>
      <c r="J572" s="173" t="s">
        <v>310</v>
      </c>
      <c r="K572" s="166"/>
      <c r="L572" s="166"/>
      <c r="M572" s="166"/>
      <c r="N572" s="166"/>
      <c r="O572" s="166"/>
      <c r="P572" s="166"/>
      <c r="Q572" s="166"/>
      <c r="R572" s="173" t="s">
        <v>463</v>
      </c>
      <c r="S572" s="166"/>
      <c r="T572" s="166"/>
      <c r="U572" s="166"/>
      <c r="V572" s="166"/>
      <c r="W572" s="166"/>
      <c r="X572" s="166"/>
      <c r="Y572" s="166"/>
      <c r="Z572" s="166"/>
      <c r="AA572" s="166"/>
      <c r="AB572" s="166"/>
      <c r="AC572" s="166"/>
      <c r="AD572" s="166"/>
      <c r="AE572" s="166"/>
      <c r="AF572" s="166"/>
      <c r="AG572" s="166"/>
      <c r="AH572" s="166"/>
      <c r="AI572" s="166"/>
      <c r="AJ572" s="167"/>
      <c r="AK572" s="135"/>
      <c r="AL572" s="132"/>
      <c r="AM572" s="132"/>
      <c r="AN572" s="132"/>
      <c r="AO572" s="132"/>
      <c r="AP572" s="132"/>
      <c r="AQ572" s="132"/>
      <c r="AR572" s="132"/>
      <c r="AS572" s="132"/>
      <c r="AT572" s="132"/>
      <c r="AU572" s="132"/>
      <c r="AV572" s="132"/>
      <c r="AW572" s="132"/>
      <c r="AX572" s="132"/>
      <c r="AY572" s="132"/>
      <c r="AZ572" s="132"/>
      <c r="BA572" s="132"/>
      <c r="BB572" s="132"/>
      <c r="BC572" s="132"/>
      <c r="BD572" s="132"/>
      <c r="BE572" s="132"/>
      <c r="BF572" s="132"/>
      <c r="BG572" s="132"/>
      <c r="BH572" s="132"/>
      <c r="BI572" s="136"/>
    </row>
    <row r="573" spans="2:61" ht="20.100000000000001" customHeight="1" x14ac:dyDescent="0.45">
      <c r="B573" s="168"/>
      <c r="C573" s="31"/>
      <c r="D573" s="31"/>
      <c r="E573" s="31"/>
      <c r="F573" s="31"/>
      <c r="G573" s="138"/>
      <c r="H573" s="139"/>
      <c r="I573" s="138"/>
      <c r="J573" s="169" t="s">
        <v>485</v>
      </c>
      <c r="K573" s="52"/>
      <c r="L573" s="52"/>
      <c r="M573" s="52"/>
      <c r="N573" s="52"/>
      <c r="O573" s="52"/>
      <c r="P573" s="52"/>
      <c r="Q573" s="52"/>
      <c r="R573" s="169" t="s">
        <v>464</v>
      </c>
      <c r="S573" s="52"/>
      <c r="T573" s="52"/>
      <c r="U573" s="52"/>
      <c r="V573" s="52"/>
      <c r="W573" s="52"/>
      <c r="X573" s="52"/>
      <c r="Y573" s="52"/>
      <c r="Z573" s="52"/>
      <c r="AA573" s="52"/>
      <c r="AB573" s="52"/>
      <c r="AC573" s="52"/>
      <c r="AD573" s="52"/>
      <c r="AE573" s="52"/>
      <c r="AF573" s="52"/>
      <c r="AG573" s="52"/>
      <c r="AH573" s="52"/>
      <c r="AI573" s="52"/>
      <c r="AJ573" s="170"/>
      <c r="AK573" s="140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141"/>
    </row>
    <row r="574" spans="2:61" ht="20.100000000000001" customHeight="1" x14ac:dyDescent="0.45">
      <c r="B574" s="168"/>
      <c r="C574" s="31"/>
      <c r="D574" s="31"/>
      <c r="E574" s="31"/>
      <c r="F574" s="31"/>
      <c r="G574" s="138"/>
      <c r="H574" s="139"/>
      <c r="I574" s="138"/>
      <c r="J574" s="169" t="s">
        <v>486</v>
      </c>
      <c r="K574" s="52"/>
      <c r="L574" s="52"/>
      <c r="M574" s="52"/>
      <c r="N574" s="52"/>
      <c r="O574" s="52"/>
      <c r="P574" s="52"/>
      <c r="Q574" s="52"/>
      <c r="R574" s="169" t="s">
        <v>465</v>
      </c>
      <c r="S574" s="52"/>
      <c r="T574" s="52"/>
      <c r="U574" s="52"/>
      <c r="V574" s="52"/>
      <c r="W574" s="52"/>
      <c r="X574" s="52"/>
      <c r="Y574" s="52"/>
      <c r="Z574" s="52"/>
      <c r="AA574" s="52"/>
      <c r="AB574" s="52"/>
      <c r="AC574" s="52"/>
      <c r="AD574" s="52"/>
      <c r="AE574" s="52"/>
      <c r="AF574" s="52"/>
      <c r="AG574" s="52"/>
      <c r="AH574" s="52"/>
      <c r="AI574" s="52"/>
      <c r="AJ574" s="170"/>
      <c r="AK574" s="140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141"/>
    </row>
    <row r="575" spans="2:61" ht="20.100000000000001" customHeight="1" x14ac:dyDescent="0.45">
      <c r="B575" s="168"/>
      <c r="C575" s="31"/>
      <c r="D575" s="31"/>
      <c r="E575" s="31"/>
      <c r="F575" s="31"/>
      <c r="G575" s="138"/>
      <c r="H575" s="139"/>
      <c r="I575" s="138"/>
      <c r="J575" s="169" t="s">
        <v>487</v>
      </c>
      <c r="K575" s="52"/>
      <c r="L575" s="52"/>
      <c r="M575" s="52"/>
      <c r="N575" s="52"/>
      <c r="O575" s="52"/>
      <c r="P575" s="52"/>
      <c r="Q575" s="52"/>
      <c r="R575" s="169" t="s">
        <v>466</v>
      </c>
      <c r="S575" s="52"/>
      <c r="T575" s="52"/>
      <c r="U575" s="52"/>
      <c r="V575" s="52"/>
      <c r="W575" s="52"/>
      <c r="X575" s="52"/>
      <c r="Y575" s="52"/>
      <c r="Z575" s="52"/>
      <c r="AA575" s="52"/>
      <c r="AB575" s="52"/>
      <c r="AC575" s="52"/>
      <c r="AD575" s="52"/>
      <c r="AE575" s="52"/>
      <c r="AF575" s="52"/>
      <c r="AG575" s="52"/>
      <c r="AH575" s="52"/>
      <c r="AI575" s="52"/>
      <c r="AJ575" s="170"/>
      <c r="AK575" s="140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141"/>
    </row>
    <row r="576" spans="2:61" ht="20.100000000000001" customHeight="1" x14ac:dyDescent="0.45">
      <c r="B576" s="168"/>
      <c r="C576" s="31"/>
      <c r="D576" s="31"/>
      <c r="E576" s="31"/>
      <c r="F576" s="31"/>
      <c r="G576" s="138"/>
      <c r="H576" s="139"/>
      <c r="I576" s="138"/>
      <c r="J576" s="169" t="s">
        <v>488</v>
      </c>
      <c r="K576" s="52"/>
      <c r="L576" s="52"/>
      <c r="M576" s="52"/>
      <c r="N576" s="52"/>
      <c r="O576" s="52"/>
      <c r="P576" s="52"/>
      <c r="Q576" s="52"/>
      <c r="R576" s="169" t="s">
        <v>467</v>
      </c>
      <c r="S576" s="52"/>
      <c r="T576" s="52"/>
      <c r="U576" s="52"/>
      <c r="V576" s="52"/>
      <c r="W576" s="52"/>
      <c r="X576" s="52"/>
      <c r="Y576" s="52"/>
      <c r="Z576" s="52"/>
      <c r="AA576" s="52"/>
      <c r="AB576" s="52"/>
      <c r="AC576" s="52"/>
      <c r="AD576" s="52"/>
      <c r="AE576" s="52"/>
      <c r="AF576" s="52"/>
      <c r="AG576" s="52"/>
      <c r="AH576" s="52"/>
      <c r="AI576" s="52"/>
      <c r="AJ576" s="170"/>
      <c r="AK576" s="140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141"/>
    </row>
    <row r="577" spans="2:61" ht="20.100000000000001" customHeight="1" x14ac:dyDescent="0.45">
      <c r="B577" s="168"/>
      <c r="C577" s="31"/>
      <c r="D577" s="31"/>
      <c r="E577" s="31"/>
      <c r="F577" s="31"/>
      <c r="G577" s="138"/>
      <c r="H577" s="139"/>
      <c r="I577" s="138"/>
      <c r="J577" s="169" t="s">
        <v>489</v>
      </c>
      <c r="K577" s="52"/>
      <c r="L577" s="52"/>
      <c r="M577" s="52"/>
      <c r="N577" s="52"/>
      <c r="O577" s="52"/>
      <c r="P577" s="52"/>
      <c r="Q577" s="52"/>
      <c r="R577" s="169" t="s">
        <v>468</v>
      </c>
      <c r="S577" s="52"/>
      <c r="T577" s="52"/>
      <c r="U577" s="52"/>
      <c r="V577" s="52"/>
      <c r="W577" s="52"/>
      <c r="X577" s="52"/>
      <c r="Y577" s="52"/>
      <c r="Z577" s="52"/>
      <c r="AA577" s="52"/>
      <c r="AB577" s="52"/>
      <c r="AC577" s="52"/>
      <c r="AD577" s="52"/>
      <c r="AE577" s="52"/>
      <c r="AF577" s="52"/>
      <c r="AG577" s="52"/>
      <c r="AH577" s="52"/>
      <c r="AI577" s="52"/>
      <c r="AJ577" s="170"/>
      <c r="AK577" s="140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141"/>
    </row>
    <row r="578" spans="2:61" ht="20.100000000000001" customHeight="1" x14ac:dyDescent="0.45">
      <c r="B578" s="168"/>
      <c r="C578" s="31"/>
      <c r="D578" s="31"/>
      <c r="E578" s="31"/>
      <c r="F578" s="31"/>
      <c r="G578" s="138"/>
      <c r="H578" s="139"/>
      <c r="I578" s="138"/>
      <c r="J578" s="169" t="s">
        <v>490</v>
      </c>
      <c r="K578" s="52"/>
      <c r="L578" s="52"/>
      <c r="M578" s="52"/>
      <c r="N578" s="52"/>
      <c r="O578" s="52"/>
      <c r="P578" s="52"/>
      <c r="Q578" s="52"/>
      <c r="R578" s="169" t="s">
        <v>469</v>
      </c>
      <c r="S578" s="52"/>
      <c r="T578" s="52"/>
      <c r="U578" s="52"/>
      <c r="V578" s="52"/>
      <c r="W578" s="52"/>
      <c r="X578" s="52"/>
      <c r="Y578" s="52"/>
      <c r="Z578" s="52"/>
      <c r="AA578" s="52"/>
      <c r="AB578" s="52"/>
      <c r="AC578" s="52"/>
      <c r="AD578" s="52"/>
      <c r="AE578" s="52"/>
      <c r="AF578" s="52"/>
      <c r="AG578" s="52"/>
      <c r="AH578" s="52"/>
      <c r="AI578" s="52"/>
      <c r="AJ578" s="170"/>
      <c r="AK578" s="140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141"/>
    </row>
    <row r="579" spans="2:61" ht="20.100000000000001" customHeight="1" x14ac:dyDescent="0.45">
      <c r="B579" s="168"/>
      <c r="C579" s="31"/>
      <c r="D579" s="31"/>
      <c r="E579" s="31"/>
      <c r="F579" s="31"/>
      <c r="G579" s="138"/>
      <c r="H579" s="139"/>
      <c r="I579" s="138"/>
      <c r="J579" s="169" t="s">
        <v>491</v>
      </c>
      <c r="K579" s="52"/>
      <c r="L579" s="52"/>
      <c r="M579" s="52"/>
      <c r="N579" s="52"/>
      <c r="O579" s="52"/>
      <c r="P579" s="52"/>
      <c r="Q579" s="52"/>
      <c r="R579" s="169" t="s">
        <v>470</v>
      </c>
      <c r="S579" s="52"/>
      <c r="T579" s="52"/>
      <c r="U579" s="52"/>
      <c r="V579" s="52"/>
      <c r="W579" s="52"/>
      <c r="X579" s="52"/>
      <c r="Y579" s="52"/>
      <c r="Z579" s="52"/>
      <c r="AA579" s="52"/>
      <c r="AB579" s="52"/>
      <c r="AC579" s="52"/>
      <c r="AD579" s="52"/>
      <c r="AE579" s="52"/>
      <c r="AF579" s="52"/>
      <c r="AG579" s="52"/>
      <c r="AH579" s="52"/>
      <c r="AI579" s="52"/>
      <c r="AJ579" s="170"/>
      <c r="AK579" s="140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141"/>
    </row>
    <row r="580" spans="2:61" ht="20.100000000000001" customHeight="1" x14ac:dyDescent="0.45">
      <c r="B580" s="168"/>
      <c r="C580" s="31"/>
      <c r="D580" s="31"/>
      <c r="E580" s="31"/>
      <c r="F580" s="31"/>
      <c r="G580" s="138"/>
      <c r="H580" s="139"/>
      <c r="I580" s="138"/>
      <c r="J580" s="169" t="s">
        <v>492</v>
      </c>
      <c r="K580" s="52"/>
      <c r="L580" s="52"/>
      <c r="M580" s="52"/>
      <c r="N580" s="52"/>
      <c r="O580" s="52"/>
      <c r="P580" s="52"/>
      <c r="Q580" s="52"/>
      <c r="R580" s="169" t="s">
        <v>471</v>
      </c>
      <c r="S580" s="52"/>
      <c r="T580" s="52"/>
      <c r="U580" s="52"/>
      <c r="V580" s="52"/>
      <c r="W580" s="52"/>
      <c r="X580" s="52"/>
      <c r="Y580" s="52"/>
      <c r="Z580" s="52"/>
      <c r="AA580" s="52"/>
      <c r="AB580" s="52"/>
      <c r="AC580" s="52"/>
      <c r="AD580" s="52"/>
      <c r="AE580" s="52"/>
      <c r="AF580" s="52"/>
      <c r="AG580" s="52"/>
      <c r="AH580" s="52"/>
      <c r="AI580" s="52"/>
      <c r="AJ580" s="170"/>
      <c r="AK580" s="140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141"/>
    </row>
    <row r="581" spans="2:61" ht="20.100000000000001" customHeight="1" x14ac:dyDescent="0.45">
      <c r="B581" s="168"/>
      <c r="C581" s="31"/>
      <c r="D581" s="31"/>
      <c r="E581" s="31"/>
      <c r="F581" s="31"/>
      <c r="G581" s="138"/>
      <c r="H581" s="139"/>
      <c r="I581" s="138"/>
      <c r="J581" s="169" t="s">
        <v>493</v>
      </c>
      <c r="K581" s="52"/>
      <c r="L581" s="52"/>
      <c r="M581" s="52"/>
      <c r="N581" s="52"/>
      <c r="O581" s="52"/>
      <c r="P581" s="52"/>
      <c r="Q581" s="52"/>
      <c r="R581" s="169" t="s">
        <v>472</v>
      </c>
      <c r="S581" s="52"/>
      <c r="T581" s="52"/>
      <c r="U581" s="52"/>
      <c r="V581" s="52"/>
      <c r="W581" s="52"/>
      <c r="X581" s="52"/>
      <c r="Y581" s="52"/>
      <c r="Z581" s="52"/>
      <c r="AA581" s="52"/>
      <c r="AB581" s="52"/>
      <c r="AC581" s="52"/>
      <c r="AD581" s="52"/>
      <c r="AE581" s="52"/>
      <c r="AF581" s="52"/>
      <c r="AG581" s="52"/>
      <c r="AH581" s="52"/>
      <c r="AI581" s="52"/>
      <c r="AJ581" s="170"/>
      <c r="AK581" s="140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141"/>
    </row>
    <row r="582" spans="2:61" ht="20.100000000000001" customHeight="1" x14ac:dyDescent="0.45">
      <c r="B582" s="168"/>
      <c r="C582" s="31"/>
      <c r="D582" s="31"/>
      <c r="E582" s="31"/>
      <c r="F582" s="31"/>
      <c r="G582" s="138"/>
      <c r="H582" s="139"/>
      <c r="I582" s="138"/>
      <c r="J582" s="169" t="s">
        <v>494</v>
      </c>
      <c r="K582" s="52"/>
      <c r="L582" s="52"/>
      <c r="M582" s="52"/>
      <c r="N582" s="52"/>
      <c r="O582" s="52"/>
      <c r="P582" s="52"/>
      <c r="Q582" s="52"/>
      <c r="R582" s="169" t="s">
        <v>473</v>
      </c>
      <c r="S582" s="52"/>
      <c r="T582" s="52"/>
      <c r="U582" s="52"/>
      <c r="V582" s="52"/>
      <c r="W582" s="52"/>
      <c r="X582" s="52"/>
      <c r="Y582" s="52"/>
      <c r="Z582" s="52"/>
      <c r="AA582" s="52"/>
      <c r="AB582" s="52"/>
      <c r="AC582" s="52"/>
      <c r="AD582" s="52"/>
      <c r="AE582" s="52"/>
      <c r="AF582" s="52"/>
      <c r="AG582" s="52"/>
      <c r="AH582" s="52"/>
      <c r="AI582" s="52"/>
      <c r="AJ582" s="170"/>
      <c r="AK582" s="140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141"/>
    </row>
    <row r="583" spans="2:61" ht="20.100000000000001" customHeight="1" x14ac:dyDescent="0.45">
      <c r="B583" s="168"/>
      <c r="C583" s="31"/>
      <c r="D583" s="31"/>
      <c r="E583" s="31"/>
      <c r="F583" s="31"/>
      <c r="G583" s="138"/>
      <c r="H583" s="139"/>
      <c r="I583" s="138"/>
      <c r="J583" s="169" t="s">
        <v>495</v>
      </c>
      <c r="K583" s="52"/>
      <c r="L583" s="52"/>
      <c r="M583" s="52"/>
      <c r="N583" s="52"/>
      <c r="O583" s="52"/>
      <c r="P583" s="52"/>
      <c r="Q583" s="52"/>
      <c r="R583" s="169" t="s">
        <v>474</v>
      </c>
      <c r="S583" s="52"/>
      <c r="T583" s="52"/>
      <c r="U583" s="52"/>
      <c r="V583" s="52"/>
      <c r="W583" s="52"/>
      <c r="X583" s="52"/>
      <c r="Y583" s="52"/>
      <c r="Z583" s="52"/>
      <c r="AA583" s="52"/>
      <c r="AB583" s="52"/>
      <c r="AC583" s="52"/>
      <c r="AD583" s="52"/>
      <c r="AE583" s="52"/>
      <c r="AF583" s="52"/>
      <c r="AG583" s="52"/>
      <c r="AH583" s="52"/>
      <c r="AI583" s="52"/>
      <c r="AJ583" s="170"/>
      <c r="AK583" s="140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141"/>
    </row>
    <row r="584" spans="2:61" ht="20.100000000000001" customHeight="1" x14ac:dyDescent="0.45">
      <c r="B584" s="168"/>
      <c r="C584" s="31"/>
      <c r="D584" s="31"/>
      <c r="E584" s="31"/>
      <c r="F584" s="31"/>
      <c r="G584" s="138"/>
      <c r="H584" s="139"/>
      <c r="I584" s="138"/>
      <c r="J584" s="169" t="s">
        <v>496</v>
      </c>
      <c r="K584" s="52"/>
      <c r="L584" s="52"/>
      <c r="M584" s="52"/>
      <c r="N584" s="52"/>
      <c r="O584" s="52"/>
      <c r="P584" s="52"/>
      <c r="Q584" s="52"/>
      <c r="R584" s="169" t="s">
        <v>475</v>
      </c>
      <c r="S584" s="52"/>
      <c r="T584" s="52"/>
      <c r="U584" s="52"/>
      <c r="V584" s="52"/>
      <c r="W584" s="52"/>
      <c r="X584" s="52"/>
      <c r="Y584" s="52"/>
      <c r="Z584" s="52"/>
      <c r="AA584" s="52"/>
      <c r="AB584" s="52"/>
      <c r="AC584" s="52"/>
      <c r="AD584" s="52"/>
      <c r="AE584" s="52"/>
      <c r="AF584" s="52"/>
      <c r="AG584" s="52"/>
      <c r="AH584" s="52"/>
      <c r="AI584" s="52"/>
      <c r="AJ584" s="170"/>
      <c r="AK584" s="140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141"/>
    </row>
    <row r="585" spans="2:61" ht="20.100000000000001" customHeight="1" x14ac:dyDescent="0.45">
      <c r="B585" s="168"/>
      <c r="C585" s="31"/>
      <c r="D585" s="31"/>
      <c r="E585" s="31"/>
      <c r="F585" s="31"/>
      <c r="G585" s="138"/>
      <c r="H585" s="139"/>
      <c r="I585" s="138"/>
      <c r="J585" s="169" t="s">
        <v>497</v>
      </c>
      <c r="K585" s="52"/>
      <c r="L585" s="52"/>
      <c r="M585" s="52"/>
      <c r="N585" s="52"/>
      <c r="O585" s="52"/>
      <c r="P585" s="52"/>
      <c r="Q585" s="52"/>
      <c r="R585" s="169" t="s">
        <v>476</v>
      </c>
      <c r="S585" s="52"/>
      <c r="T585" s="52"/>
      <c r="U585" s="52"/>
      <c r="V585" s="52"/>
      <c r="W585" s="52"/>
      <c r="X585" s="52"/>
      <c r="Y585" s="52"/>
      <c r="Z585" s="52"/>
      <c r="AA585" s="52"/>
      <c r="AB585" s="52"/>
      <c r="AC585" s="52"/>
      <c r="AD585" s="52"/>
      <c r="AE585" s="52"/>
      <c r="AF585" s="52"/>
      <c r="AG585" s="52"/>
      <c r="AH585" s="52"/>
      <c r="AI585" s="52"/>
      <c r="AJ585" s="170"/>
      <c r="AK585" s="140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141"/>
    </row>
    <row r="586" spans="2:61" ht="20.100000000000001" customHeight="1" x14ac:dyDescent="0.45">
      <c r="B586" s="168"/>
      <c r="C586" s="31"/>
      <c r="D586" s="31"/>
      <c r="E586" s="31"/>
      <c r="F586" s="31"/>
      <c r="G586" s="138"/>
      <c r="H586" s="139"/>
      <c r="I586" s="138"/>
      <c r="J586" s="169" t="s">
        <v>498</v>
      </c>
      <c r="K586" s="52"/>
      <c r="L586" s="52"/>
      <c r="M586" s="52"/>
      <c r="N586" s="52"/>
      <c r="O586" s="52"/>
      <c r="P586" s="52"/>
      <c r="Q586" s="52"/>
      <c r="R586" s="169" t="s">
        <v>477</v>
      </c>
      <c r="S586" s="52"/>
      <c r="T586" s="52"/>
      <c r="U586" s="52"/>
      <c r="V586" s="52"/>
      <c r="W586" s="52"/>
      <c r="X586" s="52"/>
      <c r="Y586" s="52"/>
      <c r="Z586" s="52"/>
      <c r="AA586" s="52"/>
      <c r="AB586" s="52"/>
      <c r="AC586" s="52"/>
      <c r="AD586" s="52"/>
      <c r="AE586" s="52"/>
      <c r="AF586" s="52"/>
      <c r="AG586" s="52"/>
      <c r="AH586" s="52"/>
      <c r="AI586" s="52"/>
      <c r="AJ586" s="170"/>
      <c r="AK586" s="140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141"/>
    </row>
    <row r="587" spans="2:61" ht="20.100000000000001" customHeight="1" x14ac:dyDescent="0.45">
      <c r="B587" s="168"/>
      <c r="C587" s="31"/>
      <c r="D587" s="31"/>
      <c r="E587" s="31"/>
      <c r="F587" s="31"/>
      <c r="G587" s="138"/>
      <c r="H587" s="139"/>
      <c r="I587" s="138"/>
      <c r="J587" s="169" t="s">
        <v>499</v>
      </c>
      <c r="K587" s="52"/>
      <c r="L587" s="52"/>
      <c r="M587" s="52"/>
      <c r="N587" s="52"/>
      <c r="O587" s="52"/>
      <c r="P587" s="52"/>
      <c r="Q587" s="52"/>
      <c r="R587" s="169" t="s">
        <v>478</v>
      </c>
      <c r="S587" s="52"/>
      <c r="T587" s="52"/>
      <c r="U587" s="52"/>
      <c r="V587" s="52"/>
      <c r="W587" s="52"/>
      <c r="X587" s="52"/>
      <c r="Y587" s="52"/>
      <c r="Z587" s="52"/>
      <c r="AA587" s="52"/>
      <c r="AB587" s="52"/>
      <c r="AC587" s="52"/>
      <c r="AD587" s="52"/>
      <c r="AE587" s="52"/>
      <c r="AF587" s="52"/>
      <c r="AG587" s="52"/>
      <c r="AH587" s="52"/>
      <c r="AI587" s="52"/>
      <c r="AJ587" s="170"/>
      <c r="AK587" s="140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141"/>
    </row>
    <row r="588" spans="2:61" ht="20.100000000000001" customHeight="1" x14ac:dyDescent="0.45">
      <c r="B588" s="168"/>
      <c r="C588" s="31"/>
      <c r="D588" s="31"/>
      <c r="E588" s="31"/>
      <c r="F588" s="31"/>
      <c r="G588" s="138"/>
      <c r="H588" s="139"/>
      <c r="I588" s="138"/>
      <c r="J588" s="169" t="s">
        <v>500</v>
      </c>
      <c r="K588" s="52"/>
      <c r="L588" s="52"/>
      <c r="M588" s="52"/>
      <c r="N588" s="52"/>
      <c r="O588" s="52"/>
      <c r="P588" s="52"/>
      <c r="Q588" s="52"/>
      <c r="R588" s="169" t="s">
        <v>479</v>
      </c>
      <c r="S588" s="52"/>
      <c r="T588" s="52"/>
      <c r="U588" s="52"/>
      <c r="V588" s="52"/>
      <c r="W588" s="52"/>
      <c r="X588" s="52"/>
      <c r="Y588" s="52"/>
      <c r="Z588" s="52"/>
      <c r="AA588" s="52"/>
      <c r="AB588" s="52"/>
      <c r="AC588" s="52"/>
      <c r="AD588" s="52"/>
      <c r="AE588" s="52"/>
      <c r="AF588" s="52"/>
      <c r="AG588" s="52"/>
      <c r="AH588" s="52"/>
      <c r="AI588" s="52"/>
      <c r="AJ588" s="170"/>
      <c r="AK588" s="140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141"/>
    </row>
    <row r="589" spans="2:61" ht="20.100000000000001" customHeight="1" x14ac:dyDescent="0.45">
      <c r="B589" s="168"/>
      <c r="C589" s="31"/>
      <c r="D589" s="31"/>
      <c r="E589" s="31"/>
      <c r="F589" s="31"/>
      <c r="G589" s="138"/>
      <c r="H589" s="139"/>
      <c r="I589" s="138"/>
      <c r="J589" s="169" t="s">
        <v>501</v>
      </c>
      <c r="K589" s="52"/>
      <c r="L589" s="52"/>
      <c r="M589" s="52"/>
      <c r="N589" s="52"/>
      <c r="O589" s="52"/>
      <c r="P589" s="52"/>
      <c r="Q589" s="52"/>
      <c r="R589" s="169" t="s">
        <v>480</v>
      </c>
      <c r="S589" s="52"/>
      <c r="T589" s="52"/>
      <c r="U589" s="52"/>
      <c r="V589" s="52"/>
      <c r="W589" s="52"/>
      <c r="X589" s="52"/>
      <c r="Y589" s="52"/>
      <c r="Z589" s="52"/>
      <c r="AA589" s="52"/>
      <c r="AB589" s="52"/>
      <c r="AC589" s="52"/>
      <c r="AD589" s="52"/>
      <c r="AE589" s="52"/>
      <c r="AF589" s="52"/>
      <c r="AG589" s="52"/>
      <c r="AH589" s="52"/>
      <c r="AI589" s="52"/>
      <c r="AJ589" s="170"/>
      <c r="AK589" s="140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141"/>
    </row>
    <row r="590" spans="2:61" ht="20.100000000000001" customHeight="1" x14ac:dyDescent="0.45">
      <c r="B590" s="168"/>
      <c r="C590" s="31"/>
      <c r="D590" s="31"/>
      <c r="E590" s="31"/>
      <c r="F590" s="31"/>
      <c r="G590" s="138"/>
      <c r="H590" s="139"/>
      <c r="I590" s="138"/>
      <c r="J590" s="169" t="s">
        <v>502</v>
      </c>
      <c r="K590" s="52"/>
      <c r="L590" s="52"/>
      <c r="M590" s="52"/>
      <c r="N590" s="52"/>
      <c r="O590" s="52"/>
      <c r="P590" s="52"/>
      <c r="Q590" s="52"/>
      <c r="R590" s="169" t="s">
        <v>481</v>
      </c>
      <c r="S590" s="52"/>
      <c r="T590" s="52"/>
      <c r="U590" s="52"/>
      <c r="V590" s="52"/>
      <c r="W590" s="52"/>
      <c r="X590" s="52"/>
      <c r="Y590" s="52"/>
      <c r="Z590" s="52"/>
      <c r="AA590" s="52"/>
      <c r="AB590" s="52"/>
      <c r="AC590" s="52"/>
      <c r="AD590" s="52"/>
      <c r="AE590" s="52"/>
      <c r="AF590" s="52"/>
      <c r="AG590" s="52"/>
      <c r="AH590" s="52"/>
      <c r="AI590" s="52"/>
      <c r="AJ590" s="170"/>
      <c r="AK590" s="140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141"/>
    </row>
    <row r="591" spans="2:61" ht="20.100000000000001" customHeight="1" x14ac:dyDescent="0.45">
      <c r="B591" s="168"/>
      <c r="C591" s="31"/>
      <c r="D591" s="31"/>
      <c r="E591" s="31"/>
      <c r="F591" s="31"/>
      <c r="G591" s="138"/>
      <c r="H591" s="139"/>
      <c r="I591" s="138"/>
      <c r="J591" s="169" t="s">
        <v>503</v>
      </c>
      <c r="K591" s="52"/>
      <c r="L591" s="52"/>
      <c r="M591" s="52"/>
      <c r="N591" s="52"/>
      <c r="O591" s="52"/>
      <c r="P591" s="52"/>
      <c r="Q591" s="52"/>
      <c r="R591" s="176" t="s">
        <v>482</v>
      </c>
      <c r="S591" s="52"/>
      <c r="T591" s="52"/>
      <c r="U591" s="52"/>
      <c r="V591" s="52"/>
      <c r="W591" s="52"/>
      <c r="X591" s="52"/>
      <c r="Y591" s="52"/>
      <c r="Z591" s="52"/>
      <c r="AA591" s="52"/>
      <c r="AB591" s="52"/>
      <c r="AC591" s="52"/>
      <c r="AD591" s="52"/>
      <c r="AE591" s="52"/>
      <c r="AF591" s="52"/>
      <c r="AG591" s="52"/>
      <c r="AH591" s="52"/>
      <c r="AI591" s="52"/>
      <c r="AJ591" s="170"/>
      <c r="AK591" s="140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141"/>
    </row>
    <row r="592" spans="2:61" ht="20.100000000000001" customHeight="1" x14ac:dyDescent="0.45">
      <c r="B592" s="168"/>
      <c r="C592" s="31"/>
      <c r="D592" s="31"/>
      <c r="E592" s="31"/>
      <c r="F592" s="31"/>
      <c r="G592" s="138"/>
      <c r="H592" s="139"/>
      <c r="I592" s="138"/>
      <c r="J592" s="169" t="s">
        <v>504</v>
      </c>
      <c r="K592" s="52"/>
      <c r="L592" s="52"/>
      <c r="M592" s="52"/>
      <c r="N592" s="52"/>
      <c r="O592" s="52"/>
      <c r="P592" s="52"/>
      <c r="Q592" s="52"/>
      <c r="R592" s="169" t="s">
        <v>483</v>
      </c>
      <c r="S592" s="52"/>
      <c r="T592" s="52"/>
      <c r="U592" s="52"/>
      <c r="V592" s="52"/>
      <c r="W592" s="52"/>
      <c r="X592" s="52"/>
      <c r="Y592" s="52"/>
      <c r="Z592" s="52"/>
      <c r="AA592" s="52"/>
      <c r="AB592" s="52"/>
      <c r="AC592" s="52"/>
      <c r="AD592" s="52"/>
      <c r="AE592" s="52"/>
      <c r="AF592" s="52"/>
      <c r="AG592" s="52"/>
      <c r="AH592" s="52"/>
      <c r="AI592" s="52"/>
      <c r="AJ592" s="170"/>
      <c r="AK592" s="140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141"/>
    </row>
    <row r="593" spans="2:61" ht="20.100000000000001" customHeight="1" x14ac:dyDescent="0.45">
      <c r="B593" s="168"/>
      <c r="C593" s="31"/>
      <c r="D593" s="31"/>
      <c r="E593" s="31"/>
      <c r="F593" s="31"/>
      <c r="G593" s="138"/>
      <c r="H593" s="139"/>
      <c r="I593" s="138"/>
      <c r="J593" s="169" t="s">
        <v>505</v>
      </c>
      <c r="K593" s="52"/>
      <c r="L593" s="52"/>
      <c r="M593" s="52"/>
      <c r="N593" s="52"/>
      <c r="O593" s="52"/>
      <c r="P593" s="52"/>
      <c r="Q593" s="52"/>
      <c r="R593" s="169" t="s">
        <v>484</v>
      </c>
      <c r="S593" s="52"/>
      <c r="T593" s="52"/>
      <c r="U593" s="52"/>
      <c r="V593" s="52"/>
      <c r="W593" s="52"/>
      <c r="X593" s="52"/>
      <c r="Y593" s="52"/>
      <c r="Z593" s="52"/>
      <c r="AA593" s="52"/>
      <c r="AB593" s="52"/>
      <c r="AC593" s="52"/>
      <c r="AD593" s="52"/>
      <c r="AE593" s="52"/>
      <c r="AF593" s="52"/>
      <c r="AG593" s="52"/>
      <c r="AH593" s="52"/>
      <c r="AI593" s="52"/>
      <c r="AJ593" s="170"/>
      <c r="AK593" s="140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141"/>
    </row>
    <row r="594" spans="2:61" ht="20.100000000000001" customHeight="1" x14ac:dyDescent="0.45">
      <c r="B594" s="168"/>
      <c r="C594" s="31"/>
      <c r="D594" s="31"/>
      <c r="E594" s="31"/>
      <c r="F594" s="31"/>
      <c r="G594" s="138"/>
      <c r="H594" s="142" t="s">
        <v>145</v>
      </c>
      <c r="I594" s="55"/>
      <c r="J594" s="142" t="s">
        <v>506</v>
      </c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  <c r="AA594" s="55"/>
      <c r="AB594" s="55"/>
      <c r="AC594" s="55"/>
      <c r="AD594" s="55"/>
      <c r="AE594" s="55"/>
      <c r="AF594" s="55"/>
      <c r="AG594" s="55"/>
      <c r="AH594" s="55"/>
      <c r="AI594" s="55"/>
      <c r="AJ594" s="55"/>
      <c r="AK594" s="143"/>
      <c r="AL594" s="55"/>
      <c r="AM594" s="55"/>
      <c r="AN594" s="55"/>
      <c r="AO594" s="55"/>
      <c r="AP594" s="55"/>
      <c r="AQ594" s="55"/>
      <c r="AR594" s="55"/>
      <c r="AS594" s="55"/>
      <c r="AT594" s="55"/>
      <c r="AU594" s="55"/>
      <c r="AV594" s="55"/>
      <c r="AW594" s="55"/>
      <c r="AX594" s="55"/>
      <c r="AY594" s="55"/>
      <c r="AZ594" s="55"/>
      <c r="BA594" s="55"/>
      <c r="BB594" s="55"/>
      <c r="BC594" s="55"/>
      <c r="BD594" s="55"/>
      <c r="BE594" s="55"/>
      <c r="BF594" s="55"/>
      <c r="BG594" s="55"/>
      <c r="BH594" s="55"/>
      <c r="BI594" s="144"/>
    </row>
    <row r="595" spans="2:61" ht="20.100000000000001" customHeight="1" x14ac:dyDescent="0.45">
      <c r="B595" s="137"/>
      <c r="C595" s="31"/>
      <c r="D595" s="31"/>
      <c r="E595" s="31"/>
      <c r="F595" s="31"/>
      <c r="G595" s="138"/>
      <c r="H595" s="139"/>
      <c r="I595" s="31"/>
      <c r="J595" s="139" t="s">
        <v>507</v>
      </c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140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141"/>
    </row>
    <row r="596" spans="2:61" ht="20.100000000000001" customHeight="1" x14ac:dyDescent="0.45">
      <c r="B596" s="137"/>
      <c r="C596" s="31"/>
      <c r="D596" s="31"/>
      <c r="E596" s="31"/>
      <c r="F596" s="31"/>
      <c r="G596" s="138"/>
      <c r="H596" s="139"/>
      <c r="I596" s="31"/>
      <c r="J596" s="139" t="s">
        <v>508</v>
      </c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140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141"/>
    </row>
    <row r="597" spans="2:61" ht="20.100000000000001" customHeight="1" x14ac:dyDescent="0.45">
      <c r="B597" s="137"/>
      <c r="C597" s="31"/>
      <c r="D597" s="31"/>
      <c r="E597" s="31"/>
      <c r="F597" s="31"/>
      <c r="G597" s="138"/>
      <c r="H597" s="142" t="s">
        <v>146</v>
      </c>
      <c r="I597" s="55"/>
      <c r="J597" s="142" t="s">
        <v>178</v>
      </c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  <c r="AA597" s="55"/>
      <c r="AB597" s="55"/>
      <c r="AC597" s="55"/>
      <c r="AD597" s="55"/>
      <c r="AE597" s="55"/>
      <c r="AF597" s="55"/>
      <c r="AG597" s="55"/>
      <c r="AH597" s="55"/>
      <c r="AI597" s="55"/>
      <c r="AJ597" s="55"/>
      <c r="AK597" s="143"/>
      <c r="AL597" s="55"/>
      <c r="AM597" s="55"/>
      <c r="AN597" s="55"/>
      <c r="AO597" s="55"/>
      <c r="AP597" s="55"/>
      <c r="AQ597" s="55"/>
      <c r="AR597" s="55"/>
      <c r="AS597" s="55"/>
      <c r="AT597" s="55"/>
      <c r="AU597" s="55"/>
      <c r="AV597" s="55"/>
      <c r="AW597" s="55"/>
      <c r="AX597" s="55"/>
      <c r="AY597" s="55"/>
      <c r="AZ597" s="55"/>
      <c r="BA597" s="55"/>
      <c r="BB597" s="55"/>
      <c r="BC597" s="55"/>
      <c r="BD597" s="55"/>
      <c r="BE597" s="55"/>
      <c r="BF597" s="55"/>
      <c r="BG597" s="55"/>
      <c r="BH597" s="55"/>
      <c r="BI597" s="144"/>
    </row>
    <row r="598" spans="2:61" ht="20.100000000000001" customHeight="1" x14ac:dyDescent="0.45">
      <c r="B598" s="137"/>
      <c r="C598" s="31"/>
      <c r="D598" s="31"/>
      <c r="E598" s="31"/>
      <c r="F598" s="31"/>
      <c r="G598" s="138"/>
      <c r="H598" s="139"/>
      <c r="I598" s="31"/>
      <c r="J598" s="139"/>
      <c r="K598" s="31" t="s">
        <v>510</v>
      </c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140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141"/>
    </row>
    <row r="599" spans="2:61" ht="20.100000000000001" customHeight="1" x14ac:dyDescent="0.45">
      <c r="B599" s="137"/>
      <c r="C599" s="31"/>
      <c r="D599" s="31"/>
      <c r="E599" s="31"/>
      <c r="F599" s="31"/>
      <c r="G599" s="138"/>
      <c r="H599" s="139"/>
      <c r="I599" s="31"/>
      <c r="J599" s="139"/>
      <c r="K599" s="31"/>
      <c r="M599" s="31" t="s">
        <v>511</v>
      </c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140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141"/>
    </row>
    <row r="600" spans="2:61" ht="20.100000000000001" customHeight="1" x14ac:dyDescent="0.45">
      <c r="B600" s="137"/>
      <c r="C600" s="31"/>
      <c r="D600" s="31"/>
      <c r="E600" s="31"/>
      <c r="F600" s="31"/>
      <c r="G600" s="138"/>
      <c r="H600" s="139"/>
      <c r="I600" s="31"/>
      <c r="J600" s="139" t="s">
        <v>178</v>
      </c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140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141"/>
    </row>
    <row r="601" spans="2:61" ht="20.100000000000001" customHeight="1" x14ac:dyDescent="0.45">
      <c r="B601" s="137"/>
      <c r="C601" s="31"/>
      <c r="D601" s="31"/>
      <c r="E601" s="31"/>
      <c r="F601" s="31"/>
      <c r="G601" s="138"/>
      <c r="H601" s="139"/>
      <c r="I601" s="31"/>
      <c r="J601" s="139"/>
      <c r="K601" s="31" t="s">
        <v>512</v>
      </c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140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141"/>
    </row>
    <row r="602" spans="2:61" ht="20.100000000000001" customHeight="1" x14ac:dyDescent="0.45">
      <c r="B602" s="137"/>
      <c r="C602" s="31"/>
      <c r="D602" s="31"/>
      <c r="E602" s="31"/>
      <c r="F602" s="31"/>
      <c r="G602" s="138"/>
      <c r="H602" s="139"/>
      <c r="I602" s="31"/>
      <c r="J602" s="139"/>
      <c r="K602" s="31"/>
      <c r="M602" s="31" t="s">
        <v>513</v>
      </c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140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141"/>
    </row>
    <row r="603" spans="2:61" ht="20.100000000000001" customHeight="1" thickBot="1" x14ac:dyDescent="0.5">
      <c r="B603" s="137"/>
      <c r="C603" s="31"/>
      <c r="D603" s="31"/>
      <c r="E603" s="31"/>
      <c r="F603" s="31"/>
      <c r="G603" s="138"/>
      <c r="H603" s="142" t="s">
        <v>147</v>
      </c>
      <c r="I603" s="55"/>
      <c r="J603" s="142"/>
      <c r="K603" s="55" t="s">
        <v>514</v>
      </c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  <c r="AA603" s="55"/>
      <c r="AB603" s="55"/>
      <c r="AC603" s="55"/>
      <c r="AD603" s="55"/>
      <c r="AE603" s="55"/>
      <c r="AF603" s="55"/>
      <c r="AG603" s="55"/>
      <c r="AH603" s="55"/>
      <c r="AI603" s="55"/>
      <c r="AJ603" s="55"/>
      <c r="AK603" s="143"/>
      <c r="AL603" s="55"/>
      <c r="AM603" s="55"/>
      <c r="AN603" s="55"/>
      <c r="AO603" s="55"/>
      <c r="AP603" s="55"/>
      <c r="AQ603" s="55"/>
      <c r="AR603" s="55"/>
      <c r="AS603" s="55"/>
      <c r="AT603" s="55"/>
      <c r="AU603" s="55"/>
      <c r="AV603" s="55"/>
      <c r="AW603" s="55"/>
      <c r="AX603" s="55"/>
      <c r="AY603" s="55"/>
      <c r="AZ603" s="55"/>
      <c r="BA603" s="55"/>
      <c r="BB603" s="55"/>
      <c r="BC603" s="55"/>
      <c r="BD603" s="55"/>
      <c r="BE603" s="55"/>
      <c r="BF603" s="55"/>
      <c r="BG603" s="55"/>
      <c r="BH603" s="55"/>
      <c r="BI603" s="144"/>
    </row>
    <row r="604" spans="2:61" ht="20.100000000000001" customHeight="1" x14ac:dyDescent="0.45">
      <c r="B604" s="131" t="s">
        <v>515</v>
      </c>
      <c r="C604" s="132"/>
      <c r="D604" s="132"/>
      <c r="E604" s="132"/>
      <c r="F604" s="132"/>
      <c r="G604" s="133"/>
      <c r="H604" s="134" t="s">
        <v>237</v>
      </c>
      <c r="I604" s="133"/>
      <c r="J604" s="173" t="s">
        <v>310</v>
      </c>
      <c r="K604" s="166"/>
      <c r="L604" s="166"/>
      <c r="M604" s="166"/>
      <c r="N604" s="166"/>
      <c r="O604" s="166"/>
      <c r="P604" s="166"/>
      <c r="Q604" s="166"/>
      <c r="R604" s="173" t="s">
        <v>520</v>
      </c>
      <c r="S604" s="166"/>
      <c r="T604" s="166"/>
      <c r="U604" s="166"/>
      <c r="V604" s="166"/>
      <c r="W604" s="166"/>
      <c r="X604" s="166"/>
      <c r="Y604" s="166"/>
      <c r="Z604" s="166"/>
      <c r="AA604" s="166"/>
      <c r="AB604" s="166"/>
      <c r="AC604" s="166"/>
      <c r="AD604" s="166"/>
      <c r="AE604" s="166"/>
      <c r="AF604" s="166"/>
      <c r="AG604" s="166"/>
      <c r="AH604" s="166"/>
      <c r="AI604" s="166"/>
      <c r="AJ604" s="167"/>
      <c r="AK604" s="135"/>
      <c r="AL604" s="132"/>
      <c r="AM604" s="132"/>
      <c r="AN604" s="132"/>
      <c r="AO604" s="132"/>
      <c r="AP604" s="132"/>
      <c r="AQ604" s="132"/>
      <c r="AR604" s="132"/>
      <c r="AS604" s="132"/>
      <c r="AT604" s="132"/>
      <c r="AU604" s="132"/>
      <c r="AV604" s="132"/>
      <c r="AW604" s="132"/>
      <c r="AX604" s="132"/>
      <c r="AY604" s="132"/>
      <c r="AZ604" s="132"/>
      <c r="BA604" s="132"/>
      <c r="BB604" s="132"/>
      <c r="BC604" s="132"/>
      <c r="BD604" s="132"/>
      <c r="BE604" s="132"/>
      <c r="BF604" s="132"/>
      <c r="BG604" s="132"/>
      <c r="BH604" s="132"/>
      <c r="BI604" s="136"/>
    </row>
    <row r="605" spans="2:61" ht="20.100000000000001" customHeight="1" x14ac:dyDescent="0.45">
      <c r="B605" s="168"/>
      <c r="C605" s="31"/>
      <c r="D605" s="31"/>
      <c r="E605" s="31"/>
      <c r="F605" s="31"/>
      <c r="G605" s="138"/>
      <c r="H605" s="139"/>
      <c r="I605" s="138"/>
      <c r="J605" s="169" t="s">
        <v>293</v>
      </c>
      <c r="K605" s="52"/>
      <c r="L605" s="52"/>
      <c r="M605" s="52"/>
      <c r="N605" s="52"/>
      <c r="O605" s="52"/>
      <c r="P605" s="52"/>
      <c r="Q605" s="52"/>
      <c r="R605" s="169" t="s">
        <v>519</v>
      </c>
      <c r="S605" s="52"/>
      <c r="T605" s="52"/>
      <c r="U605" s="52"/>
      <c r="V605" s="52"/>
      <c r="W605" s="52"/>
      <c r="X605" s="52"/>
      <c r="Y605" s="52"/>
      <c r="Z605" s="52"/>
      <c r="AA605" s="52"/>
      <c r="AB605" s="52"/>
      <c r="AC605" s="52"/>
      <c r="AD605" s="52"/>
      <c r="AE605" s="52"/>
      <c r="AF605" s="52"/>
      <c r="AG605" s="52"/>
      <c r="AH605" s="52"/>
      <c r="AI605" s="52"/>
      <c r="AJ605" s="170"/>
      <c r="AK605" s="140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141"/>
    </row>
    <row r="606" spans="2:61" ht="20.100000000000001" customHeight="1" x14ac:dyDescent="0.45">
      <c r="B606" s="168"/>
      <c r="C606" s="31"/>
      <c r="D606" s="31"/>
      <c r="E606" s="31"/>
      <c r="F606" s="31"/>
      <c r="G606" s="138"/>
      <c r="H606" s="139"/>
      <c r="I606" s="138"/>
      <c r="J606" s="169" t="s">
        <v>313</v>
      </c>
      <c r="K606" s="52"/>
      <c r="L606" s="52"/>
      <c r="M606" s="52"/>
      <c r="N606" s="52"/>
      <c r="O606" s="52"/>
      <c r="P606" s="52"/>
      <c r="Q606" s="52"/>
      <c r="R606" s="169" t="s">
        <v>518</v>
      </c>
      <c r="S606" s="52"/>
      <c r="T606" s="52"/>
      <c r="U606" s="52"/>
      <c r="V606" s="52"/>
      <c r="W606" s="52"/>
      <c r="X606" s="52"/>
      <c r="Y606" s="52"/>
      <c r="Z606" s="52"/>
      <c r="AA606" s="52"/>
      <c r="AB606" s="52"/>
      <c r="AC606" s="52"/>
      <c r="AD606" s="52"/>
      <c r="AE606" s="52"/>
      <c r="AF606" s="52"/>
      <c r="AG606" s="52"/>
      <c r="AH606" s="52"/>
      <c r="AI606" s="52"/>
      <c r="AJ606" s="170"/>
      <c r="AK606" s="140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141"/>
    </row>
    <row r="607" spans="2:61" ht="20.100000000000001" customHeight="1" x14ac:dyDescent="0.45">
      <c r="B607" s="168"/>
      <c r="C607" s="31"/>
      <c r="D607" s="31"/>
      <c r="E607" s="31"/>
      <c r="F607" s="31"/>
      <c r="G607" s="138"/>
      <c r="H607" s="139"/>
      <c r="I607" s="138"/>
      <c r="J607" s="169" t="s">
        <v>298</v>
      </c>
      <c r="K607" s="52"/>
      <c r="L607" s="52"/>
      <c r="M607" s="52"/>
      <c r="N607" s="52"/>
      <c r="O607" s="52"/>
      <c r="P607" s="52"/>
      <c r="Q607" s="52"/>
      <c r="R607" s="169" t="s">
        <v>517</v>
      </c>
      <c r="S607" s="52"/>
      <c r="T607" s="52"/>
      <c r="U607" s="52"/>
      <c r="V607" s="52"/>
      <c r="W607" s="52"/>
      <c r="X607" s="52"/>
      <c r="Y607" s="52"/>
      <c r="Z607" s="52"/>
      <c r="AA607" s="52"/>
      <c r="AB607" s="52"/>
      <c r="AC607" s="52"/>
      <c r="AD607" s="52"/>
      <c r="AE607" s="52"/>
      <c r="AF607" s="52"/>
      <c r="AG607" s="52"/>
      <c r="AH607" s="52"/>
      <c r="AI607" s="52"/>
      <c r="AJ607" s="170"/>
      <c r="AK607" s="140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141"/>
    </row>
    <row r="608" spans="2:61" ht="20.100000000000001" customHeight="1" x14ac:dyDescent="0.45">
      <c r="B608" s="168"/>
      <c r="C608" s="31"/>
      <c r="D608" s="31"/>
      <c r="E608" s="31"/>
      <c r="F608" s="31"/>
      <c r="G608" s="138"/>
      <c r="H608" s="139"/>
      <c r="I608" s="138"/>
      <c r="J608" s="169" t="s">
        <v>302</v>
      </c>
      <c r="K608" s="52"/>
      <c r="L608" s="52"/>
      <c r="M608" s="52"/>
      <c r="N608" s="52"/>
      <c r="O608" s="52"/>
      <c r="P608" s="52"/>
      <c r="Q608" s="52"/>
      <c r="R608" s="169" t="s">
        <v>516</v>
      </c>
      <c r="S608" s="52"/>
      <c r="T608" s="52"/>
      <c r="U608" s="52"/>
      <c r="V608" s="52"/>
      <c r="W608" s="52"/>
      <c r="X608" s="52"/>
      <c r="Y608" s="52"/>
      <c r="Z608" s="52"/>
      <c r="AA608" s="52"/>
      <c r="AB608" s="52"/>
      <c r="AC608" s="52"/>
      <c r="AD608" s="52"/>
      <c r="AE608" s="52"/>
      <c r="AF608" s="52"/>
      <c r="AG608" s="52"/>
      <c r="AH608" s="52"/>
      <c r="AI608" s="52"/>
      <c r="AJ608" s="170"/>
      <c r="AK608" s="140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141"/>
    </row>
    <row r="609" spans="2:61" ht="20.100000000000001" customHeight="1" x14ac:dyDescent="0.45">
      <c r="B609" s="168"/>
      <c r="C609" s="31"/>
      <c r="D609" s="31"/>
      <c r="E609" s="31"/>
      <c r="F609" s="31"/>
      <c r="G609" s="138"/>
      <c r="H609" s="139"/>
      <c r="I609" s="138"/>
      <c r="J609" s="169" t="s">
        <v>307</v>
      </c>
      <c r="K609" s="52"/>
      <c r="L609" s="52"/>
      <c r="M609" s="52"/>
      <c r="N609" s="52"/>
      <c r="O609" s="52"/>
      <c r="P609" s="52"/>
      <c r="Q609" s="52"/>
      <c r="R609" s="169">
        <v>0</v>
      </c>
      <c r="S609" s="52"/>
      <c r="T609" s="52"/>
      <c r="U609" s="52"/>
      <c r="V609" s="52"/>
      <c r="W609" s="52"/>
      <c r="X609" s="52"/>
      <c r="Y609" s="52"/>
      <c r="Z609" s="52"/>
      <c r="AA609" s="52"/>
      <c r="AB609" s="52"/>
      <c r="AC609" s="52"/>
      <c r="AD609" s="52"/>
      <c r="AE609" s="52"/>
      <c r="AF609" s="52"/>
      <c r="AG609" s="52"/>
      <c r="AH609" s="52"/>
      <c r="AI609" s="52"/>
      <c r="AJ609" s="170"/>
      <c r="AK609" s="140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141"/>
    </row>
    <row r="610" spans="2:61" ht="20.100000000000001" customHeight="1" x14ac:dyDescent="0.45">
      <c r="B610" s="168"/>
      <c r="C610" s="31"/>
      <c r="D610" s="31"/>
      <c r="E610" s="31"/>
      <c r="F610" s="31"/>
      <c r="G610" s="138"/>
      <c r="H610" s="139"/>
      <c r="I610" s="138"/>
      <c r="J610" s="169" t="s">
        <v>309</v>
      </c>
      <c r="K610" s="52"/>
      <c r="L610" s="52"/>
      <c r="M610" s="52"/>
      <c r="N610" s="52"/>
      <c r="O610" s="52"/>
      <c r="P610" s="52"/>
      <c r="Q610" s="52"/>
      <c r="R610" s="169">
        <v>0</v>
      </c>
      <c r="S610" s="52"/>
      <c r="T610" s="52"/>
      <c r="U610" s="52"/>
      <c r="V610" s="52"/>
      <c r="W610" s="52"/>
      <c r="X610" s="52"/>
      <c r="Y610" s="52"/>
      <c r="Z610" s="52"/>
      <c r="AA610" s="52"/>
      <c r="AB610" s="52"/>
      <c r="AC610" s="52"/>
      <c r="AD610" s="52"/>
      <c r="AE610" s="52"/>
      <c r="AF610" s="52"/>
      <c r="AG610" s="52"/>
      <c r="AH610" s="52"/>
      <c r="AI610" s="52"/>
      <c r="AJ610" s="170"/>
      <c r="AK610" s="140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141"/>
    </row>
    <row r="611" spans="2:61" ht="20.100000000000001" customHeight="1" x14ac:dyDescent="0.45">
      <c r="B611" s="168"/>
      <c r="C611" s="31"/>
      <c r="D611" s="31"/>
      <c r="E611" s="31"/>
      <c r="F611" s="31"/>
      <c r="G611" s="138"/>
      <c r="H611" s="142" t="s">
        <v>145</v>
      </c>
      <c r="I611" s="55"/>
      <c r="J611" s="142" t="s">
        <v>259</v>
      </c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  <c r="AA611" s="55"/>
      <c r="AB611" s="55"/>
      <c r="AC611" s="55"/>
      <c r="AD611" s="55"/>
      <c r="AE611" s="55"/>
      <c r="AF611" s="55"/>
      <c r="AG611" s="55"/>
      <c r="AH611" s="55"/>
      <c r="AI611" s="55"/>
      <c r="AJ611" s="55"/>
      <c r="AK611" s="143"/>
      <c r="AL611" s="55"/>
      <c r="AM611" s="55"/>
      <c r="AN611" s="55"/>
      <c r="AO611" s="55"/>
      <c r="AP611" s="55"/>
      <c r="AQ611" s="55"/>
      <c r="AR611" s="55"/>
      <c r="AS611" s="55"/>
      <c r="AT611" s="55"/>
      <c r="AU611" s="55"/>
      <c r="AV611" s="55"/>
      <c r="AW611" s="55"/>
      <c r="AX611" s="55"/>
      <c r="AY611" s="55"/>
      <c r="AZ611" s="55"/>
      <c r="BA611" s="55"/>
      <c r="BB611" s="55"/>
      <c r="BC611" s="55"/>
      <c r="BD611" s="55"/>
      <c r="BE611" s="55"/>
      <c r="BF611" s="55"/>
      <c r="BG611" s="55"/>
      <c r="BH611" s="55"/>
      <c r="BI611" s="144"/>
    </row>
    <row r="612" spans="2:61" ht="20.100000000000001" customHeight="1" x14ac:dyDescent="0.45">
      <c r="B612" s="137"/>
      <c r="C612" s="31"/>
      <c r="D612" s="31"/>
      <c r="E612" s="31"/>
      <c r="F612" s="31"/>
      <c r="G612" s="138"/>
      <c r="H612" s="142" t="s">
        <v>166</v>
      </c>
      <c r="I612" s="55"/>
      <c r="J612" s="142" t="s">
        <v>520</v>
      </c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  <c r="AA612" s="55"/>
      <c r="AB612" s="55"/>
      <c r="AC612" s="55"/>
      <c r="AD612" s="55"/>
      <c r="AE612" s="55"/>
      <c r="AF612" s="55"/>
      <c r="AG612" s="55"/>
      <c r="AH612" s="55"/>
      <c r="AI612" s="55"/>
      <c r="AJ612" s="55"/>
      <c r="AK612" s="143"/>
      <c r="AL612" s="55"/>
      <c r="AM612" s="55"/>
      <c r="AN612" s="55"/>
      <c r="AO612" s="55"/>
      <c r="AP612" s="55"/>
      <c r="AQ612" s="55"/>
      <c r="AR612" s="55"/>
      <c r="AS612" s="55"/>
      <c r="AT612" s="55"/>
      <c r="AU612" s="55"/>
      <c r="AV612" s="55"/>
      <c r="AW612" s="55"/>
      <c r="AX612" s="55"/>
      <c r="AY612" s="55"/>
      <c r="AZ612" s="55"/>
      <c r="BA612" s="55"/>
      <c r="BB612" s="55"/>
      <c r="BC612" s="55"/>
      <c r="BD612" s="55"/>
      <c r="BE612" s="55"/>
      <c r="BF612" s="55"/>
      <c r="BG612" s="55"/>
      <c r="BH612" s="55"/>
      <c r="BI612" s="144"/>
    </row>
    <row r="613" spans="2:61" ht="20.100000000000001" customHeight="1" x14ac:dyDescent="0.45">
      <c r="B613" s="137"/>
      <c r="C613" s="31"/>
      <c r="D613" s="31"/>
      <c r="E613" s="31"/>
      <c r="F613" s="31"/>
      <c r="G613" s="138"/>
      <c r="H613" s="139"/>
      <c r="I613" s="31"/>
      <c r="J613" s="139" t="s">
        <v>519</v>
      </c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140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141"/>
    </row>
    <row r="614" spans="2:61" ht="20.100000000000001" customHeight="1" x14ac:dyDescent="0.45">
      <c r="B614" s="137"/>
      <c r="C614" s="31"/>
      <c r="D614" s="31"/>
      <c r="E614" s="31"/>
      <c r="F614" s="31"/>
      <c r="G614" s="138"/>
      <c r="H614" s="145"/>
      <c r="I614" s="146"/>
      <c r="J614" s="145" t="s">
        <v>518</v>
      </c>
      <c r="K614" s="146"/>
      <c r="L614" s="146"/>
      <c r="M614" s="146"/>
      <c r="N614" s="146"/>
      <c r="O614" s="146"/>
      <c r="P614" s="146"/>
      <c r="Q614" s="146"/>
      <c r="R614" s="146"/>
      <c r="S614" s="146"/>
      <c r="T614" s="146"/>
      <c r="U614" s="146"/>
      <c r="V614" s="146"/>
      <c r="W614" s="146"/>
      <c r="X614" s="146"/>
      <c r="Y614" s="146"/>
      <c r="Z614" s="146"/>
      <c r="AA614" s="146"/>
      <c r="AB614" s="146"/>
      <c r="AC614" s="146"/>
      <c r="AD614" s="146"/>
      <c r="AE614" s="146"/>
      <c r="AF614" s="146"/>
      <c r="AG614" s="146"/>
      <c r="AH614" s="146"/>
      <c r="AI614" s="146"/>
      <c r="AJ614" s="146"/>
      <c r="AK614" s="147"/>
      <c r="AL614" s="146"/>
      <c r="AM614" s="146"/>
      <c r="AN614" s="146"/>
      <c r="AO614" s="146"/>
      <c r="AP614" s="146"/>
      <c r="AQ614" s="146"/>
      <c r="AR614" s="146"/>
      <c r="AS614" s="146"/>
      <c r="AT614" s="146"/>
      <c r="AU614" s="146"/>
      <c r="AV614" s="146"/>
      <c r="AW614" s="146"/>
      <c r="AX614" s="146"/>
      <c r="AY614" s="146"/>
      <c r="AZ614" s="146"/>
      <c r="BA614" s="146"/>
      <c r="BB614" s="146"/>
      <c r="BC614" s="146"/>
      <c r="BD614" s="146"/>
      <c r="BE614" s="146"/>
      <c r="BF614" s="146"/>
      <c r="BG614" s="146"/>
      <c r="BH614" s="146"/>
      <c r="BI614" s="148"/>
    </row>
    <row r="615" spans="2:61" ht="20.100000000000001" customHeight="1" thickBot="1" x14ac:dyDescent="0.5">
      <c r="B615" s="137"/>
      <c r="C615" s="31"/>
      <c r="D615" s="31"/>
      <c r="E615" s="31"/>
      <c r="F615" s="31"/>
      <c r="G615" s="138"/>
      <c r="H615" s="139" t="s">
        <v>190</v>
      </c>
      <c r="I615" s="31"/>
      <c r="J615" s="139" t="s">
        <v>519</v>
      </c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140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141"/>
    </row>
    <row r="616" spans="2:61" ht="20.100000000000001" customHeight="1" x14ac:dyDescent="0.45">
      <c r="B616" s="131" t="s">
        <v>522</v>
      </c>
      <c r="C616" s="132"/>
      <c r="D616" s="132"/>
      <c r="E616" s="132"/>
      <c r="F616" s="132"/>
      <c r="G616" s="133"/>
      <c r="H616" s="134" t="s">
        <v>237</v>
      </c>
      <c r="I616" s="133"/>
      <c r="J616" s="173" t="s">
        <v>311</v>
      </c>
      <c r="K616" s="166"/>
      <c r="L616" s="166"/>
      <c r="M616" s="166"/>
      <c r="N616" s="166"/>
      <c r="O616" s="166"/>
      <c r="P616" s="166"/>
      <c r="Q616" s="166"/>
      <c r="R616" s="173" t="s">
        <v>437</v>
      </c>
      <c r="S616" s="166"/>
      <c r="T616" s="166"/>
      <c r="U616" s="166"/>
      <c r="V616" s="166"/>
      <c r="W616" s="166"/>
      <c r="X616" s="166"/>
      <c r="Y616" s="166"/>
      <c r="Z616" s="166"/>
      <c r="AA616" s="166"/>
      <c r="AB616" s="166"/>
      <c r="AC616" s="166"/>
      <c r="AD616" s="166"/>
      <c r="AE616" s="166"/>
      <c r="AF616" s="166"/>
      <c r="AG616" s="166"/>
      <c r="AH616" s="166"/>
      <c r="AI616" s="166"/>
      <c r="AJ616" s="167"/>
      <c r="AK616" s="135"/>
      <c r="AL616" s="132"/>
      <c r="AM616" s="132"/>
      <c r="AN616" s="132"/>
      <c r="AO616" s="132"/>
      <c r="AP616" s="132"/>
      <c r="AQ616" s="132"/>
      <c r="AR616" s="132"/>
      <c r="AS616" s="132"/>
      <c r="AT616" s="132"/>
      <c r="AU616" s="132"/>
      <c r="AV616" s="132"/>
      <c r="AW616" s="132"/>
      <c r="AX616" s="132"/>
      <c r="AY616" s="132"/>
      <c r="AZ616" s="132"/>
      <c r="BA616" s="132"/>
      <c r="BB616" s="132"/>
      <c r="BC616" s="132"/>
      <c r="BD616" s="132"/>
      <c r="BE616" s="132"/>
      <c r="BF616" s="132"/>
      <c r="BG616" s="132"/>
      <c r="BH616" s="132"/>
      <c r="BI616" s="136"/>
    </row>
    <row r="617" spans="2:61" ht="20.100000000000001" customHeight="1" x14ac:dyDescent="0.45">
      <c r="B617" s="168"/>
      <c r="C617" s="31"/>
      <c r="D617" s="31"/>
      <c r="E617" s="31"/>
      <c r="F617" s="31"/>
      <c r="G617" s="138"/>
      <c r="H617" s="139"/>
      <c r="I617" s="138"/>
      <c r="J617" s="169" t="s">
        <v>293</v>
      </c>
      <c r="K617" s="52"/>
      <c r="L617" s="52"/>
      <c r="M617" s="52"/>
      <c r="N617" s="52"/>
      <c r="O617" s="52"/>
      <c r="P617" s="52"/>
      <c r="Q617" s="52"/>
      <c r="R617" s="169" t="s">
        <v>438</v>
      </c>
      <c r="S617" s="52"/>
      <c r="T617" s="52"/>
      <c r="U617" s="52"/>
      <c r="V617" s="52"/>
      <c r="W617" s="52"/>
      <c r="X617" s="52"/>
      <c r="Y617" s="52"/>
      <c r="Z617" s="52"/>
      <c r="AA617" s="52"/>
      <c r="AB617" s="52"/>
      <c r="AC617" s="52"/>
      <c r="AD617" s="52"/>
      <c r="AE617" s="52"/>
      <c r="AF617" s="52"/>
      <c r="AG617" s="52"/>
      <c r="AH617" s="52"/>
      <c r="AI617" s="52"/>
      <c r="AJ617" s="170"/>
      <c r="AK617" s="140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141"/>
    </row>
    <row r="618" spans="2:61" ht="20.100000000000001" customHeight="1" x14ac:dyDescent="0.45">
      <c r="B618" s="168"/>
      <c r="C618" s="31"/>
      <c r="D618" s="31"/>
      <c r="E618" s="31"/>
      <c r="F618" s="31"/>
      <c r="G618" s="138"/>
      <c r="H618" s="139"/>
      <c r="I618" s="138"/>
      <c r="J618" s="169" t="s">
        <v>313</v>
      </c>
      <c r="K618" s="52"/>
      <c r="L618" s="52"/>
      <c r="M618" s="52"/>
      <c r="N618" s="52"/>
      <c r="O618" s="52"/>
      <c r="P618" s="52"/>
      <c r="Q618" s="52"/>
      <c r="R618" s="169" t="s">
        <v>439</v>
      </c>
      <c r="S618" s="52"/>
      <c r="T618" s="52"/>
      <c r="U618" s="52"/>
      <c r="V618" s="52"/>
      <c r="W618" s="52"/>
      <c r="X618" s="52"/>
      <c r="Y618" s="52"/>
      <c r="Z618" s="52"/>
      <c r="AA618" s="52"/>
      <c r="AB618" s="52"/>
      <c r="AC618" s="52"/>
      <c r="AD618" s="52"/>
      <c r="AE618" s="52"/>
      <c r="AF618" s="52"/>
      <c r="AG618" s="52"/>
      <c r="AH618" s="52"/>
      <c r="AI618" s="52"/>
      <c r="AJ618" s="170"/>
      <c r="AK618" s="140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141"/>
    </row>
    <row r="619" spans="2:61" ht="20.100000000000001" customHeight="1" x14ac:dyDescent="0.45">
      <c r="B619" s="168"/>
      <c r="C619" s="31"/>
      <c r="D619" s="31"/>
      <c r="E619" s="31"/>
      <c r="F619" s="31"/>
      <c r="G619" s="138"/>
      <c r="H619" s="139"/>
      <c r="I619" s="138"/>
      <c r="J619" s="169" t="s">
        <v>524</v>
      </c>
      <c r="K619" s="52"/>
      <c r="L619" s="52"/>
      <c r="M619" s="52"/>
      <c r="N619" s="52"/>
      <c r="O619" s="52"/>
      <c r="P619" s="52"/>
      <c r="Q619" s="52"/>
      <c r="R619" s="169" t="s">
        <v>525</v>
      </c>
      <c r="S619" s="52"/>
      <c r="T619" s="52"/>
      <c r="U619" s="52"/>
      <c r="V619" s="52"/>
      <c r="W619" s="52"/>
      <c r="X619" s="52"/>
      <c r="Y619" s="52"/>
      <c r="Z619" s="52"/>
      <c r="AA619" s="52"/>
      <c r="AB619" s="52"/>
      <c r="AC619" s="52"/>
      <c r="AD619" s="52"/>
      <c r="AE619" s="52"/>
      <c r="AF619" s="52"/>
      <c r="AG619" s="52"/>
      <c r="AH619" s="52"/>
      <c r="AI619" s="52"/>
      <c r="AJ619" s="170"/>
      <c r="AK619" s="140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141"/>
    </row>
    <row r="620" spans="2:61" ht="20.100000000000001" customHeight="1" x14ac:dyDescent="0.45">
      <c r="B620" s="168"/>
      <c r="C620" s="31"/>
      <c r="D620" s="31"/>
      <c r="E620" s="31"/>
      <c r="F620" s="31"/>
      <c r="G620" s="138"/>
      <c r="H620" s="139"/>
      <c r="I620" s="138"/>
      <c r="J620" s="169"/>
      <c r="K620" s="52"/>
      <c r="L620" s="52"/>
      <c r="M620" s="52"/>
      <c r="N620" s="52"/>
      <c r="O620" s="52"/>
      <c r="P620" s="52"/>
      <c r="Q620" s="52"/>
      <c r="R620" s="169" t="s">
        <v>526</v>
      </c>
      <c r="S620" s="52"/>
      <c r="T620" s="52"/>
      <c r="U620" s="52"/>
      <c r="V620" s="52"/>
      <c r="W620" s="52"/>
      <c r="X620" s="52"/>
      <c r="Y620" s="52"/>
      <c r="Z620" s="52"/>
      <c r="AA620" s="52"/>
      <c r="AB620" s="52"/>
      <c r="AC620" s="52"/>
      <c r="AD620" s="52"/>
      <c r="AE620" s="52"/>
      <c r="AF620" s="52"/>
      <c r="AG620" s="52"/>
      <c r="AH620" s="52"/>
      <c r="AI620" s="52"/>
      <c r="AJ620" s="170"/>
      <c r="AK620" s="140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141"/>
    </row>
    <row r="621" spans="2:61" ht="20.100000000000001" customHeight="1" x14ac:dyDescent="0.45">
      <c r="B621" s="168"/>
      <c r="C621" s="31"/>
      <c r="D621" s="31"/>
      <c r="E621" s="31"/>
      <c r="F621" s="31"/>
      <c r="G621" s="138"/>
      <c r="H621" s="142" t="s">
        <v>145</v>
      </c>
      <c r="I621" s="55"/>
      <c r="J621" s="142" t="s">
        <v>527</v>
      </c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  <c r="AA621" s="55"/>
      <c r="AB621" s="55"/>
      <c r="AC621" s="55"/>
      <c r="AD621" s="55"/>
      <c r="AE621" s="55"/>
      <c r="AF621" s="55"/>
      <c r="AG621" s="55"/>
      <c r="AH621" s="55"/>
      <c r="AI621" s="55"/>
      <c r="AJ621" s="55"/>
      <c r="AK621" s="143"/>
      <c r="AL621" s="55"/>
      <c r="AM621" s="55"/>
      <c r="AN621" s="55"/>
      <c r="AO621" s="55"/>
      <c r="AP621" s="55"/>
      <c r="AQ621" s="55"/>
      <c r="AR621" s="55"/>
      <c r="AS621" s="55"/>
      <c r="AT621" s="55"/>
      <c r="AU621" s="55"/>
      <c r="AV621" s="55"/>
      <c r="AW621" s="55"/>
      <c r="AX621" s="55"/>
      <c r="AY621" s="55"/>
      <c r="AZ621" s="55"/>
      <c r="BA621" s="55"/>
      <c r="BB621" s="55"/>
      <c r="BC621" s="55"/>
      <c r="BD621" s="55"/>
      <c r="BE621" s="55"/>
      <c r="BF621" s="55"/>
      <c r="BG621" s="55"/>
      <c r="BH621" s="55"/>
      <c r="BI621" s="144"/>
    </row>
    <row r="622" spans="2:61" ht="20.100000000000001" customHeight="1" x14ac:dyDescent="0.45">
      <c r="B622" s="137"/>
      <c r="C622" s="31"/>
      <c r="D622" s="31"/>
      <c r="E622" s="31"/>
      <c r="F622" s="31"/>
      <c r="G622" s="138"/>
      <c r="H622" s="139"/>
      <c r="I622" s="31"/>
      <c r="J622" s="139" t="s">
        <v>528</v>
      </c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140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141"/>
    </row>
    <row r="623" spans="2:61" ht="20.100000000000001" customHeight="1" x14ac:dyDescent="0.45">
      <c r="B623" s="137"/>
      <c r="C623" s="31"/>
      <c r="D623" s="31"/>
      <c r="E623" s="31"/>
      <c r="F623" s="31"/>
      <c r="G623" s="138"/>
      <c r="H623" s="142" t="s">
        <v>146</v>
      </c>
      <c r="I623" s="55"/>
      <c r="J623" s="142" t="s">
        <v>178</v>
      </c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  <c r="AA623" s="55"/>
      <c r="AB623" s="55"/>
      <c r="AC623" s="55"/>
      <c r="AD623" s="55"/>
      <c r="AE623" s="55"/>
      <c r="AF623" s="55"/>
      <c r="AG623" s="55"/>
      <c r="AH623" s="55"/>
      <c r="AI623" s="55"/>
      <c r="AJ623" s="55"/>
      <c r="AK623" s="143"/>
      <c r="AL623" s="55"/>
      <c r="AM623" s="55"/>
      <c r="AN623" s="55"/>
      <c r="AO623" s="55"/>
      <c r="AP623" s="55"/>
      <c r="AQ623" s="55"/>
      <c r="AR623" s="55"/>
      <c r="AS623" s="55"/>
      <c r="AT623" s="55"/>
      <c r="AU623" s="55"/>
      <c r="AV623" s="55"/>
      <c r="AW623" s="55"/>
      <c r="AX623" s="55"/>
      <c r="AY623" s="55"/>
      <c r="AZ623" s="55"/>
      <c r="BA623" s="55"/>
      <c r="BB623" s="55"/>
      <c r="BC623" s="55"/>
      <c r="BD623" s="55"/>
      <c r="BE623" s="55"/>
      <c r="BF623" s="55"/>
      <c r="BG623" s="55"/>
      <c r="BH623" s="55"/>
      <c r="BI623" s="144"/>
    </row>
    <row r="624" spans="2:61" ht="20.100000000000001" customHeight="1" x14ac:dyDescent="0.45">
      <c r="B624" s="137"/>
      <c r="C624" s="31"/>
      <c r="D624" s="31"/>
      <c r="E624" s="31"/>
      <c r="F624" s="31"/>
      <c r="G624" s="138"/>
      <c r="H624" s="139"/>
      <c r="I624" s="31"/>
      <c r="J624" s="139"/>
      <c r="K624" s="31" t="s">
        <v>523</v>
      </c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140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141"/>
    </row>
    <row r="625" spans="2:61" ht="20.100000000000001" customHeight="1" x14ac:dyDescent="0.45">
      <c r="B625" s="137"/>
      <c r="C625" s="31"/>
      <c r="D625" s="31"/>
      <c r="E625" s="31"/>
      <c r="F625" s="31"/>
      <c r="G625" s="138"/>
      <c r="H625" s="139"/>
      <c r="I625" s="31"/>
      <c r="J625" s="139"/>
      <c r="K625" s="31"/>
      <c r="M625" s="31" t="s">
        <v>530</v>
      </c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140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141"/>
    </row>
    <row r="626" spans="2:61" ht="20.100000000000001" customHeight="1" x14ac:dyDescent="0.45">
      <c r="B626" s="137"/>
      <c r="C626" s="31"/>
      <c r="D626" s="31"/>
      <c r="E626" s="31"/>
      <c r="F626" s="31"/>
      <c r="G626" s="138"/>
      <c r="H626" s="139"/>
      <c r="I626" s="31"/>
      <c r="J626" s="139"/>
      <c r="K626" s="31"/>
      <c r="L626" s="31" t="s">
        <v>180</v>
      </c>
      <c r="M626" s="31" t="s">
        <v>531</v>
      </c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140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141"/>
    </row>
    <row r="627" spans="2:61" ht="20.100000000000001" customHeight="1" x14ac:dyDescent="0.45">
      <c r="B627" s="137"/>
      <c r="C627" s="31"/>
      <c r="D627" s="31"/>
      <c r="E627" s="31"/>
      <c r="F627" s="31"/>
      <c r="G627" s="138"/>
      <c r="H627" s="139"/>
      <c r="I627" s="31"/>
      <c r="J627" s="139"/>
      <c r="K627" s="31"/>
      <c r="L627" s="31" t="s">
        <v>180</v>
      </c>
      <c r="M627" s="31" t="s">
        <v>532</v>
      </c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140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141"/>
    </row>
    <row r="628" spans="2:61" ht="20.100000000000001" customHeight="1" x14ac:dyDescent="0.45">
      <c r="B628" s="137"/>
      <c r="C628" s="31"/>
      <c r="D628" s="31"/>
      <c r="E628" s="31"/>
      <c r="F628" s="31"/>
      <c r="G628" s="138"/>
      <c r="H628" s="142" t="s">
        <v>190</v>
      </c>
      <c r="I628" s="55"/>
      <c r="J628" s="142" t="s">
        <v>533</v>
      </c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  <c r="AA628" s="55"/>
      <c r="AB628" s="55"/>
      <c r="AC628" s="55"/>
      <c r="AD628" s="55"/>
      <c r="AE628" s="55"/>
      <c r="AF628" s="55"/>
      <c r="AG628" s="55"/>
      <c r="AH628" s="55"/>
      <c r="AI628" s="55"/>
      <c r="AJ628" s="55"/>
      <c r="AK628" s="142"/>
      <c r="AL628" s="55"/>
      <c r="AM628" s="55"/>
      <c r="AN628" s="55"/>
      <c r="AO628" s="55"/>
      <c r="AP628" s="55"/>
      <c r="AQ628" s="55"/>
      <c r="AR628" s="55"/>
      <c r="AS628" s="55"/>
      <c r="AT628" s="55"/>
      <c r="AU628" s="55"/>
      <c r="AV628" s="55"/>
      <c r="AW628" s="55"/>
      <c r="AX628" s="55"/>
      <c r="AY628" s="55"/>
      <c r="AZ628" s="55"/>
      <c r="BA628" s="55"/>
      <c r="BB628" s="55"/>
      <c r="BC628" s="55"/>
      <c r="BD628" s="55"/>
      <c r="BE628" s="55"/>
      <c r="BF628" s="55"/>
      <c r="BG628" s="55"/>
      <c r="BH628" s="55"/>
      <c r="BI628" s="144"/>
    </row>
    <row r="629" spans="2:61" ht="20.100000000000001" customHeight="1" thickBot="1" x14ac:dyDescent="0.5">
      <c r="B629" s="137"/>
      <c r="C629" s="31"/>
      <c r="D629" s="31"/>
      <c r="E629" s="31"/>
      <c r="F629" s="31"/>
      <c r="G629" s="138"/>
      <c r="H629" s="158"/>
      <c r="I629" s="156"/>
      <c r="J629" s="158" t="s">
        <v>534</v>
      </c>
      <c r="K629" s="156"/>
      <c r="L629" s="156"/>
      <c r="M629" s="156"/>
      <c r="N629" s="156"/>
      <c r="O629" s="156"/>
      <c r="P629" s="156"/>
      <c r="Q629" s="156"/>
      <c r="R629" s="156"/>
      <c r="S629" s="156"/>
      <c r="T629" s="156"/>
      <c r="U629" s="156"/>
      <c r="V629" s="156"/>
      <c r="W629" s="156"/>
      <c r="X629" s="156"/>
      <c r="Y629" s="156"/>
      <c r="Z629" s="156"/>
      <c r="AA629" s="156"/>
      <c r="AB629" s="156"/>
      <c r="AC629" s="156"/>
      <c r="AD629" s="156"/>
      <c r="AE629" s="156"/>
      <c r="AF629" s="156"/>
      <c r="AG629" s="156"/>
      <c r="AH629" s="156"/>
      <c r="AI629" s="156"/>
      <c r="AJ629" s="156"/>
      <c r="AK629" s="182"/>
      <c r="AL629" s="156"/>
      <c r="AM629" s="156"/>
      <c r="AN629" s="156"/>
      <c r="AO629" s="156"/>
      <c r="AP629" s="156"/>
      <c r="AQ629" s="156"/>
      <c r="AR629" s="156"/>
      <c r="AS629" s="156"/>
      <c r="AT629" s="156"/>
      <c r="AU629" s="156"/>
      <c r="AV629" s="156"/>
      <c r="AW629" s="156"/>
      <c r="AX629" s="156"/>
      <c r="AY629" s="156"/>
      <c r="AZ629" s="156"/>
      <c r="BA629" s="156"/>
      <c r="BB629" s="156"/>
      <c r="BC629" s="156"/>
      <c r="BD629" s="156"/>
      <c r="BE629" s="156"/>
      <c r="BF629" s="156"/>
      <c r="BG629" s="156"/>
      <c r="BH629" s="156"/>
      <c r="BI629" s="159"/>
    </row>
    <row r="630" spans="2:61" ht="20.100000000000001" customHeight="1" x14ac:dyDescent="0.45">
      <c r="B630" s="131" t="s">
        <v>523</v>
      </c>
      <c r="C630" s="132"/>
      <c r="D630" s="132"/>
      <c r="E630" s="132"/>
      <c r="F630" s="132"/>
      <c r="G630" s="133"/>
      <c r="H630" s="134" t="s">
        <v>237</v>
      </c>
      <c r="I630" s="133"/>
      <c r="J630" s="173" t="s">
        <v>311</v>
      </c>
      <c r="K630" s="166"/>
      <c r="L630" s="166"/>
      <c r="M630" s="166"/>
      <c r="N630" s="166"/>
      <c r="O630" s="166"/>
      <c r="P630" s="166"/>
      <c r="Q630" s="166"/>
      <c r="R630" s="173" t="s">
        <v>437</v>
      </c>
      <c r="S630" s="166"/>
      <c r="T630" s="166"/>
      <c r="U630" s="166"/>
      <c r="V630" s="166"/>
      <c r="W630" s="166"/>
      <c r="X630" s="166"/>
      <c r="Y630" s="166"/>
      <c r="Z630" s="166"/>
      <c r="AA630" s="166"/>
      <c r="AB630" s="166"/>
      <c r="AC630" s="166"/>
      <c r="AD630" s="166"/>
      <c r="AE630" s="166"/>
      <c r="AF630" s="166"/>
      <c r="AG630" s="166"/>
      <c r="AH630" s="166"/>
      <c r="AI630" s="166"/>
      <c r="AJ630" s="167"/>
      <c r="AK630" s="135"/>
      <c r="AL630" s="132"/>
      <c r="AM630" s="132"/>
      <c r="AN630" s="132"/>
      <c r="AO630" s="132"/>
      <c r="AP630" s="132"/>
      <c r="AQ630" s="132"/>
      <c r="AR630" s="132"/>
      <c r="AS630" s="132"/>
      <c r="AT630" s="132"/>
      <c r="AU630" s="132"/>
      <c r="AV630" s="132"/>
      <c r="AW630" s="132"/>
      <c r="AX630" s="132"/>
      <c r="AY630" s="132"/>
      <c r="AZ630" s="132"/>
      <c r="BA630" s="132"/>
      <c r="BB630" s="132"/>
      <c r="BC630" s="132"/>
      <c r="BD630" s="132"/>
      <c r="BE630" s="132"/>
      <c r="BF630" s="132"/>
      <c r="BG630" s="132"/>
      <c r="BH630" s="132"/>
      <c r="BI630" s="136"/>
    </row>
    <row r="631" spans="2:61" ht="20.100000000000001" customHeight="1" x14ac:dyDescent="0.45">
      <c r="B631" s="168"/>
      <c r="C631" s="31"/>
      <c r="D631" s="31"/>
      <c r="E631" s="31"/>
      <c r="F631" s="31"/>
      <c r="G631" s="138"/>
      <c r="H631" s="139"/>
      <c r="I631" s="138"/>
      <c r="J631" s="169" t="s">
        <v>293</v>
      </c>
      <c r="K631" s="52"/>
      <c r="L631" s="52"/>
      <c r="M631" s="52"/>
      <c r="N631" s="52"/>
      <c r="O631" s="52"/>
      <c r="P631" s="52"/>
      <c r="Q631" s="52"/>
      <c r="R631" s="169" t="s">
        <v>438</v>
      </c>
      <c r="S631" s="52"/>
      <c r="T631" s="52"/>
      <c r="U631" s="52"/>
      <c r="V631" s="52"/>
      <c r="W631" s="52"/>
      <c r="X631" s="52"/>
      <c r="Y631" s="52"/>
      <c r="Z631" s="52"/>
      <c r="AA631" s="52"/>
      <c r="AB631" s="52"/>
      <c r="AC631" s="52"/>
      <c r="AD631" s="52"/>
      <c r="AE631" s="52"/>
      <c r="AF631" s="52"/>
      <c r="AG631" s="52"/>
      <c r="AH631" s="52"/>
      <c r="AI631" s="52"/>
      <c r="AJ631" s="170"/>
      <c r="AK631" s="140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141"/>
    </row>
    <row r="632" spans="2:61" ht="20.100000000000001" customHeight="1" x14ac:dyDescent="0.45">
      <c r="B632" s="168"/>
      <c r="C632" s="31"/>
      <c r="D632" s="31"/>
      <c r="E632" s="31"/>
      <c r="F632" s="31"/>
      <c r="G632" s="138"/>
      <c r="H632" s="139"/>
      <c r="I632" s="138"/>
      <c r="J632" s="169" t="s">
        <v>313</v>
      </c>
      <c r="K632" s="52"/>
      <c r="L632" s="52"/>
      <c r="M632" s="52"/>
      <c r="N632" s="52"/>
      <c r="O632" s="52"/>
      <c r="P632" s="52"/>
      <c r="Q632" s="52"/>
      <c r="R632" s="169" t="s">
        <v>439</v>
      </c>
      <c r="S632" s="52"/>
      <c r="T632" s="52"/>
      <c r="U632" s="52"/>
      <c r="V632" s="52"/>
      <c r="W632" s="52"/>
      <c r="X632" s="52"/>
      <c r="Y632" s="52"/>
      <c r="Z632" s="52"/>
      <c r="AA632" s="52"/>
      <c r="AB632" s="52"/>
      <c r="AC632" s="52"/>
      <c r="AD632" s="52"/>
      <c r="AE632" s="52"/>
      <c r="AF632" s="52"/>
      <c r="AG632" s="52"/>
      <c r="AH632" s="52"/>
      <c r="AI632" s="52"/>
      <c r="AJ632" s="170"/>
      <c r="AK632" s="140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141"/>
    </row>
    <row r="633" spans="2:61" ht="20.100000000000001" customHeight="1" x14ac:dyDescent="0.45">
      <c r="B633" s="168"/>
      <c r="C633" s="31"/>
      <c r="D633" s="31"/>
      <c r="E633" s="31"/>
      <c r="F633" s="31"/>
      <c r="G633" s="138"/>
      <c r="H633" s="139"/>
      <c r="I633" s="138"/>
      <c r="J633" s="169" t="s">
        <v>524</v>
      </c>
      <c r="K633" s="52"/>
      <c r="L633" s="52"/>
      <c r="M633" s="52"/>
      <c r="N633" s="52"/>
      <c r="O633" s="52"/>
      <c r="P633" s="52"/>
      <c r="Q633" s="52"/>
      <c r="R633" s="169" t="s">
        <v>525</v>
      </c>
      <c r="S633" s="52"/>
      <c r="T633" s="52"/>
      <c r="U633" s="52"/>
      <c r="V633" s="52"/>
      <c r="W633" s="52"/>
      <c r="X633" s="52"/>
      <c r="Y633" s="52"/>
      <c r="Z633" s="52"/>
      <c r="AA633" s="52"/>
      <c r="AB633" s="52"/>
      <c r="AC633" s="52"/>
      <c r="AD633" s="52"/>
      <c r="AE633" s="52"/>
      <c r="AF633" s="52"/>
      <c r="AG633" s="52"/>
      <c r="AH633" s="52"/>
      <c r="AI633" s="52"/>
      <c r="AJ633" s="170"/>
      <c r="AK633" s="140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141"/>
    </row>
    <row r="634" spans="2:61" ht="20.100000000000001" customHeight="1" x14ac:dyDescent="0.45">
      <c r="B634" s="168"/>
      <c r="C634" s="31"/>
      <c r="D634" s="31"/>
      <c r="E634" s="31"/>
      <c r="F634" s="31"/>
      <c r="G634" s="138"/>
      <c r="H634" s="142" t="s">
        <v>145</v>
      </c>
      <c r="I634" s="55"/>
      <c r="J634" s="142" t="s">
        <v>259</v>
      </c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  <c r="AA634" s="55"/>
      <c r="AB634" s="55"/>
      <c r="AC634" s="55"/>
      <c r="AD634" s="55"/>
      <c r="AE634" s="55"/>
      <c r="AF634" s="55"/>
      <c r="AG634" s="55"/>
      <c r="AH634" s="55"/>
      <c r="AI634" s="55"/>
      <c r="AJ634" s="55"/>
      <c r="AK634" s="143"/>
      <c r="AL634" s="55"/>
      <c r="AM634" s="55"/>
      <c r="AN634" s="55"/>
      <c r="AO634" s="55"/>
      <c r="AP634" s="55"/>
      <c r="AQ634" s="55"/>
      <c r="AR634" s="55"/>
      <c r="AS634" s="55"/>
      <c r="AT634" s="55"/>
      <c r="AU634" s="55"/>
      <c r="AV634" s="55"/>
      <c r="AW634" s="55"/>
      <c r="AX634" s="55"/>
      <c r="AY634" s="55"/>
      <c r="AZ634" s="55"/>
      <c r="BA634" s="55"/>
      <c r="BB634" s="55"/>
      <c r="BC634" s="55"/>
      <c r="BD634" s="55"/>
      <c r="BE634" s="55"/>
      <c r="BF634" s="55"/>
      <c r="BG634" s="55"/>
      <c r="BH634" s="55"/>
      <c r="BI634" s="144"/>
    </row>
    <row r="635" spans="2:61" ht="20.100000000000001" customHeight="1" x14ac:dyDescent="0.45">
      <c r="B635" s="137"/>
      <c r="C635" s="31"/>
      <c r="D635" s="31"/>
      <c r="E635" s="31"/>
      <c r="F635" s="31"/>
      <c r="G635" s="138"/>
      <c r="H635" s="142" t="s">
        <v>166</v>
      </c>
      <c r="I635" s="55"/>
      <c r="J635" s="142" t="s">
        <v>437</v>
      </c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  <c r="AA635" s="55"/>
      <c r="AB635" s="55"/>
      <c r="AC635" s="55"/>
      <c r="AD635" s="55"/>
      <c r="AE635" s="55"/>
      <c r="AF635" s="55"/>
      <c r="AG635" s="55"/>
      <c r="AH635" s="55"/>
      <c r="AI635" s="55"/>
      <c r="AJ635" s="55"/>
      <c r="AK635" s="143"/>
      <c r="AL635" s="55"/>
      <c r="AM635" s="55"/>
      <c r="AN635" s="55"/>
      <c r="AO635" s="55"/>
      <c r="AP635" s="55"/>
      <c r="AQ635" s="55"/>
      <c r="AR635" s="55"/>
      <c r="AS635" s="55"/>
      <c r="AT635" s="55"/>
      <c r="AU635" s="55"/>
      <c r="AV635" s="55"/>
      <c r="AW635" s="55"/>
      <c r="AX635" s="55"/>
      <c r="AY635" s="55"/>
      <c r="AZ635" s="55"/>
      <c r="BA635" s="55"/>
      <c r="BB635" s="55"/>
      <c r="BC635" s="55"/>
      <c r="BD635" s="55"/>
      <c r="BE635" s="55"/>
      <c r="BF635" s="55"/>
      <c r="BG635" s="55"/>
      <c r="BH635" s="55"/>
      <c r="BI635" s="144"/>
    </row>
    <row r="636" spans="2:61" ht="20.100000000000001" customHeight="1" x14ac:dyDescent="0.45">
      <c r="B636" s="137"/>
      <c r="C636" s="31"/>
      <c r="D636" s="31"/>
      <c r="E636" s="31"/>
      <c r="F636" s="31"/>
      <c r="G636" s="138"/>
      <c r="H636" s="139"/>
      <c r="I636" s="31"/>
      <c r="J636" s="139" t="s">
        <v>438</v>
      </c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140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141"/>
    </row>
    <row r="637" spans="2:61" ht="20.100000000000001" customHeight="1" thickBot="1" x14ac:dyDescent="0.5">
      <c r="B637" s="137"/>
      <c r="C637" s="31"/>
      <c r="D637" s="31"/>
      <c r="E637" s="31"/>
      <c r="F637" s="31"/>
      <c r="G637" s="138"/>
      <c r="H637" s="139"/>
      <c r="I637" s="31"/>
      <c r="J637" s="139" t="s">
        <v>439</v>
      </c>
      <c r="K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140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141"/>
    </row>
    <row r="638" spans="2:61" ht="5.0999999999999996" customHeight="1" x14ac:dyDescent="0.45">
      <c r="B638" s="132"/>
      <c r="C638" s="132"/>
      <c r="D638" s="132"/>
      <c r="E638" s="132"/>
      <c r="F638" s="132"/>
      <c r="G638" s="132"/>
      <c r="H638" s="132"/>
      <c r="I638" s="132"/>
      <c r="J638" s="132"/>
      <c r="K638" s="132"/>
      <c r="L638" s="132"/>
      <c r="M638" s="132"/>
      <c r="N638" s="132"/>
      <c r="O638" s="132"/>
      <c r="P638" s="132"/>
      <c r="Q638" s="132"/>
      <c r="R638" s="132"/>
      <c r="S638" s="132"/>
      <c r="T638" s="132"/>
      <c r="U638" s="132"/>
      <c r="V638" s="132"/>
      <c r="W638" s="132"/>
      <c r="X638" s="132"/>
      <c r="Y638" s="132"/>
      <c r="Z638" s="132"/>
      <c r="AA638" s="132"/>
      <c r="AB638" s="132"/>
      <c r="AC638" s="132"/>
      <c r="AD638" s="132"/>
      <c r="AE638" s="132"/>
      <c r="AF638" s="132"/>
      <c r="AG638" s="132"/>
      <c r="AH638" s="132"/>
      <c r="AI638" s="132"/>
      <c r="AJ638" s="132"/>
      <c r="AK638" s="132"/>
      <c r="AL638" s="132"/>
      <c r="AM638" s="132"/>
      <c r="AN638" s="132"/>
      <c r="AO638" s="132"/>
      <c r="AP638" s="132"/>
      <c r="AQ638" s="132"/>
      <c r="AR638" s="132"/>
      <c r="AS638" s="132"/>
      <c r="AT638" s="132"/>
      <c r="AU638" s="132"/>
      <c r="AV638" s="132"/>
      <c r="AW638" s="132"/>
      <c r="AX638" s="132"/>
      <c r="AY638" s="132"/>
      <c r="AZ638" s="132"/>
      <c r="BA638" s="132"/>
      <c r="BB638" s="132"/>
      <c r="BC638" s="132"/>
      <c r="BD638" s="132"/>
      <c r="BE638" s="132"/>
      <c r="BF638" s="132"/>
      <c r="BG638" s="132"/>
      <c r="BH638" s="132"/>
      <c r="BI638" s="132"/>
    </row>
  </sheetData>
  <mergeCells count="20">
    <mergeCell ref="AX3:BA4"/>
    <mergeCell ref="BB3:BE4"/>
    <mergeCell ref="BF3:BI4"/>
    <mergeCell ref="BJ3:BM4"/>
    <mergeCell ref="AX2:BA2"/>
    <mergeCell ref="BB2:BE2"/>
    <mergeCell ref="BF2:BI2"/>
    <mergeCell ref="BJ2:BM2"/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</mergeCells>
  <phoneticPr fontId="2"/>
  <pageMargins left="0.70866141732283472" right="0.70866141732283472" top="0.74803149606299213" bottom="0.74803149606299213" header="0.31496062992125984" footer="0.31496062992125984"/>
  <pageSetup paperSize="8" scale="55" fitToHeight="10" orientation="landscape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5"/>
  <sheetViews>
    <sheetView zoomScale="85" zoomScaleNormal="85" workbookViewId="0"/>
  </sheetViews>
  <sheetFormatPr defaultRowHeight="18" x14ac:dyDescent="0.45"/>
  <cols>
    <col min="1" max="2" width="8.796875" style="29"/>
    <col min="3" max="3" width="26.59765625" style="29" customWidth="1"/>
    <col min="4" max="4" width="9" style="29" bestFit="1" customWidth="1"/>
    <col min="5" max="5" width="101" style="29" bestFit="1" customWidth="1"/>
    <col min="6" max="6" width="54.296875" style="29" customWidth="1"/>
    <col min="7" max="16384" width="8.796875" style="29"/>
  </cols>
  <sheetData>
    <row r="2" spans="2:7" ht="19.2" thickBot="1" x14ac:dyDescent="0.5">
      <c r="B2" s="87" t="s">
        <v>48</v>
      </c>
    </row>
    <row r="3" spans="2:7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172" t="s">
        <v>254</v>
      </c>
      <c r="G3" s="78" t="s">
        <v>51</v>
      </c>
    </row>
    <row r="4" spans="2:7" x14ac:dyDescent="0.45">
      <c r="B4" s="37">
        <v>1</v>
      </c>
      <c r="C4" s="79"/>
      <c r="D4" s="79"/>
      <c r="E4" s="80"/>
      <c r="F4" s="80"/>
      <c r="G4" s="81"/>
    </row>
    <row r="5" spans="2:7" x14ac:dyDescent="0.45">
      <c r="B5" s="37">
        <v>2</v>
      </c>
      <c r="C5" s="79"/>
      <c r="D5" s="79"/>
      <c r="E5" s="82"/>
      <c r="F5" s="80"/>
      <c r="G5" s="81"/>
    </row>
    <row r="6" spans="2:7" x14ac:dyDescent="0.45">
      <c r="B6" s="37">
        <v>3</v>
      </c>
      <c r="C6" s="79"/>
      <c r="D6" s="79"/>
      <c r="E6" s="82"/>
      <c r="F6" s="82"/>
      <c r="G6" s="81"/>
    </row>
    <row r="7" spans="2:7" x14ac:dyDescent="0.45">
      <c r="B7" s="37">
        <v>4</v>
      </c>
      <c r="C7" s="79"/>
      <c r="D7" s="79"/>
      <c r="E7" s="82"/>
      <c r="F7" s="82"/>
      <c r="G7" s="81"/>
    </row>
    <row r="8" spans="2:7" x14ac:dyDescent="0.45">
      <c r="B8" s="37">
        <v>5</v>
      </c>
      <c r="C8" s="79"/>
      <c r="D8" s="79"/>
      <c r="E8" s="82"/>
      <c r="F8" s="82"/>
      <c r="G8" s="81"/>
    </row>
    <row r="9" spans="2:7" x14ac:dyDescent="0.45">
      <c r="B9" s="37">
        <v>6</v>
      </c>
      <c r="C9" s="79"/>
      <c r="D9" s="79"/>
      <c r="E9" s="82"/>
      <c r="F9" s="82"/>
      <c r="G9" s="81"/>
    </row>
    <row r="10" spans="2:7" x14ac:dyDescent="0.45">
      <c r="B10" s="37">
        <v>7</v>
      </c>
      <c r="C10" s="79"/>
      <c r="D10" s="79"/>
      <c r="E10" s="82"/>
      <c r="F10" s="82"/>
      <c r="G10" s="81"/>
    </row>
    <row r="11" spans="2:7" x14ac:dyDescent="0.45">
      <c r="B11" s="37">
        <v>8</v>
      </c>
      <c r="C11" s="79"/>
      <c r="D11" s="79"/>
      <c r="E11" s="82"/>
      <c r="F11" s="82"/>
      <c r="G11" s="81"/>
    </row>
    <row r="12" spans="2:7" x14ac:dyDescent="0.45">
      <c r="B12" s="37">
        <v>9</v>
      </c>
      <c r="C12" s="79"/>
      <c r="D12" s="79"/>
      <c r="E12" s="82"/>
      <c r="F12" s="82"/>
      <c r="G12" s="81"/>
    </row>
    <row r="13" spans="2:7" x14ac:dyDescent="0.45">
      <c r="B13" s="37">
        <v>10</v>
      </c>
      <c r="C13" s="79"/>
      <c r="D13" s="79"/>
      <c r="E13" s="82"/>
      <c r="F13" s="82"/>
      <c r="G13" s="81"/>
    </row>
    <row r="14" spans="2:7" x14ac:dyDescent="0.45">
      <c r="B14" s="37">
        <v>11</v>
      </c>
      <c r="C14" s="79"/>
      <c r="D14" s="79"/>
      <c r="E14" s="82"/>
      <c r="F14" s="82"/>
      <c r="G14" s="81"/>
    </row>
    <row r="15" spans="2:7" x14ac:dyDescent="0.45">
      <c r="B15" s="37">
        <v>12</v>
      </c>
      <c r="C15" s="79"/>
      <c r="D15" s="79"/>
      <c r="E15" s="82"/>
      <c r="F15" s="82"/>
      <c r="G15" s="81"/>
    </row>
    <row r="16" spans="2:7" x14ac:dyDescent="0.45">
      <c r="B16" s="37">
        <v>13</v>
      </c>
      <c r="C16" s="79"/>
      <c r="D16" s="79"/>
      <c r="E16" s="82"/>
      <c r="F16" s="82"/>
      <c r="G16" s="81"/>
    </row>
    <row r="17" spans="2:7" x14ac:dyDescent="0.45">
      <c r="B17" s="37">
        <v>14</v>
      </c>
      <c r="C17" s="79"/>
      <c r="D17" s="79"/>
      <c r="E17" s="82"/>
      <c r="F17" s="82"/>
      <c r="G17" s="81"/>
    </row>
    <row r="18" spans="2:7" x14ac:dyDescent="0.45">
      <c r="B18" s="37">
        <v>15</v>
      </c>
      <c r="C18" s="79"/>
      <c r="D18" s="79"/>
      <c r="E18" s="82"/>
      <c r="F18" s="82"/>
      <c r="G18" s="81"/>
    </row>
    <row r="19" spans="2:7" x14ac:dyDescent="0.45">
      <c r="B19" s="37">
        <v>16</v>
      </c>
      <c r="C19" s="79"/>
      <c r="D19" s="79"/>
      <c r="E19" s="82"/>
      <c r="F19" s="82"/>
      <c r="G19" s="81"/>
    </row>
    <row r="20" spans="2:7" x14ac:dyDescent="0.45">
      <c r="B20" s="37">
        <v>17</v>
      </c>
      <c r="C20" s="79"/>
      <c r="D20" s="79"/>
      <c r="E20" s="82"/>
      <c r="F20" s="82"/>
      <c r="G20" s="81"/>
    </row>
    <row r="21" spans="2:7" x14ac:dyDescent="0.45">
      <c r="B21" s="37">
        <v>18</v>
      </c>
      <c r="C21" s="79"/>
      <c r="D21" s="79"/>
      <c r="E21" s="82"/>
      <c r="F21" s="82"/>
      <c r="G21" s="81"/>
    </row>
    <row r="22" spans="2:7" x14ac:dyDescent="0.45">
      <c r="B22" s="37">
        <v>19</v>
      </c>
      <c r="C22" s="79"/>
      <c r="D22" s="79"/>
      <c r="E22" s="82"/>
      <c r="F22" s="82"/>
      <c r="G22" s="81"/>
    </row>
    <row r="23" spans="2:7" x14ac:dyDescent="0.45">
      <c r="B23" s="37">
        <v>20</v>
      </c>
      <c r="C23" s="79"/>
      <c r="D23" s="79"/>
      <c r="E23" s="82"/>
      <c r="F23" s="82"/>
      <c r="G23" s="81"/>
    </row>
    <row r="24" spans="2:7" x14ac:dyDescent="0.45">
      <c r="B24" s="37">
        <v>21</v>
      </c>
      <c r="C24" s="79"/>
      <c r="D24" s="79"/>
      <c r="E24" s="82"/>
      <c r="F24" s="82"/>
      <c r="G24" s="81"/>
    </row>
    <row r="25" spans="2:7" x14ac:dyDescent="0.45">
      <c r="B25" s="37">
        <v>22</v>
      </c>
      <c r="C25" s="79"/>
      <c r="D25" s="79"/>
      <c r="E25" s="82"/>
      <c r="F25" s="82"/>
      <c r="G25" s="81"/>
    </row>
    <row r="26" spans="2:7" x14ac:dyDescent="0.45">
      <c r="B26" s="37">
        <v>23</v>
      </c>
      <c r="C26" s="79"/>
      <c r="D26" s="79"/>
      <c r="E26" s="82"/>
      <c r="F26" s="82"/>
      <c r="G26" s="81"/>
    </row>
    <row r="27" spans="2:7" x14ac:dyDescent="0.45">
      <c r="B27" s="37">
        <v>24</v>
      </c>
      <c r="C27" s="79"/>
      <c r="D27" s="79"/>
      <c r="E27" s="82"/>
      <c r="F27" s="82"/>
      <c r="G27" s="81"/>
    </row>
    <row r="28" spans="2:7" x14ac:dyDescent="0.45">
      <c r="B28" s="37">
        <v>25</v>
      </c>
      <c r="C28" s="79"/>
      <c r="D28" s="79"/>
      <c r="E28" s="82"/>
      <c r="F28" s="82"/>
      <c r="G28" s="81"/>
    </row>
    <row r="29" spans="2:7" x14ac:dyDescent="0.45">
      <c r="B29" s="37">
        <v>26</v>
      </c>
      <c r="C29" s="79"/>
      <c r="D29" s="79"/>
      <c r="E29" s="82"/>
      <c r="F29" s="82"/>
      <c r="G29" s="81"/>
    </row>
    <row r="30" spans="2:7" x14ac:dyDescent="0.45">
      <c r="B30" s="37">
        <v>27</v>
      </c>
      <c r="C30" s="79"/>
      <c r="D30" s="79"/>
      <c r="E30" s="82"/>
      <c r="F30" s="82"/>
      <c r="G30" s="81"/>
    </row>
    <row r="31" spans="2:7" x14ac:dyDescent="0.45">
      <c r="B31" s="37">
        <v>28</v>
      </c>
      <c r="C31" s="79"/>
      <c r="D31" s="79"/>
      <c r="E31" s="82"/>
      <c r="F31" s="82"/>
      <c r="G31" s="81"/>
    </row>
    <row r="32" spans="2:7" x14ac:dyDescent="0.45">
      <c r="B32" s="37">
        <v>29</v>
      </c>
      <c r="C32" s="79"/>
      <c r="D32" s="79"/>
      <c r="E32" s="82"/>
      <c r="F32" s="82"/>
      <c r="G32" s="81"/>
    </row>
    <row r="33" spans="2:7" x14ac:dyDescent="0.45">
      <c r="B33" s="37">
        <v>30</v>
      </c>
      <c r="C33" s="79"/>
      <c r="D33" s="79"/>
      <c r="E33" s="82"/>
      <c r="F33" s="82"/>
      <c r="G33" s="81"/>
    </row>
    <row r="34" spans="2:7" x14ac:dyDescent="0.45">
      <c r="B34" s="37">
        <v>31</v>
      </c>
      <c r="C34" s="79"/>
      <c r="D34" s="79"/>
      <c r="E34" s="82"/>
      <c r="F34" s="82"/>
      <c r="G34" s="81"/>
    </row>
    <row r="35" spans="2:7" x14ac:dyDescent="0.45">
      <c r="B35" s="37">
        <v>32</v>
      </c>
      <c r="C35" s="79"/>
      <c r="D35" s="79"/>
      <c r="E35" s="82"/>
      <c r="F35" s="82"/>
      <c r="G35" s="81"/>
    </row>
    <row r="36" spans="2:7" x14ac:dyDescent="0.45">
      <c r="B36" s="37">
        <v>33</v>
      </c>
      <c r="C36" s="79"/>
      <c r="D36" s="79"/>
      <c r="E36" s="82"/>
      <c r="F36" s="82"/>
      <c r="G36" s="81"/>
    </row>
    <row r="37" spans="2:7" x14ac:dyDescent="0.45">
      <c r="B37" s="37">
        <v>34</v>
      </c>
      <c r="C37" s="79"/>
      <c r="D37" s="79"/>
      <c r="E37" s="82"/>
      <c r="F37" s="82"/>
      <c r="G37" s="81"/>
    </row>
    <row r="38" spans="2:7" x14ac:dyDescent="0.45">
      <c r="B38" s="37">
        <v>35</v>
      </c>
      <c r="C38" s="79"/>
      <c r="D38" s="79"/>
      <c r="E38" s="82"/>
      <c r="F38" s="82"/>
      <c r="G38" s="81"/>
    </row>
    <row r="39" spans="2:7" x14ac:dyDescent="0.45">
      <c r="B39" s="37">
        <v>36</v>
      </c>
      <c r="C39" s="79"/>
      <c r="D39" s="79"/>
      <c r="E39" s="82"/>
      <c r="F39" s="82"/>
      <c r="G39" s="81"/>
    </row>
    <row r="40" spans="2:7" x14ac:dyDescent="0.45">
      <c r="B40" s="37">
        <v>37</v>
      </c>
      <c r="C40" s="79"/>
      <c r="D40" s="79"/>
      <c r="E40" s="82"/>
      <c r="F40" s="82"/>
      <c r="G40" s="81"/>
    </row>
    <row r="41" spans="2:7" x14ac:dyDescent="0.45">
      <c r="B41" s="37">
        <v>38</v>
      </c>
      <c r="C41" s="79"/>
      <c r="D41" s="79"/>
      <c r="E41" s="82"/>
      <c r="F41" s="82"/>
      <c r="G41" s="81"/>
    </row>
    <row r="42" spans="2:7" x14ac:dyDescent="0.45">
      <c r="B42" s="37">
        <v>39</v>
      </c>
      <c r="C42" s="79"/>
      <c r="D42" s="79"/>
      <c r="E42" s="82"/>
      <c r="F42" s="82"/>
      <c r="G42" s="81"/>
    </row>
    <row r="43" spans="2:7" x14ac:dyDescent="0.45">
      <c r="B43" s="37">
        <v>40</v>
      </c>
      <c r="C43" s="79"/>
      <c r="D43" s="79"/>
      <c r="E43" s="82"/>
      <c r="F43" s="82"/>
      <c r="G43" s="81"/>
    </row>
    <row r="44" spans="2:7" x14ac:dyDescent="0.45">
      <c r="B44" s="37">
        <v>41</v>
      </c>
      <c r="C44" s="79"/>
      <c r="D44" s="79"/>
      <c r="E44" s="82"/>
      <c r="F44" s="82"/>
      <c r="G44" s="81"/>
    </row>
    <row r="45" spans="2:7" x14ac:dyDescent="0.45">
      <c r="B45" s="37">
        <v>42</v>
      </c>
      <c r="C45" s="79"/>
      <c r="D45" s="79"/>
      <c r="E45" s="82"/>
      <c r="F45" s="82"/>
      <c r="G45" s="81"/>
    </row>
    <row r="46" spans="2:7" x14ac:dyDescent="0.45">
      <c r="B46" s="37">
        <v>43</v>
      </c>
      <c r="C46" s="79"/>
      <c r="D46" s="79"/>
      <c r="E46" s="82"/>
      <c r="F46" s="82"/>
      <c r="G46" s="81"/>
    </row>
    <row r="47" spans="2:7" x14ac:dyDescent="0.45">
      <c r="B47" s="37">
        <v>44</v>
      </c>
      <c r="C47" s="79"/>
      <c r="D47" s="79"/>
      <c r="E47" s="82"/>
      <c r="F47" s="82"/>
      <c r="G47" s="81"/>
    </row>
    <row r="48" spans="2:7" x14ac:dyDescent="0.45">
      <c r="B48" s="37">
        <v>45</v>
      </c>
      <c r="C48" s="79"/>
      <c r="D48" s="79"/>
      <c r="E48" s="82"/>
      <c r="F48" s="82"/>
      <c r="G48" s="81"/>
    </row>
    <row r="49" spans="2:7" x14ac:dyDescent="0.45">
      <c r="B49" s="37">
        <v>46</v>
      </c>
      <c r="C49" s="79"/>
      <c r="D49" s="79"/>
      <c r="E49" s="82"/>
      <c r="F49" s="82"/>
      <c r="G49" s="81"/>
    </row>
    <row r="50" spans="2:7" x14ac:dyDescent="0.45">
      <c r="B50" s="37">
        <v>47</v>
      </c>
      <c r="C50" s="79"/>
      <c r="D50" s="79"/>
      <c r="E50" s="82"/>
      <c r="F50" s="82"/>
      <c r="G50" s="81"/>
    </row>
    <row r="51" spans="2:7" x14ac:dyDescent="0.45">
      <c r="B51" s="37">
        <v>48</v>
      </c>
      <c r="C51" s="79"/>
      <c r="D51" s="79"/>
      <c r="E51" s="82"/>
      <c r="F51" s="82"/>
      <c r="G51" s="81"/>
    </row>
    <row r="52" spans="2:7" x14ac:dyDescent="0.45">
      <c r="B52" s="37">
        <v>49</v>
      </c>
      <c r="C52" s="79"/>
      <c r="D52" s="79"/>
      <c r="E52" s="82"/>
      <c r="F52" s="82"/>
      <c r="G52" s="81"/>
    </row>
    <row r="53" spans="2:7" x14ac:dyDescent="0.45">
      <c r="B53" s="37">
        <v>50</v>
      </c>
      <c r="C53" s="79"/>
      <c r="D53" s="79"/>
      <c r="E53" s="82"/>
      <c r="F53" s="82"/>
      <c r="G53" s="81"/>
    </row>
    <row r="54" spans="2:7" ht="18.600000000000001" thickBot="1" x14ac:dyDescent="0.5">
      <c r="B54" s="83">
        <v>51</v>
      </c>
      <c r="C54" s="84"/>
      <c r="D54" s="84"/>
      <c r="E54" s="85"/>
      <c r="F54" s="85"/>
      <c r="G54" s="86"/>
    </row>
    <row r="55" spans="2:7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73"/>
  <sheetViews>
    <sheetView zoomScaleNormal="100" workbookViewId="0"/>
  </sheetViews>
  <sheetFormatPr defaultColWidth="8.09765625" defaultRowHeight="13.2" x14ac:dyDescent="0.2"/>
  <cols>
    <col min="1" max="1" width="4.19921875" style="94" customWidth="1"/>
    <col min="2" max="2" width="4.19921875" style="95" customWidth="1"/>
    <col min="3" max="3" width="11.796875" style="94" customWidth="1"/>
    <col min="4" max="4" width="21.796875" style="94" customWidth="1"/>
    <col min="5" max="6" width="9.59765625" style="94" customWidth="1"/>
    <col min="7" max="9" width="8.19921875" style="94" customWidth="1"/>
    <col min="10" max="10" width="1.796875" style="94" hidden="1" customWidth="1"/>
    <col min="11" max="11" width="9.59765625" style="94" customWidth="1"/>
    <col min="12" max="12" width="5.5" style="94" customWidth="1"/>
    <col min="13" max="13" width="1.5" style="94" hidden="1" customWidth="1"/>
    <col min="14" max="15" width="13.19921875" style="94" customWidth="1"/>
    <col min="16" max="16" width="0.796875" style="94" customWidth="1"/>
    <col min="17" max="256" width="8.09765625" style="94"/>
    <col min="257" max="258" width="4.19921875" style="94" customWidth="1"/>
    <col min="259" max="259" width="11.796875" style="94" customWidth="1"/>
    <col min="260" max="260" width="21.796875" style="94" customWidth="1"/>
    <col min="261" max="262" width="9.59765625" style="94" customWidth="1"/>
    <col min="263" max="265" width="8.19921875" style="94" customWidth="1"/>
    <col min="266" max="266" width="0" style="94" hidden="1" customWidth="1"/>
    <col min="267" max="267" width="9.59765625" style="94" customWidth="1"/>
    <col min="268" max="268" width="5.5" style="94" customWidth="1"/>
    <col min="269" max="269" width="0" style="94" hidden="1" customWidth="1"/>
    <col min="270" max="271" width="13.19921875" style="94" customWidth="1"/>
    <col min="272" max="272" width="0.796875" style="94" customWidth="1"/>
    <col min="273" max="512" width="8.09765625" style="94"/>
    <col min="513" max="514" width="4.19921875" style="94" customWidth="1"/>
    <col min="515" max="515" width="11.796875" style="94" customWidth="1"/>
    <col min="516" max="516" width="21.796875" style="94" customWidth="1"/>
    <col min="517" max="518" width="9.59765625" style="94" customWidth="1"/>
    <col min="519" max="521" width="8.19921875" style="94" customWidth="1"/>
    <col min="522" max="522" width="0" style="94" hidden="1" customWidth="1"/>
    <col min="523" max="523" width="9.59765625" style="94" customWidth="1"/>
    <col min="524" max="524" width="5.5" style="94" customWidth="1"/>
    <col min="525" max="525" width="0" style="94" hidden="1" customWidth="1"/>
    <col min="526" max="527" width="13.19921875" style="94" customWidth="1"/>
    <col min="528" max="528" width="0.796875" style="94" customWidth="1"/>
    <col min="529" max="768" width="8.09765625" style="94"/>
    <col min="769" max="770" width="4.19921875" style="94" customWidth="1"/>
    <col min="771" max="771" width="11.796875" style="94" customWidth="1"/>
    <col min="772" max="772" width="21.796875" style="94" customWidth="1"/>
    <col min="773" max="774" width="9.59765625" style="94" customWidth="1"/>
    <col min="775" max="777" width="8.19921875" style="94" customWidth="1"/>
    <col min="778" max="778" width="0" style="94" hidden="1" customWidth="1"/>
    <col min="779" max="779" width="9.59765625" style="94" customWidth="1"/>
    <col min="780" max="780" width="5.5" style="94" customWidth="1"/>
    <col min="781" max="781" width="0" style="94" hidden="1" customWidth="1"/>
    <col min="782" max="783" width="13.19921875" style="94" customWidth="1"/>
    <col min="784" max="784" width="0.796875" style="94" customWidth="1"/>
    <col min="785" max="1024" width="8.09765625" style="94"/>
    <col min="1025" max="1026" width="4.19921875" style="94" customWidth="1"/>
    <col min="1027" max="1027" width="11.796875" style="94" customWidth="1"/>
    <col min="1028" max="1028" width="21.796875" style="94" customWidth="1"/>
    <col min="1029" max="1030" width="9.59765625" style="94" customWidth="1"/>
    <col min="1031" max="1033" width="8.19921875" style="94" customWidth="1"/>
    <col min="1034" max="1034" width="0" style="94" hidden="1" customWidth="1"/>
    <col min="1035" max="1035" width="9.59765625" style="94" customWidth="1"/>
    <col min="1036" max="1036" width="5.5" style="94" customWidth="1"/>
    <col min="1037" max="1037" width="0" style="94" hidden="1" customWidth="1"/>
    <col min="1038" max="1039" width="13.19921875" style="94" customWidth="1"/>
    <col min="1040" max="1040" width="0.796875" style="94" customWidth="1"/>
    <col min="1041" max="1280" width="8.09765625" style="94"/>
    <col min="1281" max="1282" width="4.19921875" style="94" customWidth="1"/>
    <col min="1283" max="1283" width="11.796875" style="94" customWidth="1"/>
    <col min="1284" max="1284" width="21.796875" style="94" customWidth="1"/>
    <col min="1285" max="1286" width="9.59765625" style="94" customWidth="1"/>
    <col min="1287" max="1289" width="8.19921875" style="94" customWidth="1"/>
    <col min="1290" max="1290" width="0" style="94" hidden="1" customWidth="1"/>
    <col min="1291" max="1291" width="9.59765625" style="94" customWidth="1"/>
    <col min="1292" max="1292" width="5.5" style="94" customWidth="1"/>
    <col min="1293" max="1293" width="0" style="94" hidden="1" customWidth="1"/>
    <col min="1294" max="1295" width="13.19921875" style="94" customWidth="1"/>
    <col min="1296" max="1296" width="0.796875" style="94" customWidth="1"/>
    <col min="1297" max="1536" width="8.09765625" style="94"/>
    <col min="1537" max="1538" width="4.19921875" style="94" customWidth="1"/>
    <col min="1539" max="1539" width="11.796875" style="94" customWidth="1"/>
    <col min="1540" max="1540" width="21.796875" style="94" customWidth="1"/>
    <col min="1541" max="1542" width="9.59765625" style="94" customWidth="1"/>
    <col min="1543" max="1545" width="8.19921875" style="94" customWidth="1"/>
    <col min="1546" max="1546" width="0" style="94" hidden="1" customWidth="1"/>
    <col min="1547" max="1547" width="9.59765625" style="94" customWidth="1"/>
    <col min="1548" max="1548" width="5.5" style="94" customWidth="1"/>
    <col min="1549" max="1549" width="0" style="94" hidden="1" customWidth="1"/>
    <col min="1550" max="1551" width="13.19921875" style="94" customWidth="1"/>
    <col min="1552" max="1552" width="0.796875" style="94" customWidth="1"/>
    <col min="1553" max="1792" width="8.09765625" style="94"/>
    <col min="1793" max="1794" width="4.19921875" style="94" customWidth="1"/>
    <col min="1795" max="1795" width="11.796875" style="94" customWidth="1"/>
    <col min="1796" max="1796" width="21.796875" style="94" customWidth="1"/>
    <col min="1797" max="1798" width="9.59765625" style="94" customWidth="1"/>
    <col min="1799" max="1801" width="8.19921875" style="94" customWidth="1"/>
    <col min="1802" max="1802" width="0" style="94" hidden="1" customWidth="1"/>
    <col min="1803" max="1803" width="9.59765625" style="94" customWidth="1"/>
    <col min="1804" max="1804" width="5.5" style="94" customWidth="1"/>
    <col min="1805" max="1805" width="0" style="94" hidden="1" customWidth="1"/>
    <col min="1806" max="1807" width="13.19921875" style="94" customWidth="1"/>
    <col min="1808" max="1808" width="0.796875" style="94" customWidth="1"/>
    <col min="1809" max="2048" width="8.09765625" style="94"/>
    <col min="2049" max="2050" width="4.19921875" style="94" customWidth="1"/>
    <col min="2051" max="2051" width="11.796875" style="94" customWidth="1"/>
    <col min="2052" max="2052" width="21.796875" style="94" customWidth="1"/>
    <col min="2053" max="2054" width="9.59765625" style="94" customWidth="1"/>
    <col min="2055" max="2057" width="8.19921875" style="94" customWidth="1"/>
    <col min="2058" max="2058" width="0" style="94" hidden="1" customWidth="1"/>
    <col min="2059" max="2059" width="9.59765625" style="94" customWidth="1"/>
    <col min="2060" max="2060" width="5.5" style="94" customWidth="1"/>
    <col min="2061" max="2061" width="0" style="94" hidden="1" customWidth="1"/>
    <col min="2062" max="2063" width="13.19921875" style="94" customWidth="1"/>
    <col min="2064" max="2064" width="0.796875" style="94" customWidth="1"/>
    <col min="2065" max="2304" width="8.09765625" style="94"/>
    <col min="2305" max="2306" width="4.19921875" style="94" customWidth="1"/>
    <col min="2307" max="2307" width="11.796875" style="94" customWidth="1"/>
    <col min="2308" max="2308" width="21.796875" style="94" customWidth="1"/>
    <col min="2309" max="2310" width="9.59765625" style="94" customWidth="1"/>
    <col min="2311" max="2313" width="8.19921875" style="94" customWidth="1"/>
    <col min="2314" max="2314" width="0" style="94" hidden="1" customWidth="1"/>
    <col min="2315" max="2315" width="9.59765625" style="94" customWidth="1"/>
    <col min="2316" max="2316" width="5.5" style="94" customWidth="1"/>
    <col min="2317" max="2317" width="0" style="94" hidden="1" customWidth="1"/>
    <col min="2318" max="2319" width="13.19921875" style="94" customWidth="1"/>
    <col min="2320" max="2320" width="0.796875" style="94" customWidth="1"/>
    <col min="2321" max="2560" width="8.09765625" style="94"/>
    <col min="2561" max="2562" width="4.19921875" style="94" customWidth="1"/>
    <col min="2563" max="2563" width="11.796875" style="94" customWidth="1"/>
    <col min="2564" max="2564" width="21.796875" style="94" customWidth="1"/>
    <col min="2565" max="2566" width="9.59765625" style="94" customWidth="1"/>
    <col min="2567" max="2569" width="8.19921875" style="94" customWidth="1"/>
    <col min="2570" max="2570" width="0" style="94" hidden="1" customWidth="1"/>
    <col min="2571" max="2571" width="9.59765625" style="94" customWidth="1"/>
    <col min="2572" max="2572" width="5.5" style="94" customWidth="1"/>
    <col min="2573" max="2573" width="0" style="94" hidden="1" customWidth="1"/>
    <col min="2574" max="2575" width="13.19921875" style="94" customWidth="1"/>
    <col min="2576" max="2576" width="0.796875" style="94" customWidth="1"/>
    <col min="2577" max="2816" width="8.09765625" style="94"/>
    <col min="2817" max="2818" width="4.19921875" style="94" customWidth="1"/>
    <col min="2819" max="2819" width="11.796875" style="94" customWidth="1"/>
    <col min="2820" max="2820" width="21.796875" style="94" customWidth="1"/>
    <col min="2821" max="2822" width="9.59765625" style="94" customWidth="1"/>
    <col min="2823" max="2825" width="8.19921875" style="94" customWidth="1"/>
    <col min="2826" max="2826" width="0" style="94" hidden="1" customWidth="1"/>
    <col min="2827" max="2827" width="9.59765625" style="94" customWidth="1"/>
    <col min="2828" max="2828" width="5.5" style="94" customWidth="1"/>
    <col min="2829" max="2829" width="0" style="94" hidden="1" customWidth="1"/>
    <col min="2830" max="2831" width="13.19921875" style="94" customWidth="1"/>
    <col min="2832" max="2832" width="0.796875" style="94" customWidth="1"/>
    <col min="2833" max="3072" width="8.09765625" style="94"/>
    <col min="3073" max="3074" width="4.19921875" style="94" customWidth="1"/>
    <col min="3075" max="3075" width="11.796875" style="94" customWidth="1"/>
    <col min="3076" max="3076" width="21.796875" style="94" customWidth="1"/>
    <col min="3077" max="3078" width="9.59765625" style="94" customWidth="1"/>
    <col min="3079" max="3081" width="8.19921875" style="94" customWidth="1"/>
    <col min="3082" max="3082" width="0" style="94" hidden="1" customWidth="1"/>
    <col min="3083" max="3083" width="9.59765625" style="94" customWidth="1"/>
    <col min="3084" max="3084" width="5.5" style="94" customWidth="1"/>
    <col min="3085" max="3085" width="0" style="94" hidden="1" customWidth="1"/>
    <col min="3086" max="3087" width="13.19921875" style="94" customWidth="1"/>
    <col min="3088" max="3088" width="0.796875" style="94" customWidth="1"/>
    <col min="3089" max="3328" width="8.09765625" style="94"/>
    <col min="3329" max="3330" width="4.19921875" style="94" customWidth="1"/>
    <col min="3331" max="3331" width="11.796875" style="94" customWidth="1"/>
    <col min="3332" max="3332" width="21.796875" style="94" customWidth="1"/>
    <col min="3333" max="3334" width="9.59765625" style="94" customWidth="1"/>
    <col min="3335" max="3337" width="8.19921875" style="94" customWidth="1"/>
    <col min="3338" max="3338" width="0" style="94" hidden="1" customWidth="1"/>
    <col min="3339" max="3339" width="9.59765625" style="94" customWidth="1"/>
    <col min="3340" max="3340" width="5.5" style="94" customWidth="1"/>
    <col min="3341" max="3341" width="0" style="94" hidden="1" customWidth="1"/>
    <col min="3342" max="3343" width="13.19921875" style="94" customWidth="1"/>
    <col min="3344" max="3344" width="0.796875" style="94" customWidth="1"/>
    <col min="3345" max="3584" width="8.09765625" style="94"/>
    <col min="3585" max="3586" width="4.19921875" style="94" customWidth="1"/>
    <col min="3587" max="3587" width="11.796875" style="94" customWidth="1"/>
    <col min="3588" max="3588" width="21.796875" style="94" customWidth="1"/>
    <col min="3589" max="3590" width="9.59765625" style="94" customWidth="1"/>
    <col min="3591" max="3593" width="8.19921875" style="94" customWidth="1"/>
    <col min="3594" max="3594" width="0" style="94" hidden="1" customWidth="1"/>
    <col min="3595" max="3595" width="9.59765625" style="94" customWidth="1"/>
    <col min="3596" max="3596" width="5.5" style="94" customWidth="1"/>
    <col min="3597" max="3597" width="0" style="94" hidden="1" customWidth="1"/>
    <col min="3598" max="3599" width="13.19921875" style="94" customWidth="1"/>
    <col min="3600" max="3600" width="0.796875" style="94" customWidth="1"/>
    <col min="3601" max="3840" width="8.09765625" style="94"/>
    <col min="3841" max="3842" width="4.19921875" style="94" customWidth="1"/>
    <col min="3843" max="3843" width="11.796875" style="94" customWidth="1"/>
    <col min="3844" max="3844" width="21.796875" style="94" customWidth="1"/>
    <col min="3845" max="3846" width="9.59765625" style="94" customWidth="1"/>
    <col min="3847" max="3849" width="8.19921875" style="94" customWidth="1"/>
    <col min="3850" max="3850" width="0" style="94" hidden="1" customWidth="1"/>
    <col min="3851" max="3851" width="9.59765625" style="94" customWidth="1"/>
    <col min="3852" max="3852" width="5.5" style="94" customWidth="1"/>
    <col min="3853" max="3853" width="0" style="94" hidden="1" customWidth="1"/>
    <col min="3854" max="3855" width="13.19921875" style="94" customWidth="1"/>
    <col min="3856" max="3856" width="0.796875" style="94" customWidth="1"/>
    <col min="3857" max="4096" width="8.09765625" style="94"/>
    <col min="4097" max="4098" width="4.19921875" style="94" customWidth="1"/>
    <col min="4099" max="4099" width="11.796875" style="94" customWidth="1"/>
    <col min="4100" max="4100" width="21.796875" style="94" customWidth="1"/>
    <col min="4101" max="4102" width="9.59765625" style="94" customWidth="1"/>
    <col min="4103" max="4105" width="8.19921875" style="94" customWidth="1"/>
    <col min="4106" max="4106" width="0" style="94" hidden="1" customWidth="1"/>
    <col min="4107" max="4107" width="9.59765625" style="94" customWidth="1"/>
    <col min="4108" max="4108" width="5.5" style="94" customWidth="1"/>
    <col min="4109" max="4109" width="0" style="94" hidden="1" customWidth="1"/>
    <col min="4110" max="4111" width="13.19921875" style="94" customWidth="1"/>
    <col min="4112" max="4112" width="0.796875" style="94" customWidth="1"/>
    <col min="4113" max="4352" width="8.09765625" style="94"/>
    <col min="4353" max="4354" width="4.19921875" style="94" customWidth="1"/>
    <col min="4355" max="4355" width="11.796875" style="94" customWidth="1"/>
    <col min="4356" max="4356" width="21.796875" style="94" customWidth="1"/>
    <col min="4357" max="4358" width="9.59765625" style="94" customWidth="1"/>
    <col min="4359" max="4361" width="8.19921875" style="94" customWidth="1"/>
    <col min="4362" max="4362" width="0" style="94" hidden="1" customWidth="1"/>
    <col min="4363" max="4363" width="9.59765625" style="94" customWidth="1"/>
    <col min="4364" max="4364" width="5.5" style="94" customWidth="1"/>
    <col min="4365" max="4365" width="0" style="94" hidden="1" customWidth="1"/>
    <col min="4366" max="4367" width="13.19921875" style="94" customWidth="1"/>
    <col min="4368" max="4368" width="0.796875" style="94" customWidth="1"/>
    <col min="4369" max="4608" width="8.09765625" style="94"/>
    <col min="4609" max="4610" width="4.19921875" style="94" customWidth="1"/>
    <col min="4611" max="4611" width="11.796875" style="94" customWidth="1"/>
    <col min="4612" max="4612" width="21.796875" style="94" customWidth="1"/>
    <col min="4613" max="4614" width="9.59765625" style="94" customWidth="1"/>
    <col min="4615" max="4617" width="8.19921875" style="94" customWidth="1"/>
    <col min="4618" max="4618" width="0" style="94" hidden="1" customWidth="1"/>
    <col min="4619" max="4619" width="9.59765625" style="94" customWidth="1"/>
    <col min="4620" max="4620" width="5.5" style="94" customWidth="1"/>
    <col min="4621" max="4621" width="0" style="94" hidden="1" customWidth="1"/>
    <col min="4622" max="4623" width="13.19921875" style="94" customWidth="1"/>
    <col min="4624" max="4624" width="0.796875" style="94" customWidth="1"/>
    <col min="4625" max="4864" width="8.09765625" style="94"/>
    <col min="4865" max="4866" width="4.19921875" style="94" customWidth="1"/>
    <col min="4867" max="4867" width="11.796875" style="94" customWidth="1"/>
    <col min="4868" max="4868" width="21.796875" style="94" customWidth="1"/>
    <col min="4869" max="4870" width="9.59765625" style="94" customWidth="1"/>
    <col min="4871" max="4873" width="8.19921875" style="94" customWidth="1"/>
    <col min="4874" max="4874" width="0" style="94" hidden="1" customWidth="1"/>
    <col min="4875" max="4875" width="9.59765625" style="94" customWidth="1"/>
    <col min="4876" max="4876" width="5.5" style="94" customWidth="1"/>
    <col min="4877" max="4877" width="0" style="94" hidden="1" customWidth="1"/>
    <col min="4878" max="4879" width="13.19921875" style="94" customWidth="1"/>
    <col min="4880" max="4880" width="0.796875" style="94" customWidth="1"/>
    <col min="4881" max="5120" width="8.09765625" style="94"/>
    <col min="5121" max="5122" width="4.19921875" style="94" customWidth="1"/>
    <col min="5123" max="5123" width="11.796875" style="94" customWidth="1"/>
    <col min="5124" max="5124" width="21.796875" style="94" customWidth="1"/>
    <col min="5125" max="5126" width="9.59765625" style="94" customWidth="1"/>
    <col min="5127" max="5129" width="8.19921875" style="94" customWidth="1"/>
    <col min="5130" max="5130" width="0" style="94" hidden="1" customWidth="1"/>
    <col min="5131" max="5131" width="9.59765625" style="94" customWidth="1"/>
    <col min="5132" max="5132" width="5.5" style="94" customWidth="1"/>
    <col min="5133" max="5133" width="0" style="94" hidden="1" customWidth="1"/>
    <col min="5134" max="5135" width="13.19921875" style="94" customWidth="1"/>
    <col min="5136" max="5136" width="0.796875" style="94" customWidth="1"/>
    <col min="5137" max="5376" width="8.09765625" style="94"/>
    <col min="5377" max="5378" width="4.19921875" style="94" customWidth="1"/>
    <col min="5379" max="5379" width="11.796875" style="94" customWidth="1"/>
    <col min="5380" max="5380" width="21.796875" style="94" customWidth="1"/>
    <col min="5381" max="5382" width="9.59765625" style="94" customWidth="1"/>
    <col min="5383" max="5385" width="8.19921875" style="94" customWidth="1"/>
    <col min="5386" max="5386" width="0" style="94" hidden="1" customWidth="1"/>
    <col min="5387" max="5387" width="9.59765625" style="94" customWidth="1"/>
    <col min="5388" max="5388" width="5.5" style="94" customWidth="1"/>
    <col min="5389" max="5389" width="0" style="94" hidden="1" customWidth="1"/>
    <col min="5390" max="5391" width="13.19921875" style="94" customWidth="1"/>
    <col min="5392" max="5392" width="0.796875" style="94" customWidth="1"/>
    <col min="5393" max="5632" width="8.09765625" style="94"/>
    <col min="5633" max="5634" width="4.19921875" style="94" customWidth="1"/>
    <col min="5635" max="5635" width="11.796875" style="94" customWidth="1"/>
    <col min="5636" max="5636" width="21.796875" style="94" customWidth="1"/>
    <col min="5637" max="5638" width="9.59765625" style="94" customWidth="1"/>
    <col min="5639" max="5641" width="8.19921875" style="94" customWidth="1"/>
    <col min="5642" max="5642" width="0" style="94" hidden="1" customWidth="1"/>
    <col min="5643" max="5643" width="9.59765625" style="94" customWidth="1"/>
    <col min="5644" max="5644" width="5.5" style="94" customWidth="1"/>
    <col min="5645" max="5645" width="0" style="94" hidden="1" customWidth="1"/>
    <col min="5646" max="5647" width="13.19921875" style="94" customWidth="1"/>
    <col min="5648" max="5648" width="0.796875" style="94" customWidth="1"/>
    <col min="5649" max="5888" width="8.09765625" style="94"/>
    <col min="5889" max="5890" width="4.19921875" style="94" customWidth="1"/>
    <col min="5891" max="5891" width="11.796875" style="94" customWidth="1"/>
    <col min="5892" max="5892" width="21.796875" style="94" customWidth="1"/>
    <col min="5893" max="5894" width="9.59765625" style="94" customWidth="1"/>
    <col min="5895" max="5897" width="8.19921875" style="94" customWidth="1"/>
    <col min="5898" max="5898" width="0" style="94" hidden="1" customWidth="1"/>
    <col min="5899" max="5899" width="9.59765625" style="94" customWidth="1"/>
    <col min="5900" max="5900" width="5.5" style="94" customWidth="1"/>
    <col min="5901" max="5901" width="0" style="94" hidden="1" customWidth="1"/>
    <col min="5902" max="5903" width="13.19921875" style="94" customWidth="1"/>
    <col min="5904" max="5904" width="0.796875" style="94" customWidth="1"/>
    <col min="5905" max="6144" width="8.09765625" style="94"/>
    <col min="6145" max="6146" width="4.19921875" style="94" customWidth="1"/>
    <col min="6147" max="6147" width="11.796875" style="94" customWidth="1"/>
    <col min="6148" max="6148" width="21.796875" style="94" customWidth="1"/>
    <col min="6149" max="6150" width="9.59765625" style="94" customWidth="1"/>
    <col min="6151" max="6153" width="8.19921875" style="94" customWidth="1"/>
    <col min="6154" max="6154" width="0" style="94" hidden="1" customWidth="1"/>
    <col min="6155" max="6155" width="9.59765625" style="94" customWidth="1"/>
    <col min="6156" max="6156" width="5.5" style="94" customWidth="1"/>
    <col min="6157" max="6157" width="0" style="94" hidden="1" customWidth="1"/>
    <col min="6158" max="6159" width="13.19921875" style="94" customWidth="1"/>
    <col min="6160" max="6160" width="0.796875" style="94" customWidth="1"/>
    <col min="6161" max="6400" width="8.09765625" style="94"/>
    <col min="6401" max="6402" width="4.19921875" style="94" customWidth="1"/>
    <col min="6403" max="6403" width="11.796875" style="94" customWidth="1"/>
    <col min="6404" max="6404" width="21.796875" style="94" customWidth="1"/>
    <col min="6405" max="6406" width="9.59765625" style="94" customWidth="1"/>
    <col min="6407" max="6409" width="8.19921875" style="94" customWidth="1"/>
    <col min="6410" max="6410" width="0" style="94" hidden="1" customWidth="1"/>
    <col min="6411" max="6411" width="9.59765625" style="94" customWidth="1"/>
    <col min="6412" max="6412" width="5.5" style="94" customWidth="1"/>
    <col min="6413" max="6413" width="0" style="94" hidden="1" customWidth="1"/>
    <col min="6414" max="6415" width="13.19921875" style="94" customWidth="1"/>
    <col min="6416" max="6416" width="0.796875" style="94" customWidth="1"/>
    <col min="6417" max="6656" width="8.09765625" style="94"/>
    <col min="6657" max="6658" width="4.19921875" style="94" customWidth="1"/>
    <col min="6659" max="6659" width="11.796875" style="94" customWidth="1"/>
    <col min="6660" max="6660" width="21.796875" style="94" customWidth="1"/>
    <col min="6661" max="6662" width="9.59765625" style="94" customWidth="1"/>
    <col min="6663" max="6665" width="8.19921875" style="94" customWidth="1"/>
    <col min="6666" max="6666" width="0" style="94" hidden="1" customWidth="1"/>
    <col min="6667" max="6667" width="9.59765625" style="94" customWidth="1"/>
    <col min="6668" max="6668" width="5.5" style="94" customWidth="1"/>
    <col min="6669" max="6669" width="0" style="94" hidden="1" customWidth="1"/>
    <col min="6670" max="6671" width="13.19921875" style="94" customWidth="1"/>
    <col min="6672" max="6672" width="0.796875" style="94" customWidth="1"/>
    <col min="6673" max="6912" width="8.09765625" style="94"/>
    <col min="6913" max="6914" width="4.19921875" style="94" customWidth="1"/>
    <col min="6915" max="6915" width="11.796875" style="94" customWidth="1"/>
    <col min="6916" max="6916" width="21.796875" style="94" customWidth="1"/>
    <col min="6917" max="6918" width="9.59765625" style="94" customWidth="1"/>
    <col min="6919" max="6921" width="8.19921875" style="94" customWidth="1"/>
    <col min="6922" max="6922" width="0" style="94" hidden="1" customWidth="1"/>
    <col min="6923" max="6923" width="9.59765625" style="94" customWidth="1"/>
    <col min="6924" max="6924" width="5.5" style="94" customWidth="1"/>
    <col min="6925" max="6925" width="0" style="94" hidden="1" customWidth="1"/>
    <col min="6926" max="6927" width="13.19921875" style="94" customWidth="1"/>
    <col min="6928" max="6928" width="0.796875" style="94" customWidth="1"/>
    <col min="6929" max="7168" width="8.09765625" style="94"/>
    <col min="7169" max="7170" width="4.19921875" style="94" customWidth="1"/>
    <col min="7171" max="7171" width="11.796875" style="94" customWidth="1"/>
    <col min="7172" max="7172" width="21.796875" style="94" customWidth="1"/>
    <col min="7173" max="7174" width="9.59765625" style="94" customWidth="1"/>
    <col min="7175" max="7177" width="8.19921875" style="94" customWidth="1"/>
    <col min="7178" max="7178" width="0" style="94" hidden="1" customWidth="1"/>
    <col min="7179" max="7179" width="9.59765625" style="94" customWidth="1"/>
    <col min="7180" max="7180" width="5.5" style="94" customWidth="1"/>
    <col min="7181" max="7181" width="0" style="94" hidden="1" customWidth="1"/>
    <col min="7182" max="7183" width="13.19921875" style="94" customWidth="1"/>
    <col min="7184" max="7184" width="0.796875" style="94" customWidth="1"/>
    <col min="7185" max="7424" width="8.09765625" style="94"/>
    <col min="7425" max="7426" width="4.19921875" style="94" customWidth="1"/>
    <col min="7427" max="7427" width="11.796875" style="94" customWidth="1"/>
    <col min="7428" max="7428" width="21.796875" style="94" customWidth="1"/>
    <col min="7429" max="7430" width="9.59765625" style="94" customWidth="1"/>
    <col min="7431" max="7433" width="8.19921875" style="94" customWidth="1"/>
    <col min="7434" max="7434" width="0" style="94" hidden="1" customWidth="1"/>
    <col min="7435" max="7435" width="9.59765625" style="94" customWidth="1"/>
    <col min="7436" max="7436" width="5.5" style="94" customWidth="1"/>
    <col min="7437" max="7437" width="0" style="94" hidden="1" customWidth="1"/>
    <col min="7438" max="7439" width="13.19921875" style="94" customWidth="1"/>
    <col min="7440" max="7440" width="0.796875" style="94" customWidth="1"/>
    <col min="7441" max="7680" width="8.09765625" style="94"/>
    <col min="7681" max="7682" width="4.19921875" style="94" customWidth="1"/>
    <col min="7683" max="7683" width="11.796875" style="94" customWidth="1"/>
    <col min="7684" max="7684" width="21.796875" style="94" customWidth="1"/>
    <col min="7685" max="7686" width="9.59765625" style="94" customWidth="1"/>
    <col min="7687" max="7689" width="8.19921875" style="94" customWidth="1"/>
    <col min="7690" max="7690" width="0" style="94" hidden="1" customWidth="1"/>
    <col min="7691" max="7691" width="9.59765625" style="94" customWidth="1"/>
    <col min="7692" max="7692" width="5.5" style="94" customWidth="1"/>
    <col min="7693" max="7693" width="0" style="94" hidden="1" customWidth="1"/>
    <col min="7694" max="7695" width="13.19921875" style="94" customWidth="1"/>
    <col min="7696" max="7696" width="0.796875" style="94" customWidth="1"/>
    <col min="7697" max="7936" width="8.09765625" style="94"/>
    <col min="7937" max="7938" width="4.19921875" style="94" customWidth="1"/>
    <col min="7939" max="7939" width="11.796875" style="94" customWidth="1"/>
    <col min="7940" max="7940" width="21.796875" style="94" customWidth="1"/>
    <col min="7941" max="7942" width="9.59765625" style="94" customWidth="1"/>
    <col min="7943" max="7945" width="8.19921875" style="94" customWidth="1"/>
    <col min="7946" max="7946" width="0" style="94" hidden="1" customWidth="1"/>
    <col min="7947" max="7947" width="9.59765625" style="94" customWidth="1"/>
    <col min="7948" max="7948" width="5.5" style="94" customWidth="1"/>
    <col min="7949" max="7949" width="0" style="94" hidden="1" customWidth="1"/>
    <col min="7950" max="7951" width="13.19921875" style="94" customWidth="1"/>
    <col min="7952" max="7952" width="0.796875" style="94" customWidth="1"/>
    <col min="7953" max="8192" width="8.09765625" style="94"/>
    <col min="8193" max="8194" width="4.19921875" style="94" customWidth="1"/>
    <col min="8195" max="8195" width="11.796875" style="94" customWidth="1"/>
    <col min="8196" max="8196" width="21.796875" style="94" customWidth="1"/>
    <col min="8197" max="8198" width="9.59765625" style="94" customWidth="1"/>
    <col min="8199" max="8201" width="8.19921875" style="94" customWidth="1"/>
    <col min="8202" max="8202" width="0" style="94" hidden="1" customWidth="1"/>
    <col min="8203" max="8203" width="9.59765625" style="94" customWidth="1"/>
    <col min="8204" max="8204" width="5.5" style="94" customWidth="1"/>
    <col min="8205" max="8205" width="0" style="94" hidden="1" customWidth="1"/>
    <col min="8206" max="8207" width="13.19921875" style="94" customWidth="1"/>
    <col min="8208" max="8208" width="0.796875" style="94" customWidth="1"/>
    <col min="8209" max="8448" width="8.09765625" style="94"/>
    <col min="8449" max="8450" width="4.19921875" style="94" customWidth="1"/>
    <col min="8451" max="8451" width="11.796875" style="94" customWidth="1"/>
    <col min="8452" max="8452" width="21.796875" style="94" customWidth="1"/>
    <col min="8453" max="8454" width="9.59765625" style="94" customWidth="1"/>
    <col min="8455" max="8457" width="8.19921875" style="94" customWidth="1"/>
    <col min="8458" max="8458" width="0" style="94" hidden="1" customWidth="1"/>
    <col min="8459" max="8459" width="9.59765625" style="94" customWidth="1"/>
    <col min="8460" max="8460" width="5.5" style="94" customWidth="1"/>
    <col min="8461" max="8461" width="0" style="94" hidden="1" customWidth="1"/>
    <col min="8462" max="8463" width="13.19921875" style="94" customWidth="1"/>
    <col min="8464" max="8464" width="0.796875" style="94" customWidth="1"/>
    <col min="8465" max="8704" width="8.09765625" style="94"/>
    <col min="8705" max="8706" width="4.19921875" style="94" customWidth="1"/>
    <col min="8707" max="8707" width="11.796875" style="94" customWidth="1"/>
    <col min="8708" max="8708" width="21.796875" style="94" customWidth="1"/>
    <col min="8709" max="8710" width="9.59765625" style="94" customWidth="1"/>
    <col min="8711" max="8713" width="8.19921875" style="94" customWidth="1"/>
    <col min="8714" max="8714" width="0" style="94" hidden="1" customWidth="1"/>
    <col min="8715" max="8715" width="9.59765625" style="94" customWidth="1"/>
    <col min="8716" max="8716" width="5.5" style="94" customWidth="1"/>
    <col min="8717" max="8717" width="0" style="94" hidden="1" customWidth="1"/>
    <col min="8718" max="8719" width="13.19921875" style="94" customWidth="1"/>
    <col min="8720" max="8720" width="0.796875" style="94" customWidth="1"/>
    <col min="8721" max="8960" width="8.09765625" style="94"/>
    <col min="8961" max="8962" width="4.19921875" style="94" customWidth="1"/>
    <col min="8963" max="8963" width="11.796875" style="94" customWidth="1"/>
    <col min="8964" max="8964" width="21.796875" style="94" customWidth="1"/>
    <col min="8965" max="8966" width="9.59765625" style="94" customWidth="1"/>
    <col min="8967" max="8969" width="8.19921875" style="94" customWidth="1"/>
    <col min="8970" max="8970" width="0" style="94" hidden="1" customWidth="1"/>
    <col min="8971" max="8971" width="9.59765625" style="94" customWidth="1"/>
    <col min="8972" max="8972" width="5.5" style="94" customWidth="1"/>
    <col min="8973" max="8973" width="0" style="94" hidden="1" customWidth="1"/>
    <col min="8974" max="8975" width="13.19921875" style="94" customWidth="1"/>
    <col min="8976" max="8976" width="0.796875" style="94" customWidth="1"/>
    <col min="8977" max="9216" width="8.09765625" style="94"/>
    <col min="9217" max="9218" width="4.19921875" style="94" customWidth="1"/>
    <col min="9219" max="9219" width="11.796875" style="94" customWidth="1"/>
    <col min="9220" max="9220" width="21.796875" style="94" customWidth="1"/>
    <col min="9221" max="9222" width="9.59765625" style="94" customWidth="1"/>
    <col min="9223" max="9225" width="8.19921875" style="94" customWidth="1"/>
    <col min="9226" max="9226" width="0" style="94" hidden="1" customWidth="1"/>
    <col min="9227" max="9227" width="9.59765625" style="94" customWidth="1"/>
    <col min="9228" max="9228" width="5.5" style="94" customWidth="1"/>
    <col min="9229" max="9229" width="0" style="94" hidden="1" customWidth="1"/>
    <col min="9230" max="9231" width="13.19921875" style="94" customWidth="1"/>
    <col min="9232" max="9232" width="0.796875" style="94" customWidth="1"/>
    <col min="9233" max="9472" width="8.09765625" style="94"/>
    <col min="9473" max="9474" width="4.19921875" style="94" customWidth="1"/>
    <col min="9475" max="9475" width="11.796875" style="94" customWidth="1"/>
    <col min="9476" max="9476" width="21.796875" style="94" customWidth="1"/>
    <col min="9477" max="9478" width="9.59765625" style="94" customWidth="1"/>
    <col min="9479" max="9481" width="8.19921875" style="94" customWidth="1"/>
    <col min="9482" max="9482" width="0" style="94" hidden="1" customWidth="1"/>
    <col min="9483" max="9483" width="9.59765625" style="94" customWidth="1"/>
    <col min="9484" max="9484" width="5.5" style="94" customWidth="1"/>
    <col min="9485" max="9485" width="0" style="94" hidden="1" customWidth="1"/>
    <col min="9486" max="9487" width="13.19921875" style="94" customWidth="1"/>
    <col min="9488" max="9488" width="0.796875" style="94" customWidth="1"/>
    <col min="9489" max="9728" width="8.09765625" style="94"/>
    <col min="9729" max="9730" width="4.19921875" style="94" customWidth="1"/>
    <col min="9731" max="9731" width="11.796875" style="94" customWidth="1"/>
    <col min="9732" max="9732" width="21.796875" style="94" customWidth="1"/>
    <col min="9733" max="9734" width="9.59765625" style="94" customWidth="1"/>
    <col min="9735" max="9737" width="8.19921875" style="94" customWidth="1"/>
    <col min="9738" max="9738" width="0" style="94" hidden="1" customWidth="1"/>
    <col min="9739" max="9739" width="9.59765625" style="94" customWidth="1"/>
    <col min="9740" max="9740" width="5.5" style="94" customWidth="1"/>
    <col min="9741" max="9741" width="0" style="94" hidden="1" customWidth="1"/>
    <col min="9742" max="9743" width="13.19921875" style="94" customWidth="1"/>
    <col min="9744" max="9744" width="0.796875" style="94" customWidth="1"/>
    <col min="9745" max="9984" width="8.09765625" style="94"/>
    <col min="9985" max="9986" width="4.19921875" style="94" customWidth="1"/>
    <col min="9987" max="9987" width="11.796875" style="94" customWidth="1"/>
    <col min="9988" max="9988" width="21.796875" style="94" customWidth="1"/>
    <col min="9989" max="9990" width="9.59765625" style="94" customWidth="1"/>
    <col min="9991" max="9993" width="8.19921875" style="94" customWidth="1"/>
    <col min="9994" max="9994" width="0" style="94" hidden="1" customWidth="1"/>
    <col min="9995" max="9995" width="9.59765625" style="94" customWidth="1"/>
    <col min="9996" max="9996" width="5.5" style="94" customWidth="1"/>
    <col min="9997" max="9997" width="0" style="94" hidden="1" customWidth="1"/>
    <col min="9998" max="9999" width="13.19921875" style="94" customWidth="1"/>
    <col min="10000" max="10000" width="0.796875" style="94" customWidth="1"/>
    <col min="10001" max="10240" width="8.09765625" style="94"/>
    <col min="10241" max="10242" width="4.19921875" style="94" customWidth="1"/>
    <col min="10243" max="10243" width="11.796875" style="94" customWidth="1"/>
    <col min="10244" max="10244" width="21.796875" style="94" customWidth="1"/>
    <col min="10245" max="10246" width="9.59765625" style="94" customWidth="1"/>
    <col min="10247" max="10249" width="8.19921875" style="94" customWidth="1"/>
    <col min="10250" max="10250" width="0" style="94" hidden="1" customWidth="1"/>
    <col min="10251" max="10251" width="9.59765625" style="94" customWidth="1"/>
    <col min="10252" max="10252" width="5.5" style="94" customWidth="1"/>
    <col min="10253" max="10253" width="0" style="94" hidden="1" customWidth="1"/>
    <col min="10254" max="10255" width="13.19921875" style="94" customWidth="1"/>
    <col min="10256" max="10256" width="0.796875" style="94" customWidth="1"/>
    <col min="10257" max="10496" width="8.09765625" style="94"/>
    <col min="10497" max="10498" width="4.19921875" style="94" customWidth="1"/>
    <col min="10499" max="10499" width="11.796875" style="94" customWidth="1"/>
    <col min="10500" max="10500" width="21.796875" style="94" customWidth="1"/>
    <col min="10501" max="10502" width="9.59765625" style="94" customWidth="1"/>
    <col min="10503" max="10505" width="8.19921875" style="94" customWidth="1"/>
    <col min="10506" max="10506" width="0" style="94" hidden="1" customWidth="1"/>
    <col min="10507" max="10507" width="9.59765625" style="94" customWidth="1"/>
    <col min="10508" max="10508" width="5.5" style="94" customWidth="1"/>
    <col min="10509" max="10509" width="0" style="94" hidden="1" customWidth="1"/>
    <col min="10510" max="10511" width="13.19921875" style="94" customWidth="1"/>
    <col min="10512" max="10512" width="0.796875" style="94" customWidth="1"/>
    <col min="10513" max="10752" width="8.09765625" style="94"/>
    <col min="10753" max="10754" width="4.19921875" style="94" customWidth="1"/>
    <col min="10755" max="10755" width="11.796875" style="94" customWidth="1"/>
    <col min="10756" max="10756" width="21.796875" style="94" customWidth="1"/>
    <col min="10757" max="10758" width="9.59765625" style="94" customWidth="1"/>
    <col min="10759" max="10761" width="8.19921875" style="94" customWidth="1"/>
    <col min="10762" max="10762" width="0" style="94" hidden="1" customWidth="1"/>
    <col min="10763" max="10763" width="9.59765625" style="94" customWidth="1"/>
    <col min="10764" max="10764" width="5.5" style="94" customWidth="1"/>
    <col min="10765" max="10765" width="0" style="94" hidden="1" customWidth="1"/>
    <col min="10766" max="10767" width="13.19921875" style="94" customWidth="1"/>
    <col min="10768" max="10768" width="0.796875" style="94" customWidth="1"/>
    <col min="10769" max="11008" width="8.09765625" style="94"/>
    <col min="11009" max="11010" width="4.19921875" style="94" customWidth="1"/>
    <col min="11011" max="11011" width="11.796875" style="94" customWidth="1"/>
    <col min="11012" max="11012" width="21.796875" style="94" customWidth="1"/>
    <col min="11013" max="11014" width="9.59765625" style="94" customWidth="1"/>
    <col min="11015" max="11017" width="8.19921875" style="94" customWidth="1"/>
    <col min="11018" max="11018" width="0" style="94" hidden="1" customWidth="1"/>
    <col min="11019" max="11019" width="9.59765625" style="94" customWidth="1"/>
    <col min="11020" max="11020" width="5.5" style="94" customWidth="1"/>
    <col min="11021" max="11021" width="0" style="94" hidden="1" customWidth="1"/>
    <col min="11022" max="11023" width="13.19921875" style="94" customWidth="1"/>
    <col min="11024" max="11024" width="0.796875" style="94" customWidth="1"/>
    <col min="11025" max="11264" width="8.09765625" style="94"/>
    <col min="11265" max="11266" width="4.19921875" style="94" customWidth="1"/>
    <col min="11267" max="11267" width="11.796875" style="94" customWidth="1"/>
    <col min="11268" max="11268" width="21.796875" style="94" customWidth="1"/>
    <col min="11269" max="11270" width="9.59765625" style="94" customWidth="1"/>
    <col min="11271" max="11273" width="8.19921875" style="94" customWidth="1"/>
    <col min="11274" max="11274" width="0" style="94" hidden="1" customWidth="1"/>
    <col min="11275" max="11275" width="9.59765625" style="94" customWidth="1"/>
    <col min="11276" max="11276" width="5.5" style="94" customWidth="1"/>
    <col min="11277" max="11277" width="0" style="94" hidden="1" customWidth="1"/>
    <col min="11278" max="11279" width="13.19921875" style="94" customWidth="1"/>
    <col min="11280" max="11280" width="0.796875" style="94" customWidth="1"/>
    <col min="11281" max="11520" width="8.09765625" style="94"/>
    <col min="11521" max="11522" width="4.19921875" style="94" customWidth="1"/>
    <col min="11523" max="11523" width="11.796875" style="94" customWidth="1"/>
    <col min="11524" max="11524" width="21.796875" style="94" customWidth="1"/>
    <col min="11525" max="11526" width="9.59765625" style="94" customWidth="1"/>
    <col min="11527" max="11529" width="8.19921875" style="94" customWidth="1"/>
    <col min="11530" max="11530" width="0" style="94" hidden="1" customWidth="1"/>
    <col min="11531" max="11531" width="9.59765625" style="94" customWidth="1"/>
    <col min="11532" max="11532" width="5.5" style="94" customWidth="1"/>
    <col min="11533" max="11533" width="0" style="94" hidden="1" customWidth="1"/>
    <col min="11534" max="11535" width="13.19921875" style="94" customWidth="1"/>
    <col min="11536" max="11536" width="0.796875" style="94" customWidth="1"/>
    <col min="11537" max="11776" width="8.09765625" style="94"/>
    <col min="11777" max="11778" width="4.19921875" style="94" customWidth="1"/>
    <col min="11779" max="11779" width="11.796875" style="94" customWidth="1"/>
    <col min="11780" max="11780" width="21.796875" style="94" customWidth="1"/>
    <col min="11781" max="11782" width="9.59765625" style="94" customWidth="1"/>
    <col min="11783" max="11785" width="8.19921875" style="94" customWidth="1"/>
    <col min="11786" max="11786" width="0" style="94" hidden="1" customWidth="1"/>
    <col min="11787" max="11787" width="9.59765625" style="94" customWidth="1"/>
    <col min="11788" max="11788" width="5.5" style="94" customWidth="1"/>
    <col min="11789" max="11789" width="0" style="94" hidden="1" customWidth="1"/>
    <col min="11790" max="11791" width="13.19921875" style="94" customWidth="1"/>
    <col min="11792" max="11792" width="0.796875" style="94" customWidth="1"/>
    <col min="11793" max="12032" width="8.09765625" style="94"/>
    <col min="12033" max="12034" width="4.19921875" style="94" customWidth="1"/>
    <col min="12035" max="12035" width="11.796875" style="94" customWidth="1"/>
    <col min="12036" max="12036" width="21.796875" style="94" customWidth="1"/>
    <col min="12037" max="12038" width="9.59765625" style="94" customWidth="1"/>
    <col min="12039" max="12041" width="8.19921875" style="94" customWidth="1"/>
    <col min="12042" max="12042" width="0" style="94" hidden="1" customWidth="1"/>
    <col min="12043" max="12043" width="9.59765625" style="94" customWidth="1"/>
    <col min="12044" max="12044" width="5.5" style="94" customWidth="1"/>
    <col min="12045" max="12045" width="0" style="94" hidden="1" customWidth="1"/>
    <col min="12046" max="12047" width="13.19921875" style="94" customWidth="1"/>
    <col min="12048" max="12048" width="0.796875" style="94" customWidth="1"/>
    <col min="12049" max="12288" width="8.09765625" style="94"/>
    <col min="12289" max="12290" width="4.19921875" style="94" customWidth="1"/>
    <col min="12291" max="12291" width="11.796875" style="94" customWidth="1"/>
    <col min="12292" max="12292" width="21.796875" style="94" customWidth="1"/>
    <col min="12293" max="12294" width="9.59765625" style="94" customWidth="1"/>
    <col min="12295" max="12297" width="8.19921875" style="94" customWidth="1"/>
    <col min="12298" max="12298" width="0" style="94" hidden="1" customWidth="1"/>
    <col min="12299" max="12299" width="9.59765625" style="94" customWidth="1"/>
    <col min="12300" max="12300" width="5.5" style="94" customWidth="1"/>
    <col min="12301" max="12301" width="0" style="94" hidden="1" customWidth="1"/>
    <col min="12302" max="12303" width="13.19921875" style="94" customWidth="1"/>
    <col min="12304" max="12304" width="0.796875" style="94" customWidth="1"/>
    <col min="12305" max="12544" width="8.09765625" style="94"/>
    <col min="12545" max="12546" width="4.19921875" style="94" customWidth="1"/>
    <col min="12547" max="12547" width="11.796875" style="94" customWidth="1"/>
    <col min="12548" max="12548" width="21.796875" style="94" customWidth="1"/>
    <col min="12549" max="12550" width="9.59765625" style="94" customWidth="1"/>
    <col min="12551" max="12553" width="8.19921875" style="94" customWidth="1"/>
    <col min="12554" max="12554" width="0" style="94" hidden="1" customWidth="1"/>
    <col min="12555" max="12555" width="9.59765625" style="94" customWidth="1"/>
    <col min="12556" max="12556" width="5.5" style="94" customWidth="1"/>
    <col min="12557" max="12557" width="0" style="94" hidden="1" customWidth="1"/>
    <col min="12558" max="12559" width="13.19921875" style="94" customWidth="1"/>
    <col min="12560" max="12560" width="0.796875" style="94" customWidth="1"/>
    <col min="12561" max="12800" width="8.09765625" style="94"/>
    <col min="12801" max="12802" width="4.19921875" style="94" customWidth="1"/>
    <col min="12803" max="12803" width="11.796875" style="94" customWidth="1"/>
    <col min="12804" max="12804" width="21.796875" style="94" customWidth="1"/>
    <col min="12805" max="12806" width="9.59765625" style="94" customWidth="1"/>
    <col min="12807" max="12809" width="8.19921875" style="94" customWidth="1"/>
    <col min="12810" max="12810" width="0" style="94" hidden="1" customWidth="1"/>
    <col min="12811" max="12811" width="9.59765625" style="94" customWidth="1"/>
    <col min="12812" max="12812" width="5.5" style="94" customWidth="1"/>
    <col min="12813" max="12813" width="0" style="94" hidden="1" customWidth="1"/>
    <col min="12814" max="12815" width="13.19921875" style="94" customWidth="1"/>
    <col min="12816" max="12816" width="0.796875" style="94" customWidth="1"/>
    <col min="12817" max="13056" width="8.09765625" style="94"/>
    <col min="13057" max="13058" width="4.19921875" style="94" customWidth="1"/>
    <col min="13059" max="13059" width="11.796875" style="94" customWidth="1"/>
    <col min="13060" max="13060" width="21.796875" style="94" customWidth="1"/>
    <col min="13061" max="13062" width="9.59765625" style="94" customWidth="1"/>
    <col min="13063" max="13065" width="8.19921875" style="94" customWidth="1"/>
    <col min="13066" max="13066" width="0" style="94" hidden="1" customWidth="1"/>
    <col min="13067" max="13067" width="9.59765625" style="94" customWidth="1"/>
    <col min="13068" max="13068" width="5.5" style="94" customWidth="1"/>
    <col min="13069" max="13069" width="0" style="94" hidden="1" customWidth="1"/>
    <col min="13070" max="13071" width="13.19921875" style="94" customWidth="1"/>
    <col min="13072" max="13072" width="0.796875" style="94" customWidth="1"/>
    <col min="13073" max="13312" width="8.09765625" style="94"/>
    <col min="13313" max="13314" width="4.19921875" style="94" customWidth="1"/>
    <col min="13315" max="13315" width="11.796875" style="94" customWidth="1"/>
    <col min="13316" max="13316" width="21.796875" style="94" customWidth="1"/>
    <col min="13317" max="13318" width="9.59765625" style="94" customWidth="1"/>
    <col min="13319" max="13321" width="8.19921875" style="94" customWidth="1"/>
    <col min="13322" max="13322" width="0" style="94" hidden="1" customWidth="1"/>
    <col min="13323" max="13323" width="9.59765625" style="94" customWidth="1"/>
    <col min="13324" max="13324" width="5.5" style="94" customWidth="1"/>
    <col min="13325" max="13325" width="0" style="94" hidden="1" customWidth="1"/>
    <col min="13326" max="13327" width="13.19921875" style="94" customWidth="1"/>
    <col min="13328" max="13328" width="0.796875" style="94" customWidth="1"/>
    <col min="13329" max="13568" width="8.09765625" style="94"/>
    <col min="13569" max="13570" width="4.19921875" style="94" customWidth="1"/>
    <col min="13571" max="13571" width="11.796875" style="94" customWidth="1"/>
    <col min="13572" max="13572" width="21.796875" style="94" customWidth="1"/>
    <col min="13573" max="13574" width="9.59765625" style="94" customWidth="1"/>
    <col min="13575" max="13577" width="8.19921875" style="94" customWidth="1"/>
    <col min="13578" max="13578" width="0" style="94" hidden="1" customWidth="1"/>
    <col min="13579" max="13579" width="9.59765625" style="94" customWidth="1"/>
    <col min="13580" max="13580" width="5.5" style="94" customWidth="1"/>
    <col min="13581" max="13581" width="0" style="94" hidden="1" customWidth="1"/>
    <col min="13582" max="13583" width="13.19921875" style="94" customWidth="1"/>
    <col min="13584" max="13584" width="0.796875" style="94" customWidth="1"/>
    <col min="13585" max="13824" width="8.09765625" style="94"/>
    <col min="13825" max="13826" width="4.19921875" style="94" customWidth="1"/>
    <col min="13827" max="13827" width="11.796875" style="94" customWidth="1"/>
    <col min="13828" max="13828" width="21.796875" style="94" customWidth="1"/>
    <col min="13829" max="13830" width="9.59765625" style="94" customWidth="1"/>
    <col min="13831" max="13833" width="8.19921875" style="94" customWidth="1"/>
    <col min="13834" max="13834" width="0" style="94" hidden="1" customWidth="1"/>
    <col min="13835" max="13835" width="9.59765625" style="94" customWidth="1"/>
    <col min="13836" max="13836" width="5.5" style="94" customWidth="1"/>
    <col min="13837" max="13837" width="0" style="94" hidden="1" customWidth="1"/>
    <col min="13838" max="13839" width="13.19921875" style="94" customWidth="1"/>
    <col min="13840" max="13840" width="0.796875" style="94" customWidth="1"/>
    <col min="13841" max="14080" width="8.09765625" style="94"/>
    <col min="14081" max="14082" width="4.19921875" style="94" customWidth="1"/>
    <col min="14083" max="14083" width="11.796875" style="94" customWidth="1"/>
    <col min="14084" max="14084" width="21.796875" style="94" customWidth="1"/>
    <col min="14085" max="14086" width="9.59765625" style="94" customWidth="1"/>
    <col min="14087" max="14089" width="8.19921875" style="94" customWidth="1"/>
    <col min="14090" max="14090" width="0" style="94" hidden="1" customWidth="1"/>
    <col min="14091" max="14091" width="9.59765625" style="94" customWidth="1"/>
    <col min="14092" max="14092" width="5.5" style="94" customWidth="1"/>
    <col min="14093" max="14093" width="0" style="94" hidden="1" customWidth="1"/>
    <col min="14094" max="14095" width="13.19921875" style="94" customWidth="1"/>
    <col min="14096" max="14096" width="0.796875" style="94" customWidth="1"/>
    <col min="14097" max="14336" width="8.09765625" style="94"/>
    <col min="14337" max="14338" width="4.19921875" style="94" customWidth="1"/>
    <col min="14339" max="14339" width="11.796875" style="94" customWidth="1"/>
    <col min="14340" max="14340" width="21.796875" style="94" customWidth="1"/>
    <col min="14341" max="14342" width="9.59765625" style="94" customWidth="1"/>
    <col min="14343" max="14345" width="8.19921875" style="94" customWidth="1"/>
    <col min="14346" max="14346" width="0" style="94" hidden="1" customWidth="1"/>
    <col min="14347" max="14347" width="9.59765625" style="94" customWidth="1"/>
    <col min="14348" max="14348" width="5.5" style="94" customWidth="1"/>
    <col min="14349" max="14349" width="0" style="94" hidden="1" customWidth="1"/>
    <col min="14350" max="14351" width="13.19921875" style="94" customWidth="1"/>
    <col min="14352" max="14352" width="0.796875" style="94" customWidth="1"/>
    <col min="14353" max="14592" width="8.09765625" style="94"/>
    <col min="14593" max="14594" width="4.19921875" style="94" customWidth="1"/>
    <col min="14595" max="14595" width="11.796875" style="94" customWidth="1"/>
    <col min="14596" max="14596" width="21.796875" style="94" customWidth="1"/>
    <col min="14597" max="14598" width="9.59765625" style="94" customWidth="1"/>
    <col min="14599" max="14601" width="8.19921875" style="94" customWidth="1"/>
    <col min="14602" max="14602" width="0" style="94" hidden="1" customWidth="1"/>
    <col min="14603" max="14603" width="9.59765625" style="94" customWidth="1"/>
    <col min="14604" max="14604" width="5.5" style="94" customWidth="1"/>
    <col min="14605" max="14605" width="0" style="94" hidden="1" customWidth="1"/>
    <col min="14606" max="14607" width="13.19921875" style="94" customWidth="1"/>
    <col min="14608" max="14608" width="0.796875" style="94" customWidth="1"/>
    <col min="14609" max="14848" width="8.09765625" style="94"/>
    <col min="14849" max="14850" width="4.19921875" style="94" customWidth="1"/>
    <col min="14851" max="14851" width="11.796875" style="94" customWidth="1"/>
    <col min="14852" max="14852" width="21.796875" style="94" customWidth="1"/>
    <col min="14853" max="14854" width="9.59765625" style="94" customWidth="1"/>
    <col min="14855" max="14857" width="8.19921875" style="94" customWidth="1"/>
    <col min="14858" max="14858" width="0" style="94" hidden="1" customWidth="1"/>
    <col min="14859" max="14859" width="9.59765625" style="94" customWidth="1"/>
    <col min="14860" max="14860" width="5.5" style="94" customWidth="1"/>
    <col min="14861" max="14861" width="0" style="94" hidden="1" customWidth="1"/>
    <col min="14862" max="14863" width="13.19921875" style="94" customWidth="1"/>
    <col min="14864" max="14864" width="0.796875" style="94" customWidth="1"/>
    <col min="14865" max="15104" width="8.09765625" style="94"/>
    <col min="15105" max="15106" width="4.19921875" style="94" customWidth="1"/>
    <col min="15107" max="15107" width="11.796875" style="94" customWidth="1"/>
    <col min="15108" max="15108" width="21.796875" style="94" customWidth="1"/>
    <col min="15109" max="15110" width="9.59765625" style="94" customWidth="1"/>
    <col min="15111" max="15113" width="8.19921875" style="94" customWidth="1"/>
    <col min="15114" max="15114" width="0" style="94" hidden="1" customWidth="1"/>
    <col min="15115" max="15115" width="9.59765625" style="94" customWidth="1"/>
    <col min="15116" max="15116" width="5.5" style="94" customWidth="1"/>
    <col min="15117" max="15117" width="0" style="94" hidden="1" customWidth="1"/>
    <col min="15118" max="15119" width="13.19921875" style="94" customWidth="1"/>
    <col min="15120" max="15120" width="0.796875" style="94" customWidth="1"/>
    <col min="15121" max="15360" width="8.09765625" style="94"/>
    <col min="15361" max="15362" width="4.19921875" style="94" customWidth="1"/>
    <col min="15363" max="15363" width="11.796875" style="94" customWidth="1"/>
    <col min="15364" max="15364" width="21.796875" style="94" customWidth="1"/>
    <col min="15365" max="15366" width="9.59765625" style="94" customWidth="1"/>
    <col min="15367" max="15369" width="8.19921875" style="94" customWidth="1"/>
    <col min="15370" max="15370" width="0" style="94" hidden="1" customWidth="1"/>
    <col min="15371" max="15371" width="9.59765625" style="94" customWidth="1"/>
    <col min="15372" max="15372" width="5.5" style="94" customWidth="1"/>
    <col min="15373" max="15373" width="0" style="94" hidden="1" customWidth="1"/>
    <col min="15374" max="15375" width="13.19921875" style="94" customWidth="1"/>
    <col min="15376" max="15376" width="0.796875" style="94" customWidth="1"/>
    <col min="15377" max="15616" width="8.09765625" style="94"/>
    <col min="15617" max="15618" width="4.19921875" style="94" customWidth="1"/>
    <col min="15619" max="15619" width="11.796875" style="94" customWidth="1"/>
    <col min="15620" max="15620" width="21.796875" style="94" customWidth="1"/>
    <col min="15621" max="15622" width="9.59765625" style="94" customWidth="1"/>
    <col min="15623" max="15625" width="8.19921875" style="94" customWidth="1"/>
    <col min="15626" max="15626" width="0" style="94" hidden="1" customWidth="1"/>
    <col min="15627" max="15627" width="9.59765625" style="94" customWidth="1"/>
    <col min="15628" max="15628" width="5.5" style="94" customWidth="1"/>
    <col min="15629" max="15629" width="0" style="94" hidden="1" customWidth="1"/>
    <col min="15630" max="15631" width="13.19921875" style="94" customWidth="1"/>
    <col min="15632" max="15632" width="0.796875" style="94" customWidth="1"/>
    <col min="15633" max="15872" width="8.09765625" style="94"/>
    <col min="15873" max="15874" width="4.19921875" style="94" customWidth="1"/>
    <col min="15875" max="15875" width="11.796875" style="94" customWidth="1"/>
    <col min="15876" max="15876" width="21.796875" style="94" customWidth="1"/>
    <col min="15877" max="15878" width="9.59765625" style="94" customWidth="1"/>
    <col min="15879" max="15881" width="8.19921875" style="94" customWidth="1"/>
    <col min="15882" max="15882" width="0" style="94" hidden="1" customWidth="1"/>
    <col min="15883" max="15883" width="9.59765625" style="94" customWidth="1"/>
    <col min="15884" max="15884" width="5.5" style="94" customWidth="1"/>
    <col min="15885" max="15885" width="0" style="94" hidden="1" customWidth="1"/>
    <col min="15886" max="15887" width="13.19921875" style="94" customWidth="1"/>
    <col min="15888" max="15888" width="0.796875" style="94" customWidth="1"/>
    <col min="15889" max="16128" width="8.09765625" style="94"/>
    <col min="16129" max="16130" width="4.19921875" style="94" customWidth="1"/>
    <col min="16131" max="16131" width="11.796875" style="94" customWidth="1"/>
    <col min="16132" max="16132" width="21.796875" style="94" customWidth="1"/>
    <col min="16133" max="16134" width="9.59765625" style="94" customWidth="1"/>
    <col min="16135" max="16137" width="8.19921875" style="94" customWidth="1"/>
    <col min="16138" max="16138" width="0" style="94" hidden="1" customWidth="1"/>
    <col min="16139" max="16139" width="9.59765625" style="94" customWidth="1"/>
    <col min="16140" max="16140" width="5.5" style="94" customWidth="1"/>
    <col min="16141" max="16141" width="0" style="94" hidden="1" customWidth="1"/>
    <col min="16142" max="16143" width="13.19921875" style="94" customWidth="1"/>
    <col min="16144" max="16144" width="0.796875" style="94" customWidth="1"/>
    <col min="16145" max="16384" width="8.09765625" style="94"/>
  </cols>
  <sheetData>
    <row r="1" spans="1:15" ht="21" x14ac:dyDescent="0.25">
      <c r="A1" s="89"/>
      <c r="B1" s="90"/>
      <c r="C1" s="91"/>
      <c r="D1" s="91"/>
      <c r="E1" s="92" t="s">
        <v>56</v>
      </c>
      <c r="F1" s="91"/>
      <c r="G1" s="91"/>
      <c r="H1" s="91"/>
      <c r="I1" s="91"/>
      <c r="J1" s="91"/>
      <c r="K1" s="91"/>
      <c r="L1" s="91"/>
      <c r="M1" s="91"/>
      <c r="N1" s="91"/>
      <c r="O1" s="93"/>
    </row>
    <row r="2" spans="1:15" ht="14.25" customHeight="1" x14ac:dyDescent="0.2"/>
    <row r="3" spans="1:15" ht="19.5" customHeight="1" x14ac:dyDescent="0.2">
      <c r="A3" s="286"/>
      <c r="B3" s="287"/>
      <c r="C3" s="287"/>
      <c r="D3" s="287"/>
      <c r="E3" s="96"/>
    </row>
    <row r="4" spans="1:15" ht="18.75" customHeight="1" x14ac:dyDescent="0.25">
      <c r="A4" s="288"/>
      <c r="B4" s="289"/>
      <c r="C4" s="289"/>
      <c r="D4" s="289"/>
      <c r="E4" s="97"/>
      <c r="F4" s="98"/>
    </row>
    <row r="5" spans="1:15" ht="8.25" customHeight="1" x14ac:dyDescent="0.2"/>
    <row r="6" spans="1:15" x14ac:dyDescent="0.2">
      <c r="A6" s="99" t="s">
        <v>57</v>
      </c>
    </row>
    <row r="7" spans="1:15" ht="20.25" customHeight="1" x14ac:dyDescent="0.2">
      <c r="K7" s="100"/>
    </row>
    <row r="8" spans="1:15" ht="19.5" customHeight="1" x14ac:dyDescent="0.25">
      <c r="A8" s="101" t="s">
        <v>58</v>
      </c>
      <c r="B8" s="102"/>
      <c r="C8" s="103"/>
      <c r="D8" s="290"/>
      <c r="E8" s="291"/>
      <c r="F8" s="103"/>
      <c r="G8" s="95"/>
    </row>
    <row r="9" spans="1:15" ht="20.100000000000001" customHeight="1" x14ac:dyDescent="0.25">
      <c r="A9" s="104" t="s">
        <v>59</v>
      </c>
      <c r="B9" s="105"/>
      <c r="C9" s="106"/>
      <c r="D9" s="292"/>
      <c r="E9" s="292"/>
      <c r="F9" s="106"/>
      <c r="G9" s="95"/>
    </row>
    <row r="10" spans="1:15" ht="20.100000000000001" customHeight="1" x14ac:dyDescent="0.25">
      <c r="A10" s="104" t="s">
        <v>60</v>
      </c>
      <c r="B10" s="105"/>
      <c r="C10" s="106"/>
      <c r="D10" s="292">
        <f>SUM(D8+D9)</f>
        <v>0</v>
      </c>
      <c r="E10" s="292"/>
      <c r="F10" s="106"/>
      <c r="G10" s="95"/>
      <c r="K10" s="94" t="s">
        <v>61</v>
      </c>
    </row>
    <row r="11" spans="1:15" x14ac:dyDescent="0.2">
      <c r="G11" s="95"/>
      <c r="K11" s="94" t="s">
        <v>62</v>
      </c>
    </row>
    <row r="12" spans="1:15" x14ac:dyDescent="0.2">
      <c r="A12" s="103" t="s">
        <v>63</v>
      </c>
      <c r="B12" s="103"/>
      <c r="C12" s="103"/>
      <c r="D12" s="285"/>
      <c r="E12" s="285"/>
      <c r="F12" s="285"/>
      <c r="G12" s="107"/>
      <c r="K12" s="94" t="s">
        <v>64</v>
      </c>
    </row>
    <row r="13" spans="1:15" x14ac:dyDescent="0.2">
      <c r="D13" s="95"/>
      <c r="E13" s="95"/>
      <c r="F13" s="95"/>
      <c r="G13" s="95"/>
      <c r="K13" s="94" t="s">
        <v>65</v>
      </c>
    </row>
    <row r="14" spans="1:15" x14ac:dyDescent="0.2">
      <c r="A14" s="103" t="s">
        <v>66</v>
      </c>
      <c r="B14" s="103"/>
      <c r="C14" s="103"/>
      <c r="D14" s="295"/>
      <c r="E14" s="295"/>
      <c r="F14" s="295"/>
      <c r="G14" s="108"/>
    </row>
    <row r="15" spans="1:15" x14ac:dyDescent="0.2">
      <c r="A15" s="106" t="s">
        <v>67</v>
      </c>
      <c r="B15" s="106"/>
      <c r="C15" s="106"/>
      <c r="D15" s="296"/>
      <c r="E15" s="296"/>
      <c r="F15" s="109"/>
      <c r="G15" s="95"/>
      <c r="K15" s="94" t="s">
        <v>68</v>
      </c>
    </row>
    <row r="16" spans="1:15" x14ac:dyDescent="0.2">
      <c r="A16" s="106" t="s">
        <v>69</v>
      </c>
      <c r="B16" s="106"/>
      <c r="C16" s="106"/>
      <c r="D16" s="297"/>
      <c r="E16" s="296"/>
      <c r="F16" s="296"/>
      <c r="K16" s="110" t="s">
        <v>70</v>
      </c>
    </row>
    <row r="17" spans="1:16" x14ac:dyDescent="0.2">
      <c r="A17" s="103" t="s">
        <v>71</v>
      </c>
      <c r="B17" s="103"/>
      <c r="C17" s="103"/>
      <c r="D17" s="297"/>
      <c r="E17" s="296"/>
      <c r="F17" s="296"/>
    </row>
    <row r="18" spans="1:16" x14ac:dyDescent="0.2">
      <c r="G18" s="94" t="s">
        <v>72</v>
      </c>
      <c r="H18" s="94" t="s">
        <v>132</v>
      </c>
    </row>
    <row r="19" spans="1:16" ht="16.5" customHeight="1" x14ac:dyDescent="0.2">
      <c r="H19" s="94" t="s">
        <v>73</v>
      </c>
      <c r="O19" s="111" t="s">
        <v>568</v>
      </c>
    </row>
    <row r="20" spans="1:16" ht="16.5" customHeight="1" x14ac:dyDescent="0.2">
      <c r="A20" s="112" t="s">
        <v>75</v>
      </c>
      <c r="B20" s="112" t="s">
        <v>76</v>
      </c>
      <c r="C20" s="298" t="s">
        <v>77</v>
      </c>
      <c r="D20" s="299"/>
      <c r="E20" s="112" t="s">
        <v>78</v>
      </c>
      <c r="F20" s="112" t="s">
        <v>79</v>
      </c>
      <c r="G20" s="112" t="s">
        <v>80</v>
      </c>
      <c r="H20" s="112" t="s">
        <v>81</v>
      </c>
      <c r="I20" s="112" t="s">
        <v>82</v>
      </c>
      <c r="J20" s="112"/>
      <c r="K20" s="112" t="s">
        <v>83</v>
      </c>
      <c r="L20" s="112" t="s">
        <v>84</v>
      </c>
      <c r="M20" s="112"/>
      <c r="N20" s="112" t="s">
        <v>85</v>
      </c>
      <c r="O20" s="112" t="s">
        <v>86</v>
      </c>
      <c r="P20" s="113"/>
    </row>
    <row r="21" spans="1:16" ht="16.5" customHeight="1" x14ac:dyDescent="0.2">
      <c r="A21" s="114"/>
      <c r="B21" s="114"/>
      <c r="C21" s="293"/>
      <c r="D21" s="294"/>
      <c r="E21" s="115"/>
      <c r="F21" s="114"/>
      <c r="G21" s="116"/>
      <c r="H21" s="117"/>
      <c r="I21" s="117"/>
      <c r="J21" s="116"/>
      <c r="K21" s="118" t="str">
        <f t="shared" ref="K21:K38" si="0">IF(MOD(J21,1)=0,TEXT(J21,"#,###"),TEXT(J21,"#,##0.##"))</f>
        <v/>
      </c>
      <c r="L21" s="114"/>
      <c r="M21" s="114"/>
      <c r="N21" s="118" t="str">
        <f t="shared" ref="N21:N38" si="1">IF(MOD(M21,1)=0,TEXT(M21,"#,###"),TEXT(M21,"#,##0.##"))</f>
        <v/>
      </c>
      <c r="O21" s="119"/>
      <c r="P21" s="99"/>
    </row>
    <row r="22" spans="1:16" ht="16.5" customHeight="1" x14ac:dyDescent="0.2">
      <c r="A22" s="114"/>
      <c r="B22" s="114"/>
      <c r="C22" s="293"/>
      <c r="D22" s="294"/>
      <c r="E22" s="115"/>
      <c r="F22" s="114"/>
      <c r="G22" s="116"/>
      <c r="H22" s="117"/>
      <c r="I22" s="117"/>
      <c r="J22" s="116"/>
      <c r="K22" s="118" t="str">
        <f t="shared" si="0"/>
        <v/>
      </c>
      <c r="L22" s="114"/>
      <c r="M22" s="114"/>
      <c r="N22" s="118" t="str">
        <f t="shared" si="1"/>
        <v/>
      </c>
      <c r="O22" s="119"/>
      <c r="P22" s="99"/>
    </row>
    <row r="23" spans="1:16" ht="16.5" customHeight="1" x14ac:dyDescent="0.2">
      <c r="A23" s="114"/>
      <c r="B23" s="114"/>
      <c r="C23" s="293"/>
      <c r="D23" s="294"/>
      <c r="E23" s="115"/>
      <c r="F23" s="114"/>
      <c r="G23" s="116"/>
      <c r="H23" s="117"/>
      <c r="I23" s="117"/>
      <c r="J23" s="116"/>
      <c r="K23" s="118" t="str">
        <f t="shared" si="0"/>
        <v/>
      </c>
      <c r="L23" s="114"/>
      <c r="M23" s="114"/>
      <c r="N23" s="118" t="str">
        <f t="shared" si="1"/>
        <v/>
      </c>
      <c r="O23" s="119"/>
      <c r="P23" s="99"/>
    </row>
    <row r="24" spans="1:16" ht="16.5" customHeight="1" x14ac:dyDescent="0.2">
      <c r="A24" s="114"/>
      <c r="B24" s="114"/>
      <c r="C24" s="293"/>
      <c r="D24" s="294"/>
      <c r="E24" s="115"/>
      <c r="F24" s="114"/>
      <c r="G24" s="116"/>
      <c r="H24" s="117"/>
      <c r="I24" s="117"/>
      <c r="J24" s="116"/>
      <c r="K24" s="118" t="str">
        <f t="shared" si="0"/>
        <v/>
      </c>
      <c r="L24" s="114"/>
      <c r="M24" s="114"/>
      <c r="N24" s="118" t="str">
        <f t="shared" si="1"/>
        <v/>
      </c>
      <c r="O24" s="119"/>
      <c r="P24" s="99"/>
    </row>
    <row r="25" spans="1:16" ht="16.5" customHeight="1" x14ac:dyDescent="0.2">
      <c r="A25" s="114"/>
      <c r="B25" s="114"/>
      <c r="C25" s="293"/>
      <c r="D25" s="294"/>
      <c r="E25" s="115"/>
      <c r="F25" s="114"/>
      <c r="G25" s="116"/>
      <c r="H25" s="117"/>
      <c r="I25" s="117"/>
      <c r="J25" s="116"/>
      <c r="K25" s="118" t="str">
        <f t="shared" si="0"/>
        <v/>
      </c>
      <c r="L25" s="114"/>
      <c r="M25" s="114"/>
      <c r="N25" s="118" t="str">
        <f t="shared" si="1"/>
        <v/>
      </c>
      <c r="O25" s="119"/>
      <c r="P25" s="99"/>
    </row>
    <row r="26" spans="1:16" ht="16.5" customHeight="1" x14ac:dyDescent="0.2">
      <c r="A26" s="114"/>
      <c r="B26" s="114"/>
      <c r="C26" s="293"/>
      <c r="D26" s="294"/>
      <c r="E26" s="115"/>
      <c r="F26" s="114"/>
      <c r="G26" s="116"/>
      <c r="H26" s="117"/>
      <c r="I26" s="117"/>
      <c r="J26" s="116"/>
      <c r="K26" s="118" t="str">
        <f t="shared" si="0"/>
        <v/>
      </c>
      <c r="L26" s="114"/>
      <c r="M26" s="114"/>
      <c r="N26" s="118" t="str">
        <f t="shared" si="1"/>
        <v/>
      </c>
      <c r="O26" s="119"/>
      <c r="P26" s="99"/>
    </row>
    <row r="27" spans="1:16" ht="16.5" customHeight="1" x14ac:dyDescent="0.2">
      <c r="A27" s="114"/>
      <c r="B27" s="114"/>
      <c r="C27" s="293"/>
      <c r="D27" s="294"/>
      <c r="E27" s="115"/>
      <c r="F27" s="114"/>
      <c r="G27" s="116"/>
      <c r="H27" s="117"/>
      <c r="I27" s="117"/>
      <c r="J27" s="116"/>
      <c r="K27" s="118" t="str">
        <f t="shared" si="0"/>
        <v/>
      </c>
      <c r="L27" s="114"/>
      <c r="M27" s="114"/>
      <c r="N27" s="118" t="str">
        <f t="shared" si="1"/>
        <v/>
      </c>
      <c r="O27" s="119"/>
      <c r="P27" s="99"/>
    </row>
    <row r="28" spans="1:16" ht="16.5" customHeight="1" x14ac:dyDescent="0.2">
      <c r="A28" s="114"/>
      <c r="B28" s="114"/>
      <c r="C28" s="293"/>
      <c r="D28" s="294"/>
      <c r="E28" s="115"/>
      <c r="F28" s="114"/>
      <c r="G28" s="116"/>
      <c r="H28" s="117"/>
      <c r="I28" s="117"/>
      <c r="J28" s="116"/>
      <c r="K28" s="118" t="str">
        <f t="shared" si="0"/>
        <v/>
      </c>
      <c r="L28" s="114"/>
      <c r="M28" s="114"/>
      <c r="N28" s="118" t="str">
        <f t="shared" si="1"/>
        <v/>
      </c>
      <c r="O28" s="119"/>
      <c r="P28" s="99"/>
    </row>
    <row r="29" spans="1:16" ht="16.5" customHeight="1" x14ac:dyDescent="0.2">
      <c r="A29" s="114"/>
      <c r="B29" s="114"/>
      <c r="C29" s="293"/>
      <c r="D29" s="294"/>
      <c r="E29" s="115"/>
      <c r="F29" s="114"/>
      <c r="G29" s="116"/>
      <c r="H29" s="117"/>
      <c r="I29" s="117"/>
      <c r="J29" s="116"/>
      <c r="K29" s="118" t="str">
        <f t="shared" si="0"/>
        <v/>
      </c>
      <c r="L29" s="114"/>
      <c r="M29" s="114"/>
      <c r="N29" s="118" t="str">
        <f t="shared" si="1"/>
        <v/>
      </c>
      <c r="O29" s="119"/>
      <c r="P29" s="99"/>
    </row>
    <row r="30" spans="1:16" ht="16.5" customHeight="1" x14ac:dyDescent="0.2">
      <c r="A30" s="114"/>
      <c r="B30" s="114"/>
      <c r="C30" s="293"/>
      <c r="D30" s="294"/>
      <c r="E30" s="115"/>
      <c r="F30" s="114"/>
      <c r="G30" s="116"/>
      <c r="H30" s="117"/>
      <c r="I30" s="117"/>
      <c r="J30" s="116"/>
      <c r="K30" s="118" t="str">
        <f t="shared" si="0"/>
        <v/>
      </c>
      <c r="L30" s="114"/>
      <c r="M30" s="114"/>
      <c r="N30" s="118" t="str">
        <f t="shared" si="1"/>
        <v/>
      </c>
      <c r="O30" s="119"/>
      <c r="P30" s="99"/>
    </row>
    <row r="31" spans="1:16" ht="16.5" customHeight="1" x14ac:dyDescent="0.2">
      <c r="A31" s="114"/>
      <c r="B31" s="114"/>
      <c r="C31" s="293"/>
      <c r="D31" s="294"/>
      <c r="E31" s="115"/>
      <c r="F31" s="114"/>
      <c r="G31" s="116"/>
      <c r="H31" s="117"/>
      <c r="I31" s="117"/>
      <c r="J31" s="116"/>
      <c r="K31" s="118" t="str">
        <f t="shared" si="0"/>
        <v/>
      </c>
      <c r="L31" s="114"/>
      <c r="M31" s="114"/>
      <c r="N31" s="118" t="str">
        <f t="shared" si="1"/>
        <v/>
      </c>
      <c r="O31" s="119"/>
      <c r="P31" s="99"/>
    </row>
    <row r="32" spans="1:16" ht="16.5" customHeight="1" x14ac:dyDescent="0.2">
      <c r="A32" s="114"/>
      <c r="B32" s="114"/>
      <c r="C32" s="293"/>
      <c r="D32" s="294"/>
      <c r="E32" s="115"/>
      <c r="F32" s="114"/>
      <c r="G32" s="116"/>
      <c r="H32" s="117"/>
      <c r="I32" s="117"/>
      <c r="J32" s="116"/>
      <c r="K32" s="118" t="str">
        <f t="shared" si="0"/>
        <v/>
      </c>
      <c r="L32" s="114"/>
      <c r="M32" s="114"/>
      <c r="N32" s="118" t="str">
        <f t="shared" si="1"/>
        <v/>
      </c>
      <c r="O32" s="119"/>
      <c r="P32" s="99"/>
    </row>
    <row r="33" spans="1:16" ht="16.5" customHeight="1" x14ac:dyDescent="0.2">
      <c r="A33" s="114"/>
      <c r="B33" s="114"/>
      <c r="C33" s="293"/>
      <c r="D33" s="294"/>
      <c r="E33" s="115"/>
      <c r="F33" s="114"/>
      <c r="G33" s="116"/>
      <c r="H33" s="117"/>
      <c r="I33" s="117"/>
      <c r="J33" s="116"/>
      <c r="K33" s="118" t="str">
        <f t="shared" si="0"/>
        <v/>
      </c>
      <c r="L33" s="114"/>
      <c r="M33" s="114"/>
      <c r="N33" s="118" t="str">
        <f t="shared" si="1"/>
        <v/>
      </c>
      <c r="O33" s="119"/>
      <c r="P33" s="99"/>
    </row>
    <row r="34" spans="1:16" ht="16.5" customHeight="1" x14ac:dyDescent="0.2">
      <c r="A34" s="114"/>
      <c r="B34" s="114"/>
      <c r="C34" s="293"/>
      <c r="D34" s="294"/>
      <c r="E34" s="115"/>
      <c r="F34" s="114"/>
      <c r="G34" s="116"/>
      <c r="H34" s="117"/>
      <c r="I34" s="117"/>
      <c r="J34" s="116"/>
      <c r="K34" s="118" t="str">
        <f t="shared" si="0"/>
        <v/>
      </c>
      <c r="L34" s="114"/>
      <c r="M34" s="114"/>
      <c r="N34" s="118" t="str">
        <f t="shared" si="1"/>
        <v/>
      </c>
      <c r="O34" s="119"/>
      <c r="P34" s="99"/>
    </row>
    <row r="35" spans="1:16" ht="16.5" customHeight="1" x14ac:dyDescent="0.2">
      <c r="A35" s="114"/>
      <c r="B35" s="114"/>
      <c r="C35" s="293"/>
      <c r="D35" s="294"/>
      <c r="E35" s="115"/>
      <c r="F35" s="114"/>
      <c r="G35" s="116"/>
      <c r="H35" s="117"/>
      <c r="I35" s="117"/>
      <c r="J35" s="116"/>
      <c r="K35" s="118" t="str">
        <f t="shared" si="0"/>
        <v/>
      </c>
      <c r="L35" s="114"/>
      <c r="M35" s="114"/>
      <c r="N35" s="118" t="str">
        <f t="shared" si="1"/>
        <v/>
      </c>
      <c r="O35" s="119"/>
      <c r="P35" s="99"/>
    </row>
    <row r="36" spans="1:16" ht="16.5" customHeight="1" x14ac:dyDescent="0.2">
      <c r="A36" s="114"/>
      <c r="B36" s="114"/>
      <c r="C36" s="293"/>
      <c r="D36" s="294"/>
      <c r="E36" s="115"/>
      <c r="F36" s="114"/>
      <c r="G36" s="116"/>
      <c r="H36" s="117"/>
      <c r="I36" s="117"/>
      <c r="J36" s="116"/>
      <c r="K36" s="118" t="str">
        <f t="shared" si="0"/>
        <v/>
      </c>
      <c r="L36" s="114"/>
      <c r="M36" s="114"/>
      <c r="N36" s="118" t="str">
        <f t="shared" si="1"/>
        <v/>
      </c>
      <c r="O36" s="119"/>
      <c r="P36" s="99"/>
    </row>
    <row r="37" spans="1:16" ht="16.5" customHeight="1" x14ac:dyDescent="0.2">
      <c r="A37" s="114"/>
      <c r="B37" s="114"/>
      <c r="C37" s="293"/>
      <c r="D37" s="294"/>
      <c r="E37" s="115"/>
      <c r="F37" s="114"/>
      <c r="G37" s="116"/>
      <c r="H37" s="117"/>
      <c r="I37" s="117"/>
      <c r="J37" s="116"/>
      <c r="K37" s="118" t="str">
        <f t="shared" si="0"/>
        <v/>
      </c>
      <c r="L37" s="114"/>
      <c r="M37" s="114"/>
      <c r="N37" s="118" t="str">
        <f t="shared" si="1"/>
        <v/>
      </c>
      <c r="O37" s="119"/>
      <c r="P37" s="99"/>
    </row>
    <row r="38" spans="1:16" ht="16.5" customHeight="1" x14ac:dyDescent="0.2">
      <c r="A38" s="114"/>
      <c r="B38" s="114"/>
      <c r="C38" s="293"/>
      <c r="D38" s="294"/>
      <c r="E38" s="115"/>
      <c r="F38" s="114"/>
      <c r="G38" s="116"/>
      <c r="H38" s="117"/>
      <c r="I38" s="117"/>
      <c r="J38" s="116"/>
      <c r="K38" s="118" t="str">
        <f t="shared" si="0"/>
        <v/>
      </c>
      <c r="L38" s="114"/>
      <c r="M38" s="114"/>
      <c r="N38" s="118" t="str">
        <f t="shared" si="1"/>
        <v/>
      </c>
      <c r="O38" s="119"/>
      <c r="P38" s="99"/>
    </row>
    <row r="39" spans="1:16" ht="9" customHeight="1" x14ac:dyDescent="0.2"/>
    <row r="40" spans="1:16" ht="16.5" customHeight="1" x14ac:dyDescent="0.2">
      <c r="O40" s="111" t="s">
        <v>74</v>
      </c>
    </row>
    <row r="41" spans="1:16" ht="16.5" customHeight="1" x14ac:dyDescent="0.2">
      <c r="A41" s="112" t="s">
        <v>75</v>
      </c>
      <c r="B41" s="112" t="s">
        <v>76</v>
      </c>
      <c r="C41" s="298" t="s">
        <v>77</v>
      </c>
      <c r="D41" s="300"/>
      <c r="E41" s="112" t="s">
        <v>78</v>
      </c>
      <c r="F41" s="112" t="s">
        <v>79</v>
      </c>
      <c r="G41" s="112" t="s">
        <v>80</v>
      </c>
      <c r="H41" s="112" t="s">
        <v>81</v>
      </c>
      <c r="I41" s="112" t="s">
        <v>82</v>
      </c>
      <c r="J41" s="112"/>
      <c r="K41" s="112" t="s">
        <v>83</v>
      </c>
      <c r="L41" s="112" t="s">
        <v>84</v>
      </c>
      <c r="M41" s="112"/>
      <c r="N41" s="112" t="s">
        <v>85</v>
      </c>
      <c r="O41" s="112" t="s">
        <v>86</v>
      </c>
    </row>
    <row r="42" spans="1:16" ht="16.5" customHeight="1" x14ac:dyDescent="0.2">
      <c r="A42" s="114"/>
      <c r="B42" s="114"/>
      <c r="C42" s="293"/>
      <c r="D42" s="294"/>
      <c r="E42" s="115"/>
      <c r="F42" s="114"/>
      <c r="G42" s="116"/>
      <c r="H42" s="117"/>
      <c r="I42" s="117"/>
      <c r="J42" s="116"/>
      <c r="K42" s="118" t="str">
        <f t="shared" ref="K42:K73" si="2">IF(MOD(J42,1)=0,TEXT(J42,"#,###"),TEXT(J42,"#,##0.##"))</f>
        <v/>
      </c>
      <c r="L42" s="114"/>
      <c r="M42" s="114"/>
      <c r="N42" s="118" t="str">
        <f t="shared" ref="N42:N73" si="3">IF(MOD(M42,1)=0,TEXT(M42,"#,###"),TEXT(M42,"#,##0.##"))</f>
        <v/>
      </c>
      <c r="O42" s="119"/>
    </row>
    <row r="43" spans="1:16" ht="16.5" customHeight="1" x14ac:dyDescent="0.2">
      <c r="A43" s="114"/>
      <c r="B43" s="114"/>
      <c r="C43" s="293"/>
      <c r="D43" s="294"/>
      <c r="E43" s="115"/>
      <c r="F43" s="114"/>
      <c r="G43" s="116"/>
      <c r="H43" s="117"/>
      <c r="I43" s="117"/>
      <c r="J43" s="116"/>
      <c r="K43" s="118" t="str">
        <f t="shared" si="2"/>
        <v/>
      </c>
      <c r="L43" s="114"/>
      <c r="M43" s="114"/>
      <c r="N43" s="118" t="str">
        <f t="shared" si="3"/>
        <v/>
      </c>
      <c r="O43" s="119"/>
    </row>
    <row r="44" spans="1:16" ht="16.5" customHeight="1" x14ac:dyDescent="0.2">
      <c r="A44" s="114"/>
      <c r="B44" s="114"/>
      <c r="C44" s="293"/>
      <c r="D44" s="294"/>
      <c r="E44" s="115"/>
      <c r="F44" s="114"/>
      <c r="G44" s="116"/>
      <c r="H44" s="117"/>
      <c r="I44" s="117"/>
      <c r="J44" s="116"/>
      <c r="K44" s="118" t="str">
        <f t="shared" si="2"/>
        <v/>
      </c>
      <c r="L44" s="114"/>
      <c r="M44" s="114"/>
      <c r="N44" s="118" t="str">
        <f t="shared" si="3"/>
        <v/>
      </c>
      <c r="O44" s="119"/>
    </row>
    <row r="45" spans="1:16" ht="16.5" customHeight="1" x14ac:dyDescent="0.2">
      <c r="A45" s="114"/>
      <c r="B45" s="114"/>
      <c r="C45" s="293"/>
      <c r="D45" s="294"/>
      <c r="E45" s="115"/>
      <c r="F45" s="114"/>
      <c r="G45" s="116"/>
      <c r="H45" s="117"/>
      <c r="I45" s="117"/>
      <c r="J45" s="116"/>
      <c r="K45" s="118" t="str">
        <f t="shared" si="2"/>
        <v/>
      </c>
      <c r="L45" s="114"/>
      <c r="M45" s="114"/>
      <c r="N45" s="118" t="str">
        <f t="shared" si="3"/>
        <v/>
      </c>
      <c r="O45" s="119"/>
    </row>
    <row r="46" spans="1:16" ht="16.5" customHeight="1" x14ac:dyDescent="0.2">
      <c r="A46" s="114"/>
      <c r="B46" s="114"/>
      <c r="C46" s="293"/>
      <c r="D46" s="294"/>
      <c r="E46" s="115"/>
      <c r="F46" s="114"/>
      <c r="G46" s="116"/>
      <c r="H46" s="117"/>
      <c r="I46" s="117"/>
      <c r="J46" s="116"/>
      <c r="K46" s="118" t="str">
        <f t="shared" si="2"/>
        <v/>
      </c>
      <c r="L46" s="114"/>
      <c r="M46" s="114"/>
      <c r="N46" s="118" t="str">
        <f t="shared" si="3"/>
        <v/>
      </c>
      <c r="O46" s="119"/>
    </row>
    <row r="47" spans="1:16" ht="16.5" customHeight="1" x14ac:dyDescent="0.2">
      <c r="A47" s="114"/>
      <c r="B47" s="114"/>
      <c r="C47" s="293"/>
      <c r="D47" s="294"/>
      <c r="E47" s="115"/>
      <c r="F47" s="114"/>
      <c r="G47" s="116"/>
      <c r="H47" s="117"/>
      <c r="I47" s="117"/>
      <c r="J47" s="116"/>
      <c r="K47" s="118" t="str">
        <f t="shared" si="2"/>
        <v/>
      </c>
      <c r="L47" s="114"/>
      <c r="M47" s="114"/>
      <c r="N47" s="118" t="str">
        <f t="shared" si="3"/>
        <v/>
      </c>
      <c r="O47" s="119"/>
    </row>
    <row r="48" spans="1:16" ht="16.5" customHeight="1" x14ac:dyDescent="0.2">
      <c r="A48" s="114"/>
      <c r="B48" s="114"/>
      <c r="C48" s="293"/>
      <c r="D48" s="294"/>
      <c r="E48" s="115"/>
      <c r="F48" s="114"/>
      <c r="G48" s="116"/>
      <c r="H48" s="117"/>
      <c r="I48" s="117"/>
      <c r="J48" s="116"/>
      <c r="K48" s="118" t="str">
        <f t="shared" si="2"/>
        <v/>
      </c>
      <c r="L48" s="114"/>
      <c r="M48" s="114"/>
      <c r="N48" s="118" t="str">
        <f t="shared" si="3"/>
        <v/>
      </c>
      <c r="O48" s="119"/>
    </row>
    <row r="49" spans="1:15" ht="16.5" customHeight="1" x14ac:dyDescent="0.2">
      <c r="A49" s="114"/>
      <c r="B49" s="114"/>
      <c r="C49" s="293"/>
      <c r="D49" s="294"/>
      <c r="E49" s="115"/>
      <c r="F49" s="114"/>
      <c r="G49" s="116"/>
      <c r="H49" s="117"/>
      <c r="I49" s="117"/>
      <c r="J49" s="116"/>
      <c r="K49" s="118" t="str">
        <f t="shared" si="2"/>
        <v/>
      </c>
      <c r="L49" s="114"/>
      <c r="M49" s="114"/>
      <c r="N49" s="118" t="str">
        <f t="shared" si="3"/>
        <v/>
      </c>
      <c r="O49" s="119"/>
    </row>
    <row r="50" spans="1:15" ht="16.5" customHeight="1" x14ac:dyDescent="0.2">
      <c r="A50" s="114"/>
      <c r="B50" s="114"/>
      <c r="C50" s="293"/>
      <c r="D50" s="294"/>
      <c r="E50" s="115"/>
      <c r="F50" s="114"/>
      <c r="G50" s="116"/>
      <c r="H50" s="117"/>
      <c r="I50" s="117"/>
      <c r="J50" s="116"/>
      <c r="K50" s="118" t="str">
        <f t="shared" si="2"/>
        <v/>
      </c>
      <c r="L50" s="114"/>
      <c r="M50" s="114"/>
      <c r="N50" s="118" t="str">
        <f t="shared" si="3"/>
        <v/>
      </c>
      <c r="O50" s="119"/>
    </row>
    <row r="51" spans="1:15" ht="16.5" customHeight="1" x14ac:dyDescent="0.2">
      <c r="A51" s="114"/>
      <c r="B51" s="114"/>
      <c r="C51" s="293"/>
      <c r="D51" s="294"/>
      <c r="E51" s="115"/>
      <c r="F51" s="114"/>
      <c r="G51" s="116"/>
      <c r="H51" s="117"/>
      <c r="I51" s="117"/>
      <c r="J51" s="116"/>
      <c r="K51" s="118" t="str">
        <f t="shared" si="2"/>
        <v/>
      </c>
      <c r="L51" s="114"/>
      <c r="M51" s="114"/>
      <c r="N51" s="118" t="str">
        <f t="shared" si="3"/>
        <v/>
      </c>
      <c r="O51" s="119"/>
    </row>
    <row r="52" spans="1:15" ht="16.5" customHeight="1" x14ac:dyDescent="0.2">
      <c r="A52" s="114"/>
      <c r="B52" s="114"/>
      <c r="C52" s="293"/>
      <c r="D52" s="294"/>
      <c r="E52" s="115"/>
      <c r="F52" s="114"/>
      <c r="G52" s="116"/>
      <c r="H52" s="117"/>
      <c r="I52" s="117"/>
      <c r="J52" s="116"/>
      <c r="K52" s="118" t="str">
        <f t="shared" si="2"/>
        <v/>
      </c>
      <c r="L52" s="114"/>
      <c r="M52" s="114"/>
      <c r="N52" s="118" t="str">
        <f t="shared" si="3"/>
        <v/>
      </c>
      <c r="O52" s="119"/>
    </row>
    <row r="53" spans="1:15" ht="16.5" customHeight="1" x14ac:dyDescent="0.2">
      <c r="A53" s="114"/>
      <c r="B53" s="114"/>
      <c r="C53" s="293"/>
      <c r="D53" s="294"/>
      <c r="E53" s="115"/>
      <c r="F53" s="114"/>
      <c r="G53" s="116"/>
      <c r="H53" s="117"/>
      <c r="I53" s="117"/>
      <c r="J53" s="116"/>
      <c r="K53" s="118" t="str">
        <f t="shared" si="2"/>
        <v/>
      </c>
      <c r="L53" s="114"/>
      <c r="M53" s="114"/>
      <c r="N53" s="118" t="str">
        <f t="shared" si="3"/>
        <v/>
      </c>
      <c r="O53" s="119"/>
    </row>
    <row r="54" spans="1:15" ht="16.5" customHeight="1" x14ac:dyDescent="0.2">
      <c r="A54" s="114"/>
      <c r="B54" s="114"/>
      <c r="C54" s="293"/>
      <c r="D54" s="294"/>
      <c r="E54" s="115"/>
      <c r="F54" s="114"/>
      <c r="G54" s="116"/>
      <c r="H54" s="117"/>
      <c r="I54" s="117"/>
      <c r="J54" s="116"/>
      <c r="K54" s="118" t="str">
        <f t="shared" si="2"/>
        <v/>
      </c>
      <c r="L54" s="114"/>
      <c r="M54" s="114"/>
      <c r="N54" s="118" t="str">
        <f t="shared" si="3"/>
        <v/>
      </c>
      <c r="O54" s="119"/>
    </row>
    <row r="55" spans="1:15" ht="16.5" customHeight="1" x14ac:dyDescent="0.2">
      <c r="A55" s="114"/>
      <c r="B55" s="114"/>
      <c r="C55" s="293"/>
      <c r="D55" s="294"/>
      <c r="E55" s="115"/>
      <c r="F55" s="114"/>
      <c r="G55" s="116"/>
      <c r="H55" s="117"/>
      <c r="I55" s="117"/>
      <c r="J55" s="116"/>
      <c r="K55" s="118" t="str">
        <f t="shared" si="2"/>
        <v/>
      </c>
      <c r="L55" s="114"/>
      <c r="M55" s="114"/>
      <c r="N55" s="118" t="str">
        <f t="shared" si="3"/>
        <v/>
      </c>
      <c r="O55" s="119"/>
    </row>
    <row r="56" spans="1:15" ht="16.5" customHeight="1" x14ac:dyDescent="0.2">
      <c r="A56" s="114"/>
      <c r="B56" s="114"/>
      <c r="C56" s="293"/>
      <c r="D56" s="294"/>
      <c r="E56" s="115"/>
      <c r="F56" s="114"/>
      <c r="G56" s="116"/>
      <c r="H56" s="117"/>
      <c r="I56" s="117"/>
      <c r="J56" s="116"/>
      <c r="K56" s="118" t="str">
        <f t="shared" si="2"/>
        <v/>
      </c>
      <c r="L56" s="114"/>
      <c r="M56" s="114"/>
      <c r="N56" s="118" t="str">
        <f t="shared" si="3"/>
        <v/>
      </c>
      <c r="O56" s="119"/>
    </row>
    <row r="57" spans="1:15" ht="16.5" customHeight="1" x14ac:dyDescent="0.2">
      <c r="A57" s="114"/>
      <c r="B57" s="114"/>
      <c r="C57" s="293"/>
      <c r="D57" s="294"/>
      <c r="E57" s="115"/>
      <c r="F57" s="114"/>
      <c r="G57" s="116"/>
      <c r="H57" s="117"/>
      <c r="I57" s="117"/>
      <c r="J57" s="116"/>
      <c r="K57" s="118" t="str">
        <f t="shared" si="2"/>
        <v/>
      </c>
      <c r="L57" s="114"/>
      <c r="M57" s="114"/>
      <c r="N57" s="118" t="str">
        <f t="shared" si="3"/>
        <v/>
      </c>
      <c r="O57" s="119"/>
    </row>
    <row r="58" spans="1:15" ht="16.5" customHeight="1" x14ac:dyDescent="0.2">
      <c r="A58" s="114"/>
      <c r="B58" s="114"/>
      <c r="C58" s="293"/>
      <c r="D58" s="294"/>
      <c r="E58" s="115"/>
      <c r="F58" s="114"/>
      <c r="G58" s="116"/>
      <c r="H58" s="117"/>
      <c r="I58" s="117"/>
      <c r="J58" s="116"/>
      <c r="K58" s="118" t="str">
        <f t="shared" si="2"/>
        <v/>
      </c>
      <c r="L58" s="114"/>
      <c r="M58" s="114"/>
      <c r="N58" s="118" t="str">
        <f t="shared" si="3"/>
        <v/>
      </c>
      <c r="O58" s="119"/>
    </row>
    <row r="59" spans="1:15" ht="16.5" customHeight="1" x14ac:dyDescent="0.2">
      <c r="A59" s="114"/>
      <c r="B59" s="114"/>
      <c r="C59" s="293"/>
      <c r="D59" s="294"/>
      <c r="E59" s="115"/>
      <c r="F59" s="114"/>
      <c r="G59" s="116"/>
      <c r="H59" s="117"/>
      <c r="I59" s="117"/>
      <c r="J59" s="116"/>
      <c r="K59" s="118" t="str">
        <f t="shared" si="2"/>
        <v/>
      </c>
      <c r="L59" s="114"/>
      <c r="M59" s="114"/>
      <c r="N59" s="118" t="str">
        <f t="shared" si="3"/>
        <v/>
      </c>
      <c r="O59" s="119"/>
    </row>
    <row r="60" spans="1:15" ht="16.5" customHeight="1" x14ac:dyDescent="0.2">
      <c r="A60" s="114"/>
      <c r="B60" s="114"/>
      <c r="C60" s="293"/>
      <c r="D60" s="294"/>
      <c r="E60" s="115"/>
      <c r="F60" s="114"/>
      <c r="G60" s="116"/>
      <c r="H60" s="117"/>
      <c r="I60" s="117"/>
      <c r="J60" s="116"/>
      <c r="K60" s="118" t="str">
        <f t="shared" si="2"/>
        <v/>
      </c>
      <c r="L60" s="114"/>
      <c r="M60" s="114"/>
      <c r="N60" s="118" t="str">
        <f t="shared" si="3"/>
        <v/>
      </c>
      <c r="O60" s="119"/>
    </row>
    <row r="61" spans="1:15" ht="16.5" customHeight="1" x14ac:dyDescent="0.2">
      <c r="A61" s="114"/>
      <c r="B61" s="114"/>
      <c r="C61" s="293"/>
      <c r="D61" s="294"/>
      <c r="E61" s="115"/>
      <c r="F61" s="114"/>
      <c r="G61" s="116"/>
      <c r="H61" s="117"/>
      <c r="I61" s="117"/>
      <c r="J61" s="116"/>
      <c r="K61" s="118" t="str">
        <f t="shared" si="2"/>
        <v/>
      </c>
      <c r="L61" s="114"/>
      <c r="M61" s="114"/>
      <c r="N61" s="118" t="str">
        <f t="shared" si="3"/>
        <v/>
      </c>
      <c r="O61" s="119"/>
    </row>
    <row r="62" spans="1:15" ht="16.5" customHeight="1" x14ac:dyDescent="0.2">
      <c r="A62" s="114"/>
      <c r="B62" s="114"/>
      <c r="C62" s="293"/>
      <c r="D62" s="294"/>
      <c r="E62" s="115"/>
      <c r="F62" s="114"/>
      <c r="G62" s="116"/>
      <c r="H62" s="117"/>
      <c r="I62" s="117"/>
      <c r="J62" s="116"/>
      <c r="K62" s="118" t="str">
        <f t="shared" si="2"/>
        <v/>
      </c>
      <c r="L62" s="114"/>
      <c r="M62" s="114"/>
      <c r="N62" s="118" t="str">
        <f t="shared" si="3"/>
        <v/>
      </c>
      <c r="O62" s="119"/>
    </row>
    <row r="63" spans="1:15" ht="16.5" customHeight="1" x14ac:dyDescent="0.2">
      <c r="A63" s="114"/>
      <c r="B63" s="114"/>
      <c r="C63" s="293"/>
      <c r="D63" s="294"/>
      <c r="E63" s="115"/>
      <c r="F63" s="114"/>
      <c r="G63" s="116"/>
      <c r="H63" s="117"/>
      <c r="I63" s="117"/>
      <c r="J63" s="116"/>
      <c r="K63" s="118" t="str">
        <f t="shared" si="2"/>
        <v/>
      </c>
      <c r="L63" s="114"/>
      <c r="M63" s="114"/>
      <c r="N63" s="118" t="str">
        <f t="shared" si="3"/>
        <v/>
      </c>
      <c r="O63" s="119"/>
    </row>
    <row r="64" spans="1:15" ht="16.5" customHeight="1" x14ac:dyDescent="0.2">
      <c r="A64" s="114"/>
      <c r="B64" s="114"/>
      <c r="C64" s="293"/>
      <c r="D64" s="294"/>
      <c r="E64" s="115"/>
      <c r="F64" s="114"/>
      <c r="G64" s="116"/>
      <c r="H64" s="117"/>
      <c r="I64" s="117"/>
      <c r="J64" s="116"/>
      <c r="K64" s="118" t="str">
        <f t="shared" si="2"/>
        <v/>
      </c>
      <c r="L64" s="114"/>
      <c r="M64" s="114"/>
      <c r="N64" s="118" t="str">
        <f t="shared" si="3"/>
        <v/>
      </c>
      <c r="O64" s="119"/>
    </row>
    <row r="65" spans="1:15" ht="16.5" customHeight="1" x14ac:dyDescent="0.2">
      <c r="A65" s="114"/>
      <c r="B65" s="114"/>
      <c r="C65" s="293"/>
      <c r="D65" s="294"/>
      <c r="E65" s="115"/>
      <c r="F65" s="114"/>
      <c r="G65" s="116"/>
      <c r="H65" s="117"/>
      <c r="I65" s="117"/>
      <c r="J65" s="116"/>
      <c r="K65" s="118" t="str">
        <f t="shared" si="2"/>
        <v/>
      </c>
      <c r="L65" s="114"/>
      <c r="M65" s="114"/>
      <c r="N65" s="118" t="str">
        <f t="shared" si="3"/>
        <v/>
      </c>
      <c r="O65" s="119"/>
    </row>
    <row r="66" spans="1:15" ht="16.5" customHeight="1" x14ac:dyDescent="0.2">
      <c r="A66" s="114"/>
      <c r="B66" s="114"/>
      <c r="C66" s="293"/>
      <c r="D66" s="294"/>
      <c r="E66" s="115"/>
      <c r="F66" s="114"/>
      <c r="G66" s="116"/>
      <c r="H66" s="117"/>
      <c r="I66" s="117"/>
      <c r="J66" s="116"/>
      <c r="K66" s="118" t="str">
        <f t="shared" si="2"/>
        <v/>
      </c>
      <c r="L66" s="114"/>
      <c r="M66" s="114"/>
      <c r="N66" s="118" t="str">
        <f t="shared" si="3"/>
        <v/>
      </c>
      <c r="O66" s="119"/>
    </row>
    <row r="67" spans="1:15" ht="16.5" customHeight="1" x14ac:dyDescent="0.2">
      <c r="A67" s="114"/>
      <c r="B67" s="114"/>
      <c r="C67" s="293"/>
      <c r="D67" s="294"/>
      <c r="E67" s="115"/>
      <c r="F67" s="114"/>
      <c r="G67" s="116"/>
      <c r="H67" s="117"/>
      <c r="I67" s="117"/>
      <c r="J67" s="116"/>
      <c r="K67" s="118" t="str">
        <f t="shared" si="2"/>
        <v/>
      </c>
      <c r="L67" s="114"/>
      <c r="M67" s="114"/>
      <c r="N67" s="118" t="str">
        <f t="shared" si="3"/>
        <v/>
      </c>
      <c r="O67" s="119"/>
    </row>
    <row r="68" spans="1:15" ht="16.5" customHeight="1" x14ac:dyDescent="0.2">
      <c r="A68" s="114"/>
      <c r="B68" s="114"/>
      <c r="C68" s="293"/>
      <c r="D68" s="294"/>
      <c r="E68" s="115"/>
      <c r="F68" s="114"/>
      <c r="G68" s="116"/>
      <c r="H68" s="117"/>
      <c r="I68" s="117"/>
      <c r="J68" s="116"/>
      <c r="K68" s="118" t="str">
        <f t="shared" si="2"/>
        <v/>
      </c>
      <c r="L68" s="114"/>
      <c r="M68" s="114"/>
      <c r="N68" s="118" t="str">
        <f t="shared" si="3"/>
        <v/>
      </c>
      <c r="O68" s="119"/>
    </row>
    <row r="69" spans="1:15" ht="16.5" customHeight="1" x14ac:dyDescent="0.2">
      <c r="A69" s="114"/>
      <c r="B69" s="114"/>
      <c r="C69" s="293"/>
      <c r="D69" s="294"/>
      <c r="E69" s="115"/>
      <c r="F69" s="114"/>
      <c r="G69" s="116"/>
      <c r="H69" s="117"/>
      <c r="I69" s="117"/>
      <c r="J69" s="116"/>
      <c r="K69" s="118" t="str">
        <f t="shared" si="2"/>
        <v/>
      </c>
      <c r="L69" s="114"/>
      <c r="M69" s="114"/>
      <c r="N69" s="118" t="str">
        <f t="shared" si="3"/>
        <v/>
      </c>
      <c r="O69" s="119"/>
    </row>
    <row r="70" spans="1:15" ht="16.5" customHeight="1" x14ac:dyDescent="0.2">
      <c r="A70" s="114"/>
      <c r="B70" s="114"/>
      <c r="C70" s="293"/>
      <c r="D70" s="294"/>
      <c r="E70" s="115"/>
      <c r="F70" s="114"/>
      <c r="G70" s="116"/>
      <c r="H70" s="117"/>
      <c r="I70" s="117"/>
      <c r="J70" s="116"/>
      <c r="K70" s="118" t="str">
        <f t="shared" si="2"/>
        <v/>
      </c>
      <c r="L70" s="114"/>
      <c r="M70" s="114"/>
      <c r="N70" s="118" t="str">
        <f t="shared" si="3"/>
        <v/>
      </c>
      <c r="O70" s="119"/>
    </row>
    <row r="71" spans="1:15" ht="16.5" customHeight="1" x14ac:dyDescent="0.2">
      <c r="A71" s="114"/>
      <c r="B71" s="114"/>
      <c r="C71" s="293"/>
      <c r="D71" s="294"/>
      <c r="E71" s="115"/>
      <c r="F71" s="114"/>
      <c r="G71" s="116"/>
      <c r="H71" s="117"/>
      <c r="I71" s="117"/>
      <c r="J71" s="116"/>
      <c r="K71" s="118" t="str">
        <f t="shared" si="2"/>
        <v/>
      </c>
      <c r="L71" s="114"/>
      <c r="M71" s="114"/>
      <c r="N71" s="118" t="str">
        <f t="shared" si="3"/>
        <v/>
      </c>
      <c r="O71" s="119"/>
    </row>
    <row r="72" spans="1:15" ht="16.5" customHeight="1" x14ac:dyDescent="0.2">
      <c r="A72" s="114"/>
      <c r="B72" s="114"/>
      <c r="C72" s="293"/>
      <c r="D72" s="294"/>
      <c r="E72" s="115"/>
      <c r="F72" s="114"/>
      <c r="G72" s="116"/>
      <c r="H72" s="117"/>
      <c r="I72" s="117"/>
      <c r="J72" s="116"/>
      <c r="K72" s="118" t="str">
        <f t="shared" si="2"/>
        <v/>
      </c>
      <c r="L72" s="114"/>
      <c r="M72" s="114"/>
      <c r="N72" s="118" t="str">
        <f t="shared" si="3"/>
        <v/>
      </c>
      <c r="O72" s="119"/>
    </row>
    <row r="73" spans="1:15" ht="16.5" customHeight="1" x14ac:dyDescent="0.2">
      <c r="A73" s="114"/>
      <c r="B73" s="114"/>
      <c r="C73" s="293"/>
      <c r="D73" s="294"/>
      <c r="E73" s="115"/>
      <c r="F73" s="114"/>
      <c r="G73" s="116"/>
      <c r="H73" s="117"/>
      <c r="I73" s="117"/>
      <c r="J73" s="116"/>
      <c r="K73" s="118" t="str">
        <f t="shared" si="2"/>
        <v/>
      </c>
      <c r="L73" s="114"/>
      <c r="M73" s="114"/>
      <c r="N73" s="118" t="str">
        <f t="shared" si="3"/>
        <v/>
      </c>
      <c r="O73" s="119"/>
    </row>
  </sheetData>
  <mergeCells count="62">
    <mergeCell ref="C72:D72"/>
    <mergeCell ref="C73:D73"/>
    <mergeCell ref="C66:D66"/>
    <mergeCell ref="C67:D67"/>
    <mergeCell ref="C68:D68"/>
    <mergeCell ref="C69:D69"/>
    <mergeCell ref="C70:D70"/>
    <mergeCell ref="C71:D71"/>
    <mergeCell ref="C65:D65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53:D53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41:D41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27:D27"/>
    <mergeCell ref="D14:F14"/>
    <mergeCell ref="D15:E15"/>
    <mergeCell ref="D16:F16"/>
    <mergeCell ref="D17:F17"/>
    <mergeCell ref="C20:D20"/>
    <mergeCell ref="C21:D21"/>
    <mergeCell ref="C22:D22"/>
    <mergeCell ref="C23:D23"/>
    <mergeCell ref="C24:D24"/>
    <mergeCell ref="C25:D25"/>
    <mergeCell ref="C26:D26"/>
    <mergeCell ref="D12:F12"/>
    <mergeCell ref="A3:D3"/>
    <mergeCell ref="A4:D4"/>
    <mergeCell ref="D8:E8"/>
    <mergeCell ref="D9:E9"/>
    <mergeCell ref="D10:E10"/>
  </mergeCells>
  <phoneticPr fontId="2"/>
  <printOptions horizontalCentered="1"/>
  <pageMargins left="0.23622047244094491" right="0.23622047244094491" top="0.23622047244094491" bottom="0.23622047244094491" header="0" footer="0"/>
  <pageSetup paperSize="9" orientation="landscape" r:id="rId1"/>
  <headerFooter alignWithMargins="0">
    <oddHeader>&amp;R&amp;10&amp;P/&amp;N 頁</oddHeader>
    <oddFooter>&amp;R©2024 SMS DataTech Corporation. All rights reserved.</oddFooter>
  </headerFooter>
  <drawing r:id="rId2"/>
  <legacyDrawing r:id="rId3"/>
  <oleObjects>
    <mc:AlternateContent xmlns:mc="http://schemas.openxmlformats.org/markup-compatibility/2006">
      <mc:Choice Requires="x14">
        <oleObject progId="Dstmp.StampObject.6" shapeId="2049" r:id="rId4">
          <objectPr defaultSize="0" autoFill="0" autoLine="0" autoPict="0" r:id="rId5">
            <anchor>
              <from>
                <xdr:col>13</xdr:col>
                <xdr:colOff>434340</xdr:colOff>
                <xdr:row>4</xdr:row>
                <xdr:rowOff>83820</xdr:rowOff>
              </from>
              <to>
                <xdr:col>14</xdr:col>
                <xdr:colOff>251460</xdr:colOff>
                <xdr:row>8</xdr:row>
                <xdr:rowOff>205740</xdr:rowOff>
              </to>
            </anchor>
          </objectPr>
        </oleObject>
      </mc:Choice>
      <mc:Fallback>
        <oleObject progId="Dstmp.StampObject.6" shapeId="2049" r:id="rId4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33</vt:i4>
      </vt:variant>
    </vt:vector>
  </HeadingPairs>
  <TitlesOfParts>
    <vt:vector size="44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(参考情報)処理詳細_請求書発行</vt:lpstr>
      <vt:lpstr>確認事項</vt:lpstr>
      <vt:lpstr>別紙_テンプレート</vt:lpstr>
      <vt:lpstr>別紙_印刷レイアウト</vt:lpstr>
      <vt:lpstr>参照</vt:lpstr>
      <vt:lpstr>CoreCells</vt:lpstr>
      <vt:lpstr>CoreCellsRow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インボイス登録番号</vt:lpstr>
      <vt:lpstr>会社担当者</vt:lpstr>
      <vt:lpstr>会社担当者E_mail</vt:lpstr>
      <vt:lpstr>見積金額</vt:lpstr>
      <vt:lpstr>見積件名</vt:lpstr>
      <vt:lpstr>見積番号</vt:lpstr>
      <vt:lpstr>合計金額</vt:lpstr>
      <vt:lpstr>作成日</vt:lpstr>
      <vt:lpstr>支払条件</vt:lpstr>
      <vt:lpstr>受渡地</vt:lpstr>
      <vt:lpstr>消費税額</vt:lpstr>
      <vt:lpstr>消費税見出し</vt:lpstr>
      <vt:lpstr>担当者名</vt:lpstr>
      <vt:lpstr>店番</vt:lpstr>
      <vt:lpstr>得意先名1</vt:lpstr>
      <vt:lpstr>得意先名2</vt:lpstr>
      <vt:lpstr>納期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2025-05-24T05:32:48Z</dcterms:modified>
</cp:coreProperties>
</file>