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976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_書き方" sheetId="20" state="hidden" r:id="rId5"/>
    <sheet name="処理詳細" sheetId="21" r:id="rId6"/>
    <sheet name="確認事項" sheetId="15" r:id="rId7"/>
    <sheet name="別紙_テンプレート" sheetId="16" r:id="rId8"/>
    <sheet name="参照" sheetId="12" state="hidden" r:id="rId9"/>
  </sheets>
  <definedNames>
    <definedName name="CoreCells">#REF!</definedName>
    <definedName name="CoreCellsRow">#REF!</definedName>
    <definedName name="_xlnm.Print_Area" localSheetId="1">概要!$A$1:$BN$31</definedName>
    <definedName name="_xlnm.Print_Area" localSheetId="3">項目一覧!$A$1:$CD$54</definedName>
    <definedName name="_xlnm.Print_Area" localSheetId="5">処理詳細!$A$1:$BR$27</definedName>
    <definedName name="_xlnm.Print_Area" localSheetId="4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5">処理詳細!$1:$5</definedName>
    <definedName name="_xlnm.Print_Titles" localSheetId="4">処理詳細_書き方!$1:$5</definedName>
    <definedName name="_xlnm.Print_Titles" localSheetId="2">帳票レイアウト!$1:$5</definedName>
    <definedName name="_xlnm.Print_Titles" localSheetId="0">変更履歴!$1:$5</definedName>
    <definedName name="クレーム区分">#REF!</definedName>
    <definedName name="会社担当者">#REF!</definedName>
    <definedName name="会社担当者E_mail">#REF!</definedName>
    <definedName name="見積金額">#REF!</definedName>
    <definedName name="見積件名">#REF!</definedName>
    <definedName name="見積日">#REF!</definedName>
    <definedName name="見積番号">#REF!</definedName>
    <definedName name="見積有効期限">#REF!</definedName>
    <definedName name="現場名">#REF!</definedName>
    <definedName name="合計金額">#REF!</definedName>
    <definedName name="作成日">#REF!</definedName>
    <definedName name="支払条件">#REF!</definedName>
    <definedName name="受注区分">#REF!</definedName>
    <definedName name="受注先1">#REF!</definedName>
    <definedName name="受渡地">#REF!</definedName>
    <definedName name="消費税額">#REF!</definedName>
    <definedName name="消費税等">#REF!</definedName>
    <definedName name="担当者">#REF!</definedName>
    <definedName name="担当者名">#REF!</definedName>
    <definedName name="店番">#REF!</definedName>
    <definedName name="得意先名1">#REF!</definedName>
    <definedName name="得意先名2">#REF!</definedName>
    <definedName name="納期">#REF!</definedName>
    <definedName name="納入先1">#REF!</definedName>
    <definedName name="納入先住所1">#REF!</definedName>
    <definedName name="備考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1" l="1"/>
  <c r="BF3" i="21"/>
  <c r="BB3" i="21"/>
  <c r="AX3" i="21"/>
  <c r="L3" i="21"/>
  <c r="B3" i="21"/>
  <c r="BJ3" i="20" l="1"/>
  <c r="BF3" i="20"/>
  <c r="BB3" i="20"/>
  <c r="AX3" i="20"/>
  <c r="L3" i="20"/>
  <c r="B3" i="20"/>
  <c r="BJ3" i="14" l="1"/>
  <c r="BF3" i="14"/>
  <c r="BB3" i="14"/>
  <c r="AX3" i="14"/>
  <c r="L3" i="14"/>
  <c r="B3" i="14"/>
  <c r="X3" i="1" l="1"/>
  <c r="X3" i="21" s="1"/>
  <c r="X3" i="20" l="1"/>
  <c r="X3" i="14"/>
  <c r="H3" i="1"/>
  <c r="H3" i="21" s="1"/>
  <c r="R3" i="1"/>
  <c r="R3" i="21" s="1"/>
  <c r="AK3" i="1"/>
  <c r="AK3" i="21" s="1"/>
  <c r="AK3" i="20" l="1"/>
  <c r="R3" i="20"/>
  <c r="H3" i="20"/>
  <c r="AK3" i="14"/>
  <c r="H7" i="14" s="1"/>
  <c r="R3" i="14"/>
  <c r="H3" i="14"/>
  <c r="R3" i="3"/>
  <c r="BP3" i="3"/>
  <c r="BL3" i="3"/>
  <c r="BH3" i="3"/>
  <c r="BD3" i="3"/>
  <c r="AQ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AD3" i="3"/>
</calcChain>
</file>

<file path=xl/sharedStrings.xml><?xml version="1.0" encoding="utf-8"?>
<sst xmlns="http://schemas.openxmlformats.org/spreadsheetml/2006/main" count="226" uniqueCount="158">
  <si>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</si>
  <si>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</si>
  <si>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</si>
  <si>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</si>
  <si>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</si>
  <si>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</si>
  <si>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</si>
  <si>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</si>
  <si>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</si>
  <si>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</si>
  <si>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</si>
  <si>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</si>
  <si>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</si>
  <si>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</si>
  <si>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</si>
  <si>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</si>
  <si>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</si>
  <si>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</si>
  <si>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</si>
  <si>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</si>
  <si>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</si>
  <si>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</si>
  <si>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</si>
  <si>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</si>
  <si>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</si>
  <si>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</si>
  <si>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</si>
  <si>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</si>
  <si>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</si>
  <si>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</si>
  <si>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</si>
  <si>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</si>
  <si>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</si>
  <si>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</si>
  <si>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</si>
  <si>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</si>
  <si>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</si>
  <si>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</si>
  <si>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</si>
  <si>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</si>
  <si>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</si>
  <si>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</si>
  <si>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</si>
  <si>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</si>
  <si>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</si>
  <si>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</si>
  <si>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</si>
  <si>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</si>
  <si>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</si>
  <si>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</si>
  <si>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</si>
  <si>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</si>
  <si>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</si>
  <si>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支払日付</t>
    <rPh sb="0" eb="2">
      <t>シハライ</t>
    </rPh>
    <rPh sb="2" eb="4">
      <t>ヒヅケ</t>
    </rPh>
    <phoneticPr fontId="1"/>
  </si>
  <si>
    <t>仕入先CD</t>
    <rPh sb="0" eb="2">
      <t>シイレ</t>
    </rPh>
    <rPh sb="2" eb="3">
      <t>サキ</t>
    </rPh>
    <phoneticPr fontId="1"/>
  </si>
  <si>
    <t>支払金額</t>
    <rPh sb="0" eb="2">
      <t>シハライ</t>
    </rPh>
    <rPh sb="2" eb="4">
      <t>キンガク</t>
    </rPh>
    <phoneticPr fontId="1"/>
  </si>
  <si>
    <t>半角</t>
    <rPh sb="0" eb="2">
      <t>ハンカク</t>
    </rPh>
    <phoneticPr fontId="1"/>
  </si>
  <si>
    <t>-</t>
    <phoneticPr fontId="1"/>
  </si>
  <si>
    <t>CSV.2列目</t>
    <rPh sb="5" eb="7">
      <t>レツメ</t>
    </rPh>
    <phoneticPr fontId="1"/>
  </si>
  <si>
    <t>CSV.3列目</t>
    <rPh sb="5" eb="7">
      <t>レツメ</t>
    </rPh>
    <phoneticPr fontId="1"/>
  </si>
  <si>
    <t>CSV.1列目</t>
    <rPh sb="5" eb="7">
      <t>レツメ</t>
    </rPh>
    <phoneticPr fontId="1"/>
  </si>
  <si>
    <t>csv</t>
    <phoneticPr fontId="2"/>
  </si>
  <si>
    <t>支払取込yyyymm_d.csv</t>
    <phoneticPr fontId="2"/>
  </si>
  <si>
    <t>概要</t>
    <rPh sb="0" eb="2">
      <t>ガイヨウ</t>
    </rPh>
    <phoneticPr fontId="2"/>
  </si>
  <si>
    <t>CSVのファイル名</t>
    <rPh sb="8" eb="9">
      <t>メイ</t>
    </rPh>
    <phoneticPr fontId="2"/>
  </si>
  <si>
    <t>CSVファイルの命名規則は「yyyymm_d.csv」？</t>
    <rPh sb="8" eb="10">
      <t>メイメイ</t>
    </rPh>
    <rPh sb="10" eb="12">
      <t>キソク</t>
    </rPh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</si>
  <si>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</si>
  <si>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</si>
  <si>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</si>
  <si>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</si>
  <si>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</si>
  <si>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</si>
  <si>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</si>
  <si>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</si>
  <si>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</si>
  <si>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</si>
  <si>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</si>
  <si>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</si>
  <si>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</si>
  <si>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</si>
  <si>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</si>
  <si>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</si>
  <si>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</si>
  <si>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</si>
  <si>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</si>
  <si>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</si>
  <si>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</si>
  <si>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</si>
  <si>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</si>
  <si>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</si>
  <si>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</si>
  <si>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</si>
  <si>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</si>
  <si>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</si>
  <si>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</si>
  <si>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</si>
  <si>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</si>
  <si>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</si>
  <si>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</si>
  <si>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</si>
  <si>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なし</t>
    <phoneticPr fontId="2"/>
  </si>
  <si>
    <t>可変長</t>
    <rPh sb="0" eb="3">
      <t>カヘンチョウ</t>
    </rPh>
    <phoneticPr fontId="2"/>
  </si>
  <si>
    <t>カンマ</t>
    <phoneticPr fontId="2"/>
  </si>
  <si>
    <t>SJIS</t>
    <phoneticPr fontId="2"/>
  </si>
  <si>
    <t>回答</t>
    <rPh sb="0" eb="2">
      <t>カイトウ</t>
    </rPh>
    <phoneticPr fontId="2"/>
  </si>
  <si>
    <t>認識あっている</t>
    <rPh sb="0" eb="2">
      <t>ニンシキ</t>
    </rPh>
    <phoneticPr fontId="2"/>
  </si>
  <si>
    <t>〇</t>
    <phoneticPr fontId="2"/>
  </si>
  <si>
    <t>SQL1</t>
    <phoneticPr fontId="2"/>
  </si>
  <si>
    <t>from</t>
    <phoneticPr fontId="2"/>
  </si>
  <si>
    <t>where</t>
    <phoneticPr fontId="2"/>
  </si>
  <si>
    <t>合計金額</t>
    <rPh sb="0" eb="4">
      <t>ゴウケイキンガク</t>
    </rPh>
    <phoneticPr fontId="2"/>
  </si>
  <si>
    <t>初期登録日</t>
    <rPh sb="0" eb="5">
      <t>ショキトウロクビ</t>
    </rPh>
    <phoneticPr fontId="2"/>
  </si>
  <si>
    <t>登録変更日</t>
    <rPh sb="0" eb="5">
      <t>トウロクヘンコウビ</t>
    </rPh>
    <phoneticPr fontId="2"/>
  </si>
  <si>
    <t>select * from TD支払 where 0 &lt;&gt; 0</t>
    <phoneticPr fontId="2"/>
  </si>
  <si>
    <t>From TD支払</t>
    <rPh sb="7" eb="9">
      <t>シハライ</t>
    </rPh>
    <phoneticPr fontId="2"/>
  </si>
  <si>
    <t>where 0 &lt;&gt; 0</t>
    <phoneticPr fontId="2"/>
  </si>
  <si>
    <t>必ずFalseになる条件</t>
    <rPh sb="9" eb="11">
      <t>ジョウケン</t>
    </rPh>
    <phoneticPr fontId="2"/>
  </si>
  <si>
    <t>SQLで項目のみ取得</t>
    <rPh sb="4" eb="6">
      <t>コウモク</t>
    </rPh>
    <rPh sb="8" eb="10">
      <t>シュトク</t>
    </rPh>
    <phoneticPr fontId="2"/>
  </si>
  <si>
    <t>支払番号</t>
    <rPh sb="0" eb="4">
      <t>シハライバンゴウ</t>
    </rPh>
    <phoneticPr fontId="2"/>
  </si>
  <si>
    <t>枝番</t>
    <rPh sb="0" eb="2">
      <t>エダバン</t>
    </rPh>
    <phoneticPr fontId="2"/>
  </si>
  <si>
    <t>支払日付</t>
    <rPh sb="0" eb="4">
      <t>シハライヒヅケ</t>
    </rPh>
    <phoneticPr fontId="2"/>
  </si>
  <si>
    <t>仕入先CD</t>
    <rPh sb="0" eb="2">
      <t>シイ</t>
    </rPh>
    <rPh sb="2" eb="3">
      <t>サキ</t>
    </rPh>
    <phoneticPr fontId="2"/>
  </si>
  <si>
    <t>仕入先名1</t>
    <rPh sb="0" eb="4">
      <t>シイレサキメイ</t>
    </rPh>
    <phoneticPr fontId="2"/>
  </si>
  <si>
    <t>仕入先名2</t>
    <rPh sb="0" eb="4">
      <t>シイレサキメイ</t>
    </rPh>
    <phoneticPr fontId="2"/>
  </si>
  <si>
    <t>支払区分CD</t>
    <rPh sb="0" eb="4">
      <t>シハライクブン</t>
    </rPh>
    <phoneticPr fontId="2"/>
  </si>
  <si>
    <t>支払区分名</t>
    <rPh sb="0" eb="5">
      <t>シハライクブンメイ</t>
    </rPh>
    <phoneticPr fontId="2"/>
  </si>
  <si>
    <t>支払種別</t>
    <rPh sb="0" eb="4">
      <t>シハライシュベツ</t>
    </rPh>
    <phoneticPr fontId="2"/>
  </si>
  <si>
    <t>支払金額</t>
    <rPh sb="0" eb="4">
      <t>シハライキンガク</t>
    </rPh>
    <phoneticPr fontId="2"/>
  </si>
  <si>
    <t>手形期日</t>
    <rPh sb="0" eb="4">
      <t>テガタキジツ</t>
    </rPh>
    <phoneticPr fontId="2"/>
  </si>
  <si>
    <t>手形番号</t>
    <rPh sb="0" eb="4">
      <t>テガタバンゴウ</t>
    </rPh>
    <phoneticPr fontId="2"/>
  </si>
  <si>
    <t>摘要名</t>
    <rPh sb="0" eb="3">
      <t>テキヨウメイ</t>
    </rPh>
    <phoneticPr fontId="2"/>
  </si>
  <si>
    <t>支払年月</t>
    <rPh sb="0" eb="4">
      <t>シハライネンゲツ</t>
    </rPh>
    <phoneticPr fontId="2"/>
  </si>
  <si>
    <t>支払締日</t>
    <rPh sb="0" eb="4">
      <t>シハライシメビ</t>
    </rPh>
    <phoneticPr fontId="2"/>
  </si>
  <si>
    <t>支払更新FLG</t>
    <rPh sb="0" eb="4">
      <t>シハライコウシン</t>
    </rPh>
    <phoneticPr fontId="2"/>
  </si>
  <si>
    <t>TD支払.支払番号</t>
    <rPh sb="5" eb="9">
      <t>シハライバンゴウ</t>
    </rPh>
    <phoneticPr fontId="2"/>
  </si>
  <si>
    <t>TD支払.枝番</t>
    <rPh sb="5" eb="7">
      <t>エダバン</t>
    </rPh>
    <phoneticPr fontId="2"/>
  </si>
  <si>
    <t>TD支払.支払日付</t>
    <rPh sb="5" eb="9">
      <t>シハライヒヅケ</t>
    </rPh>
    <phoneticPr fontId="2"/>
  </si>
  <si>
    <t>TD支払.仕入先CD</t>
    <rPh sb="5" eb="7">
      <t>シイ</t>
    </rPh>
    <rPh sb="7" eb="8">
      <t>サキ</t>
    </rPh>
    <phoneticPr fontId="2"/>
  </si>
  <si>
    <t>TD支払.仕入先名1</t>
    <rPh sb="5" eb="9">
      <t>シイレサキメイ</t>
    </rPh>
    <phoneticPr fontId="2"/>
  </si>
  <si>
    <t>TD支払.仕入先名2</t>
    <rPh sb="5" eb="9">
      <t>シイレサキメイ</t>
    </rPh>
    <phoneticPr fontId="2"/>
  </si>
  <si>
    <t>TD支払.支払区分CD</t>
    <rPh sb="5" eb="9">
      <t>シハライクブン</t>
    </rPh>
    <phoneticPr fontId="2"/>
  </si>
  <si>
    <t>TD支払.支払区分名</t>
    <rPh sb="5" eb="10">
      <t>シハライクブンメイ</t>
    </rPh>
    <phoneticPr fontId="2"/>
  </si>
  <si>
    <t>TD支払.支払種別</t>
    <rPh sb="5" eb="9">
      <t>シハライシュベツ</t>
    </rPh>
    <phoneticPr fontId="2"/>
  </si>
  <si>
    <t>TD支払.支払金額</t>
    <rPh sb="5" eb="9">
      <t>シハライキンガク</t>
    </rPh>
    <phoneticPr fontId="2"/>
  </si>
  <si>
    <t>TD支払.手形期日</t>
    <rPh sb="5" eb="9">
      <t>テガタキジツ</t>
    </rPh>
    <phoneticPr fontId="2"/>
  </si>
  <si>
    <t>TD支払.手形番号</t>
    <rPh sb="5" eb="9">
      <t>テガタバンゴウ</t>
    </rPh>
    <phoneticPr fontId="2"/>
  </si>
  <si>
    <t>TD支払.摘要名</t>
    <rPh sb="5" eb="8">
      <t>テキヨウメイ</t>
    </rPh>
    <phoneticPr fontId="2"/>
  </si>
  <si>
    <t>TD支払.合計金額</t>
    <rPh sb="5" eb="9">
      <t>ゴウケイキンガク</t>
    </rPh>
    <phoneticPr fontId="2"/>
  </si>
  <si>
    <t>TD支払.支払年月</t>
    <rPh sb="5" eb="9">
      <t>シハライネンゲツ</t>
    </rPh>
    <phoneticPr fontId="2"/>
  </si>
  <si>
    <t>TD支払.支払締日</t>
    <rPh sb="5" eb="9">
      <t>シハライシメビ</t>
    </rPh>
    <phoneticPr fontId="2"/>
  </si>
  <si>
    <t>TD支払.支払更新FLG</t>
    <rPh sb="5" eb="9">
      <t>シハライコウシン</t>
    </rPh>
    <phoneticPr fontId="2"/>
  </si>
  <si>
    <t>TD支払.初期登録日</t>
    <rPh sb="5" eb="10">
      <t>ショキトウロクビ</t>
    </rPh>
    <phoneticPr fontId="2"/>
  </si>
  <si>
    <t>TD支払.登録変更日</t>
    <rPh sb="5" eb="10">
      <t>トウロクヘンコウビ</t>
    </rPh>
    <phoneticPr fontId="2"/>
  </si>
  <si>
    <t>受発注システム</t>
    <rPh sb="0" eb="3">
      <t>ジュハッチュウ</t>
    </rPh>
    <phoneticPr fontId="2"/>
  </si>
  <si>
    <t>システム分類</t>
    <phoneticPr fontId="2"/>
  </si>
  <si>
    <t>大谷</t>
    <rPh sb="0" eb="2">
      <t>オオタニ</t>
    </rPh>
    <phoneticPr fontId="2"/>
  </si>
  <si>
    <t>大谷</t>
    <rPh sb="0" eb="2">
      <t>オオタニ</t>
    </rPh>
    <phoneticPr fontId="2"/>
  </si>
  <si>
    <t>受発注</t>
    <rPh sb="0" eb="3">
      <t>ジュハッチュウ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</si>
</sst>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20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14" fontId="0" fillId="0" borderId="0" xfId="0" applyNumberFormat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43" xfId="0" applyFont="1" applyFill="1" applyBorder="1">
      <alignment vertical="center"/>
    </xf>
    <xf numFmtId="0" fontId="3" fillId="2" borderId="0" xfId="0" applyFont="1" applyFill="1" applyBorder="1" applyAlignment="1">
      <alignment vertical="center" shrinkToFit="1"/>
    </xf>
    <xf numFmtId="14" fontId="3" fillId="2" borderId="0" xfId="0" applyNumberFormat="1" applyFont="1" applyFill="1" applyBorder="1" applyAlignment="1">
      <alignment vertical="center" shrinkToFi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69" xfId="0" applyFont="1" applyFill="1" applyBorder="1" applyAlignment="1">
      <alignment horizontal="center" vertical="center" shrinkToFit="1"/>
    </xf>
    <xf numFmtId="0" fontId="3" fillId="2" borderId="67" xfId="0" applyFont="1" applyFill="1" applyBorder="1" applyAlignment="1">
      <alignment horizontal="center" vertical="center" shrinkToFit="1"/>
    </xf>
    <xf numFmtId="14" fontId="3" fillId="2" borderId="2" xfId="0" applyNumberFormat="1" applyFont="1" applyFill="1" applyBorder="1" applyAlignment="1">
      <alignment horizontal="center" vertical="center" shrinkToFit="1"/>
    </xf>
    <xf numFmtId="14" fontId="3" fillId="2" borderId="3" xfId="0" applyNumberFormat="1" applyFont="1" applyFill="1" applyBorder="1" applyAlignment="1">
      <alignment horizontal="center" vertical="center" shrinkToFit="1"/>
    </xf>
    <xf numFmtId="14" fontId="3" fillId="2" borderId="4" xfId="0" applyNumberFormat="1" applyFont="1" applyFill="1" applyBorder="1" applyAlignment="1">
      <alignment horizontal="center" vertical="center" shrinkToFit="1"/>
    </xf>
    <xf numFmtId="14" fontId="3" fillId="2" borderId="51" xfId="0" applyNumberFormat="1" applyFont="1" applyFill="1" applyBorder="1" applyAlignment="1">
      <alignment horizontal="center" vertical="center" shrinkToFit="1"/>
    </xf>
    <xf numFmtId="14" fontId="3" fillId="2" borderId="52" xfId="0" applyNumberFormat="1" applyFont="1" applyFill="1" applyBorder="1" applyAlignment="1">
      <alignment horizontal="center" vertical="center" shrinkToFit="1"/>
    </xf>
    <xf numFmtId="14" fontId="3" fillId="2" borderId="53" xfId="0" applyNumberFormat="1" applyFont="1" applyFill="1" applyBorder="1" applyAlignment="1">
      <alignment horizontal="center" vertical="center" shrinkToFit="1"/>
    </xf>
    <xf numFmtId="0" fontId="3" fillId="2" borderId="64" xfId="0" applyFont="1" applyFill="1" applyBorder="1" applyAlignment="1">
      <alignment horizontal="center" vertical="center" shrinkToFit="1"/>
    </xf>
    <xf numFmtId="0" fontId="3" fillId="2" borderId="68" xfId="0" applyFont="1" applyFill="1" applyBorder="1" applyAlignment="1">
      <alignment horizontal="center" vertical="center" shrinkToFit="1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246529</xdr:colOff>
      <xdr:row>6</xdr:row>
      <xdr:rowOff>233082</xdr:rowOff>
    </xdr:from>
    <xdr:to>
      <xdr:col>43</xdr:col>
      <xdr:colOff>134470</xdr:colOff>
      <xdr:row>43</xdr:row>
      <xdr:rowOff>245817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5329" y="1362635"/>
          <a:ext cx="6001870" cy="9300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32" t="s">
        <v>0</v>
      </c>
      <c r="C2" s="133"/>
      <c r="D2" s="133"/>
      <c r="E2" s="133"/>
      <c r="F2" s="133"/>
      <c r="G2" s="133"/>
      <c r="H2" s="133" t="s">
        <v>17</v>
      </c>
      <c r="I2" s="133"/>
      <c r="J2" s="133"/>
      <c r="K2" s="133"/>
      <c r="L2" s="133" t="s">
        <v>154</v>
      </c>
      <c r="M2" s="133"/>
      <c r="N2" s="133"/>
      <c r="O2" s="133"/>
      <c r="P2" s="133"/>
      <c r="Q2" s="133"/>
      <c r="R2" s="133" t="s">
        <v>2</v>
      </c>
      <c r="S2" s="133"/>
      <c r="T2" s="133"/>
      <c r="U2" s="133"/>
      <c r="V2" s="133"/>
      <c r="W2" s="133"/>
      <c r="X2" s="134" t="s">
        <v>3</v>
      </c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6"/>
      <c r="AK2" s="134" t="s">
        <v>31</v>
      </c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6"/>
      <c r="AX2" s="133" t="s">
        <v>5</v>
      </c>
      <c r="AY2" s="133"/>
      <c r="AZ2" s="133"/>
      <c r="BA2" s="133"/>
      <c r="BB2" s="133" t="s">
        <v>4</v>
      </c>
      <c r="BC2" s="133"/>
      <c r="BD2" s="133"/>
      <c r="BE2" s="133"/>
      <c r="BF2" s="133" t="s">
        <v>6</v>
      </c>
      <c r="BG2" s="133"/>
      <c r="BH2" s="133"/>
      <c r="BI2" s="133"/>
      <c r="BJ2" s="133" t="s">
        <v>7</v>
      </c>
      <c r="BK2" s="133"/>
      <c r="BL2" s="133"/>
      <c r="BM2" s="147"/>
      <c r="BN2" s="14"/>
    </row>
    <row r="3" spans="1:66" ht="20.100000000000001" customHeight="1" x14ac:dyDescent="0.45">
      <c r="A3" s="8"/>
      <c r="B3" s="137" t="s">
        <v>153</v>
      </c>
      <c r="C3" s="138"/>
      <c r="D3" s="138"/>
      <c r="E3" s="138"/>
      <c r="F3" s="138"/>
      <c r="G3" s="138"/>
      <c r="H3" s="138" t="str">
        <f ca="1">LEFT($X$3,FIND("_",$X$3)-1)</f>
        <v>SS0700</v>
      </c>
      <c r="I3" s="138"/>
      <c r="J3" s="138"/>
      <c r="K3" s="138"/>
      <c r="L3" s="138" t="s">
        <v>157</v>
      </c>
      <c r="M3" s="138"/>
      <c r="N3" s="138"/>
      <c r="O3" s="138"/>
      <c r="P3" s="138"/>
      <c r="Q3" s="138"/>
      <c r="R3" s="141" t="str">
        <f ca="1">MID($X$3,FIND("_",$X$3,FIND("_",$X$3)+1)+1,LEN($X$3)-FIND("_",$X$3,FIND("_",$X$3)+1))</f>
        <v>インポート_帳票設計書</v>
      </c>
      <c r="S3" s="138"/>
      <c r="T3" s="138"/>
      <c r="U3" s="138"/>
      <c r="V3" s="138"/>
      <c r="W3" s="138"/>
      <c r="X3" s="142" t="str">
        <f ca="1">REPLACE(LEFT(CELL("filename",$B$2),FIND(".x",CELL("filename",$B$2))-1),1,FIND("[",CELL("filename",$B$2)),)</f>
        <v>SS0700_支払取込CSV_インポート_帳票設計書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39"/>
      <c r="AK3" s="142" t="str">
        <f ca="1">MID($X$3,FIND("_",$X$3)+1,FIND("_",$X$3,FIND("_",$X$3)+1)-FIND("_",$X$3)-1)</f>
        <v>支払取込CSV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39"/>
      <c r="AX3" s="149">
        <v>45575</v>
      </c>
      <c r="AY3" s="138"/>
      <c r="AZ3" s="138"/>
      <c r="BA3" s="138"/>
      <c r="BB3" s="138" t="s">
        <v>156</v>
      </c>
      <c r="BC3" s="138"/>
      <c r="BD3" s="138"/>
      <c r="BE3" s="138"/>
      <c r="BF3" s="149">
        <v>45575</v>
      </c>
      <c r="BG3" s="138"/>
      <c r="BH3" s="138"/>
      <c r="BI3" s="138"/>
      <c r="BJ3" s="138" t="s">
        <v>155</v>
      </c>
      <c r="BK3" s="138"/>
      <c r="BL3" s="138"/>
      <c r="BM3" s="150"/>
      <c r="BN3" s="14"/>
    </row>
    <row r="4" spans="1:66" ht="20.100000000000001" customHeight="1" thickBot="1" x14ac:dyDescent="0.5">
      <c r="A4" s="8"/>
      <c r="B4" s="139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4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6"/>
      <c r="AK4" s="144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6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2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48" t="s">
        <v>8</v>
      </c>
      <c r="D8" s="148"/>
      <c r="E8" s="148"/>
      <c r="F8" s="148"/>
      <c r="G8" s="148" t="s">
        <v>9</v>
      </c>
      <c r="H8" s="148"/>
      <c r="I8" s="148"/>
      <c r="J8" s="148"/>
      <c r="K8" s="148" t="s">
        <v>10</v>
      </c>
      <c r="L8" s="148"/>
      <c r="M8" s="148"/>
      <c r="N8" s="148"/>
      <c r="O8" s="148" t="s">
        <v>11</v>
      </c>
      <c r="P8" s="148"/>
      <c r="Q8" s="148"/>
      <c r="R8" s="148"/>
      <c r="S8" s="148"/>
      <c r="T8" s="148"/>
      <c r="U8" s="148"/>
      <c r="V8" s="148"/>
      <c r="W8" s="148"/>
      <c r="X8" s="148"/>
      <c r="Y8" s="148" t="s">
        <v>12</v>
      </c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7"/>
      <c r="BN8" s="14"/>
    </row>
    <row r="9" spans="1:66" ht="20.100000000000001" customHeight="1" x14ac:dyDescent="0.45">
      <c r="A9" s="8"/>
      <c r="B9" s="7"/>
      <c r="C9" s="151">
        <v>45575</v>
      </c>
      <c r="D9" s="152"/>
      <c r="E9" s="152"/>
      <c r="F9" s="153"/>
      <c r="G9" s="154" t="s">
        <v>16</v>
      </c>
      <c r="H9" s="155"/>
      <c r="I9" s="155"/>
      <c r="J9" s="156"/>
      <c r="K9" s="157" t="s">
        <v>155</v>
      </c>
      <c r="L9" s="152"/>
      <c r="M9" s="152"/>
      <c r="N9" s="153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51"/>
      <c r="D10" s="152"/>
      <c r="E10" s="152"/>
      <c r="F10" s="153"/>
      <c r="G10" s="154"/>
      <c r="H10" s="155"/>
      <c r="I10" s="155"/>
      <c r="J10" s="156"/>
      <c r="K10" s="157"/>
      <c r="L10" s="152"/>
      <c r="M10" s="152"/>
      <c r="N10" s="153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51"/>
      <c r="D11" s="152"/>
      <c r="E11" s="152"/>
      <c r="F11" s="153"/>
      <c r="G11" s="154"/>
      <c r="H11" s="155"/>
      <c r="I11" s="155"/>
      <c r="J11" s="156"/>
      <c r="K11" s="157"/>
      <c r="L11" s="152"/>
      <c r="M11" s="152"/>
      <c r="N11" s="15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51"/>
      <c r="D36" s="152"/>
      <c r="E36" s="152"/>
      <c r="F36" s="153"/>
      <c r="G36" s="154"/>
      <c r="H36" s="155"/>
      <c r="I36" s="155"/>
      <c r="J36" s="156"/>
      <c r="K36" s="157"/>
      <c r="L36" s="152"/>
      <c r="M36" s="152"/>
      <c r="N36" s="15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51"/>
      <c r="D37" s="152"/>
      <c r="E37" s="152"/>
      <c r="F37" s="153"/>
      <c r="G37" s="154"/>
      <c r="H37" s="155"/>
      <c r="I37" s="155"/>
      <c r="J37" s="156"/>
      <c r="K37" s="157"/>
      <c r="L37" s="152"/>
      <c r="M37" s="152"/>
      <c r="N37" s="15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51"/>
      <c r="D38" s="152"/>
      <c r="E38" s="152"/>
      <c r="F38" s="153"/>
      <c r="G38" s="154"/>
      <c r="H38" s="155"/>
      <c r="I38" s="155"/>
      <c r="J38" s="156"/>
      <c r="K38" s="157"/>
      <c r="L38" s="152"/>
      <c r="M38" s="152"/>
      <c r="N38" s="15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51"/>
      <c r="D39" s="152"/>
      <c r="E39" s="152"/>
      <c r="F39" s="153"/>
      <c r="G39" s="154"/>
      <c r="H39" s="155"/>
      <c r="I39" s="155"/>
      <c r="J39" s="156"/>
      <c r="K39" s="157"/>
      <c r="L39" s="152"/>
      <c r="M39" s="152"/>
      <c r="N39" s="15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51"/>
      <c r="D40" s="152"/>
      <c r="E40" s="152"/>
      <c r="F40" s="153"/>
      <c r="G40" s="154"/>
      <c r="H40" s="155"/>
      <c r="I40" s="155"/>
      <c r="J40" s="156"/>
      <c r="K40" s="157"/>
      <c r="L40" s="152"/>
      <c r="M40" s="152"/>
      <c r="N40" s="15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51"/>
      <c r="D41" s="152"/>
      <c r="E41" s="152"/>
      <c r="F41" s="153"/>
      <c r="G41" s="154"/>
      <c r="H41" s="155"/>
      <c r="I41" s="155"/>
      <c r="J41" s="156"/>
      <c r="K41" s="157"/>
      <c r="L41" s="152"/>
      <c r="M41" s="152"/>
      <c r="N41" s="15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51"/>
      <c r="D42" s="152"/>
      <c r="E42" s="152"/>
      <c r="F42" s="153"/>
      <c r="G42" s="154"/>
      <c r="H42" s="155"/>
      <c r="I42" s="155"/>
      <c r="J42" s="156"/>
      <c r="K42" s="157"/>
      <c r="L42" s="152"/>
      <c r="M42" s="152"/>
      <c r="N42" s="15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51"/>
      <c r="D43" s="152"/>
      <c r="E43" s="152"/>
      <c r="F43" s="153"/>
      <c r="G43" s="154"/>
      <c r="H43" s="155"/>
      <c r="I43" s="155"/>
      <c r="J43" s="156"/>
      <c r="K43" s="157"/>
      <c r="L43" s="152"/>
      <c r="M43" s="152"/>
      <c r="N43" s="15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51"/>
      <c r="D44" s="152"/>
      <c r="E44" s="152"/>
      <c r="F44" s="153"/>
      <c r="G44" s="154"/>
      <c r="H44" s="155"/>
      <c r="I44" s="155"/>
      <c r="J44" s="156"/>
      <c r="K44" s="157"/>
      <c r="L44" s="152"/>
      <c r="M44" s="152"/>
      <c r="N44" s="15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51"/>
      <c r="D45" s="152"/>
      <c r="E45" s="152"/>
      <c r="F45" s="153"/>
      <c r="G45" s="154"/>
      <c r="H45" s="155"/>
      <c r="I45" s="155"/>
      <c r="J45" s="156"/>
      <c r="K45" s="157"/>
      <c r="L45" s="152"/>
      <c r="M45" s="152"/>
      <c r="N45" s="15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51"/>
      <c r="D46" s="152"/>
      <c r="E46" s="152"/>
      <c r="F46" s="153"/>
      <c r="G46" s="154"/>
      <c r="H46" s="155"/>
      <c r="I46" s="155"/>
      <c r="J46" s="156"/>
      <c r="K46" s="157"/>
      <c r="L46" s="152"/>
      <c r="M46" s="152"/>
      <c r="N46" s="15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51"/>
      <c r="D47" s="152"/>
      <c r="E47" s="152"/>
      <c r="F47" s="153"/>
      <c r="G47" s="154"/>
      <c r="H47" s="155"/>
      <c r="I47" s="155"/>
      <c r="J47" s="156"/>
      <c r="K47" s="157"/>
      <c r="L47" s="152"/>
      <c r="M47" s="152"/>
      <c r="N47" s="15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>
      <selection activeCell="B3" sqref="B3:G4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32" t="s">
        <v>0</v>
      </c>
      <c r="C2" s="133"/>
      <c r="D2" s="133"/>
      <c r="E2" s="133"/>
      <c r="F2" s="133"/>
      <c r="G2" s="133"/>
      <c r="H2" s="133" t="s">
        <v>17</v>
      </c>
      <c r="I2" s="133"/>
      <c r="J2" s="133"/>
      <c r="K2" s="133"/>
      <c r="L2" s="133" t="s">
        <v>154</v>
      </c>
      <c r="M2" s="133"/>
      <c r="N2" s="133"/>
      <c r="O2" s="133"/>
      <c r="P2" s="133"/>
      <c r="Q2" s="133"/>
      <c r="R2" s="133" t="s">
        <v>2</v>
      </c>
      <c r="S2" s="133"/>
      <c r="T2" s="133"/>
      <c r="U2" s="133"/>
      <c r="V2" s="133"/>
      <c r="W2" s="133"/>
      <c r="X2" s="134" t="s">
        <v>3</v>
      </c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6"/>
      <c r="AK2" s="134" t="s">
        <v>32</v>
      </c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6"/>
      <c r="AX2" s="133" t="s">
        <v>5</v>
      </c>
      <c r="AY2" s="133"/>
      <c r="AZ2" s="133"/>
      <c r="BA2" s="133"/>
      <c r="BB2" s="133" t="s">
        <v>4</v>
      </c>
      <c r="BC2" s="133"/>
      <c r="BD2" s="133"/>
      <c r="BE2" s="133"/>
      <c r="BF2" s="133" t="s">
        <v>6</v>
      </c>
      <c r="BG2" s="133"/>
      <c r="BH2" s="133"/>
      <c r="BI2" s="133"/>
      <c r="BJ2" s="133" t="s">
        <v>7</v>
      </c>
      <c r="BK2" s="133"/>
      <c r="BL2" s="133"/>
      <c r="BM2" s="147"/>
      <c r="BN2" s="35"/>
    </row>
    <row r="3" spans="1:66" ht="20.100000000000001" customHeight="1" x14ac:dyDescent="0.45">
      <c r="A3" s="32"/>
      <c r="B3" s="137" t="str">
        <f>変更履歴!B3</f>
        <v>受発注システム</v>
      </c>
      <c r="C3" s="138"/>
      <c r="D3" s="138"/>
      <c r="E3" s="138"/>
      <c r="F3" s="138"/>
      <c r="G3" s="138"/>
      <c r="H3" s="138" t="str">
        <f ca="1">変更履歴!H3</f>
        <v>SS0700</v>
      </c>
      <c r="I3" s="138"/>
      <c r="J3" s="138"/>
      <c r="K3" s="138"/>
      <c r="L3" s="138" t="str">
        <f>変更履歴!L3</f>
        <v>受発注</v>
      </c>
      <c r="M3" s="138"/>
      <c r="N3" s="138"/>
      <c r="O3" s="138"/>
      <c r="P3" s="138"/>
      <c r="Q3" s="138"/>
      <c r="R3" s="138" t="str">
        <f ca="1">変更履歴!R3</f>
        <v>インポート_帳票設計書</v>
      </c>
      <c r="S3" s="138"/>
      <c r="T3" s="138"/>
      <c r="U3" s="138"/>
      <c r="V3" s="138"/>
      <c r="W3" s="138"/>
      <c r="X3" s="142" t="str">
        <f ca="1">変更履歴!X3</f>
        <v>SS0700_支払取込CSV_インポート_帳票設計書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39"/>
      <c r="AK3" s="142" t="str">
        <f ca="1">変更履歴!AK3</f>
        <v>支払取込CSV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39"/>
      <c r="AX3" s="149">
        <f>変更履歴!AX3</f>
        <v>45575</v>
      </c>
      <c r="AY3" s="149"/>
      <c r="AZ3" s="149"/>
      <c r="BA3" s="149"/>
      <c r="BB3" s="138" t="str">
        <f>変更履歴!BB3</f>
        <v>大谷</v>
      </c>
      <c r="BC3" s="138"/>
      <c r="BD3" s="138"/>
      <c r="BE3" s="138"/>
      <c r="BF3" s="149">
        <f>変更履歴!BF3</f>
        <v>45575</v>
      </c>
      <c r="BG3" s="149"/>
      <c r="BH3" s="149"/>
      <c r="BI3" s="149"/>
      <c r="BJ3" s="138" t="str">
        <f>変更履歴!BJ3</f>
        <v>大谷</v>
      </c>
      <c r="BK3" s="138"/>
      <c r="BL3" s="138"/>
      <c r="BM3" s="150"/>
      <c r="BN3" s="35"/>
    </row>
    <row r="4" spans="1:66" ht="20.100000000000001" customHeight="1" thickBot="1" x14ac:dyDescent="0.5">
      <c r="A4" s="32"/>
      <c r="B4" s="139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4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6"/>
      <c r="AK4" s="144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6"/>
      <c r="AX4" s="158"/>
      <c r="AY4" s="158"/>
      <c r="AZ4" s="158"/>
      <c r="BA4" s="158"/>
      <c r="BB4" s="140"/>
      <c r="BC4" s="140"/>
      <c r="BD4" s="140"/>
      <c r="BE4" s="140"/>
      <c r="BF4" s="158"/>
      <c r="BG4" s="158"/>
      <c r="BH4" s="158"/>
      <c r="BI4" s="158"/>
      <c r="BJ4" s="140"/>
      <c r="BK4" s="140"/>
      <c r="BL4" s="140"/>
      <c r="BM4" s="142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支払取込CSV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62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61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61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103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100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101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102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/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32" t="s">
        <v>0</v>
      </c>
      <c r="C2" s="133"/>
      <c r="D2" s="133"/>
      <c r="E2" s="133"/>
      <c r="F2" s="133"/>
      <c r="G2" s="133"/>
      <c r="H2" s="133" t="s">
        <v>17</v>
      </c>
      <c r="I2" s="133"/>
      <c r="J2" s="133"/>
      <c r="K2" s="133"/>
      <c r="L2" s="133" t="s">
        <v>154</v>
      </c>
      <c r="M2" s="133"/>
      <c r="N2" s="133"/>
      <c r="O2" s="133"/>
      <c r="P2" s="133"/>
      <c r="Q2" s="133"/>
      <c r="R2" s="133" t="s">
        <v>2</v>
      </c>
      <c r="S2" s="133"/>
      <c r="T2" s="133"/>
      <c r="U2" s="133"/>
      <c r="V2" s="133"/>
      <c r="W2" s="133"/>
      <c r="X2" s="134" t="s">
        <v>3</v>
      </c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6"/>
      <c r="AK2" s="134" t="s">
        <v>32</v>
      </c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6"/>
      <c r="AX2" s="133" t="s">
        <v>5</v>
      </c>
      <c r="AY2" s="133"/>
      <c r="AZ2" s="133"/>
      <c r="BA2" s="133"/>
      <c r="BB2" s="133" t="s">
        <v>4</v>
      </c>
      <c r="BC2" s="133"/>
      <c r="BD2" s="133"/>
      <c r="BE2" s="133"/>
      <c r="BF2" s="133" t="s">
        <v>6</v>
      </c>
      <c r="BG2" s="133"/>
      <c r="BH2" s="133"/>
      <c r="BI2" s="133"/>
      <c r="BJ2" s="133" t="s">
        <v>7</v>
      </c>
      <c r="BK2" s="133"/>
      <c r="BL2" s="133"/>
      <c r="BM2" s="147"/>
      <c r="BN2" s="15"/>
    </row>
    <row r="3" spans="1:66" ht="20.100000000000001" customHeight="1" x14ac:dyDescent="0.45">
      <c r="A3" s="9"/>
      <c r="B3" s="137" t="str">
        <f>変更履歴!B3</f>
        <v>受発注システム</v>
      </c>
      <c r="C3" s="138"/>
      <c r="D3" s="138"/>
      <c r="E3" s="138"/>
      <c r="F3" s="138"/>
      <c r="G3" s="138"/>
      <c r="H3" s="138" t="str">
        <f ca="1">変更履歴!H3</f>
        <v>SS0700</v>
      </c>
      <c r="I3" s="138"/>
      <c r="J3" s="138"/>
      <c r="K3" s="138"/>
      <c r="L3" s="138" t="str">
        <f>変更履歴!L3</f>
        <v>受発注</v>
      </c>
      <c r="M3" s="138"/>
      <c r="N3" s="138"/>
      <c r="O3" s="138"/>
      <c r="P3" s="138"/>
      <c r="Q3" s="138"/>
      <c r="R3" s="138" t="str">
        <f ca="1">変更履歴!R3</f>
        <v>インポート_帳票設計書</v>
      </c>
      <c r="S3" s="138"/>
      <c r="T3" s="138"/>
      <c r="U3" s="138"/>
      <c r="V3" s="138"/>
      <c r="W3" s="138"/>
      <c r="X3" s="142" t="str">
        <f ca="1">変更履歴!X3</f>
        <v>SS0700_支払取込CSV_インポート_帳票設計書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39"/>
      <c r="AK3" s="142" t="str">
        <f ca="1">変更履歴!AK3</f>
        <v>支払取込CSV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39"/>
      <c r="AX3" s="149">
        <f>変更履歴!AX3</f>
        <v>45575</v>
      </c>
      <c r="AY3" s="149"/>
      <c r="AZ3" s="149"/>
      <c r="BA3" s="149"/>
      <c r="BB3" s="138" t="str">
        <f>変更履歴!BB3</f>
        <v>大谷</v>
      </c>
      <c r="BC3" s="138"/>
      <c r="BD3" s="138"/>
      <c r="BE3" s="138"/>
      <c r="BF3" s="149">
        <f>変更履歴!BF3</f>
        <v>45575</v>
      </c>
      <c r="BG3" s="149"/>
      <c r="BH3" s="149"/>
      <c r="BI3" s="149"/>
      <c r="BJ3" s="138" t="str">
        <f>変更履歴!BJ3</f>
        <v>大谷</v>
      </c>
      <c r="BK3" s="138"/>
      <c r="BL3" s="138"/>
      <c r="BM3" s="150"/>
      <c r="BN3" s="15"/>
    </row>
    <row r="4" spans="1:66" ht="20.100000000000001" customHeight="1" thickBot="1" x14ac:dyDescent="0.5">
      <c r="A4" s="9"/>
      <c r="B4" s="139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4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6"/>
      <c r="AK4" s="144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6"/>
      <c r="AX4" s="158"/>
      <c r="AY4" s="158"/>
      <c r="AZ4" s="158"/>
      <c r="BA4" s="158"/>
      <c r="BB4" s="140"/>
      <c r="BC4" s="140"/>
      <c r="BD4" s="140"/>
      <c r="BE4" s="140"/>
      <c r="BF4" s="158"/>
      <c r="BG4" s="158"/>
      <c r="BH4" s="158"/>
      <c r="BI4" s="158"/>
      <c r="BJ4" s="140"/>
      <c r="BK4" s="140"/>
      <c r="BL4" s="140"/>
      <c r="BM4" s="142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M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1" width="3.69921875" style="6" customWidth="1"/>
    <col min="72" max="72" width="3.59765625" style="6" customWidth="1"/>
    <col min="73" max="16384" width="3.59765625" style="6"/>
  </cols>
  <sheetData>
    <row r="1" spans="1:91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34"/>
      <c r="W1" s="34"/>
      <c r="X1" s="34"/>
      <c r="Y1" s="34"/>
      <c r="Z1" s="34"/>
      <c r="AA1" s="34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</row>
    <row r="2" spans="1:91" ht="20.100000000000001" customHeight="1" thickTop="1" x14ac:dyDescent="0.45">
      <c r="A2" s="9"/>
      <c r="B2" s="132" t="s">
        <v>0</v>
      </c>
      <c r="C2" s="133"/>
      <c r="D2" s="133"/>
      <c r="E2" s="133"/>
      <c r="F2" s="133"/>
      <c r="G2" s="133"/>
      <c r="H2" s="133" t="s">
        <v>17</v>
      </c>
      <c r="I2" s="133"/>
      <c r="J2" s="133"/>
      <c r="K2" s="133"/>
      <c r="L2" s="133" t="s">
        <v>154</v>
      </c>
      <c r="M2" s="133"/>
      <c r="N2" s="133"/>
      <c r="O2" s="133"/>
      <c r="P2" s="133"/>
      <c r="Q2" s="133"/>
      <c r="R2" s="133" t="s">
        <v>2</v>
      </c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4" t="s">
        <v>3</v>
      </c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6"/>
      <c r="AQ2" s="134" t="s">
        <v>32</v>
      </c>
      <c r="AR2" s="135"/>
      <c r="AS2" s="135"/>
      <c r="AT2" s="135"/>
      <c r="AU2" s="135"/>
      <c r="AV2" s="135"/>
      <c r="AW2" s="135"/>
      <c r="AX2" s="135"/>
      <c r="AY2" s="135"/>
      <c r="AZ2" s="135"/>
      <c r="BA2" s="135"/>
      <c r="BB2" s="135"/>
      <c r="BC2" s="136"/>
      <c r="BD2" s="133" t="s">
        <v>5</v>
      </c>
      <c r="BE2" s="133"/>
      <c r="BF2" s="133"/>
      <c r="BG2" s="133"/>
      <c r="BH2" s="133" t="s">
        <v>4</v>
      </c>
      <c r="BI2" s="133"/>
      <c r="BJ2" s="133"/>
      <c r="BK2" s="133"/>
      <c r="BL2" s="133" t="s">
        <v>6</v>
      </c>
      <c r="BM2" s="133"/>
      <c r="BN2" s="133"/>
      <c r="BO2" s="133"/>
      <c r="BP2" s="133" t="s">
        <v>7</v>
      </c>
      <c r="BQ2" s="133"/>
      <c r="BR2" s="133"/>
      <c r="BS2" s="147"/>
      <c r="BT2" s="15"/>
    </row>
    <row r="3" spans="1:91" ht="20.100000000000001" customHeight="1" x14ac:dyDescent="0.45">
      <c r="A3" s="9"/>
      <c r="B3" s="137" t="str">
        <f>変更履歴!B3</f>
        <v>受発注システム</v>
      </c>
      <c r="C3" s="138"/>
      <c r="D3" s="138"/>
      <c r="E3" s="138"/>
      <c r="F3" s="138"/>
      <c r="G3" s="138"/>
      <c r="H3" s="138" t="str">
        <f ca="1">変更履歴!H3</f>
        <v>SS0700</v>
      </c>
      <c r="I3" s="138"/>
      <c r="J3" s="138"/>
      <c r="K3" s="138"/>
      <c r="L3" s="138" t="str">
        <f>変更履歴!L3</f>
        <v>受発注</v>
      </c>
      <c r="M3" s="138"/>
      <c r="N3" s="138"/>
      <c r="O3" s="138"/>
      <c r="P3" s="138"/>
      <c r="Q3" s="138"/>
      <c r="R3" s="138" t="str">
        <f ca="1">変更履歴!R3</f>
        <v>インポート_帳票設計書</v>
      </c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42" t="str">
        <f ca="1">変更履歴!X3</f>
        <v>SS0700_支払取込CSV_インポート_帳票設計書</v>
      </c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39"/>
      <c r="AQ3" s="142" t="str">
        <f ca="1">変更履歴!AK3</f>
        <v>支払取込CSV</v>
      </c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39"/>
      <c r="BD3" s="149">
        <f>変更履歴!AX3</f>
        <v>45575</v>
      </c>
      <c r="BE3" s="149"/>
      <c r="BF3" s="149"/>
      <c r="BG3" s="149"/>
      <c r="BH3" s="138" t="str">
        <f>変更履歴!BB3</f>
        <v>大谷</v>
      </c>
      <c r="BI3" s="138"/>
      <c r="BJ3" s="138"/>
      <c r="BK3" s="138"/>
      <c r="BL3" s="149">
        <f>変更履歴!BF3</f>
        <v>45575</v>
      </c>
      <c r="BM3" s="149"/>
      <c r="BN3" s="149"/>
      <c r="BO3" s="149"/>
      <c r="BP3" s="138" t="str">
        <f>変更履歴!BJ3</f>
        <v>大谷</v>
      </c>
      <c r="BQ3" s="138"/>
      <c r="BR3" s="138"/>
      <c r="BS3" s="150"/>
      <c r="BT3" s="15"/>
    </row>
    <row r="4" spans="1:91" ht="20.100000000000001" customHeight="1" thickBot="1" x14ac:dyDescent="0.5">
      <c r="A4" s="9"/>
      <c r="B4" s="139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4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6"/>
      <c r="AQ4" s="144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6"/>
      <c r="BD4" s="158"/>
      <c r="BE4" s="158"/>
      <c r="BF4" s="158"/>
      <c r="BG4" s="158"/>
      <c r="BH4" s="140"/>
      <c r="BI4" s="140"/>
      <c r="BJ4" s="140"/>
      <c r="BK4" s="140"/>
      <c r="BL4" s="158"/>
      <c r="BM4" s="158"/>
      <c r="BN4" s="158"/>
      <c r="BO4" s="158"/>
      <c r="BP4" s="140"/>
      <c r="BQ4" s="140"/>
      <c r="BR4" s="140"/>
      <c r="BS4" s="142"/>
      <c r="BT4" s="15"/>
    </row>
    <row r="5" spans="1:91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33"/>
      <c r="W5" s="33"/>
      <c r="X5" s="33"/>
      <c r="Y5" s="33"/>
      <c r="Z5" s="33"/>
      <c r="AA5" s="33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</row>
    <row r="6" spans="1:91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s="29"/>
      <c r="W6" s="29"/>
      <c r="X6" s="29"/>
      <c r="Y6" s="29"/>
      <c r="Z6" s="29"/>
      <c r="AA6" s="29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</row>
    <row r="7" spans="1:91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</row>
    <row r="8" spans="1:91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72"/>
    </row>
    <row r="9" spans="1:91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29"/>
      <c r="BA9" s="29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31"/>
      <c r="BV9" s="31"/>
      <c r="BW9" s="31"/>
      <c r="BX9" s="31"/>
      <c r="BY9" s="31"/>
      <c r="BZ9" s="31"/>
      <c r="CA9" s="32"/>
    </row>
    <row r="10" spans="1:91" s="5" customFormat="1" ht="18.600000000000001" customHeight="1" thickTop="1" x14ac:dyDescent="0.45">
      <c r="A10" s="30"/>
      <c r="B10" s="44"/>
      <c r="C10" s="32"/>
      <c r="D10" s="38" t="s">
        <v>19</v>
      </c>
      <c r="E10" s="176" t="s">
        <v>20</v>
      </c>
      <c r="F10" s="177"/>
      <c r="G10" s="177"/>
      <c r="H10" s="177"/>
      <c r="I10" s="177"/>
      <c r="J10" s="177"/>
      <c r="K10" s="177"/>
      <c r="L10" s="178"/>
      <c r="M10" s="162" t="s">
        <v>24</v>
      </c>
      <c r="N10" s="163"/>
      <c r="O10" s="163"/>
      <c r="P10" s="162" t="s">
        <v>33</v>
      </c>
      <c r="Q10" s="163"/>
      <c r="R10" s="163"/>
      <c r="S10" s="162" t="s">
        <v>34</v>
      </c>
      <c r="T10" s="163"/>
      <c r="U10" s="163"/>
      <c r="V10" s="162" t="s">
        <v>36</v>
      </c>
      <c r="W10" s="163"/>
      <c r="X10" s="163"/>
      <c r="Y10" s="163"/>
      <c r="Z10" s="163"/>
      <c r="AA10" s="164"/>
      <c r="AB10" s="162" t="s">
        <v>35</v>
      </c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  <c r="AV10" s="163"/>
      <c r="AW10" s="164"/>
      <c r="AX10" s="162" t="s">
        <v>42</v>
      </c>
      <c r="AY10" s="163"/>
      <c r="AZ10" s="163"/>
      <c r="BA10" s="163"/>
      <c r="BB10" s="163"/>
      <c r="BC10" s="164"/>
      <c r="BD10" s="162" t="s">
        <v>43</v>
      </c>
      <c r="BE10" s="163"/>
      <c r="BF10" s="163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163"/>
      <c r="BV10" s="163"/>
      <c r="BW10" s="163"/>
      <c r="BX10" s="163"/>
      <c r="BY10" s="163"/>
      <c r="BZ10" s="171"/>
      <c r="CA10" s="41"/>
      <c r="CB10" s="40"/>
      <c r="CC10" s="41"/>
      <c r="CD10" s="41"/>
      <c r="CE10" s="41"/>
      <c r="CF10" s="41"/>
      <c r="CG10" s="41"/>
      <c r="CH10" s="30"/>
      <c r="CI10" s="30"/>
      <c r="CJ10" s="30"/>
      <c r="CK10" s="30"/>
      <c r="CL10" s="30"/>
      <c r="CM10" s="30"/>
    </row>
    <row r="11" spans="1:91" s="5" customFormat="1" ht="18.600000000000001" customHeight="1" x14ac:dyDescent="0.45">
      <c r="A11" s="30"/>
      <c r="B11" s="44"/>
      <c r="C11" s="32"/>
      <c r="D11" s="37">
        <v>1</v>
      </c>
      <c r="E11" s="173" t="s">
        <v>54</v>
      </c>
      <c r="F11" s="174"/>
      <c r="G11" s="174"/>
      <c r="H11" s="174"/>
      <c r="I11" s="174"/>
      <c r="J11" s="174"/>
      <c r="K11" s="174"/>
      <c r="L11" s="175"/>
      <c r="M11" s="157" t="s">
        <v>38</v>
      </c>
      <c r="N11" s="152"/>
      <c r="O11" s="152"/>
      <c r="P11" s="157" t="s">
        <v>56</v>
      </c>
      <c r="Q11" s="152"/>
      <c r="R11" s="152"/>
      <c r="S11" s="157" t="s">
        <v>57</v>
      </c>
      <c r="T11" s="152"/>
      <c r="U11" s="152"/>
      <c r="V11" s="168" t="s">
        <v>60</v>
      </c>
      <c r="W11" s="169"/>
      <c r="X11" s="169"/>
      <c r="Y11" s="169"/>
      <c r="Z11" s="169"/>
      <c r="AA11" s="172"/>
      <c r="AB11" s="157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3"/>
      <c r="AX11" s="157"/>
      <c r="AY11" s="152"/>
      <c r="AZ11" s="152"/>
      <c r="BA11" s="152"/>
      <c r="BB11" s="152"/>
      <c r="BC11" s="153"/>
      <c r="BD11" s="168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70"/>
      <c r="CA11" s="41"/>
      <c r="CB11" s="40"/>
      <c r="CC11" s="41"/>
      <c r="CD11" s="41"/>
      <c r="CE11" s="41"/>
      <c r="CF11" s="41"/>
      <c r="CG11" s="41"/>
      <c r="CH11" s="30"/>
      <c r="CI11" s="30"/>
      <c r="CJ11" s="30"/>
      <c r="CK11" s="30"/>
      <c r="CL11" s="30"/>
      <c r="CM11" s="30"/>
    </row>
    <row r="12" spans="1:91" s="5" customFormat="1" ht="18.600000000000001" customHeight="1" x14ac:dyDescent="0.45">
      <c r="A12" s="30"/>
      <c r="B12" s="44"/>
      <c r="C12" s="32"/>
      <c r="D12" s="37">
        <v>2</v>
      </c>
      <c r="E12" s="173" t="s">
        <v>53</v>
      </c>
      <c r="F12" s="174"/>
      <c r="G12" s="174"/>
      <c r="H12" s="174"/>
      <c r="I12" s="174"/>
      <c r="J12" s="174"/>
      <c r="K12" s="174"/>
      <c r="L12" s="175"/>
      <c r="M12" s="157" t="s">
        <v>8</v>
      </c>
      <c r="N12" s="152"/>
      <c r="O12" s="152"/>
      <c r="P12" s="157" t="s">
        <v>56</v>
      </c>
      <c r="Q12" s="152"/>
      <c r="R12" s="152"/>
      <c r="S12" s="157" t="s">
        <v>57</v>
      </c>
      <c r="T12" s="152"/>
      <c r="U12" s="152"/>
      <c r="V12" s="168" t="s">
        <v>58</v>
      </c>
      <c r="W12" s="169"/>
      <c r="X12" s="169"/>
      <c r="Y12" s="169"/>
      <c r="Z12" s="169"/>
      <c r="AA12" s="172"/>
      <c r="AB12" s="157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3"/>
      <c r="AX12" s="157"/>
      <c r="AY12" s="152"/>
      <c r="AZ12" s="152"/>
      <c r="BA12" s="152"/>
      <c r="BB12" s="152"/>
      <c r="BC12" s="153"/>
      <c r="BD12" s="168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70"/>
      <c r="CA12" s="41"/>
      <c r="CB12" s="40"/>
      <c r="CC12" s="41"/>
      <c r="CD12" s="41"/>
      <c r="CE12" s="41"/>
      <c r="CF12" s="41"/>
      <c r="CG12" s="41"/>
      <c r="CH12" s="30"/>
      <c r="CI12" s="30"/>
      <c r="CJ12" s="30"/>
      <c r="CK12" s="30"/>
      <c r="CL12" s="30"/>
      <c r="CM12" s="30"/>
    </row>
    <row r="13" spans="1:91" s="5" customFormat="1" ht="20.100000000000001" customHeight="1" x14ac:dyDescent="0.45">
      <c r="A13" s="30"/>
      <c r="B13" s="44"/>
      <c r="C13" s="32"/>
      <c r="D13" s="37">
        <v>3</v>
      </c>
      <c r="E13" s="173" t="s">
        <v>55</v>
      </c>
      <c r="F13" s="174"/>
      <c r="G13" s="174"/>
      <c r="H13" s="174"/>
      <c r="I13" s="174"/>
      <c r="J13" s="174"/>
      <c r="K13" s="174"/>
      <c r="L13" s="175"/>
      <c r="M13" s="157" t="s">
        <v>47</v>
      </c>
      <c r="N13" s="152"/>
      <c r="O13" s="152"/>
      <c r="P13" s="157" t="s">
        <v>56</v>
      </c>
      <c r="Q13" s="152"/>
      <c r="R13" s="152"/>
      <c r="S13" s="157" t="s">
        <v>57</v>
      </c>
      <c r="T13" s="152"/>
      <c r="U13" s="152"/>
      <c r="V13" s="168" t="s">
        <v>59</v>
      </c>
      <c r="W13" s="169"/>
      <c r="X13" s="169"/>
      <c r="Y13" s="169"/>
      <c r="Z13" s="169"/>
      <c r="AA13" s="172"/>
      <c r="AB13" s="157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3"/>
      <c r="AX13" s="157"/>
      <c r="AY13" s="152"/>
      <c r="AZ13" s="152"/>
      <c r="BA13" s="152"/>
      <c r="BB13" s="152"/>
      <c r="BC13" s="153"/>
      <c r="BD13" s="168"/>
      <c r="BE13" s="169"/>
      <c r="BF13" s="169"/>
      <c r="BG13" s="169"/>
      <c r="BH13" s="169"/>
      <c r="BI13" s="169"/>
      <c r="BJ13" s="169"/>
      <c r="BK13" s="169"/>
      <c r="BL13" s="169"/>
      <c r="BM13" s="169"/>
      <c r="BN13" s="169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70"/>
      <c r="CA13" s="41"/>
      <c r="CB13" s="40"/>
      <c r="CC13" s="41"/>
      <c r="CD13" s="41"/>
      <c r="CE13" s="41"/>
      <c r="CF13" s="41"/>
      <c r="CG13" s="41"/>
      <c r="CH13" s="30"/>
      <c r="CI13" s="30"/>
      <c r="CJ13" s="30"/>
      <c r="CK13" s="30"/>
      <c r="CL13" s="30"/>
      <c r="CM13" s="30"/>
    </row>
    <row r="14" spans="1:91" s="5" customFormat="1" ht="20.100000000000001" customHeight="1" x14ac:dyDescent="0.45">
      <c r="A14" s="30"/>
      <c r="B14" s="44"/>
      <c r="C14" s="32"/>
      <c r="D14" s="37">
        <v>4</v>
      </c>
      <c r="E14" s="173"/>
      <c r="F14" s="174"/>
      <c r="G14" s="174"/>
      <c r="H14" s="174"/>
      <c r="I14" s="174"/>
      <c r="J14" s="174"/>
      <c r="K14" s="174"/>
      <c r="L14" s="175"/>
      <c r="M14" s="157"/>
      <c r="N14" s="152"/>
      <c r="O14" s="152"/>
      <c r="P14" s="157"/>
      <c r="Q14" s="152"/>
      <c r="R14" s="152"/>
      <c r="S14" s="157"/>
      <c r="T14" s="152"/>
      <c r="U14" s="152"/>
      <c r="V14" s="168"/>
      <c r="W14" s="169"/>
      <c r="X14" s="169"/>
      <c r="Y14" s="169"/>
      <c r="Z14" s="169"/>
      <c r="AA14" s="172"/>
      <c r="AB14" s="157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3"/>
      <c r="AX14" s="157"/>
      <c r="AY14" s="152"/>
      <c r="AZ14" s="152"/>
      <c r="BA14" s="152"/>
      <c r="BB14" s="152"/>
      <c r="BC14" s="153"/>
      <c r="BD14" s="168"/>
      <c r="BE14" s="169"/>
      <c r="BF14" s="169"/>
      <c r="BG14" s="169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70"/>
      <c r="CA14" s="41"/>
      <c r="CB14" s="40"/>
      <c r="CC14" s="41"/>
      <c r="CD14" s="41"/>
      <c r="CE14" s="41"/>
      <c r="CF14" s="41"/>
      <c r="CG14" s="41"/>
      <c r="CH14" s="30"/>
      <c r="CI14" s="30"/>
      <c r="CJ14" s="30"/>
      <c r="CK14" s="30"/>
      <c r="CL14" s="30"/>
      <c r="CM14" s="30"/>
    </row>
    <row r="15" spans="1:91" s="5" customFormat="1" ht="20.100000000000001" customHeight="1" x14ac:dyDescent="0.45">
      <c r="A15" s="30"/>
      <c r="B15" s="44"/>
      <c r="C15" s="36"/>
      <c r="D15" s="37">
        <v>5</v>
      </c>
      <c r="E15" s="173"/>
      <c r="F15" s="174"/>
      <c r="G15" s="174"/>
      <c r="H15" s="174"/>
      <c r="I15" s="174"/>
      <c r="J15" s="174"/>
      <c r="K15" s="174"/>
      <c r="L15" s="175"/>
      <c r="M15" s="157"/>
      <c r="N15" s="152"/>
      <c r="O15" s="152"/>
      <c r="P15" s="157"/>
      <c r="Q15" s="152"/>
      <c r="R15" s="152"/>
      <c r="S15" s="157"/>
      <c r="T15" s="152"/>
      <c r="U15" s="152"/>
      <c r="V15" s="168"/>
      <c r="W15" s="169"/>
      <c r="X15" s="169"/>
      <c r="Y15" s="169"/>
      <c r="Z15" s="169"/>
      <c r="AA15" s="172"/>
      <c r="AB15" s="157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3"/>
      <c r="AX15" s="157"/>
      <c r="AY15" s="152"/>
      <c r="AZ15" s="152"/>
      <c r="BA15" s="152"/>
      <c r="BB15" s="152"/>
      <c r="BC15" s="153"/>
      <c r="BD15" s="168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70"/>
      <c r="CA15" s="41"/>
      <c r="CB15" s="40"/>
      <c r="CC15" s="41"/>
      <c r="CD15" s="41"/>
      <c r="CE15" s="41"/>
      <c r="CF15" s="41"/>
      <c r="CG15" s="41"/>
      <c r="CH15" s="41"/>
      <c r="CI15" s="30"/>
      <c r="CJ15" s="30"/>
      <c r="CK15" s="30"/>
      <c r="CL15" s="30"/>
      <c r="CM15" s="30"/>
    </row>
    <row r="16" spans="1:91" s="5" customFormat="1" ht="20.100000000000001" customHeight="1" x14ac:dyDescent="0.45">
      <c r="A16" s="30"/>
      <c r="B16" s="44"/>
      <c r="C16" s="36"/>
      <c r="D16" s="37">
        <v>6</v>
      </c>
      <c r="E16" s="173"/>
      <c r="F16" s="174"/>
      <c r="G16" s="174"/>
      <c r="H16" s="174"/>
      <c r="I16" s="174"/>
      <c r="J16" s="174"/>
      <c r="K16" s="174"/>
      <c r="L16" s="175"/>
      <c r="M16" s="157"/>
      <c r="N16" s="152"/>
      <c r="O16" s="152"/>
      <c r="P16" s="157"/>
      <c r="Q16" s="152"/>
      <c r="R16" s="152"/>
      <c r="S16" s="157"/>
      <c r="T16" s="152"/>
      <c r="U16" s="152"/>
      <c r="V16" s="168"/>
      <c r="W16" s="169"/>
      <c r="X16" s="169"/>
      <c r="Y16" s="169"/>
      <c r="Z16" s="169"/>
      <c r="AA16" s="172"/>
      <c r="AB16" s="157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3"/>
      <c r="AX16" s="157"/>
      <c r="AY16" s="152"/>
      <c r="AZ16" s="152"/>
      <c r="BA16" s="152"/>
      <c r="BB16" s="152"/>
      <c r="BC16" s="153"/>
      <c r="BD16" s="168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70"/>
      <c r="CA16" s="41"/>
      <c r="CB16" s="40"/>
      <c r="CC16" s="41"/>
      <c r="CD16" s="41"/>
      <c r="CE16" s="41"/>
      <c r="CF16" s="41"/>
      <c r="CG16" s="41"/>
      <c r="CH16" s="41"/>
      <c r="CI16" s="30"/>
      <c r="CJ16" s="30"/>
      <c r="CK16" s="30"/>
      <c r="CL16" s="30"/>
      <c r="CM16" s="30"/>
    </row>
    <row r="17" spans="1:91" s="5" customFormat="1" ht="20.100000000000001" customHeight="1" x14ac:dyDescent="0.45">
      <c r="A17" s="30"/>
      <c r="B17" s="44"/>
      <c r="C17" s="36"/>
      <c r="D17" s="37">
        <v>7</v>
      </c>
      <c r="E17" s="173"/>
      <c r="F17" s="174"/>
      <c r="G17" s="174"/>
      <c r="H17" s="174"/>
      <c r="I17" s="174"/>
      <c r="J17" s="174"/>
      <c r="K17" s="174"/>
      <c r="L17" s="175"/>
      <c r="M17" s="157"/>
      <c r="N17" s="152"/>
      <c r="O17" s="152"/>
      <c r="P17" s="157"/>
      <c r="Q17" s="152"/>
      <c r="R17" s="152"/>
      <c r="S17" s="157"/>
      <c r="T17" s="152"/>
      <c r="U17" s="152"/>
      <c r="V17" s="168"/>
      <c r="W17" s="169"/>
      <c r="X17" s="169"/>
      <c r="Y17" s="169"/>
      <c r="Z17" s="169"/>
      <c r="AA17" s="172"/>
      <c r="AB17" s="157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3"/>
      <c r="AX17" s="157"/>
      <c r="AY17" s="152"/>
      <c r="AZ17" s="152"/>
      <c r="BA17" s="152"/>
      <c r="BB17" s="152"/>
      <c r="BC17" s="153"/>
      <c r="BD17" s="168"/>
      <c r="BE17" s="169"/>
      <c r="BF17" s="169"/>
      <c r="BG17" s="169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70"/>
      <c r="CA17" s="41"/>
      <c r="CB17" s="40"/>
      <c r="CC17" s="41"/>
      <c r="CD17" s="41"/>
      <c r="CE17" s="41"/>
      <c r="CF17" s="41"/>
      <c r="CG17" s="41"/>
      <c r="CH17" s="41"/>
      <c r="CI17" s="30"/>
      <c r="CJ17" s="30"/>
      <c r="CK17" s="30"/>
      <c r="CL17" s="30"/>
      <c r="CM17" s="30"/>
    </row>
    <row r="18" spans="1:91" s="5" customFormat="1" ht="20.100000000000001" customHeight="1" x14ac:dyDescent="0.45">
      <c r="A18" s="30"/>
      <c r="B18" s="44"/>
      <c r="C18" s="30"/>
      <c r="D18" s="37">
        <v>8</v>
      </c>
      <c r="E18" s="173"/>
      <c r="F18" s="174"/>
      <c r="G18" s="174"/>
      <c r="H18" s="174"/>
      <c r="I18" s="174"/>
      <c r="J18" s="174"/>
      <c r="K18" s="174"/>
      <c r="L18" s="175"/>
      <c r="M18" s="157"/>
      <c r="N18" s="152"/>
      <c r="O18" s="152"/>
      <c r="P18" s="157"/>
      <c r="Q18" s="152"/>
      <c r="R18" s="152"/>
      <c r="S18" s="157"/>
      <c r="T18" s="152"/>
      <c r="U18" s="152"/>
      <c r="V18" s="168"/>
      <c r="W18" s="169"/>
      <c r="X18" s="169"/>
      <c r="Y18" s="169"/>
      <c r="Z18" s="169"/>
      <c r="AA18" s="172"/>
      <c r="AB18" s="157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3"/>
      <c r="AX18" s="157"/>
      <c r="AY18" s="152"/>
      <c r="AZ18" s="152"/>
      <c r="BA18" s="152"/>
      <c r="BB18" s="152"/>
      <c r="BC18" s="153"/>
      <c r="BD18" s="168"/>
      <c r="BE18" s="169"/>
      <c r="BF18" s="169"/>
      <c r="BG18" s="169"/>
      <c r="BH18" s="169"/>
      <c r="BI18" s="169"/>
      <c r="BJ18" s="169"/>
      <c r="BK18" s="169"/>
      <c r="BL18" s="169"/>
      <c r="BM18" s="169"/>
      <c r="BN18" s="169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70"/>
      <c r="CA18" s="41"/>
      <c r="CB18" s="40"/>
      <c r="CC18" s="41"/>
      <c r="CD18" s="41"/>
      <c r="CE18" s="41"/>
      <c r="CF18" s="41"/>
      <c r="CG18" s="41"/>
      <c r="CH18" s="41"/>
      <c r="CI18" s="30"/>
      <c r="CJ18" s="30"/>
      <c r="CK18" s="30"/>
      <c r="CL18" s="30"/>
      <c r="CM18" s="30"/>
    </row>
    <row r="19" spans="1:91" s="5" customFormat="1" ht="20.100000000000001" customHeight="1" x14ac:dyDescent="0.45">
      <c r="A19" s="30"/>
      <c r="B19" s="44"/>
      <c r="C19"/>
      <c r="D19" s="37">
        <v>9</v>
      </c>
      <c r="E19" s="173"/>
      <c r="F19" s="174"/>
      <c r="G19" s="174"/>
      <c r="H19" s="174"/>
      <c r="I19" s="174"/>
      <c r="J19" s="174"/>
      <c r="K19" s="174"/>
      <c r="L19" s="175"/>
      <c r="M19" s="157"/>
      <c r="N19" s="152"/>
      <c r="O19" s="152"/>
      <c r="P19" s="157"/>
      <c r="Q19" s="152"/>
      <c r="R19" s="152"/>
      <c r="S19" s="157"/>
      <c r="T19" s="152"/>
      <c r="U19" s="152"/>
      <c r="V19" s="168"/>
      <c r="W19" s="169"/>
      <c r="X19" s="169"/>
      <c r="Y19" s="169"/>
      <c r="Z19" s="169"/>
      <c r="AA19" s="172"/>
      <c r="AB19" s="157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3"/>
      <c r="AX19" s="157"/>
      <c r="AY19" s="152"/>
      <c r="AZ19" s="152"/>
      <c r="BA19" s="152"/>
      <c r="BB19" s="152"/>
      <c r="BC19" s="153"/>
      <c r="BD19" s="168"/>
      <c r="BE19" s="169"/>
      <c r="BF19" s="169"/>
      <c r="BG19" s="169"/>
      <c r="BH19" s="169"/>
      <c r="BI19" s="169"/>
      <c r="BJ19" s="169"/>
      <c r="BK19" s="169"/>
      <c r="BL19" s="169"/>
      <c r="BM19" s="169"/>
      <c r="BN19" s="169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70"/>
      <c r="CA19" s="41"/>
      <c r="CB19" s="40"/>
      <c r="CC19" s="41"/>
      <c r="CD19" s="41"/>
      <c r="CE19" s="41"/>
      <c r="CF19" s="41"/>
      <c r="CG19" s="41"/>
      <c r="CH19" s="41"/>
      <c r="CI19" s="30"/>
      <c r="CJ19" s="30"/>
      <c r="CK19" s="30"/>
      <c r="CL19" s="30"/>
      <c r="CM19" s="30"/>
    </row>
    <row r="20" spans="1:91" s="5" customFormat="1" ht="20.100000000000001" customHeight="1" x14ac:dyDescent="0.45">
      <c r="A20" s="29"/>
      <c r="B20" s="35"/>
      <c r="C20"/>
      <c r="D20" s="37">
        <v>10</v>
      </c>
      <c r="E20" s="173"/>
      <c r="F20" s="174"/>
      <c r="G20" s="174"/>
      <c r="H20" s="174"/>
      <c r="I20" s="174"/>
      <c r="J20" s="174"/>
      <c r="K20" s="174"/>
      <c r="L20" s="175"/>
      <c r="M20" s="157"/>
      <c r="N20" s="152"/>
      <c r="O20" s="152"/>
      <c r="P20" s="157"/>
      <c r="Q20" s="152"/>
      <c r="R20" s="152"/>
      <c r="S20" s="157"/>
      <c r="T20" s="152"/>
      <c r="U20" s="152"/>
      <c r="V20" s="168"/>
      <c r="W20" s="169"/>
      <c r="X20" s="169"/>
      <c r="Y20" s="169"/>
      <c r="Z20" s="169"/>
      <c r="AA20" s="172"/>
      <c r="AB20" s="157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3"/>
      <c r="AX20" s="157"/>
      <c r="AY20" s="152"/>
      <c r="AZ20" s="152"/>
      <c r="BA20" s="152"/>
      <c r="BB20" s="152"/>
      <c r="BC20" s="153"/>
      <c r="BD20" s="168"/>
      <c r="BE20" s="169"/>
      <c r="BF20" s="169"/>
      <c r="BG20" s="169"/>
      <c r="BH20" s="169"/>
      <c r="BI20" s="169"/>
      <c r="BJ20" s="169"/>
      <c r="BK20" s="169"/>
      <c r="BL20" s="169"/>
      <c r="BM20" s="169"/>
      <c r="BN20" s="169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70"/>
      <c r="CA20" s="29"/>
      <c r="CB20" s="40"/>
      <c r="CC20" s="41"/>
      <c r="CD20" s="41"/>
      <c r="CE20" s="41"/>
      <c r="CF20" s="41"/>
      <c r="CG20" s="41"/>
      <c r="CH20" s="41"/>
      <c r="CI20" s="41"/>
      <c r="CJ20" s="41"/>
      <c r="CK20" s="41"/>
      <c r="CL20" s="31"/>
      <c r="CM20" s="31"/>
    </row>
    <row r="21" spans="1:91" s="5" customFormat="1" ht="20.100000000000001" customHeight="1" x14ac:dyDescent="0.45">
      <c r="A21" s="29"/>
      <c r="B21" s="35"/>
      <c r="C21"/>
      <c r="D21" s="37">
        <v>11</v>
      </c>
      <c r="E21" s="173"/>
      <c r="F21" s="174"/>
      <c r="G21" s="174"/>
      <c r="H21" s="174"/>
      <c r="I21" s="174"/>
      <c r="J21" s="174"/>
      <c r="K21" s="174"/>
      <c r="L21" s="175"/>
      <c r="M21" s="157"/>
      <c r="N21" s="152"/>
      <c r="O21" s="152"/>
      <c r="P21" s="157"/>
      <c r="Q21" s="152"/>
      <c r="R21" s="152"/>
      <c r="S21" s="157"/>
      <c r="T21" s="152"/>
      <c r="U21" s="152"/>
      <c r="V21" s="168"/>
      <c r="W21" s="169"/>
      <c r="X21" s="169"/>
      <c r="Y21" s="169"/>
      <c r="Z21" s="169"/>
      <c r="AA21" s="172"/>
      <c r="AB21" s="157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3"/>
      <c r="AX21" s="157"/>
      <c r="AY21" s="152"/>
      <c r="AZ21" s="152"/>
      <c r="BA21" s="152"/>
      <c r="BB21" s="152"/>
      <c r="BC21" s="153"/>
      <c r="BD21" s="168"/>
      <c r="BE21" s="169"/>
      <c r="BF21" s="169"/>
      <c r="BG21" s="169"/>
      <c r="BH21" s="169"/>
      <c r="BI21" s="169"/>
      <c r="BJ21" s="169"/>
      <c r="BK21" s="169"/>
      <c r="BL21" s="169"/>
      <c r="BM21" s="169"/>
      <c r="BN21" s="169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70"/>
      <c r="CA21" s="41"/>
      <c r="CB21" s="40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</row>
    <row r="22" spans="1:91" s="5" customFormat="1" ht="20.100000000000001" customHeight="1" x14ac:dyDescent="0.45">
      <c r="A22" s="29"/>
      <c r="B22" s="35"/>
      <c r="C22"/>
      <c r="D22" s="37">
        <v>12</v>
      </c>
      <c r="E22" s="173"/>
      <c r="F22" s="174"/>
      <c r="G22" s="174"/>
      <c r="H22" s="174"/>
      <c r="I22" s="174"/>
      <c r="J22" s="174"/>
      <c r="K22" s="174"/>
      <c r="L22" s="175"/>
      <c r="M22" s="157"/>
      <c r="N22" s="152"/>
      <c r="O22" s="152"/>
      <c r="P22" s="157"/>
      <c r="Q22" s="152"/>
      <c r="R22" s="152"/>
      <c r="S22" s="157"/>
      <c r="T22" s="152"/>
      <c r="U22" s="152"/>
      <c r="V22" s="168"/>
      <c r="W22" s="169"/>
      <c r="X22" s="169"/>
      <c r="Y22" s="169"/>
      <c r="Z22" s="169"/>
      <c r="AA22" s="172"/>
      <c r="AB22" s="157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3"/>
      <c r="AX22" s="157"/>
      <c r="AY22" s="152"/>
      <c r="AZ22" s="152"/>
      <c r="BA22" s="152"/>
      <c r="BB22" s="152"/>
      <c r="BC22" s="153"/>
      <c r="BD22" s="168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70"/>
      <c r="CA22" s="41"/>
      <c r="CB22" s="40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</row>
    <row r="23" spans="1:91" s="5" customFormat="1" ht="20.100000000000001" customHeight="1" x14ac:dyDescent="0.45">
      <c r="A23" s="29"/>
      <c r="B23" s="35"/>
      <c r="C23"/>
      <c r="D23" s="37">
        <v>13</v>
      </c>
      <c r="E23" s="173"/>
      <c r="F23" s="174"/>
      <c r="G23" s="174"/>
      <c r="H23" s="174"/>
      <c r="I23" s="174"/>
      <c r="J23" s="174"/>
      <c r="K23" s="174"/>
      <c r="L23" s="175"/>
      <c r="M23" s="157"/>
      <c r="N23" s="152"/>
      <c r="O23" s="152"/>
      <c r="P23" s="157"/>
      <c r="Q23" s="152"/>
      <c r="R23" s="152"/>
      <c r="S23" s="157"/>
      <c r="T23" s="152"/>
      <c r="U23" s="152"/>
      <c r="V23" s="168"/>
      <c r="W23" s="169"/>
      <c r="X23" s="169"/>
      <c r="Y23" s="169"/>
      <c r="Z23" s="169"/>
      <c r="AA23" s="172"/>
      <c r="AB23" s="157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3"/>
      <c r="AX23" s="157"/>
      <c r="AY23" s="152"/>
      <c r="AZ23" s="152"/>
      <c r="BA23" s="152"/>
      <c r="BB23" s="152"/>
      <c r="BC23" s="153"/>
      <c r="BD23" s="168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70"/>
      <c r="CA23" s="41"/>
      <c r="CB23" s="40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</row>
    <row r="24" spans="1:91" s="5" customFormat="1" ht="20.100000000000001" customHeight="1" x14ac:dyDescent="0.45">
      <c r="A24" s="29"/>
      <c r="B24" s="35"/>
      <c r="C24"/>
      <c r="D24" s="37">
        <v>14</v>
      </c>
      <c r="E24" s="173"/>
      <c r="F24" s="174"/>
      <c r="G24" s="174"/>
      <c r="H24" s="174"/>
      <c r="I24" s="174"/>
      <c r="J24" s="174"/>
      <c r="K24" s="174"/>
      <c r="L24" s="175"/>
      <c r="M24" s="157"/>
      <c r="N24" s="152"/>
      <c r="O24" s="152"/>
      <c r="P24" s="157"/>
      <c r="Q24" s="152"/>
      <c r="R24" s="152"/>
      <c r="S24" s="157"/>
      <c r="T24" s="152"/>
      <c r="U24" s="152"/>
      <c r="V24" s="168"/>
      <c r="W24" s="169"/>
      <c r="X24" s="169"/>
      <c r="Y24" s="169"/>
      <c r="Z24" s="169"/>
      <c r="AA24" s="172"/>
      <c r="AB24" s="157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3"/>
      <c r="AX24" s="157"/>
      <c r="AY24" s="152"/>
      <c r="AZ24" s="152"/>
      <c r="BA24" s="152"/>
      <c r="BB24" s="152"/>
      <c r="BC24" s="153"/>
      <c r="BD24" s="168"/>
      <c r="BE24" s="169"/>
      <c r="BF24" s="169"/>
      <c r="BG24" s="169"/>
      <c r="BH24" s="169"/>
      <c r="BI24" s="169"/>
      <c r="BJ24" s="169"/>
      <c r="BK24" s="169"/>
      <c r="BL24" s="169"/>
      <c r="BM24" s="169"/>
      <c r="BN24" s="169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70"/>
      <c r="CA24" s="41"/>
      <c r="CB24" s="40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</row>
    <row r="25" spans="1:91" s="5" customFormat="1" ht="20.100000000000001" customHeight="1" x14ac:dyDescent="0.45">
      <c r="A25" s="29"/>
      <c r="B25" s="35"/>
      <c r="C25"/>
      <c r="D25" s="37">
        <v>15</v>
      </c>
      <c r="E25" s="173"/>
      <c r="F25" s="174"/>
      <c r="G25" s="174"/>
      <c r="H25" s="174"/>
      <c r="I25" s="174"/>
      <c r="J25" s="174"/>
      <c r="K25" s="174"/>
      <c r="L25" s="175"/>
      <c r="M25" s="157"/>
      <c r="N25" s="152"/>
      <c r="O25" s="152"/>
      <c r="P25" s="157"/>
      <c r="Q25" s="152"/>
      <c r="R25" s="152"/>
      <c r="S25" s="157"/>
      <c r="T25" s="152"/>
      <c r="U25" s="152"/>
      <c r="V25" s="168"/>
      <c r="W25" s="169"/>
      <c r="X25" s="169"/>
      <c r="Y25" s="169"/>
      <c r="Z25" s="169"/>
      <c r="AA25" s="172"/>
      <c r="AB25" s="157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3"/>
      <c r="AX25" s="157"/>
      <c r="AY25" s="152"/>
      <c r="AZ25" s="152"/>
      <c r="BA25" s="152"/>
      <c r="BB25" s="152"/>
      <c r="BC25" s="153"/>
      <c r="BD25" s="168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70"/>
      <c r="CA25" s="41"/>
      <c r="CB25" s="40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</row>
    <row r="26" spans="1:91" s="5" customFormat="1" ht="20.100000000000001" customHeight="1" x14ac:dyDescent="0.45">
      <c r="A26" s="29"/>
      <c r="B26" s="35"/>
      <c r="C26"/>
      <c r="D26" s="37">
        <v>16</v>
      </c>
      <c r="E26" s="173"/>
      <c r="F26" s="174"/>
      <c r="G26" s="174"/>
      <c r="H26" s="174"/>
      <c r="I26" s="174"/>
      <c r="J26" s="174"/>
      <c r="K26" s="174"/>
      <c r="L26" s="175"/>
      <c r="M26" s="157"/>
      <c r="N26" s="152"/>
      <c r="O26" s="152"/>
      <c r="P26" s="157"/>
      <c r="Q26" s="152"/>
      <c r="R26" s="152"/>
      <c r="S26" s="157"/>
      <c r="T26" s="152"/>
      <c r="U26" s="152"/>
      <c r="V26" s="168"/>
      <c r="W26" s="169"/>
      <c r="X26" s="169"/>
      <c r="Y26" s="169"/>
      <c r="Z26" s="169"/>
      <c r="AA26" s="172"/>
      <c r="AB26" s="157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3"/>
      <c r="AX26" s="157"/>
      <c r="AY26" s="152"/>
      <c r="AZ26" s="152"/>
      <c r="BA26" s="152"/>
      <c r="BB26" s="152"/>
      <c r="BC26" s="153"/>
      <c r="BD26" s="168"/>
      <c r="BE26" s="169"/>
      <c r="BF26" s="169"/>
      <c r="BG26" s="169"/>
      <c r="BH26" s="169"/>
      <c r="BI26" s="169"/>
      <c r="BJ26" s="169"/>
      <c r="BK26" s="169"/>
      <c r="BL26" s="169"/>
      <c r="BM26" s="169"/>
      <c r="BN26" s="169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70"/>
      <c r="CA26" s="41"/>
      <c r="CB26" s="40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</row>
    <row r="27" spans="1:91" s="5" customFormat="1" ht="20.100000000000001" customHeight="1" x14ac:dyDescent="0.45">
      <c r="A27" s="29"/>
      <c r="B27" s="35"/>
      <c r="C27"/>
      <c r="D27" s="37">
        <v>17</v>
      </c>
      <c r="E27" s="173"/>
      <c r="F27" s="174"/>
      <c r="G27" s="174"/>
      <c r="H27" s="174"/>
      <c r="I27" s="174"/>
      <c r="J27" s="174"/>
      <c r="K27" s="174"/>
      <c r="L27" s="175"/>
      <c r="M27" s="157"/>
      <c r="N27" s="152"/>
      <c r="O27" s="152"/>
      <c r="P27" s="157"/>
      <c r="Q27" s="152"/>
      <c r="R27" s="152"/>
      <c r="S27" s="157"/>
      <c r="T27" s="152"/>
      <c r="U27" s="152"/>
      <c r="V27" s="168"/>
      <c r="W27" s="169"/>
      <c r="X27" s="169"/>
      <c r="Y27" s="169"/>
      <c r="Z27" s="169"/>
      <c r="AA27" s="172"/>
      <c r="AB27" s="157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3"/>
      <c r="AX27" s="157"/>
      <c r="AY27" s="152"/>
      <c r="AZ27" s="152"/>
      <c r="BA27" s="152"/>
      <c r="BB27" s="152"/>
      <c r="BC27" s="153"/>
      <c r="BD27" s="168"/>
      <c r="BE27" s="169"/>
      <c r="BF27" s="169"/>
      <c r="BG27" s="169"/>
      <c r="BH27" s="169"/>
      <c r="BI27" s="169"/>
      <c r="BJ27" s="169"/>
      <c r="BK27" s="169"/>
      <c r="BL27" s="169"/>
      <c r="BM27" s="169"/>
      <c r="BN27" s="169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70"/>
      <c r="CA27" s="41"/>
      <c r="CB27" s="40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</row>
    <row r="28" spans="1:91" s="5" customFormat="1" ht="20.100000000000001" customHeight="1" x14ac:dyDescent="0.45">
      <c r="A28" s="29"/>
      <c r="B28" s="35"/>
      <c r="C28"/>
      <c r="D28" s="37">
        <v>18</v>
      </c>
      <c r="E28" s="173"/>
      <c r="F28" s="174"/>
      <c r="G28" s="174"/>
      <c r="H28" s="174"/>
      <c r="I28" s="174"/>
      <c r="J28" s="174"/>
      <c r="K28" s="174"/>
      <c r="L28" s="175"/>
      <c r="M28" s="157"/>
      <c r="N28" s="152"/>
      <c r="O28" s="152"/>
      <c r="P28" s="157"/>
      <c r="Q28" s="152"/>
      <c r="R28" s="152"/>
      <c r="S28" s="157"/>
      <c r="T28" s="152"/>
      <c r="U28" s="152"/>
      <c r="V28" s="168"/>
      <c r="W28" s="169"/>
      <c r="X28" s="169"/>
      <c r="Y28" s="169"/>
      <c r="Z28" s="169"/>
      <c r="AA28" s="172"/>
      <c r="AB28" s="157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3"/>
      <c r="AX28" s="157"/>
      <c r="AY28" s="152"/>
      <c r="AZ28" s="152"/>
      <c r="BA28" s="152"/>
      <c r="BB28" s="152"/>
      <c r="BC28" s="153"/>
      <c r="BD28" s="168"/>
      <c r="BE28" s="169"/>
      <c r="BF28" s="169"/>
      <c r="BG28" s="169"/>
      <c r="BH28" s="169"/>
      <c r="BI28" s="169"/>
      <c r="BJ28" s="169"/>
      <c r="BK28" s="169"/>
      <c r="BL28" s="169"/>
      <c r="BM28" s="169"/>
      <c r="BN28" s="169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70"/>
      <c r="CA28" s="41"/>
      <c r="CB28" s="40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</row>
    <row r="29" spans="1:91" ht="20.100000000000001" customHeight="1" x14ac:dyDescent="0.45">
      <c r="A29" s="29"/>
      <c r="B29" s="44"/>
      <c r="C29"/>
      <c r="D29" s="37">
        <v>19</v>
      </c>
      <c r="E29" s="173"/>
      <c r="F29" s="174"/>
      <c r="G29" s="174"/>
      <c r="H29" s="174"/>
      <c r="I29" s="174"/>
      <c r="J29" s="174"/>
      <c r="K29" s="174"/>
      <c r="L29" s="175"/>
      <c r="M29" s="157"/>
      <c r="N29" s="152"/>
      <c r="O29" s="152"/>
      <c r="P29" s="157"/>
      <c r="Q29" s="152"/>
      <c r="R29" s="152"/>
      <c r="S29" s="157"/>
      <c r="T29" s="152"/>
      <c r="U29" s="152"/>
      <c r="V29" s="168"/>
      <c r="W29" s="169"/>
      <c r="X29" s="169"/>
      <c r="Y29" s="169"/>
      <c r="Z29" s="169"/>
      <c r="AA29" s="172"/>
      <c r="AB29" s="157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3"/>
      <c r="AX29" s="157"/>
      <c r="AY29" s="152"/>
      <c r="AZ29" s="152"/>
      <c r="BA29" s="152"/>
      <c r="BB29" s="152"/>
      <c r="BC29" s="153"/>
      <c r="BD29" s="168"/>
      <c r="BE29" s="169"/>
      <c r="BF29" s="169"/>
      <c r="BG29" s="169"/>
      <c r="BH29" s="169"/>
      <c r="BI29" s="169"/>
      <c r="BJ29" s="169"/>
      <c r="BK29" s="169"/>
      <c r="BL29" s="169"/>
      <c r="BM29" s="169"/>
      <c r="BN29" s="169"/>
      <c r="BO29" s="169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70"/>
      <c r="CA29" s="41"/>
      <c r="CB29" s="40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</row>
    <row r="30" spans="1:91" ht="19.5" customHeight="1" x14ac:dyDescent="0.45">
      <c r="A30" s="29"/>
      <c r="B30" s="44"/>
      <c r="C30"/>
      <c r="D30" s="37">
        <v>20</v>
      </c>
      <c r="E30" s="173"/>
      <c r="F30" s="174"/>
      <c r="G30" s="174"/>
      <c r="H30" s="174"/>
      <c r="I30" s="174"/>
      <c r="J30" s="174"/>
      <c r="K30" s="174"/>
      <c r="L30" s="175"/>
      <c r="M30" s="157"/>
      <c r="N30" s="152"/>
      <c r="O30" s="152"/>
      <c r="P30" s="157"/>
      <c r="Q30" s="152"/>
      <c r="R30" s="152"/>
      <c r="S30" s="157"/>
      <c r="T30" s="152"/>
      <c r="U30" s="152"/>
      <c r="V30" s="168"/>
      <c r="W30" s="169"/>
      <c r="X30" s="169"/>
      <c r="Y30" s="169"/>
      <c r="Z30" s="169"/>
      <c r="AA30" s="172"/>
      <c r="AB30" s="157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3"/>
      <c r="AX30" s="157"/>
      <c r="AY30" s="152"/>
      <c r="AZ30" s="152"/>
      <c r="BA30" s="152"/>
      <c r="BB30" s="152"/>
      <c r="BC30" s="153"/>
      <c r="BD30" s="168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70"/>
      <c r="CA30" s="41"/>
      <c r="CB30" s="40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</row>
    <row r="31" spans="1:91" ht="19.5" customHeight="1" x14ac:dyDescent="0.45">
      <c r="A31" s="29"/>
      <c r="B31" s="44"/>
      <c r="C31"/>
      <c r="D31" s="37">
        <v>21</v>
      </c>
      <c r="E31" s="173"/>
      <c r="F31" s="174"/>
      <c r="G31" s="174"/>
      <c r="H31" s="174"/>
      <c r="I31" s="174"/>
      <c r="J31" s="174"/>
      <c r="K31" s="174"/>
      <c r="L31" s="175"/>
      <c r="M31" s="157"/>
      <c r="N31" s="152"/>
      <c r="O31" s="152"/>
      <c r="P31" s="157"/>
      <c r="Q31" s="152"/>
      <c r="R31" s="152"/>
      <c r="S31" s="157"/>
      <c r="T31" s="152"/>
      <c r="U31" s="152"/>
      <c r="V31" s="168"/>
      <c r="W31" s="169"/>
      <c r="X31" s="169"/>
      <c r="Y31" s="169"/>
      <c r="Z31" s="169"/>
      <c r="AA31" s="172"/>
      <c r="AB31" s="157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3"/>
      <c r="AX31" s="157"/>
      <c r="AY31" s="152"/>
      <c r="AZ31" s="152"/>
      <c r="BA31" s="152"/>
      <c r="BB31" s="152"/>
      <c r="BC31" s="153"/>
      <c r="BD31" s="168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70"/>
      <c r="CA31" s="41"/>
      <c r="CB31" s="40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</row>
    <row r="32" spans="1:91" ht="20.100000000000001" customHeight="1" thickBot="1" x14ac:dyDescent="0.5">
      <c r="A32" s="29"/>
      <c r="B32" s="44"/>
      <c r="C32"/>
      <c r="D32" s="37">
        <v>22</v>
      </c>
      <c r="E32" s="180"/>
      <c r="F32" s="181"/>
      <c r="G32" s="181"/>
      <c r="H32" s="181"/>
      <c r="I32" s="181"/>
      <c r="J32" s="181"/>
      <c r="K32" s="181"/>
      <c r="L32" s="182"/>
      <c r="M32" s="159"/>
      <c r="N32" s="160"/>
      <c r="O32" s="161"/>
      <c r="P32" s="159"/>
      <c r="Q32" s="160"/>
      <c r="R32" s="160"/>
      <c r="S32" s="159"/>
      <c r="T32" s="160"/>
      <c r="U32" s="160"/>
      <c r="V32" s="165"/>
      <c r="W32" s="166"/>
      <c r="X32" s="166"/>
      <c r="Y32" s="166"/>
      <c r="Z32" s="166"/>
      <c r="AA32" s="179"/>
      <c r="AB32" s="157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3"/>
      <c r="AX32" s="159"/>
      <c r="AY32" s="160"/>
      <c r="AZ32" s="160"/>
      <c r="BA32" s="160"/>
      <c r="BB32" s="160"/>
      <c r="BC32" s="161"/>
      <c r="BD32" s="165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7"/>
      <c r="CA32" s="41"/>
      <c r="CB32" s="40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</row>
    <row r="33" spans="1:79" ht="20.100000000000001" customHeight="1" thickTop="1" thickBot="1" x14ac:dyDescent="0.5">
      <c r="A33" s="29"/>
      <c r="B33" s="40"/>
      <c r="C3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46"/>
      <c r="BX33" s="46"/>
      <c r="BY33" s="46"/>
      <c r="BZ33" s="46"/>
      <c r="CA33" s="28"/>
    </row>
    <row r="34" spans="1:79" ht="20.100000000000001" customHeight="1" thickTop="1" x14ac:dyDescent="0.45">
      <c r="A34" s="29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33"/>
      <c r="BJ34" s="33"/>
      <c r="BK34" s="33"/>
      <c r="BL34" s="33"/>
      <c r="BM34" s="33"/>
      <c r="BN34" s="33"/>
      <c r="BO34" s="42"/>
      <c r="BP34" s="42"/>
      <c r="BQ34" s="42"/>
      <c r="BR34" s="42"/>
      <c r="BS34" s="42"/>
      <c r="BT34" s="42"/>
      <c r="BU34" s="42"/>
      <c r="BV34" s="41"/>
    </row>
    <row r="35" spans="1:79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</row>
    <row r="36" spans="1:79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31"/>
      <c r="BN36" s="31"/>
      <c r="BO36" s="31"/>
      <c r="BP36" s="31"/>
      <c r="BQ36" s="31"/>
      <c r="BR36" s="31"/>
      <c r="BS36" s="31"/>
      <c r="BT36" s="31"/>
      <c r="BU36" s="31"/>
      <c r="BV36" s="31"/>
    </row>
    <row r="37" spans="1:79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31"/>
      <c r="BN37" s="31"/>
      <c r="BO37" s="31"/>
      <c r="BP37" s="31"/>
      <c r="BQ37" s="31"/>
      <c r="BR37" s="31"/>
      <c r="BS37" s="31"/>
      <c r="BT37" s="31"/>
      <c r="BU37" s="31"/>
      <c r="BV37" s="31"/>
    </row>
    <row r="38" spans="1:79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31"/>
      <c r="BN38" s="31"/>
      <c r="BO38" s="31"/>
      <c r="BP38" s="31"/>
      <c r="BQ38" s="31"/>
      <c r="BR38" s="31"/>
      <c r="BS38" s="31"/>
      <c r="BT38" s="31"/>
      <c r="BU38" s="31"/>
      <c r="BV38" s="31"/>
    </row>
    <row r="39" spans="1:79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31"/>
      <c r="BN39" s="31"/>
      <c r="BO39" s="31"/>
      <c r="BP39" s="31"/>
      <c r="BQ39" s="31"/>
      <c r="BR39" s="31"/>
      <c r="BS39" s="31"/>
      <c r="BT39" s="31"/>
      <c r="BU39" s="31"/>
      <c r="BV39" s="31"/>
    </row>
    <row r="40" spans="1:79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31"/>
      <c r="BN40" s="31"/>
      <c r="BO40" s="31"/>
      <c r="BP40" s="31"/>
      <c r="BQ40" s="31"/>
      <c r="BR40" s="31"/>
      <c r="BS40" s="31"/>
      <c r="BT40" s="31"/>
      <c r="BU40" s="31"/>
      <c r="BV40" s="31"/>
    </row>
    <row r="41" spans="1:79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31"/>
      <c r="BN41" s="31"/>
      <c r="BO41" s="31"/>
      <c r="BP41" s="31"/>
      <c r="BQ41" s="31"/>
      <c r="BR41" s="31"/>
      <c r="BS41" s="31"/>
      <c r="BT41" s="31"/>
      <c r="BU41" s="31"/>
      <c r="BV41" s="31"/>
    </row>
    <row r="42" spans="1:79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31"/>
      <c r="BN42" s="31"/>
      <c r="BO42" s="31"/>
      <c r="BP42" s="31"/>
      <c r="BQ42" s="31"/>
      <c r="BR42" s="31"/>
      <c r="BS42" s="31"/>
      <c r="BT42" s="31"/>
      <c r="BU42" s="31"/>
      <c r="BV42" s="31"/>
    </row>
    <row r="43" spans="1:79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31"/>
      <c r="BN43" s="31"/>
      <c r="BO43" s="31"/>
      <c r="BP43" s="31"/>
      <c r="BQ43" s="31"/>
      <c r="BR43" s="31"/>
      <c r="BS43" s="31"/>
      <c r="BT43" s="31"/>
      <c r="BU43" s="31"/>
      <c r="BV43" s="31"/>
    </row>
    <row r="44" spans="1:79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31"/>
      <c r="BN44" s="31"/>
      <c r="BO44" s="31"/>
      <c r="BP44" s="31"/>
      <c r="BQ44" s="31"/>
      <c r="BR44" s="31"/>
      <c r="BS44" s="31"/>
      <c r="BT44" s="31"/>
      <c r="BU44" s="31"/>
      <c r="BV44" s="31"/>
    </row>
    <row r="45" spans="1:79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31"/>
      <c r="BN45" s="31"/>
      <c r="BO45" s="31"/>
      <c r="BP45" s="31"/>
      <c r="BQ45" s="31"/>
      <c r="BR45" s="31"/>
      <c r="BS45" s="31"/>
      <c r="BT45" s="31"/>
      <c r="BU45" s="31"/>
      <c r="BV45" s="31"/>
    </row>
    <row r="46" spans="1:79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</row>
    <row r="47" spans="1:79" ht="20.100000000000001" customHeight="1" x14ac:dyDescent="0.45">
      <c r="B47" s="3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</row>
    <row r="48" spans="1:79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31"/>
      <c r="BV48" s="31"/>
    </row>
    <row r="49" spans="1:74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31"/>
      <c r="BV49" s="31"/>
    </row>
    <row r="50" spans="1:74" ht="20.100000000000001" customHeight="1" x14ac:dyDescent="0.45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31"/>
      <c r="BV50" s="31"/>
    </row>
    <row r="51" spans="1:74" ht="20.100000000000001" customHeight="1" x14ac:dyDescent="0.45">
      <c r="A51" s="29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31"/>
      <c r="BV51" s="31"/>
    </row>
    <row r="52" spans="1:74" ht="20.100000000000001" customHeight="1" x14ac:dyDescent="0.45">
      <c r="A52" s="29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31"/>
      <c r="BV52" s="31"/>
    </row>
    <row r="53" spans="1:74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</row>
    <row r="54" spans="1:74" ht="20.100000000000001" customHeight="1" x14ac:dyDescent="0.4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</row>
    <row r="55" spans="1:74" ht="20.100000000000001" customHeight="1" x14ac:dyDescent="0.4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</row>
  </sheetData>
  <mergeCells count="204">
    <mergeCell ref="V31:AA31"/>
    <mergeCell ref="V32:AA32"/>
    <mergeCell ref="E11:L11"/>
    <mergeCell ref="M11:O11"/>
    <mergeCell ref="P11:R11"/>
    <mergeCell ref="S11:U11"/>
    <mergeCell ref="V11:AA11"/>
    <mergeCell ref="E32:L32"/>
    <mergeCell ref="M28:O28"/>
    <mergeCell ref="M29:O29"/>
    <mergeCell ref="M30:O30"/>
    <mergeCell ref="M31:O31"/>
    <mergeCell ref="M32:O32"/>
    <mergeCell ref="E25:L25"/>
    <mergeCell ref="E28:L28"/>
    <mergeCell ref="E29:L29"/>
    <mergeCell ref="E30:L30"/>
    <mergeCell ref="E31:L31"/>
    <mergeCell ref="E27:L27"/>
    <mergeCell ref="E26:L26"/>
    <mergeCell ref="M26:O26"/>
    <mergeCell ref="M27:O27"/>
    <mergeCell ref="E22:L22"/>
    <mergeCell ref="E23:L23"/>
    <mergeCell ref="B3:G4"/>
    <mergeCell ref="H3:K4"/>
    <mergeCell ref="L3:Q4"/>
    <mergeCell ref="E14:L14"/>
    <mergeCell ref="E15:L15"/>
    <mergeCell ref="B2:G2"/>
    <mergeCell ref="H2:K2"/>
    <mergeCell ref="L2:Q2"/>
    <mergeCell ref="R2:AC2"/>
    <mergeCell ref="E10:L10"/>
    <mergeCell ref="E13:L13"/>
    <mergeCell ref="V10:AA10"/>
    <mergeCell ref="V12:AA12"/>
    <mergeCell ref="AB10:AW10"/>
    <mergeCell ref="AB11:AW11"/>
    <mergeCell ref="AB12:AW12"/>
    <mergeCell ref="AB13:AW13"/>
    <mergeCell ref="AB14:AW14"/>
    <mergeCell ref="AB15:AW15"/>
    <mergeCell ref="E12:L12"/>
    <mergeCell ref="M12:O12"/>
    <mergeCell ref="P12:R12"/>
    <mergeCell ref="S12:U12"/>
    <mergeCell ref="AD2:AP2"/>
    <mergeCell ref="BP3:BS4"/>
    <mergeCell ref="BD2:BG2"/>
    <mergeCell ref="BH2:BK2"/>
    <mergeCell ref="BL2:BO2"/>
    <mergeCell ref="BP2:BS2"/>
    <mergeCell ref="BD3:BG4"/>
    <mergeCell ref="BH3:BK4"/>
    <mergeCell ref="BL3:BO4"/>
    <mergeCell ref="AQ3:BC4"/>
    <mergeCell ref="AQ2:BC2"/>
    <mergeCell ref="E24:L24"/>
    <mergeCell ref="E16:L16"/>
    <mergeCell ref="E17:L17"/>
    <mergeCell ref="M10:O10"/>
    <mergeCell ref="M13:O13"/>
    <mergeCell ref="M14:O14"/>
    <mergeCell ref="M15:O15"/>
    <mergeCell ref="M16:O16"/>
    <mergeCell ref="M21:O21"/>
    <mergeCell ref="E20:L20"/>
    <mergeCell ref="E21:L21"/>
    <mergeCell ref="M17:O17"/>
    <mergeCell ref="M18:O18"/>
    <mergeCell ref="M19:O19"/>
    <mergeCell ref="M20:O20"/>
    <mergeCell ref="E18:L18"/>
    <mergeCell ref="E19:L19"/>
    <mergeCell ref="AD3:AP4"/>
    <mergeCell ref="M22:O22"/>
    <mergeCell ref="M23:O23"/>
    <mergeCell ref="M24:O24"/>
    <mergeCell ref="M25:O25"/>
    <mergeCell ref="R3:AC4"/>
    <mergeCell ref="P10:R10"/>
    <mergeCell ref="P13:R13"/>
    <mergeCell ref="P14:R14"/>
    <mergeCell ref="P15:R15"/>
    <mergeCell ref="P16:R16"/>
    <mergeCell ref="P17:R17"/>
    <mergeCell ref="P18:R18"/>
    <mergeCell ref="P19:R19"/>
    <mergeCell ref="P20:R20"/>
    <mergeCell ref="V16:AA16"/>
    <mergeCell ref="V17:AA17"/>
    <mergeCell ref="V18:AA18"/>
    <mergeCell ref="V19:AA19"/>
    <mergeCell ref="V20:AA20"/>
    <mergeCell ref="V21:AA21"/>
    <mergeCell ref="V22:AA22"/>
    <mergeCell ref="V23:AA23"/>
    <mergeCell ref="V24:AA24"/>
    <mergeCell ref="P28:R28"/>
    <mergeCell ref="P29:R29"/>
    <mergeCell ref="P30:R30"/>
    <mergeCell ref="S29:U29"/>
    <mergeCell ref="S30:U30"/>
    <mergeCell ref="AB27:AW27"/>
    <mergeCell ref="AB28:AW28"/>
    <mergeCell ref="AB29:AW29"/>
    <mergeCell ref="AB30:AW30"/>
    <mergeCell ref="S10:U10"/>
    <mergeCell ref="S26:U26"/>
    <mergeCell ref="S27:U27"/>
    <mergeCell ref="S28:U28"/>
    <mergeCell ref="V26:AA26"/>
    <mergeCell ref="V27:AA27"/>
    <mergeCell ref="V28:AA28"/>
    <mergeCell ref="V29:AA29"/>
    <mergeCell ref="V30:AA30"/>
    <mergeCell ref="V13:AA13"/>
    <mergeCell ref="V14:AA14"/>
    <mergeCell ref="V15:AA15"/>
    <mergeCell ref="V25:AA25"/>
    <mergeCell ref="S31:U31"/>
    <mergeCell ref="S32:U32"/>
    <mergeCell ref="P31:R31"/>
    <mergeCell ref="P32:R3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S24:U24"/>
    <mergeCell ref="S25:U25"/>
    <mergeCell ref="P26:R26"/>
    <mergeCell ref="P21:R21"/>
    <mergeCell ref="P22:R22"/>
    <mergeCell ref="P23:R23"/>
    <mergeCell ref="P24:R24"/>
    <mergeCell ref="P25:R25"/>
    <mergeCell ref="P27:R27"/>
    <mergeCell ref="BD17:BZ17"/>
    <mergeCell ref="BD18:BZ18"/>
    <mergeCell ref="BD19:BZ19"/>
    <mergeCell ref="BD20:BZ20"/>
    <mergeCell ref="BD21:BZ21"/>
    <mergeCell ref="BD10:BZ10"/>
    <mergeCell ref="BD13:BZ13"/>
    <mergeCell ref="BD14:BZ14"/>
    <mergeCell ref="BD15:BZ15"/>
    <mergeCell ref="BD16:BZ16"/>
    <mergeCell ref="BD11:BZ11"/>
    <mergeCell ref="BD12:BZ12"/>
    <mergeCell ref="BD32:BZ32"/>
    <mergeCell ref="BD27:BZ27"/>
    <mergeCell ref="BD28:BZ28"/>
    <mergeCell ref="BD29:BZ29"/>
    <mergeCell ref="BD30:BZ30"/>
    <mergeCell ref="BD31:BZ31"/>
    <mergeCell ref="BD22:BZ22"/>
    <mergeCell ref="BD23:BZ23"/>
    <mergeCell ref="BD24:BZ24"/>
    <mergeCell ref="BD25:BZ25"/>
    <mergeCell ref="BD26:BZ26"/>
    <mergeCell ref="AX32:BC32"/>
    <mergeCell ref="AX10:BC10"/>
    <mergeCell ref="AX13:BC13"/>
    <mergeCell ref="AX14:BC14"/>
    <mergeCell ref="AX15:BC15"/>
    <mergeCell ref="AX16:BC16"/>
    <mergeCell ref="AX17:BC17"/>
    <mergeCell ref="AX18:BC18"/>
    <mergeCell ref="AX19:BC19"/>
    <mergeCell ref="AX20:BC20"/>
    <mergeCell ref="AX21:BC21"/>
    <mergeCell ref="AX22:BC22"/>
    <mergeCell ref="AX23:BC23"/>
    <mergeCell ref="AX24:BC24"/>
    <mergeCell ref="AX25:BC25"/>
    <mergeCell ref="AX26:BC26"/>
    <mergeCell ref="AX27:BC27"/>
    <mergeCell ref="AX28:BC28"/>
    <mergeCell ref="AX29:BC29"/>
    <mergeCell ref="AX30:BC30"/>
    <mergeCell ref="AX31:BC31"/>
    <mergeCell ref="AX11:BC11"/>
    <mergeCell ref="AX12:BC12"/>
    <mergeCell ref="AB31:AW31"/>
    <mergeCell ref="AB32:AW32"/>
    <mergeCell ref="AB16:AW16"/>
    <mergeCell ref="AB17:AW17"/>
    <mergeCell ref="AB18:AW18"/>
    <mergeCell ref="AB19:AW19"/>
    <mergeCell ref="AB20:AW20"/>
    <mergeCell ref="AB21:AW21"/>
    <mergeCell ref="AB22:AW22"/>
    <mergeCell ref="AB23:AW23"/>
    <mergeCell ref="AB24:AW24"/>
    <mergeCell ref="AB25:AW25"/>
    <mergeCell ref="AB26:AW26"/>
  </mergeCells>
  <phoneticPr fontId="1"/>
  <pageMargins left="0.70866141732283472" right="0.70866141732283472" top="0.74803149606299213" bottom="0.74803149606299213" header="0.31496062992125984" footer="0.31496062992125984"/>
  <pageSetup paperSize="9" scale="40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2" t="s">
        <v>0</v>
      </c>
      <c r="C2" s="187"/>
      <c r="D2" s="187"/>
      <c r="E2" s="187"/>
      <c r="F2" s="187"/>
      <c r="G2" s="187"/>
      <c r="H2" s="187" t="s">
        <v>17</v>
      </c>
      <c r="I2" s="187"/>
      <c r="J2" s="187"/>
      <c r="K2" s="187"/>
      <c r="L2" s="187" t="s">
        <v>1</v>
      </c>
      <c r="M2" s="187"/>
      <c r="N2" s="187"/>
      <c r="O2" s="187"/>
      <c r="P2" s="187"/>
      <c r="Q2" s="187"/>
      <c r="R2" s="187" t="s">
        <v>2</v>
      </c>
      <c r="S2" s="187"/>
      <c r="T2" s="187"/>
      <c r="U2" s="187"/>
      <c r="V2" s="187"/>
      <c r="W2" s="187"/>
      <c r="X2" s="193" t="s">
        <v>3</v>
      </c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5"/>
      <c r="AK2" s="193" t="s">
        <v>32</v>
      </c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5"/>
      <c r="AX2" s="187" t="s">
        <v>5</v>
      </c>
      <c r="AY2" s="187"/>
      <c r="AZ2" s="187"/>
      <c r="BA2" s="187"/>
      <c r="BB2" s="187" t="s">
        <v>4</v>
      </c>
      <c r="BC2" s="187"/>
      <c r="BD2" s="187"/>
      <c r="BE2" s="187"/>
      <c r="BF2" s="187" t="s">
        <v>6</v>
      </c>
      <c r="BG2" s="187"/>
      <c r="BH2" s="187"/>
      <c r="BI2" s="187"/>
      <c r="BJ2" s="187" t="s">
        <v>7</v>
      </c>
      <c r="BK2" s="187"/>
      <c r="BL2" s="187"/>
      <c r="BM2" s="188"/>
    </row>
    <row r="3" spans="2:65" ht="20.100000000000001" customHeight="1" x14ac:dyDescent="0.45">
      <c r="B3" s="196" t="str">
        <f>変更履歴!B3</f>
        <v>受発注システム</v>
      </c>
      <c r="C3" s="138"/>
      <c r="D3" s="138"/>
      <c r="E3" s="138"/>
      <c r="F3" s="138"/>
      <c r="G3" s="138"/>
      <c r="H3" s="138" t="str">
        <f ca="1">変更履歴!H3</f>
        <v>SS0700</v>
      </c>
      <c r="I3" s="138"/>
      <c r="J3" s="138"/>
      <c r="K3" s="138"/>
      <c r="L3" s="138" t="str">
        <f>変更履歴!L3</f>
        <v>受発注</v>
      </c>
      <c r="M3" s="138"/>
      <c r="N3" s="138"/>
      <c r="O3" s="138"/>
      <c r="P3" s="138"/>
      <c r="Q3" s="138"/>
      <c r="R3" s="138" t="str">
        <f ca="1">変更履歴!R3</f>
        <v>インポート_帳票設計書</v>
      </c>
      <c r="S3" s="138"/>
      <c r="T3" s="138"/>
      <c r="U3" s="138"/>
      <c r="V3" s="138"/>
      <c r="W3" s="138"/>
      <c r="X3" s="142" t="str">
        <f ca="1">変更履歴!X3</f>
        <v>SS0700_支払取込CSV_インポート_帳票設計書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39"/>
      <c r="AK3" s="142" t="str">
        <f ca="1">変更履歴!AK3</f>
        <v>支払取込CSV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39"/>
      <c r="AX3" s="149">
        <f>変更履歴!AX3</f>
        <v>45575</v>
      </c>
      <c r="AY3" s="149"/>
      <c r="AZ3" s="149"/>
      <c r="BA3" s="149"/>
      <c r="BB3" s="138" t="str">
        <f>変更履歴!BB3</f>
        <v>大谷</v>
      </c>
      <c r="BC3" s="138"/>
      <c r="BD3" s="138"/>
      <c r="BE3" s="138"/>
      <c r="BF3" s="149">
        <f>変更履歴!BF3</f>
        <v>45575</v>
      </c>
      <c r="BG3" s="149"/>
      <c r="BH3" s="149"/>
      <c r="BI3" s="149"/>
      <c r="BJ3" s="138" t="str">
        <f>変更履歴!BJ3</f>
        <v>大谷</v>
      </c>
      <c r="BK3" s="138"/>
      <c r="BL3" s="138"/>
      <c r="BM3" s="185"/>
    </row>
    <row r="4" spans="2:65" ht="20.100000000000001" customHeight="1" thickBot="1" x14ac:dyDescent="0.5">
      <c r="B4" s="197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9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1"/>
      <c r="AK4" s="189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1"/>
      <c r="AX4" s="183"/>
      <c r="AY4" s="183"/>
      <c r="AZ4" s="183"/>
      <c r="BA4" s="183"/>
      <c r="BB4" s="184"/>
      <c r="BC4" s="184"/>
      <c r="BD4" s="184"/>
      <c r="BE4" s="184"/>
      <c r="BF4" s="183"/>
      <c r="BG4" s="183"/>
      <c r="BH4" s="183"/>
      <c r="BI4" s="183"/>
      <c r="BJ4" s="184"/>
      <c r="BK4" s="184"/>
      <c r="BL4" s="184"/>
      <c r="BM4" s="186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90" t="s">
        <v>66</v>
      </c>
      <c r="C7" s="91"/>
      <c r="D7" s="91"/>
      <c r="E7" s="91"/>
      <c r="F7" s="91"/>
      <c r="G7" s="91"/>
      <c r="H7" s="93" t="s">
        <v>94</v>
      </c>
      <c r="I7" s="92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95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4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5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8"/>
      <c r="I8" s="97"/>
      <c r="J8" s="124" t="s">
        <v>96</v>
      </c>
      <c r="K8" s="52"/>
      <c r="L8" s="52"/>
      <c r="M8" s="52"/>
      <c r="N8" s="52"/>
      <c r="O8" s="52"/>
      <c r="P8" s="52"/>
      <c r="Q8" s="52"/>
      <c r="R8" s="124" t="s">
        <v>97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9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00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4"/>
      <c r="I9" s="127"/>
      <c r="J9" s="124" t="s">
        <v>98</v>
      </c>
      <c r="K9" s="52"/>
      <c r="L9" s="52"/>
      <c r="M9" s="52"/>
      <c r="N9" s="52"/>
      <c r="O9" s="52"/>
      <c r="P9" s="52"/>
      <c r="Q9" s="52"/>
      <c r="R9" s="124" t="s">
        <v>99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6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7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7"/>
      <c r="H10" s="98" t="s">
        <v>67</v>
      </c>
      <c r="I10" s="31"/>
      <c r="J10" s="112" t="s">
        <v>68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9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00"/>
      <c r="BJ10" s="29"/>
      <c r="BK10" s="29"/>
      <c r="BL10" s="29"/>
      <c r="BM10" s="29"/>
    </row>
    <row r="11" spans="2:65" ht="20.100000000000001" customHeight="1" x14ac:dyDescent="0.45">
      <c r="B11" s="96"/>
      <c r="C11" s="31"/>
      <c r="D11" s="31"/>
      <c r="E11" s="31"/>
      <c r="F11" s="31"/>
      <c r="G11" s="97"/>
      <c r="H11" s="98"/>
      <c r="I11" s="31"/>
      <c r="J11" s="98" t="s">
        <v>69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9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00"/>
      <c r="BJ11" s="29"/>
      <c r="BK11" s="29"/>
      <c r="BL11" s="29"/>
      <c r="BM11" s="29"/>
    </row>
    <row r="12" spans="2:65" ht="20.100000000000001" customHeight="1" x14ac:dyDescent="0.45">
      <c r="B12" s="96"/>
      <c r="C12" s="31"/>
      <c r="D12" s="31"/>
      <c r="E12" s="31"/>
      <c r="F12" s="31"/>
      <c r="G12" s="97"/>
      <c r="H12" s="98"/>
      <c r="I12" s="31"/>
      <c r="J12" s="98" t="s">
        <v>70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9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00"/>
      <c r="BJ12" s="29"/>
      <c r="BK12" s="29"/>
      <c r="BL12" s="29"/>
      <c r="BM12" s="29"/>
    </row>
    <row r="13" spans="2:65" ht="20.100000000000001" customHeight="1" x14ac:dyDescent="0.45">
      <c r="B13" s="96"/>
      <c r="C13" s="31"/>
      <c r="D13" s="31"/>
      <c r="E13" s="31"/>
      <c r="F13" s="31"/>
      <c r="G13" s="97"/>
      <c r="H13" s="98"/>
      <c r="I13" s="31"/>
      <c r="J13" s="98" t="s">
        <v>71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9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00"/>
      <c r="BJ13" s="29"/>
      <c r="BK13" s="29"/>
      <c r="BL13" s="29"/>
      <c r="BM13" s="29"/>
    </row>
    <row r="14" spans="2:65" ht="20.100000000000001" customHeight="1" x14ac:dyDescent="0.45">
      <c r="B14" s="96"/>
      <c r="C14" s="31"/>
      <c r="D14" s="31"/>
      <c r="E14" s="31"/>
      <c r="F14" s="31"/>
      <c r="G14" s="97"/>
      <c r="H14" s="101" t="s">
        <v>72</v>
      </c>
      <c r="I14" s="55"/>
      <c r="J14" s="108" t="s">
        <v>73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2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3"/>
      <c r="BJ14" s="29"/>
      <c r="BK14" s="29"/>
      <c r="BL14" s="29"/>
      <c r="BM14" s="29"/>
    </row>
    <row r="15" spans="2:65" ht="20.100000000000001" customHeight="1" x14ac:dyDescent="0.45">
      <c r="B15" s="96"/>
      <c r="C15" s="31"/>
      <c r="D15" s="31"/>
      <c r="E15" s="31"/>
      <c r="F15" s="31"/>
      <c r="G15" s="97"/>
      <c r="H15" s="98"/>
      <c r="I15" s="31"/>
      <c r="J15" s="109"/>
      <c r="K15" s="110" t="s">
        <v>74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9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00"/>
      <c r="BJ15" s="29"/>
      <c r="BK15" s="29"/>
      <c r="BL15" s="29"/>
      <c r="BM15" s="29"/>
    </row>
    <row r="16" spans="2:65" ht="20.100000000000001" customHeight="1" x14ac:dyDescent="0.45">
      <c r="B16" s="96"/>
      <c r="C16" s="31"/>
      <c r="D16" s="31"/>
      <c r="E16" s="31"/>
      <c r="F16" s="31"/>
      <c r="G16" s="97"/>
      <c r="H16" s="98"/>
      <c r="I16" s="31"/>
      <c r="J16" s="98"/>
      <c r="K16" s="29"/>
      <c r="L16" s="111"/>
      <c r="M16" s="110" t="s">
        <v>75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9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00"/>
      <c r="BJ16" s="29"/>
      <c r="BK16" s="29"/>
      <c r="BL16" s="29"/>
      <c r="BM16" s="29"/>
    </row>
    <row r="17" spans="2:65" ht="20.100000000000001" customHeight="1" x14ac:dyDescent="0.45">
      <c r="B17" s="96"/>
      <c r="C17" s="31"/>
      <c r="D17" s="31"/>
      <c r="E17" s="31"/>
      <c r="F17" s="31"/>
      <c r="G17" s="97"/>
      <c r="H17" s="98"/>
      <c r="I17" s="31"/>
      <c r="J17" s="98"/>
      <c r="K17" s="29"/>
      <c r="L17" s="111" t="s">
        <v>76</v>
      </c>
      <c r="M17" s="110" t="s">
        <v>75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9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00"/>
      <c r="BJ17" s="29"/>
      <c r="BK17" s="29"/>
      <c r="BL17" s="29"/>
      <c r="BM17" s="29"/>
    </row>
    <row r="18" spans="2:65" ht="20.100000000000001" customHeight="1" x14ac:dyDescent="0.45">
      <c r="B18" s="96"/>
      <c r="C18" s="31"/>
      <c r="D18" s="31"/>
      <c r="E18" s="31"/>
      <c r="F18" s="31"/>
      <c r="G18" s="97"/>
      <c r="H18" s="98"/>
      <c r="I18" s="31"/>
      <c r="J18" s="98"/>
      <c r="K18" s="29"/>
      <c r="L18" s="111" t="s">
        <v>77</v>
      </c>
      <c r="M18" s="110" t="s">
        <v>75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9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00"/>
      <c r="BJ18" s="29"/>
      <c r="BK18" s="29"/>
      <c r="BL18" s="29"/>
      <c r="BM18" s="29"/>
    </row>
    <row r="19" spans="2:65" ht="20.100000000000001" customHeight="1" x14ac:dyDescent="0.45">
      <c r="B19" s="96"/>
      <c r="C19" s="31"/>
      <c r="D19" s="31"/>
      <c r="E19" s="31"/>
      <c r="F19" s="31"/>
      <c r="G19" s="97"/>
      <c r="H19" s="98"/>
      <c r="I19" s="31"/>
      <c r="J19" s="98" t="s">
        <v>78</v>
      </c>
      <c r="K19" s="111"/>
      <c r="L19" s="110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9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00"/>
      <c r="BJ19" s="29"/>
      <c r="BK19" s="29"/>
      <c r="BL19" s="29"/>
      <c r="BM19" s="29"/>
    </row>
    <row r="20" spans="2:65" ht="20.100000000000001" customHeight="1" x14ac:dyDescent="0.45">
      <c r="B20" s="96"/>
      <c r="C20" s="31"/>
      <c r="D20" s="31"/>
      <c r="E20" s="31"/>
      <c r="F20" s="31"/>
      <c r="G20" s="97"/>
      <c r="H20" s="98"/>
      <c r="I20" s="31"/>
      <c r="J20" s="98"/>
      <c r="K20" s="31" t="s">
        <v>79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9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00"/>
      <c r="BJ20" s="29"/>
      <c r="BK20" s="29"/>
      <c r="BL20" s="29"/>
      <c r="BM20" s="29"/>
    </row>
    <row r="21" spans="2:65" ht="20.100000000000001" customHeight="1" x14ac:dyDescent="0.45">
      <c r="B21" s="96"/>
      <c r="C21" s="31"/>
      <c r="D21" s="31"/>
      <c r="E21" s="31"/>
      <c r="F21" s="31"/>
      <c r="G21" s="97"/>
      <c r="H21" s="98"/>
      <c r="I21" s="31"/>
      <c r="J21" s="98"/>
      <c r="K21" s="29"/>
      <c r="L21" s="31"/>
      <c r="M21" s="31" t="s">
        <v>80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9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00"/>
    </row>
    <row r="22" spans="2:65" ht="20.100000000000001" customHeight="1" x14ac:dyDescent="0.45">
      <c r="B22" s="96"/>
      <c r="C22" s="31"/>
      <c r="D22" s="31"/>
      <c r="E22" s="31"/>
      <c r="F22" s="31"/>
      <c r="G22" s="97"/>
      <c r="H22" s="104"/>
      <c r="I22" s="105"/>
      <c r="J22" s="104"/>
      <c r="K22" s="105"/>
      <c r="L22" s="105" t="s">
        <v>76</v>
      </c>
      <c r="M22" s="105" t="s">
        <v>81</v>
      </c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6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7"/>
    </row>
    <row r="23" spans="2:65" ht="20.100000000000001" customHeight="1" x14ac:dyDescent="0.45">
      <c r="B23" s="96"/>
      <c r="C23" s="31"/>
      <c r="D23" s="31"/>
      <c r="E23" s="31"/>
      <c r="F23" s="31"/>
      <c r="G23" s="97"/>
      <c r="H23" s="98" t="s">
        <v>82</v>
      </c>
      <c r="I23" s="31"/>
      <c r="J23" s="112"/>
      <c r="K23" s="110" t="s">
        <v>83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3" t="s">
        <v>84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00"/>
    </row>
    <row r="24" spans="2:65" ht="20.100000000000001" customHeight="1" x14ac:dyDescent="0.45">
      <c r="B24" s="96"/>
      <c r="C24" s="31"/>
      <c r="D24" s="31"/>
      <c r="E24" s="31"/>
      <c r="F24" s="31"/>
      <c r="G24" s="97"/>
      <c r="H24" s="98"/>
      <c r="I24" s="31"/>
      <c r="J24" s="112" t="s">
        <v>76</v>
      </c>
      <c r="K24" s="110" t="s">
        <v>85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9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00"/>
    </row>
    <row r="25" spans="2:65" ht="20.100000000000001" customHeight="1" x14ac:dyDescent="0.45">
      <c r="B25" s="96"/>
      <c r="C25" s="31"/>
      <c r="D25" s="31"/>
      <c r="E25" s="31"/>
      <c r="F25" s="31"/>
      <c r="G25" s="97"/>
      <c r="H25" s="98"/>
      <c r="I25" s="31"/>
      <c r="J25" s="112" t="s">
        <v>77</v>
      </c>
      <c r="K25" s="110" t="s">
        <v>85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9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00"/>
    </row>
    <row r="26" spans="2:65" ht="20.100000000000001" customHeight="1" x14ac:dyDescent="0.45">
      <c r="B26" s="96"/>
      <c r="C26" s="31"/>
      <c r="D26" s="31"/>
      <c r="E26" s="31"/>
      <c r="F26" s="31"/>
      <c r="G26" s="97"/>
      <c r="H26" s="98"/>
      <c r="I26" s="31"/>
      <c r="J26" s="112" t="s">
        <v>86</v>
      </c>
      <c r="K26" s="110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9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00"/>
    </row>
    <row r="27" spans="2:65" ht="20.100000000000001" customHeight="1" x14ac:dyDescent="0.45">
      <c r="B27" s="96"/>
      <c r="C27" s="31"/>
      <c r="D27" s="31"/>
      <c r="E27" s="31"/>
      <c r="F27" s="31"/>
      <c r="G27" s="97"/>
      <c r="H27" s="98"/>
      <c r="I27" s="31"/>
      <c r="J27" s="98"/>
      <c r="K27" s="31" t="s">
        <v>87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4" t="s">
        <v>88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00"/>
    </row>
    <row r="28" spans="2:65" ht="20.100000000000001" customHeight="1" x14ac:dyDescent="0.45">
      <c r="B28" s="96"/>
      <c r="C28" s="31"/>
      <c r="D28" s="31"/>
      <c r="E28" s="31"/>
      <c r="F28" s="31"/>
      <c r="G28" s="97"/>
      <c r="H28" s="98"/>
      <c r="I28" s="31"/>
      <c r="J28" s="98" t="s">
        <v>76</v>
      </c>
      <c r="K28" s="31" t="s">
        <v>89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00"/>
    </row>
    <row r="29" spans="2:65" ht="20.100000000000001" customHeight="1" x14ac:dyDescent="0.45">
      <c r="B29" s="96"/>
      <c r="C29" s="31"/>
      <c r="D29" s="31"/>
      <c r="E29" s="31"/>
      <c r="F29" s="31"/>
      <c r="G29" s="97"/>
      <c r="H29" s="98"/>
      <c r="I29" s="31"/>
      <c r="J29" s="112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8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00"/>
    </row>
    <row r="30" spans="2:65" ht="20.100000000000001" customHeight="1" x14ac:dyDescent="0.45">
      <c r="B30" s="96"/>
      <c r="C30" s="31"/>
      <c r="D30" s="31"/>
      <c r="E30" s="31"/>
      <c r="F30" s="31"/>
      <c r="G30" s="97"/>
      <c r="H30" s="98"/>
      <c r="I30" s="31"/>
      <c r="J30" s="98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00"/>
    </row>
    <row r="31" spans="2:65" ht="20.100000000000001" customHeight="1" x14ac:dyDescent="0.45">
      <c r="B31" s="96"/>
      <c r="C31" s="31"/>
      <c r="D31" s="31"/>
      <c r="E31" s="31"/>
      <c r="F31" s="31"/>
      <c r="G31" s="97"/>
      <c r="H31" s="104"/>
      <c r="I31" s="105"/>
      <c r="J31" s="104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4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7"/>
    </row>
    <row r="32" spans="2:65" ht="20.100000000000001" customHeight="1" x14ac:dyDescent="0.45">
      <c r="B32" s="96"/>
      <c r="C32" s="31"/>
      <c r="D32" s="31"/>
      <c r="E32" s="31"/>
      <c r="F32" s="31"/>
      <c r="G32" s="97"/>
      <c r="H32" s="98" t="s">
        <v>90</v>
      </c>
      <c r="I32" s="31"/>
      <c r="J32" s="112" t="s">
        <v>91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00"/>
    </row>
    <row r="33" spans="2:61" ht="20.100000000000001" customHeight="1" x14ac:dyDescent="0.45">
      <c r="B33" s="96"/>
      <c r="C33" s="31"/>
      <c r="D33" s="31"/>
      <c r="E33" s="31"/>
      <c r="F33" s="31"/>
      <c r="G33" s="97"/>
      <c r="H33" s="98"/>
      <c r="I33" s="31"/>
      <c r="J33" s="112" t="s">
        <v>92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00"/>
    </row>
    <row r="34" spans="2:61" ht="20.100000000000001" customHeight="1" thickBot="1" x14ac:dyDescent="0.5">
      <c r="B34" s="115"/>
      <c r="C34" s="116"/>
      <c r="D34" s="116"/>
      <c r="E34" s="116"/>
      <c r="F34" s="116"/>
      <c r="G34" s="117"/>
      <c r="H34" s="118"/>
      <c r="I34" s="116"/>
      <c r="J34" s="118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8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9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20" t="s">
        <v>93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S27"/>
  <sheetViews>
    <sheetView zoomScaleNormal="100" zoomScaleSheetLayoutView="100" workbookViewId="0">
      <selection activeCell="AK6" sqref="AK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71" ht="5.0999999999999996" customHeight="1" thickBot="1" x14ac:dyDescent="0.5"/>
    <row r="2" spans="2:71" ht="20.100000000000001" customHeight="1" x14ac:dyDescent="0.45">
      <c r="B2" s="192" t="s">
        <v>0</v>
      </c>
      <c r="C2" s="187"/>
      <c r="D2" s="187"/>
      <c r="E2" s="187"/>
      <c r="F2" s="187"/>
      <c r="G2" s="187"/>
      <c r="H2" s="187" t="s">
        <v>17</v>
      </c>
      <c r="I2" s="187"/>
      <c r="J2" s="187"/>
      <c r="K2" s="187"/>
      <c r="L2" s="187" t="s">
        <v>154</v>
      </c>
      <c r="M2" s="187"/>
      <c r="N2" s="187"/>
      <c r="O2" s="187"/>
      <c r="P2" s="187"/>
      <c r="Q2" s="187"/>
      <c r="R2" s="187" t="s">
        <v>2</v>
      </c>
      <c r="S2" s="187"/>
      <c r="T2" s="187"/>
      <c r="U2" s="187"/>
      <c r="V2" s="187"/>
      <c r="W2" s="187"/>
      <c r="X2" s="193" t="s">
        <v>3</v>
      </c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5"/>
      <c r="AK2" s="193" t="s">
        <v>32</v>
      </c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5"/>
      <c r="AX2" s="187" t="s">
        <v>5</v>
      </c>
      <c r="AY2" s="187"/>
      <c r="AZ2" s="187"/>
      <c r="BA2" s="187"/>
      <c r="BB2" s="187" t="s">
        <v>4</v>
      </c>
      <c r="BC2" s="187"/>
      <c r="BD2" s="187"/>
      <c r="BE2" s="187"/>
      <c r="BF2" s="187" t="s">
        <v>6</v>
      </c>
      <c r="BG2" s="187"/>
      <c r="BH2" s="187"/>
      <c r="BI2" s="187"/>
      <c r="BJ2" s="187" t="s">
        <v>7</v>
      </c>
      <c r="BK2" s="187"/>
      <c r="BL2" s="187"/>
      <c r="BM2" s="188"/>
    </row>
    <row r="3" spans="2:71" ht="20.100000000000001" customHeight="1" x14ac:dyDescent="0.45">
      <c r="B3" s="198" t="str">
        <f>変更履歴!B3</f>
        <v>受発注システム</v>
      </c>
      <c r="C3" s="143"/>
      <c r="D3" s="143"/>
      <c r="E3" s="143"/>
      <c r="F3" s="143"/>
      <c r="G3" s="139"/>
      <c r="H3" s="142" t="str">
        <f ca="1">変更履歴!H3</f>
        <v>SS0700</v>
      </c>
      <c r="I3" s="143"/>
      <c r="J3" s="143"/>
      <c r="K3" s="139"/>
      <c r="L3" s="142" t="str">
        <f>変更履歴!L3</f>
        <v>受発注</v>
      </c>
      <c r="M3" s="143"/>
      <c r="N3" s="143"/>
      <c r="O3" s="143"/>
      <c r="P3" s="143"/>
      <c r="Q3" s="139"/>
      <c r="R3" s="142" t="str">
        <f ca="1">変更履歴!R3</f>
        <v>インポート_帳票設計書</v>
      </c>
      <c r="S3" s="143"/>
      <c r="T3" s="143"/>
      <c r="U3" s="143"/>
      <c r="V3" s="143"/>
      <c r="W3" s="143"/>
      <c r="X3" s="142" t="str">
        <f ca="1">変更履歴!X3</f>
        <v>SS0700_支払取込CSV_インポート_帳票設計書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39"/>
      <c r="AK3" s="142" t="str">
        <f ca="1">変更履歴!AK3</f>
        <v>支払取込CSV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39"/>
      <c r="AX3" s="200">
        <f>変更履歴!AX3</f>
        <v>45575</v>
      </c>
      <c r="AY3" s="201"/>
      <c r="AZ3" s="201"/>
      <c r="BA3" s="202"/>
      <c r="BB3" s="200" t="str">
        <f>変更履歴!BB3</f>
        <v>大谷</v>
      </c>
      <c r="BC3" s="201"/>
      <c r="BD3" s="201"/>
      <c r="BE3" s="202"/>
      <c r="BF3" s="200">
        <f>変更履歴!BF3</f>
        <v>45575</v>
      </c>
      <c r="BG3" s="201"/>
      <c r="BH3" s="201"/>
      <c r="BI3" s="202"/>
      <c r="BJ3" s="143" t="str">
        <f>変更履歴!BJ3</f>
        <v>大谷</v>
      </c>
      <c r="BK3" s="143"/>
      <c r="BL3" s="143"/>
      <c r="BM3" s="206"/>
      <c r="BN3" s="131"/>
      <c r="BO3" s="131"/>
      <c r="BP3" s="130"/>
      <c r="BQ3" s="130"/>
      <c r="BR3" s="130"/>
      <c r="BS3" s="130"/>
    </row>
    <row r="4" spans="2:71" ht="20.100000000000001" customHeight="1" thickBot="1" x14ac:dyDescent="0.5">
      <c r="B4" s="199"/>
      <c r="C4" s="190"/>
      <c r="D4" s="190"/>
      <c r="E4" s="190"/>
      <c r="F4" s="190"/>
      <c r="G4" s="191"/>
      <c r="H4" s="189"/>
      <c r="I4" s="190"/>
      <c r="J4" s="190"/>
      <c r="K4" s="191"/>
      <c r="L4" s="189"/>
      <c r="M4" s="190"/>
      <c r="N4" s="190"/>
      <c r="O4" s="190"/>
      <c r="P4" s="190"/>
      <c r="Q4" s="191"/>
      <c r="R4" s="189"/>
      <c r="S4" s="190"/>
      <c r="T4" s="190"/>
      <c r="U4" s="190"/>
      <c r="V4" s="190"/>
      <c r="W4" s="190"/>
      <c r="X4" s="189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1"/>
      <c r="AK4" s="189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1"/>
      <c r="AX4" s="203"/>
      <c r="AY4" s="204"/>
      <c r="AZ4" s="204"/>
      <c r="BA4" s="205"/>
      <c r="BB4" s="203"/>
      <c r="BC4" s="204"/>
      <c r="BD4" s="204"/>
      <c r="BE4" s="205"/>
      <c r="BF4" s="203"/>
      <c r="BG4" s="204"/>
      <c r="BH4" s="204"/>
      <c r="BI4" s="205"/>
      <c r="BJ4" s="190"/>
      <c r="BK4" s="190"/>
      <c r="BL4" s="190"/>
      <c r="BM4" s="207"/>
      <c r="BN4" s="131"/>
      <c r="BO4" s="131"/>
      <c r="BP4" s="130"/>
      <c r="BQ4" s="130"/>
      <c r="BR4" s="130"/>
      <c r="BS4" s="130"/>
    </row>
    <row r="5" spans="2:71" ht="5.0999999999999996" customHeight="1" thickBot="1" x14ac:dyDescent="0.5"/>
    <row r="6" spans="2:71" ht="20.100000000000001" customHeight="1" x14ac:dyDescent="0.45">
      <c r="B6" s="90" t="s">
        <v>107</v>
      </c>
      <c r="C6" s="91"/>
      <c r="D6" s="91"/>
      <c r="E6" s="91"/>
      <c r="F6" s="91"/>
      <c r="G6" s="92"/>
      <c r="H6" s="93" t="s">
        <v>94</v>
      </c>
      <c r="I6" s="91"/>
      <c r="J6" s="129" t="s">
        <v>118</v>
      </c>
      <c r="K6" s="121"/>
      <c r="L6" s="121"/>
      <c r="M6" s="121"/>
      <c r="N6" s="121"/>
      <c r="O6" s="121"/>
      <c r="P6" s="121"/>
      <c r="Q6" s="122"/>
      <c r="R6" s="129" t="s">
        <v>134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4" t="s">
        <v>113</v>
      </c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5"/>
    </row>
    <row r="7" spans="2:71" ht="20.100000000000001" customHeight="1" x14ac:dyDescent="0.45">
      <c r="B7" s="123"/>
      <c r="C7" s="31"/>
      <c r="D7" s="31"/>
      <c r="E7" s="31"/>
      <c r="F7" s="31"/>
      <c r="G7" s="97"/>
      <c r="H7" s="98"/>
      <c r="I7" s="31"/>
      <c r="J7" s="124" t="s">
        <v>119</v>
      </c>
      <c r="K7" s="52"/>
      <c r="L7" s="52"/>
      <c r="M7" s="52"/>
      <c r="N7" s="52"/>
      <c r="O7" s="52"/>
      <c r="P7" s="52"/>
      <c r="Q7" s="125"/>
      <c r="R7" s="124" t="s">
        <v>135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9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00"/>
    </row>
    <row r="8" spans="2:71" ht="20.100000000000001" customHeight="1" x14ac:dyDescent="0.45">
      <c r="B8" s="123"/>
      <c r="C8" s="31"/>
      <c r="D8" s="31"/>
      <c r="E8" s="31"/>
      <c r="F8" s="31"/>
      <c r="G8" s="97"/>
      <c r="H8" s="98"/>
      <c r="I8" s="31"/>
      <c r="J8" s="124" t="s">
        <v>120</v>
      </c>
      <c r="K8" s="52"/>
      <c r="L8" s="52"/>
      <c r="M8" s="52"/>
      <c r="N8" s="52"/>
      <c r="O8" s="52"/>
      <c r="P8" s="52"/>
      <c r="Q8" s="125"/>
      <c r="R8" s="124" t="s">
        <v>136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9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00"/>
    </row>
    <row r="9" spans="2:71" ht="20.100000000000001" customHeight="1" x14ac:dyDescent="0.45">
      <c r="B9" s="123"/>
      <c r="C9" s="31"/>
      <c r="D9" s="31"/>
      <c r="E9" s="31"/>
      <c r="F9" s="31"/>
      <c r="G9" s="97"/>
      <c r="H9" s="98"/>
      <c r="I9" s="31"/>
      <c r="J9" s="124" t="s">
        <v>121</v>
      </c>
      <c r="K9" s="52"/>
      <c r="L9" s="52"/>
      <c r="M9" s="52"/>
      <c r="N9" s="52"/>
      <c r="O9" s="52"/>
      <c r="P9" s="52"/>
      <c r="Q9" s="125"/>
      <c r="R9" s="124" t="s">
        <v>137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9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00"/>
    </row>
    <row r="10" spans="2:71" ht="20.100000000000001" customHeight="1" x14ac:dyDescent="0.45">
      <c r="B10" s="123"/>
      <c r="C10" s="31"/>
      <c r="D10" s="31"/>
      <c r="E10" s="31"/>
      <c r="F10" s="31"/>
      <c r="G10" s="97"/>
      <c r="H10" s="31"/>
      <c r="I10" s="31"/>
      <c r="J10" s="124" t="s">
        <v>122</v>
      </c>
      <c r="K10" s="52"/>
      <c r="L10" s="52"/>
      <c r="M10" s="52"/>
      <c r="N10" s="52"/>
      <c r="O10" s="52"/>
      <c r="P10" s="52"/>
      <c r="Q10" s="125"/>
      <c r="R10" s="124" t="s">
        <v>138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9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00"/>
    </row>
    <row r="11" spans="2:71" ht="20.100000000000001" customHeight="1" x14ac:dyDescent="0.45">
      <c r="B11" s="123"/>
      <c r="C11" s="31"/>
      <c r="D11" s="31"/>
      <c r="E11" s="31"/>
      <c r="F11" s="31"/>
      <c r="G11" s="97"/>
      <c r="H11" s="31"/>
      <c r="I11" s="31"/>
      <c r="J11" s="124" t="s">
        <v>123</v>
      </c>
      <c r="K11" s="52"/>
      <c r="L11" s="52"/>
      <c r="M11" s="52"/>
      <c r="N11" s="52"/>
      <c r="O11" s="52"/>
      <c r="P11" s="52"/>
      <c r="Q11" s="125"/>
      <c r="R11" s="124" t="s">
        <v>139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9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00"/>
    </row>
    <row r="12" spans="2:71" ht="20.100000000000001" customHeight="1" x14ac:dyDescent="0.45">
      <c r="B12" s="123"/>
      <c r="C12" s="31"/>
      <c r="D12" s="31"/>
      <c r="E12" s="31"/>
      <c r="F12" s="31"/>
      <c r="G12" s="97"/>
      <c r="H12" s="31"/>
      <c r="I12" s="31"/>
      <c r="J12" s="124" t="s">
        <v>124</v>
      </c>
      <c r="K12" s="52"/>
      <c r="L12" s="52"/>
      <c r="M12" s="52"/>
      <c r="N12" s="52"/>
      <c r="O12" s="52"/>
      <c r="P12" s="52"/>
      <c r="Q12" s="125"/>
      <c r="R12" s="124" t="s">
        <v>140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9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00"/>
    </row>
    <row r="13" spans="2:71" ht="20.100000000000001" customHeight="1" x14ac:dyDescent="0.45">
      <c r="B13" s="123"/>
      <c r="C13" s="31"/>
      <c r="D13" s="31"/>
      <c r="E13" s="31"/>
      <c r="F13" s="31"/>
      <c r="G13" s="97"/>
      <c r="I13" s="31"/>
      <c r="J13" s="124" t="s">
        <v>125</v>
      </c>
      <c r="K13" s="52"/>
      <c r="L13" s="52"/>
      <c r="M13" s="52"/>
      <c r="N13" s="52"/>
      <c r="O13" s="52"/>
      <c r="P13" s="52"/>
      <c r="Q13" s="125"/>
      <c r="R13" s="124" t="s">
        <v>141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9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00"/>
    </row>
    <row r="14" spans="2:71" ht="20.100000000000001" customHeight="1" x14ac:dyDescent="0.45">
      <c r="B14" s="123"/>
      <c r="C14" s="31"/>
      <c r="D14" s="31"/>
      <c r="E14" s="31"/>
      <c r="F14" s="31"/>
      <c r="G14" s="97"/>
      <c r="I14" s="31"/>
      <c r="J14" s="124" t="s">
        <v>126</v>
      </c>
      <c r="K14" s="52"/>
      <c r="L14" s="52"/>
      <c r="M14" s="52"/>
      <c r="N14" s="52"/>
      <c r="O14" s="52"/>
      <c r="P14" s="52"/>
      <c r="Q14" s="125"/>
      <c r="R14" s="124" t="s">
        <v>142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9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00"/>
    </row>
    <row r="15" spans="2:71" ht="20.100000000000001" customHeight="1" x14ac:dyDescent="0.45">
      <c r="B15" s="123"/>
      <c r="C15" s="31"/>
      <c r="D15" s="31"/>
      <c r="E15" s="31"/>
      <c r="F15" s="31"/>
      <c r="G15" s="97"/>
      <c r="H15" s="98"/>
      <c r="I15" s="31"/>
      <c r="J15" s="124" t="s">
        <v>127</v>
      </c>
      <c r="K15" s="52"/>
      <c r="L15" s="52"/>
      <c r="M15" s="52"/>
      <c r="N15" s="52"/>
      <c r="O15" s="52"/>
      <c r="P15" s="52"/>
      <c r="Q15" s="125"/>
      <c r="R15" s="124" t="s">
        <v>143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9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00"/>
    </row>
    <row r="16" spans="2:71" ht="20.100000000000001" customHeight="1" x14ac:dyDescent="0.45">
      <c r="B16" s="123"/>
      <c r="C16" s="31"/>
      <c r="D16" s="31"/>
      <c r="E16" s="31"/>
      <c r="F16" s="31"/>
      <c r="G16" s="97"/>
      <c r="H16" s="98"/>
      <c r="I16" s="31"/>
      <c r="J16" s="124" t="s">
        <v>128</v>
      </c>
      <c r="K16" s="52"/>
      <c r="L16" s="52"/>
      <c r="M16" s="52"/>
      <c r="N16" s="52"/>
      <c r="O16" s="52"/>
      <c r="P16" s="52"/>
      <c r="Q16" s="125"/>
      <c r="R16" s="124" t="s">
        <v>144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5"/>
      <c r="AK16" s="99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00"/>
    </row>
    <row r="17" spans="2:61" ht="20.100000000000001" customHeight="1" x14ac:dyDescent="0.45">
      <c r="B17" s="123"/>
      <c r="C17" s="31"/>
      <c r="D17" s="31"/>
      <c r="E17" s="31"/>
      <c r="F17" s="31"/>
      <c r="G17" s="97"/>
      <c r="H17" s="98"/>
      <c r="I17" s="31"/>
      <c r="J17" s="124" t="s">
        <v>129</v>
      </c>
      <c r="K17" s="52"/>
      <c r="L17" s="52"/>
      <c r="M17" s="52"/>
      <c r="N17" s="52"/>
      <c r="O17" s="52"/>
      <c r="P17" s="52"/>
      <c r="Q17" s="125"/>
      <c r="R17" s="124" t="s">
        <v>145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5"/>
      <c r="AK17" s="99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00"/>
    </row>
    <row r="18" spans="2:61" ht="19.8" customHeight="1" x14ac:dyDescent="0.45">
      <c r="B18" s="123"/>
      <c r="C18" s="31"/>
      <c r="D18" s="31"/>
      <c r="E18" s="31"/>
      <c r="F18" s="31"/>
      <c r="G18" s="97"/>
      <c r="H18" s="31"/>
      <c r="I18" s="31"/>
      <c r="J18" s="124" t="s">
        <v>130</v>
      </c>
      <c r="K18" s="52"/>
      <c r="L18" s="52"/>
      <c r="M18" s="52"/>
      <c r="N18" s="52"/>
      <c r="O18" s="52"/>
      <c r="P18" s="52"/>
      <c r="Q18" s="125"/>
      <c r="R18" s="124" t="s">
        <v>146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5"/>
      <c r="AK18" s="99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00"/>
    </row>
    <row r="19" spans="2:61" ht="20.100000000000001" customHeight="1" x14ac:dyDescent="0.45">
      <c r="B19" s="123"/>
      <c r="C19" s="31"/>
      <c r="D19" s="31"/>
      <c r="E19" s="31"/>
      <c r="F19" s="31"/>
      <c r="G19" s="97"/>
      <c r="H19" s="31"/>
      <c r="I19" s="31"/>
      <c r="J19" s="124" t="s">
        <v>110</v>
      </c>
      <c r="K19" s="52"/>
      <c r="L19" s="52"/>
      <c r="M19" s="52"/>
      <c r="N19" s="52"/>
      <c r="O19" s="52"/>
      <c r="P19" s="52"/>
      <c r="Q19" s="125"/>
      <c r="R19" s="124" t="s">
        <v>147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5"/>
      <c r="AK19" s="99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00"/>
    </row>
    <row r="20" spans="2:61" ht="20.100000000000001" customHeight="1" x14ac:dyDescent="0.45">
      <c r="B20" s="123"/>
      <c r="C20" s="31"/>
      <c r="D20" s="31"/>
      <c r="E20" s="31"/>
      <c r="F20" s="31"/>
      <c r="G20" s="97"/>
      <c r="H20" s="31"/>
      <c r="I20" s="31"/>
      <c r="J20" s="124" t="s">
        <v>131</v>
      </c>
      <c r="K20" s="52"/>
      <c r="L20" s="52"/>
      <c r="M20" s="52"/>
      <c r="N20" s="52"/>
      <c r="O20" s="52"/>
      <c r="P20" s="52"/>
      <c r="Q20" s="125"/>
      <c r="R20" s="124" t="s">
        <v>148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25"/>
      <c r="AK20" s="99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00"/>
    </row>
    <row r="21" spans="2:61" ht="20.100000000000001" customHeight="1" x14ac:dyDescent="0.45">
      <c r="B21" s="123"/>
      <c r="C21" s="31"/>
      <c r="D21" s="31"/>
      <c r="E21" s="31"/>
      <c r="F21" s="31"/>
      <c r="G21" s="97"/>
      <c r="I21" s="31"/>
      <c r="J21" s="124" t="s">
        <v>132</v>
      </c>
      <c r="K21" s="52"/>
      <c r="L21" s="52"/>
      <c r="M21" s="52"/>
      <c r="N21" s="52"/>
      <c r="O21" s="52"/>
      <c r="P21" s="52"/>
      <c r="Q21" s="125"/>
      <c r="R21" s="124" t="s">
        <v>149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25"/>
      <c r="AK21" s="99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00"/>
    </row>
    <row r="22" spans="2:61" ht="20.100000000000001" customHeight="1" x14ac:dyDescent="0.45">
      <c r="B22" s="123"/>
      <c r="C22" s="31"/>
      <c r="D22" s="31"/>
      <c r="E22" s="31"/>
      <c r="F22" s="31"/>
      <c r="G22" s="97"/>
      <c r="I22" s="31"/>
      <c r="J22" s="124" t="s">
        <v>133</v>
      </c>
      <c r="K22" s="52"/>
      <c r="L22" s="52"/>
      <c r="M22" s="52"/>
      <c r="N22" s="52"/>
      <c r="O22" s="52"/>
      <c r="P22" s="52"/>
      <c r="Q22" s="125"/>
      <c r="R22" s="124" t="s">
        <v>150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25"/>
      <c r="AK22" s="99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00"/>
    </row>
    <row r="23" spans="2:61" ht="19.8" customHeight="1" x14ac:dyDescent="0.45">
      <c r="B23" s="123"/>
      <c r="C23" s="31"/>
      <c r="D23" s="31"/>
      <c r="E23" s="31"/>
      <c r="F23" s="31"/>
      <c r="G23" s="97"/>
      <c r="H23" s="31"/>
      <c r="I23" s="31"/>
      <c r="J23" s="124" t="s">
        <v>111</v>
      </c>
      <c r="K23" s="52"/>
      <c r="L23" s="52"/>
      <c r="M23" s="52"/>
      <c r="N23" s="52"/>
      <c r="O23" s="52"/>
      <c r="P23" s="52"/>
      <c r="Q23" s="125"/>
      <c r="R23" s="124" t="s">
        <v>151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25"/>
      <c r="AK23" s="99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00"/>
    </row>
    <row r="24" spans="2:61" ht="20.100000000000001" customHeight="1" x14ac:dyDescent="0.45">
      <c r="B24" s="123"/>
      <c r="C24" s="31"/>
      <c r="D24" s="31"/>
      <c r="E24" s="31"/>
      <c r="F24" s="31"/>
      <c r="G24" s="97"/>
      <c r="H24" s="31"/>
      <c r="I24" s="31"/>
      <c r="J24" s="124" t="s">
        <v>112</v>
      </c>
      <c r="K24" s="52"/>
      <c r="L24" s="52"/>
      <c r="M24" s="52"/>
      <c r="N24" s="52"/>
      <c r="O24" s="52"/>
      <c r="P24" s="52"/>
      <c r="Q24" s="125"/>
      <c r="R24" s="124" t="s">
        <v>152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25"/>
      <c r="AK24" s="99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00"/>
    </row>
    <row r="25" spans="2:61" ht="20.100000000000001" customHeight="1" x14ac:dyDescent="0.45">
      <c r="B25" s="123"/>
      <c r="C25" s="31"/>
      <c r="D25" s="31"/>
      <c r="E25" s="31"/>
      <c r="F25" s="31"/>
      <c r="G25" s="97"/>
      <c r="H25" s="101" t="s">
        <v>108</v>
      </c>
      <c r="I25" s="55"/>
      <c r="J25" s="101" t="s">
        <v>114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102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103"/>
    </row>
    <row r="26" spans="2:61" ht="20.100000000000001" customHeight="1" thickBot="1" x14ac:dyDescent="0.5">
      <c r="B26" s="96"/>
      <c r="C26" s="31"/>
      <c r="D26" s="31"/>
      <c r="E26" s="31"/>
      <c r="F26" s="31"/>
      <c r="G26" s="97"/>
      <c r="H26" s="101" t="s">
        <v>109</v>
      </c>
      <c r="I26" s="55"/>
      <c r="J26" s="101" t="s">
        <v>115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102" t="s">
        <v>116</v>
      </c>
      <c r="AL26" s="55"/>
      <c r="AM26" s="55"/>
      <c r="AN26" s="55"/>
      <c r="AO26" s="55"/>
      <c r="AP26" s="55" t="s">
        <v>117</v>
      </c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103"/>
    </row>
    <row r="27" spans="2:61" ht="5.0999999999999996" customHeight="1" x14ac:dyDescent="0.45"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ColWidth="8.796875"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42.796875" style="29" bestFit="1" customWidth="1"/>
    <col min="6" max="6" width="42.796875" style="29" customWidth="1"/>
    <col min="7" max="16384" width="8.796875" style="29"/>
  </cols>
  <sheetData>
    <row r="2" spans="2:7" ht="19.2" thickBot="1" x14ac:dyDescent="0.5">
      <c r="B2" s="87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28" t="s">
        <v>104</v>
      </c>
      <c r="G3" s="78" t="s">
        <v>51</v>
      </c>
    </row>
    <row r="4" spans="2:7" x14ac:dyDescent="0.45">
      <c r="B4" s="37">
        <v>1</v>
      </c>
      <c r="C4" s="79" t="s">
        <v>63</v>
      </c>
      <c r="D4" s="79" t="s">
        <v>64</v>
      </c>
      <c r="E4" s="80" t="s">
        <v>65</v>
      </c>
      <c r="F4" s="80" t="s">
        <v>105</v>
      </c>
      <c r="G4" s="81" t="s">
        <v>106</v>
      </c>
    </row>
    <row r="5" spans="2:7" x14ac:dyDescent="0.45">
      <c r="B5" s="37">
        <v>2</v>
      </c>
      <c r="C5" s="79"/>
      <c r="D5" s="79"/>
      <c r="E5" s="82"/>
      <c r="F5" s="82"/>
      <c r="G5" s="81"/>
    </row>
    <row r="6" spans="2:7" x14ac:dyDescent="0.45">
      <c r="B6" s="37">
        <v>3</v>
      </c>
      <c r="C6" s="79"/>
      <c r="D6" s="79"/>
      <c r="E6" s="82"/>
      <c r="F6" s="82"/>
      <c r="G6" s="81"/>
    </row>
    <row r="7" spans="2:7" x14ac:dyDescent="0.45">
      <c r="B7" s="37">
        <v>4</v>
      </c>
      <c r="C7" s="79"/>
      <c r="D7" s="79"/>
      <c r="E7" s="82"/>
      <c r="F7" s="82"/>
      <c r="G7" s="81"/>
    </row>
    <row r="8" spans="2:7" x14ac:dyDescent="0.45">
      <c r="B8" s="37">
        <v>5</v>
      </c>
      <c r="C8" s="79"/>
      <c r="D8" s="79"/>
      <c r="E8" s="82"/>
      <c r="F8" s="82"/>
      <c r="G8" s="81"/>
    </row>
    <row r="9" spans="2:7" x14ac:dyDescent="0.45">
      <c r="B9" s="37">
        <v>6</v>
      </c>
      <c r="C9" s="79"/>
      <c r="D9" s="79"/>
      <c r="E9" s="82"/>
      <c r="F9" s="82"/>
      <c r="G9" s="81"/>
    </row>
    <row r="10" spans="2:7" x14ac:dyDescent="0.45">
      <c r="B10" s="37">
        <v>7</v>
      </c>
      <c r="C10" s="79"/>
      <c r="D10" s="79"/>
      <c r="E10" s="82"/>
      <c r="F10" s="82"/>
      <c r="G10" s="81"/>
    </row>
    <row r="11" spans="2:7" x14ac:dyDescent="0.45">
      <c r="B11" s="37">
        <v>8</v>
      </c>
      <c r="C11" s="79"/>
      <c r="D11" s="79"/>
      <c r="E11" s="82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78"/>
  <sheetViews>
    <sheetView workbookViewId="0"/>
  </sheetViews>
  <sheetFormatPr defaultColWidth="8.69921875" defaultRowHeight="18" x14ac:dyDescent="0.45"/>
  <cols>
    <col min="1" max="16384" width="8.69921875" style="29"/>
  </cols>
  <sheetData>
    <row r="1" spans="1:3" x14ac:dyDescent="0.45">
      <c r="A1" s="29">
        <v>1005</v>
      </c>
      <c r="B1" s="89">
        <v>44839</v>
      </c>
      <c r="C1" s="29">
        <v>122093</v>
      </c>
    </row>
    <row r="2" spans="1:3" x14ac:dyDescent="0.45">
      <c r="A2" s="29">
        <v>1028</v>
      </c>
      <c r="B2" s="89">
        <v>44839</v>
      </c>
      <c r="C2" s="29">
        <v>2102100</v>
      </c>
    </row>
    <row r="3" spans="1:3" x14ac:dyDescent="0.45">
      <c r="A3" s="29">
        <v>1041</v>
      </c>
      <c r="B3" s="89">
        <v>44839</v>
      </c>
      <c r="C3" s="29">
        <v>27208</v>
      </c>
    </row>
    <row r="4" spans="1:3" x14ac:dyDescent="0.45">
      <c r="A4" s="29">
        <v>1203</v>
      </c>
      <c r="B4" s="89">
        <v>44839</v>
      </c>
      <c r="C4" s="29">
        <v>276265</v>
      </c>
    </row>
    <row r="5" spans="1:3" x14ac:dyDescent="0.45">
      <c r="A5" s="29">
        <v>1209</v>
      </c>
      <c r="B5" s="89">
        <v>44839</v>
      </c>
      <c r="C5" s="29">
        <v>1716578</v>
      </c>
    </row>
    <row r="6" spans="1:3" x14ac:dyDescent="0.45">
      <c r="A6" s="29">
        <v>1409</v>
      </c>
      <c r="B6" s="89">
        <v>44839</v>
      </c>
      <c r="C6" s="29">
        <v>5842881</v>
      </c>
    </row>
    <row r="7" spans="1:3" x14ac:dyDescent="0.45">
      <c r="A7" s="29">
        <v>1601</v>
      </c>
      <c r="B7" s="89">
        <v>44839</v>
      </c>
      <c r="C7" s="29">
        <v>4585077</v>
      </c>
    </row>
    <row r="8" spans="1:3" x14ac:dyDescent="0.45">
      <c r="A8" s="29">
        <v>1606</v>
      </c>
      <c r="B8" s="89">
        <v>44839</v>
      </c>
      <c r="C8" s="29">
        <v>528000</v>
      </c>
    </row>
    <row r="9" spans="1:3" x14ac:dyDescent="0.45">
      <c r="A9" s="29">
        <v>1620</v>
      </c>
      <c r="B9" s="89">
        <v>44839</v>
      </c>
      <c r="C9" s="29">
        <v>1209175</v>
      </c>
    </row>
    <row r="10" spans="1:3" x14ac:dyDescent="0.45">
      <c r="A10" s="29">
        <v>1624</v>
      </c>
      <c r="B10" s="89">
        <v>44839</v>
      </c>
      <c r="C10" s="29">
        <v>335990</v>
      </c>
    </row>
    <row r="11" spans="1:3" x14ac:dyDescent="0.45">
      <c r="A11" s="29">
        <v>1807</v>
      </c>
      <c r="B11" s="89">
        <v>44839</v>
      </c>
      <c r="C11" s="29">
        <v>1070323</v>
      </c>
    </row>
    <row r="12" spans="1:3" x14ac:dyDescent="0.45">
      <c r="A12" s="29">
        <v>1818</v>
      </c>
      <c r="B12" s="89">
        <v>44839</v>
      </c>
      <c r="C12" s="29">
        <v>8228</v>
      </c>
    </row>
    <row r="13" spans="1:3" x14ac:dyDescent="0.45">
      <c r="A13" s="29">
        <v>1826</v>
      </c>
      <c r="B13" s="89">
        <v>44839</v>
      </c>
      <c r="C13" s="29">
        <v>761189</v>
      </c>
    </row>
    <row r="14" spans="1:3" x14ac:dyDescent="0.45">
      <c r="A14" s="29">
        <v>2002</v>
      </c>
      <c r="B14" s="89">
        <v>44839</v>
      </c>
      <c r="C14" s="29">
        <v>503800</v>
      </c>
    </row>
    <row r="15" spans="1:3" x14ac:dyDescent="0.45">
      <c r="A15" s="29">
        <v>2007</v>
      </c>
      <c r="B15" s="89">
        <v>44839</v>
      </c>
      <c r="C15" s="29">
        <v>141370</v>
      </c>
    </row>
    <row r="16" spans="1:3" x14ac:dyDescent="0.45">
      <c r="A16" s="29">
        <v>2012</v>
      </c>
      <c r="B16" s="89">
        <v>44839</v>
      </c>
      <c r="C16" s="29">
        <v>309980</v>
      </c>
    </row>
    <row r="17" spans="1:3" x14ac:dyDescent="0.45">
      <c r="A17" s="29">
        <v>2022</v>
      </c>
      <c r="B17" s="89">
        <v>44839</v>
      </c>
      <c r="C17" s="29">
        <v>69685</v>
      </c>
    </row>
    <row r="18" spans="1:3" x14ac:dyDescent="0.45">
      <c r="A18" s="29">
        <v>2023</v>
      </c>
      <c r="B18" s="89">
        <v>44839</v>
      </c>
      <c r="C18" s="29">
        <v>822800</v>
      </c>
    </row>
    <row r="19" spans="1:3" x14ac:dyDescent="0.45">
      <c r="A19" s="29">
        <v>2025</v>
      </c>
      <c r="B19" s="89">
        <v>44839</v>
      </c>
      <c r="C19" s="29">
        <v>117810</v>
      </c>
    </row>
    <row r="20" spans="1:3" x14ac:dyDescent="0.45">
      <c r="A20" s="29">
        <v>2026</v>
      </c>
      <c r="B20" s="89">
        <v>44839</v>
      </c>
      <c r="C20" s="29">
        <v>153560</v>
      </c>
    </row>
    <row r="21" spans="1:3" x14ac:dyDescent="0.45">
      <c r="A21" s="29">
        <v>2029</v>
      </c>
      <c r="B21" s="89">
        <v>44839</v>
      </c>
      <c r="C21" s="29">
        <v>340736</v>
      </c>
    </row>
    <row r="22" spans="1:3" x14ac:dyDescent="0.45">
      <c r="A22" s="29">
        <v>2031</v>
      </c>
      <c r="B22" s="89">
        <v>44839</v>
      </c>
      <c r="C22" s="29">
        <v>410300</v>
      </c>
    </row>
    <row r="23" spans="1:3" x14ac:dyDescent="0.45">
      <c r="A23" s="29">
        <v>2602</v>
      </c>
      <c r="B23" s="89">
        <v>44839</v>
      </c>
      <c r="C23" s="29">
        <v>555753</v>
      </c>
    </row>
    <row r="24" spans="1:3" x14ac:dyDescent="0.45">
      <c r="A24" s="29">
        <v>2604</v>
      </c>
      <c r="B24" s="89">
        <v>44839</v>
      </c>
      <c r="C24" s="29">
        <v>114840</v>
      </c>
    </row>
    <row r="25" spans="1:3" x14ac:dyDescent="0.45">
      <c r="A25" s="29">
        <v>2605</v>
      </c>
      <c r="B25" s="89">
        <v>44839</v>
      </c>
      <c r="C25" s="29">
        <v>8229266</v>
      </c>
    </row>
    <row r="26" spans="1:3" x14ac:dyDescent="0.45">
      <c r="A26" s="29">
        <v>2611</v>
      </c>
      <c r="B26" s="89">
        <v>44839</v>
      </c>
      <c r="C26" s="29">
        <v>548263</v>
      </c>
    </row>
    <row r="27" spans="1:3" x14ac:dyDescent="0.45">
      <c r="A27" s="29">
        <v>2807</v>
      </c>
      <c r="B27" s="89">
        <v>44839</v>
      </c>
      <c r="C27" s="29">
        <v>1531964</v>
      </c>
    </row>
    <row r="28" spans="1:3" x14ac:dyDescent="0.45">
      <c r="A28" s="29">
        <v>2809</v>
      </c>
      <c r="B28" s="89">
        <v>44839</v>
      </c>
      <c r="C28" s="29">
        <v>118008</v>
      </c>
    </row>
    <row r="29" spans="1:3" x14ac:dyDescent="0.45">
      <c r="A29" s="29">
        <v>2819</v>
      </c>
      <c r="B29" s="89">
        <v>44839</v>
      </c>
      <c r="C29" s="29">
        <v>270160</v>
      </c>
    </row>
    <row r="30" spans="1:3" x14ac:dyDescent="0.45">
      <c r="A30" s="29">
        <v>3003</v>
      </c>
      <c r="B30" s="89">
        <v>44839</v>
      </c>
      <c r="C30" s="29">
        <v>3080</v>
      </c>
    </row>
    <row r="31" spans="1:3" x14ac:dyDescent="0.45">
      <c r="A31" s="29">
        <v>3019</v>
      </c>
      <c r="B31" s="89">
        <v>44839</v>
      </c>
      <c r="C31" s="29">
        <v>7020500</v>
      </c>
    </row>
    <row r="32" spans="1:3" x14ac:dyDescent="0.45">
      <c r="A32" s="29">
        <v>3039</v>
      </c>
      <c r="B32" s="89">
        <v>44839</v>
      </c>
      <c r="C32" s="29">
        <v>20460</v>
      </c>
    </row>
    <row r="33" spans="1:3" x14ac:dyDescent="0.45">
      <c r="A33" s="29">
        <v>3044</v>
      </c>
      <c r="B33" s="89">
        <v>44839</v>
      </c>
      <c r="C33" s="29">
        <v>66000</v>
      </c>
    </row>
    <row r="34" spans="1:3" x14ac:dyDescent="0.45">
      <c r="A34" s="29">
        <v>3047</v>
      </c>
      <c r="B34" s="89">
        <v>44839</v>
      </c>
      <c r="C34" s="29">
        <v>132000</v>
      </c>
    </row>
    <row r="35" spans="1:3" x14ac:dyDescent="0.45">
      <c r="A35" s="29">
        <v>3200</v>
      </c>
      <c r="B35" s="89">
        <v>44839</v>
      </c>
      <c r="C35" s="29">
        <v>100870</v>
      </c>
    </row>
    <row r="36" spans="1:3" x14ac:dyDescent="0.45">
      <c r="A36" s="29">
        <v>3218</v>
      </c>
      <c r="B36" s="89">
        <v>44839</v>
      </c>
      <c r="C36" s="29">
        <v>176770</v>
      </c>
    </row>
    <row r="37" spans="1:3" x14ac:dyDescent="0.45">
      <c r="A37" s="29">
        <v>3404</v>
      </c>
      <c r="B37" s="89">
        <v>44839</v>
      </c>
      <c r="C37" s="29">
        <v>258610</v>
      </c>
    </row>
    <row r="38" spans="1:3" x14ac:dyDescent="0.45">
      <c r="A38" s="29">
        <v>3412</v>
      </c>
      <c r="B38" s="89">
        <v>44839</v>
      </c>
      <c r="C38" s="29">
        <v>2156287</v>
      </c>
    </row>
    <row r="39" spans="1:3" x14ac:dyDescent="0.45">
      <c r="A39" s="29">
        <v>3629</v>
      </c>
      <c r="B39" s="89">
        <v>44839</v>
      </c>
      <c r="C39" s="29">
        <v>1735800</v>
      </c>
    </row>
    <row r="40" spans="1:3" x14ac:dyDescent="0.45">
      <c r="A40" s="29">
        <v>3631</v>
      </c>
      <c r="B40" s="89">
        <v>44839</v>
      </c>
      <c r="C40" s="29">
        <v>71940</v>
      </c>
    </row>
    <row r="41" spans="1:3" x14ac:dyDescent="0.45">
      <c r="A41" s="29">
        <v>3802</v>
      </c>
      <c r="B41" s="89">
        <v>44839</v>
      </c>
      <c r="C41" s="29">
        <v>1146200</v>
      </c>
    </row>
    <row r="42" spans="1:3" x14ac:dyDescent="0.45">
      <c r="A42" s="29">
        <v>4004</v>
      </c>
      <c r="B42" s="89">
        <v>44839</v>
      </c>
      <c r="C42" s="29">
        <v>24246981</v>
      </c>
    </row>
    <row r="43" spans="1:3" x14ac:dyDescent="0.45">
      <c r="A43" s="29">
        <v>4301</v>
      </c>
      <c r="B43" s="89">
        <v>44839</v>
      </c>
      <c r="C43" s="29">
        <v>28780264</v>
      </c>
    </row>
    <row r="44" spans="1:3" x14ac:dyDescent="0.45">
      <c r="A44" s="29">
        <v>4809</v>
      </c>
      <c r="B44" s="89">
        <v>44839</v>
      </c>
      <c r="C44" s="29">
        <v>3388</v>
      </c>
    </row>
    <row r="45" spans="1:3" x14ac:dyDescent="0.45">
      <c r="A45" s="29">
        <v>4813</v>
      </c>
      <c r="B45" s="89">
        <v>44839</v>
      </c>
      <c r="C45" s="29">
        <v>70400</v>
      </c>
    </row>
    <row r="46" spans="1:3" x14ac:dyDescent="0.45">
      <c r="A46" s="29">
        <v>4816</v>
      </c>
      <c r="B46" s="89">
        <v>44839</v>
      </c>
      <c r="C46" s="29">
        <v>2404710</v>
      </c>
    </row>
    <row r="47" spans="1:3" x14ac:dyDescent="0.45">
      <c r="A47" s="29">
        <v>4818</v>
      </c>
      <c r="B47" s="89">
        <v>44839</v>
      </c>
      <c r="C47" s="29">
        <v>845900</v>
      </c>
    </row>
    <row r="48" spans="1:3" x14ac:dyDescent="0.45">
      <c r="A48" s="29">
        <v>4830</v>
      </c>
      <c r="B48" s="89">
        <v>44839</v>
      </c>
      <c r="C48" s="29">
        <v>22000</v>
      </c>
    </row>
    <row r="49" spans="1:3" x14ac:dyDescent="0.45">
      <c r="A49" s="29">
        <v>4831</v>
      </c>
      <c r="B49" s="89">
        <v>44839</v>
      </c>
      <c r="C49" s="29">
        <v>507126</v>
      </c>
    </row>
    <row r="50" spans="1:3" x14ac:dyDescent="0.45">
      <c r="A50" s="29">
        <v>5003</v>
      </c>
      <c r="B50" s="89">
        <v>44839</v>
      </c>
      <c r="C50" s="29">
        <v>1936177</v>
      </c>
    </row>
    <row r="51" spans="1:3" x14ac:dyDescent="0.45">
      <c r="A51" s="29">
        <v>5009</v>
      </c>
      <c r="B51" s="89">
        <v>44839</v>
      </c>
      <c r="C51" s="29">
        <v>7656</v>
      </c>
    </row>
    <row r="52" spans="1:3" x14ac:dyDescent="0.45">
      <c r="A52" s="29">
        <v>5011</v>
      </c>
      <c r="B52" s="89">
        <v>44839</v>
      </c>
      <c r="C52" s="29">
        <v>335810</v>
      </c>
    </row>
    <row r="53" spans="1:3" x14ac:dyDescent="0.45">
      <c r="A53" s="29">
        <v>5201</v>
      </c>
      <c r="B53" s="89">
        <v>44839</v>
      </c>
      <c r="C53" s="29">
        <v>10483</v>
      </c>
    </row>
    <row r="54" spans="1:3" x14ac:dyDescent="0.45">
      <c r="A54" s="29">
        <v>5219</v>
      </c>
      <c r="B54" s="89">
        <v>44839</v>
      </c>
      <c r="C54" s="29">
        <v>6369</v>
      </c>
    </row>
    <row r="55" spans="1:3" x14ac:dyDescent="0.45">
      <c r="A55" s="29">
        <v>5232</v>
      </c>
      <c r="B55" s="89">
        <v>44839</v>
      </c>
      <c r="C55" s="29">
        <v>12012</v>
      </c>
    </row>
    <row r="56" spans="1:3" x14ac:dyDescent="0.45">
      <c r="A56" s="29">
        <v>5235</v>
      </c>
      <c r="B56" s="89">
        <v>44839</v>
      </c>
      <c r="C56" s="29">
        <v>118085</v>
      </c>
    </row>
    <row r="57" spans="1:3" x14ac:dyDescent="0.45">
      <c r="A57" s="29">
        <v>5236</v>
      </c>
      <c r="B57" s="89">
        <v>44839</v>
      </c>
      <c r="C57" s="29">
        <v>8161120</v>
      </c>
    </row>
    <row r="58" spans="1:3" x14ac:dyDescent="0.45">
      <c r="A58" s="29">
        <v>5803</v>
      </c>
      <c r="B58" s="89">
        <v>44839</v>
      </c>
      <c r="C58" s="29">
        <v>14080</v>
      </c>
    </row>
    <row r="59" spans="1:3" x14ac:dyDescent="0.45">
      <c r="A59" s="29">
        <v>5804</v>
      </c>
      <c r="B59" s="89">
        <v>44839</v>
      </c>
      <c r="C59" s="29">
        <v>17569</v>
      </c>
    </row>
    <row r="60" spans="1:3" x14ac:dyDescent="0.45">
      <c r="A60" s="29">
        <v>6002</v>
      </c>
      <c r="B60" s="89">
        <v>44839</v>
      </c>
      <c r="C60" s="29">
        <v>13376</v>
      </c>
    </row>
    <row r="61" spans="1:3" x14ac:dyDescent="0.45">
      <c r="A61" s="29">
        <v>6006</v>
      </c>
      <c r="B61" s="89">
        <v>44839</v>
      </c>
      <c r="C61" s="29">
        <v>757570</v>
      </c>
    </row>
    <row r="62" spans="1:3" x14ac:dyDescent="0.45">
      <c r="A62" s="29">
        <v>6403</v>
      </c>
      <c r="B62" s="89">
        <v>44839</v>
      </c>
      <c r="C62" s="29">
        <v>6439015</v>
      </c>
    </row>
    <row r="63" spans="1:3" x14ac:dyDescent="0.45">
      <c r="A63" s="29">
        <v>6404</v>
      </c>
      <c r="B63" s="89">
        <v>44839</v>
      </c>
      <c r="C63" s="29">
        <v>110132</v>
      </c>
    </row>
    <row r="64" spans="1:3" x14ac:dyDescent="0.45">
      <c r="A64" s="29">
        <v>6406</v>
      </c>
      <c r="B64" s="89">
        <v>44839</v>
      </c>
      <c r="C64" s="29">
        <v>617628</v>
      </c>
    </row>
    <row r="65" spans="1:3" x14ac:dyDescent="0.45">
      <c r="A65" s="29">
        <v>6427</v>
      </c>
      <c r="B65" s="89">
        <v>44839</v>
      </c>
      <c r="C65" s="29">
        <v>419980</v>
      </c>
    </row>
    <row r="66" spans="1:3" x14ac:dyDescent="0.45">
      <c r="A66" s="29">
        <v>6801</v>
      </c>
      <c r="B66" s="89">
        <v>44839</v>
      </c>
      <c r="C66" s="29">
        <v>316694</v>
      </c>
    </row>
    <row r="67" spans="1:3" x14ac:dyDescent="0.45">
      <c r="A67" s="29">
        <v>6802</v>
      </c>
      <c r="B67" s="89">
        <v>44839</v>
      </c>
      <c r="C67" s="29">
        <v>35200</v>
      </c>
    </row>
    <row r="68" spans="1:3" x14ac:dyDescent="0.45">
      <c r="A68" s="29">
        <v>6811</v>
      </c>
      <c r="B68" s="89">
        <v>44839</v>
      </c>
      <c r="C68" s="29">
        <v>249728</v>
      </c>
    </row>
    <row r="69" spans="1:3" x14ac:dyDescent="0.45">
      <c r="A69" s="29">
        <v>7002</v>
      </c>
      <c r="B69" s="89">
        <v>44839</v>
      </c>
      <c r="C69" s="29">
        <v>150139</v>
      </c>
    </row>
    <row r="70" spans="1:3" x14ac:dyDescent="0.45">
      <c r="A70" s="29">
        <v>7015</v>
      </c>
      <c r="B70" s="89">
        <v>44839</v>
      </c>
      <c r="C70" s="29">
        <v>184778</v>
      </c>
    </row>
    <row r="71" spans="1:3" x14ac:dyDescent="0.45">
      <c r="A71" s="29">
        <v>7023</v>
      </c>
      <c r="B71" s="89">
        <v>44839</v>
      </c>
      <c r="C71" s="29">
        <v>107486</v>
      </c>
    </row>
    <row r="72" spans="1:3" x14ac:dyDescent="0.45">
      <c r="A72" s="29">
        <v>7024</v>
      </c>
      <c r="B72" s="89">
        <v>44839</v>
      </c>
      <c r="C72" s="29">
        <v>2600970</v>
      </c>
    </row>
    <row r="73" spans="1:3" x14ac:dyDescent="0.45">
      <c r="A73" s="29">
        <v>7604</v>
      </c>
      <c r="B73" s="89">
        <v>44839</v>
      </c>
      <c r="C73" s="29">
        <v>1667248</v>
      </c>
    </row>
    <row r="74" spans="1:3" x14ac:dyDescent="0.45">
      <c r="A74" s="29">
        <v>8201</v>
      </c>
      <c r="B74" s="89">
        <v>44839</v>
      </c>
      <c r="C74" s="29">
        <v>223300</v>
      </c>
    </row>
    <row r="75" spans="1:3" x14ac:dyDescent="0.45">
      <c r="A75" s="29">
        <v>8206</v>
      </c>
      <c r="B75" s="89">
        <v>44839</v>
      </c>
      <c r="C75" s="29">
        <v>5819935</v>
      </c>
    </row>
    <row r="76" spans="1:3" x14ac:dyDescent="0.45">
      <c r="A76" s="29">
        <v>8804</v>
      </c>
      <c r="B76" s="89">
        <v>44839</v>
      </c>
      <c r="C76" s="29">
        <v>261800</v>
      </c>
    </row>
    <row r="77" spans="1:3" x14ac:dyDescent="0.45">
      <c r="A77" s="29">
        <v>9601</v>
      </c>
      <c r="B77" s="89">
        <v>44839</v>
      </c>
      <c r="C77" s="29">
        <v>61600</v>
      </c>
    </row>
    <row r="78" spans="1:3" x14ac:dyDescent="0.45">
      <c r="A78" s="29">
        <v>9803</v>
      </c>
      <c r="B78" s="89">
        <v>44839</v>
      </c>
      <c r="C78" s="29">
        <v>193600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12</vt:i4>
      </vt:variant>
    </vt:vector>
  </HeadingPairs>
  <TitlesOfParts>
    <vt:vector size="21" baseType="lpstr">
      <vt:lpstr>変更履歴</vt:lpstr>
      <vt:lpstr>概要</vt:lpstr>
      <vt:lpstr>帳票レイアウト</vt:lpstr>
      <vt:lpstr>項目一覧</vt:lpstr>
      <vt:lpstr>処理詳細_書き方</vt:lpstr>
      <vt:lpstr>処理詳細</vt:lpstr>
      <vt:lpstr>確認事項</vt:lpstr>
      <vt:lpstr>別紙_テンプレート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2025-05-24T05:32:16Z</dcterms:modified>
</cp:coreProperties>
</file>