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2_帳票設計\"/>
    </mc:Choice>
  </mc:AlternateContent>
  <bookViews>
    <workbookView xWindow="0" yWindow="0" windowWidth="21048" windowHeight="7752" activeTab="2"/>
  </bookViews>
  <sheets>
    <sheet name="変更履歴" sheetId="1" r:id="rId1"/>
    <sheet name="概要" sheetId="14" r:id="rId2"/>
    <sheet name="帳票レイアウト" sheetId="2" r:id="rId3"/>
    <sheet name="項目一覧" sheetId="3" r:id="rId4"/>
    <sheet name="処理詳細" sheetId="19" r:id="rId5"/>
    <sheet name="処理詳細_書き方" sheetId="20" state="hidden" r:id="rId6"/>
    <sheet name="確認事項" sheetId="15" r:id="rId7"/>
    <sheet name="別紙_テンプレート" sheetId="16" r:id="rId8"/>
    <sheet name="別紙_印刷レイアウト" sheetId="21" r:id="rId9"/>
    <sheet name="参照" sheetId="12" state="hidden" r:id="rId10"/>
  </sheets>
  <definedNames>
    <definedName name="CoreCells">別紙_テンプレート!$A$5:$P$5</definedName>
    <definedName name="_xlnm.Print_Area" localSheetId="1">概要!$A$1:$BN$31</definedName>
    <definedName name="_xlnm.Print_Area" localSheetId="3">項目一覧!$A$1:$BX$52</definedName>
    <definedName name="_xlnm.Print_Area" localSheetId="4">処理詳細!$A$1:$BR$169</definedName>
    <definedName name="_xlnm.Print_Area" localSheetId="5">処理詳細_書き方!$A$1:$BR$33</definedName>
    <definedName name="_xlnm.Print_Area" localSheetId="2">帳票レイアウト!$A$1:$BN$48</definedName>
    <definedName name="_xlnm.Print_Area" localSheetId="0">変更履歴!$A$1:$BN$49</definedName>
    <definedName name="_xlnm.Print_Titles" localSheetId="1">概要!$1:$5</definedName>
    <definedName name="_xlnm.Print_Titles" localSheetId="3">項目一覧!$1:$5</definedName>
    <definedName name="_xlnm.Print_Titles" localSheetId="4">処理詳細!$1:$5</definedName>
    <definedName name="_xlnm.Print_Titles" localSheetId="5">処理詳細_書き方!$1:$5</definedName>
    <definedName name="_xlnm.Print_Titles" localSheetId="2">帳票レイアウト!$1:$5</definedName>
    <definedName name="_xlnm.Print_Titles" localSheetId="7">別紙_テンプレート!$1:$4</definedName>
    <definedName name="_xlnm.Print_Titles" localSheetId="0">変更履歴!$1:$5</definedName>
    <definedName name="作成日">別紙_テンプレート!$O$1</definedName>
    <definedName name="請求範囲">別紙_テンプレート!$A$2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J3" i="20" l="1"/>
  <c r="BF3" i="20"/>
  <c r="BB3" i="20"/>
  <c r="AX3" i="20"/>
  <c r="L3" i="20"/>
  <c r="B3" i="20"/>
  <c r="BJ3" i="19"/>
  <c r="BF3" i="19"/>
  <c r="BB3" i="19"/>
  <c r="AX3" i="19"/>
  <c r="L3" i="19"/>
  <c r="B3" i="19"/>
  <c r="BJ3" i="14" l="1"/>
  <c r="BF3" i="14"/>
  <c r="BB3" i="14"/>
  <c r="AX3" i="14"/>
  <c r="L3" i="14"/>
  <c r="B3" i="14"/>
  <c r="X3" i="1" l="1"/>
  <c r="X3" i="19" l="1"/>
  <c r="X3" i="20"/>
  <c r="X3" i="14"/>
  <c r="H3" i="1"/>
  <c r="R3" i="1"/>
  <c r="AK3" i="1"/>
  <c r="AK3" i="19" l="1"/>
  <c r="AK3" i="20"/>
  <c r="R3" i="19"/>
  <c r="R3" i="20"/>
  <c r="H3" i="19"/>
  <c r="H3" i="20"/>
  <c r="AK3" i="14"/>
  <c r="H7" i="14" s="1"/>
  <c r="R3" i="14"/>
  <c r="H3" i="14"/>
  <c r="R3" i="3"/>
  <c r="BJ3" i="3"/>
  <c r="BF3" i="3"/>
  <c r="BB3" i="3"/>
  <c r="AX3" i="3"/>
  <c r="AK3" i="3"/>
  <c r="L3" i="3"/>
  <c r="H3" i="3"/>
  <c r="B3" i="3"/>
  <c r="B3" i="2"/>
  <c r="H3" i="2"/>
  <c r="L3" i="2"/>
  <c r="R3" i="2"/>
  <c r="AK3" i="2"/>
  <c r="BJ3" i="2"/>
  <c r="BF3" i="2"/>
  <c r="BB3" i="2"/>
  <c r="AX3" i="2"/>
  <c r="X3" i="2" l="1"/>
  <c r="X3" i="3"/>
</calcChain>
</file>

<file path=xl/sharedStrings.xml><?xml version="1.0" encoding="utf-8"?>
<sst xmlns="http://schemas.openxmlformats.org/spreadsheetml/2006/main" count="499" uniqueCount="295">
  <si>
    <t>システム名</t>
    <rPh sb="4" eb="5">
      <t>メイ</t>
    </rPh>
    <phoneticPr fontId="2"/>
  </si>
  <si>
    <t>業務分類</t>
    <rPh sb="0" eb="2">
      <t>ギョウム</t>
    </rPh>
    <rPh sb="2" eb="4">
      <t>ブンルイ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</si>
  <si>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</si>
  <si>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</si>
  <si>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</si>
  <si>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</si>
  <si>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</si>
  <si>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</si>
  <si>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</si>
  <si>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</si>
  <si>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</si>
  <si>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</si>
  <si>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</si>
  <si>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</si>
  <si>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</si>
  <si>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</si>
  <si>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</si>
  <si>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画面ID</t>
    <rPh sb="0" eb="2">
      <t>ガメン</t>
    </rPh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</si>
  <si>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</si>
  <si>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</si>
  <si>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</si>
  <si>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</si>
  <si>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帳票の名称</t>
    <rPh sb="0" eb="2">
      <t>チョウヒョウ</t>
    </rPh>
    <rPh sb="3" eb="5">
      <t>メイショウ</t>
    </rPh>
    <phoneticPr fontId="2"/>
  </si>
  <si>
    <t>ファイル種類</t>
    <rPh sb="4" eb="6">
      <t>シュルイ</t>
    </rPh>
    <phoneticPr fontId="2"/>
  </si>
  <si>
    <t>データ型</t>
    <rPh sb="3" eb="4">
      <t>カタ</t>
    </rPh>
    <phoneticPr fontId="1"/>
  </si>
  <si>
    <t>帳票テンプレート名</t>
    <rPh sb="0" eb="2">
      <t>チョウヒョウ</t>
    </rPh>
    <rPh sb="8" eb="9">
      <t>メイ</t>
    </rPh>
    <phoneticPr fontId="2"/>
  </si>
  <si>
    <t>ファイル拡張子</t>
    <rPh sb="4" eb="7">
      <t>カクチョウシ</t>
    </rPh>
    <phoneticPr fontId="2"/>
  </si>
  <si>
    <t>文字コード</t>
    <rPh sb="0" eb="2">
      <t>モジ</t>
    </rPh>
    <phoneticPr fontId="2"/>
  </si>
  <si>
    <t>コーテーション</t>
    <phoneticPr fontId="2"/>
  </si>
  <si>
    <t>固定長/可変長</t>
    <rPh sb="0" eb="3">
      <t>コテイチョウ</t>
    </rPh>
    <rPh sb="4" eb="7">
      <t>カヘンチョウ</t>
    </rPh>
    <phoneticPr fontId="2"/>
  </si>
  <si>
    <t>区切り文字</t>
    <rPh sb="0" eb="2">
      <t>クギ</t>
    </rPh>
    <rPh sb="3" eb="5">
      <t>モジ</t>
    </rPh>
    <phoneticPr fontId="2"/>
  </si>
  <si>
    <t>帳票名</t>
    <rPh sb="0" eb="2">
      <t>チョウヒョウ</t>
    </rPh>
    <rPh sb="2" eb="3">
      <t>メイ</t>
    </rPh>
    <phoneticPr fontId="2"/>
  </si>
  <si>
    <t>帳票名</t>
    <rPh sb="0" eb="2">
      <t>チョウヒョウ</t>
    </rPh>
    <phoneticPr fontId="2"/>
  </si>
  <si>
    <t>全角/半角</t>
    <rPh sb="0" eb="2">
      <t>ゼンカク</t>
    </rPh>
    <rPh sb="3" eb="5">
      <t>ハンカク</t>
    </rPh>
    <phoneticPr fontId="1"/>
  </si>
  <si>
    <t>文字数/桁数</t>
    <rPh sb="0" eb="3">
      <t>モジスウ</t>
    </rPh>
    <rPh sb="4" eb="6">
      <t>ケタスウ</t>
    </rPh>
    <phoneticPr fontId="1"/>
  </si>
  <si>
    <t>データ整形方法</t>
    <rPh sb="3" eb="7">
      <t>セイケイホウホウ</t>
    </rPh>
    <phoneticPr fontId="1"/>
  </si>
  <si>
    <t>データ取得元</t>
    <rPh sb="3" eb="6">
      <t>シュトクモト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</si>
  <si>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</si>
  <si>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</si>
  <si>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</si>
  <si>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</si>
  <si>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</si>
  <si>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整形後フォーマット</t>
    <rPh sb="0" eb="3">
      <t>セイケイゴ</t>
    </rPh>
    <phoneticPr fontId="1"/>
  </si>
  <si>
    <t>備考</t>
    <rPh sb="0" eb="2">
      <t>ビコウ</t>
    </rPh>
    <phoneticPr fontId="1"/>
  </si>
  <si>
    <t>用紙サイズ</t>
    <rPh sb="0" eb="2">
      <t>ヨウシ</t>
    </rPh>
    <phoneticPr fontId="2"/>
  </si>
  <si>
    <t>ページ１</t>
    <phoneticPr fontId="2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</si>
  <si>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</si>
  <si>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</si>
  <si>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</si>
  <si>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</si>
  <si>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</si>
  <si>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</si>
  <si>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フォントや文字サイズ、セル条件などは「別紙_テンプレート」準拠</t>
    <rPh sb="13" eb="15">
      <t>ジョウケン</t>
    </rPh>
    <rPh sb="19" eb="21">
      <t>ベッシ</t>
    </rPh>
    <phoneticPr fontId="1"/>
  </si>
  <si>
    <t>Excel</t>
    <phoneticPr fontId="2"/>
  </si>
  <si>
    <t>xlsx</t>
    <phoneticPr fontId="2"/>
  </si>
  <si>
    <t>-</t>
    <phoneticPr fontId="2"/>
  </si>
  <si>
    <t>-</t>
    <phoneticPr fontId="2"/>
  </si>
  <si>
    <t>TemplateWel中日施工集計表.xlsx</t>
    <phoneticPr fontId="2"/>
  </si>
  <si>
    <t>2015年10月1日～2015年10月31日</t>
    <rPh sb="4" eb="5">
      <t>ネン</t>
    </rPh>
    <rPh sb="7" eb="8">
      <t>ガツ</t>
    </rPh>
    <rPh sb="9" eb="10">
      <t>ニチ</t>
    </rPh>
    <rPh sb="15" eb="16">
      <t>ネン</t>
    </rPh>
    <rPh sb="18" eb="19">
      <t>ガツ</t>
    </rPh>
    <rPh sb="21" eb="22">
      <t>ニチ</t>
    </rPh>
    <phoneticPr fontId="12"/>
  </si>
  <si>
    <t>施工以外</t>
    <phoneticPr fontId="12"/>
  </si>
  <si>
    <t>施工以外</t>
    <phoneticPr fontId="12"/>
  </si>
  <si>
    <t>施工</t>
    <phoneticPr fontId="12"/>
  </si>
  <si>
    <t>中日</t>
    <rPh sb="0" eb="2">
      <t>チュウニチ</t>
    </rPh>
    <phoneticPr fontId="12"/>
  </si>
  <si>
    <t>中日以外</t>
    <rPh sb="0" eb="2">
      <t>チュウニチ</t>
    </rPh>
    <rPh sb="2" eb="4">
      <t>イガイ</t>
    </rPh>
    <phoneticPr fontId="12"/>
  </si>
  <si>
    <t>納入得意先CD</t>
    <phoneticPr fontId="12"/>
  </si>
  <si>
    <t>納入先CD</t>
  </si>
  <si>
    <t>納入先名</t>
    <phoneticPr fontId="12"/>
  </si>
  <si>
    <t>物種</t>
    <phoneticPr fontId="12"/>
  </si>
  <si>
    <t>調剤</t>
    <phoneticPr fontId="12"/>
  </si>
  <si>
    <t>売上金額</t>
    <phoneticPr fontId="12"/>
  </si>
  <si>
    <t>原価金額</t>
    <phoneticPr fontId="12"/>
  </si>
  <si>
    <t>原価金額</t>
    <phoneticPr fontId="12"/>
  </si>
  <si>
    <t>販売割戻金</t>
    <phoneticPr fontId="12"/>
  </si>
  <si>
    <t>特別出精値引</t>
    <phoneticPr fontId="12"/>
  </si>
  <si>
    <t>売上金額</t>
    <phoneticPr fontId="12"/>
  </si>
  <si>
    <t>出精値引</t>
  </si>
  <si>
    <t>期間from</t>
    <rPh sb="0" eb="2">
      <t>キカン</t>
    </rPh>
    <phoneticPr fontId="1"/>
  </si>
  <si>
    <t>期間to</t>
    <rPh sb="0" eb="2">
      <t>キカン</t>
    </rPh>
    <phoneticPr fontId="1"/>
  </si>
  <si>
    <t>作成日</t>
    <rPh sb="0" eb="3">
      <t>サクセイビ</t>
    </rPh>
    <phoneticPr fontId="1"/>
  </si>
  <si>
    <t>納入得意先CD</t>
    <rPh sb="0" eb="5">
      <t>ノウニュウトクイサキ</t>
    </rPh>
    <phoneticPr fontId="1"/>
  </si>
  <si>
    <t>納入先CD</t>
    <rPh sb="0" eb="3">
      <t>ノウニュウサキ</t>
    </rPh>
    <phoneticPr fontId="1"/>
  </si>
  <si>
    <t>納入先名</t>
    <rPh sb="0" eb="3">
      <t>ノウニュウサキ</t>
    </rPh>
    <rPh sb="3" eb="4">
      <t>メイ</t>
    </rPh>
    <phoneticPr fontId="1"/>
  </si>
  <si>
    <t>物種</t>
    <rPh sb="0" eb="2">
      <t>ブツシュ</t>
    </rPh>
    <phoneticPr fontId="1"/>
  </si>
  <si>
    <t>調剤</t>
    <rPh sb="0" eb="2">
      <t>チョウザイ</t>
    </rPh>
    <phoneticPr fontId="1"/>
  </si>
  <si>
    <t>施工以外_中日_売上金額</t>
    <rPh sb="0" eb="4">
      <t>セコウイガイ</t>
    </rPh>
    <rPh sb="5" eb="7">
      <t>チュウニチ</t>
    </rPh>
    <rPh sb="8" eb="12">
      <t>ウリアゲキンガク</t>
    </rPh>
    <phoneticPr fontId="1"/>
  </si>
  <si>
    <t>施工以外_中日_原価金額</t>
    <rPh sb="0" eb="4">
      <t>セコウイガイ</t>
    </rPh>
    <rPh sb="5" eb="7">
      <t>チュウニチ</t>
    </rPh>
    <rPh sb="8" eb="12">
      <t>ゲンカキンガク</t>
    </rPh>
    <phoneticPr fontId="1"/>
  </si>
  <si>
    <t>施工以外_中日以外_売上金額</t>
    <rPh sb="0" eb="4">
      <t>セコウイガイ</t>
    </rPh>
    <rPh sb="5" eb="7">
      <t>チュウニチ</t>
    </rPh>
    <rPh sb="7" eb="9">
      <t>イガイ</t>
    </rPh>
    <rPh sb="10" eb="14">
      <t>ウリアゲキンガク</t>
    </rPh>
    <phoneticPr fontId="1"/>
  </si>
  <si>
    <t>施工以外_中日以外_原価金額</t>
    <rPh sb="0" eb="4">
      <t>セコウイガイ</t>
    </rPh>
    <rPh sb="5" eb="7">
      <t>チュウニチ</t>
    </rPh>
    <rPh sb="7" eb="9">
      <t>イガイ</t>
    </rPh>
    <rPh sb="10" eb="14">
      <t>ゲンカキンガク</t>
    </rPh>
    <phoneticPr fontId="1"/>
  </si>
  <si>
    <t>販売割戻金</t>
    <rPh sb="0" eb="4">
      <t>ハンバイワリモドシ</t>
    </rPh>
    <rPh sb="4" eb="5">
      <t>キン</t>
    </rPh>
    <phoneticPr fontId="1"/>
  </si>
  <si>
    <t>特別出精値引</t>
    <rPh sb="0" eb="4">
      <t>トクベツシュッセイ</t>
    </rPh>
    <rPh sb="4" eb="6">
      <t>ネビ</t>
    </rPh>
    <phoneticPr fontId="1"/>
  </si>
  <si>
    <t>施工_中日_売上金額</t>
    <rPh sb="0" eb="2">
      <t>セコウ</t>
    </rPh>
    <rPh sb="3" eb="5">
      <t>チュウニチ</t>
    </rPh>
    <rPh sb="6" eb="10">
      <t>ウリアゲキンガク</t>
    </rPh>
    <phoneticPr fontId="1"/>
  </si>
  <si>
    <t>施工_中日_原価金額</t>
    <rPh sb="0" eb="2">
      <t>セコウ</t>
    </rPh>
    <rPh sb="3" eb="5">
      <t>チュウニチ</t>
    </rPh>
    <rPh sb="6" eb="10">
      <t>ゲンカキンガク</t>
    </rPh>
    <phoneticPr fontId="1"/>
  </si>
  <si>
    <t>施工_中日以外_売上金額</t>
    <rPh sb="0" eb="2">
      <t>セコウ</t>
    </rPh>
    <rPh sb="3" eb="5">
      <t>チュウニチ</t>
    </rPh>
    <rPh sb="5" eb="7">
      <t>イガイ</t>
    </rPh>
    <rPh sb="8" eb="12">
      <t>ウリアゲキンガク</t>
    </rPh>
    <phoneticPr fontId="1"/>
  </si>
  <si>
    <t>施工_中日以外_原価金額</t>
    <rPh sb="0" eb="2">
      <t>セコウ</t>
    </rPh>
    <rPh sb="3" eb="5">
      <t>チュウニチ</t>
    </rPh>
    <rPh sb="5" eb="7">
      <t>イガイ</t>
    </rPh>
    <rPh sb="8" eb="12">
      <t>ゲンカキンガク</t>
    </rPh>
    <phoneticPr fontId="1"/>
  </si>
  <si>
    <t>出精値引</t>
    <rPh sb="0" eb="4">
      <t>シュッセイネビ</t>
    </rPh>
    <phoneticPr fontId="1"/>
  </si>
  <si>
    <t>半角</t>
    <rPh sb="0" eb="2">
      <t>ハンカク</t>
    </rPh>
    <phoneticPr fontId="1"/>
  </si>
  <si>
    <t>画面.請求日付開始日</t>
    <rPh sb="0" eb="2">
      <t>ガメン</t>
    </rPh>
    <rPh sb="3" eb="7">
      <t>セイキュウヒヅケ</t>
    </rPh>
    <rPh sb="7" eb="10">
      <t>カイシビ</t>
    </rPh>
    <phoneticPr fontId="1"/>
  </si>
  <si>
    <t>画面.請求日付終了日</t>
    <rPh sb="0" eb="2">
      <t>ガメン</t>
    </rPh>
    <rPh sb="3" eb="10">
      <t>セイキュウヒヅケシュウリョウビ</t>
    </rPh>
    <phoneticPr fontId="1"/>
  </si>
  <si>
    <t>現在日付</t>
    <rPh sb="0" eb="4">
      <t>ゲンザイヒヅケ</t>
    </rPh>
    <phoneticPr fontId="1"/>
  </si>
  <si>
    <t>from</t>
    <phoneticPr fontId="2"/>
  </si>
  <si>
    <r>
      <t>1.</t>
    </r>
    <r>
      <rPr>
        <b/>
        <sz val="9"/>
        <color rgb="FFFF0000"/>
        <rFont val="Meiryo UI"/>
        <family val="3"/>
        <charset val="128"/>
      </rPr>
      <t>タイトルを記載</t>
    </r>
    <rPh sb="7" eb="9">
      <t>キサイ</t>
    </rPh>
    <phoneticPr fontId="2"/>
  </si>
  <si>
    <t>from</t>
  </si>
  <si>
    <t>使用するテーブル名を記載</t>
    <rPh sb="0" eb="2">
      <t>シヨウ</t>
    </rPh>
    <rPh sb="8" eb="9">
      <t>メイ</t>
    </rPh>
    <rPh sb="10" eb="12">
      <t>キサイ</t>
    </rPh>
    <phoneticPr fontId="2"/>
  </si>
  <si>
    <t>TD売上請求H</t>
  </si>
  <si>
    <t>TD見積</t>
    <rPh sb="2" eb="4">
      <t>ミツモリ</t>
    </rPh>
    <phoneticPr fontId="2"/>
  </si>
  <si>
    <t>TM納入先</t>
    <rPh sb="2" eb="5">
      <t>ノウニュウサキ</t>
    </rPh>
    <phoneticPr fontId="2"/>
  </si>
  <si>
    <t>join</t>
  </si>
  <si>
    <t>結合方式</t>
    <rPh sb="0" eb="2">
      <t>ケツゴウ</t>
    </rPh>
    <rPh sb="2" eb="4">
      <t>ホウシキ</t>
    </rPh>
    <phoneticPr fontId="2"/>
  </si>
  <si>
    <t>結合テーブル名</t>
  </si>
  <si>
    <t>結合条件</t>
    <rPh sb="0" eb="2">
      <t>ケツゴウ</t>
    </rPh>
    <rPh sb="2" eb="4">
      <t>ジョウケン</t>
    </rPh>
    <phoneticPr fontId="2"/>
  </si>
  <si>
    <t>and</t>
  </si>
  <si>
    <t>or</t>
  </si>
  <si>
    <t>INNER JOIN</t>
  </si>
  <si>
    <t>TM納入先</t>
  </si>
  <si>
    <t>[TD見積.納入得意先CD]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</si>
  <si>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[TD見積.納入先CD] = [TM納入先.納入先CD]</t>
    <rPh sb="3" eb="5">
      <t>ミツモリ</t>
    </rPh>
    <rPh sb="6" eb="9">
      <t>ノウニュウサキ</t>
    </rPh>
    <rPh sb="18" eb="21">
      <t>ノウニュウサキ</t>
    </rPh>
    <rPh sb="22" eb="25">
      <t>ノウニュウサキ</t>
    </rPh>
    <phoneticPr fontId="2"/>
  </si>
  <si>
    <t>where</t>
  </si>
  <si>
    <t>取得条件</t>
  </si>
  <si>
    <t>パラメータの意味が分かる場合は記載する</t>
    <rPh sb="5" eb="7">
      <t>イミ</t>
    </rPh>
    <rPh sb="8" eb="9">
      <t>ワ</t>
    </rPh>
    <rPh sb="11" eb="13">
      <t>バアイ</t>
    </rPh>
    <rPh sb="14" eb="16">
      <t>キサイ</t>
    </rPh>
    <phoneticPr fontId="2"/>
  </si>
  <si>
    <t>取得条件</t>
    <rPh sb="0" eb="2">
      <t>シュトク</t>
    </rPh>
    <rPh sb="2" eb="4">
      <t>ジョウケン</t>
    </rPh>
    <phoneticPr fontId="2"/>
  </si>
  <si>
    <t>※可能な限り日本語化する</t>
    <rPh sb="1" eb="3">
      <t>カノウ</t>
    </rPh>
    <rPh sb="4" eb="5">
      <t>カギ</t>
    </rPh>
    <rPh sb="6" eb="10">
      <t>ニホンゴカ</t>
    </rPh>
    <phoneticPr fontId="2"/>
  </si>
  <si>
    <t>[TD見積.得意先CD] = '8001'</t>
  </si>
  <si>
    <t>8001'はヤオコーの得意先CD</t>
    <rPh sb="11" eb="14">
      <t>トクイサキ</t>
    </rPh>
    <phoneticPr fontId="2"/>
  </si>
  <si>
    <t>[TD売上請求H.請求日付]が[画面.請求期間From]以降</t>
    <rPh sb="28" eb="30">
      <t>イコウ</t>
    </rPh>
    <phoneticPr fontId="2"/>
  </si>
  <si>
    <t>order by</t>
  </si>
  <si>
    <t>ソート条件を記載</t>
    <rPh sb="3" eb="5">
      <t>ジョウケン</t>
    </rPh>
    <rPh sb="6" eb="8">
      <t>キサイ</t>
    </rPh>
    <phoneticPr fontId="2"/>
  </si>
  <si>
    <t>[画面.iYK物件区分]が1の場合は[TD見積.納入得意先CD],[TD見積.納入先CD],[TD売上請求H.見積番号]を昇順でソート</t>
    <rPh sb="1" eb="3">
      <t>ガメン</t>
    </rPh>
    <rPh sb="7" eb="9">
      <t>ブッケン</t>
    </rPh>
    <rPh sb="9" eb="11">
      <t>クブン</t>
    </rPh>
    <rPh sb="15" eb="17">
      <t>バアイ</t>
    </rPh>
    <rPh sb="21" eb="23">
      <t>ミツモリ</t>
    </rPh>
    <rPh sb="24" eb="26">
      <t>ノウニュウ</t>
    </rPh>
    <rPh sb="26" eb="29">
      <t>トクイサキ</t>
    </rPh>
    <rPh sb="61" eb="63">
      <t>ショウジュン</t>
    </rPh>
    <phoneticPr fontId="2"/>
  </si>
  <si>
    <t>group byなどほかの条件がある場合は行を追加して記載</t>
    <rPh sb="13" eb="15">
      <t>ジョウケン</t>
    </rPh>
    <rPh sb="18" eb="20">
      <t>バアイ</t>
    </rPh>
    <rPh sb="21" eb="22">
      <t>ギョウ</t>
    </rPh>
    <rPh sb="23" eb="25">
      <t>ツイカ</t>
    </rPh>
    <rPh sb="27" eb="29">
      <t>キサイ</t>
    </rPh>
    <phoneticPr fontId="2"/>
  </si>
  <si>
    <t>select</t>
    <phoneticPr fontId="2"/>
  </si>
  <si>
    <t>格納テーブル</t>
    <rPh sb="0" eb="2">
      <t>カクノウ</t>
    </rPh>
    <phoneticPr fontId="2"/>
  </si>
  <si>
    <t>仕入先CD</t>
    <rPh sb="0" eb="2">
      <t>シイレ</t>
    </rPh>
    <rPh sb="2" eb="3">
      <t>サキ</t>
    </rPh>
    <phoneticPr fontId="2"/>
  </si>
  <si>
    <t>VM支払予定情報.仕入先CD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phoneticPr fontId="2"/>
  </si>
  <si>
    <t>仕入先名1</t>
    <rPh sb="0" eb="2">
      <t>シイレ</t>
    </rPh>
    <rPh sb="2" eb="3">
      <t>サキ</t>
    </rPh>
    <rPh sb="3" eb="4">
      <t>メイ</t>
    </rPh>
    <phoneticPr fontId="2"/>
  </si>
  <si>
    <t>VM支払予定情報.仕入先名1</t>
    <rPh sb="2" eb="4">
      <t>シハライ</t>
    </rPh>
    <rPh sb="4" eb="6">
      <t>ヨテイ</t>
    </rPh>
    <rPh sb="6" eb="8">
      <t>ジョウホウ</t>
    </rPh>
    <rPh sb="9" eb="11">
      <t>シイレ</t>
    </rPh>
    <rPh sb="11" eb="12">
      <t>サキ</t>
    </rPh>
    <rPh sb="12" eb="13">
      <t>メイ</t>
    </rPh>
    <phoneticPr fontId="2"/>
  </si>
  <si>
    <t>全角</t>
    <rPh sb="0" eb="2">
      <t>ゼンカク</t>
    </rPh>
    <phoneticPr fontId="1"/>
  </si>
  <si>
    <t>縮小して全体表示</t>
    <rPh sb="0" eb="2">
      <t>シュクショウ</t>
    </rPh>
    <rPh sb="4" eb="8">
      <t>ゼンタイヒョウジ</t>
    </rPh>
    <phoneticPr fontId="1"/>
  </si>
  <si>
    <t>SQL1</t>
    <phoneticPr fontId="2"/>
  </si>
  <si>
    <t>insert</t>
    <phoneticPr fontId="2"/>
  </si>
  <si>
    <t>見積番号</t>
  </si>
  <si>
    <t>見積番号</t>
    <rPh sb="0" eb="2">
      <t>ミツモリ</t>
    </rPh>
    <rPh sb="2" eb="4">
      <t>バンゴウ</t>
    </rPh>
    <phoneticPr fontId="2"/>
  </si>
  <si>
    <t>納入得意先CD</t>
  </si>
  <si>
    <t>納入得意先CD</t>
    <rPh sb="0" eb="2">
      <t>ノウニュウ</t>
    </rPh>
    <rPh sb="2" eb="5">
      <t>トクイサキ</t>
    </rPh>
    <phoneticPr fontId="2"/>
  </si>
  <si>
    <t>納入先CD</t>
    <rPh sb="0" eb="3">
      <t>ノウニュウサキ</t>
    </rPh>
    <phoneticPr fontId="2"/>
  </si>
  <si>
    <t>物件種別</t>
  </si>
  <si>
    <t>物件種別</t>
    <rPh sb="0" eb="2">
      <t>ブッケン</t>
    </rPh>
    <rPh sb="2" eb="4">
      <t>シュベツ</t>
    </rPh>
    <phoneticPr fontId="2"/>
  </si>
  <si>
    <t>見積件名</t>
  </si>
  <si>
    <t>見積件名</t>
    <rPh sb="0" eb="2">
      <t>ミツモリ</t>
    </rPh>
    <rPh sb="2" eb="4">
      <t>ケンメイ</t>
    </rPh>
    <phoneticPr fontId="2"/>
  </si>
  <si>
    <t>売上金額_中日_施工以外</t>
  </si>
  <si>
    <t>売上金額_中日_施工以外</t>
    <rPh sb="0" eb="2">
      <t>ウリアゲ</t>
    </rPh>
    <rPh sb="2" eb="4">
      <t>キンガク</t>
    </rPh>
    <rPh sb="5" eb="7">
      <t>ナカビ</t>
    </rPh>
    <rPh sb="8" eb="10">
      <t>セコウ</t>
    </rPh>
    <rPh sb="10" eb="12">
      <t>イガイ</t>
    </rPh>
    <phoneticPr fontId="2"/>
  </si>
  <si>
    <t>原価金額_中日_施工以外</t>
  </si>
  <si>
    <t>原価金額_中日_施工以外</t>
    <rPh sb="0" eb="2">
      <t>ゲンカ</t>
    </rPh>
    <rPh sb="2" eb="4">
      <t>キンガク</t>
    </rPh>
    <rPh sb="5" eb="7">
      <t>ナカビ</t>
    </rPh>
    <rPh sb="8" eb="10">
      <t>セコウ</t>
    </rPh>
    <rPh sb="10" eb="12">
      <t>イガイ</t>
    </rPh>
    <phoneticPr fontId="2"/>
  </si>
  <si>
    <t>売上金額_中日以外_施工以外</t>
  </si>
  <si>
    <t>売上金額_中日以外_施工以外</t>
    <rPh sb="0" eb="2">
      <t>ウリアゲ</t>
    </rPh>
    <rPh sb="2" eb="4">
      <t>キンガク</t>
    </rPh>
    <rPh sb="5" eb="7">
      <t>ナカビ</t>
    </rPh>
    <rPh sb="7" eb="9">
      <t>イガイ</t>
    </rPh>
    <rPh sb="10" eb="12">
      <t>セコウ</t>
    </rPh>
    <rPh sb="12" eb="14">
      <t>イガイ</t>
    </rPh>
    <phoneticPr fontId="2"/>
  </si>
  <si>
    <t>原価金額_中日以外_施工以外</t>
  </si>
  <si>
    <t>原価金額_中日以外_施工以外</t>
    <rPh sb="0" eb="2">
      <t>ゲンカ</t>
    </rPh>
    <rPh sb="2" eb="4">
      <t>キンガク</t>
    </rPh>
    <rPh sb="5" eb="7">
      <t>ナカビ</t>
    </rPh>
    <rPh sb="7" eb="9">
      <t>イガイ</t>
    </rPh>
    <rPh sb="10" eb="12">
      <t>セコウ</t>
    </rPh>
    <rPh sb="12" eb="14">
      <t>イガイ</t>
    </rPh>
    <phoneticPr fontId="2"/>
  </si>
  <si>
    <t>values</t>
    <phoneticPr fontId="2"/>
  </si>
  <si>
    <t>sql2</t>
    <phoneticPr fontId="2"/>
  </si>
  <si>
    <t>SQL2</t>
    <phoneticPr fontId="2"/>
  </si>
  <si>
    <t>売上金額_中日</t>
  </si>
  <si>
    <t>原価金額_中日</t>
  </si>
  <si>
    <t>売上金額_以外</t>
  </si>
  <si>
    <t>原価金額_以外</t>
  </si>
  <si>
    <t>TD売上v2</t>
    <rPh sb="2" eb="4">
      <t>ウリアゲ</t>
    </rPh>
    <phoneticPr fontId="2"/>
  </si>
  <si>
    <t>where</t>
    <phoneticPr fontId="2"/>
  </si>
  <si>
    <t>join</t>
    <phoneticPr fontId="2"/>
  </si>
  <si>
    <t>INNER JOIN</t>
    <phoneticPr fontId="2"/>
  </si>
  <si>
    <t>TD売上明細v2</t>
    <rPh sb="2" eb="4">
      <t>ウリアゲ</t>
    </rPh>
    <rPh sb="4" eb="6">
      <t>メイサイ</t>
    </rPh>
    <phoneticPr fontId="2"/>
  </si>
  <si>
    <t>[TD売上v2.売上番号] = [TD売上明細v2.売上番号]</t>
    <rPh sb="3" eb="5">
      <t>ウリアゲ</t>
    </rPh>
    <rPh sb="8" eb="10">
      <t>ウリアゲ</t>
    </rPh>
    <rPh sb="10" eb="12">
      <t>バンゴウ</t>
    </rPh>
    <rPh sb="19" eb="21">
      <t>ウリアゲ</t>
    </rPh>
    <rPh sb="21" eb="23">
      <t>メイサイ</t>
    </rPh>
    <rPh sb="26" eb="28">
      <t>ウリアゲ</t>
    </rPh>
    <rPh sb="28" eb="30">
      <t>バンゴウ</t>
    </rPh>
    <phoneticPr fontId="2"/>
  </si>
  <si>
    <t>LEFT JOIN</t>
    <phoneticPr fontId="2"/>
  </si>
  <si>
    <t>TD見積シートM</t>
    <rPh sb="2" eb="4">
      <t>ミツモリ</t>
    </rPh>
    <phoneticPr fontId="2"/>
  </si>
  <si>
    <t>[TD売上明細v2.見積明細連番] = [TD見積シートM.見積明細連番]</t>
    <rPh sb="3" eb="5">
      <t>ウリアゲ</t>
    </rPh>
    <rPh sb="5" eb="7">
      <t>メイサイ</t>
    </rPh>
    <rPh sb="10" eb="12">
      <t>ミツモリ</t>
    </rPh>
    <rPh sb="12" eb="14">
      <t>メイサイ</t>
    </rPh>
    <rPh sb="14" eb="16">
      <t>レンバン</t>
    </rPh>
    <rPh sb="23" eb="25">
      <t>ミツモリ</t>
    </rPh>
    <rPh sb="30" eb="32">
      <t>ミツモリ</t>
    </rPh>
    <rPh sb="32" eb="34">
      <t>メイサイ</t>
    </rPh>
    <rPh sb="34" eb="36">
      <t>レンバン</t>
    </rPh>
    <phoneticPr fontId="2"/>
  </si>
  <si>
    <t>TD見積</t>
    <rPh sb="2" eb="4">
      <t>ミツモリ</t>
    </rPh>
    <phoneticPr fontId="2"/>
  </si>
  <si>
    <t>[TD売上v2.見積番号] = [TD見積.見積番号]</t>
    <rPh sb="3" eb="5">
      <t>ウリアゲ</t>
    </rPh>
    <rPh sb="8" eb="10">
      <t>ミツモリ</t>
    </rPh>
    <rPh sb="10" eb="12">
      <t>バンゴウ</t>
    </rPh>
    <rPh sb="19" eb="21">
      <t>ミツモリ</t>
    </rPh>
    <rPh sb="22" eb="24">
      <t>ミツモリ</t>
    </rPh>
    <rPh sb="24" eb="26">
      <t>バンゴウ</t>
    </rPh>
    <phoneticPr fontId="2"/>
  </si>
  <si>
    <t>TD売上請求H</t>
    <rPh sb="2" eb="6">
      <t>ウリアゲセイキュウ</t>
    </rPh>
    <phoneticPr fontId="2"/>
  </si>
  <si>
    <t>[TD売上v2.見積番号] = [TD売上請求H.見積番号]</t>
    <rPh sb="3" eb="5">
      <t>ウリアゲ</t>
    </rPh>
    <rPh sb="8" eb="10">
      <t>ミツモリ</t>
    </rPh>
    <rPh sb="10" eb="12">
      <t>バンゴウ</t>
    </rPh>
    <rPh sb="19" eb="21">
      <t>ウリアゲ</t>
    </rPh>
    <rPh sb="21" eb="23">
      <t>セイキュウ</t>
    </rPh>
    <rPh sb="25" eb="27">
      <t>ミツモリ</t>
    </rPh>
    <rPh sb="27" eb="29">
      <t>バンゴウ</t>
    </rPh>
    <phoneticPr fontId="2"/>
  </si>
  <si>
    <t>[画面.請求日付From]から[画面.請求日付To]の間</t>
    <rPh sb="1" eb="3">
      <t>ガメン</t>
    </rPh>
    <rPh sb="4" eb="6">
      <t>セイキュウ</t>
    </rPh>
    <rPh sb="6" eb="8">
      <t>ヒヅケ</t>
    </rPh>
    <rPh sb="16" eb="18">
      <t>ガメン</t>
    </rPh>
    <rPh sb="19" eb="21">
      <t>セイキュウ</t>
    </rPh>
    <rPh sb="21" eb="23">
      <t>ヒヅケ</t>
    </rPh>
    <rPh sb="27" eb="28">
      <t>アイダ</t>
    </rPh>
    <phoneticPr fontId="2"/>
  </si>
  <si>
    <t>and</t>
    <phoneticPr fontId="2"/>
  </si>
  <si>
    <t>[TD見積.得意先CD] = '2401'</t>
    <rPh sb="3" eb="5">
      <t>ミツモリ</t>
    </rPh>
    <rPh sb="6" eb="9">
      <t>トクイサキ</t>
    </rPh>
    <phoneticPr fontId="2"/>
  </si>
  <si>
    <t>or</t>
    <phoneticPr fontId="2"/>
  </si>
  <si>
    <t>[TD売上明細v2.製品NO]が右記に該当する</t>
    <rPh sb="16" eb="18">
      <t>ウキ</t>
    </rPh>
    <rPh sb="19" eb="21">
      <t>ガイトウ</t>
    </rPh>
    <phoneticPr fontId="2"/>
  </si>
  <si>
    <t>[TD売上明細v2.製品NO]が'Z' + 3文字の形式であり、かつ'Z019','Z101','Z103'のいずれに該当する</t>
    <rPh sb="3" eb="5">
      <t>ウリアゲ</t>
    </rPh>
    <rPh sb="5" eb="7">
      <t>メイサイ</t>
    </rPh>
    <rPh sb="10" eb="12">
      <t>セイヒン</t>
    </rPh>
    <rPh sb="23" eb="25">
      <t>モジ</t>
    </rPh>
    <rPh sb="26" eb="28">
      <t>ケイシキ</t>
    </rPh>
    <rPh sb="59" eb="61">
      <t>ガイトウ</t>
    </rPh>
    <phoneticPr fontId="2"/>
  </si>
  <si>
    <t>[TD売上明細v2.製品NO]が右記に該当しない</t>
    <rPh sb="16" eb="18">
      <t>ウキ</t>
    </rPh>
    <rPh sb="19" eb="21">
      <t>ガイトウ</t>
    </rPh>
    <phoneticPr fontId="2"/>
  </si>
  <si>
    <t>'Z500034','Z500035','Z500036','Z590096','Z599004','Z599006','Z599008','Z599051','Z599052','Z599053','Z599055','Z599057','Z599097','Z599099','Z599108','Z599116','Z5C0020','Z5HK050','Z5HK060','Z5HK075','Z5HK080','Z5HK098','Z5HK100','Z5HK120','Z5HK150','Z5HK180','Z5HK200','Z5HK240','Z5HK280','Z5HK300','Z5HK350','Z5HK380','Z5HK400','Z5HK450','Z5HK480','Z5HK500','Z5HK550','Z5HK580','Z5HK600','Z5KM030','Z5KM045','Z5KM060','Z5KM075','Z5KM080','Z5KM098','Z5KM100','Z5KM120','Z5KM150','Z5KM180','Z5KM200','Z5KM240','Z5KM280','Z5KM300','Z5KM350','Z5KM380','Z5KM400','Z5KM450','Z5KM480','Z5KM500','Z5KM550','Z5KM580','Z5KM600','Z5KM650','Z5KM680','Z5KM700','Z5KM750','Z5KM780','Z5UP009','Z5UP010','Z5UP012','Z5UP015','Z5UP018','Z5UP020','Z5UP025','Z5UP030','Z5UP038','Z5UP045','Z5UP060','Z5UP075','Z5UP080','Z5UP098','Z5UP100','Z5UP120','Z5UP150','Z5UP180','Z5UP200','Z5UP240','Z5UP280','Z5UP300','Z5UP350','Z5UP380','Z572001','Z572002','Z572003','Z572004','Z572005','Z572006','Z572007','Z572008','Z572009','Z572010','Z572011','Z572012','Z572013','Z572014','Z572015','Z572016','Z572017','Z572018','Z572019','Z572020','Z572021','Z572022','Z572023','Z572024','Z572025','Z572026','Z572027','Z572028','Z572029','Z572030','Z572031','Z572032','Z572033','Z572034','Z572035','Z572036','Z572037','Z572038','Z572039','Z572040','Z572041','Z572042','Z572043','Z572044','Z572045','Z572046','Z572047','Z572048','Z572049','Z572050','Z599001','Z599002','Z599003','Z599020','Z521100','Z521101','Z521102','Z521103','Z510001','Z510002','Z510003','Z510004','Z000030','Z000037','Z000038','Z000039','Z000046','Z000083','Z510001','Z510002','Z510003','Z510004','Z600062','Z600063','Z544100','Z600104','Z600105','Z532001','Z532002','Z532003','Z532004','Z532005','Z532006','Z532007','Z532008','Z532009','Z532010','Z532011','Z532012','Z532013','Z532014','Z532015','Z532016','Z532017','Z532018','Z532019','Z532020','Z532021','Z532022','Z532023','Z532024','Z532025','Z830000','Z531000','Z573200','Z573201','Z600045','Z528001','Z528002','Z528003','Z528004','Z528005','Z528006','Z528007','Z528008','Z528009','Z528010','Z528011','Z528012','Z528013','Z528014','Z523001','Z523002','Z523003','Z523004','Z523005','Z523006','Z523007','Z523008'</t>
  </si>
  <si>
    <t>group by</t>
    <phoneticPr fontId="2"/>
  </si>
  <si>
    <t>[TD売上v2.見積番号],[[TD見積.納入得意先CD],[TD見積.納入先CD],[TD見積.物件種別],[TD見積.見積件名]</t>
    <rPh sb="3" eb="5">
      <t>ウリアゲ</t>
    </rPh>
    <rPh sb="8" eb="10">
      <t>ミツモリ</t>
    </rPh>
    <rPh sb="10" eb="12">
      <t>バンゴウ</t>
    </rPh>
    <rPh sb="18" eb="20">
      <t>ミツモリ</t>
    </rPh>
    <rPh sb="21" eb="23">
      <t>ノウニュウ</t>
    </rPh>
    <rPh sb="23" eb="26">
      <t>トクイサキ</t>
    </rPh>
    <rPh sb="33" eb="35">
      <t>ミツモリ</t>
    </rPh>
    <rPh sb="36" eb="39">
      <t>ノウニュウサキ</t>
    </rPh>
    <rPh sb="46" eb="48">
      <t>ミツモリ</t>
    </rPh>
    <rPh sb="49" eb="51">
      <t>ブッケン</t>
    </rPh>
    <rPh sb="51" eb="53">
      <t>シュベツ</t>
    </rPh>
    <rPh sb="58" eb="60">
      <t>ミツモリ</t>
    </rPh>
    <rPh sb="61" eb="63">
      <t>ミツモリ</t>
    </rPh>
    <rPh sb="63" eb="65">
      <t>ケンメイ</t>
    </rPh>
    <phoneticPr fontId="2"/>
  </si>
  <si>
    <t>SQL3</t>
    <phoneticPr fontId="2"/>
  </si>
  <si>
    <t>TD売上v2.見積番号</t>
    <rPh sb="2" eb="4">
      <t>ウリアゲ</t>
    </rPh>
    <rPh sb="7" eb="9">
      <t>ミツモリ</t>
    </rPh>
    <rPh sb="9" eb="11">
      <t>バンゴウ</t>
    </rPh>
    <phoneticPr fontId="2"/>
  </si>
  <si>
    <t>TD見積.納入先CD</t>
    <rPh sb="2" eb="4">
      <t>ミツモリ</t>
    </rPh>
    <rPh sb="5" eb="8">
      <t>ノウニュウサキ</t>
    </rPh>
    <phoneticPr fontId="2"/>
  </si>
  <si>
    <t>TD見積.納入得意先CD</t>
    <rPh sb="2" eb="4">
      <t>ミツモリ</t>
    </rPh>
    <rPh sb="5" eb="7">
      <t>ノウニュウ</t>
    </rPh>
    <rPh sb="7" eb="10">
      <t>トクイサキ</t>
    </rPh>
    <phoneticPr fontId="2"/>
  </si>
  <si>
    <t>TD見積.物件種別</t>
    <rPh sb="2" eb="4">
      <t>ミツモリ</t>
    </rPh>
    <rPh sb="5" eb="7">
      <t>ブッケン</t>
    </rPh>
    <rPh sb="7" eb="9">
      <t>シュベツ</t>
    </rPh>
    <phoneticPr fontId="2"/>
  </si>
  <si>
    <t>TD見積.見積件名</t>
    <rPh sb="2" eb="4">
      <t>ミツモリ</t>
    </rPh>
    <rPh sb="5" eb="7">
      <t>ミツモリ</t>
    </rPh>
    <rPh sb="7" eb="9">
      <t>ケンメイ</t>
    </rPh>
    <phoneticPr fontId="2"/>
  </si>
  <si>
    <t>[TD見積シートM.仕入先CD] = '4301'　かつ[TD売上明細v2.製品NO]が'Z019','Z101','Z103'以外の場合の[TD売上明細v2.売上金額]の合計</t>
    <rPh sb="3" eb="5">
      <t>ミツモリ</t>
    </rPh>
    <rPh sb="10" eb="12">
      <t>シイレ</t>
    </rPh>
    <rPh sb="12" eb="13">
      <t>サキ</t>
    </rPh>
    <rPh sb="31" eb="33">
      <t>ウリアゲ</t>
    </rPh>
    <rPh sb="33" eb="35">
      <t>メイサイ</t>
    </rPh>
    <rPh sb="38" eb="40">
      <t>セイヒン</t>
    </rPh>
    <rPh sb="64" eb="66">
      <t>イガイ</t>
    </rPh>
    <rPh sb="67" eb="69">
      <t>バアイ</t>
    </rPh>
    <rPh sb="73" eb="75">
      <t>ウリアゲ</t>
    </rPh>
    <rPh sb="75" eb="77">
      <t>メイサイ</t>
    </rPh>
    <rPh sb="80" eb="82">
      <t>ウリアゲ</t>
    </rPh>
    <rPh sb="82" eb="84">
      <t>キンガク</t>
    </rPh>
    <rPh sb="86" eb="88">
      <t>ゴウケイ</t>
    </rPh>
    <phoneticPr fontId="2"/>
  </si>
  <si>
    <t>[TD見積シートM.仕入先CD] = '4301'　かつ[TD売上明細v2.製品NO]が'Z019','Z101','Z103'以外の場合の[TD売上明細v2.仕入金額]の合計</t>
    <rPh sb="3" eb="5">
      <t>ミツモリ</t>
    </rPh>
    <rPh sb="10" eb="12">
      <t>シイレ</t>
    </rPh>
    <rPh sb="12" eb="13">
      <t>サキ</t>
    </rPh>
    <rPh sb="31" eb="33">
      <t>ウリアゲ</t>
    </rPh>
    <rPh sb="33" eb="35">
      <t>メイサイ</t>
    </rPh>
    <rPh sb="38" eb="40">
      <t>セイヒン</t>
    </rPh>
    <rPh sb="64" eb="66">
      <t>イガイ</t>
    </rPh>
    <rPh sb="67" eb="69">
      <t>バアイ</t>
    </rPh>
    <rPh sb="73" eb="75">
      <t>ウリアゲ</t>
    </rPh>
    <rPh sb="75" eb="77">
      <t>メイサイ</t>
    </rPh>
    <rPh sb="80" eb="82">
      <t>シイレ</t>
    </rPh>
    <rPh sb="82" eb="84">
      <t>キンガク</t>
    </rPh>
    <rPh sb="86" eb="88">
      <t>ゴウケイ</t>
    </rPh>
    <phoneticPr fontId="2"/>
  </si>
  <si>
    <t>[TD見積シートM.仕入先CD] &lt;&gt; '4301'　かつ[TD売上明細v2.製品NO]が'Z019','Z101','Z103'以外の場合の[TD売上明細v2.売上金額]の合計</t>
    <rPh sb="3" eb="5">
      <t>ミツモリ</t>
    </rPh>
    <rPh sb="10" eb="12">
      <t>シイレ</t>
    </rPh>
    <rPh sb="12" eb="13">
      <t>サキ</t>
    </rPh>
    <rPh sb="32" eb="34">
      <t>ウリアゲ</t>
    </rPh>
    <rPh sb="34" eb="36">
      <t>メイサイ</t>
    </rPh>
    <rPh sb="39" eb="41">
      <t>セイヒン</t>
    </rPh>
    <rPh sb="65" eb="67">
      <t>イガイ</t>
    </rPh>
    <rPh sb="68" eb="70">
      <t>バアイ</t>
    </rPh>
    <rPh sb="74" eb="76">
      <t>ウリアゲ</t>
    </rPh>
    <rPh sb="76" eb="78">
      <t>メイサイ</t>
    </rPh>
    <rPh sb="81" eb="83">
      <t>ウリアゲ</t>
    </rPh>
    <rPh sb="83" eb="85">
      <t>キンガク</t>
    </rPh>
    <rPh sb="87" eb="89">
      <t>ゴウケイ</t>
    </rPh>
    <phoneticPr fontId="2"/>
  </si>
  <si>
    <t>[TD見積シートM.仕入先CD] &lt;&gt; '4301'　かつ[TD売上明細v2.製品NO]が'Z019','Z101','Z103'以外の場合の[TD売上明細v2.仕入金額]の合計</t>
    <rPh sb="3" eb="5">
      <t>ミツモリ</t>
    </rPh>
    <rPh sb="10" eb="12">
      <t>シイレ</t>
    </rPh>
    <rPh sb="12" eb="13">
      <t>サキ</t>
    </rPh>
    <rPh sb="32" eb="34">
      <t>ウリアゲ</t>
    </rPh>
    <rPh sb="34" eb="36">
      <t>メイサイ</t>
    </rPh>
    <rPh sb="39" eb="41">
      <t>セイヒン</t>
    </rPh>
    <rPh sb="65" eb="67">
      <t>イガイ</t>
    </rPh>
    <rPh sb="68" eb="70">
      <t>バアイ</t>
    </rPh>
    <rPh sb="74" eb="76">
      <t>ウリアゲ</t>
    </rPh>
    <rPh sb="76" eb="78">
      <t>メイサイ</t>
    </rPh>
    <rPh sb="81" eb="83">
      <t>シイレ</t>
    </rPh>
    <rPh sb="83" eb="85">
      <t>キンガク</t>
    </rPh>
    <rPh sb="87" eb="89">
      <t>ゴウケイ</t>
    </rPh>
    <phoneticPr fontId="2"/>
  </si>
  <si>
    <t>施工以外抽出</t>
    <phoneticPr fontId="2"/>
  </si>
  <si>
    <t>施工分抽出</t>
  </si>
  <si>
    <t>USING</t>
  </si>
  <si>
    <t>SQL4</t>
    <phoneticPr fontId="2"/>
  </si>
  <si>
    <t>ON</t>
    <phoneticPr fontId="2"/>
  </si>
  <si>
    <t>merge文</t>
    <rPh sb="5" eb="6">
      <t>ブン</t>
    </rPh>
    <phoneticPr fontId="2"/>
  </si>
  <si>
    <t>[SQL1.見積番号] = [SQL4.見積番号]</t>
    <rPh sb="6" eb="8">
      <t>ミツモリ</t>
    </rPh>
    <rPh sb="8" eb="10">
      <t>バンゴウ</t>
    </rPh>
    <rPh sb="20" eb="22">
      <t>ミツモリ</t>
    </rPh>
    <rPh sb="22" eb="24">
      <t>バンゴウ</t>
    </rPh>
    <phoneticPr fontId="2"/>
  </si>
  <si>
    <t>[sSQL1.納入得意先CD] = [SQL4.納入得意先CD]</t>
    <rPh sb="7" eb="9">
      <t>ノウニュウ</t>
    </rPh>
    <rPh sb="9" eb="12">
      <t>トクイサキ</t>
    </rPh>
    <rPh sb="24" eb="26">
      <t>ノウニュウ</t>
    </rPh>
    <rPh sb="26" eb="29">
      <t>トクイサキ</t>
    </rPh>
    <phoneticPr fontId="2"/>
  </si>
  <si>
    <t>[sSQL1.納入先CD] = [SQL4.納入先CD]</t>
    <rPh sb="7" eb="9">
      <t>ノウニュウ</t>
    </rPh>
    <rPh sb="22" eb="25">
      <t>ノウニュウサキ</t>
    </rPh>
    <phoneticPr fontId="2"/>
  </si>
  <si>
    <t>[sSQL1.物件種別] = [SQL4.物件種別]</t>
    <rPh sb="7" eb="9">
      <t>ブッケン</t>
    </rPh>
    <rPh sb="9" eb="11">
      <t>シュベツ</t>
    </rPh>
    <rPh sb="21" eb="23">
      <t>ブッケン</t>
    </rPh>
    <rPh sb="23" eb="25">
      <t>シュベツ</t>
    </rPh>
    <phoneticPr fontId="2"/>
  </si>
  <si>
    <t>[sSQL1.見積件名] = [SQL4.見積件名]</t>
    <rPh sb="21" eb="23">
      <t>ミツモリ</t>
    </rPh>
    <rPh sb="23" eb="25">
      <t>ケンメイ</t>
    </rPh>
    <phoneticPr fontId="2"/>
  </si>
  <si>
    <t>matched</t>
    <phoneticPr fontId="2"/>
  </si>
  <si>
    <t>update</t>
    <phoneticPr fontId="2"/>
  </si>
  <si>
    <t>売上金額_中日_施工</t>
  </si>
  <si>
    <t>売上金額_中日_施工 = [SQL4.売上金額_中日]</t>
    <rPh sb="19" eb="21">
      <t>ウリアゲ</t>
    </rPh>
    <rPh sb="21" eb="23">
      <t>キンガク</t>
    </rPh>
    <rPh sb="24" eb="26">
      <t>ナカビ</t>
    </rPh>
    <phoneticPr fontId="2"/>
  </si>
  <si>
    <t>原価金額_中日_施工 = [SQL4.原価金額_中日]</t>
    <rPh sb="0" eb="2">
      <t>ゲンカ</t>
    </rPh>
    <rPh sb="2" eb="4">
      <t>キンガク</t>
    </rPh>
    <rPh sb="5" eb="7">
      <t>ナカビ</t>
    </rPh>
    <rPh sb="8" eb="10">
      <t>セコウ</t>
    </rPh>
    <rPh sb="19" eb="21">
      <t>ゲンカ</t>
    </rPh>
    <rPh sb="21" eb="23">
      <t>キンガク</t>
    </rPh>
    <rPh sb="24" eb="26">
      <t>ナカビ</t>
    </rPh>
    <phoneticPr fontId="2"/>
  </si>
  <si>
    <t>売上金額_中日以外_施工 = [SQL4.売上金額_以外]</t>
    <rPh sb="0" eb="2">
      <t>ウリアゲ</t>
    </rPh>
    <rPh sb="2" eb="4">
      <t>キンガク</t>
    </rPh>
    <rPh sb="5" eb="7">
      <t>ナカビ</t>
    </rPh>
    <rPh sb="7" eb="9">
      <t>イガイ</t>
    </rPh>
    <rPh sb="10" eb="12">
      <t>セコウ</t>
    </rPh>
    <rPh sb="21" eb="23">
      <t>ウリアゲ</t>
    </rPh>
    <rPh sb="23" eb="25">
      <t>キンガク</t>
    </rPh>
    <rPh sb="26" eb="28">
      <t>イガイ</t>
    </rPh>
    <phoneticPr fontId="2"/>
  </si>
  <si>
    <t>原価金額_中日以外_施工 = [SQL4.原価金額_以外]</t>
    <rPh sb="0" eb="2">
      <t>ゲンカ</t>
    </rPh>
    <rPh sb="2" eb="4">
      <t>キンガク</t>
    </rPh>
    <rPh sb="5" eb="7">
      <t>ナカビ</t>
    </rPh>
    <rPh sb="7" eb="9">
      <t>イガイ</t>
    </rPh>
    <rPh sb="10" eb="12">
      <t>セコウ</t>
    </rPh>
    <rPh sb="21" eb="23">
      <t>ゲンカ</t>
    </rPh>
    <rPh sb="23" eb="25">
      <t>キンガク</t>
    </rPh>
    <rPh sb="26" eb="28">
      <t>イガイ</t>
    </rPh>
    <phoneticPr fontId="2"/>
  </si>
  <si>
    <t>not</t>
    <phoneticPr fontId="2"/>
  </si>
  <si>
    <t>match</t>
    <phoneticPr fontId="2"/>
  </si>
  <si>
    <t>SQL5</t>
    <phoneticPr fontId="2"/>
  </si>
  <si>
    <t>INSERT</t>
    <phoneticPr fontId="2"/>
  </si>
  <si>
    <t>原価金額_中日_施工</t>
  </si>
  <si>
    <t>売上金額_中日以外_施工</t>
  </si>
  <si>
    <t>原価金額_中日以外_施工</t>
  </si>
  <si>
    <t>VALUES</t>
    <phoneticPr fontId="2"/>
  </si>
  <si>
    <t>SQL4.見積番号</t>
  </si>
  <si>
    <t>SQL4.納入得意先CD</t>
  </si>
  <si>
    <t>SQL4.納入先CD</t>
  </si>
  <si>
    <t>SQL4.物件種別</t>
  </si>
  <si>
    <t>SQL4.見積件名</t>
  </si>
  <si>
    <t>SQL4.売上金額_中日</t>
  </si>
  <si>
    <t>SQL4.原価金額_中日</t>
  </si>
  <si>
    <t>SQL4.売上金額_以外</t>
  </si>
  <si>
    <t>SQL4.原価金額_以外</t>
  </si>
  <si>
    <t>select</t>
    <phoneticPr fontId="2"/>
  </si>
  <si>
    <t>from</t>
    <phoneticPr fontId="2"/>
  </si>
  <si>
    <t>TD売上請求H</t>
    <rPh sb="2" eb="4">
      <t>ウリアゲ</t>
    </rPh>
    <rPh sb="4" eb="6">
      <t>セイキュウ</t>
    </rPh>
    <phoneticPr fontId="2"/>
  </si>
  <si>
    <t>[TD見積シートM.仕入先CD] = '4301'　の場合の[TD売上明細v2.売上金額]の合計</t>
    <rPh sb="3" eb="5">
      <t>ミツモリ</t>
    </rPh>
    <rPh sb="10" eb="12">
      <t>シイレ</t>
    </rPh>
    <rPh sb="12" eb="13">
      <t>サキ</t>
    </rPh>
    <rPh sb="27" eb="29">
      <t>バアイ</t>
    </rPh>
    <rPh sb="33" eb="35">
      <t>ウリアゲ</t>
    </rPh>
    <rPh sb="35" eb="37">
      <t>メイサイ</t>
    </rPh>
    <rPh sb="40" eb="42">
      <t>ウリアゲ</t>
    </rPh>
    <rPh sb="42" eb="44">
      <t>キンガク</t>
    </rPh>
    <rPh sb="46" eb="48">
      <t>ゴウケイ</t>
    </rPh>
    <phoneticPr fontId="2"/>
  </si>
  <si>
    <t>[TD見積シートM.仕入先CD] = '4301'の場合の[TD売上明細v2.仕入金額]の合計</t>
    <rPh sb="3" eb="5">
      <t>ミツモリ</t>
    </rPh>
    <rPh sb="10" eb="12">
      <t>シイレ</t>
    </rPh>
    <rPh sb="12" eb="13">
      <t>サキ</t>
    </rPh>
    <rPh sb="26" eb="28">
      <t>バアイ</t>
    </rPh>
    <rPh sb="32" eb="34">
      <t>ウリアゲ</t>
    </rPh>
    <rPh sb="34" eb="36">
      <t>メイサイ</t>
    </rPh>
    <rPh sb="39" eb="41">
      <t>シイレ</t>
    </rPh>
    <rPh sb="41" eb="43">
      <t>キンガク</t>
    </rPh>
    <rPh sb="45" eb="47">
      <t>ゴウケイ</t>
    </rPh>
    <phoneticPr fontId="2"/>
  </si>
  <si>
    <t>[TD見積シートM.仕入先CD] &lt;&gt; '4301'の場合の[TD売上明細v2.売上金額]の合計</t>
    <rPh sb="3" eb="5">
      <t>ミツモリ</t>
    </rPh>
    <rPh sb="10" eb="12">
      <t>シイレ</t>
    </rPh>
    <rPh sb="12" eb="13">
      <t>サキ</t>
    </rPh>
    <rPh sb="27" eb="29">
      <t>バアイ</t>
    </rPh>
    <rPh sb="33" eb="35">
      <t>ウリアゲ</t>
    </rPh>
    <rPh sb="35" eb="37">
      <t>メイサイ</t>
    </rPh>
    <rPh sb="40" eb="42">
      <t>ウリアゲ</t>
    </rPh>
    <rPh sb="42" eb="44">
      <t>キンガク</t>
    </rPh>
    <rPh sb="46" eb="48">
      <t>ゴウケイ</t>
    </rPh>
    <phoneticPr fontId="2"/>
  </si>
  <si>
    <t>[TD見積シートM.仕入先CD] &lt;&gt; '4301'の場合の[TD売上明細v2.仕入金額]の合計</t>
    <rPh sb="3" eb="5">
      <t>ミツモリ</t>
    </rPh>
    <rPh sb="10" eb="12">
      <t>シイレ</t>
    </rPh>
    <rPh sb="12" eb="13">
      <t>サキ</t>
    </rPh>
    <rPh sb="27" eb="29">
      <t>バアイ</t>
    </rPh>
    <rPh sb="33" eb="35">
      <t>ウリアゲ</t>
    </rPh>
    <rPh sb="35" eb="37">
      <t>メイサイ</t>
    </rPh>
    <rPh sb="40" eb="42">
      <t>シイレ</t>
    </rPh>
    <rPh sb="42" eb="44">
      <t>キンガク</t>
    </rPh>
    <rPh sb="46" eb="48">
      <t>ゴウケイ</t>
    </rPh>
    <phoneticPr fontId="2"/>
  </si>
  <si>
    <t>[TD売上明細v2.製品NO]が'Z' + 3文字の形式であり、かつ'Z019','Z101','Z103'以外の場合</t>
    <rPh sb="3" eb="5">
      <t>ウリアゲ</t>
    </rPh>
    <rPh sb="5" eb="7">
      <t>メイサイ</t>
    </rPh>
    <rPh sb="10" eb="12">
      <t>セイヒン</t>
    </rPh>
    <rPh sb="23" eb="25">
      <t>モジ</t>
    </rPh>
    <rPh sb="26" eb="28">
      <t>ケイシキ</t>
    </rPh>
    <rPh sb="54" eb="56">
      <t>イガイ</t>
    </rPh>
    <rPh sb="57" eb="59">
      <t>バアイ</t>
    </rPh>
    <phoneticPr fontId="2"/>
  </si>
  <si>
    <t>販売割戻金</t>
    <rPh sb="0" eb="5">
      <t>ハンバイワリモドシキン</t>
    </rPh>
    <phoneticPr fontId="2"/>
  </si>
  <si>
    <t>特別出精値引</t>
    <rPh sb="0" eb="6">
      <t>トクベツシュッセイネビ</t>
    </rPh>
    <phoneticPr fontId="2"/>
  </si>
  <si>
    <t>[TD売上明細v2.製品NO]が'Z103'の場合の[TD売上明細v2.売上金額]の合計</t>
    <rPh sb="3" eb="5">
      <t>ウリアゲ</t>
    </rPh>
    <rPh sb="5" eb="7">
      <t>メイサイ</t>
    </rPh>
    <rPh sb="10" eb="12">
      <t>セイヒン</t>
    </rPh>
    <rPh sb="23" eb="25">
      <t>バアイ</t>
    </rPh>
    <rPh sb="29" eb="31">
      <t>ウリアゲ</t>
    </rPh>
    <rPh sb="31" eb="33">
      <t>メイサイ</t>
    </rPh>
    <rPh sb="36" eb="38">
      <t>ウリアゲ</t>
    </rPh>
    <rPh sb="38" eb="40">
      <t>キンガク</t>
    </rPh>
    <rPh sb="42" eb="44">
      <t>ゴウケイ</t>
    </rPh>
    <phoneticPr fontId="2"/>
  </si>
  <si>
    <t>[TD売上明細v2.製品NO]が'Z101','Z019'の場合の[TD売上明細v2.売上金額]の合計</t>
    <rPh sb="3" eb="5">
      <t>ウリアゲ</t>
    </rPh>
    <rPh sb="5" eb="7">
      <t>メイサイ</t>
    </rPh>
    <rPh sb="10" eb="12">
      <t>セイヒン</t>
    </rPh>
    <rPh sb="30" eb="32">
      <t>バアイ</t>
    </rPh>
    <rPh sb="36" eb="38">
      <t>ウリアゲ</t>
    </rPh>
    <rPh sb="38" eb="40">
      <t>メイサイ</t>
    </rPh>
    <rPh sb="43" eb="45">
      <t>ウリアゲ</t>
    </rPh>
    <rPh sb="45" eb="47">
      <t>キンガク</t>
    </rPh>
    <rPh sb="49" eb="51">
      <t>ゴウケイ</t>
    </rPh>
    <phoneticPr fontId="2"/>
  </si>
  <si>
    <t>データ出力</t>
    <rPh sb="3" eb="5">
      <t>シュツリョク</t>
    </rPh>
    <phoneticPr fontId="2"/>
  </si>
  <si>
    <t>納入先名1</t>
    <rPh sb="0" eb="2">
      <t>ノウニュウ</t>
    </rPh>
    <rPh sb="2" eb="3">
      <t>サキ</t>
    </rPh>
    <rPh sb="3" eb="4">
      <t>メイ</t>
    </rPh>
    <phoneticPr fontId="2"/>
  </si>
  <si>
    <t>物件種別FLG</t>
    <rPh sb="0" eb="2">
      <t>ブッケン</t>
    </rPh>
    <rPh sb="2" eb="4">
      <t>シュベツ</t>
    </rPh>
    <phoneticPr fontId="2"/>
  </si>
  <si>
    <t>調剤FLG</t>
    <rPh sb="0" eb="2">
      <t>チョウザイ</t>
    </rPh>
    <phoneticPr fontId="2"/>
  </si>
  <si>
    <t>特別出精値引</t>
    <rPh sb="0" eb="6">
      <t>トクベツシュッセイネビキ</t>
    </rPh>
    <phoneticPr fontId="2"/>
  </si>
  <si>
    <t>売上金額_中日_施工</t>
    <phoneticPr fontId="2"/>
  </si>
  <si>
    <t>原価金額_中日_施工</t>
    <phoneticPr fontId="2"/>
  </si>
  <si>
    <t>出精値引</t>
    <rPh sb="0" eb="2">
      <t>シュッセイ</t>
    </rPh>
    <rPh sb="2" eb="4">
      <t>ネビ</t>
    </rPh>
    <phoneticPr fontId="2"/>
  </si>
  <si>
    <t>from</t>
    <phoneticPr fontId="2"/>
  </si>
  <si>
    <t>SQL6</t>
    <phoneticPr fontId="2"/>
  </si>
  <si>
    <t>join</t>
    <phoneticPr fontId="2"/>
  </si>
  <si>
    <t>LEFT JOIN</t>
    <phoneticPr fontId="2"/>
  </si>
  <si>
    <t>TM納入先</t>
    <rPh sb="2" eb="5">
      <t>ノウニュウサキ</t>
    </rPh>
    <phoneticPr fontId="2"/>
  </si>
  <si>
    <t>[SQL6.納入得意先CD] = [TM納入先.得意先CD]</t>
    <rPh sb="6" eb="8">
      <t>ノウニュウ</t>
    </rPh>
    <rPh sb="8" eb="11">
      <t>トクイサキ</t>
    </rPh>
    <rPh sb="20" eb="23">
      <t>ノウニュウサキ</t>
    </rPh>
    <rPh sb="24" eb="27">
      <t>トクイサキ</t>
    </rPh>
    <phoneticPr fontId="2"/>
  </si>
  <si>
    <t>TD見積</t>
    <rPh sb="2" eb="4">
      <t>ミツモリ</t>
    </rPh>
    <phoneticPr fontId="2"/>
  </si>
  <si>
    <t>[SQL6.見積番号] = [TD見積.見積番号]</t>
    <rPh sb="6" eb="8">
      <t>ミツモリ</t>
    </rPh>
    <rPh sb="8" eb="10">
      <t>バンゴウ</t>
    </rPh>
    <rPh sb="17" eb="19">
      <t>ミツモリ</t>
    </rPh>
    <rPh sb="20" eb="22">
      <t>ミツモリ</t>
    </rPh>
    <rPh sb="22" eb="24">
      <t>バンゴウ</t>
    </rPh>
    <phoneticPr fontId="2"/>
  </si>
  <si>
    <t>group by</t>
    <phoneticPr fontId="2"/>
  </si>
  <si>
    <t>SQL6.納入得意先CD</t>
    <rPh sb="5" eb="7">
      <t>ノウニュウ</t>
    </rPh>
    <rPh sb="7" eb="10">
      <t>トクイサキ</t>
    </rPh>
    <phoneticPr fontId="2"/>
  </si>
  <si>
    <t>SQL6.納入先CD</t>
    <rPh sb="5" eb="8">
      <t>ノウニュウサキ</t>
    </rPh>
    <phoneticPr fontId="2"/>
  </si>
  <si>
    <t>TM納入先.納入先名1</t>
    <rPh sb="2" eb="5">
      <t>ノウニュウサキ</t>
    </rPh>
    <rPh sb="6" eb="8">
      <t>ノウニュウ</t>
    </rPh>
    <rPh sb="8" eb="9">
      <t>サキ</t>
    </rPh>
    <rPh sb="9" eb="10">
      <t>メイ</t>
    </rPh>
    <phoneticPr fontId="2"/>
  </si>
  <si>
    <t>SQL6.物件種別FLG</t>
    <rPh sb="5" eb="7">
      <t>ブッケン</t>
    </rPh>
    <rPh sb="7" eb="9">
      <t>シュベツ</t>
    </rPh>
    <phoneticPr fontId="2"/>
  </si>
  <si>
    <t>SQL6.調剤FLG</t>
    <rPh sb="5" eb="7">
      <t>チョウザイ</t>
    </rPh>
    <phoneticPr fontId="2"/>
  </si>
  <si>
    <t>order by</t>
    <phoneticPr fontId="2"/>
  </si>
  <si>
    <t>SQL6.納入得意先CD</t>
    <rPh sb="5" eb="10">
      <t>ノウニュウトクイサキ</t>
    </rPh>
    <phoneticPr fontId="2"/>
  </si>
  <si>
    <t>上記を降順で並び替え</t>
    <rPh sb="0" eb="2">
      <t>ジョウキ</t>
    </rPh>
    <rPh sb="3" eb="5">
      <t>コウジュン</t>
    </rPh>
    <rPh sb="6" eb="7">
      <t>ナラ</t>
    </rPh>
    <rPh sb="8" eb="9">
      <t>カ</t>
    </rPh>
    <phoneticPr fontId="2"/>
  </si>
  <si>
    <t>select</t>
    <phoneticPr fontId="2"/>
  </si>
  <si>
    <t>*</t>
    <phoneticPr fontId="2"/>
  </si>
  <si>
    <t>物件種別FLG</t>
    <rPh sb="0" eb="2">
      <t>ブッケン</t>
    </rPh>
    <rPh sb="2" eb="4">
      <t>シュベツ</t>
    </rPh>
    <phoneticPr fontId="2"/>
  </si>
  <si>
    <t>調剤FLG</t>
    <rPh sb="0" eb="2">
      <t>チョウザイ</t>
    </rPh>
    <phoneticPr fontId="2"/>
  </si>
  <si>
    <t>SQL1,SQL3</t>
    <phoneticPr fontId="2"/>
  </si>
  <si>
    <t>[SQL1,SQL3.物件種別]が0の場合は0,それ以外の場合は999</t>
    <rPh sb="11" eb="13">
      <t>ブッケン</t>
    </rPh>
    <rPh sb="13" eb="15">
      <t>シュベツ</t>
    </rPh>
    <rPh sb="19" eb="21">
      <t>バアイ</t>
    </rPh>
    <rPh sb="26" eb="28">
      <t>イガイ</t>
    </rPh>
    <rPh sb="29" eb="31">
      <t>バアイ</t>
    </rPh>
    <phoneticPr fontId="2"/>
  </si>
  <si>
    <t>[SQL1,SQL3.見積件名]に'調剤'という文字列が含まれる場合は0,含まれない場合は1</t>
    <rPh sb="11" eb="13">
      <t>ミツモリ</t>
    </rPh>
    <rPh sb="13" eb="15">
      <t>ケンメイ</t>
    </rPh>
    <rPh sb="18" eb="20">
      <t>チョウザイ</t>
    </rPh>
    <rPh sb="24" eb="27">
      <t>モジレツ</t>
    </rPh>
    <rPh sb="28" eb="29">
      <t>フク</t>
    </rPh>
    <rPh sb="32" eb="34">
      <t>バアイ</t>
    </rPh>
    <rPh sb="37" eb="38">
      <t>フク</t>
    </rPh>
    <rPh sb="42" eb="44">
      <t>バアイ</t>
    </rPh>
    <phoneticPr fontId="2"/>
  </si>
  <si>
    <t>SQL5.納入得意先CD</t>
    <phoneticPr fontId="1"/>
  </si>
  <si>
    <t>SQL5.納入先CD</t>
    <phoneticPr fontId="1"/>
  </si>
  <si>
    <t>SQL5.納入先名1</t>
    <phoneticPr fontId="1"/>
  </si>
  <si>
    <t>SQL5.物件種別FLG</t>
    <phoneticPr fontId="1"/>
  </si>
  <si>
    <t>SQL5.調剤FLG</t>
    <rPh sb="5" eb="7">
      <t>チョウザイ</t>
    </rPh>
    <phoneticPr fontId="1"/>
  </si>
  <si>
    <t>SQL5.売上金額_中日_施工以外</t>
    <phoneticPr fontId="1"/>
  </si>
  <si>
    <t>SQL5.原価金額_中日_施工以外</t>
    <phoneticPr fontId="1"/>
  </si>
  <si>
    <t>SQL5.売上金額_中日以外_施工以外</t>
    <phoneticPr fontId="1"/>
  </si>
  <si>
    <t>SQL5.原価金額_中日以外_施工以外</t>
    <phoneticPr fontId="1"/>
  </si>
  <si>
    <t>SQL5.販売割戻金</t>
    <phoneticPr fontId="1"/>
  </si>
  <si>
    <t>SQL5.特別出精値引</t>
    <phoneticPr fontId="1"/>
  </si>
  <si>
    <t>SQL5.売上金額_中日_施工</t>
    <phoneticPr fontId="1"/>
  </si>
  <si>
    <t>SQL5.原価金額_中日_施工</t>
    <phoneticPr fontId="1"/>
  </si>
  <si>
    <t>SQL5.売上金額_中日以外_施工</t>
    <phoneticPr fontId="1"/>
  </si>
  <si>
    <t>SQL5.原価金額_中日以外_施工</t>
    <phoneticPr fontId="1"/>
  </si>
  <si>
    <t>SQL5.出精値引</t>
    <phoneticPr fontId="1"/>
  </si>
  <si>
    <t>A3横</t>
    <rPh sb="2" eb="3">
      <t>ヨコ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</si>
  <si>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</si>
  <si>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</si>
  <si>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</si>
  <si>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大谷</t>
    <rPh sb="0" eb="2">
      <t>オオタニ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</si>
</sst>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yyyy&quot;年&quot;m&quot;月&quot;d&quot;日&quot;;@"/>
  </numFmts>
  <fonts count="1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  <font>
      <sz val="9"/>
      <color rgb="FFFF0000"/>
      <name val="Meiryo UI"/>
      <family val="3"/>
      <charset val="128"/>
    </font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9"/>
      <color rgb="FFFF0000"/>
      <name val="Meiryo UI"/>
      <family val="3"/>
      <charset val="128"/>
    </font>
    <font>
      <b/>
      <i/>
      <sz val="9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7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/>
    <xf numFmtId="0" fontId="9" fillId="0" borderId="0">
      <alignment vertical="center"/>
    </xf>
    <xf numFmtId="0" fontId="4" fillId="0" borderId="0">
      <alignment vertical="center"/>
    </xf>
    <xf numFmtId="38" fontId="10" fillId="0" borderId="0" applyFont="0" applyFill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3" fillId="2" borderId="28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8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8" xfId="0" applyFont="1" applyFill="1" applyBorder="1">
      <alignment vertical="center"/>
    </xf>
    <xf numFmtId="0" fontId="3" fillId="5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>
      <alignment vertical="center"/>
    </xf>
    <xf numFmtId="0" fontId="3" fillId="5" borderId="3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3" xfId="0" applyFont="1" applyFill="1" applyBorder="1">
      <alignment vertical="center"/>
    </xf>
    <xf numFmtId="0" fontId="3" fillId="5" borderId="7" xfId="0" applyFont="1" applyFill="1" applyBorder="1" applyAlignment="1">
      <alignment vertical="center"/>
    </xf>
    <xf numFmtId="0" fontId="3" fillId="5" borderId="27" xfId="0" applyFont="1" applyFill="1" applyBorder="1" applyAlignment="1">
      <alignment vertical="center"/>
    </xf>
    <xf numFmtId="0" fontId="3" fillId="5" borderId="14" xfId="0" applyFont="1" applyFill="1" applyBorder="1" applyAlignment="1">
      <alignment vertical="center"/>
    </xf>
    <xf numFmtId="0" fontId="3" fillId="5" borderId="29" xfId="0" applyFont="1" applyFill="1" applyBorder="1" applyAlignment="1">
      <alignment vertical="center"/>
    </xf>
    <xf numFmtId="0" fontId="3" fillId="2" borderId="23" xfId="0" applyFont="1" applyFill="1" applyBorder="1">
      <alignment vertical="center"/>
    </xf>
    <xf numFmtId="0" fontId="3" fillId="5" borderId="30" xfId="0" applyFont="1" applyFill="1" applyBorder="1" applyAlignment="1">
      <alignment vertical="center"/>
    </xf>
    <xf numFmtId="0" fontId="3" fillId="0" borderId="6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3" xfId="0" applyFont="1" applyFill="1" applyBorder="1">
      <alignment vertical="center"/>
    </xf>
    <xf numFmtId="0" fontId="3" fillId="2" borderId="31" xfId="0" applyFont="1" applyFill="1" applyBorder="1">
      <alignment vertical="center"/>
    </xf>
    <xf numFmtId="0" fontId="3" fillId="5" borderId="32" xfId="0" applyFont="1" applyFill="1" applyBorder="1" applyAlignment="1">
      <alignment vertical="center"/>
    </xf>
    <xf numFmtId="0" fontId="3" fillId="5" borderId="21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5" borderId="26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33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5" borderId="34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6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7" xfId="0" applyFont="1" applyFill="1" applyBorder="1" applyAlignment="1">
      <alignment horizontal="center"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3" fillId="2" borderId="40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8" fillId="2" borderId="14" xfId="0" applyFont="1" applyFill="1" applyBorder="1">
      <alignment vertical="center"/>
    </xf>
    <xf numFmtId="0" fontId="10" fillId="0" borderId="0" xfId="2" applyFont="1">
      <alignment vertical="center"/>
    </xf>
    <xf numFmtId="0" fontId="4" fillId="0" borderId="0" xfId="3">
      <alignment vertical="center"/>
    </xf>
    <xf numFmtId="0" fontId="9" fillId="0" borderId="0" xfId="2" applyProtection="1">
      <alignment vertical="center"/>
      <protection locked="0"/>
    </xf>
    <xf numFmtId="49" fontId="4" fillId="0" borderId="0" xfId="3" applyNumberFormat="1" applyFont="1" applyAlignment="1" applyProtection="1">
      <alignment horizontal="center" vertical="center"/>
      <protection locked="0"/>
    </xf>
    <xf numFmtId="0" fontId="4" fillId="0" borderId="0" xfId="3" applyFont="1" applyAlignment="1" applyProtection="1">
      <alignment horizontal="center" vertical="center"/>
      <protection locked="0"/>
    </xf>
    <xf numFmtId="0" fontId="4" fillId="0" borderId="0" xfId="3" applyFont="1" applyFill="1" applyAlignment="1" applyProtection="1">
      <alignment horizontal="left" vertical="center" shrinkToFit="1"/>
      <protection locked="0"/>
    </xf>
    <xf numFmtId="0" fontId="4" fillId="0" borderId="0" xfId="3" applyFont="1" applyAlignment="1">
      <alignment horizontal="center" vertical="center" shrinkToFit="1"/>
    </xf>
    <xf numFmtId="3" fontId="4" fillId="0" borderId="0" xfId="3" applyNumberFormat="1" applyFont="1">
      <alignment vertical="center"/>
    </xf>
    <xf numFmtId="0" fontId="9" fillId="0" borderId="0" xfId="2">
      <alignment vertical="center"/>
    </xf>
    <xf numFmtId="0" fontId="11" fillId="0" borderId="0" xfId="3" applyFont="1" applyAlignment="1">
      <alignment vertical="center" wrapText="1"/>
    </xf>
    <xf numFmtId="0" fontId="4" fillId="0" borderId="0" xfId="3" applyFont="1" applyProtection="1">
      <alignment vertical="center"/>
      <protection locked="0"/>
    </xf>
    <xf numFmtId="38" fontId="0" fillId="0" borderId="1" xfId="4" applyFont="1" applyBorder="1" applyAlignment="1">
      <alignment horizontal="center" vertical="center"/>
    </xf>
    <xf numFmtId="0" fontId="9" fillId="0" borderId="0" xfId="2" applyBorder="1" applyAlignment="1">
      <alignment horizontal="center" vertical="center"/>
    </xf>
    <xf numFmtId="177" fontId="4" fillId="0" borderId="0" xfId="3" applyNumberFormat="1" applyFont="1" applyAlignment="1">
      <alignment horizontal="right" vertical="center"/>
    </xf>
    <xf numFmtId="0" fontId="4" fillId="0" borderId="1" xfId="3" applyFont="1" applyBorder="1" applyAlignment="1" applyProtection="1">
      <alignment horizontal="center" vertical="center"/>
      <protection locked="0"/>
    </xf>
    <xf numFmtId="0" fontId="9" fillId="0" borderId="0" xfId="2" applyBorder="1" applyAlignment="1">
      <alignment vertical="center"/>
    </xf>
    <xf numFmtId="49" fontId="9" fillId="0" borderId="1" xfId="2" applyNumberFormat="1" applyBorder="1" applyAlignment="1">
      <alignment horizontal="center" vertical="center" shrinkToFit="1"/>
    </xf>
    <xf numFmtId="0" fontId="9" fillId="0" borderId="1" xfId="2" applyBorder="1" applyAlignment="1">
      <alignment horizontal="center" vertical="center" shrinkToFit="1"/>
    </xf>
    <xf numFmtId="38" fontId="0" fillId="0" borderId="1" xfId="4" applyFont="1" applyBorder="1" applyAlignment="1">
      <alignment horizontal="center" vertical="center" shrinkToFit="1"/>
    </xf>
    <xf numFmtId="0" fontId="13" fillId="0" borderId="0" xfId="3" applyFont="1">
      <alignment vertical="center"/>
    </xf>
    <xf numFmtId="49" fontId="4" fillId="0" borderId="1" xfId="3" applyNumberFormat="1" applyFont="1" applyBorder="1" applyAlignment="1" applyProtection="1">
      <alignment vertical="center" shrinkToFit="1"/>
      <protection locked="0"/>
    </xf>
    <xf numFmtId="49" fontId="13" fillId="0" borderId="1" xfId="3" applyNumberFormat="1" applyFont="1" applyBorder="1">
      <alignment vertical="center"/>
    </xf>
    <xf numFmtId="0" fontId="13" fillId="0" borderId="1" xfId="3" applyFont="1" applyBorder="1">
      <alignment vertical="center"/>
    </xf>
    <xf numFmtId="0" fontId="4" fillId="0" borderId="1" xfId="3" applyNumberFormat="1" applyFont="1" applyBorder="1" applyAlignment="1" applyProtection="1">
      <alignment horizontal="center" vertical="center" shrinkToFit="1"/>
      <protection locked="0"/>
    </xf>
    <xf numFmtId="38" fontId="4" fillId="0" borderId="1" xfId="4" applyFont="1" applyBorder="1" applyAlignment="1" applyProtection="1">
      <alignment vertical="center" shrinkToFit="1"/>
      <protection locked="0"/>
    </xf>
    <xf numFmtId="38" fontId="4" fillId="0" borderId="1" xfId="4" applyFont="1" applyFill="1" applyBorder="1" applyAlignment="1" applyProtection="1">
      <alignment vertical="center" shrinkToFit="1"/>
      <protection locked="0"/>
    </xf>
    <xf numFmtId="38" fontId="4" fillId="0" borderId="1" xfId="4" applyFont="1" applyBorder="1" applyAlignment="1">
      <alignment vertical="center" shrinkToFit="1"/>
    </xf>
    <xf numFmtId="38" fontId="10" fillId="0" borderId="1" xfId="4" applyFont="1" applyBorder="1" applyAlignment="1">
      <alignment vertical="center" shrinkToFit="1"/>
    </xf>
    <xf numFmtId="3" fontId="9" fillId="0" borderId="0" xfId="2" applyNumberFormat="1">
      <alignment vertical="center"/>
    </xf>
    <xf numFmtId="49" fontId="9" fillId="0" borderId="0" xfId="2" applyNumberFormat="1" applyProtection="1">
      <alignment vertical="center"/>
      <protection locked="0"/>
    </xf>
    <xf numFmtId="0" fontId="9" fillId="0" borderId="0" xfId="2" applyFill="1" applyAlignment="1" applyProtection="1">
      <alignment horizontal="left" vertical="center" shrinkToFit="1"/>
      <protection locked="0"/>
    </xf>
    <xf numFmtId="0" fontId="9" fillId="0" borderId="0" xfId="2" applyAlignment="1">
      <alignment horizontal="center" vertical="center" shrinkToFit="1"/>
    </xf>
    <xf numFmtId="0" fontId="3" fillId="2" borderId="55" xfId="0" applyFont="1" applyFill="1" applyBorder="1" applyAlignment="1">
      <alignment horizontal="left" vertical="center"/>
    </xf>
    <xf numFmtId="0" fontId="3" fillId="2" borderId="56" xfId="0" applyFont="1" applyFill="1" applyBorder="1">
      <alignment vertical="center"/>
    </xf>
    <xf numFmtId="0" fontId="3" fillId="2" borderId="57" xfId="0" applyFont="1" applyFill="1" applyBorder="1">
      <alignment vertical="center"/>
    </xf>
    <xf numFmtId="0" fontId="3" fillId="2" borderId="58" xfId="0" applyFont="1" applyFill="1" applyBorder="1">
      <alignment vertical="center"/>
    </xf>
    <xf numFmtId="0" fontId="3" fillId="2" borderId="58" xfId="0" quotePrefix="1" applyFont="1" applyFill="1" applyBorder="1">
      <alignment vertical="center"/>
    </xf>
    <xf numFmtId="0" fontId="3" fillId="2" borderId="59" xfId="0" applyFont="1" applyFill="1" applyBorder="1">
      <alignment vertical="center"/>
    </xf>
    <xf numFmtId="0" fontId="3" fillId="2" borderId="60" xfId="0" applyFont="1" applyFill="1" applyBorder="1">
      <alignment vertical="center"/>
    </xf>
    <xf numFmtId="0" fontId="3" fillId="2" borderId="61" xfId="0" applyFont="1" applyFill="1" applyBorder="1">
      <alignment vertical="center"/>
    </xf>
    <xf numFmtId="0" fontId="3" fillId="2" borderId="62" xfId="0" applyFont="1" applyFill="1" applyBorder="1">
      <alignment vertical="center"/>
    </xf>
    <xf numFmtId="0" fontId="3" fillId="2" borderId="62" xfId="0" quotePrefix="1" applyFont="1" applyFill="1" applyBorder="1">
      <alignment vertical="center"/>
    </xf>
    <xf numFmtId="0" fontId="3" fillId="2" borderId="63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2" xfId="0" quotePrefix="1" applyFont="1" applyFill="1" applyBorder="1">
      <alignment vertical="center"/>
    </xf>
    <xf numFmtId="0" fontId="3" fillId="2" borderId="64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3" fillId="2" borderId="65" xfId="0" applyFont="1" applyFill="1" applyBorder="1">
      <alignment vertical="center"/>
    </xf>
    <xf numFmtId="0" fontId="3" fillId="2" borderId="10" xfId="0" quotePrefix="1" applyFont="1" applyFill="1" applyBorder="1">
      <alignment vertical="center"/>
    </xf>
    <xf numFmtId="0" fontId="3" fillId="2" borderId="66" xfId="0" applyFont="1" applyFill="1" applyBorder="1">
      <alignment vertical="center"/>
    </xf>
    <xf numFmtId="0" fontId="15" fillId="2" borderId="2" xfId="0" applyFont="1" applyFill="1" applyBorder="1">
      <alignment vertical="center"/>
    </xf>
    <xf numFmtId="0" fontId="15" fillId="2" borderId="62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14" fillId="2" borderId="0" xfId="0" applyFont="1" applyFill="1" applyBorder="1" applyAlignment="1">
      <alignment horizontal="center" vertical="center"/>
    </xf>
    <xf numFmtId="0" fontId="14" fillId="2" borderId="62" xfId="0" applyFont="1" applyFill="1" applyBorder="1">
      <alignment vertical="center"/>
    </xf>
    <xf numFmtId="0" fontId="14" fillId="2" borderId="62" xfId="0" quotePrefix="1" applyFont="1" applyFill="1" applyBorder="1">
      <alignment vertical="center"/>
    </xf>
    <xf numFmtId="0" fontId="3" fillId="2" borderId="62" xfId="0" quotePrefix="1" applyFont="1" applyFill="1" applyBorder="1" applyAlignment="1">
      <alignment vertical="center"/>
    </xf>
    <xf numFmtId="0" fontId="3" fillId="2" borderId="67" xfId="0" applyFont="1" applyFill="1" applyBorder="1">
      <alignment vertical="center"/>
    </xf>
    <xf numFmtId="0" fontId="3" fillId="2" borderId="52" xfId="0" applyFont="1" applyFill="1" applyBorder="1">
      <alignment vertical="center"/>
    </xf>
    <xf numFmtId="0" fontId="3" fillId="2" borderId="53" xfId="0" applyFont="1" applyFill="1" applyBorder="1">
      <alignment vertical="center"/>
    </xf>
    <xf numFmtId="0" fontId="3" fillId="2" borderId="51" xfId="0" applyFont="1" applyFill="1" applyBorder="1">
      <alignment vertical="center"/>
    </xf>
    <xf numFmtId="0" fontId="3" fillId="2" borderId="68" xfId="0" applyFont="1" applyFill="1" applyBorder="1">
      <alignment vertical="center"/>
    </xf>
    <xf numFmtId="0" fontId="14" fillId="2" borderId="0" xfId="0" applyFont="1" applyFill="1">
      <alignment vertical="center"/>
    </xf>
    <xf numFmtId="0" fontId="3" fillId="2" borderId="43" xfId="0" applyFont="1" applyFill="1" applyBorder="1">
      <alignment vertical="center"/>
    </xf>
    <xf numFmtId="0" fontId="3" fillId="2" borderId="44" xfId="0" applyFont="1" applyFill="1" applyBorder="1">
      <alignment vertical="center"/>
    </xf>
    <xf numFmtId="0" fontId="3" fillId="2" borderId="45" xfId="0" applyFont="1" applyFill="1" applyBorder="1">
      <alignment vertical="center"/>
    </xf>
    <xf numFmtId="0" fontId="3" fillId="2" borderId="60" xfId="0" applyFont="1" applyFill="1" applyBorder="1" applyAlignment="1">
      <alignment horizontal="left" vertical="center"/>
    </xf>
    <xf numFmtId="0" fontId="3" fillId="2" borderId="5" xfId="0" applyFont="1" applyFill="1" applyBorder="1">
      <alignment vertical="center"/>
    </xf>
    <xf numFmtId="0" fontId="3" fillId="2" borderId="7" xfId="0" applyFont="1" applyFill="1" applyBorder="1">
      <alignment vertical="center"/>
    </xf>
    <xf numFmtId="0" fontId="14" fillId="2" borderId="43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2" borderId="69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 shrinkToFit="1"/>
    </xf>
    <xf numFmtId="0" fontId="3" fillId="5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2" borderId="31" xfId="0" applyFont="1" applyFill="1" applyBorder="1" applyAlignment="1">
      <alignment horizontal="left" vertical="center"/>
    </xf>
    <xf numFmtId="14" fontId="3" fillId="2" borderId="50" xfId="0" applyNumberFormat="1" applyFont="1" applyFill="1" applyBorder="1" applyAlignment="1">
      <alignment horizontal="center" vertical="center" shrinkToFit="1"/>
    </xf>
    <xf numFmtId="0" fontId="3" fillId="2" borderId="50" xfId="0" applyFont="1" applyFill="1" applyBorder="1" applyAlignment="1">
      <alignment horizontal="center" vertical="center" shrinkToFit="1"/>
    </xf>
    <xf numFmtId="0" fontId="3" fillId="2" borderId="48" xfId="0" applyFont="1" applyFill="1" applyBorder="1" applyAlignment="1">
      <alignment horizontal="center" vertical="center" shrinkToFit="1"/>
    </xf>
    <xf numFmtId="0" fontId="3" fillId="2" borderId="54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/>
    </xf>
    <xf numFmtId="0" fontId="3" fillId="3" borderId="46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 shrinkToFit="1"/>
    </xf>
    <xf numFmtId="0" fontId="3" fillId="2" borderId="52" xfId="0" applyFont="1" applyFill="1" applyBorder="1" applyAlignment="1">
      <alignment horizontal="center" vertical="center" shrinkToFit="1"/>
    </xf>
    <xf numFmtId="0" fontId="3" fillId="2" borderId="53" xfId="0" applyFont="1" applyFill="1" applyBorder="1" applyAlignment="1">
      <alignment horizontal="center" vertical="center" shrinkToFit="1"/>
    </xf>
    <xf numFmtId="0" fontId="3" fillId="3" borderId="41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45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 shrinkToFit="1"/>
    </xf>
    <xf numFmtId="0" fontId="3" fillId="2" borderId="49" xfId="0" applyFont="1" applyFill="1" applyBorder="1" applyAlignment="1">
      <alignment horizontal="center" vertical="center" shrinkToFit="1"/>
    </xf>
    <xf numFmtId="177" fontId="4" fillId="0" borderId="0" xfId="3" applyNumberFormat="1" applyFont="1" applyAlignment="1">
      <alignment horizontal="right" vertical="center"/>
    </xf>
    <xf numFmtId="0" fontId="9" fillId="0" borderId="0" xfId="2" applyAlignment="1">
      <alignment vertical="center"/>
    </xf>
  </cellXfs>
  <cellStyles count="5">
    <cellStyle name="桁区切り 2" xfId="4"/>
    <cellStyle name="標準" xfId="0" builtinId="0"/>
    <cellStyle name="標準 2" xfId="2"/>
    <cellStyle name="標準 2 2" xfId="1"/>
    <cellStyle name="標準 2 3" xfId="3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98610</xdr:colOff>
      <xdr:row>10</xdr:row>
      <xdr:rowOff>26894</xdr:rowOff>
    </xdr:from>
    <xdr:to>
      <xdr:col>63</xdr:col>
      <xdr:colOff>222867</xdr:colOff>
      <xdr:row>19</xdr:row>
      <xdr:rowOff>44825</xdr:rowOff>
    </xdr:to>
    <xdr:pic>
      <xdr:nvPicPr>
        <xdr:cNvPr id="23" name="図 2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9292" y="2160494"/>
          <a:ext cx="17354422" cy="2277037"/>
        </a:xfrm>
        <a:prstGeom prst="rect">
          <a:avLst/>
        </a:prstGeom>
      </xdr:spPr>
    </xdr:pic>
    <xdr:clientData/>
  </xdr:twoCellAnchor>
  <xdr:twoCellAnchor>
    <xdr:from>
      <xdr:col>2</xdr:col>
      <xdr:colOff>152401</xdr:colOff>
      <xdr:row>10</xdr:row>
      <xdr:rowOff>224120</xdr:rowOff>
    </xdr:from>
    <xdr:to>
      <xdr:col>3</xdr:col>
      <xdr:colOff>125507</xdr:colOff>
      <xdr:row>11</xdr:row>
      <xdr:rowOff>179295</xdr:rowOff>
    </xdr:to>
    <xdr:sp macro="" textlink="">
      <xdr:nvSpPr>
        <xdr:cNvPr id="3" name="正方形/長方形 2"/>
        <xdr:cNvSpPr/>
      </xdr:nvSpPr>
      <xdr:spPr>
        <a:xfrm>
          <a:off x="510989" y="2357720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1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35</xdr:col>
      <xdr:colOff>35860</xdr:colOff>
      <xdr:row>14</xdr:row>
      <xdr:rowOff>26896</xdr:rowOff>
    </xdr:from>
    <xdr:to>
      <xdr:col>36</xdr:col>
      <xdr:colOff>8966</xdr:colOff>
      <xdr:row>14</xdr:row>
      <xdr:rowOff>233083</xdr:rowOff>
    </xdr:to>
    <xdr:sp macro="" textlink="">
      <xdr:nvSpPr>
        <xdr:cNvPr id="5" name="正方形/長方形 4"/>
        <xdr:cNvSpPr/>
      </xdr:nvSpPr>
      <xdr:spPr>
        <a:xfrm>
          <a:off x="9565342" y="3164543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31</xdr:col>
      <xdr:colOff>44825</xdr:colOff>
      <xdr:row>14</xdr:row>
      <xdr:rowOff>26896</xdr:rowOff>
    </xdr:from>
    <xdr:to>
      <xdr:col>32</xdr:col>
      <xdr:colOff>17931</xdr:colOff>
      <xdr:row>14</xdr:row>
      <xdr:rowOff>233083</xdr:rowOff>
    </xdr:to>
    <xdr:sp macro="" textlink="">
      <xdr:nvSpPr>
        <xdr:cNvPr id="6" name="正方形/長方形 5"/>
        <xdr:cNvSpPr/>
      </xdr:nvSpPr>
      <xdr:spPr>
        <a:xfrm>
          <a:off x="8462684" y="3164543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27</xdr:col>
      <xdr:colOff>53787</xdr:colOff>
      <xdr:row>14</xdr:row>
      <xdr:rowOff>26895</xdr:rowOff>
    </xdr:from>
    <xdr:to>
      <xdr:col>28</xdr:col>
      <xdr:colOff>26893</xdr:colOff>
      <xdr:row>14</xdr:row>
      <xdr:rowOff>233082</xdr:rowOff>
    </xdr:to>
    <xdr:sp macro="" textlink="">
      <xdr:nvSpPr>
        <xdr:cNvPr id="7" name="正方形/長方形 6"/>
        <xdr:cNvSpPr/>
      </xdr:nvSpPr>
      <xdr:spPr>
        <a:xfrm>
          <a:off x="7360022" y="3164542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23</xdr:col>
      <xdr:colOff>62752</xdr:colOff>
      <xdr:row>14</xdr:row>
      <xdr:rowOff>17930</xdr:rowOff>
    </xdr:from>
    <xdr:to>
      <xdr:col>24</xdr:col>
      <xdr:colOff>35858</xdr:colOff>
      <xdr:row>14</xdr:row>
      <xdr:rowOff>224117</xdr:rowOff>
    </xdr:to>
    <xdr:sp macro="" textlink="">
      <xdr:nvSpPr>
        <xdr:cNvPr id="8" name="正方形/長方形 7"/>
        <xdr:cNvSpPr/>
      </xdr:nvSpPr>
      <xdr:spPr>
        <a:xfrm>
          <a:off x="6257364" y="3155577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4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19</xdr:col>
      <xdr:colOff>80680</xdr:colOff>
      <xdr:row>14</xdr:row>
      <xdr:rowOff>17930</xdr:rowOff>
    </xdr:from>
    <xdr:to>
      <xdr:col>20</xdr:col>
      <xdr:colOff>53786</xdr:colOff>
      <xdr:row>14</xdr:row>
      <xdr:rowOff>224117</xdr:rowOff>
    </xdr:to>
    <xdr:sp macro="" textlink="">
      <xdr:nvSpPr>
        <xdr:cNvPr id="9" name="正方形/長方形 8"/>
        <xdr:cNvSpPr/>
      </xdr:nvSpPr>
      <xdr:spPr>
        <a:xfrm>
          <a:off x="5163668" y="3155577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9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17</xdr:col>
      <xdr:colOff>242045</xdr:colOff>
      <xdr:row>14</xdr:row>
      <xdr:rowOff>17931</xdr:rowOff>
    </xdr:from>
    <xdr:to>
      <xdr:col>18</xdr:col>
      <xdr:colOff>215151</xdr:colOff>
      <xdr:row>14</xdr:row>
      <xdr:rowOff>224118</xdr:rowOff>
    </xdr:to>
    <xdr:sp macro="" textlink="">
      <xdr:nvSpPr>
        <xdr:cNvPr id="10" name="正方形/長方形 9"/>
        <xdr:cNvSpPr/>
      </xdr:nvSpPr>
      <xdr:spPr>
        <a:xfrm>
          <a:off x="4769221" y="3155578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8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16</xdr:col>
      <xdr:colOff>125504</xdr:colOff>
      <xdr:row>14</xdr:row>
      <xdr:rowOff>17927</xdr:rowOff>
    </xdr:from>
    <xdr:to>
      <xdr:col>17</xdr:col>
      <xdr:colOff>98611</xdr:colOff>
      <xdr:row>14</xdr:row>
      <xdr:rowOff>224114</xdr:rowOff>
    </xdr:to>
    <xdr:sp macro="" textlink="">
      <xdr:nvSpPr>
        <xdr:cNvPr id="11" name="正方形/長方形 10"/>
        <xdr:cNvSpPr/>
      </xdr:nvSpPr>
      <xdr:spPr>
        <a:xfrm>
          <a:off x="4374775" y="3155574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7</a:t>
          </a:r>
          <a:endParaRPr kumimoji="1" lang="ja-JP" altLang="en-US" sz="900" b="0" i="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7</xdr:col>
      <xdr:colOff>170328</xdr:colOff>
      <xdr:row>14</xdr:row>
      <xdr:rowOff>26894</xdr:rowOff>
    </xdr:from>
    <xdr:to>
      <xdr:col>8</xdr:col>
      <xdr:colOff>143434</xdr:colOff>
      <xdr:row>14</xdr:row>
      <xdr:rowOff>233081</xdr:rowOff>
    </xdr:to>
    <xdr:sp macro="" textlink="">
      <xdr:nvSpPr>
        <xdr:cNvPr id="12" name="正方形/長方形 11"/>
        <xdr:cNvSpPr/>
      </xdr:nvSpPr>
      <xdr:spPr>
        <a:xfrm>
          <a:off x="1918446" y="3164541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6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</xdr:col>
      <xdr:colOff>197224</xdr:colOff>
      <xdr:row>14</xdr:row>
      <xdr:rowOff>26895</xdr:rowOff>
    </xdr:from>
    <xdr:to>
      <xdr:col>5</xdr:col>
      <xdr:colOff>170330</xdr:colOff>
      <xdr:row>14</xdr:row>
      <xdr:rowOff>233082</xdr:rowOff>
    </xdr:to>
    <xdr:sp macro="" textlink="">
      <xdr:nvSpPr>
        <xdr:cNvPr id="13" name="正方形/長方形 12"/>
        <xdr:cNvSpPr/>
      </xdr:nvSpPr>
      <xdr:spPr>
        <a:xfrm>
          <a:off x="1111624" y="3164542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5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2</xdr:col>
      <xdr:colOff>71717</xdr:colOff>
      <xdr:row>14</xdr:row>
      <xdr:rowOff>17930</xdr:rowOff>
    </xdr:from>
    <xdr:to>
      <xdr:col>3</xdr:col>
      <xdr:colOff>44823</xdr:colOff>
      <xdr:row>14</xdr:row>
      <xdr:rowOff>224117</xdr:rowOff>
    </xdr:to>
    <xdr:sp macro="" textlink="">
      <xdr:nvSpPr>
        <xdr:cNvPr id="14" name="正方形/長方形 13"/>
        <xdr:cNvSpPr/>
      </xdr:nvSpPr>
      <xdr:spPr>
        <a:xfrm>
          <a:off x="430305" y="3155577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4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59</xdr:col>
      <xdr:colOff>80681</xdr:colOff>
      <xdr:row>9</xdr:row>
      <xdr:rowOff>215153</xdr:rowOff>
    </xdr:from>
    <xdr:to>
      <xdr:col>60</xdr:col>
      <xdr:colOff>53788</xdr:colOff>
      <xdr:row>10</xdr:row>
      <xdr:rowOff>170328</xdr:rowOff>
    </xdr:to>
    <xdr:sp macro="" textlink="">
      <xdr:nvSpPr>
        <xdr:cNvPr id="15" name="正方形/長方形 14"/>
        <xdr:cNvSpPr/>
      </xdr:nvSpPr>
      <xdr:spPr>
        <a:xfrm>
          <a:off x="16279905" y="2097741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3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6</xdr:col>
      <xdr:colOff>251011</xdr:colOff>
      <xdr:row>10</xdr:row>
      <xdr:rowOff>215155</xdr:rowOff>
    </xdr:from>
    <xdr:to>
      <xdr:col>7</xdr:col>
      <xdr:colOff>224117</xdr:colOff>
      <xdr:row>11</xdr:row>
      <xdr:rowOff>170330</xdr:rowOff>
    </xdr:to>
    <xdr:sp macro="" textlink="">
      <xdr:nvSpPr>
        <xdr:cNvPr id="16" name="正方形/長方形 15"/>
        <xdr:cNvSpPr/>
      </xdr:nvSpPr>
      <xdr:spPr>
        <a:xfrm>
          <a:off x="1721223" y="2348755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 b="0" i="0">
              <a:solidFill>
                <a:srgbClr val="C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2</a:t>
          </a:r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50</xdr:col>
      <xdr:colOff>259976</xdr:colOff>
      <xdr:row>14</xdr:row>
      <xdr:rowOff>17930</xdr:rowOff>
    </xdr:from>
    <xdr:to>
      <xdr:col>51</xdr:col>
      <xdr:colOff>233083</xdr:colOff>
      <xdr:row>14</xdr:row>
      <xdr:rowOff>224117</xdr:rowOff>
    </xdr:to>
    <xdr:sp macro="" textlink="">
      <xdr:nvSpPr>
        <xdr:cNvPr id="17" name="正方形/長方形 16"/>
        <xdr:cNvSpPr/>
      </xdr:nvSpPr>
      <xdr:spPr>
        <a:xfrm>
          <a:off x="13958047" y="3155577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46</xdr:col>
      <xdr:colOff>268940</xdr:colOff>
      <xdr:row>14</xdr:row>
      <xdr:rowOff>17930</xdr:rowOff>
    </xdr:from>
    <xdr:to>
      <xdr:col>47</xdr:col>
      <xdr:colOff>242046</xdr:colOff>
      <xdr:row>14</xdr:row>
      <xdr:rowOff>224117</xdr:rowOff>
    </xdr:to>
    <xdr:sp macro="" textlink="">
      <xdr:nvSpPr>
        <xdr:cNvPr id="18" name="正方形/長方形 17"/>
        <xdr:cNvSpPr/>
      </xdr:nvSpPr>
      <xdr:spPr>
        <a:xfrm>
          <a:off x="12855387" y="3155577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1</xdr:colOff>
      <xdr:row>14</xdr:row>
      <xdr:rowOff>17930</xdr:rowOff>
    </xdr:from>
    <xdr:to>
      <xdr:col>43</xdr:col>
      <xdr:colOff>251013</xdr:colOff>
      <xdr:row>14</xdr:row>
      <xdr:rowOff>224117</xdr:rowOff>
    </xdr:to>
    <xdr:sp macro="" textlink="">
      <xdr:nvSpPr>
        <xdr:cNvPr id="19" name="正方形/長方形 18"/>
        <xdr:cNvSpPr/>
      </xdr:nvSpPr>
      <xdr:spPr>
        <a:xfrm>
          <a:off x="11752730" y="3155577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17929</xdr:colOff>
      <xdr:row>14</xdr:row>
      <xdr:rowOff>26896</xdr:rowOff>
    </xdr:from>
    <xdr:to>
      <xdr:col>39</xdr:col>
      <xdr:colOff>268941</xdr:colOff>
      <xdr:row>14</xdr:row>
      <xdr:rowOff>233083</xdr:rowOff>
    </xdr:to>
    <xdr:sp macro="" textlink="">
      <xdr:nvSpPr>
        <xdr:cNvPr id="20" name="正方形/長方形 19"/>
        <xdr:cNvSpPr/>
      </xdr:nvSpPr>
      <xdr:spPr>
        <a:xfrm>
          <a:off x="10659035" y="3164543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58</xdr:col>
      <xdr:colOff>233082</xdr:colOff>
      <xdr:row>14</xdr:row>
      <xdr:rowOff>26895</xdr:rowOff>
    </xdr:from>
    <xdr:to>
      <xdr:col>59</xdr:col>
      <xdr:colOff>206188</xdr:colOff>
      <xdr:row>14</xdr:row>
      <xdr:rowOff>233082</xdr:rowOff>
    </xdr:to>
    <xdr:sp macro="" textlink="">
      <xdr:nvSpPr>
        <xdr:cNvPr id="21" name="正方形/長方形 20"/>
        <xdr:cNvSpPr/>
      </xdr:nvSpPr>
      <xdr:spPr>
        <a:xfrm>
          <a:off x="16154400" y="3164542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54</xdr:col>
      <xdr:colOff>242047</xdr:colOff>
      <xdr:row>14</xdr:row>
      <xdr:rowOff>17930</xdr:rowOff>
    </xdr:from>
    <xdr:to>
      <xdr:col>55</xdr:col>
      <xdr:colOff>215153</xdr:colOff>
      <xdr:row>14</xdr:row>
      <xdr:rowOff>224117</xdr:rowOff>
    </xdr:to>
    <xdr:sp macro="" textlink="">
      <xdr:nvSpPr>
        <xdr:cNvPr id="22" name="正方形/長方形 21"/>
        <xdr:cNvSpPr/>
      </xdr:nvSpPr>
      <xdr:spPr>
        <a:xfrm>
          <a:off x="15051741" y="3155577"/>
          <a:ext cx="251012" cy="206187"/>
        </a:xfrm>
        <a:prstGeom prst="rect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 b="0" i="0">
            <a:solidFill>
              <a:srgbClr val="C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oneCellAnchor>
    <xdr:from>
      <xdr:col>23</xdr:col>
      <xdr:colOff>8964</xdr:colOff>
      <xdr:row>13</xdr:row>
      <xdr:rowOff>233082</xdr:rowOff>
    </xdr:from>
    <xdr:ext cx="331695" cy="268942"/>
    <xdr:sp macro="" textlink="">
      <xdr:nvSpPr>
        <xdr:cNvPr id="24" name="テキスト ボックス 23"/>
        <xdr:cNvSpPr txBox="1"/>
      </xdr:nvSpPr>
      <xdr:spPr>
        <a:xfrm>
          <a:off x="6203576" y="3119717"/>
          <a:ext cx="331695" cy="268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10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58</xdr:col>
      <xdr:colOff>188258</xdr:colOff>
      <xdr:row>13</xdr:row>
      <xdr:rowOff>233082</xdr:rowOff>
    </xdr:from>
    <xdr:ext cx="331695" cy="268942"/>
    <xdr:sp macro="" textlink="">
      <xdr:nvSpPr>
        <xdr:cNvPr id="25" name="テキスト ボックス 24"/>
        <xdr:cNvSpPr txBox="1"/>
      </xdr:nvSpPr>
      <xdr:spPr>
        <a:xfrm>
          <a:off x="16109576" y="3119717"/>
          <a:ext cx="331695" cy="268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19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54</xdr:col>
      <xdr:colOff>188258</xdr:colOff>
      <xdr:row>13</xdr:row>
      <xdr:rowOff>224117</xdr:rowOff>
    </xdr:from>
    <xdr:ext cx="331695" cy="268942"/>
    <xdr:sp macro="" textlink="">
      <xdr:nvSpPr>
        <xdr:cNvPr id="26" name="テキスト ボックス 25"/>
        <xdr:cNvSpPr txBox="1"/>
      </xdr:nvSpPr>
      <xdr:spPr>
        <a:xfrm>
          <a:off x="14997952" y="3110752"/>
          <a:ext cx="331695" cy="268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18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50</xdr:col>
      <xdr:colOff>215152</xdr:colOff>
      <xdr:row>13</xdr:row>
      <xdr:rowOff>224117</xdr:rowOff>
    </xdr:from>
    <xdr:ext cx="331695" cy="268942"/>
    <xdr:sp macro="" textlink="">
      <xdr:nvSpPr>
        <xdr:cNvPr id="27" name="テキスト ボックス 26"/>
        <xdr:cNvSpPr txBox="1"/>
      </xdr:nvSpPr>
      <xdr:spPr>
        <a:xfrm>
          <a:off x="13913223" y="3110752"/>
          <a:ext cx="331695" cy="268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17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46</xdr:col>
      <xdr:colOff>224117</xdr:colOff>
      <xdr:row>13</xdr:row>
      <xdr:rowOff>224117</xdr:rowOff>
    </xdr:from>
    <xdr:ext cx="331695" cy="268942"/>
    <xdr:sp macro="" textlink="">
      <xdr:nvSpPr>
        <xdr:cNvPr id="28" name="テキスト ボックス 27"/>
        <xdr:cNvSpPr txBox="1"/>
      </xdr:nvSpPr>
      <xdr:spPr>
        <a:xfrm>
          <a:off x="12810564" y="3110752"/>
          <a:ext cx="331695" cy="268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16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42</xdr:col>
      <xdr:colOff>224117</xdr:colOff>
      <xdr:row>13</xdr:row>
      <xdr:rowOff>242046</xdr:rowOff>
    </xdr:from>
    <xdr:ext cx="331695" cy="268942"/>
    <xdr:sp macro="" textlink="">
      <xdr:nvSpPr>
        <xdr:cNvPr id="29" name="テキスト ボックス 28"/>
        <xdr:cNvSpPr txBox="1"/>
      </xdr:nvSpPr>
      <xdr:spPr>
        <a:xfrm>
          <a:off x="11698941" y="3128681"/>
          <a:ext cx="331695" cy="268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15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38</xdr:col>
      <xdr:colOff>251012</xdr:colOff>
      <xdr:row>13</xdr:row>
      <xdr:rowOff>233082</xdr:rowOff>
    </xdr:from>
    <xdr:ext cx="331695" cy="268942"/>
    <xdr:sp macro="" textlink="">
      <xdr:nvSpPr>
        <xdr:cNvPr id="30" name="テキスト ボックス 29"/>
        <xdr:cNvSpPr txBox="1"/>
      </xdr:nvSpPr>
      <xdr:spPr>
        <a:xfrm>
          <a:off x="10614212" y="3119717"/>
          <a:ext cx="331695" cy="268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14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34</xdr:col>
      <xdr:colOff>251012</xdr:colOff>
      <xdr:row>13</xdr:row>
      <xdr:rowOff>242047</xdr:rowOff>
    </xdr:from>
    <xdr:ext cx="331695" cy="268942"/>
    <xdr:sp macro="" textlink="">
      <xdr:nvSpPr>
        <xdr:cNvPr id="31" name="テキスト ボックス 30"/>
        <xdr:cNvSpPr txBox="1"/>
      </xdr:nvSpPr>
      <xdr:spPr>
        <a:xfrm>
          <a:off x="9502588" y="3128682"/>
          <a:ext cx="331695" cy="268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13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30</xdr:col>
      <xdr:colOff>259976</xdr:colOff>
      <xdr:row>13</xdr:row>
      <xdr:rowOff>242046</xdr:rowOff>
    </xdr:from>
    <xdr:ext cx="331695" cy="268942"/>
    <xdr:sp macro="" textlink="">
      <xdr:nvSpPr>
        <xdr:cNvPr id="32" name="テキスト ボックス 31"/>
        <xdr:cNvSpPr txBox="1"/>
      </xdr:nvSpPr>
      <xdr:spPr>
        <a:xfrm>
          <a:off x="8399929" y="3128681"/>
          <a:ext cx="331695" cy="268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12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  <xdr:oneCellAnchor>
    <xdr:from>
      <xdr:col>27</xdr:col>
      <xdr:colOff>17930</xdr:colOff>
      <xdr:row>13</xdr:row>
      <xdr:rowOff>233083</xdr:rowOff>
    </xdr:from>
    <xdr:ext cx="331695" cy="268942"/>
    <xdr:sp macro="" textlink="">
      <xdr:nvSpPr>
        <xdr:cNvPr id="33" name="テキスト ボックス 32"/>
        <xdr:cNvSpPr txBox="1"/>
      </xdr:nvSpPr>
      <xdr:spPr>
        <a:xfrm>
          <a:off x="7324165" y="3119718"/>
          <a:ext cx="331695" cy="268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>
              <a:solidFill>
                <a:srgbClr val="FF0000"/>
              </a:solidFill>
            </a:rPr>
            <a:t>11</a:t>
          </a:r>
          <a:endParaRPr kumimoji="1" lang="ja-JP" altLang="en-US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22</xdr:col>
      <xdr:colOff>245839</xdr:colOff>
      <xdr:row>45</xdr:row>
      <xdr:rowOff>58562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14327599" cy="10116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293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31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14"/>
    </row>
    <row r="3" spans="1:66" ht="20.100000000000001" customHeight="1" x14ac:dyDescent="0.45">
      <c r="A3" s="8"/>
      <c r="B3" s="184" t="s">
        <v>291</v>
      </c>
      <c r="C3" s="172"/>
      <c r="D3" s="172"/>
      <c r="E3" s="172"/>
      <c r="F3" s="172"/>
      <c r="G3" s="172"/>
      <c r="H3" s="172" t="str">
        <f ca="1">LEFT($X$3,FIND("_",$X$3)-1)</f>
        <v>SU1000</v>
      </c>
      <c r="I3" s="172"/>
      <c r="J3" s="172"/>
      <c r="K3" s="172"/>
      <c r="L3" s="172" t="s">
        <v>292</v>
      </c>
      <c r="M3" s="172"/>
      <c r="N3" s="172"/>
      <c r="O3" s="172"/>
      <c r="P3" s="172"/>
      <c r="Q3" s="172"/>
      <c r="R3" s="185" t="str">
        <f ca="1">MID($X$3,FIND("_",$X$3,FIND("_",$X$3)+1)+1,LEN($X$3)-FIND("_",$X$3,FIND("_",$X$3)+1))</f>
        <v>帳票設計書</v>
      </c>
      <c r="S3" s="172"/>
      <c r="T3" s="172"/>
      <c r="U3" s="172"/>
      <c r="V3" s="172"/>
      <c r="W3" s="172"/>
      <c r="X3" s="175" t="str">
        <f ca="1">REPLACE(LEFT(CELL("filename",$B$2),FIND(".x",CELL("filename",$B$2))-1),1,FIND("[",CELL("filename",$B$2)),)</f>
        <v>SU1000_ウエルシア中日施工集計表_帳票設計書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MID($X$3,FIND("_",$X$3)+1,FIND("_",$X$3,FIND("_",$X$3)+1)-FIND("_",$X$3)-1)</f>
        <v>ウエルシア中日施工集計表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v>45581</v>
      </c>
      <c r="AY3" s="172"/>
      <c r="AZ3" s="172"/>
      <c r="BA3" s="172"/>
      <c r="BB3" s="172" t="s">
        <v>294</v>
      </c>
      <c r="BC3" s="172"/>
      <c r="BD3" s="172"/>
      <c r="BE3" s="172"/>
      <c r="BF3" s="171">
        <v>45581</v>
      </c>
      <c r="BG3" s="172"/>
      <c r="BH3" s="172"/>
      <c r="BI3" s="172"/>
      <c r="BJ3" s="172" t="s">
        <v>294</v>
      </c>
      <c r="BK3" s="172"/>
      <c r="BL3" s="172"/>
      <c r="BM3" s="174"/>
      <c r="BN3" s="14"/>
    </row>
    <row r="4" spans="1:66" ht="20.100000000000001" customHeight="1" thickBot="1" x14ac:dyDescent="0.5">
      <c r="A4" s="8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73"/>
      <c r="AY4" s="173"/>
      <c r="AZ4" s="173"/>
      <c r="BA4" s="173"/>
      <c r="BB4" s="173"/>
      <c r="BC4" s="173"/>
      <c r="BD4" s="173"/>
      <c r="BE4" s="173"/>
      <c r="BF4" s="173"/>
      <c r="BG4" s="173"/>
      <c r="BH4" s="173"/>
      <c r="BI4" s="173"/>
      <c r="BJ4" s="173"/>
      <c r="BK4" s="173"/>
      <c r="BL4" s="173"/>
      <c r="BM4" s="175"/>
      <c r="BN4" s="14"/>
    </row>
    <row r="5" spans="1:66" ht="5.25" customHeight="1" thickTop="1" thickBot="1" x14ac:dyDescent="0.5"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7" t="s">
        <v>15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68" t="s">
        <v>8</v>
      </c>
      <c r="D8" s="168"/>
      <c r="E8" s="168"/>
      <c r="F8" s="168"/>
      <c r="G8" s="168" t="s">
        <v>9</v>
      </c>
      <c r="H8" s="168"/>
      <c r="I8" s="168"/>
      <c r="J8" s="168"/>
      <c r="K8" s="168" t="s">
        <v>10</v>
      </c>
      <c r="L8" s="168"/>
      <c r="M8" s="168"/>
      <c r="N8" s="168"/>
      <c r="O8" s="168" t="s">
        <v>11</v>
      </c>
      <c r="P8" s="168"/>
      <c r="Q8" s="168"/>
      <c r="R8" s="168"/>
      <c r="S8" s="168"/>
      <c r="T8" s="168"/>
      <c r="U8" s="168"/>
      <c r="V8" s="168"/>
      <c r="W8" s="168"/>
      <c r="X8" s="168"/>
      <c r="Y8" s="168" t="s">
        <v>12</v>
      </c>
      <c r="Z8" s="168"/>
      <c r="AA8" s="168"/>
      <c r="AB8" s="168"/>
      <c r="AC8" s="168"/>
      <c r="AD8" s="168"/>
      <c r="AE8" s="168"/>
      <c r="AF8" s="168"/>
      <c r="AG8" s="168"/>
      <c r="AH8" s="168"/>
      <c r="AI8" s="168"/>
      <c r="AJ8" s="168"/>
      <c r="AK8" s="168"/>
      <c r="AL8" s="168"/>
      <c r="AM8" s="168"/>
      <c r="AN8" s="168"/>
      <c r="AO8" s="168"/>
      <c r="AP8" s="168"/>
      <c r="AQ8" s="168"/>
      <c r="AR8" s="168"/>
      <c r="AS8" s="168"/>
      <c r="AT8" s="168"/>
      <c r="AU8" s="168"/>
      <c r="AV8" s="168"/>
      <c r="AW8" s="168"/>
      <c r="AX8" s="168"/>
      <c r="AY8" s="168"/>
      <c r="AZ8" s="168"/>
      <c r="BA8" s="168"/>
      <c r="BB8" s="168"/>
      <c r="BC8" s="168"/>
      <c r="BD8" s="168"/>
      <c r="BE8" s="168"/>
      <c r="BF8" s="168"/>
      <c r="BG8" s="168"/>
      <c r="BH8" s="168"/>
      <c r="BI8" s="168"/>
      <c r="BJ8" s="168"/>
      <c r="BK8" s="168"/>
      <c r="BL8" s="168"/>
      <c r="BM8" s="7"/>
      <c r="BN8" s="14"/>
    </row>
    <row r="9" spans="1:66" ht="20.100000000000001" customHeight="1" x14ac:dyDescent="0.45">
      <c r="A9" s="8"/>
      <c r="B9" s="7"/>
      <c r="C9" s="167">
        <v>45581</v>
      </c>
      <c r="D9" s="165"/>
      <c r="E9" s="165"/>
      <c r="F9" s="166"/>
      <c r="G9" s="161" t="s">
        <v>16</v>
      </c>
      <c r="H9" s="162"/>
      <c r="I9" s="162"/>
      <c r="J9" s="163"/>
      <c r="K9" s="164" t="s">
        <v>294</v>
      </c>
      <c r="L9" s="165"/>
      <c r="M9" s="165"/>
      <c r="N9" s="166"/>
      <c r="O9" s="3" t="s">
        <v>14</v>
      </c>
      <c r="P9" s="4"/>
      <c r="Q9" s="4"/>
      <c r="R9" s="4"/>
      <c r="S9" s="4"/>
      <c r="T9" s="4"/>
      <c r="U9" s="4"/>
      <c r="V9" s="4"/>
      <c r="W9" s="4"/>
      <c r="X9" s="2"/>
      <c r="Y9" s="3" t="s">
        <v>13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67"/>
      <c r="D10" s="165"/>
      <c r="E10" s="165"/>
      <c r="F10" s="166"/>
      <c r="G10" s="161"/>
      <c r="H10" s="162"/>
      <c r="I10" s="162"/>
      <c r="J10" s="163"/>
      <c r="K10" s="164"/>
      <c r="L10" s="165"/>
      <c r="M10" s="165"/>
      <c r="N10" s="166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67"/>
      <c r="D11" s="165"/>
      <c r="E11" s="165"/>
      <c r="F11" s="166"/>
      <c r="G11" s="161"/>
      <c r="H11" s="162"/>
      <c r="I11" s="162"/>
      <c r="J11" s="163"/>
      <c r="K11" s="164"/>
      <c r="L11" s="165"/>
      <c r="M11" s="165"/>
      <c r="N11" s="166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4"/>
      <c r="D12" s="22"/>
      <c r="E12" s="22"/>
      <c r="F12" s="23"/>
      <c r="G12" s="18"/>
      <c r="H12" s="19"/>
      <c r="I12" s="19"/>
      <c r="J12" s="20"/>
      <c r="K12" s="21"/>
      <c r="L12" s="22"/>
      <c r="M12" s="22"/>
      <c r="N12" s="23"/>
      <c r="O12" s="25"/>
      <c r="P12" s="4"/>
      <c r="Q12" s="4"/>
      <c r="R12" s="4"/>
      <c r="S12" s="4"/>
      <c r="T12" s="4"/>
      <c r="U12" s="4"/>
      <c r="V12" s="4"/>
      <c r="W12" s="4"/>
      <c r="X12" s="26"/>
      <c r="Y12" s="25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6"/>
      <c r="BM12" s="7"/>
      <c r="BN12" s="14"/>
    </row>
    <row r="13" spans="1:66" ht="20.100000000000001" customHeight="1" x14ac:dyDescent="0.45">
      <c r="A13" s="8"/>
      <c r="B13" s="7"/>
      <c r="C13" s="24"/>
      <c r="D13" s="22"/>
      <c r="E13" s="22"/>
      <c r="F13" s="23"/>
      <c r="G13" s="18"/>
      <c r="H13" s="19"/>
      <c r="I13" s="19"/>
      <c r="J13" s="20"/>
      <c r="K13" s="21"/>
      <c r="L13" s="22"/>
      <c r="M13" s="22"/>
      <c r="N13" s="23"/>
      <c r="O13" s="25"/>
      <c r="P13" s="4"/>
      <c r="Q13" s="4"/>
      <c r="R13" s="4"/>
      <c r="S13" s="4"/>
      <c r="T13" s="4"/>
      <c r="U13" s="4"/>
      <c r="V13" s="4"/>
      <c r="W13" s="4"/>
      <c r="X13" s="26"/>
      <c r="Y13" s="25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6"/>
      <c r="BM13" s="7"/>
      <c r="BN13" s="14"/>
    </row>
    <row r="14" spans="1:66" ht="20.100000000000001" customHeight="1" x14ac:dyDescent="0.45">
      <c r="A14" s="8"/>
      <c r="B14" s="7"/>
      <c r="C14" s="24"/>
      <c r="D14" s="22"/>
      <c r="E14" s="22"/>
      <c r="F14" s="23"/>
      <c r="G14" s="18"/>
      <c r="H14" s="19"/>
      <c r="I14" s="19"/>
      <c r="J14" s="20"/>
      <c r="K14" s="21"/>
      <c r="L14" s="22"/>
      <c r="M14" s="22"/>
      <c r="N14" s="23"/>
      <c r="O14" s="25"/>
      <c r="P14" s="4"/>
      <c r="Q14" s="4"/>
      <c r="R14" s="4"/>
      <c r="S14" s="4"/>
      <c r="T14" s="4"/>
      <c r="U14" s="4"/>
      <c r="V14" s="4"/>
      <c r="W14" s="4"/>
      <c r="X14" s="26"/>
      <c r="Y14" s="25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6"/>
      <c r="BM14" s="7"/>
      <c r="BN14" s="14"/>
    </row>
    <row r="15" spans="1:66" ht="20.100000000000001" customHeight="1" x14ac:dyDescent="0.45">
      <c r="A15" s="8"/>
      <c r="B15" s="7"/>
      <c r="C15" s="24"/>
      <c r="D15" s="22"/>
      <c r="E15" s="22"/>
      <c r="F15" s="23"/>
      <c r="G15" s="18"/>
      <c r="H15" s="19"/>
      <c r="I15" s="19"/>
      <c r="J15" s="20"/>
      <c r="K15" s="21"/>
      <c r="L15" s="22"/>
      <c r="M15" s="22"/>
      <c r="N15" s="23"/>
      <c r="O15" s="25"/>
      <c r="P15" s="4"/>
      <c r="Q15" s="4"/>
      <c r="R15" s="4"/>
      <c r="S15" s="4"/>
      <c r="T15" s="4"/>
      <c r="U15" s="4"/>
      <c r="V15" s="4"/>
      <c r="W15" s="4"/>
      <c r="X15" s="26"/>
      <c r="Y15" s="25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6"/>
      <c r="BM15" s="7"/>
      <c r="BN15" s="14"/>
    </row>
    <row r="16" spans="1:66" ht="20.100000000000001" customHeight="1" x14ac:dyDescent="0.45">
      <c r="A16" s="8"/>
      <c r="B16" s="7"/>
      <c r="C16" s="24"/>
      <c r="D16" s="22"/>
      <c r="E16" s="22"/>
      <c r="F16" s="23"/>
      <c r="G16" s="18"/>
      <c r="H16" s="19"/>
      <c r="I16" s="19"/>
      <c r="J16" s="20"/>
      <c r="K16" s="21"/>
      <c r="L16" s="22"/>
      <c r="M16" s="22"/>
      <c r="N16" s="23"/>
      <c r="O16" s="25"/>
      <c r="P16" s="4"/>
      <c r="Q16" s="4"/>
      <c r="R16" s="4"/>
      <c r="S16" s="4"/>
      <c r="T16" s="4"/>
      <c r="U16" s="4"/>
      <c r="V16" s="4"/>
      <c r="W16" s="4"/>
      <c r="X16" s="26"/>
      <c r="Y16" s="25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6"/>
      <c r="BM16" s="7"/>
      <c r="BN16" s="14"/>
    </row>
    <row r="17" spans="1:66" ht="20.100000000000001" customHeight="1" x14ac:dyDescent="0.45">
      <c r="A17" s="8"/>
      <c r="B17" s="7"/>
      <c r="C17" s="24"/>
      <c r="D17" s="22"/>
      <c r="E17" s="22"/>
      <c r="F17" s="23"/>
      <c r="G17" s="18"/>
      <c r="H17" s="19"/>
      <c r="I17" s="19"/>
      <c r="J17" s="20"/>
      <c r="K17" s="21"/>
      <c r="L17" s="22"/>
      <c r="M17" s="22"/>
      <c r="N17" s="23"/>
      <c r="O17" s="25"/>
      <c r="P17" s="4"/>
      <c r="Q17" s="4"/>
      <c r="R17" s="4"/>
      <c r="S17" s="4"/>
      <c r="T17" s="4"/>
      <c r="U17" s="4"/>
      <c r="V17" s="4"/>
      <c r="W17" s="4"/>
      <c r="X17" s="26"/>
      <c r="Y17" s="25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6"/>
      <c r="BM17" s="7"/>
      <c r="BN17" s="14"/>
    </row>
    <row r="18" spans="1:66" ht="20.100000000000001" customHeight="1" x14ac:dyDescent="0.45">
      <c r="A18" s="8"/>
      <c r="B18" s="7"/>
      <c r="C18" s="24"/>
      <c r="D18" s="22"/>
      <c r="E18" s="22"/>
      <c r="F18" s="23"/>
      <c r="G18" s="18"/>
      <c r="H18" s="19"/>
      <c r="I18" s="19"/>
      <c r="J18" s="20"/>
      <c r="K18" s="21"/>
      <c r="L18" s="22"/>
      <c r="M18" s="22"/>
      <c r="N18" s="23"/>
      <c r="O18" s="25"/>
      <c r="P18" s="4"/>
      <c r="Q18" s="4"/>
      <c r="R18" s="4"/>
      <c r="S18" s="4"/>
      <c r="T18" s="4"/>
      <c r="U18" s="4"/>
      <c r="V18" s="4"/>
      <c r="W18" s="4"/>
      <c r="X18" s="26"/>
      <c r="Y18" s="25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6"/>
      <c r="BM18" s="7"/>
      <c r="BN18" s="14"/>
    </row>
    <row r="19" spans="1:66" ht="20.100000000000001" customHeight="1" x14ac:dyDescent="0.45">
      <c r="A19" s="8"/>
      <c r="B19" s="7"/>
      <c r="C19" s="24"/>
      <c r="D19" s="22"/>
      <c r="E19" s="22"/>
      <c r="F19" s="23"/>
      <c r="G19" s="18"/>
      <c r="H19" s="19"/>
      <c r="I19" s="19"/>
      <c r="J19" s="20"/>
      <c r="K19" s="21"/>
      <c r="L19" s="22"/>
      <c r="M19" s="22"/>
      <c r="N19" s="23"/>
      <c r="O19" s="25"/>
      <c r="P19" s="4"/>
      <c r="Q19" s="4"/>
      <c r="R19" s="4"/>
      <c r="S19" s="4"/>
      <c r="T19" s="4"/>
      <c r="U19" s="4"/>
      <c r="V19" s="4"/>
      <c r="W19" s="4"/>
      <c r="X19" s="26"/>
      <c r="Y19" s="25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6"/>
      <c r="BM19" s="7"/>
      <c r="BN19" s="14"/>
    </row>
    <row r="20" spans="1:66" ht="20.100000000000001" customHeight="1" x14ac:dyDescent="0.45">
      <c r="A20" s="8"/>
      <c r="B20" s="7"/>
      <c r="C20" s="24"/>
      <c r="D20" s="22"/>
      <c r="E20" s="22"/>
      <c r="F20" s="23"/>
      <c r="G20" s="18"/>
      <c r="H20" s="19"/>
      <c r="I20" s="19"/>
      <c r="J20" s="20"/>
      <c r="K20" s="21"/>
      <c r="L20" s="22"/>
      <c r="M20" s="22"/>
      <c r="N20" s="23"/>
      <c r="O20" s="25"/>
      <c r="P20" s="4"/>
      <c r="Q20" s="4"/>
      <c r="R20" s="4"/>
      <c r="S20" s="4"/>
      <c r="T20" s="4"/>
      <c r="U20" s="4"/>
      <c r="V20" s="4"/>
      <c r="W20" s="4"/>
      <c r="X20" s="26"/>
      <c r="Y20" s="25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6"/>
      <c r="BM20" s="7"/>
      <c r="BN20" s="14"/>
    </row>
    <row r="21" spans="1:66" ht="20.100000000000001" customHeight="1" x14ac:dyDescent="0.45">
      <c r="A21" s="8"/>
      <c r="B21" s="7"/>
      <c r="C21" s="24"/>
      <c r="D21" s="22"/>
      <c r="E21" s="22"/>
      <c r="F21" s="23"/>
      <c r="G21" s="18"/>
      <c r="H21" s="19"/>
      <c r="I21" s="19"/>
      <c r="J21" s="20"/>
      <c r="K21" s="21"/>
      <c r="L21" s="22"/>
      <c r="M21" s="22"/>
      <c r="N21" s="23"/>
      <c r="O21" s="25"/>
      <c r="P21" s="4"/>
      <c r="Q21" s="4"/>
      <c r="R21" s="4"/>
      <c r="S21" s="4"/>
      <c r="T21" s="4"/>
      <c r="U21" s="4"/>
      <c r="V21" s="4"/>
      <c r="W21" s="4"/>
      <c r="X21" s="26"/>
      <c r="Y21" s="25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6"/>
      <c r="BM21" s="7"/>
      <c r="BN21" s="14"/>
    </row>
    <row r="22" spans="1:66" ht="20.100000000000001" customHeight="1" x14ac:dyDescent="0.45">
      <c r="A22" s="8"/>
      <c r="B22" s="7"/>
      <c r="C22" s="24"/>
      <c r="D22" s="22"/>
      <c r="E22" s="22"/>
      <c r="F22" s="23"/>
      <c r="G22" s="18"/>
      <c r="H22" s="19"/>
      <c r="I22" s="19"/>
      <c r="J22" s="20"/>
      <c r="K22" s="21"/>
      <c r="L22" s="22"/>
      <c r="M22" s="22"/>
      <c r="N22" s="23"/>
      <c r="O22" s="25"/>
      <c r="P22" s="4"/>
      <c r="Q22" s="4"/>
      <c r="R22" s="4"/>
      <c r="S22" s="4"/>
      <c r="T22" s="4"/>
      <c r="U22" s="4"/>
      <c r="V22" s="4"/>
      <c r="W22" s="4"/>
      <c r="X22" s="26"/>
      <c r="Y22" s="25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6"/>
      <c r="BM22" s="7"/>
      <c r="BN22" s="14"/>
    </row>
    <row r="23" spans="1:66" ht="20.100000000000001" customHeight="1" x14ac:dyDescent="0.45">
      <c r="A23" s="8"/>
      <c r="B23" s="7"/>
      <c r="C23" s="24"/>
      <c r="D23" s="22"/>
      <c r="E23" s="22"/>
      <c r="F23" s="23"/>
      <c r="G23" s="18"/>
      <c r="H23" s="19"/>
      <c r="I23" s="19"/>
      <c r="J23" s="20"/>
      <c r="K23" s="21"/>
      <c r="L23" s="22"/>
      <c r="M23" s="22"/>
      <c r="N23" s="23"/>
      <c r="O23" s="25"/>
      <c r="P23" s="4"/>
      <c r="Q23" s="4"/>
      <c r="R23" s="4"/>
      <c r="S23" s="4"/>
      <c r="T23" s="4"/>
      <c r="U23" s="4"/>
      <c r="V23" s="4"/>
      <c r="W23" s="4"/>
      <c r="X23" s="26"/>
      <c r="Y23" s="25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6"/>
      <c r="BM23" s="7"/>
      <c r="BN23" s="14"/>
    </row>
    <row r="24" spans="1:66" ht="20.100000000000001" customHeight="1" x14ac:dyDescent="0.45">
      <c r="A24" s="8"/>
      <c r="B24" s="7"/>
      <c r="C24" s="24"/>
      <c r="D24" s="22"/>
      <c r="E24" s="22"/>
      <c r="F24" s="23"/>
      <c r="G24" s="18"/>
      <c r="H24" s="19"/>
      <c r="I24" s="19"/>
      <c r="J24" s="20"/>
      <c r="K24" s="21"/>
      <c r="L24" s="22"/>
      <c r="M24" s="22"/>
      <c r="N24" s="23"/>
      <c r="O24" s="25"/>
      <c r="P24" s="4"/>
      <c r="Q24" s="4"/>
      <c r="R24" s="4"/>
      <c r="S24" s="4"/>
      <c r="T24" s="4"/>
      <c r="U24" s="4"/>
      <c r="V24" s="4"/>
      <c r="W24" s="4"/>
      <c r="X24" s="26"/>
      <c r="Y24" s="25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6"/>
      <c r="BM24" s="7"/>
      <c r="BN24" s="14"/>
    </row>
    <row r="25" spans="1:66" ht="20.100000000000001" customHeight="1" x14ac:dyDescent="0.45">
      <c r="A25" s="8"/>
      <c r="B25" s="7"/>
      <c r="C25" s="24"/>
      <c r="D25" s="22"/>
      <c r="E25" s="22"/>
      <c r="F25" s="23"/>
      <c r="G25" s="18"/>
      <c r="H25" s="19"/>
      <c r="I25" s="19"/>
      <c r="J25" s="20"/>
      <c r="K25" s="21"/>
      <c r="L25" s="22"/>
      <c r="M25" s="22"/>
      <c r="N25" s="23"/>
      <c r="O25" s="25"/>
      <c r="P25" s="4"/>
      <c r="Q25" s="4"/>
      <c r="R25" s="4"/>
      <c r="S25" s="4"/>
      <c r="T25" s="4"/>
      <c r="U25" s="4"/>
      <c r="V25" s="4"/>
      <c r="W25" s="4"/>
      <c r="X25" s="26"/>
      <c r="Y25" s="25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6"/>
      <c r="BM25" s="7"/>
      <c r="BN25" s="14"/>
    </row>
    <row r="26" spans="1:66" ht="20.100000000000001" customHeight="1" x14ac:dyDescent="0.45">
      <c r="A26" s="8"/>
      <c r="B26" s="7"/>
      <c r="C26" s="24"/>
      <c r="D26" s="22"/>
      <c r="E26" s="22"/>
      <c r="F26" s="23"/>
      <c r="G26" s="18"/>
      <c r="H26" s="19"/>
      <c r="I26" s="19"/>
      <c r="J26" s="20"/>
      <c r="K26" s="21"/>
      <c r="L26" s="22"/>
      <c r="M26" s="22"/>
      <c r="N26" s="23"/>
      <c r="O26" s="25"/>
      <c r="P26" s="4"/>
      <c r="Q26" s="4"/>
      <c r="R26" s="4"/>
      <c r="S26" s="4"/>
      <c r="T26" s="4"/>
      <c r="U26" s="4"/>
      <c r="V26" s="4"/>
      <c r="W26" s="4"/>
      <c r="X26" s="26"/>
      <c r="Y26" s="2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6"/>
      <c r="BM26" s="7"/>
      <c r="BN26" s="14"/>
    </row>
    <row r="27" spans="1:66" ht="20.100000000000001" customHeight="1" x14ac:dyDescent="0.45">
      <c r="A27" s="8"/>
      <c r="B27" s="7"/>
      <c r="C27" s="24"/>
      <c r="D27" s="22"/>
      <c r="E27" s="22"/>
      <c r="F27" s="23"/>
      <c r="G27" s="18"/>
      <c r="H27" s="19"/>
      <c r="I27" s="19"/>
      <c r="J27" s="20"/>
      <c r="K27" s="21"/>
      <c r="L27" s="22"/>
      <c r="M27" s="22"/>
      <c r="N27" s="23"/>
      <c r="O27" s="25"/>
      <c r="P27" s="4"/>
      <c r="Q27" s="4"/>
      <c r="R27" s="4"/>
      <c r="S27" s="4"/>
      <c r="T27" s="4"/>
      <c r="U27" s="4"/>
      <c r="V27" s="4"/>
      <c r="W27" s="4"/>
      <c r="X27" s="26"/>
      <c r="Y27" s="25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6"/>
      <c r="BM27" s="7"/>
      <c r="BN27" s="14"/>
    </row>
    <row r="28" spans="1:66" ht="20.100000000000001" customHeight="1" x14ac:dyDescent="0.45">
      <c r="A28" s="8"/>
      <c r="B28" s="7"/>
      <c r="C28" s="24"/>
      <c r="D28" s="22"/>
      <c r="E28" s="22"/>
      <c r="F28" s="23"/>
      <c r="G28" s="18"/>
      <c r="H28" s="19"/>
      <c r="I28" s="19"/>
      <c r="J28" s="20"/>
      <c r="K28" s="21"/>
      <c r="L28" s="22"/>
      <c r="M28" s="22"/>
      <c r="N28" s="23"/>
      <c r="O28" s="25"/>
      <c r="P28" s="4"/>
      <c r="Q28" s="4"/>
      <c r="R28" s="4"/>
      <c r="S28" s="4"/>
      <c r="T28" s="4"/>
      <c r="U28" s="4"/>
      <c r="V28" s="4"/>
      <c r="W28" s="4"/>
      <c r="X28" s="26"/>
      <c r="Y28" s="25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6"/>
      <c r="BM28" s="7"/>
      <c r="BN28" s="14"/>
    </row>
    <row r="29" spans="1:66" ht="20.100000000000001" customHeight="1" x14ac:dyDescent="0.45">
      <c r="A29" s="8"/>
      <c r="B29" s="7"/>
      <c r="C29" s="24"/>
      <c r="D29" s="22"/>
      <c r="E29" s="22"/>
      <c r="F29" s="23"/>
      <c r="G29" s="18"/>
      <c r="H29" s="19"/>
      <c r="I29" s="19"/>
      <c r="J29" s="20"/>
      <c r="K29" s="21"/>
      <c r="L29" s="22"/>
      <c r="M29" s="22"/>
      <c r="N29" s="23"/>
      <c r="O29" s="25"/>
      <c r="P29" s="4"/>
      <c r="Q29" s="4"/>
      <c r="R29" s="4"/>
      <c r="S29" s="4"/>
      <c r="T29" s="4"/>
      <c r="U29" s="4"/>
      <c r="V29" s="4"/>
      <c r="W29" s="4"/>
      <c r="X29" s="26"/>
      <c r="Y29" s="2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6"/>
      <c r="BM29" s="7"/>
      <c r="BN29" s="14"/>
    </row>
    <row r="30" spans="1:66" ht="20.100000000000001" customHeight="1" x14ac:dyDescent="0.45">
      <c r="A30" s="8"/>
      <c r="B30" s="7"/>
      <c r="C30" s="24"/>
      <c r="D30" s="22"/>
      <c r="E30" s="22"/>
      <c r="F30" s="23"/>
      <c r="G30" s="18"/>
      <c r="H30" s="19"/>
      <c r="I30" s="19"/>
      <c r="J30" s="20"/>
      <c r="K30" s="21"/>
      <c r="L30" s="22"/>
      <c r="M30" s="22"/>
      <c r="N30" s="23"/>
      <c r="O30" s="25"/>
      <c r="P30" s="4"/>
      <c r="Q30" s="4"/>
      <c r="R30" s="4"/>
      <c r="S30" s="4"/>
      <c r="T30" s="4"/>
      <c r="U30" s="4"/>
      <c r="V30" s="4"/>
      <c r="W30" s="4"/>
      <c r="X30" s="26"/>
      <c r="Y30" s="2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6"/>
      <c r="BM30" s="7"/>
      <c r="BN30" s="14"/>
    </row>
    <row r="31" spans="1:66" ht="20.100000000000001" customHeight="1" x14ac:dyDescent="0.45">
      <c r="A31" s="8"/>
      <c r="B31" s="7"/>
      <c r="C31" s="24"/>
      <c r="D31" s="22"/>
      <c r="E31" s="22"/>
      <c r="F31" s="23"/>
      <c r="G31" s="18"/>
      <c r="H31" s="19"/>
      <c r="I31" s="19"/>
      <c r="J31" s="20"/>
      <c r="K31" s="21"/>
      <c r="L31" s="22"/>
      <c r="M31" s="22"/>
      <c r="N31" s="23"/>
      <c r="O31" s="25"/>
      <c r="P31" s="4"/>
      <c r="Q31" s="4"/>
      <c r="R31" s="4"/>
      <c r="S31" s="4"/>
      <c r="T31" s="4"/>
      <c r="U31" s="4"/>
      <c r="V31" s="4"/>
      <c r="W31" s="4"/>
      <c r="X31" s="26"/>
      <c r="Y31" s="2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6"/>
      <c r="BM31" s="7"/>
      <c r="BN31" s="14"/>
    </row>
    <row r="32" spans="1:66" ht="20.100000000000001" customHeight="1" x14ac:dyDescent="0.45">
      <c r="A32" s="8"/>
      <c r="B32" s="7"/>
      <c r="C32" s="24"/>
      <c r="D32" s="22"/>
      <c r="E32" s="22"/>
      <c r="F32" s="23"/>
      <c r="G32" s="18"/>
      <c r="H32" s="19"/>
      <c r="I32" s="19"/>
      <c r="J32" s="20"/>
      <c r="K32" s="21"/>
      <c r="L32" s="22"/>
      <c r="M32" s="22"/>
      <c r="N32" s="23"/>
      <c r="O32" s="25"/>
      <c r="P32" s="4"/>
      <c r="Q32" s="4"/>
      <c r="R32" s="4"/>
      <c r="S32" s="4"/>
      <c r="T32" s="4"/>
      <c r="U32" s="4"/>
      <c r="V32" s="4"/>
      <c r="W32" s="4"/>
      <c r="X32" s="26"/>
      <c r="Y32" s="2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6"/>
      <c r="BM32" s="7"/>
      <c r="BN32" s="14"/>
    </row>
    <row r="33" spans="1:66" ht="20.100000000000001" customHeight="1" x14ac:dyDescent="0.45">
      <c r="A33" s="8"/>
      <c r="B33" s="7"/>
      <c r="C33" s="24"/>
      <c r="D33" s="22"/>
      <c r="E33" s="22"/>
      <c r="F33" s="23"/>
      <c r="G33" s="18"/>
      <c r="H33" s="19"/>
      <c r="I33" s="19"/>
      <c r="J33" s="20"/>
      <c r="K33" s="21"/>
      <c r="L33" s="22"/>
      <c r="M33" s="22"/>
      <c r="N33" s="23"/>
      <c r="O33" s="25"/>
      <c r="P33" s="4"/>
      <c r="Q33" s="4"/>
      <c r="R33" s="4"/>
      <c r="S33" s="4"/>
      <c r="T33" s="4"/>
      <c r="U33" s="4"/>
      <c r="V33" s="4"/>
      <c r="W33" s="4"/>
      <c r="X33" s="26"/>
      <c r="Y33" s="2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6"/>
      <c r="BM33" s="7"/>
      <c r="BN33" s="14"/>
    </row>
    <row r="34" spans="1:66" ht="20.100000000000001" customHeight="1" x14ac:dyDescent="0.45">
      <c r="A34" s="8"/>
      <c r="B34" s="7"/>
      <c r="C34" s="24"/>
      <c r="D34" s="22"/>
      <c r="E34" s="22"/>
      <c r="F34" s="23"/>
      <c r="G34" s="18"/>
      <c r="H34" s="19"/>
      <c r="I34" s="19"/>
      <c r="J34" s="20"/>
      <c r="K34" s="21"/>
      <c r="L34" s="22"/>
      <c r="M34" s="22"/>
      <c r="N34" s="23"/>
      <c r="O34" s="25"/>
      <c r="P34" s="4"/>
      <c r="Q34" s="4"/>
      <c r="R34" s="4"/>
      <c r="S34" s="4"/>
      <c r="T34" s="4"/>
      <c r="U34" s="4"/>
      <c r="V34" s="4"/>
      <c r="W34" s="4"/>
      <c r="X34" s="26"/>
      <c r="Y34" s="2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6"/>
      <c r="BM34" s="7"/>
      <c r="BN34" s="14"/>
    </row>
    <row r="35" spans="1:66" ht="20.100000000000001" customHeight="1" x14ac:dyDescent="0.45">
      <c r="A35" s="8"/>
      <c r="B35" s="7"/>
      <c r="C35" s="24"/>
      <c r="D35" s="22"/>
      <c r="E35" s="22"/>
      <c r="F35" s="23"/>
      <c r="G35" s="18"/>
      <c r="H35" s="19"/>
      <c r="I35" s="19"/>
      <c r="J35" s="20"/>
      <c r="K35" s="21"/>
      <c r="L35" s="22"/>
      <c r="M35" s="22"/>
      <c r="N35" s="23"/>
      <c r="O35" s="25"/>
      <c r="P35" s="4"/>
      <c r="Q35" s="4"/>
      <c r="R35" s="4"/>
      <c r="S35" s="4"/>
      <c r="T35" s="4"/>
      <c r="U35" s="4"/>
      <c r="V35" s="4"/>
      <c r="W35" s="4"/>
      <c r="X35" s="26"/>
      <c r="Y35" s="2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6"/>
      <c r="BM35" s="7"/>
      <c r="BN35" s="14"/>
    </row>
    <row r="36" spans="1:66" ht="20.100000000000001" customHeight="1" x14ac:dyDescent="0.45">
      <c r="A36" s="8"/>
      <c r="B36" s="7"/>
      <c r="C36" s="167"/>
      <c r="D36" s="165"/>
      <c r="E36" s="165"/>
      <c r="F36" s="166"/>
      <c r="G36" s="161"/>
      <c r="H36" s="162"/>
      <c r="I36" s="162"/>
      <c r="J36" s="163"/>
      <c r="K36" s="164"/>
      <c r="L36" s="165"/>
      <c r="M36" s="165"/>
      <c r="N36" s="166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67"/>
      <c r="D37" s="165"/>
      <c r="E37" s="165"/>
      <c r="F37" s="166"/>
      <c r="G37" s="161"/>
      <c r="H37" s="162"/>
      <c r="I37" s="162"/>
      <c r="J37" s="163"/>
      <c r="K37" s="164"/>
      <c r="L37" s="165"/>
      <c r="M37" s="165"/>
      <c r="N37" s="166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67"/>
      <c r="D38" s="165"/>
      <c r="E38" s="165"/>
      <c r="F38" s="166"/>
      <c r="G38" s="161"/>
      <c r="H38" s="162"/>
      <c r="I38" s="162"/>
      <c r="J38" s="163"/>
      <c r="K38" s="164"/>
      <c r="L38" s="165"/>
      <c r="M38" s="165"/>
      <c r="N38" s="166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67"/>
      <c r="D39" s="165"/>
      <c r="E39" s="165"/>
      <c r="F39" s="166"/>
      <c r="G39" s="161"/>
      <c r="H39" s="162"/>
      <c r="I39" s="162"/>
      <c r="J39" s="163"/>
      <c r="K39" s="164"/>
      <c r="L39" s="165"/>
      <c r="M39" s="165"/>
      <c r="N39" s="166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67"/>
      <c r="D40" s="165"/>
      <c r="E40" s="165"/>
      <c r="F40" s="166"/>
      <c r="G40" s="161"/>
      <c r="H40" s="162"/>
      <c r="I40" s="162"/>
      <c r="J40" s="163"/>
      <c r="K40" s="164"/>
      <c r="L40" s="165"/>
      <c r="M40" s="165"/>
      <c r="N40" s="166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67"/>
      <c r="D41" s="165"/>
      <c r="E41" s="165"/>
      <c r="F41" s="166"/>
      <c r="G41" s="161"/>
      <c r="H41" s="162"/>
      <c r="I41" s="162"/>
      <c r="J41" s="163"/>
      <c r="K41" s="164"/>
      <c r="L41" s="165"/>
      <c r="M41" s="165"/>
      <c r="N41" s="166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67"/>
      <c r="D42" s="165"/>
      <c r="E42" s="165"/>
      <c r="F42" s="166"/>
      <c r="G42" s="161"/>
      <c r="H42" s="162"/>
      <c r="I42" s="162"/>
      <c r="J42" s="163"/>
      <c r="K42" s="164"/>
      <c r="L42" s="165"/>
      <c r="M42" s="165"/>
      <c r="N42" s="166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67"/>
      <c r="D43" s="165"/>
      <c r="E43" s="165"/>
      <c r="F43" s="166"/>
      <c r="G43" s="161"/>
      <c r="H43" s="162"/>
      <c r="I43" s="162"/>
      <c r="J43" s="163"/>
      <c r="K43" s="164"/>
      <c r="L43" s="165"/>
      <c r="M43" s="165"/>
      <c r="N43" s="166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67"/>
      <c r="D44" s="165"/>
      <c r="E44" s="165"/>
      <c r="F44" s="166"/>
      <c r="G44" s="161"/>
      <c r="H44" s="162"/>
      <c r="I44" s="162"/>
      <c r="J44" s="163"/>
      <c r="K44" s="164"/>
      <c r="L44" s="165"/>
      <c r="M44" s="165"/>
      <c r="N44" s="166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67"/>
      <c r="D45" s="165"/>
      <c r="E45" s="165"/>
      <c r="F45" s="166"/>
      <c r="G45" s="161"/>
      <c r="H45" s="162"/>
      <c r="I45" s="162"/>
      <c r="J45" s="163"/>
      <c r="K45" s="164"/>
      <c r="L45" s="165"/>
      <c r="M45" s="165"/>
      <c r="N45" s="166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67"/>
      <c r="D46" s="165"/>
      <c r="E46" s="165"/>
      <c r="F46" s="166"/>
      <c r="G46" s="161"/>
      <c r="H46" s="162"/>
      <c r="I46" s="162"/>
      <c r="J46" s="163"/>
      <c r="K46" s="164"/>
      <c r="L46" s="165"/>
      <c r="M46" s="165"/>
      <c r="N46" s="166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67"/>
      <c r="D47" s="165"/>
      <c r="E47" s="165"/>
      <c r="F47" s="166"/>
      <c r="G47" s="161"/>
      <c r="H47" s="162"/>
      <c r="I47" s="162"/>
      <c r="J47" s="163"/>
      <c r="K47" s="164"/>
      <c r="L47" s="165"/>
      <c r="M47" s="165"/>
      <c r="N47" s="166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N32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</row>
    <row r="2" spans="1:66" ht="20.100000000000001" customHeight="1" thickTop="1" x14ac:dyDescent="0.45">
      <c r="A2" s="32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293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32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35"/>
    </row>
    <row r="3" spans="1:66" ht="20.100000000000001" customHeight="1" x14ac:dyDescent="0.45">
      <c r="A3" s="32"/>
      <c r="B3" s="184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SU1000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SU1000_ウエルシア中日施工集計表_帳票設計書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ウエルシア中日施工集計表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45581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45581</v>
      </c>
      <c r="BG3" s="171"/>
      <c r="BH3" s="171"/>
      <c r="BI3" s="171"/>
      <c r="BJ3" s="172" t="str">
        <f>変更履歴!BJ3</f>
        <v>大谷</v>
      </c>
      <c r="BK3" s="172"/>
      <c r="BL3" s="172"/>
      <c r="BM3" s="174"/>
      <c r="BN3" s="35"/>
    </row>
    <row r="4" spans="1:66" ht="20.100000000000001" customHeight="1" thickBot="1" x14ac:dyDescent="0.5">
      <c r="A4" s="32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87"/>
      <c r="AY4" s="187"/>
      <c r="AZ4" s="187"/>
      <c r="BA4" s="187"/>
      <c r="BB4" s="173"/>
      <c r="BC4" s="173"/>
      <c r="BD4" s="173"/>
      <c r="BE4" s="173"/>
      <c r="BF4" s="187"/>
      <c r="BG4" s="187"/>
      <c r="BH4" s="187"/>
      <c r="BI4" s="187"/>
      <c r="BJ4" s="173"/>
      <c r="BK4" s="173"/>
      <c r="BL4" s="173"/>
      <c r="BM4" s="175"/>
      <c r="BN4" s="35"/>
    </row>
    <row r="5" spans="1:66" ht="5.25" customHeight="1" thickTop="1" thickBot="1" x14ac:dyDescent="0.5"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6"/>
      <c r="BL5" s="46"/>
      <c r="BM5" s="46"/>
    </row>
    <row r="6" spans="1:66" ht="20.100000000000001" customHeight="1" thickTop="1" thickBot="1" x14ac:dyDescent="0.5">
      <c r="A6" s="32"/>
      <c r="B6" s="31"/>
      <c r="C6" s="31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  <c r="AX6" s="46"/>
      <c r="AY6" s="46"/>
      <c r="AZ6" s="46"/>
      <c r="BA6" s="46"/>
      <c r="BB6" s="46"/>
      <c r="BC6" s="46"/>
      <c r="BD6" s="46"/>
      <c r="BE6" s="46"/>
      <c r="BF6" s="46"/>
      <c r="BG6" s="46"/>
      <c r="BH6" s="46"/>
      <c r="BI6" s="46"/>
      <c r="BJ6" s="31"/>
      <c r="BK6" s="31"/>
      <c r="BL6" s="31"/>
      <c r="BM6" s="31"/>
      <c r="BN6" s="35"/>
    </row>
    <row r="7" spans="1:66" ht="20.100000000000001" customHeight="1" thickTop="1" x14ac:dyDescent="0.45">
      <c r="A7" s="32"/>
      <c r="B7" s="31"/>
      <c r="C7" s="32"/>
      <c r="D7" s="66" t="s">
        <v>22</v>
      </c>
      <c r="E7" s="47"/>
      <c r="F7" s="47"/>
      <c r="G7" s="67"/>
      <c r="H7" s="48" t="str">
        <f ca="1">AK3</f>
        <v>ウエルシア中日施工集計表</v>
      </c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51"/>
      <c r="AJ7" s="51"/>
      <c r="AK7" s="51"/>
      <c r="AL7" s="51"/>
      <c r="AM7" s="51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9"/>
      <c r="BF7" s="49"/>
      <c r="BG7" s="49"/>
      <c r="BH7" s="49"/>
      <c r="BI7" s="49"/>
      <c r="BJ7" s="35"/>
      <c r="BK7" s="31"/>
      <c r="BL7" s="31"/>
      <c r="BM7" s="31"/>
      <c r="BN7" s="35"/>
    </row>
    <row r="8" spans="1:66" ht="20.100000000000001" customHeight="1" x14ac:dyDescent="0.45">
      <c r="A8" s="32"/>
      <c r="B8" s="31"/>
      <c r="C8" s="32"/>
      <c r="D8" s="59" t="s">
        <v>25</v>
      </c>
      <c r="E8" s="50"/>
      <c r="F8" s="50"/>
      <c r="G8" s="56"/>
      <c r="H8" s="51" t="s">
        <v>57</v>
      </c>
      <c r="I8" s="51"/>
      <c r="J8" s="51"/>
      <c r="K8" s="51"/>
      <c r="L8" s="51"/>
      <c r="M8" s="51"/>
      <c r="N8" s="51"/>
      <c r="O8" s="51"/>
      <c r="P8" s="64"/>
      <c r="Q8" s="62"/>
      <c r="R8" s="64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2"/>
      <c r="BF8" s="52"/>
      <c r="BG8" s="52"/>
      <c r="BH8" s="52"/>
      <c r="BI8" s="52"/>
      <c r="BJ8" s="35"/>
      <c r="BK8" s="31"/>
      <c r="BL8" s="31"/>
      <c r="BM8" s="31"/>
      <c r="BN8" s="35"/>
    </row>
    <row r="9" spans="1:66" ht="20.100000000000001" customHeight="1" x14ac:dyDescent="0.45">
      <c r="A9" s="32"/>
      <c r="B9" s="31"/>
      <c r="C9" s="32"/>
      <c r="D9" s="59" t="s">
        <v>23</v>
      </c>
      <c r="E9" s="50"/>
      <c r="F9" s="50"/>
      <c r="G9" s="56"/>
      <c r="H9" s="51" t="s">
        <v>53</v>
      </c>
      <c r="I9" s="51"/>
      <c r="J9" s="51"/>
      <c r="K9" s="51"/>
      <c r="M9" s="51"/>
      <c r="N9" s="51"/>
      <c r="O9" s="51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2"/>
      <c r="BF9" s="52"/>
      <c r="BG9" s="52"/>
      <c r="BH9" s="52"/>
      <c r="BI9" s="52"/>
      <c r="BJ9" s="35"/>
      <c r="BK9" s="31"/>
      <c r="BL9" s="31"/>
      <c r="BM9" s="31"/>
      <c r="BN9" s="35"/>
    </row>
    <row r="10" spans="1:66" ht="20.100000000000001" customHeight="1" x14ac:dyDescent="0.45">
      <c r="A10" s="32"/>
      <c r="B10" s="31"/>
      <c r="C10" s="32"/>
      <c r="D10" s="59" t="s">
        <v>26</v>
      </c>
      <c r="E10" s="50"/>
      <c r="F10" s="50"/>
      <c r="G10" s="56"/>
      <c r="H10" s="54" t="s">
        <v>54</v>
      </c>
      <c r="I10" s="54"/>
      <c r="J10" s="54"/>
      <c r="K10" s="54"/>
      <c r="L10" s="54"/>
      <c r="M10" s="54"/>
      <c r="N10" s="54"/>
      <c r="O10" s="54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G10" s="55"/>
      <c r="BH10" s="55"/>
      <c r="BI10" s="55"/>
      <c r="BJ10" s="35"/>
      <c r="BK10" s="31"/>
      <c r="BL10" s="31"/>
      <c r="BM10" s="31"/>
      <c r="BN10" s="35"/>
    </row>
    <row r="11" spans="1:66" ht="20.100000000000001" customHeight="1" x14ac:dyDescent="0.45">
      <c r="A11" s="32"/>
      <c r="B11" s="31"/>
      <c r="C11" s="31"/>
      <c r="D11" s="59" t="s">
        <v>27</v>
      </c>
      <c r="E11" s="50"/>
      <c r="F11" s="50"/>
      <c r="G11" s="56"/>
      <c r="H11" s="54" t="s">
        <v>55</v>
      </c>
      <c r="I11" s="54"/>
      <c r="J11" s="54"/>
      <c r="K11" s="54"/>
      <c r="L11" s="54"/>
      <c r="M11" s="54"/>
      <c r="N11" s="54"/>
      <c r="O11" s="54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5"/>
      <c r="BF11" s="55"/>
      <c r="BG11" s="55"/>
      <c r="BH11" s="55"/>
      <c r="BI11" s="65"/>
      <c r="BJ11" s="31"/>
      <c r="BK11" s="31"/>
      <c r="BL11" s="31"/>
      <c r="BM11" s="31"/>
      <c r="BN11" s="35"/>
    </row>
    <row r="12" spans="1:66" ht="20.100000000000001" customHeight="1" x14ac:dyDescent="0.45">
      <c r="A12" s="32"/>
      <c r="B12" s="31"/>
      <c r="C12" s="31"/>
      <c r="D12" s="59" t="s">
        <v>28</v>
      </c>
      <c r="E12" s="50"/>
      <c r="F12" s="50"/>
      <c r="G12" s="56"/>
      <c r="H12" s="54" t="s">
        <v>55</v>
      </c>
      <c r="I12" s="54"/>
      <c r="J12" s="54"/>
      <c r="K12" s="54"/>
      <c r="L12" s="54"/>
      <c r="M12" s="54"/>
      <c r="N12" s="54"/>
      <c r="O12" s="54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5"/>
      <c r="BF12" s="55"/>
      <c r="BG12" s="55"/>
      <c r="BH12" s="55"/>
      <c r="BI12" s="65"/>
      <c r="BJ12" s="31"/>
      <c r="BK12" s="31"/>
      <c r="BL12" s="31"/>
      <c r="BM12" s="31"/>
      <c r="BN12" s="35"/>
    </row>
    <row r="13" spans="1:66" ht="20.100000000000001" customHeight="1" x14ac:dyDescent="0.45">
      <c r="A13" s="32"/>
      <c r="B13" s="31"/>
      <c r="C13" s="31"/>
      <c r="D13" s="59" t="s">
        <v>29</v>
      </c>
      <c r="E13" s="50"/>
      <c r="F13" s="50"/>
      <c r="G13" s="56"/>
      <c r="H13" s="54" t="s">
        <v>55</v>
      </c>
      <c r="I13" s="54"/>
      <c r="J13" s="54"/>
      <c r="K13" s="54"/>
      <c r="L13" s="54"/>
      <c r="M13" s="54"/>
      <c r="N13" s="54"/>
      <c r="O13" s="54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5"/>
      <c r="BF13" s="55"/>
      <c r="BG13" s="55"/>
      <c r="BH13" s="52"/>
      <c r="BI13" s="60"/>
      <c r="BJ13" s="31"/>
      <c r="BK13" s="31"/>
      <c r="BL13" s="31"/>
      <c r="BM13" s="31"/>
      <c r="BN13" s="35"/>
    </row>
    <row r="14" spans="1:66" ht="20.100000000000001" customHeight="1" x14ac:dyDescent="0.45">
      <c r="A14" s="32"/>
      <c r="B14" s="31"/>
      <c r="C14" s="31"/>
      <c r="D14" s="59" t="s">
        <v>30</v>
      </c>
      <c r="E14" s="50"/>
      <c r="F14" s="50"/>
      <c r="G14" s="56"/>
      <c r="H14" s="51" t="s">
        <v>56</v>
      </c>
      <c r="I14" s="51"/>
      <c r="J14" s="51"/>
      <c r="K14" s="51"/>
      <c r="L14" s="51"/>
      <c r="M14" s="51"/>
      <c r="N14" s="51"/>
      <c r="O14" s="51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2"/>
      <c r="BF14" s="52"/>
      <c r="BG14" s="52"/>
      <c r="BH14" s="52"/>
      <c r="BI14" s="60"/>
      <c r="BJ14" s="31"/>
      <c r="BK14" s="31"/>
      <c r="BL14" s="31"/>
      <c r="BM14" s="31"/>
      <c r="BN14" s="35"/>
    </row>
    <row r="15" spans="1:66" ht="20.100000000000001" customHeight="1" x14ac:dyDescent="0.45">
      <c r="A15" s="32"/>
      <c r="B15" s="31"/>
      <c r="C15" s="31"/>
      <c r="D15" s="59" t="s">
        <v>44</v>
      </c>
      <c r="E15" s="50"/>
      <c r="F15" s="50"/>
      <c r="G15" s="56"/>
      <c r="H15" s="54" t="s">
        <v>290</v>
      </c>
      <c r="I15" s="54"/>
      <c r="J15" s="54"/>
      <c r="K15" s="54"/>
      <c r="L15" s="54"/>
      <c r="M15" s="54"/>
      <c r="N15" s="54"/>
      <c r="O15" s="54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5"/>
      <c r="BF15" s="55"/>
      <c r="BG15" s="55"/>
      <c r="BH15" s="55"/>
      <c r="BI15" s="65"/>
      <c r="BJ15" s="31"/>
      <c r="BK15" s="31"/>
      <c r="BL15" s="31"/>
      <c r="BM15" s="31"/>
      <c r="BN15" s="35"/>
    </row>
    <row r="16" spans="1:66" ht="20.100000000000001" customHeight="1" x14ac:dyDescent="0.45">
      <c r="A16" s="32"/>
      <c r="B16" s="31"/>
      <c r="C16" s="31"/>
      <c r="D16" s="61" t="s">
        <v>21</v>
      </c>
      <c r="E16" s="53"/>
      <c r="F16" s="53"/>
      <c r="G16" s="68"/>
      <c r="H16" s="54"/>
      <c r="I16" s="54"/>
      <c r="J16" s="54"/>
      <c r="K16" s="54"/>
      <c r="L16" s="54"/>
      <c r="M16" s="54"/>
      <c r="N16" s="54"/>
      <c r="O16" s="54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5"/>
      <c r="BF16" s="55"/>
      <c r="BG16" s="55"/>
      <c r="BH16" s="55"/>
      <c r="BI16" s="65"/>
      <c r="BJ16" s="31"/>
      <c r="BK16" s="31"/>
      <c r="BL16" s="31"/>
      <c r="BM16" s="31"/>
      <c r="BN16" s="35"/>
    </row>
    <row r="17" spans="1:66" ht="20.100000000000001" customHeight="1" thickBot="1" x14ac:dyDescent="0.5">
      <c r="A17" s="32"/>
      <c r="B17" s="31"/>
      <c r="C17" s="31"/>
      <c r="D17" s="57"/>
      <c r="E17" s="58"/>
      <c r="F17" s="58"/>
      <c r="G17" s="69"/>
      <c r="H17" s="75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76"/>
      <c r="BB17" s="76"/>
      <c r="BC17" s="76"/>
      <c r="BD17" s="76"/>
      <c r="BE17" s="34"/>
      <c r="BF17" s="34"/>
      <c r="BG17" s="34"/>
      <c r="BH17" s="34"/>
      <c r="BI17" s="28"/>
      <c r="BJ17" s="31"/>
      <c r="BK17" s="31"/>
      <c r="BL17" s="31"/>
      <c r="BM17" s="31"/>
      <c r="BN17" s="35"/>
    </row>
    <row r="18" spans="1:66" ht="20.100000000000001" customHeight="1" thickTop="1" x14ac:dyDescent="0.45">
      <c r="A18" s="32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5"/>
    </row>
    <row r="19" spans="1:66" ht="20.100000000000001" customHeight="1" x14ac:dyDescent="0.45">
      <c r="A19" s="32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5"/>
    </row>
    <row r="20" spans="1:66" ht="20.100000000000001" customHeight="1" x14ac:dyDescent="0.45">
      <c r="A20" s="32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5"/>
    </row>
    <row r="21" spans="1:66" ht="20.100000000000001" customHeight="1" x14ac:dyDescent="0.45">
      <c r="A21" s="32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5"/>
    </row>
    <row r="22" spans="1:66" ht="20.100000000000001" customHeight="1" x14ac:dyDescent="0.45">
      <c r="A22" s="32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5"/>
    </row>
    <row r="23" spans="1:66" ht="20.100000000000001" customHeight="1" x14ac:dyDescent="0.45">
      <c r="A23" s="32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5"/>
    </row>
    <row r="24" spans="1:66" ht="20.100000000000001" customHeight="1" x14ac:dyDescent="0.45">
      <c r="A24" s="32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5"/>
    </row>
    <row r="25" spans="1:66" ht="20.100000000000001" customHeight="1" x14ac:dyDescent="0.45">
      <c r="A25" s="32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5"/>
    </row>
    <row r="26" spans="1:66" ht="20.100000000000001" customHeight="1" thickBot="1" x14ac:dyDescent="0.5">
      <c r="A26" s="32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5"/>
    </row>
    <row r="27" spans="1:66" ht="20.100000000000001" customHeight="1" thickTop="1" x14ac:dyDescent="0.45">
      <c r="A27" s="31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1"/>
    </row>
    <row r="28" spans="1:66" ht="20.100000000000001" customHeight="1" x14ac:dyDescent="0.4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</row>
    <row r="29" spans="1:66" ht="20.100000000000001" customHeight="1" x14ac:dyDescent="0.4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</row>
    <row r="30" spans="1:66" ht="20.100000000000001" customHeight="1" x14ac:dyDescent="0.4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</row>
    <row r="31" spans="1:66" ht="5.0999999999999996" customHeight="1" x14ac:dyDescent="0.45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</row>
    <row r="32" spans="1:66" ht="20.100000000000001" customHeight="1" x14ac:dyDescent="0.45"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N48"/>
  <sheetViews>
    <sheetView showGridLines="0" tabSelected="1" view="pageBreakPreview" zoomScale="85" zoomScaleNormal="100" zoomScaleSheetLayoutView="85" workbookViewId="0">
      <selection activeCell="B2" sqref="B2:G2"/>
    </sheetView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1.09765625" style="6" customWidth="1"/>
    <col min="67" max="16384" width="3.59765625" style="6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293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32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15"/>
    </row>
    <row r="3" spans="1:66" ht="20.100000000000001" customHeight="1" x14ac:dyDescent="0.45">
      <c r="A3" s="9"/>
      <c r="B3" s="184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SU1000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SU1000_ウエルシア中日施工集計表_帳票設計書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ウエルシア中日施工集計表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45581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45581</v>
      </c>
      <c r="BG3" s="171"/>
      <c r="BH3" s="171"/>
      <c r="BI3" s="171"/>
      <c r="BJ3" s="172" t="str">
        <f>変更履歴!BJ3</f>
        <v>大谷</v>
      </c>
      <c r="BK3" s="172"/>
      <c r="BL3" s="172"/>
      <c r="BM3" s="174"/>
      <c r="BN3" s="15"/>
    </row>
    <row r="4" spans="1:66" ht="20.100000000000001" customHeight="1" thickBot="1" x14ac:dyDescent="0.5">
      <c r="A4" s="9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87"/>
      <c r="AY4" s="187"/>
      <c r="AZ4" s="187"/>
      <c r="BA4" s="187"/>
      <c r="BB4" s="173"/>
      <c r="BC4" s="173"/>
      <c r="BD4" s="173"/>
      <c r="BE4" s="173"/>
      <c r="BF4" s="187"/>
      <c r="BG4" s="187"/>
      <c r="BH4" s="187"/>
      <c r="BI4" s="187"/>
      <c r="BJ4" s="173"/>
      <c r="BK4" s="173"/>
      <c r="BL4" s="173"/>
      <c r="BM4" s="175"/>
      <c r="BN4" s="15"/>
    </row>
    <row r="5" spans="1:66" ht="5.25" customHeight="1" thickTop="1" x14ac:dyDescent="0.45"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</row>
    <row r="6" spans="1:66" ht="20.100000000000001" customHeight="1" thickBot="1" x14ac:dyDescent="0.5">
      <c r="A6" s="31"/>
      <c r="B6" s="45" t="s">
        <v>45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1"/>
    </row>
    <row r="7" spans="1:66" ht="20.100000000000001" customHeight="1" thickTop="1" x14ac:dyDescent="0.45">
      <c r="A7" s="9"/>
      <c r="B7" s="7"/>
      <c r="C7" s="1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5"/>
    </row>
    <row r="8" spans="1:66" ht="20.100000000000001" customHeight="1" x14ac:dyDescent="0.45">
      <c r="A8" s="9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/>
      <c r="BH8"/>
      <c r="BI8"/>
      <c r="BJ8"/>
      <c r="BK8" s="7"/>
      <c r="BL8" s="7"/>
      <c r="BM8" s="7"/>
      <c r="BN8" s="15"/>
    </row>
    <row r="9" spans="1:66" ht="20.100000000000001" customHeight="1" x14ac:dyDescent="0.45">
      <c r="A9" s="9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/>
      <c r="BH9"/>
      <c r="BI9"/>
      <c r="BJ9"/>
      <c r="BK9" s="7"/>
      <c r="BL9" s="7"/>
      <c r="BM9" s="7"/>
      <c r="BN9" s="15"/>
    </row>
    <row r="10" spans="1:66" ht="20.100000000000001" customHeight="1" x14ac:dyDescent="0.45">
      <c r="A10" s="9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/>
      <c r="BH10"/>
      <c r="BI10"/>
      <c r="BJ10"/>
      <c r="BK10" s="7"/>
      <c r="BL10" s="7"/>
      <c r="BM10" s="7"/>
      <c r="BN10" s="15"/>
    </row>
    <row r="11" spans="1:66" ht="20.100000000000001" customHeight="1" x14ac:dyDescent="0.45">
      <c r="A11" s="9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/>
      <c r="BH11"/>
      <c r="BI11"/>
      <c r="BJ11"/>
      <c r="BK11" s="7"/>
      <c r="BL11" s="7"/>
      <c r="BM11" s="7"/>
      <c r="BN11" s="15"/>
    </row>
    <row r="12" spans="1:66" ht="20.100000000000001" customHeight="1" x14ac:dyDescent="0.45">
      <c r="A12" s="9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/>
      <c r="BH12"/>
      <c r="BI12"/>
      <c r="BJ12"/>
      <c r="BK12" s="7"/>
      <c r="BL12" s="7"/>
      <c r="BM12" s="7"/>
      <c r="BN12" s="15"/>
    </row>
    <row r="13" spans="1:66" ht="20.100000000000001" customHeight="1" x14ac:dyDescent="0.45">
      <c r="A13" s="9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/>
      <c r="BH13"/>
      <c r="BI13"/>
      <c r="BJ13"/>
      <c r="BK13" s="7"/>
      <c r="BL13" s="7"/>
      <c r="BM13" s="7"/>
      <c r="BN13" s="15"/>
    </row>
    <row r="14" spans="1:66" ht="20.100000000000001" customHeight="1" x14ac:dyDescent="0.45">
      <c r="A14" s="9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/>
      <c r="BH14"/>
      <c r="BI14"/>
      <c r="BJ14"/>
      <c r="BK14" s="7"/>
      <c r="BL14" s="7"/>
      <c r="BM14" s="7"/>
      <c r="BN14" s="15"/>
    </row>
    <row r="15" spans="1:66" ht="20.100000000000001" customHeight="1" x14ac:dyDescent="0.45">
      <c r="A15" s="9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/>
      <c r="BH15"/>
      <c r="BI15"/>
      <c r="BJ15"/>
      <c r="BK15" s="7"/>
      <c r="BL15" s="7"/>
      <c r="BM15" s="7"/>
      <c r="BN15" s="15"/>
    </row>
    <row r="16" spans="1:66" ht="20.100000000000001" customHeight="1" x14ac:dyDescent="0.45">
      <c r="A16" s="9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/>
      <c r="BH16"/>
      <c r="BI16"/>
      <c r="BJ16"/>
      <c r="BK16" s="7"/>
      <c r="BL16" s="7"/>
      <c r="BM16" s="7"/>
      <c r="BN16" s="15"/>
    </row>
    <row r="17" spans="1:66" ht="20.100000000000001" customHeight="1" x14ac:dyDescent="0.45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/>
      <c r="BH17"/>
      <c r="BI17"/>
      <c r="BJ17"/>
      <c r="BK17" s="7"/>
      <c r="BL17" s="7"/>
      <c r="BM17" s="7"/>
      <c r="BN17" s="15"/>
    </row>
    <row r="18" spans="1:66" ht="20.100000000000001" customHeight="1" x14ac:dyDescent="0.45">
      <c r="A18" s="9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/>
      <c r="BH18"/>
      <c r="BI18"/>
      <c r="BJ18"/>
      <c r="BK18" s="7"/>
      <c r="BL18" s="7"/>
      <c r="BM18" s="7"/>
      <c r="BN18" s="15"/>
    </row>
    <row r="19" spans="1:66" ht="20.100000000000001" customHeight="1" x14ac:dyDescent="0.45">
      <c r="A19" s="9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/>
      <c r="BH19"/>
      <c r="BI19"/>
      <c r="BJ19"/>
      <c r="BK19" s="7"/>
      <c r="BL19" s="7"/>
      <c r="BM19" s="7"/>
      <c r="BN19" s="15"/>
    </row>
    <row r="20" spans="1:66" ht="20.100000000000001" customHeight="1" x14ac:dyDescent="0.45">
      <c r="A20" s="9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/>
      <c r="BH20"/>
      <c r="BI20"/>
      <c r="BJ20"/>
      <c r="BK20" s="7"/>
      <c r="BL20" s="7"/>
      <c r="BM20" s="7"/>
      <c r="BN20" s="15"/>
    </row>
    <row r="21" spans="1:66" ht="20.100000000000001" customHeight="1" x14ac:dyDescent="0.45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/>
      <c r="BH21"/>
      <c r="BI21"/>
      <c r="BJ21"/>
      <c r="BK21" s="7"/>
      <c r="BL21" s="7"/>
      <c r="BM21" s="7"/>
      <c r="BN21" s="15"/>
    </row>
    <row r="22" spans="1:66" ht="20.100000000000001" customHeight="1" x14ac:dyDescent="0.45">
      <c r="A22" s="9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/>
      <c r="BH22"/>
      <c r="BI22"/>
      <c r="BJ22"/>
      <c r="BK22" s="7"/>
      <c r="BL22" s="7"/>
      <c r="BM22" s="7"/>
      <c r="BN22" s="15"/>
    </row>
    <row r="23" spans="1:66" ht="20.100000000000001" customHeight="1" x14ac:dyDescent="0.45">
      <c r="A23" s="9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/>
      <c r="BH23"/>
      <c r="BI23"/>
      <c r="BJ23"/>
      <c r="BK23" s="7"/>
      <c r="BL23" s="7"/>
      <c r="BM23" s="7"/>
      <c r="BN23" s="15"/>
    </row>
    <row r="24" spans="1:66" ht="20.100000000000001" customHeight="1" x14ac:dyDescent="0.45">
      <c r="A24" s="9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/>
      <c r="BH24"/>
      <c r="BI24"/>
      <c r="BJ24"/>
      <c r="BK24" s="7"/>
      <c r="BL24" s="7"/>
      <c r="BM24" s="7"/>
      <c r="BN24" s="15"/>
    </row>
    <row r="25" spans="1:66" ht="20.100000000000001" customHeight="1" x14ac:dyDescent="0.45">
      <c r="A25" s="9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/>
      <c r="BH25"/>
      <c r="BI25"/>
      <c r="BJ25"/>
      <c r="BK25" s="7"/>
      <c r="BL25" s="7"/>
      <c r="BM25" s="7"/>
      <c r="BN25" s="15"/>
    </row>
    <row r="26" spans="1:66" ht="20.100000000000001" customHeight="1" x14ac:dyDescent="0.45">
      <c r="A26" s="9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/>
      <c r="BH26"/>
      <c r="BI26"/>
      <c r="BJ26"/>
      <c r="BK26" s="7"/>
      <c r="BL26" s="7"/>
      <c r="BM26" s="7"/>
      <c r="BN26" s="15"/>
    </row>
    <row r="27" spans="1:66" ht="20.100000000000001" customHeight="1" x14ac:dyDescent="0.45">
      <c r="A27" s="9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/>
      <c r="BH27"/>
      <c r="BI27"/>
      <c r="BJ27"/>
      <c r="BK27" s="7"/>
      <c r="BL27" s="7"/>
      <c r="BM27" s="7"/>
      <c r="BN27" s="15"/>
    </row>
    <row r="28" spans="1:66" ht="20.100000000000001" customHeight="1" x14ac:dyDescent="0.45">
      <c r="A28" s="9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/>
      <c r="BH28"/>
      <c r="BI28"/>
      <c r="BJ28"/>
      <c r="BK28" s="7"/>
      <c r="BL28" s="7"/>
      <c r="BM28" s="7"/>
      <c r="BN28" s="15"/>
    </row>
    <row r="29" spans="1:66" ht="20.100000000000001" customHeight="1" x14ac:dyDescent="0.45">
      <c r="A29" s="9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/>
      <c r="BH29"/>
      <c r="BI29"/>
      <c r="BJ29"/>
      <c r="BK29" s="7"/>
      <c r="BL29" s="7"/>
      <c r="BM29" s="7"/>
      <c r="BN29" s="15"/>
    </row>
    <row r="30" spans="1:66" ht="20.100000000000001" customHeight="1" x14ac:dyDescent="0.45">
      <c r="A30" s="9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/>
      <c r="BH30"/>
      <c r="BI30"/>
      <c r="BJ30"/>
      <c r="BK30" s="7"/>
      <c r="BL30" s="7"/>
      <c r="BM30" s="7"/>
      <c r="BN30" s="15"/>
    </row>
    <row r="31" spans="1:66" ht="20.100000000000001" customHeight="1" x14ac:dyDescent="0.45">
      <c r="A31" s="9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/>
      <c r="BH31"/>
      <c r="BI31"/>
      <c r="BJ31"/>
      <c r="BK31" s="7"/>
      <c r="BL31" s="7"/>
      <c r="BM31" s="7"/>
      <c r="BN31" s="15"/>
    </row>
    <row r="32" spans="1:66" ht="20.100000000000001" customHeight="1" x14ac:dyDescent="0.45">
      <c r="A32" s="9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/>
      <c r="BH32"/>
      <c r="BI32"/>
      <c r="BJ32"/>
      <c r="BK32" s="7"/>
      <c r="BL32" s="7"/>
      <c r="BM32" s="7"/>
      <c r="BN32" s="15"/>
    </row>
    <row r="33" spans="1:66" ht="20.100000000000001" customHeight="1" x14ac:dyDescent="0.45">
      <c r="A33" s="9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/>
      <c r="BH33"/>
      <c r="BI33"/>
      <c r="BJ33"/>
      <c r="BK33" s="7"/>
      <c r="BL33" s="7"/>
      <c r="BM33" s="7"/>
      <c r="BN33" s="15"/>
    </row>
    <row r="34" spans="1:66" ht="20.100000000000001" customHeight="1" x14ac:dyDescent="0.45">
      <c r="A34" s="9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15"/>
    </row>
    <row r="35" spans="1:66" ht="20.100000000000001" customHeight="1" x14ac:dyDescent="0.45">
      <c r="A35" s="9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15"/>
    </row>
    <row r="36" spans="1:66" ht="20.100000000000001" customHeight="1" x14ac:dyDescent="0.45">
      <c r="A36" s="9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15"/>
    </row>
    <row r="37" spans="1:66" ht="20.100000000000001" customHeight="1" x14ac:dyDescent="0.45">
      <c r="A37" s="9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15"/>
    </row>
    <row r="38" spans="1:66" ht="20.100000000000001" customHeight="1" x14ac:dyDescent="0.45">
      <c r="A38" s="9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15"/>
    </row>
    <row r="39" spans="1:66" ht="20.100000000000001" customHeight="1" x14ac:dyDescent="0.45">
      <c r="B39" s="15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9"/>
    </row>
    <row r="40" spans="1:66" ht="20.100000000000001" customHeight="1" x14ac:dyDescent="0.45">
      <c r="B40" s="15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9"/>
    </row>
    <row r="41" spans="1:66" ht="20.100000000000001" customHeight="1" x14ac:dyDescent="0.45">
      <c r="B41" s="15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9"/>
    </row>
    <row r="42" spans="1:66" ht="20.100000000000001" customHeight="1" x14ac:dyDescent="0.45">
      <c r="B42" s="15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9"/>
    </row>
    <row r="43" spans="1:66" ht="20.100000000000001" customHeight="1" x14ac:dyDescent="0.45">
      <c r="B43" s="15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9"/>
    </row>
    <row r="44" spans="1:66" ht="20.100000000000001" customHeight="1" x14ac:dyDescent="0.45">
      <c r="B44" s="15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9"/>
    </row>
    <row r="45" spans="1:66" ht="20.100000000000001" customHeight="1" x14ac:dyDescent="0.45">
      <c r="B45" s="15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9"/>
    </row>
    <row r="46" spans="1:66" ht="20.100000000000001" customHeight="1" x14ac:dyDescent="0.45">
      <c r="B46" s="15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9"/>
    </row>
    <row r="47" spans="1:66" ht="20.100000000000001" customHeight="1" thickBot="1" x14ac:dyDescent="0.5">
      <c r="B47" s="27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28"/>
    </row>
    <row r="48" spans="1:66" ht="20.100000000000001" customHeight="1" thickTop="1" x14ac:dyDescent="0.45"/>
  </sheetData>
  <mergeCells count="20">
    <mergeCell ref="BB2:BE2"/>
    <mergeCell ref="BF2:BI2"/>
    <mergeCell ref="BJ2:BM2"/>
    <mergeCell ref="AX2:BA2"/>
    <mergeCell ref="X2:AJ2"/>
    <mergeCell ref="AK2:AW2"/>
    <mergeCell ref="B2:G2"/>
    <mergeCell ref="B3:G4"/>
    <mergeCell ref="H2:K2"/>
    <mergeCell ref="L2:Q2"/>
    <mergeCell ref="R2:W2"/>
    <mergeCell ref="L3:Q4"/>
    <mergeCell ref="H3:K4"/>
    <mergeCell ref="BJ3:BM4"/>
    <mergeCell ref="BF3:BI4"/>
    <mergeCell ref="BB3:BE4"/>
    <mergeCell ref="AX3:BA4"/>
    <mergeCell ref="R3:W4"/>
    <mergeCell ref="X3:AJ4"/>
    <mergeCell ref="AK3:AW4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CG53"/>
  <sheetViews>
    <sheetView showGridLines="0" view="pageBreakPreview" topLeftCell="A28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65" width="3.69921875" style="6" customWidth="1"/>
    <col min="66" max="66" width="3.59765625" style="6" customWidth="1"/>
    <col min="67" max="16384" width="3.59765625" style="6"/>
  </cols>
  <sheetData>
    <row r="1" spans="1:8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85" ht="20.100000000000001" customHeight="1" thickTop="1" x14ac:dyDescent="0.45">
      <c r="A2" s="9"/>
      <c r="B2" s="186" t="s">
        <v>0</v>
      </c>
      <c r="C2" s="169"/>
      <c r="D2" s="169"/>
      <c r="E2" s="169"/>
      <c r="F2" s="169"/>
      <c r="G2" s="169"/>
      <c r="H2" s="169" t="s">
        <v>17</v>
      </c>
      <c r="I2" s="169"/>
      <c r="J2" s="169"/>
      <c r="K2" s="169"/>
      <c r="L2" s="169" t="s">
        <v>293</v>
      </c>
      <c r="M2" s="169"/>
      <c r="N2" s="169"/>
      <c r="O2" s="169"/>
      <c r="P2" s="169"/>
      <c r="Q2" s="169"/>
      <c r="R2" s="169" t="s">
        <v>2</v>
      </c>
      <c r="S2" s="169"/>
      <c r="T2" s="169"/>
      <c r="U2" s="169"/>
      <c r="V2" s="169"/>
      <c r="W2" s="169"/>
      <c r="X2" s="181" t="s">
        <v>3</v>
      </c>
      <c r="Y2" s="182"/>
      <c r="Z2" s="182"/>
      <c r="AA2" s="182"/>
      <c r="AB2" s="182"/>
      <c r="AC2" s="182"/>
      <c r="AD2" s="182"/>
      <c r="AE2" s="182"/>
      <c r="AF2" s="182"/>
      <c r="AG2" s="182"/>
      <c r="AH2" s="182"/>
      <c r="AI2" s="182"/>
      <c r="AJ2" s="183"/>
      <c r="AK2" s="181" t="s">
        <v>32</v>
      </c>
      <c r="AL2" s="182"/>
      <c r="AM2" s="182"/>
      <c r="AN2" s="182"/>
      <c r="AO2" s="182"/>
      <c r="AP2" s="182"/>
      <c r="AQ2" s="182"/>
      <c r="AR2" s="182"/>
      <c r="AS2" s="182"/>
      <c r="AT2" s="182"/>
      <c r="AU2" s="182"/>
      <c r="AV2" s="182"/>
      <c r="AW2" s="183"/>
      <c r="AX2" s="169" t="s">
        <v>5</v>
      </c>
      <c r="AY2" s="169"/>
      <c r="AZ2" s="169"/>
      <c r="BA2" s="169"/>
      <c r="BB2" s="169" t="s">
        <v>4</v>
      </c>
      <c r="BC2" s="169"/>
      <c r="BD2" s="169"/>
      <c r="BE2" s="169"/>
      <c r="BF2" s="169" t="s">
        <v>6</v>
      </c>
      <c r="BG2" s="169"/>
      <c r="BH2" s="169"/>
      <c r="BI2" s="169"/>
      <c r="BJ2" s="169" t="s">
        <v>7</v>
      </c>
      <c r="BK2" s="169"/>
      <c r="BL2" s="169"/>
      <c r="BM2" s="170"/>
      <c r="BN2" s="15"/>
    </row>
    <row r="3" spans="1:85" ht="20.100000000000001" customHeight="1" x14ac:dyDescent="0.45">
      <c r="A3" s="9"/>
      <c r="B3" s="184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SU1000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SU1000_ウエルシア中日施工集計表_帳票設計書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ウエルシア中日施工集計表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45581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45581</v>
      </c>
      <c r="BG3" s="171"/>
      <c r="BH3" s="171"/>
      <c r="BI3" s="171"/>
      <c r="BJ3" s="172" t="str">
        <f>変更履歴!BJ3</f>
        <v>大谷</v>
      </c>
      <c r="BK3" s="172"/>
      <c r="BL3" s="172"/>
      <c r="BM3" s="174"/>
      <c r="BN3" s="15"/>
    </row>
    <row r="4" spans="1:85" ht="20.100000000000001" customHeight="1" thickBot="1" x14ac:dyDescent="0.5">
      <c r="A4" s="9"/>
      <c r="B4" s="177"/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8"/>
      <c r="Y4" s="179"/>
      <c r="Z4" s="179"/>
      <c r="AA4" s="179"/>
      <c r="AB4" s="179"/>
      <c r="AC4" s="179"/>
      <c r="AD4" s="179"/>
      <c r="AE4" s="179"/>
      <c r="AF4" s="179"/>
      <c r="AG4" s="179"/>
      <c r="AH4" s="179"/>
      <c r="AI4" s="179"/>
      <c r="AJ4" s="180"/>
      <c r="AK4" s="178"/>
      <c r="AL4" s="179"/>
      <c r="AM4" s="179"/>
      <c r="AN4" s="179"/>
      <c r="AO4" s="179"/>
      <c r="AP4" s="179"/>
      <c r="AQ4" s="179"/>
      <c r="AR4" s="179"/>
      <c r="AS4" s="179"/>
      <c r="AT4" s="179"/>
      <c r="AU4" s="179"/>
      <c r="AV4" s="179"/>
      <c r="AW4" s="180"/>
      <c r="AX4" s="187"/>
      <c r="AY4" s="187"/>
      <c r="AZ4" s="187"/>
      <c r="BA4" s="187"/>
      <c r="BB4" s="173"/>
      <c r="BC4" s="173"/>
      <c r="BD4" s="173"/>
      <c r="BE4" s="173"/>
      <c r="BF4" s="187"/>
      <c r="BG4" s="187"/>
      <c r="BH4" s="187"/>
      <c r="BI4" s="187"/>
      <c r="BJ4" s="173"/>
      <c r="BK4" s="173"/>
      <c r="BL4" s="173"/>
      <c r="BM4" s="175"/>
      <c r="BN4" s="15"/>
    </row>
    <row r="5" spans="1:8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</row>
    <row r="6" spans="1:85" ht="19.5" customHeight="1" x14ac:dyDescent="0.45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</row>
    <row r="7" spans="1:85" ht="20.100000000000001" customHeight="1" thickBot="1" x14ac:dyDescent="0.5">
      <c r="A7" s="31"/>
      <c r="B7" s="45" t="s">
        <v>18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</row>
    <row r="8" spans="1:85" ht="20.100000000000001" customHeight="1" thickTop="1" x14ac:dyDescent="0.45">
      <c r="A8" s="31"/>
      <c r="B8" s="4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72"/>
    </row>
    <row r="9" spans="1:85" ht="20.100000000000001" customHeight="1" thickBot="1" x14ac:dyDescent="0.5">
      <c r="A9" s="30"/>
      <c r="B9" s="35"/>
      <c r="C9" s="39" t="s">
        <v>46</v>
      </c>
      <c r="D9" s="34"/>
      <c r="E9" s="34"/>
      <c r="F9" s="88" t="s">
        <v>52</v>
      </c>
      <c r="G9" s="34"/>
      <c r="H9" s="34"/>
      <c r="I9" s="34"/>
      <c r="J9" s="34"/>
      <c r="K9" s="34"/>
      <c r="L9" s="34"/>
      <c r="M9" s="34"/>
      <c r="N9" s="34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29"/>
      <c r="AU9" s="29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31"/>
      <c r="BP9" s="31"/>
      <c r="BQ9" s="31"/>
      <c r="BR9" s="31"/>
      <c r="BS9" s="31"/>
      <c r="BT9" s="31"/>
      <c r="BU9" s="32"/>
    </row>
    <row r="10" spans="1:85" s="5" customFormat="1" ht="18.600000000000001" customHeight="1" thickTop="1" x14ac:dyDescent="0.45">
      <c r="A10" s="30"/>
      <c r="B10" s="44"/>
      <c r="C10" s="32"/>
      <c r="D10" s="38" t="s">
        <v>19</v>
      </c>
      <c r="E10" s="197" t="s">
        <v>20</v>
      </c>
      <c r="F10" s="198"/>
      <c r="G10" s="198"/>
      <c r="H10" s="198"/>
      <c r="I10" s="198"/>
      <c r="J10" s="198"/>
      <c r="K10" s="198"/>
      <c r="L10" s="199"/>
      <c r="M10" s="200" t="s">
        <v>24</v>
      </c>
      <c r="N10" s="201"/>
      <c r="O10" s="201"/>
      <c r="P10" s="200" t="s">
        <v>33</v>
      </c>
      <c r="Q10" s="201"/>
      <c r="R10" s="201"/>
      <c r="S10" s="200" t="s">
        <v>34</v>
      </c>
      <c r="T10" s="201"/>
      <c r="U10" s="201"/>
      <c r="V10" s="200" t="s">
        <v>36</v>
      </c>
      <c r="W10" s="201"/>
      <c r="X10" s="201"/>
      <c r="Y10" s="201"/>
      <c r="Z10" s="201"/>
      <c r="AA10" s="211"/>
      <c r="AB10" s="200" t="s">
        <v>35</v>
      </c>
      <c r="AC10" s="201"/>
      <c r="AD10" s="201"/>
      <c r="AE10" s="201"/>
      <c r="AF10" s="201"/>
      <c r="AG10" s="201"/>
      <c r="AH10" s="201"/>
      <c r="AI10" s="201"/>
      <c r="AJ10" s="201"/>
      <c r="AK10" s="201"/>
      <c r="AL10" s="201"/>
      <c r="AM10" s="201"/>
      <c r="AN10" s="201"/>
      <c r="AO10" s="201"/>
      <c r="AP10" s="201"/>
      <c r="AQ10" s="211"/>
      <c r="AR10" s="200" t="s">
        <v>42</v>
      </c>
      <c r="AS10" s="201"/>
      <c r="AT10" s="201"/>
      <c r="AU10" s="201"/>
      <c r="AV10" s="201"/>
      <c r="AW10" s="211"/>
      <c r="AX10" s="200" t="s">
        <v>43</v>
      </c>
      <c r="AY10" s="201"/>
      <c r="AZ10" s="201"/>
      <c r="BA10" s="201"/>
      <c r="BB10" s="201"/>
      <c r="BC10" s="201"/>
      <c r="BD10" s="201"/>
      <c r="BE10" s="201"/>
      <c r="BF10" s="201"/>
      <c r="BG10" s="201"/>
      <c r="BH10" s="201"/>
      <c r="BI10" s="201"/>
      <c r="BJ10" s="201"/>
      <c r="BK10" s="201"/>
      <c r="BL10" s="201"/>
      <c r="BM10" s="201"/>
      <c r="BN10" s="201"/>
      <c r="BO10" s="201"/>
      <c r="BP10" s="201"/>
      <c r="BQ10" s="201"/>
      <c r="BR10" s="201"/>
      <c r="BS10" s="201"/>
      <c r="BT10" s="206"/>
      <c r="BU10" s="41"/>
      <c r="BV10" s="40"/>
      <c r="BW10" s="41"/>
      <c r="BX10" s="41"/>
      <c r="BY10" s="41"/>
      <c r="BZ10" s="41"/>
      <c r="CA10" s="41"/>
      <c r="CB10" s="30"/>
      <c r="CC10" s="30"/>
      <c r="CD10" s="30"/>
      <c r="CE10" s="30"/>
      <c r="CF10" s="30"/>
      <c r="CG10" s="30"/>
    </row>
    <row r="11" spans="1:85" s="5" customFormat="1" ht="20.100000000000001" customHeight="1" x14ac:dyDescent="0.45">
      <c r="A11" s="30"/>
      <c r="B11" s="44"/>
      <c r="C11" s="32"/>
      <c r="D11" s="37">
        <v>1</v>
      </c>
      <c r="E11" s="194" t="s">
        <v>76</v>
      </c>
      <c r="F11" s="195"/>
      <c r="G11" s="195"/>
      <c r="H11" s="195"/>
      <c r="I11" s="195"/>
      <c r="J11" s="195"/>
      <c r="K11" s="195"/>
      <c r="L11" s="196"/>
      <c r="M11" s="164" t="s">
        <v>8</v>
      </c>
      <c r="N11" s="165"/>
      <c r="O11" s="165"/>
      <c r="P11" s="164" t="s">
        <v>95</v>
      </c>
      <c r="Q11" s="165"/>
      <c r="R11" s="165"/>
      <c r="S11" s="164">
        <v>8</v>
      </c>
      <c r="T11" s="165"/>
      <c r="U11" s="165"/>
      <c r="V11" s="202" t="s">
        <v>96</v>
      </c>
      <c r="W11" s="203"/>
      <c r="X11" s="203"/>
      <c r="Y11" s="203"/>
      <c r="Z11" s="203"/>
      <c r="AA11" s="204"/>
      <c r="AB11" s="212"/>
      <c r="AC11" s="213"/>
      <c r="AD11" s="213"/>
      <c r="AE11" s="213"/>
      <c r="AF11" s="213"/>
      <c r="AG11" s="213"/>
      <c r="AH11" s="213"/>
      <c r="AI11" s="213"/>
      <c r="AJ11" s="213"/>
      <c r="AK11" s="213"/>
      <c r="AL11" s="213"/>
      <c r="AM11" s="213"/>
      <c r="AN11" s="213"/>
      <c r="AO11" s="213"/>
      <c r="AP11" s="213"/>
      <c r="AQ11" s="214"/>
      <c r="AR11" s="164"/>
      <c r="AS11" s="165"/>
      <c r="AT11" s="165"/>
      <c r="AU11" s="165"/>
      <c r="AV11" s="165"/>
      <c r="AW11" s="166"/>
      <c r="AX11" s="202"/>
      <c r="AY11" s="203"/>
      <c r="AZ11" s="203"/>
      <c r="BA11" s="203"/>
      <c r="BB11" s="203"/>
      <c r="BC11" s="203"/>
      <c r="BD11" s="203"/>
      <c r="BE11" s="203"/>
      <c r="BF11" s="203"/>
      <c r="BG11" s="203"/>
      <c r="BH11" s="203"/>
      <c r="BI11" s="203"/>
      <c r="BJ11" s="203"/>
      <c r="BK11" s="203"/>
      <c r="BL11" s="203"/>
      <c r="BM11" s="203"/>
      <c r="BN11" s="203"/>
      <c r="BO11" s="203"/>
      <c r="BP11" s="203"/>
      <c r="BQ11" s="203"/>
      <c r="BR11" s="203"/>
      <c r="BS11" s="203"/>
      <c r="BT11" s="207"/>
      <c r="BU11" s="41"/>
      <c r="BV11" s="40"/>
      <c r="BW11" s="41"/>
      <c r="BX11" s="41"/>
      <c r="BY11" s="41"/>
      <c r="BZ11" s="41"/>
      <c r="CA11" s="41"/>
      <c r="CB11" s="30"/>
      <c r="CC11" s="30"/>
      <c r="CD11" s="30"/>
      <c r="CE11" s="30"/>
      <c r="CF11" s="30"/>
      <c r="CG11" s="30"/>
    </row>
    <row r="12" spans="1:85" s="5" customFormat="1" ht="20.100000000000001" customHeight="1" x14ac:dyDescent="0.45">
      <c r="A12" s="30"/>
      <c r="B12" s="44"/>
      <c r="C12" s="32"/>
      <c r="D12" s="37">
        <v>2</v>
      </c>
      <c r="E12" s="194" t="s">
        <v>77</v>
      </c>
      <c r="F12" s="195"/>
      <c r="G12" s="195"/>
      <c r="H12" s="195"/>
      <c r="I12" s="195"/>
      <c r="J12" s="195"/>
      <c r="K12" s="195"/>
      <c r="L12" s="196"/>
      <c r="M12" s="164" t="s">
        <v>8</v>
      </c>
      <c r="N12" s="165"/>
      <c r="O12" s="165"/>
      <c r="P12" s="164" t="s">
        <v>95</v>
      </c>
      <c r="Q12" s="165"/>
      <c r="R12" s="165"/>
      <c r="S12" s="164">
        <v>8</v>
      </c>
      <c r="T12" s="165"/>
      <c r="U12" s="165"/>
      <c r="V12" s="202" t="s">
        <v>97</v>
      </c>
      <c r="W12" s="203"/>
      <c r="X12" s="203"/>
      <c r="Y12" s="203"/>
      <c r="Z12" s="203"/>
      <c r="AA12" s="204"/>
      <c r="AB12" s="212"/>
      <c r="AC12" s="213"/>
      <c r="AD12" s="213"/>
      <c r="AE12" s="213"/>
      <c r="AF12" s="213"/>
      <c r="AG12" s="213"/>
      <c r="AH12" s="213"/>
      <c r="AI12" s="213"/>
      <c r="AJ12" s="213"/>
      <c r="AK12" s="213"/>
      <c r="AL12" s="213"/>
      <c r="AM12" s="213"/>
      <c r="AN12" s="213"/>
      <c r="AO12" s="213"/>
      <c r="AP12" s="213"/>
      <c r="AQ12" s="214"/>
      <c r="AR12" s="164"/>
      <c r="AS12" s="165"/>
      <c r="AT12" s="165"/>
      <c r="AU12" s="165"/>
      <c r="AV12" s="165"/>
      <c r="AW12" s="166"/>
      <c r="AX12" s="202"/>
      <c r="AY12" s="203"/>
      <c r="AZ12" s="203"/>
      <c r="BA12" s="203"/>
      <c r="BB12" s="203"/>
      <c r="BC12" s="203"/>
      <c r="BD12" s="203"/>
      <c r="BE12" s="203"/>
      <c r="BF12" s="203"/>
      <c r="BG12" s="203"/>
      <c r="BH12" s="203"/>
      <c r="BI12" s="203"/>
      <c r="BJ12" s="203"/>
      <c r="BK12" s="203"/>
      <c r="BL12" s="203"/>
      <c r="BM12" s="203"/>
      <c r="BN12" s="203"/>
      <c r="BO12" s="203"/>
      <c r="BP12" s="203"/>
      <c r="BQ12" s="203"/>
      <c r="BR12" s="203"/>
      <c r="BS12" s="203"/>
      <c r="BT12" s="207"/>
      <c r="BU12" s="41"/>
      <c r="BV12" s="40"/>
      <c r="BW12" s="41"/>
      <c r="BX12" s="41"/>
      <c r="BY12" s="41"/>
      <c r="BZ12" s="41"/>
      <c r="CA12" s="41"/>
      <c r="CB12" s="30"/>
      <c r="CC12" s="30"/>
      <c r="CD12" s="30"/>
      <c r="CE12" s="30"/>
      <c r="CF12" s="30"/>
      <c r="CG12" s="30"/>
    </row>
    <row r="13" spans="1:85" s="5" customFormat="1" ht="20.100000000000001" customHeight="1" x14ac:dyDescent="0.45">
      <c r="A13" s="30"/>
      <c r="B13" s="44"/>
      <c r="C13" s="36"/>
      <c r="D13" s="37">
        <v>3</v>
      </c>
      <c r="E13" s="194" t="s">
        <v>78</v>
      </c>
      <c r="F13" s="195"/>
      <c r="G13" s="195"/>
      <c r="H13" s="195"/>
      <c r="I13" s="195"/>
      <c r="J13" s="195"/>
      <c r="K13" s="195"/>
      <c r="L13" s="196"/>
      <c r="M13" s="164" t="s">
        <v>8</v>
      </c>
      <c r="N13" s="165"/>
      <c r="O13" s="165"/>
      <c r="P13" s="164" t="s">
        <v>95</v>
      </c>
      <c r="Q13" s="165"/>
      <c r="R13" s="165"/>
      <c r="S13" s="164">
        <v>8</v>
      </c>
      <c r="T13" s="165"/>
      <c r="U13" s="165"/>
      <c r="V13" s="202" t="s">
        <v>98</v>
      </c>
      <c r="W13" s="203"/>
      <c r="X13" s="203"/>
      <c r="Y13" s="203"/>
      <c r="Z13" s="203"/>
      <c r="AA13" s="204"/>
      <c r="AB13" s="212"/>
      <c r="AC13" s="213"/>
      <c r="AD13" s="213"/>
      <c r="AE13" s="213"/>
      <c r="AF13" s="213"/>
      <c r="AG13" s="213"/>
      <c r="AH13" s="213"/>
      <c r="AI13" s="213"/>
      <c r="AJ13" s="213"/>
      <c r="AK13" s="213"/>
      <c r="AL13" s="213"/>
      <c r="AM13" s="213"/>
      <c r="AN13" s="213"/>
      <c r="AO13" s="213"/>
      <c r="AP13" s="213"/>
      <c r="AQ13" s="214"/>
      <c r="AR13" s="164"/>
      <c r="AS13" s="165"/>
      <c r="AT13" s="165"/>
      <c r="AU13" s="165"/>
      <c r="AV13" s="165"/>
      <c r="AW13" s="166"/>
      <c r="AX13" s="202"/>
      <c r="AY13" s="203"/>
      <c r="AZ13" s="203"/>
      <c r="BA13" s="203"/>
      <c r="BB13" s="203"/>
      <c r="BC13" s="203"/>
      <c r="BD13" s="203"/>
      <c r="BE13" s="203"/>
      <c r="BF13" s="203"/>
      <c r="BG13" s="203"/>
      <c r="BH13" s="203"/>
      <c r="BI13" s="203"/>
      <c r="BJ13" s="203"/>
      <c r="BK13" s="203"/>
      <c r="BL13" s="203"/>
      <c r="BM13" s="203"/>
      <c r="BN13" s="203"/>
      <c r="BO13" s="203"/>
      <c r="BP13" s="203"/>
      <c r="BQ13" s="203"/>
      <c r="BR13" s="203"/>
      <c r="BS13" s="203"/>
      <c r="BT13" s="207"/>
      <c r="BU13" s="41"/>
      <c r="BV13" s="40"/>
      <c r="BW13" s="41"/>
      <c r="BX13" s="41"/>
      <c r="BY13" s="41"/>
      <c r="BZ13" s="41"/>
      <c r="CA13" s="41"/>
      <c r="CB13" s="41"/>
      <c r="CC13" s="30"/>
      <c r="CD13" s="30"/>
      <c r="CE13" s="30"/>
      <c r="CF13" s="30"/>
      <c r="CG13" s="30"/>
    </row>
    <row r="14" spans="1:85" s="5" customFormat="1" ht="20.100000000000001" customHeight="1" x14ac:dyDescent="0.45">
      <c r="A14" s="30"/>
      <c r="B14" s="44"/>
      <c r="C14" s="36"/>
      <c r="D14" s="37">
        <v>4</v>
      </c>
      <c r="E14" s="194" t="s">
        <v>79</v>
      </c>
      <c r="F14" s="195"/>
      <c r="G14" s="195"/>
      <c r="H14" s="195"/>
      <c r="I14" s="195"/>
      <c r="J14" s="195"/>
      <c r="K14" s="195"/>
      <c r="L14" s="196"/>
      <c r="M14" s="164" t="s">
        <v>47</v>
      </c>
      <c r="N14" s="165"/>
      <c r="O14" s="165"/>
      <c r="P14" s="164" t="s">
        <v>95</v>
      </c>
      <c r="Q14" s="165"/>
      <c r="R14" s="165"/>
      <c r="S14" s="174" t="s">
        <v>135</v>
      </c>
      <c r="T14" s="205"/>
      <c r="U14" s="205"/>
      <c r="V14" s="202" t="s">
        <v>274</v>
      </c>
      <c r="W14" s="203"/>
      <c r="X14" s="203"/>
      <c r="Y14" s="203"/>
      <c r="Z14" s="203"/>
      <c r="AA14" s="204"/>
      <c r="AB14" s="212"/>
      <c r="AC14" s="213"/>
      <c r="AD14" s="213"/>
      <c r="AE14" s="213"/>
      <c r="AF14" s="213"/>
      <c r="AG14" s="213"/>
      <c r="AH14" s="213"/>
      <c r="AI14" s="213"/>
      <c r="AJ14" s="213"/>
      <c r="AK14" s="213"/>
      <c r="AL14" s="213"/>
      <c r="AM14" s="213"/>
      <c r="AN14" s="213"/>
      <c r="AO14" s="213"/>
      <c r="AP14" s="213"/>
      <c r="AQ14" s="214"/>
      <c r="AR14" s="164"/>
      <c r="AS14" s="165"/>
      <c r="AT14" s="165"/>
      <c r="AU14" s="165"/>
      <c r="AV14" s="165"/>
      <c r="AW14" s="166"/>
      <c r="AX14" s="202"/>
      <c r="AY14" s="203"/>
      <c r="AZ14" s="203"/>
      <c r="BA14" s="203"/>
      <c r="BB14" s="203"/>
      <c r="BC14" s="203"/>
      <c r="BD14" s="203"/>
      <c r="BE14" s="203"/>
      <c r="BF14" s="203"/>
      <c r="BG14" s="203"/>
      <c r="BH14" s="203"/>
      <c r="BI14" s="203"/>
      <c r="BJ14" s="203"/>
      <c r="BK14" s="203"/>
      <c r="BL14" s="203"/>
      <c r="BM14" s="203"/>
      <c r="BN14" s="203"/>
      <c r="BO14" s="203"/>
      <c r="BP14" s="203"/>
      <c r="BQ14" s="203"/>
      <c r="BR14" s="203"/>
      <c r="BS14" s="203"/>
      <c r="BT14" s="207"/>
      <c r="BU14" s="41"/>
      <c r="BV14" s="40"/>
      <c r="BW14" s="41"/>
      <c r="BX14" s="41"/>
      <c r="BY14" s="41"/>
      <c r="BZ14" s="41"/>
      <c r="CA14" s="41"/>
      <c r="CB14" s="41"/>
      <c r="CC14" s="30"/>
      <c r="CD14" s="30"/>
      <c r="CE14" s="30"/>
      <c r="CF14" s="30"/>
      <c r="CG14" s="30"/>
    </row>
    <row r="15" spans="1:85" s="5" customFormat="1" ht="20.100000000000001" customHeight="1" x14ac:dyDescent="0.45">
      <c r="A15" s="30"/>
      <c r="B15" s="44"/>
      <c r="C15" s="36"/>
      <c r="D15" s="37">
        <v>5</v>
      </c>
      <c r="E15" s="194" t="s">
        <v>80</v>
      </c>
      <c r="F15" s="195"/>
      <c r="G15" s="195"/>
      <c r="H15" s="195"/>
      <c r="I15" s="195"/>
      <c r="J15" s="195"/>
      <c r="K15" s="195"/>
      <c r="L15" s="196"/>
      <c r="M15" s="164" t="s">
        <v>47</v>
      </c>
      <c r="N15" s="165"/>
      <c r="O15" s="165"/>
      <c r="P15" s="164" t="s">
        <v>95</v>
      </c>
      <c r="Q15" s="165"/>
      <c r="R15" s="165"/>
      <c r="S15" s="164">
        <v>8</v>
      </c>
      <c r="T15" s="165"/>
      <c r="U15" s="165"/>
      <c r="V15" s="202" t="s">
        <v>275</v>
      </c>
      <c r="W15" s="203"/>
      <c r="X15" s="203"/>
      <c r="Y15" s="203"/>
      <c r="Z15" s="203"/>
      <c r="AA15" s="204"/>
      <c r="AB15" s="212"/>
      <c r="AC15" s="213"/>
      <c r="AD15" s="213"/>
      <c r="AE15" s="213"/>
      <c r="AF15" s="213"/>
      <c r="AG15" s="213"/>
      <c r="AH15" s="213"/>
      <c r="AI15" s="213"/>
      <c r="AJ15" s="213"/>
      <c r="AK15" s="213"/>
      <c r="AL15" s="213"/>
      <c r="AM15" s="213"/>
      <c r="AN15" s="213"/>
      <c r="AO15" s="213"/>
      <c r="AP15" s="213"/>
      <c r="AQ15" s="214"/>
      <c r="AR15" s="164"/>
      <c r="AS15" s="165"/>
      <c r="AT15" s="165"/>
      <c r="AU15" s="165"/>
      <c r="AV15" s="165"/>
      <c r="AW15" s="166"/>
      <c r="AX15" s="202"/>
      <c r="AY15" s="203"/>
      <c r="AZ15" s="203"/>
      <c r="BA15" s="203"/>
      <c r="BB15" s="203"/>
      <c r="BC15" s="203"/>
      <c r="BD15" s="203"/>
      <c r="BE15" s="203"/>
      <c r="BF15" s="203"/>
      <c r="BG15" s="203"/>
      <c r="BH15" s="203"/>
      <c r="BI15" s="203"/>
      <c r="BJ15" s="203"/>
      <c r="BK15" s="203"/>
      <c r="BL15" s="203"/>
      <c r="BM15" s="203"/>
      <c r="BN15" s="203"/>
      <c r="BO15" s="203"/>
      <c r="BP15" s="203"/>
      <c r="BQ15" s="203"/>
      <c r="BR15" s="203"/>
      <c r="BS15" s="203"/>
      <c r="BT15" s="207"/>
      <c r="BU15" s="41"/>
      <c r="BV15" s="40"/>
      <c r="BW15" s="41"/>
      <c r="BX15" s="41"/>
      <c r="BY15" s="41"/>
      <c r="BZ15" s="41"/>
      <c r="CA15" s="41"/>
      <c r="CB15" s="41"/>
      <c r="CC15" s="30"/>
      <c r="CD15" s="30"/>
      <c r="CE15" s="30"/>
      <c r="CF15" s="30"/>
      <c r="CG15" s="30"/>
    </row>
    <row r="16" spans="1:85" s="5" customFormat="1" ht="20.100000000000001" customHeight="1" x14ac:dyDescent="0.45">
      <c r="A16" s="30"/>
      <c r="B16" s="44"/>
      <c r="C16" s="30"/>
      <c r="D16" s="37">
        <v>6</v>
      </c>
      <c r="E16" s="194" t="s">
        <v>81</v>
      </c>
      <c r="F16" s="195"/>
      <c r="G16" s="195"/>
      <c r="H16" s="195"/>
      <c r="I16" s="195"/>
      <c r="J16" s="195"/>
      <c r="K16" s="195"/>
      <c r="L16" s="196"/>
      <c r="M16" s="164" t="s">
        <v>38</v>
      </c>
      <c r="N16" s="165"/>
      <c r="O16" s="165"/>
      <c r="P16" s="164" t="s">
        <v>134</v>
      </c>
      <c r="Q16" s="165"/>
      <c r="R16" s="165"/>
      <c r="S16" s="174" t="s">
        <v>135</v>
      </c>
      <c r="T16" s="205"/>
      <c r="U16" s="205"/>
      <c r="V16" s="202" t="s">
        <v>276</v>
      </c>
      <c r="W16" s="203"/>
      <c r="X16" s="203"/>
      <c r="Y16" s="203"/>
      <c r="Z16" s="203"/>
      <c r="AA16" s="204"/>
      <c r="AB16" s="212"/>
      <c r="AC16" s="213"/>
      <c r="AD16" s="213"/>
      <c r="AE16" s="213"/>
      <c r="AF16" s="213"/>
      <c r="AG16" s="213"/>
      <c r="AH16" s="213"/>
      <c r="AI16" s="213"/>
      <c r="AJ16" s="213"/>
      <c r="AK16" s="213"/>
      <c r="AL16" s="213"/>
      <c r="AM16" s="213"/>
      <c r="AN16" s="213"/>
      <c r="AO16" s="213"/>
      <c r="AP16" s="213"/>
      <c r="AQ16" s="214"/>
      <c r="AR16" s="164"/>
      <c r="AS16" s="165"/>
      <c r="AT16" s="165"/>
      <c r="AU16" s="165"/>
      <c r="AV16" s="165"/>
      <c r="AW16" s="166"/>
      <c r="AX16" s="202"/>
      <c r="AY16" s="203"/>
      <c r="AZ16" s="203"/>
      <c r="BA16" s="203"/>
      <c r="BB16" s="203"/>
      <c r="BC16" s="203"/>
      <c r="BD16" s="203"/>
      <c r="BE16" s="203"/>
      <c r="BF16" s="203"/>
      <c r="BG16" s="203"/>
      <c r="BH16" s="203"/>
      <c r="BI16" s="203"/>
      <c r="BJ16" s="203"/>
      <c r="BK16" s="203"/>
      <c r="BL16" s="203"/>
      <c r="BM16" s="203"/>
      <c r="BN16" s="203"/>
      <c r="BO16" s="203"/>
      <c r="BP16" s="203"/>
      <c r="BQ16" s="203"/>
      <c r="BR16" s="203"/>
      <c r="BS16" s="203"/>
      <c r="BT16" s="207"/>
      <c r="BU16" s="41"/>
      <c r="BV16" s="40"/>
      <c r="BW16" s="41"/>
      <c r="BX16" s="41"/>
      <c r="BY16" s="41"/>
      <c r="BZ16" s="41"/>
      <c r="CA16" s="41"/>
      <c r="CB16" s="41"/>
      <c r="CC16" s="30"/>
      <c r="CD16" s="30"/>
      <c r="CE16" s="30"/>
      <c r="CF16" s="30"/>
      <c r="CG16" s="30"/>
    </row>
    <row r="17" spans="1:85" s="5" customFormat="1" ht="20.100000000000001" customHeight="1" x14ac:dyDescent="0.45">
      <c r="A17" s="30"/>
      <c r="B17" s="44"/>
      <c r="C17"/>
      <c r="D17" s="37">
        <v>7</v>
      </c>
      <c r="E17" s="194" t="s">
        <v>82</v>
      </c>
      <c r="F17" s="195"/>
      <c r="G17" s="195"/>
      <c r="H17" s="195"/>
      <c r="I17" s="195"/>
      <c r="J17" s="195"/>
      <c r="K17" s="195"/>
      <c r="L17" s="196"/>
      <c r="M17" s="164" t="s">
        <v>47</v>
      </c>
      <c r="N17" s="165"/>
      <c r="O17" s="165"/>
      <c r="P17" s="164" t="s">
        <v>95</v>
      </c>
      <c r="Q17" s="165"/>
      <c r="R17" s="165"/>
      <c r="S17" s="174" t="s">
        <v>135</v>
      </c>
      <c r="T17" s="205"/>
      <c r="U17" s="205"/>
      <c r="V17" s="202" t="s">
        <v>277</v>
      </c>
      <c r="W17" s="203"/>
      <c r="X17" s="203"/>
      <c r="Y17" s="203"/>
      <c r="Z17" s="203"/>
      <c r="AA17" s="204"/>
      <c r="AB17" s="212"/>
      <c r="AC17" s="213"/>
      <c r="AD17" s="213"/>
      <c r="AE17" s="213"/>
      <c r="AF17" s="213"/>
      <c r="AG17" s="213"/>
      <c r="AH17" s="213"/>
      <c r="AI17" s="213"/>
      <c r="AJ17" s="213"/>
      <c r="AK17" s="213"/>
      <c r="AL17" s="213"/>
      <c r="AM17" s="213"/>
      <c r="AN17" s="213"/>
      <c r="AO17" s="213"/>
      <c r="AP17" s="213"/>
      <c r="AQ17" s="214"/>
      <c r="AR17" s="164"/>
      <c r="AS17" s="165"/>
      <c r="AT17" s="165"/>
      <c r="AU17" s="165"/>
      <c r="AV17" s="165"/>
      <c r="AW17" s="166"/>
      <c r="AX17" s="202"/>
      <c r="AY17" s="203"/>
      <c r="AZ17" s="203"/>
      <c r="BA17" s="203"/>
      <c r="BB17" s="203"/>
      <c r="BC17" s="203"/>
      <c r="BD17" s="203"/>
      <c r="BE17" s="203"/>
      <c r="BF17" s="203"/>
      <c r="BG17" s="203"/>
      <c r="BH17" s="203"/>
      <c r="BI17" s="203"/>
      <c r="BJ17" s="203"/>
      <c r="BK17" s="203"/>
      <c r="BL17" s="203"/>
      <c r="BM17" s="203"/>
      <c r="BN17" s="203"/>
      <c r="BO17" s="203"/>
      <c r="BP17" s="203"/>
      <c r="BQ17" s="203"/>
      <c r="BR17" s="203"/>
      <c r="BS17" s="203"/>
      <c r="BT17" s="207"/>
      <c r="BU17" s="41"/>
      <c r="BV17" s="40"/>
      <c r="BW17" s="41"/>
      <c r="BX17" s="41"/>
      <c r="BY17" s="41"/>
      <c r="BZ17" s="41"/>
      <c r="CA17" s="41"/>
      <c r="CB17" s="41"/>
      <c r="CC17" s="30"/>
      <c r="CD17" s="30"/>
      <c r="CE17" s="30"/>
      <c r="CF17" s="30"/>
      <c r="CG17" s="30"/>
    </row>
    <row r="18" spans="1:85" s="5" customFormat="1" ht="20.100000000000001" customHeight="1" x14ac:dyDescent="0.45">
      <c r="A18" s="29"/>
      <c r="B18" s="35"/>
      <c r="C18"/>
      <c r="D18" s="37">
        <v>8</v>
      </c>
      <c r="E18" s="194" t="s">
        <v>83</v>
      </c>
      <c r="F18" s="195"/>
      <c r="G18" s="195"/>
      <c r="H18" s="195"/>
      <c r="I18" s="195"/>
      <c r="J18" s="195"/>
      <c r="K18" s="195"/>
      <c r="L18" s="196"/>
      <c r="M18" s="164" t="s">
        <v>47</v>
      </c>
      <c r="N18" s="165"/>
      <c r="O18" s="165"/>
      <c r="P18" s="164" t="s">
        <v>95</v>
      </c>
      <c r="Q18" s="165"/>
      <c r="R18" s="165"/>
      <c r="S18" s="174" t="s">
        <v>135</v>
      </c>
      <c r="T18" s="205"/>
      <c r="U18" s="205"/>
      <c r="V18" s="202" t="s">
        <v>278</v>
      </c>
      <c r="W18" s="203"/>
      <c r="X18" s="203"/>
      <c r="Y18" s="203"/>
      <c r="Z18" s="203"/>
      <c r="AA18" s="204"/>
      <c r="AB18" s="212"/>
      <c r="AC18" s="213"/>
      <c r="AD18" s="213"/>
      <c r="AE18" s="213"/>
      <c r="AF18" s="213"/>
      <c r="AG18" s="213"/>
      <c r="AH18" s="213"/>
      <c r="AI18" s="213"/>
      <c r="AJ18" s="213"/>
      <c r="AK18" s="213"/>
      <c r="AL18" s="213"/>
      <c r="AM18" s="213"/>
      <c r="AN18" s="213"/>
      <c r="AO18" s="213"/>
      <c r="AP18" s="213"/>
      <c r="AQ18" s="214"/>
      <c r="AR18" s="164"/>
      <c r="AS18" s="165"/>
      <c r="AT18" s="165"/>
      <c r="AU18" s="165"/>
      <c r="AV18" s="165"/>
      <c r="AW18" s="166"/>
      <c r="AX18" s="202"/>
      <c r="AY18" s="203"/>
      <c r="AZ18" s="203"/>
      <c r="BA18" s="203"/>
      <c r="BB18" s="203"/>
      <c r="BC18" s="203"/>
      <c r="BD18" s="203"/>
      <c r="BE18" s="203"/>
      <c r="BF18" s="203"/>
      <c r="BG18" s="203"/>
      <c r="BH18" s="203"/>
      <c r="BI18" s="203"/>
      <c r="BJ18" s="203"/>
      <c r="BK18" s="203"/>
      <c r="BL18" s="203"/>
      <c r="BM18" s="203"/>
      <c r="BN18" s="203"/>
      <c r="BO18" s="203"/>
      <c r="BP18" s="203"/>
      <c r="BQ18" s="203"/>
      <c r="BR18" s="203"/>
      <c r="BS18" s="203"/>
      <c r="BT18" s="207"/>
      <c r="BU18" s="29"/>
      <c r="BV18" s="40"/>
      <c r="BW18" s="41"/>
      <c r="BX18" s="41"/>
      <c r="BY18" s="41"/>
      <c r="BZ18" s="41"/>
      <c r="CA18" s="41"/>
      <c r="CB18" s="41"/>
      <c r="CC18" s="41"/>
      <c r="CD18" s="41"/>
      <c r="CE18" s="41"/>
      <c r="CF18" s="31"/>
      <c r="CG18" s="31"/>
    </row>
    <row r="19" spans="1:85" s="5" customFormat="1" ht="20.100000000000001" customHeight="1" x14ac:dyDescent="0.45">
      <c r="A19" s="29"/>
      <c r="B19" s="35"/>
      <c r="C19"/>
      <c r="D19" s="37">
        <v>9</v>
      </c>
      <c r="E19" s="194" t="s">
        <v>84</v>
      </c>
      <c r="F19" s="195"/>
      <c r="G19" s="195"/>
      <c r="H19" s="195"/>
      <c r="I19" s="195"/>
      <c r="J19" s="195"/>
      <c r="K19" s="195"/>
      <c r="L19" s="196"/>
      <c r="M19" s="164" t="s">
        <v>47</v>
      </c>
      <c r="N19" s="165"/>
      <c r="O19" s="165"/>
      <c r="P19" s="164" t="s">
        <v>95</v>
      </c>
      <c r="Q19" s="165"/>
      <c r="R19" s="165"/>
      <c r="S19" s="174" t="s">
        <v>135</v>
      </c>
      <c r="T19" s="205"/>
      <c r="U19" s="205"/>
      <c r="V19" s="202" t="s">
        <v>279</v>
      </c>
      <c r="W19" s="203"/>
      <c r="X19" s="203"/>
      <c r="Y19" s="203"/>
      <c r="Z19" s="203"/>
      <c r="AA19" s="204"/>
      <c r="AB19" s="212"/>
      <c r="AC19" s="213"/>
      <c r="AD19" s="213"/>
      <c r="AE19" s="213"/>
      <c r="AF19" s="213"/>
      <c r="AG19" s="213"/>
      <c r="AH19" s="213"/>
      <c r="AI19" s="213"/>
      <c r="AJ19" s="213"/>
      <c r="AK19" s="213"/>
      <c r="AL19" s="213"/>
      <c r="AM19" s="213"/>
      <c r="AN19" s="213"/>
      <c r="AO19" s="213"/>
      <c r="AP19" s="213"/>
      <c r="AQ19" s="214"/>
      <c r="AR19" s="164"/>
      <c r="AS19" s="165"/>
      <c r="AT19" s="165"/>
      <c r="AU19" s="165"/>
      <c r="AV19" s="165"/>
      <c r="AW19" s="166"/>
      <c r="AX19" s="202"/>
      <c r="AY19" s="203"/>
      <c r="AZ19" s="203"/>
      <c r="BA19" s="203"/>
      <c r="BB19" s="203"/>
      <c r="BC19" s="203"/>
      <c r="BD19" s="203"/>
      <c r="BE19" s="203"/>
      <c r="BF19" s="203"/>
      <c r="BG19" s="203"/>
      <c r="BH19" s="203"/>
      <c r="BI19" s="203"/>
      <c r="BJ19" s="203"/>
      <c r="BK19" s="203"/>
      <c r="BL19" s="203"/>
      <c r="BM19" s="203"/>
      <c r="BN19" s="203"/>
      <c r="BO19" s="203"/>
      <c r="BP19" s="203"/>
      <c r="BQ19" s="203"/>
      <c r="BR19" s="203"/>
      <c r="BS19" s="203"/>
      <c r="BT19" s="207"/>
      <c r="BU19" s="41"/>
      <c r="BV19" s="40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</row>
    <row r="20" spans="1:85" s="5" customFormat="1" ht="20.100000000000001" customHeight="1" x14ac:dyDescent="0.45">
      <c r="A20" s="29"/>
      <c r="B20" s="35"/>
      <c r="C20"/>
      <c r="D20" s="37">
        <v>10</v>
      </c>
      <c r="E20" s="194" t="s">
        <v>85</v>
      </c>
      <c r="F20" s="195"/>
      <c r="G20" s="195"/>
      <c r="H20" s="195"/>
      <c r="I20" s="195"/>
      <c r="J20" s="195"/>
      <c r="K20" s="195"/>
      <c r="L20" s="196"/>
      <c r="M20" s="164" t="s">
        <v>47</v>
      </c>
      <c r="N20" s="165"/>
      <c r="O20" s="165"/>
      <c r="P20" s="164" t="s">
        <v>95</v>
      </c>
      <c r="Q20" s="165"/>
      <c r="R20" s="165"/>
      <c r="S20" s="174" t="s">
        <v>135</v>
      </c>
      <c r="T20" s="205"/>
      <c r="U20" s="205"/>
      <c r="V20" s="202" t="s">
        <v>280</v>
      </c>
      <c r="W20" s="203"/>
      <c r="X20" s="203"/>
      <c r="Y20" s="203"/>
      <c r="Z20" s="203"/>
      <c r="AA20" s="204"/>
      <c r="AB20" s="212"/>
      <c r="AC20" s="213"/>
      <c r="AD20" s="213"/>
      <c r="AE20" s="213"/>
      <c r="AF20" s="213"/>
      <c r="AG20" s="213"/>
      <c r="AH20" s="213"/>
      <c r="AI20" s="213"/>
      <c r="AJ20" s="213"/>
      <c r="AK20" s="213"/>
      <c r="AL20" s="213"/>
      <c r="AM20" s="213"/>
      <c r="AN20" s="213"/>
      <c r="AO20" s="213"/>
      <c r="AP20" s="213"/>
      <c r="AQ20" s="214"/>
      <c r="AR20" s="164"/>
      <c r="AS20" s="165"/>
      <c r="AT20" s="165"/>
      <c r="AU20" s="165"/>
      <c r="AV20" s="165"/>
      <c r="AW20" s="166"/>
      <c r="AX20" s="202"/>
      <c r="AY20" s="203"/>
      <c r="AZ20" s="203"/>
      <c r="BA20" s="203"/>
      <c r="BB20" s="203"/>
      <c r="BC20" s="203"/>
      <c r="BD20" s="203"/>
      <c r="BE20" s="203"/>
      <c r="BF20" s="203"/>
      <c r="BG20" s="203"/>
      <c r="BH20" s="203"/>
      <c r="BI20" s="203"/>
      <c r="BJ20" s="203"/>
      <c r="BK20" s="203"/>
      <c r="BL20" s="203"/>
      <c r="BM20" s="203"/>
      <c r="BN20" s="203"/>
      <c r="BO20" s="203"/>
      <c r="BP20" s="203"/>
      <c r="BQ20" s="203"/>
      <c r="BR20" s="203"/>
      <c r="BS20" s="203"/>
      <c r="BT20" s="207"/>
      <c r="BU20" s="41"/>
      <c r="BV20" s="40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</row>
    <row r="21" spans="1:85" s="5" customFormat="1" ht="20.100000000000001" customHeight="1" x14ac:dyDescent="0.45">
      <c r="A21" s="29"/>
      <c r="B21" s="35"/>
      <c r="C21"/>
      <c r="D21" s="37">
        <v>11</v>
      </c>
      <c r="E21" s="194" t="s">
        <v>86</v>
      </c>
      <c r="F21" s="195"/>
      <c r="G21" s="195"/>
      <c r="H21" s="195"/>
      <c r="I21" s="195"/>
      <c r="J21" s="195"/>
      <c r="K21" s="195"/>
      <c r="L21" s="196"/>
      <c r="M21" s="164" t="s">
        <v>47</v>
      </c>
      <c r="N21" s="165"/>
      <c r="O21" s="165"/>
      <c r="P21" s="164" t="s">
        <v>95</v>
      </c>
      <c r="Q21" s="165"/>
      <c r="R21" s="165"/>
      <c r="S21" s="174" t="s">
        <v>135</v>
      </c>
      <c r="T21" s="205"/>
      <c r="U21" s="205"/>
      <c r="V21" s="202" t="s">
        <v>281</v>
      </c>
      <c r="W21" s="203"/>
      <c r="X21" s="203"/>
      <c r="Y21" s="203"/>
      <c r="Z21" s="203"/>
      <c r="AA21" s="204"/>
      <c r="AB21" s="212"/>
      <c r="AC21" s="213"/>
      <c r="AD21" s="213"/>
      <c r="AE21" s="213"/>
      <c r="AF21" s="213"/>
      <c r="AG21" s="213"/>
      <c r="AH21" s="213"/>
      <c r="AI21" s="213"/>
      <c r="AJ21" s="213"/>
      <c r="AK21" s="213"/>
      <c r="AL21" s="213"/>
      <c r="AM21" s="213"/>
      <c r="AN21" s="213"/>
      <c r="AO21" s="213"/>
      <c r="AP21" s="213"/>
      <c r="AQ21" s="214"/>
      <c r="AR21" s="164"/>
      <c r="AS21" s="165"/>
      <c r="AT21" s="165"/>
      <c r="AU21" s="165"/>
      <c r="AV21" s="165"/>
      <c r="AW21" s="166"/>
      <c r="AX21" s="202"/>
      <c r="AY21" s="203"/>
      <c r="AZ21" s="203"/>
      <c r="BA21" s="203"/>
      <c r="BB21" s="203"/>
      <c r="BC21" s="203"/>
      <c r="BD21" s="203"/>
      <c r="BE21" s="203"/>
      <c r="BF21" s="203"/>
      <c r="BG21" s="203"/>
      <c r="BH21" s="203"/>
      <c r="BI21" s="203"/>
      <c r="BJ21" s="203"/>
      <c r="BK21" s="203"/>
      <c r="BL21" s="203"/>
      <c r="BM21" s="203"/>
      <c r="BN21" s="203"/>
      <c r="BO21" s="203"/>
      <c r="BP21" s="203"/>
      <c r="BQ21" s="203"/>
      <c r="BR21" s="203"/>
      <c r="BS21" s="203"/>
      <c r="BT21" s="207"/>
      <c r="BU21" s="41"/>
      <c r="BV21" s="40"/>
      <c r="BW21" s="41"/>
      <c r="BX21" s="41"/>
      <c r="BY21" s="41"/>
      <c r="BZ21" s="41"/>
      <c r="CA21" s="41"/>
      <c r="CB21" s="41"/>
      <c r="CC21" s="41"/>
      <c r="CD21" s="41"/>
      <c r="CE21" s="41"/>
      <c r="CF21" s="41"/>
      <c r="CG21" s="41"/>
    </row>
    <row r="22" spans="1:85" s="5" customFormat="1" ht="20.100000000000001" customHeight="1" x14ac:dyDescent="0.45">
      <c r="A22" s="29"/>
      <c r="B22" s="35"/>
      <c r="C22"/>
      <c r="D22" s="37">
        <v>12</v>
      </c>
      <c r="E22" s="194" t="s">
        <v>87</v>
      </c>
      <c r="F22" s="195"/>
      <c r="G22" s="195"/>
      <c r="H22" s="195"/>
      <c r="I22" s="195"/>
      <c r="J22" s="195"/>
      <c r="K22" s="195"/>
      <c r="L22" s="196"/>
      <c r="M22" s="164" t="s">
        <v>47</v>
      </c>
      <c r="N22" s="165"/>
      <c r="O22" s="165"/>
      <c r="P22" s="164" t="s">
        <v>95</v>
      </c>
      <c r="Q22" s="165"/>
      <c r="R22" s="165"/>
      <c r="S22" s="174" t="s">
        <v>135</v>
      </c>
      <c r="T22" s="205"/>
      <c r="U22" s="205"/>
      <c r="V22" s="202" t="s">
        <v>282</v>
      </c>
      <c r="W22" s="203"/>
      <c r="X22" s="203"/>
      <c r="Y22" s="203"/>
      <c r="Z22" s="203"/>
      <c r="AA22" s="204"/>
      <c r="AB22" s="212"/>
      <c r="AC22" s="213"/>
      <c r="AD22" s="213"/>
      <c r="AE22" s="213"/>
      <c r="AF22" s="213"/>
      <c r="AG22" s="213"/>
      <c r="AH22" s="213"/>
      <c r="AI22" s="213"/>
      <c r="AJ22" s="213"/>
      <c r="AK22" s="213"/>
      <c r="AL22" s="213"/>
      <c r="AM22" s="213"/>
      <c r="AN22" s="213"/>
      <c r="AO22" s="213"/>
      <c r="AP22" s="213"/>
      <c r="AQ22" s="214"/>
      <c r="AR22" s="164"/>
      <c r="AS22" s="165"/>
      <c r="AT22" s="165"/>
      <c r="AU22" s="165"/>
      <c r="AV22" s="165"/>
      <c r="AW22" s="166"/>
      <c r="AX22" s="202"/>
      <c r="AY22" s="203"/>
      <c r="AZ22" s="203"/>
      <c r="BA22" s="203"/>
      <c r="BB22" s="203"/>
      <c r="BC22" s="203"/>
      <c r="BD22" s="203"/>
      <c r="BE22" s="203"/>
      <c r="BF22" s="203"/>
      <c r="BG22" s="203"/>
      <c r="BH22" s="203"/>
      <c r="BI22" s="203"/>
      <c r="BJ22" s="203"/>
      <c r="BK22" s="203"/>
      <c r="BL22" s="203"/>
      <c r="BM22" s="203"/>
      <c r="BN22" s="203"/>
      <c r="BO22" s="203"/>
      <c r="BP22" s="203"/>
      <c r="BQ22" s="203"/>
      <c r="BR22" s="203"/>
      <c r="BS22" s="203"/>
      <c r="BT22" s="207"/>
      <c r="BU22" s="41"/>
      <c r="BV22" s="40"/>
      <c r="BW22" s="41"/>
      <c r="BX22" s="41"/>
      <c r="BY22" s="41"/>
      <c r="BZ22" s="41"/>
      <c r="CA22" s="41"/>
      <c r="CB22" s="41"/>
      <c r="CC22" s="41"/>
      <c r="CD22" s="41"/>
      <c r="CE22" s="41"/>
      <c r="CF22" s="41"/>
      <c r="CG22" s="41"/>
    </row>
    <row r="23" spans="1:85" s="5" customFormat="1" ht="20.100000000000001" customHeight="1" x14ac:dyDescent="0.45">
      <c r="A23" s="29"/>
      <c r="B23" s="35"/>
      <c r="C23"/>
      <c r="D23" s="37">
        <v>13</v>
      </c>
      <c r="E23" s="194" t="s">
        <v>88</v>
      </c>
      <c r="F23" s="195"/>
      <c r="G23" s="195"/>
      <c r="H23" s="195"/>
      <c r="I23" s="195"/>
      <c r="J23" s="195"/>
      <c r="K23" s="195"/>
      <c r="L23" s="196"/>
      <c r="M23" s="164" t="s">
        <v>47</v>
      </c>
      <c r="N23" s="165"/>
      <c r="O23" s="165"/>
      <c r="P23" s="164" t="s">
        <v>95</v>
      </c>
      <c r="Q23" s="165"/>
      <c r="R23" s="165"/>
      <c r="S23" s="174" t="s">
        <v>135</v>
      </c>
      <c r="T23" s="205"/>
      <c r="U23" s="205"/>
      <c r="V23" s="202" t="s">
        <v>283</v>
      </c>
      <c r="W23" s="203"/>
      <c r="X23" s="203"/>
      <c r="Y23" s="203"/>
      <c r="Z23" s="203"/>
      <c r="AA23" s="204"/>
      <c r="AB23" s="212"/>
      <c r="AC23" s="213"/>
      <c r="AD23" s="213"/>
      <c r="AE23" s="213"/>
      <c r="AF23" s="213"/>
      <c r="AG23" s="213"/>
      <c r="AH23" s="213"/>
      <c r="AI23" s="213"/>
      <c r="AJ23" s="213"/>
      <c r="AK23" s="213"/>
      <c r="AL23" s="213"/>
      <c r="AM23" s="213"/>
      <c r="AN23" s="213"/>
      <c r="AO23" s="213"/>
      <c r="AP23" s="213"/>
      <c r="AQ23" s="214"/>
      <c r="AR23" s="164"/>
      <c r="AS23" s="165"/>
      <c r="AT23" s="165"/>
      <c r="AU23" s="165"/>
      <c r="AV23" s="165"/>
      <c r="AW23" s="166"/>
      <c r="AX23" s="202"/>
      <c r="AY23" s="203"/>
      <c r="AZ23" s="203"/>
      <c r="BA23" s="203"/>
      <c r="BB23" s="203"/>
      <c r="BC23" s="203"/>
      <c r="BD23" s="203"/>
      <c r="BE23" s="203"/>
      <c r="BF23" s="203"/>
      <c r="BG23" s="203"/>
      <c r="BH23" s="203"/>
      <c r="BI23" s="203"/>
      <c r="BJ23" s="203"/>
      <c r="BK23" s="203"/>
      <c r="BL23" s="203"/>
      <c r="BM23" s="203"/>
      <c r="BN23" s="203"/>
      <c r="BO23" s="203"/>
      <c r="BP23" s="203"/>
      <c r="BQ23" s="203"/>
      <c r="BR23" s="203"/>
      <c r="BS23" s="203"/>
      <c r="BT23" s="207"/>
      <c r="BU23" s="41"/>
      <c r="BV23" s="40"/>
      <c r="BW23" s="41"/>
      <c r="BX23" s="41"/>
      <c r="BY23" s="41"/>
      <c r="BZ23" s="41"/>
      <c r="CA23" s="41"/>
      <c r="CB23" s="41"/>
      <c r="CC23" s="41"/>
      <c r="CD23" s="41"/>
      <c r="CE23" s="41"/>
      <c r="CF23" s="41"/>
      <c r="CG23" s="41"/>
    </row>
    <row r="24" spans="1:85" s="5" customFormat="1" ht="20.100000000000001" customHeight="1" x14ac:dyDescent="0.45">
      <c r="A24" s="29"/>
      <c r="B24" s="35"/>
      <c r="C24"/>
      <c r="D24" s="37">
        <v>14</v>
      </c>
      <c r="E24" s="194" t="s">
        <v>89</v>
      </c>
      <c r="F24" s="195"/>
      <c r="G24" s="195"/>
      <c r="H24" s="195"/>
      <c r="I24" s="195"/>
      <c r="J24" s="195"/>
      <c r="K24" s="195"/>
      <c r="L24" s="196"/>
      <c r="M24" s="164" t="s">
        <v>47</v>
      </c>
      <c r="N24" s="165"/>
      <c r="O24" s="165"/>
      <c r="P24" s="164" t="s">
        <v>95</v>
      </c>
      <c r="Q24" s="165"/>
      <c r="R24" s="165"/>
      <c r="S24" s="174" t="s">
        <v>135</v>
      </c>
      <c r="T24" s="205"/>
      <c r="U24" s="205"/>
      <c r="V24" s="202" t="s">
        <v>284</v>
      </c>
      <c r="W24" s="203"/>
      <c r="X24" s="203"/>
      <c r="Y24" s="203"/>
      <c r="Z24" s="203"/>
      <c r="AA24" s="204"/>
      <c r="AB24" s="212"/>
      <c r="AC24" s="213"/>
      <c r="AD24" s="213"/>
      <c r="AE24" s="213"/>
      <c r="AF24" s="213"/>
      <c r="AG24" s="213"/>
      <c r="AH24" s="213"/>
      <c r="AI24" s="213"/>
      <c r="AJ24" s="213"/>
      <c r="AK24" s="213"/>
      <c r="AL24" s="213"/>
      <c r="AM24" s="213"/>
      <c r="AN24" s="213"/>
      <c r="AO24" s="213"/>
      <c r="AP24" s="213"/>
      <c r="AQ24" s="214"/>
      <c r="AR24" s="164"/>
      <c r="AS24" s="165"/>
      <c r="AT24" s="165"/>
      <c r="AU24" s="165"/>
      <c r="AV24" s="165"/>
      <c r="AW24" s="166"/>
      <c r="AX24" s="202"/>
      <c r="AY24" s="203"/>
      <c r="AZ24" s="203"/>
      <c r="BA24" s="203"/>
      <c r="BB24" s="203"/>
      <c r="BC24" s="203"/>
      <c r="BD24" s="203"/>
      <c r="BE24" s="203"/>
      <c r="BF24" s="203"/>
      <c r="BG24" s="203"/>
      <c r="BH24" s="203"/>
      <c r="BI24" s="203"/>
      <c r="BJ24" s="203"/>
      <c r="BK24" s="203"/>
      <c r="BL24" s="203"/>
      <c r="BM24" s="203"/>
      <c r="BN24" s="203"/>
      <c r="BO24" s="203"/>
      <c r="BP24" s="203"/>
      <c r="BQ24" s="203"/>
      <c r="BR24" s="203"/>
      <c r="BS24" s="203"/>
      <c r="BT24" s="207"/>
      <c r="BU24" s="41"/>
      <c r="BV24" s="40"/>
      <c r="BW24" s="41"/>
      <c r="BX24" s="41"/>
      <c r="BY24" s="41"/>
      <c r="BZ24" s="41"/>
      <c r="CA24" s="41"/>
      <c r="CB24" s="41"/>
      <c r="CC24" s="41"/>
      <c r="CD24" s="41"/>
      <c r="CE24" s="41"/>
      <c r="CF24" s="41"/>
      <c r="CG24" s="41"/>
    </row>
    <row r="25" spans="1:85" s="5" customFormat="1" ht="20.100000000000001" customHeight="1" x14ac:dyDescent="0.45">
      <c r="A25" s="29"/>
      <c r="B25" s="35"/>
      <c r="C25"/>
      <c r="D25" s="37">
        <v>15</v>
      </c>
      <c r="E25" s="194" t="s">
        <v>90</v>
      </c>
      <c r="F25" s="195"/>
      <c r="G25" s="195"/>
      <c r="H25" s="195"/>
      <c r="I25" s="195"/>
      <c r="J25" s="195"/>
      <c r="K25" s="195"/>
      <c r="L25" s="196"/>
      <c r="M25" s="164" t="s">
        <v>47</v>
      </c>
      <c r="N25" s="165"/>
      <c r="O25" s="165"/>
      <c r="P25" s="164" t="s">
        <v>95</v>
      </c>
      <c r="Q25" s="165"/>
      <c r="R25" s="165"/>
      <c r="S25" s="174" t="s">
        <v>135</v>
      </c>
      <c r="T25" s="205"/>
      <c r="U25" s="205"/>
      <c r="V25" s="202" t="s">
        <v>285</v>
      </c>
      <c r="W25" s="203"/>
      <c r="X25" s="203"/>
      <c r="Y25" s="203"/>
      <c r="Z25" s="203"/>
      <c r="AA25" s="204"/>
      <c r="AB25" s="212"/>
      <c r="AC25" s="213"/>
      <c r="AD25" s="213"/>
      <c r="AE25" s="213"/>
      <c r="AF25" s="213"/>
      <c r="AG25" s="213"/>
      <c r="AH25" s="213"/>
      <c r="AI25" s="213"/>
      <c r="AJ25" s="213"/>
      <c r="AK25" s="213"/>
      <c r="AL25" s="213"/>
      <c r="AM25" s="213"/>
      <c r="AN25" s="213"/>
      <c r="AO25" s="213"/>
      <c r="AP25" s="213"/>
      <c r="AQ25" s="214"/>
      <c r="AR25" s="164"/>
      <c r="AS25" s="165"/>
      <c r="AT25" s="165"/>
      <c r="AU25" s="165"/>
      <c r="AV25" s="165"/>
      <c r="AW25" s="166"/>
      <c r="AX25" s="202"/>
      <c r="AY25" s="203"/>
      <c r="AZ25" s="203"/>
      <c r="BA25" s="203"/>
      <c r="BB25" s="203"/>
      <c r="BC25" s="203"/>
      <c r="BD25" s="203"/>
      <c r="BE25" s="203"/>
      <c r="BF25" s="203"/>
      <c r="BG25" s="203"/>
      <c r="BH25" s="203"/>
      <c r="BI25" s="203"/>
      <c r="BJ25" s="203"/>
      <c r="BK25" s="203"/>
      <c r="BL25" s="203"/>
      <c r="BM25" s="203"/>
      <c r="BN25" s="203"/>
      <c r="BO25" s="203"/>
      <c r="BP25" s="203"/>
      <c r="BQ25" s="203"/>
      <c r="BR25" s="203"/>
      <c r="BS25" s="203"/>
      <c r="BT25" s="207"/>
      <c r="BU25" s="41"/>
      <c r="BV25" s="40"/>
      <c r="BW25" s="41"/>
      <c r="BX25" s="41"/>
      <c r="BY25" s="41"/>
      <c r="BZ25" s="41"/>
      <c r="CA25" s="41"/>
      <c r="CB25" s="41"/>
      <c r="CC25" s="41"/>
      <c r="CD25" s="41"/>
      <c r="CE25" s="41"/>
      <c r="CF25" s="41"/>
      <c r="CG25" s="41"/>
    </row>
    <row r="26" spans="1:85" s="5" customFormat="1" ht="20.100000000000001" customHeight="1" x14ac:dyDescent="0.45">
      <c r="A26" s="29"/>
      <c r="B26" s="35"/>
      <c r="C26"/>
      <c r="D26" s="37">
        <v>16</v>
      </c>
      <c r="E26" s="194" t="s">
        <v>91</v>
      </c>
      <c r="F26" s="195"/>
      <c r="G26" s="195"/>
      <c r="H26" s="195"/>
      <c r="I26" s="195"/>
      <c r="J26" s="195"/>
      <c r="K26" s="195"/>
      <c r="L26" s="196"/>
      <c r="M26" s="164" t="s">
        <v>47</v>
      </c>
      <c r="N26" s="165"/>
      <c r="O26" s="165"/>
      <c r="P26" s="164" t="s">
        <v>95</v>
      </c>
      <c r="Q26" s="165"/>
      <c r="R26" s="165"/>
      <c r="S26" s="174" t="s">
        <v>135</v>
      </c>
      <c r="T26" s="205"/>
      <c r="U26" s="205"/>
      <c r="V26" s="202" t="s">
        <v>286</v>
      </c>
      <c r="W26" s="203"/>
      <c r="X26" s="203"/>
      <c r="Y26" s="203"/>
      <c r="Z26" s="203"/>
      <c r="AA26" s="204"/>
      <c r="AB26" s="212"/>
      <c r="AC26" s="213"/>
      <c r="AD26" s="213"/>
      <c r="AE26" s="213"/>
      <c r="AF26" s="213"/>
      <c r="AG26" s="213"/>
      <c r="AH26" s="213"/>
      <c r="AI26" s="213"/>
      <c r="AJ26" s="213"/>
      <c r="AK26" s="213"/>
      <c r="AL26" s="213"/>
      <c r="AM26" s="213"/>
      <c r="AN26" s="213"/>
      <c r="AO26" s="213"/>
      <c r="AP26" s="213"/>
      <c r="AQ26" s="214"/>
      <c r="AR26" s="164"/>
      <c r="AS26" s="165"/>
      <c r="AT26" s="165"/>
      <c r="AU26" s="165"/>
      <c r="AV26" s="165"/>
      <c r="AW26" s="166"/>
      <c r="AX26" s="202"/>
      <c r="AY26" s="203"/>
      <c r="AZ26" s="203"/>
      <c r="BA26" s="203"/>
      <c r="BB26" s="203"/>
      <c r="BC26" s="203"/>
      <c r="BD26" s="203"/>
      <c r="BE26" s="203"/>
      <c r="BF26" s="203"/>
      <c r="BG26" s="203"/>
      <c r="BH26" s="203"/>
      <c r="BI26" s="203"/>
      <c r="BJ26" s="203"/>
      <c r="BK26" s="203"/>
      <c r="BL26" s="203"/>
      <c r="BM26" s="203"/>
      <c r="BN26" s="203"/>
      <c r="BO26" s="203"/>
      <c r="BP26" s="203"/>
      <c r="BQ26" s="203"/>
      <c r="BR26" s="203"/>
      <c r="BS26" s="203"/>
      <c r="BT26" s="207"/>
      <c r="BU26" s="41"/>
      <c r="BV26" s="40"/>
      <c r="BW26" s="41"/>
      <c r="BX26" s="41"/>
      <c r="BY26" s="41"/>
      <c r="BZ26" s="41"/>
      <c r="CA26" s="41"/>
      <c r="CB26" s="41"/>
      <c r="CC26" s="41"/>
      <c r="CD26" s="41"/>
      <c r="CE26" s="41"/>
      <c r="CF26" s="41"/>
      <c r="CG26" s="41"/>
    </row>
    <row r="27" spans="1:85" ht="20.100000000000001" customHeight="1" x14ac:dyDescent="0.45">
      <c r="A27" s="29"/>
      <c r="B27" s="44"/>
      <c r="C27"/>
      <c r="D27" s="37">
        <v>17</v>
      </c>
      <c r="E27" s="194" t="s">
        <v>92</v>
      </c>
      <c r="F27" s="195"/>
      <c r="G27" s="195"/>
      <c r="H27" s="195"/>
      <c r="I27" s="195"/>
      <c r="J27" s="195"/>
      <c r="K27" s="195"/>
      <c r="L27" s="196"/>
      <c r="M27" s="164" t="s">
        <v>47</v>
      </c>
      <c r="N27" s="165"/>
      <c r="O27" s="165"/>
      <c r="P27" s="164" t="s">
        <v>95</v>
      </c>
      <c r="Q27" s="165"/>
      <c r="R27" s="165"/>
      <c r="S27" s="174" t="s">
        <v>135</v>
      </c>
      <c r="T27" s="205"/>
      <c r="U27" s="205"/>
      <c r="V27" s="202" t="s">
        <v>287</v>
      </c>
      <c r="W27" s="203"/>
      <c r="X27" s="203"/>
      <c r="Y27" s="203"/>
      <c r="Z27" s="203"/>
      <c r="AA27" s="204"/>
      <c r="AB27" s="212"/>
      <c r="AC27" s="213"/>
      <c r="AD27" s="213"/>
      <c r="AE27" s="213"/>
      <c r="AF27" s="213"/>
      <c r="AG27" s="213"/>
      <c r="AH27" s="213"/>
      <c r="AI27" s="213"/>
      <c r="AJ27" s="213"/>
      <c r="AK27" s="213"/>
      <c r="AL27" s="213"/>
      <c r="AM27" s="213"/>
      <c r="AN27" s="213"/>
      <c r="AO27" s="213"/>
      <c r="AP27" s="213"/>
      <c r="AQ27" s="214"/>
      <c r="AR27" s="164"/>
      <c r="AS27" s="165"/>
      <c r="AT27" s="165"/>
      <c r="AU27" s="165"/>
      <c r="AV27" s="165"/>
      <c r="AW27" s="166"/>
      <c r="AX27" s="202"/>
      <c r="AY27" s="203"/>
      <c r="AZ27" s="203"/>
      <c r="BA27" s="203"/>
      <c r="BB27" s="203"/>
      <c r="BC27" s="203"/>
      <c r="BD27" s="203"/>
      <c r="BE27" s="203"/>
      <c r="BF27" s="203"/>
      <c r="BG27" s="203"/>
      <c r="BH27" s="203"/>
      <c r="BI27" s="203"/>
      <c r="BJ27" s="203"/>
      <c r="BK27" s="203"/>
      <c r="BL27" s="203"/>
      <c r="BM27" s="203"/>
      <c r="BN27" s="203"/>
      <c r="BO27" s="203"/>
      <c r="BP27" s="203"/>
      <c r="BQ27" s="203"/>
      <c r="BR27" s="203"/>
      <c r="BS27" s="203"/>
      <c r="BT27" s="207"/>
      <c r="BU27" s="41"/>
      <c r="BV27" s="40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</row>
    <row r="28" spans="1:85" ht="19.5" customHeight="1" x14ac:dyDescent="0.45">
      <c r="A28" s="29"/>
      <c r="B28" s="44"/>
      <c r="C28"/>
      <c r="D28" s="37">
        <v>18</v>
      </c>
      <c r="E28" s="194" t="s">
        <v>93</v>
      </c>
      <c r="F28" s="195"/>
      <c r="G28" s="195"/>
      <c r="H28" s="195"/>
      <c r="I28" s="195"/>
      <c r="J28" s="195"/>
      <c r="K28" s="195"/>
      <c r="L28" s="196"/>
      <c r="M28" s="164" t="s">
        <v>47</v>
      </c>
      <c r="N28" s="165"/>
      <c r="O28" s="165"/>
      <c r="P28" s="164" t="s">
        <v>95</v>
      </c>
      <c r="Q28" s="165"/>
      <c r="R28" s="165"/>
      <c r="S28" s="174" t="s">
        <v>135</v>
      </c>
      <c r="T28" s="205"/>
      <c r="U28" s="205"/>
      <c r="V28" s="202" t="s">
        <v>288</v>
      </c>
      <c r="W28" s="203"/>
      <c r="X28" s="203"/>
      <c r="Y28" s="203"/>
      <c r="Z28" s="203"/>
      <c r="AA28" s="204"/>
      <c r="AB28" s="212"/>
      <c r="AC28" s="213"/>
      <c r="AD28" s="213"/>
      <c r="AE28" s="213"/>
      <c r="AF28" s="213"/>
      <c r="AG28" s="213"/>
      <c r="AH28" s="213"/>
      <c r="AI28" s="213"/>
      <c r="AJ28" s="213"/>
      <c r="AK28" s="213"/>
      <c r="AL28" s="213"/>
      <c r="AM28" s="213"/>
      <c r="AN28" s="213"/>
      <c r="AO28" s="213"/>
      <c r="AP28" s="213"/>
      <c r="AQ28" s="214"/>
      <c r="AR28" s="164"/>
      <c r="AS28" s="165"/>
      <c r="AT28" s="165"/>
      <c r="AU28" s="165"/>
      <c r="AV28" s="165"/>
      <c r="AW28" s="166"/>
      <c r="AX28" s="202"/>
      <c r="AY28" s="203"/>
      <c r="AZ28" s="203"/>
      <c r="BA28" s="203"/>
      <c r="BB28" s="203"/>
      <c r="BC28" s="203"/>
      <c r="BD28" s="203"/>
      <c r="BE28" s="203"/>
      <c r="BF28" s="203"/>
      <c r="BG28" s="203"/>
      <c r="BH28" s="203"/>
      <c r="BI28" s="203"/>
      <c r="BJ28" s="203"/>
      <c r="BK28" s="203"/>
      <c r="BL28" s="203"/>
      <c r="BM28" s="203"/>
      <c r="BN28" s="203"/>
      <c r="BO28" s="203"/>
      <c r="BP28" s="203"/>
      <c r="BQ28" s="203"/>
      <c r="BR28" s="203"/>
      <c r="BS28" s="203"/>
      <c r="BT28" s="207"/>
      <c r="BU28" s="41"/>
      <c r="BV28" s="40"/>
      <c r="BW28" s="41"/>
      <c r="BX28" s="41"/>
      <c r="BY28" s="41"/>
      <c r="BZ28" s="41"/>
      <c r="CA28" s="41"/>
      <c r="CB28" s="41"/>
      <c r="CC28" s="41"/>
      <c r="CD28" s="41"/>
      <c r="CE28" s="41"/>
      <c r="CF28" s="41"/>
      <c r="CG28" s="41"/>
    </row>
    <row r="29" spans="1:85" ht="19.5" customHeight="1" x14ac:dyDescent="0.45">
      <c r="A29" s="29"/>
      <c r="B29" s="44"/>
      <c r="C29"/>
      <c r="D29" s="37">
        <v>19</v>
      </c>
      <c r="E29" s="194" t="s">
        <v>94</v>
      </c>
      <c r="F29" s="195"/>
      <c r="G29" s="195"/>
      <c r="H29" s="195"/>
      <c r="I29" s="195"/>
      <c r="J29" s="195"/>
      <c r="K29" s="195"/>
      <c r="L29" s="196"/>
      <c r="M29" s="164" t="s">
        <v>47</v>
      </c>
      <c r="N29" s="165"/>
      <c r="O29" s="165"/>
      <c r="P29" s="164" t="s">
        <v>95</v>
      </c>
      <c r="Q29" s="165"/>
      <c r="R29" s="165"/>
      <c r="S29" s="174" t="s">
        <v>135</v>
      </c>
      <c r="T29" s="205"/>
      <c r="U29" s="205"/>
      <c r="V29" s="202" t="s">
        <v>289</v>
      </c>
      <c r="W29" s="203"/>
      <c r="X29" s="203"/>
      <c r="Y29" s="203"/>
      <c r="Z29" s="203"/>
      <c r="AA29" s="204"/>
      <c r="AB29" s="212"/>
      <c r="AC29" s="213"/>
      <c r="AD29" s="213"/>
      <c r="AE29" s="213"/>
      <c r="AF29" s="213"/>
      <c r="AG29" s="213"/>
      <c r="AH29" s="213"/>
      <c r="AI29" s="213"/>
      <c r="AJ29" s="213"/>
      <c r="AK29" s="213"/>
      <c r="AL29" s="213"/>
      <c r="AM29" s="213"/>
      <c r="AN29" s="213"/>
      <c r="AO29" s="213"/>
      <c r="AP29" s="213"/>
      <c r="AQ29" s="214"/>
      <c r="AR29" s="164"/>
      <c r="AS29" s="165"/>
      <c r="AT29" s="165"/>
      <c r="AU29" s="165"/>
      <c r="AV29" s="165"/>
      <c r="AW29" s="166"/>
      <c r="AX29" s="202"/>
      <c r="AY29" s="203"/>
      <c r="AZ29" s="203"/>
      <c r="BA29" s="203"/>
      <c r="BB29" s="203"/>
      <c r="BC29" s="203"/>
      <c r="BD29" s="203"/>
      <c r="BE29" s="203"/>
      <c r="BF29" s="203"/>
      <c r="BG29" s="203"/>
      <c r="BH29" s="203"/>
      <c r="BI29" s="203"/>
      <c r="BJ29" s="203"/>
      <c r="BK29" s="203"/>
      <c r="BL29" s="203"/>
      <c r="BM29" s="203"/>
      <c r="BN29" s="203"/>
      <c r="BO29" s="203"/>
      <c r="BP29" s="203"/>
      <c r="BQ29" s="203"/>
      <c r="BR29" s="203"/>
      <c r="BS29" s="203"/>
      <c r="BT29" s="207"/>
      <c r="BU29" s="41"/>
      <c r="BV29" s="40"/>
      <c r="BW29" s="41"/>
      <c r="BX29" s="41"/>
      <c r="BY29" s="41"/>
      <c r="BZ29" s="41"/>
      <c r="CA29" s="41"/>
      <c r="CB29" s="41"/>
      <c r="CC29" s="41"/>
      <c r="CD29" s="41"/>
      <c r="CE29" s="41"/>
      <c r="CF29" s="41"/>
      <c r="CG29" s="41"/>
    </row>
    <row r="30" spans="1:85" ht="20.100000000000001" customHeight="1" thickBot="1" x14ac:dyDescent="0.5">
      <c r="A30" s="29"/>
      <c r="B30" s="44"/>
      <c r="C30"/>
      <c r="D30" s="37">
        <v>20</v>
      </c>
      <c r="E30" s="188"/>
      <c r="F30" s="189"/>
      <c r="G30" s="189"/>
      <c r="H30" s="189"/>
      <c r="I30" s="189"/>
      <c r="J30" s="189"/>
      <c r="K30" s="189"/>
      <c r="L30" s="190"/>
      <c r="M30" s="191"/>
      <c r="N30" s="192"/>
      <c r="O30" s="193"/>
      <c r="P30" s="191"/>
      <c r="Q30" s="192"/>
      <c r="R30" s="192"/>
      <c r="S30" s="191"/>
      <c r="T30" s="192"/>
      <c r="U30" s="192"/>
      <c r="V30" s="208"/>
      <c r="W30" s="209"/>
      <c r="X30" s="209"/>
      <c r="Y30" s="209"/>
      <c r="Z30" s="209"/>
      <c r="AA30" s="210"/>
      <c r="AB30" s="215"/>
      <c r="AC30" s="216"/>
      <c r="AD30" s="216"/>
      <c r="AE30" s="216"/>
      <c r="AF30" s="216"/>
      <c r="AG30" s="216"/>
      <c r="AH30" s="216"/>
      <c r="AI30" s="216"/>
      <c r="AJ30" s="216"/>
      <c r="AK30" s="216"/>
      <c r="AL30" s="216"/>
      <c r="AM30" s="216"/>
      <c r="AN30" s="216"/>
      <c r="AO30" s="216"/>
      <c r="AP30" s="216"/>
      <c r="AQ30" s="217"/>
      <c r="AR30" s="191"/>
      <c r="AS30" s="192"/>
      <c r="AT30" s="192"/>
      <c r="AU30" s="192"/>
      <c r="AV30" s="192"/>
      <c r="AW30" s="193"/>
      <c r="AX30" s="208"/>
      <c r="AY30" s="209"/>
      <c r="AZ30" s="209"/>
      <c r="BA30" s="209"/>
      <c r="BB30" s="209"/>
      <c r="BC30" s="209"/>
      <c r="BD30" s="209"/>
      <c r="BE30" s="209"/>
      <c r="BF30" s="209"/>
      <c r="BG30" s="209"/>
      <c r="BH30" s="209"/>
      <c r="BI30" s="209"/>
      <c r="BJ30" s="209"/>
      <c r="BK30" s="209"/>
      <c r="BL30" s="209"/>
      <c r="BM30" s="209"/>
      <c r="BN30" s="209"/>
      <c r="BO30" s="209"/>
      <c r="BP30" s="209"/>
      <c r="BQ30" s="209"/>
      <c r="BR30" s="209"/>
      <c r="BS30" s="209"/>
      <c r="BT30" s="218"/>
      <c r="BU30" s="41"/>
      <c r="BV30" s="40"/>
      <c r="BW30" s="41"/>
      <c r="BX30" s="41"/>
      <c r="BY30" s="41"/>
      <c r="BZ30" s="41"/>
      <c r="CA30" s="41"/>
      <c r="CB30" s="41"/>
      <c r="CC30" s="41"/>
      <c r="CD30" s="41"/>
      <c r="CE30" s="41"/>
      <c r="CF30" s="41"/>
      <c r="CG30" s="41"/>
    </row>
    <row r="31" spans="1:85" ht="20.100000000000001" customHeight="1" thickTop="1" thickBot="1" x14ac:dyDescent="0.5">
      <c r="A31" s="29"/>
      <c r="B31" s="40"/>
      <c r="C31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46"/>
      <c r="BR31" s="46"/>
      <c r="BS31" s="46"/>
      <c r="BT31" s="46"/>
      <c r="BU31" s="28"/>
    </row>
    <row r="32" spans="1:85" ht="20.100000000000001" customHeight="1" thickTop="1" x14ac:dyDescent="0.45">
      <c r="A32" s="29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33"/>
      <c r="BD32" s="33"/>
      <c r="BE32" s="33"/>
      <c r="BF32" s="33"/>
      <c r="BG32" s="33"/>
      <c r="BH32" s="33"/>
      <c r="BI32" s="42"/>
      <c r="BJ32" s="42"/>
      <c r="BK32" s="42"/>
      <c r="BL32" s="42"/>
      <c r="BM32" s="42"/>
      <c r="BN32" s="42"/>
      <c r="BO32" s="42"/>
      <c r="BP32" s="41"/>
    </row>
    <row r="33" spans="2:68" ht="20.100000000000001" customHeight="1" x14ac:dyDescent="0.45"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</row>
    <row r="34" spans="2:68" ht="20.100000000000001" customHeight="1" x14ac:dyDescent="0.45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31"/>
      <c r="BH34" s="31"/>
      <c r="BI34" s="31"/>
      <c r="BJ34" s="31"/>
      <c r="BK34" s="31"/>
      <c r="BL34" s="31"/>
      <c r="BM34" s="31"/>
      <c r="BN34" s="31"/>
      <c r="BO34" s="31"/>
      <c r="BP34" s="31"/>
    </row>
    <row r="35" spans="2:68" ht="20.100000000000001" customHeight="1" x14ac:dyDescent="0.45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31"/>
      <c r="BH35" s="31"/>
      <c r="BI35" s="31"/>
      <c r="BJ35" s="31"/>
      <c r="BK35" s="31"/>
      <c r="BL35" s="31"/>
      <c r="BM35" s="31"/>
      <c r="BN35" s="31"/>
      <c r="BO35" s="31"/>
      <c r="BP35" s="31"/>
    </row>
    <row r="36" spans="2:68" ht="20.100000000000001" customHeight="1" x14ac:dyDescent="0.4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31"/>
      <c r="BH36" s="31"/>
      <c r="BI36" s="31"/>
      <c r="BJ36" s="31"/>
      <c r="BK36" s="31"/>
      <c r="BL36" s="31"/>
      <c r="BM36" s="31"/>
      <c r="BN36" s="31"/>
      <c r="BO36" s="31"/>
      <c r="BP36" s="31"/>
    </row>
    <row r="37" spans="2:68" ht="20.100000000000001" customHeight="1" x14ac:dyDescent="0.45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31"/>
      <c r="BH37" s="31"/>
      <c r="BI37" s="31"/>
      <c r="BJ37" s="31"/>
      <c r="BK37" s="31"/>
      <c r="BL37" s="31"/>
      <c r="BM37" s="31"/>
      <c r="BN37" s="31"/>
      <c r="BO37" s="31"/>
      <c r="BP37" s="31"/>
    </row>
    <row r="38" spans="2:68" ht="20.100000000000001" customHeight="1" x14ac:dyDescent="0.45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31"/>
      <c r="BH38" s="31"/>
      <c r="BI38" s="31"/>
      <c r="BJ38" s="31"/>
      <c r="BK38" s="31"/>
      <c r="BL38" s="31"/>
      <c r="BM38" s="31"/>
      <c r="BN38" s="31"/>
      <c r="BO38" s="31"/>
      <c r="BP38" s="31"/>
    </row>
    <row r="39" spans="2:68" ht="20.100000000000001" customHeight="1" x14ac:dyDescent="0.45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31"/>
      <c r="BH39" s="31"/>
      <c r="BI39" s="31"/>
      <c r="BJ39" s="31"/>
      <c r="BK39" s="31"/>
      <c r="BL39" s="31"/>
      <c r="BM39" s="31"/>
      <c r="BN39" s="31"/>
      <c r="BO39" s="31"/>
      <c r="BP39" s="31"/>
    </row>
    <row r="40" spans="2:68" ht="20.100000000000001" customHeight="1" x14ac:dyDescent="0.45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  <c r="BC40" s="41"/>
      <c r="BD40" s="41"/>
      <c r="BE40" s="41"/>
      <c r="BF40" s="41"/>
      <c r="BG40" s="31"/>
      <c r="BH40" s="31"/>
      <c r="BI40" s="31"/>
      <c r="BJ40" s="31"/>
      <c r="BK40" s="31"/>
      <c r="BL40" s="31"/>
      <c r="BM40" s="31"/>
      <c r="BN40" s="31"/>
      <c r="BO40" s="31"/>
      <c r="BP40" s="31"/>
    </row>
    <row r="41" spans="2:68" ht="20.100000000000001" customHeight="1" x14ac:dyDescent="0.45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31"/>
      <c r="BH41" s="31"/>
      <c r="BI41" s="31"/>
      <c r="BJ41" s="31"/>
      <c r="BK41" s="31"/>
      <c r="BL41" s="31"/>
      <c r="BM41" s="31"/>
      <c r="BN41" s="31"/>
      <c r="BO41" s="31"/>
      <c r="BP41" s="31"/>
    </row>
    <row r="42" spans="2:68" ht="20.100000000000001" customHeight="1" x14ac:dyDescent="0.45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31"/>
      <c r="BH42" s="31"/>
      <c r="BI42" s="31"/>
      <c r="BJ42" s="31"/>
      <c r="BK42" s="31"/>
      <c r="BL42" s="31"/>
      <c r="BM42" s="31"/>
      <c r="BN42" s="31"/>
      <c r="BO42" s="31"/>
      <c r="BP42" s="31"/>
    </row>
    <row r="43" spans="2:68" ht="20.100000000000001" customHeight="1" x14ac:dyDescent="0.45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31"/>
      <c r="BH43" s="31"/>
      <c r="BI43" s="31"/>
      <c r="BJ43" s="31"/>
      <c r="BK43" s="31"/>
      <c r="BL43" s="31"/>
      <c r="BM43" s="31"/>
      <c r="BN43" s="31"/>
      <c r="BO43" s="31"/>
      <c r="BP43" s="31"/>
    </row>
    <row r="44" spans="2:68" ht="20.100000000000001" customHeight="1" x14ac:dyDescent="0.45"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</row>
    <row r="45" spans="2:68" ht="20.100000000000001" customHeight="1" x14ac:dyDescent="0.45">
      <c r="B45" s="3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</row>
    <row r="46" spans="2:68" ht="20.100000000000001" customHeight="1" x14ac:dyDescent="0.45"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31"/>
      <c r="BP46" s="31"/>
    </row>
    <row r="47" spans="2:68" ht="20.100000000000001" customHeight="1" x14ac:dyDescent="0.45"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31"/>
      <c r="BP47" s="31"/>
    </row>
    <row r="48" spans="2:68" ht="20.100000000000001" customHeight="1" x14ac:dyDescent="0.45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  <c r="BC48" s="41"/>
      <c r="BD48" s="41"/>
      <c r="BE48" s="41"/>
      <c r="BF48" s="41"/>
      <c r="BG48" s="41"/>
      <c r="BH48" s="41"/>
      <c r="BI48" s="41"/>
      <c r="BJ48" s="41"/>
      <c r="BK48" s="41"/>
      <c r="BL48" s="41"/>
      <c r="BM48" s="41"/>
      <c r="BN48" s="41"/>
      <c r="BO48" s="31"/>
      <c r="BP48" s="31"/>
    </row>
    <row r="49" spans="1:68" ht="20.100000000000001" customHeight="1" x14ac:dyDescent="0.45">
      <c r="A49" s="29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31"/>
      <c r="BP49" s="31"/>
    </row>
    <row r="50" spans="1:68" ht="20.100000000000001" customHeight="1" x14ac:dyDescent="0.45">
      <c r="A50" s="29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31"/>
      <c r="BP50" s="31"/>
    </row>
    <row r="51" spans="1:68" ht="20.100000000000001" customHeight="1" x14ac:dyDescent="0.4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</row>
    <row r="52" spans="1:68" ht="20.100000000000001" customHeight="1" x14ac:dyDescent="0.4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</row>
    <row r="53" spans="1:68" ht="20.100000000000001" customHeight="1" x14ac:dyDescent="0.4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</row>
  </sheetData>
  <mergeCells count="188">
    <mergeCell ref="AR30:AW30"/>
    <mergeCell ref="AR10:AW10"/>
    <mergeCell ref="AR11:AW11"/>
    <mergeCell ref="AR12:AW12"/>
    <mergeCell ref="AR13:AW13"/>
    <mergeCell ref="AR14:AW14"/>
    <mergeCell ref="AR15:AW15"/>
    <mergeCell ref="AR16:AW16"/>
    <mergeCell ref="AR17:AW17"/>
    <mergeCell ref="AR18:AW18"/>
    <mergeCell ref="AR19:AW19"/>
    <mergeCell ref="AR20:AW20"/>
    <mergeCell ref="AR21:AW21"/>
    <mergeCell ref="AR22:AW22"/>
    <mergeCell ref="AR23:AW23"/>
    <mergeCell ref="AR24:AW24"/>
    <mergeCell ref="AR25:AW25"/>
    <mergeCell ref="AR26:AW26"/>
    <mergeCell ref="AR27:AW27"/>
    <mergeCell ref="AR28:AW28"/>
    <mergeCell ref="AR29:AW29"/>
    <mergeCell ref="AB29:AQ29"/>
    <mergeCell ref="AB30:AQ30"/>
    <mergeCell ref="AB24:AQ24"/>
    <mergeCell ref="AB25:AQ25"/>
    <mergeCell ref="AB26:AQ26"/>
    <mergeCell ref="AB27:AQ27"/>
    <mergeCell ref="AB28:AQ28"/>
    <mergeCell ref="AX30:BT30"/>
    <mergeCell ref="AB10:AQ10"/>
    <mergeCell ref="AB11:AQ11"/>
    <mergeCell ref="AB12:AQ12"/>
    <mergeCell ref="AB13:AQ13"/>
    <mergeCell ref="AB14:AQ14"/>
    <mergeCell ref="AB15:AQ15"/>
    <mergeCell ref="AB16:AQ16"/>
    <mergeCell ref="AB17:AQ17"/>
    <mergeCell ref="AB18:AQ18"/>
    <mergeCell ref="AB19:AQ19"/>
    <mergeCell ref="AB20:AQ20"/>
    <mergeCell ref="AB21:AQ21"/>
    <mergeCell ref="AB22:AQ22"/>
    <mergeCell ref="AB23:AQ23"/>
    <mergeCell ref="AX25:BT25"/>
    <mergeCell ref="AX26:BT26"/>
    <mergeCell ref="AX27:BT27"/>
    <mergeCell ref="AX28:BT28"/>
    <mergeCell ref="AX29:BT29"/>
    <mergeCell ref="AX20:BT20"/>
    <mergeCell ref="AX21:BT21"/>
    <mergeCell ref="AX22:BT22"/>
    <mergeCell ref="AX23:BT23"/>
    <mergeCell ref="AX24:BT24"/>
    <mergeCell ref="AX15:BT15"/>
    <mergeCell ref="AX16:BT16"/>
    <mergeCell ref="AX17:BT17"/>
    <mergeCell ref="AX18:BT18"/>
    <mergeCell ref="AX19:BT19"/>
    <mergeCell ref="AX10:BT10"/>
    <mergeCell ref="AX11:BT11"/>
    <mergeCell ref="AX12:BT12"/>
    <mergeCell ref="AX13:BT13"/>
    <mergeCell ref="AX14:BT14"/>
    <mergeCell ref="V29:AA29"/>
    <mergeCell ref="V30:AA30"/>
    <mergeCell ref="S10:U10"/>
    <mergeCell ref="S24:U24"/>
    <mergeCell ref="S25:U25"/>
    <mergeCell ref="S26:U26"/>
    <mergeCell ref="S27:U27"/>
    <mergeCell ref="S28:U28"/>
    <mergeCell ref="S29:U29"/>
    <mergeCell ref="V10:AA10"/>
    <mergeCell ref="S30:U30"/>
    <mergeCell ref="V11:AA11"/>
    <mergeCell ref="V12:AA12"/>
    <mergeCell ref="V13:AA13"/>
    <mergeCell ref="V14:AA14"/>
    <mergeCell ref="V15:AA15"/>
    <mergeCell ref="V16:AA16"/>
    <mergeCell ref="V17:AA17"/>
    <mergeCell ref="V18:AA18"/>
    <mergeCell ref="P29:R29"/>
    <mergeCell ref="P30:R30"/>
    <mergeCell ref="S11:U11"/>
    <mergeCell ref="S12:U12"/>
    <mergeCell ref="S13:U13"/>
    <mergeCell ref="S14:U14"/>
    <mergeCell ref="S15:U15"/>
    <mergeCell ref="S16:U16"/>
    <mergeCell ref="S17:U17"/>
    <mergeCell ref="S18:U18"/>
    <mergeCell ref="S19:U19"/>
    <mergeCell ref="S20:U20"/>
    <mergeCell ref="S21:U21"/>
    <mergeCell ref="S22:U22"/>
    <mergeCell ref="S23:U23"/>
    <mergeCell ref="P24:R24"/>
    <mergeCell ref="P25:R25"/>
    <mergeCell ref="P26:R26"/>
    <mergeCell ref="P27:R27"/>
    <mergeCell ref="P28:R28"/>
    <mergeCell ref="V24:AA24"/>
    <mergeCell ref="V25:AA25"/>
    <mergeCell ref="V26:AA26"/>
    <mergeCell ref="V27:AA27"/>
    <mergeCell ref="V28:AA28"/>
    <mergeCell ref="P19:R19"/>
    <mergeCell ref="P20:R20"/>
    <mergeCell ref="P21:R21"/>
    <mergeCell ref="P22:R22"/>
    <mergeCell ref="P23:R23"/>
    <mergeCell ref="V23:AA23"/>
    <mergeCell ref="V19:AA19"/>
    <mergeCell ref="V20:AA20"/>
    <mergeCell ref="V21:AA21"/>
    <mergeCell ref="V22:AA22"/>
    <mergeCell ref="X2:AJ2"/>
    <mergeCell ref="X3:AJ4"/>
    <mergeCell ref="M20:O20"/>
    <mergeCell ref="M21:O21"/>
    <mergeCell ref="M22:O22"/>
    <mergeCell ref="M23:O23"/>
    <mergeCell ref="R3:W4"/>
    <mergeCell ref="P10:R10"/>
    <mergeCell ref="P11:R11"/>
    <mergeCell ref="P12:R12"/>
    <mergeCell ref="P13:R13"/>
    <mergeCell ref="P14:R14"/>
    <mergeCell ref="P15:R15"/>
    <mergeCell ref="P16:R16"/>
    <mergeCell ref="P17:R17"/>
    <mergeCell ref="P18:R18"/>
    <mergeCell ref="E20:L20"/>
    <mergeCell ref="E21:L21"/>
    <mergeCell ref="E22:L22"/>
    <mergeCell ref="E14:L14"/>
    <mergeCell ref="E15:L15"/>
    <mergeCell ref="M10:O10"/>
    <mergeCell ref="M11:O11"/>
    <mergeCell ref="M12:O12"/>
    <mergeCell ref="M13:O13"/>
    <mergeCell ref="M14:O14"/>
    <mergeCell ref="M19:O19"/>
    <mergeCell ref="E18:L18"/>
    <mergeCell ref="E19:L19"/>
    <mergeCell ref="M15:O15"/>
    <mergeCell ref="M16:O16"/>
    <mergeCell ref="M17:O17"/>
    <mergeCell ref="M18:O18"/>
    <mergeCell ref="E16:L16"/>
    <mergeCell ref="E17:L17"/>
    <mergeCell ref="B3:G4"/>
    <mergeCell ref="H3:K4"/>
    <mergeCell ref="L3:Q4"/>
    <mergeCell ref="E12:L12"/>
    <mergeCell ref="E13:L13"/>
    <mergeCell ref="B2:G2"/>
    <mergeCell ref="H2:K2"/>
    <mergeCell ref="L2:Q2"/>
    <mergeCell ref="R2:W2"/>
    <mergeCell ref="E10:L10"/>
    <mergeCell ref="E11:L11"/>
    <mergeCell ref="AK2:AW2"/>
    <mergeCell ref="BJ3:BM4"/>
    <mergeCell ref="AX2:BA2"/>
    <mergeCell ref="BB2:BE2"/>
    <mergeCell ref="BF2:BI2"/>
    <mergeCell ref="BJ2:BM2"/>
    <mergeCell ref="AX3:BA4"/>
    <mergeCell ref="BB3:BE4"/>
    <mergeCell ref="BF3:BI4"/>
    <mergeCell ref="AK3:AW4"/>
    <mergeCell ref="E30:L30"/>
    <mergeCell ref="M26:O26"/>
    <mergeCell ref="M27:O27"/>
    <mergeCell ref="M28:O28"/>
    <mergeCell ref="M29:O29"/>
    <mergeCell ref="M30:O30"/>
    <mergeCell ref="E23:L23"/>
    <mergeCell ref="E26:L26"/>
    <mergeCell ref="E27:L27"/>
    <mergeCell ref="E28:L28"/>
    <mergeCell ref="E29:L29"/>
    <mergeCell ref="E25:L25"/>
    <mergeCell ref="E24:L24"/>
    <mergeCell ref="M24:O24"/>
    <mergeCell ref="M25:O25"/>
  </mergeCells>
  <phoneticPr fontId="1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>
          <x14:formula1>
            <xm:f>参照!$A$1:$A$6</xm:f>
          </x14:formula1>
          <xm:sqref>M11:O30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B1:BM169"/>
  <sheetViews>
    <sheetView topLeftCell="A28" zoomScaleNormal="100" zoomScaleSheetLayoutView="100" workbookViewId="0">
      <selection activeCell="R36" sqref="R36"/>
    </sheetView>
  </sheetViews>
  <sheetFormatPr defaultColWidth="3.59765625" defaultRowHeight="20.100000000000001" customHeight="1" x14ac:dyDescent="0.45"/>
  <cols>
    <col min="1" max="1" width="0.8984375" style="6" customWidth="1"/>
    <col min="2" max="8" width="3.59765625" style="6"/>
    <col min="9" max="9" width="3.8984375" style="6" customWidth="1"/>
    <col min="10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8" t="s">
        <v>0</v>
      </c>
      <c r="C2" s="223"/>
      <c r="D2" s="223"/>
      <c r="E2" s="223"/>
      <c r="F2" s="223"/>
      <c r="G2" s="223"/>
      <c r="H2" s="223" t="s">
        <v>17</v>
      </c>
      <c r="I2" s="223"/>
      <c r="J2" s="223"/>
      <c r="K2" s="223"/>
      <c r="L2" s="223" t="s">
        <v>293</v>
      </c>
      <c r="M2" s="223"/>
      <c r="N2" s="223"/>
      <c r="O2" s="223"/>
      <c r="P2" s="223"/>
      <c r="Q2" s="223"/>
      <c r="R2" s="223" t="s">
        <v>2</v>
      </c>
      <c r="S2" s="223"/>
      <c r="T2" s="223"/>
      <c r="U2" s="223"/>
      <c r="V2" s="223"/>
      <c r="W2" s="223"/>
      <c r="X2" s="229" t="s">
        <v>3</v>
      </c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1"/>
      <c r="AK2" s="229" t="s">
        <v>32</v>
      </c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1"/>
      <c r="AX2" s="223" t="s">
        <v>5</v>
      </c>
      <c r="AY2" s="223"/>
      <c r="AZ2" s="223"/>
      <c r="BA2" s="223"/>
      <c r="BB2" s="223" t="s">
        <v>4</v>
      </c>
      <c r="BC2" s="223"/>
      <c r="BD2" s="223"/>
      <c r="BE2" s="223"/>
      <c r="BF2" s="223" t="s">
        <v>6</v>
      </c>
      <c r="BG2" s="223"/>
      <c r="BH2" s="223"/>
      <c r="BI2" s="223"/>
      <c r="BJ2" s="223" t="s">
        <v>7</v>
      </c>
      <c r="BK2" s="223"/>
      <c r="BL2" s="223"/>
      <c r="BM2" s="224"/>
    </row>
    <row r="3" spans="2:65" ht="20.100000000000001" customHeight="1" x14ac:dyDescent="0.45">
      <c r="B3" s="232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SU1000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SU1000_ウエルシア中日施工集計表_帳票設計書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ウエルシア中日施工集計表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45581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45581</v>
      </c>
      <c r="BG3" s="171"/>
      <c r="BH3" s="171"/>
      <c r="BI3" s="171"/>
      <c r="BJ3" s="172" t="str">
        <f>変更履歴!BJ3</f>
        <v>大谷</v>
      </c>
      <c r="BK3" s="172"/>
      <c r="BL3" s="172"/>
      <c r="BM3" s="221"/>
    </row>
    <row r="4" spans="2:65" ht="20.100000000000001" customHeight="1" thickBot="1" x14ac:dyDescent="0.5">
      <c r="B4" s="233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5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7"/>
      <c r="AK4" s="225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7"/>
      <c r="AX4" s="219"/>
      <c r="AY4" s="219"/>
      <c r="AZ4" s="219"/>
      <c r="BA4" s="219"/>
      <c r="BB4" s="220"/>
      <c r="BC4" s="220"/>
      <c r="BD4" s="220"/>
      <c r="BE4" s="220"/>
      <c r="BF4" s="219"/>
      <c r="BG4" s="219"/>
      <c r="BH4" s="219"/>
      <c r="BI4" s="219"/>
      <c r="BJ4" s="220"/>
      <c r="BK4" s="220"/>
      <c r="BL4" s="220"/>
      <c r="BM4" s="222"/>
    </row>
    <row r="5" spans="2:65" ht="5.0999999999999996" customHeight="1" thickBot="1" x14ac:dyDescent="0.5"/>
    <row r="6" spans="2:65" ht="20.100000000000001" customHeight="1" x14ac:dyDescent="0.45">
      <c r="B6" s="121" t="s">
        <v>136</v>
      </c>
      <c r="C6" s="122"/>
      <c r="D6" s="122"/>
      <c r="E6" s="122"/>
      <c r="F6" s="122"/>
      <c r="G6" s="123"/>
      <c r="H6" s="124" t="s">
        <v>137</v>
      </c>
      <c r="I6" s="122"/>
      <c r="J6" s="152" t="s">
        <v>139</v>
      </c>
      <c r="K6" s="153"/>
      <c r="L6" s="153"/>
      <c r="M6" s="153"/>
      <c r="N6" s="153"/>
      <c r="O6" s="153"/>
      <c r="P6" s="153"/>
      <c r="Q6" s="154"/>
      <c r="R6" s="152" t="s">
        <v>157</v>
      </c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3"/>
      <c r="AJ6" s="154"/>
      <c r="AK6" s="125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6"/>
    </row>
    <row r="7" spans="2:65" ht="20.100000000000001" customHeight="1" x14ac:dyDescent="0.45">
      <c r="B7" s="155" t="s">
        <v>195</v>
      </c>
      <c r="C7" s="31"/>
      <c r="D7" s="31"/>
      <c r="E7" s="31"/>
      <c r="F7" s="31"/>
      <c r="G7" s="128"/>
      <c r="H7" s="129"/>
      <c r="I7" s="31"/>
      <c r="J7" s="156" t="s">
        <v>141</v>
      </c>
      <c r="K7" s="52"/>
      <c r="L7" s="52"/>
      <c r="M7" s="52"/>
      <c r="N7" s="52"/>
      <c r="O7" s="52"/>
      <c r="P7" s="52"/>
      <c r="Q7" s="157"/>
      <c r="R7" s="156" t="s">
        <v>157</v>
      </c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157"/>
      <c r="AK7" s="130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131"/>
    </row>
    <row r="8" spans="2:65" ht="20.100000000000001" customHeight="1" x14ac:dyDescent="0.45">
      <c r="B8" s="155"/>
      <c r="C8" s="31"/>
      <c r="D8" s="31"/>
      <c r="E8" s="31"/>
      <c r="F8" s="31"/>
      <c r="G8" s="128"/>
      <c r="H8" s="129"/>
      <c r="I8" s="31"/>
      <c r="J8" s="156" t="s">
        <v>142</v>
      </c>
      <c r="K8" s="52"/>
      <c r="L8" s="52"/>
      <c r="M8" s="52"/>
      <c r="N8" s="52"/>
      <c r="O8" s="52"/>
      <c r="P8" s="52"/>
      <c r="Q8" s="157"/>
      <c r="R8" s="156" t="s">
        <v>157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57"/>
      <c r="AK8" s="130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1"/>
    </row>
    <row r="9" spans="2:65" ht="20.100000000000001" customHeight="1" x14ac:dyDescent="0.45">
      <c r="B9" s="155"/>
      <c r="C9" s="31"/>
      <c r="D9" s="31"/>
      <c r="E9" s="31"/>
      <c r="F9" s="31"/>
      <c r="G9" s="128"/>
      <c r="H9" s="129"/>
      <c r="I9" s="31"/>
      <c r="J9" s="156" t="s">
        <v>144</v>
      </c>
      <c r="K9" s="52"/>
      <c r="L9" s="52"/>
      <c r="M9" s="52"/>
      <c r="N9" s="52"/>
      <c r="O9" s="52"/>
      <c r="P9" s="52"/>
      <c r="Q9" s="157"/>
      <c r="R9" s="156" t="s">
        <v>157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57"/>
      <c r="AK9" s="130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131"/>
    </row>
    <row r="10" spans="2:65" ht="20.100000000000001" customHeight="1" x14ac:dyDescent="0.45">
      <c r="B10" s="155"/>
      <c r="C10" s="31"/>
      <c r="D10" s="31"/>
      <c r="E10" s="31"/>
      <c r="F10" s="31"/>
      <c r="G10" s="128"/>
      <c r="H10" s="129"/>
      <c r="I10" s="31"/>
      <c r="J10" s="156" t="s">
        <v>146</v>
      </c>
      <c r="K10" s="52"/>
      <c r="L10" s="52"/>
      <c r="M10" s="52"/>
      <c r="N10" s="52"/>
      <c r="O10" s="52"/>
      <c r="P10" s="52"/>
      <c r="Q10" s="157"/>
      <c r="R10" s="156" t="s">
        <v>157</v>
      </c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157"/>
      <c r="AK10" s="130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1"/>
    </row>
    <row r="11" spans="2:65" ht="20.100000000000001" customHeight="1" x14ac:dyDescent="0.45">
      <c r="B11" s="155"/>
      <c r="C11" s="31"/>
      <c r="D11" s="31"/>
      <c r="E11" s="31"/>
      <c r="F11" s="31"/>
      <c r="G11" s="128"/>
      <c r="H11" s="129"/>
      <c r="I11" s="31"/>
      <c r="J11" s="156" t="s">
        <v>148</v>
      </c>
      <c r="K11" s="52"/>
      <c r="L11" s="52"/>
      <c r="M11" s="52"/>
      <c r="N11" s="52"/>
      <c r="O11" s="52"/>
      <c r="P11" s="52"/>
      <c r="Q11" s="157"/>
      <c r="R11" s="156" t="s">
        <v>157</v>
      </c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157"/>
      <c r="AK11" s="130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1"/>
    </row>
    <row r="12" spans="2:65" ht="20.100000000000001" customHeight="1" x14ac:dyDescent="0.45">
      <c r="B12" s="155"/>
      <c r="C12" s="31"/>
      <c r="D12" s="31"/>
      <c r="E12" s="31"/>
      <c r="F12" s="31"/>
      <c r="G12" s="128"/>
      <c r="H12" s="129"/>
      <c r="I12" s="31"/>
      <c r="J12" s="156" t="s">
        <v>150</v>
      </c>
      <c r="K12" s="52"/>
      <c r="L12" s="52"/>
      <c r="M12" s="52"/>
      <c r="N12" s="52"/>
      <c r="O12" s="52"/>
      <c r="P12" s="52"/>
      <c r="Q12" s="157"/>
      <c r="R12" s="156" t="s">
        <v>157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157"/>
      <c r="AK12" s="130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1"/>
    </row>
    <row r="13" spans="2:65" ht="20.100000000000001" customHeight="1" x14ac:dyDescent="0.45">
      <c r="B13" s="155"/>
      <c r="C13" s="31"/>
      <c r="D13" s="31"/>
      <c r="E13" s="31"/>
      <c r="F13" s="31"/>
      <c r="G13" s="128"/>
      <c r="H13" s="31"/>
      <c r="I13" s="31"/>
      <c r="J13" s="156" t="s">
        <v>152</v>
      </c>
      <c r="K13" s="52"/>
      <c r="L13" s="52"/>
      <c r="M13" s="52"/>
      <c r="N13" s="52"/>
      <c r="O13" s="52"/>
      <c r="P13" s="52"/>
      <c r="Q13" s="157"/>
      <c r="R13" s="156" t="s">
        <v>157</v>
      </c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157"/>
      <c r="AK13" s="130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1"/>
    </row>
    <row r="14" spans="2:65" ht="20.100000000000001" customHeight="1" x14ac:dyDescent="0.45">
      <c r="B14" s="155"/>
      <c r="C14" s="31"/>
      <c r="D14" s="31"/>
      <c r="E14" s="31"/>
      <c r="F14" s="31"/>
      <c r="G14" s="128"/>
      <c r="H14" s="31"/>
      <c r="I14" s="31"/>
      <c r="J14" s="156" t="s">
        <v>154</v>
      </c>
      <c r="K14" s="52"/>
      <c r="L14" s="52"/>
      <c r="M14" s="52"/>
      <c r="N14" s="52"/>
      <c r="O14" s="52"/>
      <c r="P14" s="52"/>
      <c r="Q14" s="157"/>
      <c r="R14" s="156" t="s">
        <v>157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157"/>
      <c r="AK14" s="130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131"/>
    </row>
    <row r="15" spans="2:65" ht="20.100000000000001" customHeight="1" x14ac:dyDescent="0.45">
      <c r="B15" s="155"/>
      <c r="C15" s="31"/>
      <c r="D15" s="31"/>
      <c r="E15" s="31"/>
      <c r="F15" s="31"/>
      <c r="G15" s="128"/>
      <c r="H15" s="31"/>
      <c r="I15" s="31"/>
      <c r="J15" s="156" t="s">
        <v>238</v>
      </c>
      <c r="K15" s="52"/>
      <c r="L15" s="52"/>
      <c r="M15" s="52"/>
      <c r="N15" s="52"/>
      <c r="O15" s="52"/>
      <c r="P15" s="52"/>
      <c r="Q15" s="157"/>
      <c r="R15" s="156" t="s">
        <v>157</v>
      </c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157"/>
      <c r="AK15" s="130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1"/>
    </row>
    <row r="16" spans="2:65" ht="20.100000000000001" customHeight="1" x14ac:dyDescent="0.45">
      <c r="B16" s="155"/>
      <c r="C16" s="31"/>
      <c r="D16" s="31"/>
      <c r="E16" s="31"/>
      <c r="F16" s="31"/>
      <c r="G16" s="128"/>
      <c r="H16" s="31"/>
      <c r="I16" s="31"/>
      <c r="J16" s="156" t="s">
        <v>239</v>
      </c>
      <c r="K16" s="52"/>
      <c r="L16" s="52"/>
      <c r="M16" s="52"/>
      <c r="N16" s="52"/>
      <c r="O16" s="52"/>
      <c r="P16" s="52"/>
      <c r="Q16" s="157"/>
      <c r="R16" s="156" t="s">
        <v>157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157"/>
      <c r="AK16" s="130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1"/>
    </row>
    <row r="17" spans="2:61" ht="20.100000000000001" customHeight="1" x14ac:dyDescent="0.45">
      <c r="B17" s="155"/>
      <c r="C17" s="31"/>
      <c r="D17" s="31"/>
      <c r="E17" s="31"/>
      <c r="F17" s="31"/>
      <c r="G17" s="128"/>
      <c r="I17" s="31"/>
      <c r="J17" s="156"/>
      <c r="K17" s="52"/>
      <c r="L17" s="52"/>
      <c r="M17" s="52"/>
      <c r="N17" s="52"/>
      <c r="O17" s="52"/>
      <c r="P17" s="52"/>
      <c r="Q17" s="157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157"/>
      <c r="AK17" s="130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1"/>
    </row>
    <row r="18" spans="2:61" ht="20.100000000000001" customHeight="1" x14ac:dyDescent="0.45">
      <c r="B18" s="155"/>
      <c r="C18" s="31"/>
      <c r="D18" s="31"/>
      <c r="E18" s="31"/>
      <c r="F18" s="31"/>
      <c r="G18" s="128"/>
      <c r="H18" s="132" t="s">
        <v>155</v>
      </c>
      <c r="I18" s="55"/>
      <c r="J18" s="132" t="s">
        <v>156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133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134"/>
    </row>
    <row r="19" spans="2:61" ht="20.100000000000001" customHeight="1" x14ac:dyDescent="0.45">
      <c r="B19" s="160"/>
      <c r="C19" s="136"/>
      <c r="D19" s="136"/>
      <c r="E19" s="136"/>
      <c r="F19" s="136"/>
      <c r="G19" s="159"/>
      <c r="H19" s="129"/>
      <c r="I19" s="31"/>
      <c r="J19" s="129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0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1"/>
    </row>
    <row r="20" spans="2:61" ht="20.100000000000001" customHeight="1" x14ac:dyDescent="0.45">
      <c r="B20" s="127" t="s">
        <v>157</v>
      </c>
      <c r="C20" s="31"/>
      <c r="D20" s="31"/>
      <c r="E20" s="31"/>
      <c r="F20" s="31"/>
      <c r="G20" s="128"/>
      <c r="H20" s="132" t="s">
        <v>128</v>
      </c>
      <c r="I20" s="55"/>
      <c r="J20" s="156" t="s">
        <v>139</v>
      </c>
      <c r="K20" s="52"/>
      <c r="L20" s="52"/>
      <c r="M20" s="52"/>
      <c r="N20" s="52"/>
      <c r="O20" s="52"/>
      <c r="P20" s="52"/>
      <c r="Q20" s="52"/>
      <c r="R20" s="156" t="s">
        <v>186</v>
      </c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157"/>
      <c r="AK20" s="133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134"/>
    </row>
    <row r="21" spans="2:61" ht="20.100000000000001" customHeight="1" x14ac:dyDescent="0.45">
      <c r="B21" s="127"/>
      <c r="C21" s="31"/>
      <c r="D21" s="31"/>
      <c r="E21" s="31"/>
      <c r="F21" s="31"/>
      <c r="G21" s="128"/>
      <c r="H21" s="129"/>
      <c r="I21" s="31"/>
      <c r="J21" s="156" t="s">
        <v>141</v>
      </c>
      <c r="K21" s="52"/>
      <c r="L21" s="52"/>
      <c r="M21" s="52"/>
      <c r="N21" s="52"/>
      <c r="O21" s="52"/>
      <c r="P21" s="52"/>
      <c r="Q21" s="52"/>
      <c r="R21" s="156" t="s">
        <v>188</v>
      </c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157"/>
      <c r="AK21" s="130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1"/>
    </row>
    <row r="22" spans="2:61" ht="20.100000000000001" customHeight="1" x14ac:dyDescent="0.45">
      <c r="B22" s="127"/>
      <c r="C22" s="31"/>
      <c r="D22" s="31"/>
      <c r="E22" s="31"/>
      <c r="F22" s="31"/>
      <c r="G22" s="128"/>
      <c r="H22" s="129"/>
      <c r="I22" s="31"/>
      <c r="J22" s="156" t="s">
        <v>142</v>
      </c>
      <c r="K22" s="52"/>
      <c r="L22" s="52"/>
      <c r="M22" s="52"/>
      <c r="N22" s="52"/>
      <c r="O22" s="52"/>
      <c r="P22" s="52"/>
      <c r="Q22" s="52"/>
      <c r="R22" s="156" t="s">
        <v>187</v>
      </c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157"/>
      <c r="AK22" s="130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1"/>
      <c r="BG22" s="31"/>
      <c r="BH22" s="31"/>
      <c r="BI22" s="131"/>
    </row>
    <row r="23" spans="2:61" ht="20.100000000000001" customHeight="1" x14ac:dyDescent="0.45">
      <c r="B23" s="127"/>
      <c r="C23" s="31"/>
      <c r="D23" s="31"/>
      <c r="E23" s="31"/>
      <c r="F23" s="31"/>
      <c r="G23" s="128"/>
      <c r="H23" s="129"/>
      <c r="I23" s="31"/>
      <c r="J23" s="156" t="s">
        <v>144</v>
      </c>
      <c r="K23" s="52"/>
      <c r="L23" s="52"/>
      <c r="M23" s="52"/>
      <c r="N23" s="52"/>
      <c r="O23" s="52"/>
      <c r="P23" s="52"/>
      <c r="Q23" s="52"/>
      <c r="R23" s="156" t="s">
        <v>189</v>
      </c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157"/>
      <c r="AK23" s="130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1"/>
    </row>
    <row r="24" spans="2:61" ht="20.100000000000001" customHeight="1" x14ac:dyDescent="0.45">
      <c r="B24" s="127"/>
      <c r="C24" s="31"/>
      <c r="D24" s="31"/>
      <c r="E24" s="31"/>
      <c r="F24" s="31"/>
      <c r="G24" s="128"/>
      <c r="H24" s="129"/>
      <c r="I24" s="31"/>
      <c r="J24" s="156" t="s">
        <v>146</v>
      </c>
      <c r="K24" s="52"/>
      <c r="L24" s="52"/>
      <c r="M24" s="52"/>
      <c r="N24" s="52"/>
      <c r="O24" s="52"/>
      <c r="P24" s="52"/>
      <c r="Q24" s="52"/>
      <c r="R24" s="156" t="s">
        <v>190</v>
      </c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157"/>
      <c r="AK24" s="130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1"/>
    </row>
    <row r="25" spans="2:61" ht="20.100000000000001" customHeight="1" x14ac:dyDescent="0.45">
      <c r="B25" s="127"/>
      <c r="C25" s="31"/>
      <c r="D25" s="31"/>
      <c r="E25" s="31"/>
      <c r="F25" s="31"/>
      <c r="G25" s="128"/>
      <c r="H25" s="129"/>
      <c r="I25" s="31"/>
      <c r="J25" s="156" t="s">
        <v>158</v>
      </c>
      <c r="K25" s="52"/>
      <c r="L25" s="52"/>
      <c r="M25" s="52"/>
      <c r="N25" s="52"/>
      <c r="O25" s="52"/>
      <c r="P25" s="52"/>
      <c r="Q25" s="52"/>
      <c r="R25" s="156" t="s">
        <v>233</v>
      </c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157"/>
      <c r="AK25" s="130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1"/>
    </row>
    <row r="26" spans="2:61" ht="20.100000000000001" customHeight="1" x14ac:dyDescent="0.45">
      <c r="B26" s="127"/>
      <c r="C26" s="31"/>
      <c r="D26" s="31"/>
      <c r="E26" s="31"/>
      <c r="F26" s="31"/>
      <c r="G26" s="128"/>
      <c r="H26" s="129"/>
      <c r="I26" s="31"/>
      <c r="J26" s="156" t="s">
        <v>159</v>
      </c>
      <c r="K26" s="52"/>
      <c r="L26" s="52"/>
      <c r="M26" s="52"/>
      <c r="N26" s="52"/>
      <c r="O26" s="52"/>
      <c r="P26" s="52"/>
      <c r="Q26" s="52"/>
      <c r="R26" s="156" t="s">
        <v>234</v>
      </c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157"/>
      <c r="AK26" s="130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1"/>
    </row>
    <row r="27" spans="2:61" ht="20.100000000000001" customHeight="1" x14ac:dyDescent="0.45">
      <c r="B27" s="127"/>
      <c r="C27" s="31"/>
      <c r="D27" s="31"/>
      <c r="E27" s="31"/>
      <c r="F27" s="31"/>
      <c r="G27" s="128"/>
      <c r="H27" s="129"/>
      <c r="I27" s="31"/>
      <c r="J27" s="156" t="s">
        <v>160</v>
      </c>
      <c r="K27" s="52"/>
      <c r="L27" s="52"/>
      <c r="M27" s="52"/>
      <c r="N27" s="52"/>
      <c r="O27" s="52"/>
      <c r="P27" s="52"/>
      <c r="Q27" s="52"/>
      <c r="R27" s="156" t="s">
        <v>235</v>
      </c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157"/>
      <c r="AK27" s="130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1"/>
    </row>
    <row r="28" spans="2:61" ht="20.100000000000001" customHeight="1" x14ac:dyDescent="0.45">
      <c r="B28" s="127"/>
      <c r="C28" s="31"/>
      <c r="D28" s="31"/>
      <c r="E28" s="31"/>
      <c r="F28" s="31"/>
      <c r="G28" s="128"/>
      <c r="H28" s="129"/>
      <c r="I28" s="31"/>
      <c r="J28" s="156" t="s">
        <v>161</v>
      </c>
      <c r="K28" s="52"/>
      <c r="L28" s="52"/>
      <c r="M28" s="52"/>
      <c r="N28" s="52"/>
      <c r="O28" s="52"/>
      <c r="P28" s="52"/>
      <c r="Q28" s="52"/>
      <c r="R28" s="156" t="s">
        <v>236</v>
      </c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157"/>
      <c r="AK28" s="130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1"/>
    </row>
    <row r="29" spans="2:61" ht="20.100000000000001" customHeight="1" x14ac:dyDescent="0.45">
      <c r="B29" s="127"/>
      <c r="C29" s="31"/>
      <c r="D29" s="31"/>
      <c r="E29" s="31"/>
      <c r="F29" s="31"/>
      <c r="G29" s="128"/>
      <c r="H29" s="129"/>
      <c r="I29" s="31"/>
      <c r="J29" s="156" t="s">
        <v>238</v>
      </c>
      <c r="K29" s="52"/>
      <c r="L29" s="52"/>
      <c r="M29" s="52"/>
      <c r="N29" s="52"/>
      <c r="O29" s="52"/>
      <c r="P29" s="52"/>
      <c r="Q29" s="52"/>
      <c r="R29" s="156" t="s">
        <v>240</v>
      </c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157"/>
      <c r="AK29" s="130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1"/>
    </row>
    <row r="30" spans="2:61" ht="20.100000000000001" customHeight="1" x14ac:dyDescent="0.45">
      <c r="B30" s="127"/>
      <c r="C30" s="31"/>
      <c r="D30" s="31"/>
      <c r="E30" s="31"/>
      <c r="F30" s="31"/>
      <c r="G30" s="128"/>
      <c r="H30" s="129"/>
      <c r="I30" s="31"/>
      <c r="J30" s="156" t="s">
        <v>239</v>
      </c>
      <c r="K30" s="52"/>
      <c r="L30" s="52"/>
      <c r="M30" s="52"/>
      <c r="N30" s="52"/>
      <c r="O30" s="52"/>
      <c r="P30" s="52"/>
      <c r="Q30" s="52"/>
      <c r="R30" s="156" t="s">
        <v>241</v>
      </c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157"/>
      <c r="AK30" s="130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1"/>
    </row>
    <row r="31" spans="2:61" ht="20.100000000000001" customHeight="1" x14ac:dyDescent="0.45">
      <c r="B31" s="127"/>
      <c r="C31" s="31"/>
      <c r="D31" s="31"/>
      <c r="E31" s="31"/>
      <c r="F31" s="31"/>
      <c r="G31" s="128"/>
      <c r="H31" s="135"/>
      <c r="I31" s="136"/>
      <c r="J31" s="156"/>
      <c r="K31" s="52"/>
      <c r="L31" s="52"/>
      <c r="M31" s="52"/>
      <c r="N31" s="52"/>
      <c r="O31" s="52"/>
      <c r="P31" s="52"/>
      <c r="Q31" s="52"/>
      <c r="R31" s="156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157"/>
      <c r="AK31" s="137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8"/>
    </row>
    <row r="32" spans="2:61" ht="20.100000000000001" customHeight="1" x14ac:dyDescent="0.45">
      <c r="B32" s="127"/>
      <c r="C32" s="31"/>
      <c r="D32" s="31"/>
      <c r="E32" s="31"/>
      <c r="F32" s="31"/>
      <c r="G32" s="128"/>
      <c r="H32" s="129" t="s">
        <v>99</v>
      </c>
      <c r="I32" s="31"/>
      <c r="J32" s="129" t="s">
        <v>162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30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1"/>
    </row>
    <row r="33" spans="2:61" ht="20.100000000000001" customHeight="1" x14ac:dyDescent="0.45">
      <c r="B33" s="127"/>
      <c r="C33" s="31"/>
      <c r="D33" s="31"/>
      <c r="E33" s="31"/>
      <c r="F33" s="31"/>
      <c r="G33" s="128"/>
      <c r="H33" s="135"/>
      <c r="I33" s="136"/>
      <c r="J33" s="135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7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8"/>
    </row>
    <row r="34" spans="2:61" ht="20.100000000000001" customHeight="1" x14ac:dyDescent="0.45">
      <c r="B34" s="127"/>
      <c r="C34" s="31"/>
      <c r="D34" s="31"/>
      <c r="E34" s="31"/>
      <c r="F34" s="31"/>
      <c r="G34" s="128"/>
      <c r="H34" s="129" t="s">
        <v>164</v>
      </c>
      <c r="I34" s="31"/>
      <c r="J34" s="129" t="s">
        <v>165</v>
      </c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130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131"/>
    </row>
    <row r="35" spans="2:61" ht="20.100000000000001" customHeight="1" x14ac:dyDescent="0.45">
      <c r="B35" s="127"/>
      <c r="C35" s="31"/>
      <c r="D35" s="31"/>
      <c r="E35" s="31"/>
      <c r="F35" s="31"/>
      <c r="G35" s="128"/>
      <c r="H35" s="129"/>
      <c r="I35" s="31"/>
      <c r="J35" s="129"/>
      <c r="K35" s="31" t="s">
        <v>166</v>
      </c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130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131"/>
    </row>
    <row r="36" spans="2:61" ht="20.100000000000001" customHeight="1" x14ac:dyDescent="0.45">
      <c r="B36" s="127"/>
      <c r="C36" s="31"/>
      <c r="D36" s="31"/>
      <c r="E36" s="31"/>
      <c r="F36" s="31"/>
      <c r="G36" s="128"/>
      <c r="H36" s="129"/>
      <c r="I36" s="31"/>
      <c r="J36" s="129"/>
      <c r="K36" s="31"/>
      <c r="L36" s="31" t="s">
        <v>167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130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31"/>
    </row>
    <row r="37" spans="2:61" ht="20.100000000000001" customHeight="1" x14ac:dyDescent="0.45">
      <c r="B37" s="127"/>
      <c r="C37" s="31"/>
      <c r="D37" s="31"/>
      <c r="E37" s="31"/>
      <c r="F37" s="31"/>
      <c r="G37" s="128"/>
      <c r="H37" s="129"/>
      <c r="I37" s="31"/>
      <c r="J37" s="129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130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131"/>
    </row>
    <row r="38" spans="2:61" ht="20.100000000000001" customHeight="1" x14ac:dyDescent="0.45">
      <c r="B38" s="127"/>
      <c r="C38" s="31"/>
      <c r="D38" s="31"/>
      <c r="E38" s="31"/>
      <c r="F38" s="31"/>
      <c r="G38" s="128"/>
      <c r="H38" s="129"/>
      <c r="I38" s="31"/>
      <c r="J38" s="129" t="s">
        <v>168</v>
      </c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130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131"/>
    </row>
    <row r="39" spans="2:61" ht="20.100000000000001" customHeight="1" x14ac:dyDescent="0.45">
      <c r="B39" s="127"/>
      <c r="C39" s="31"/>
      <c r="D39" s="31"/>
      <c r="E39" s="31"/>
      <c r="F39" s="31"/>
      <c r="G39" s="128"/>
      <c r="H39" s="129"/>
      <c r="I39" s="31"/>
      <c r="J39" s="129"/>
      <c r="K39" s="31" t="s">
        <v>169</v>
      </c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130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131"/>
    </row>
    <row r="40" spans="2:61" ht="20.100000000000001" customHeight="1" x14ac:dyDescent="0.45">
      <c r="B40" s="127"/>
      <c r="C40" s="31"/>
      <c r="D40" s="31"/>
      <c r="E40" s="31"/>
      <c r="F40" s="31"/>
      <c r="G40" s="128"/>
      <c r="H40" s="129"/>
      <c r="I40" s="31"/>
      <c r="J40" s="129"/>
      <c r="K40" s="31"/>
      <c r="L40" s="31" t="s">
        <v>170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130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131"/>
    </row>
    <row r="41" spans="2:61" ht="20.100000000000001" customHeight="1" x14ac:dyDescent="0.45">
      <c r="B41" s="127"/>
      <c r="C41" s="31"/>
      <c r="D41" s="31"/>
      <c r="E41" s="31"/>
      <c r="F41" s="31"/>
      <c r="G41" s="128"/>
      <c r="H41" s="129"/>
      <c r="I41" s="31"/>
      <c r="J41" s="129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130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131"/>
    </row>
    <row r="42" spans="2:61" ht="20.100000000000001" customHeight="1" x14ac:dyDescent="0.45">
      <c r="B42" s="127"/>
      <c r="C42" s="31"/>
      <c r="D42" s="31"/>
      <c r="E42" s="31"/>
      <c r="F42" s="31"/>
      <c r="G42" s="128"/>
      <c r="H42" s="129"/>
      <c r="I42" s="31"/>
      <c r="J42" s="129" t="s">
        <v>168</v>
      </c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129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131"/>
    </row>
    <row r="43" spans="2:61" ht="20.100000000000001" customHeight="1" x14ac:dyDescent="0.45">
      <c r="B43" s="127"/>
      <c r="C43" s="31"/>
      <c r="D43" s="31"/>
      <c r="E43" s="31"/>
      <c r="F43" s="31"/>
      <c r="G43" s="128"/>
      <c r="H43" s="129"/>
      <c r="I43" s="31"/>
      <c r="J43" s="129"/>
      <c r="K43" s="31" t="s">
        <v>171</v>
      </c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129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131"/>
    </row>
    <row r="44" spans="2:61" ht="20.100000000000001" customHeight="1" x14ac:dyDescent="0.45">
      <c r="B44" s="127"/>
      <c r="C44" s="31"/>
      <c r="D44" s="31"/>
      <c r="E44" s="31"/>
      <c r="F44" s="31"/>
      <c r="G44" s="128"/>
      <c r="H44" s="129"/>
      <c r="I44" s="31"/>
      <c r="J44" s="129"/>
      <c r="K44" s="31"/>
      <c r="L44" s="31" t="s">
        <v>172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129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131"/>
    </row>
    <row r="45" spans="2:61" ht="20.100000000000001" customHeight="1" x14ac:dyDescent="0.45">
      <c r="B45" s="127"/>
      <c r="C45" s="31"/>
      <c r="D45" s="31"/>
      <c r="E45" s="31"/>
      <c r="F45" s="31"/>
      <c r="G45" s="128"/>
      <c r="H45" s="129"/>
      <c r="I45" s="31"/>
      <c r="J45" s="129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129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131"/>
    </row>
    <row r="46" spans="2:61" ht="20.100000000000001" customHeight="1" x14ac:dyDescent="0.45">
      <c r="B46" s="127"/>
      <c r="C46" s="31"/>
      <c r="D46" s="31"/>
      <c r="E46" s="31"/>
      <c r="F46" s="31"/>
      <c r="G46" s="128"/>
      <c r="H46" s="129"/>
      <c r="I46" s="31"/>
      <c r="J46" s="129" t="s">
        <v>165</v>
      </c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129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131"/>
    </row>
    <row r="47" spans="2:61" ht="20.100000000000001" customHeight="1" x14ac:dyDescent="0.45">
      <c r="B47" s="127"/>
      <c r="C47" s="31"/>
      <c r="D47" s="31"/>
      <c r="E47" s="31"/>
      <c r="F47" s="31"/>
      <c r="G47" s="128"/>
      <c r="H47" s="129"/>
      <c r="I47" s="31"/>
      <c r="J47" s="129"/>
      <c r="K47" s="31" t="s">
        <v>173</v>
      </c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129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131"/>
    </row>
    <row r="48" spans="2:61" ht="20.100000000000001" customHeight="1" x14ac:dyDescent="0.45">
      <c r="B48" s="127"/>
      <c r="C48" s="31"/>
      <c r="D48" s="31"/>
      <c r="E48" s="31"/>
      <c r="F48" s="31"/>
      <c r="G48" s="128"/>
      <c r="H48" s="129"/>
      <c r="I48" s="31"/>
      <c r="J48" s="129"/>
      <c r="K48" s="31"/>
      <c r="L48" s="31" t="s">
        <v>174</v>
      </c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129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131"/>
    </row>
    <row r="49" spans="2:61" ht="20.100000000000001" customHeight="1" x14ac:dyDescent="0.45">
      <c r="B49" s="127"/>
      <c r="C49" s="31"/>
      <c r="D49" s="31"/>
      <c r="E49" s="31"/>
      <c r="F49" s="31"/>
      <c r="G49" s="128"/>
      <c r="H49" s="135"/>
      <c r="I49" s="136"/>
      <c r="J49" s="135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5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8"/>
    </row>
    <row r="50" spans="2:61" ht="20.100000000000001" customHeight="1" x14ac:dyDescent="0.45">
      <c r="B50" s="127"/>
      <c r="C50" s="31"/>
      <c r="D50" s="31"/>
      <c r="E50" s="31"/>
      <c r="F50" s="31"/>
      <c r="G50" s="128"/>
      <c r="H50" s="129" t="s">
        <v>163</v>
      </c>
      <c r="I50" s="31"/>
      <c r="J50" s="129"/>
      <c r="K50" s="31" t="s">
        <v>175</v>
      </c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129" t="s">
        <v>182</v>
      </c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131"/>
    </row>
    <row r="51" spans="2:61" ht="20.100000000000001" customHeight="1" x14ac:dyDescent="0.45">
      <c r="B51" s="127"/>
      <c r="C51" s="31"/>
      <c r="D51" s="31"/>
      <c r="E51" s="31"/>
      <c r="F51" s="31"/>
      <c r="G51" s="128"/>
      <c r="H51" s="129"/>
      <c r="I51" s="31"/>
      <c r="J51" s="129" t="s">
        <v>176</v>
      </c>
      <c r="K51" s="31" t="s">
        <v>177</v>
      </c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129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131"/>
    </row>
    <row r="52" spans="2:61" ht="20.100000000000001" customHeight="1" x14ac:dyDescent="0.45">
      <c r="B52" s="127"/>
      <c r="C52" s="31"/>
      <c r="D52" s="31"/>
      <c r="E52" s="31"/>
      <c r="F52" s="31"/>
      <c r="G52" s="128"/>
      <c r="H52" s="129"/>
      <c r="I52" s="31"/>
      <c r="J52" s="129" t="s">
        <v>176</v>
      </c>
      <c r="K52" s="31" t="s">
        <v>180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129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131"/>
    </row>
    <row r="53" spans="2:61" ht="20.100000000000001" customHeight="1" x14ac:dyDescent="0.45">
      <c r="B53" s="127"/>
      <c r="C53" s="31"/>
      <c r="D53" s="31"/>
      <c r="E53" s="31"/>
      <c r="F53" s="31"/>
      <c r="G53" s="128"/>
      <c r="H53" s="129"/>
      <c r="I53" s="31"/>
      <c r="J53" s="129" t="s">
        <v>178</v>
      </c>
      <c r="K53" s="31" t="s">
        <v>181</v>
      </c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129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131"/>
    </row>
    <row r="54" spans="2:61" ht="20.100000000000001" customHeight="1" x14ac:dyDescent="0.45">
      <c r="B54" s="127"/>
      <c r="C54" s="31"/>
      <c r="D54" s="31"/>
      <c r="E54" s="31"/>
      <c r="F54" s="31"/>
      <c r="G54" s="128"/>
      <c r="H54" s="135"/>
      <c r="I54" s="136"/>
      <c r="J54" s="135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5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8"/>
    </row>
    <row r="55" spans="2:61" ht="20.100000000000001" customHeight="1" x14ac:dyDescent="0.45">
      <c r="B55" s="127"/>
      <c r="C55" s="31"/>
      <c r="D55" s="31"/>
      <c r="E55" s="31"/>
      <c r="F55" s="31"/>
      <c r="G55" s="128"/>
      <c r="H55" s="129" t="s">
        <v>183</v>
      </c>
      <c r="I55" s="31"/>
      <c r="J55" s="129" t="s">
        <v>184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129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131"/>
    </row>
    <row r="56" spans="2:61" ht="20.100000000000001" customHeight="1" x14ac:dyDescent="0.45">
      <c r="B56" s="160"/>
      <c r="C56" s="136"/>
      <c r="D56" s="136"/>
      <c r="E56" s="136"/>
      <c r="F56" s="136"/>
      <c r="G56" s="159"/>
      <c r="H56" s="135"/>
      <c r="I56" s="136"/>
      <c r="J56" s="135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5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8"/>
    </row>
    <row r="57" spans="2:61" ht="20.100000000000001" customHeight="1" x14ac:dyDescent="0.45">
      <c r="B57" s="127" t="s">
        <v>185</v>
      </c>
      <c r="C57" s="31"/>
      <c r="D57" s="31"/>
      <c r="E57" s="31"/>
      <c r="F57" s="31"/>
      <c r="G57" s="128"/>
      <c r="H57" s="129" t="s">
        <v>197</v>
      </c>
      <c r="I57" s="31"/>
      <c r="J57" s="129" t="s">
        <v>198</v>
      </c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129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131"/>
    </row>
    <row r="58" spans="2:61" ht="20.100000000000001" customHeight="1" x14ac:dyDescent="0.45">
      <c r="B58" s="127" t="s">
        <v>196</v>
      </c>
      <c r="C58" s="31"/>
      <c r="D58" s="31"/>
      <c r="E58" s="31"/>
      <c r="F58" s="31"/>
      <c r="G58" s="128"/>
      <c r="H58" s="135"/>
      <c r="I58" s="136"/>
      <c r="J58" s="135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5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8"/>
    </row>
    <row r="59" spans="2:61" ht="20.100000000000001" customHeight="1" x14ac:dyDescent="0.45">
      <c r="B59" s="127" t="s">
        <v>200</v>
      </c>
      <c r="C59" s="31"/>
      <c r="D59" s="31"/>
      <c r="E59" s="31"/>
      <c r="F59" s="31"/>
      <c r="G59" s="128"/>
      <c r="H59" s="129" t="s">
        <v>199</v>
      </c>
      <c r="I59" s="31"/>
      <c r="J59" s="129"/>
      <c r="K59" s="31" t="s">
        <v>201</v>
      </c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129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131"/>
    </row>
    <row r="60" spans="2:61" ht="20.100000000000001" customHeight="1" x14ac:dyDescent="0.45">
      <c r="B60" s="127"/>
      <c r="C60" s="31"/>
      <c r="D60" s="31"/>
      <c r="E60" s="31"/>
      <c r="F60" s="31"/>
      <c r="G60" s="128"/>
      <c r="H60" s="129"/>
      <c r="I60" s="31"/>
      <c r="J60" s="129" t="s">
        <v>176</v>
      </c>
      <c r="K60" s="31" t="s">
        <v>202</v>
      </c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129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131"/>
    </row>
    <row r="61" spans="2:61" ht="20.100000000000001" customHeight="1" x14ac:dyDescent="0.45">
      <c r="B61" s="127"/>
      <c r="C61" s="31"/>
      <c r="D61" s="31"/>
      <c r="E61" s="31"/>
      <c r="F61" s="31"/>
      <c r="G61" s="128"/>
      <c r="H61" s="129"/>
      <c r="I61" s="31"/>
      <c r="J61" s="129" t="s">
        <v>176</v>
      </c>
      <c r="K61" s="31" t="s">
        <v>203</v>
      </c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129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131"/>
    </row>
    <row r="62" spans="2:61" ht="20.100000000000001" customHeight="1" x14ac:dyDescent="0.45">
      <c r="B62" s="127"/>
      <c r="C62" s="31"/>
      <c r="D62" s="31"/>
      <c r="E62" s="31"/>
      <c r="F62" s="31"/>
      <c r="G62" s="128"/>
      <c r="H62" s="129"/>
      <c r="I62" s="31"/>
      <c r="J62" s="129" t="s">
        <v>176</v>
      </c>
      <c r="K62" s="31" t="s">
        <v>204</v>
      </c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129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131"/>
    </row>
    <row r="63" spans="2:61" ht="20.100000000000001" customHeight="1" x14ac:dyDescent="0.45">
      <c r="B63" s="127"/>
      <c r="C63" s="31"/>
      <c r="D63" s="31"/>
      <c r="E63" s="31"/>
      <c r="F63" s="31"/>
      <c r="G63" s="128"/>
      <c r="H63" s="129"/>
      <c r="I63" s="31"/>
      <c r="J63" s="129" t="s">
        <v>176</v>
      </c>
      <c r="K63" s="31" t="s">
        <v>205</v>
      </c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129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131"/>
    </row>
    <row r="64" spans="2:61" ht="20.100000000000001" customHeight="1" x14ac:dyDescent="0.45">
      <c r="B64" s="127"/>
      <c r="C64" s="31"/>
      <c r="D64" s="31"/>
      <c r="E64" s="31"/>
      <c r="F64" s="31"/>
      <c r="G64" s="128"/>
      <c r="H64" s="135"/>
      <c r="I64" s="136"/>
      <c r="J64" s="135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5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8"/>
    </row>
    <row r="65" spans="2:61" ht="20.100000000000001" customHeight="1" x14ac:dyDescent="0.45">
      <c r="B65" s="127"/>
      <c r="C65" s="31"/>
      <c r="D65" s="31"/>
      <c r="E65" s="31"/>
      <c r="F65" s="31"/>
      <c r="G65" s="128"/>
      <c r="H65" s="129" t="s">
        <v>206</v>
      </c>
      <c r="I65" s="31"/>
      <c r="J65" s="129" t="s">
        <v>209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129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131"/>
    </row>
    <row r="66" spans="2:61" ht="20.100000000000001" customHeight="1" x14ac:dyDescent="0.45">
      <c r="B66" s="127"/>
      <c r="C66" s="31"/>
      <c r="D66" s="31"/>
      <c r="E66" s="31"/>
      <c r="F66" s="31"/>
      <c r="G66" s="128"/>
      <c r="H66" s="129" t="s">
        <v>207</v>
      </c>
      <c r="I66" s="31"/>
      <c r="J66" s="129" t="s">
        <v>210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129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131"/>
    </row>
    <row r="67" spans="2:61" ht="20.100000000000001" customHeight="1" x14ac:dyDescent="0.45">
      <c r="B67" s="127"/>
      <c r="C67" s="31"/>
      <c r="D67" s="31"/>
      <c r="E67" s="31"/>
      <c r="F67" s="31"/>
      <c r="G67" s="128"/>
      <c r="H67" s="129"/>
      <c r="I67" s="31"/>
      <c r="J67" s="129" t="s">
        <v>211</v>
      </c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129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131"/>
    </row>
    <row r="68" spans="2:61" ht="20.100000000000001" customHeight="1" x14ac:dyDescent="0.45">
      <c r="B68" s="127"/>
      <c r="C68" s="31"/>
      <c r="D68" s="31"/>
      <c r="E68" s="31"/>
      <c r="F68" s="31"/>
      <c r="G68" s="128"/>
      <c r="H68" s="129"/>
      <c r="I68" s="31"/>
      <c r="J68" s="129" t="s">
        <v>212</v>
      </c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129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131"/>
    </row>
    <row r="69" spans="2:61" ht="20.100000000000001" customHeight="1" x14ac:dyDescent="0.45">
      <c r="B69" s="127"/>
      <c r="C69" s="31"/>
      <c r="D69" s="31"/>
      <c r="E69" s="31"/>
      <c r="F69" s="31"/>
      <c r="G69" s="128"/>
      <c r="H69" s="135"/>
      <c r="I69" s="136"/>
      <c r="J69" s="135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5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8"/>
    </row>
    <row r="70" spans="2:61" ht="20.100000000000001" customHeight="1" x14ac:dyDescent="0.45">
      <c r="B70" s="127"/>
      <c r="C70" s="31"/>
      <c r="D70" s="31"/>
      <c r="E70" s="31"/>
      <c r="F70" s="31"/>
      <c r="G70" s="128"/>
      <c r="H70" s="129" t="s">
        <v>213</v>
      </c>
      <c r="I70" s="31"/>
      <c r="J70" s="129" t="s">
        <v>216</v>
      </c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129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131"/>
    </row>
    <row r="71" spans="2:61" ht="20.100000000000001" customHeight="1" x14ac:dyDescent="0.45">
      <c r="B71" s="127"/>
      <c r="C71" s="31"/>
      <c r="D71" s="31"/>
      <c r="E71" s="31"/>
      <c r="F71" s="31"/>
      <c r="G71" s="128"/>
      <c r="H71" s="129" t="s">
        <v>214</v>
      </c>
      <c r="I71" s="31"/>
      <c r="J71" s="129"/>
      <c r="K71" s="31" t="s">
        <v>138</v>
      </c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129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131"/>
    </row>
    <row r="72" spans="2:61" ht="20.100000000000001" customHeight="1" x14ac:dyDescent="0.45">
      <c r="B72" s="127"/>
      <c r="C72" s="31"/>
      <c r="D72" s="31"/>
      <c r="E72" s="31"/>
      <c r="F72" s="31"/>
      <c r="G72" s="128"/>
      <c r="H72" s="129"/>
      <c r="I72" s="31"/>
      <c r="J72" s="129"/>
      <c r="K72" s="31" t="s">
        <v>140</v>
      </c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129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131"/>
    </row>
    <row r="73" spans="2:61" ht="20.100000000000001" customHeight="1" x14ac:dyDescent="0.45">
      <c r="B73" s="127"/>
      <c r="C73" s="31"/>
      <c r="D73" s="31"/>
      <c r="E73" s="31"/>
      <c r="F73" s="31"/>
      <c r="G73" s="128"/>
      <c r="H73" s="129"/>
      <c r="I73" s="31"/>
      <c r="J73" s="129"/>
      <c r="K73" s="31" t="s">
        <v>65</v>
      </c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129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131"/>
    </row>
    <row r="74" spans="2:61" ht="20.100000000000001" customHeight="1" x14ac:dyDescent="0.45">
      <c r="B74" s="127"/>
      <c r="C74" s="31"/>
      <c r="D74" s="31"/>
      <c r="E74" s="31"/>
      <c r="F74" s="31"/>
      <c r="G74" s="128"/>
      <c r="H74" s="129"/>
      <c r="I74" s="31"/>
      <c r="J74" s="129"/>
      <c r="K74" s="31" t="s">
        <v>143</v>
      </c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129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131"/>
    </row>
    <row r="75" spans="2:61" ht="20.100000000000001" customHeight="1" x14ac:dyDescent="0.45">
      <c r="B75" s="127"/>
      <c r="C75" s="31"/>
      <c r="D75" s="31"/>
      <c r="E75" s="31"/>
      <c r="F75" s="31"/>
      <c r="G75" s="128"/>
      <c r="H75" s="129"/>
      <c r="I75" s="31"/>
      <c r="J75" s="129"/>
      <c r="K75" s="31" t="s">
        <v>145</v>
      </c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129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131"/>
    </row>
    <row r="76" spans="2:61" ht="20.100000000000001" customHeight="1" x14ac:dyDescent="0.45">
      <c r="B76" s="127"/>
      <c r="C76" s="31"/>
      <c r="D76" s="31"/>
      <c r="E76" s="31"/>
      <c r="F76" s="31"/>
      <c r="G76" s="128"/>
      <c r="H76" s="129"/>
      <c r="I76" s="31"/>
      <c r="J76" s="129"/>
      <c r="K76" s="31" t="s">
        <v>208</v>
      </c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129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131"/>
    </row>
    <row r="77" spans="2:61" ht="20.100000000000001" customHeight="1" x14ac:dyDescent="0.45">
      <c r="B77" s="127"/>
      <c r="C77" s="31"/>
      <c r="D77" s="31"/>
      <c r="E77" s="31"/>
      <c r="F77" s="31"/>
      <c r="G77" s="128"/>
      <c r="H77" s="129"/>
      <c r="I77" s="31"/>
      <c r="J77" s="129"/>
      <c r="K77" s="31" t="s">
        <v>217</v>
      </c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129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131"/>
    </row>
    <row r="78" spans="2:61" ht="20.100000000000001" customHeight="1" x14ac:dyDescent="0.45">
      <c r="B78" s="127"/>
      <c r="C78" s="31"/>
      <c r="D78" s="31"/>
      <c r="E78" s="31"/>
      <c r="F78" s="31"/>
      <c r="G78" s="128"/>
      <c r="H78" s="129"/>
      <c r="I78" s="31"/>
      <c r="J78" s="129"/>
      <c r="K78" s="31" t="s">
        <v>218</v>
      </c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129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131"/>
    </row>
    <row r="79" spans="2:61" ht="20.100000000000001" customHeight="1" x14ac:dyDescent="0.45">
      <c r="B79" s="127"/>
      <c r="C79" s="31"/>
      <c r="D79" s="31"/>
      <c r="E79" s="31"/>
      <c r="F79" s="31"/>
      <c r="G79" s="128"/>
      <c r="H79" s="129"/>
      <c r="I79" s="31"/>
      <c r="J79" s="129"/>
      <c r="K79" s="31" t="s">
        <v>219</v>
      </c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129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131"/>
    </row>
    <row r="80" spans="2:61" ht="20.100000000000001" customHeight="1" x14ac:dyDescent="0.45">
      <c r="B80" s="127"/>
      <c r="C80" s="31"/>
      <c r="D80" s="31"/>
      <c r="E80" s="31"/>
      <c r="F80" s="31"/>
      <c r="G80" s="128"/>
      <c r="H80" s="129"/>
      <c r="I80" s="31"/>
      <c r="J80" s="129" t="s">
        <v>220</v>
      </c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129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131"/>
    </row>
    <row r="81" spans="2:61" ht="20.100000000000001" customHeight="1" x14ac:dyDescent="0.45">
      <c r="B81" s="127"/>
      <c r="C81" s="31"/>
      <c r="D81" s="31"/>
      <c r="E81" s="31"/>
      <c r="F81" s="31"/>
      <c r="G81" s="128"/>
      <c r="H81" s="129"/>
      <c r="I81" s="31"/>
      <c r="J81" s="129"/>
      <c r="K81" s="31" t="s">
        <v>221</v>
      </c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129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131"/>
    </row>
    <row r="82" spans="2:61" ht="20.100000000000001" customHeight="1" x14ac:dyDescent="0.45">
      <c r="B82" s="127"/>
      <c r="C82" s="31"/>
      <c r="D82" s="31"/>
      <c r="E82" s="31"/>
      <c r="F82" s="31"/>
      <c r="G82" s="128"/>
      <c r="H82" s="129"/>
      <c r="I82" s="31"/>
      <c r="J82" s="129"/>
      <c r="K82" s="31" t="s">
        <v>222</v>
      </c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129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131"/>
    </row>
    <row r="83" spans="2:61" ht="20.100000000000001" customHeight="1" x14ac:dyDescent="0.45">
      <c r="B83" s="127"/>
      <c r="C83" s="31"/>
      <c r="D83" s="31"/>
      <c r="E83" s="31"/>
      <c r="F83" s="31"/>
      <c r="G83" s="128"/>
      <c r="H83" s="129"/>
      <c r="I83" s="31"/>
      <c r="J83" s="129"/>
      <c r="K83" s="31" t="s">
        <v>223</v>
      </c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129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131"/>
    </row>
    <row r="84" spans="2:61" ht="20.100000000000001" customHeight="1" x14ac:dyDescent="0.45">
      <c r="B84" s="127"/>
      <c r="C84" s="31"/>
      <c r="D84" s="31"/>
      <c r="E84" s="31"/>
      <c r="F84" s="31"/>
      <c r="G84" s="128"/>
      <c r="H84" s="129"/>
      <c r="I84" s="31"/>
      <c r="J84" s="129"/>
      <c r="K84" s="31" t="s">
        <v>224</v>
      </c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129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131"/>
    </row>
    <row r="85" spans="2:61" ht="20.100000000000001" customHeight="1" x14ac:dyDescent="0.45">
      <c r="B85" s="127"/>
      <c r="C85" s="31"/>
      <c r="D85" s="31"/>
      <c r="E85" s="31"/>
      <c r="F85" s="31"/>
      <c r="G85" s="128"/>
      <c r="H85" s="129"/>
      <c r="I85" s="31"/>
      <c r="J85" s="129"/>
      <c r="K85" s="31" t="s">
        <v>225</v>
      </c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129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131"/>
    </row>
    <row r="86" spans="2:61" ht="20.100000000000001" customHeight="1" x14ac:dyDescent="0.45">
      <c r="B86" s="127"/>
      <c r="C86" s="31"/>
      <c r="D86" s="31"/>
      <c r="E86" s="31"/>
      <c r="F86" s="31"/>
      <c r="G86" s="128"/>
      <c r="H86" s="129"/>
      <c r="I86" s="31"/>
      <c r="J86" s="129"/>
      <c r="K86" s="31" t="s">
        <v>226</v>
      </c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129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131"/>
    </row>
    <row r="87" spans="2:61" ht="20.100000000000001" customHeight="1" x14ac:dyDescent="0.45">
      <c r="B87" s="127"/>
      <c r="C87" s="31"/>
      <c r="D87" s="31"/>
      <c r="E87" s="31"/>
      <c r="F87" s="31"/>
      <c r="G87" s="128"/>
      <c r="H87" s="129"/>
      <c r="I87" s="31"/>
      <c r="J87" s="129"/>
      <c r="K87" s="31" t="s">
        <v>227</v>
      </c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129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131"/>
    </row>
    <row r="88" spans="2:61" ht="20.100000000000001" customHeight="1" x14ac:dyDescent="0.45">
      <c r="B88" s="127"/>
      <c r="C88" s="31"/>
      <c r="D88" s="31"/>
      <c r="E88" s="31"/>
      <c r="F88" s="31"/>
      <c r="G88" s="128"/>
      <c r="H88" s="129"/>
      <c r="I88" s="31"/>
      <c r="J88" s="129"/>
      <c r="K88" s="31" t="s">
        <v>228</v>
      </c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129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131"/>
    </row>
    <row r="89" spans="2:61" ht="20.100000000000001" customHeight="1" x14ac:dyDescent="0.45">
      <c r="B89" s="127"/>
      <c r="C89" s="31"/>
      <c r="D89" s="31"/>
      <c r="E89" s="31"/>
      <c r="F89" s="31"/>
      <c r="G89" s="128"/>
      <c r="H89" s="129"/>
      <c r="I89" s="31"/>
      <c r="J89" s="129"/>
      <c r="K89" s="31" t="s">
        <v>229</v>
      </c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129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131"/>
    </row>
    <row r="90" spans="2:61" ht="20.100000000000001" customHeight="1" x14ac:dyDescent="0.45">
      <c r="B90" s="160"/>
      <c r="C90" s="136"/>
      <c r="D90" s="136"/>
      <c r="E90" s="136"/>
      <c r="F90" s="136"/>
      <c r="G90" s="159"/>
      <c r="H90" s="135"/>
      <c r="I90" s="136"/>
      <c r="J90" s="135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5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8"/>
    </row>
    <row r="91" spans="2:61" ht="20.100000000000001" customHeight="1" x14ac:dyDescent="0.45">
      <c r="B91" s="127" t="s">
        <v>198</v>
      </c>
      <c r="C91" s="31"/>
      <c r="D91" s="31"/>
      <c r="E91" s="31"/>
      <c r="F91" s="31"/>
      <c r="G91" s="128"/>
      <c r="H91" s="129" t="s">
        <v>230</v>
      </c>
      <c r="I91" s="31"/>
      <c r="J91" s="156" t="s">
        <v>139</v>
      </c>
      <c r="K91" s="52"/>
      <c r="L91" s="52"/>
      <c r="M91" s="52"/>
      <c r="N91" s="52"/>
      <c r="O91" s="52"/>
      <c r="P91" s="52"/>
      <c r="Q91" s="52"/>
      <c r="R91" s="156" t="s">
        <v>186</v>
      </c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2"/>
      <c r="AJ91" s="157"/>
      <c r="AK91" s="129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131"/>
    </row>
    <row r="92" spans="2:61" ht="20.100000000000001" customHeight="1" x14ac:dyDescent="0.45">
      <c r="B92" s="127"/>
      <c r="C92" s="31"/>
      <c r="D92" s="31"/>
      <c r="E92" s="31"/>
      <c r="F92" s="31"/>
      <c r="G92" s="128"/>
      <c r="H92" s="129"/>
      <c r="I92" s="31"/>
      <c r="J92" s="156" t="s">
        <v>141</v>
      </c>
      <c r="K92" s="52"/>
      <c r="L92" s="52"/>
      <c r="M92" s="52"/>
      <c r="N92" s="52"/>
      <c r="O92" s="52"/>
      <c r="P92" s="52"/>
      <c r="Q92" s="52"/>
      <c r="R92" s="156" t="s">
        <v>188</v>
      </c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2"/>
      <c r="AJ92" s="157"/>
      <c r="AK92" s="129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131"/>
    </row>
    <row r="93" spans="2:61" ht="20.100000000000001" customHeight="1" x14ac:dyDescent="0.45">
      <c r="B93" s="127"/>
      <c r="C93" s="31"/>
      <c r="D93" s="31"/>
      <c r="E93" s="31"/>
      <c r="F93" s="31"/>
      <c r="G93" s="128"/>
      <c r="H93" s="129"/>
      <c r="I93" s="31"/>
      <c r="J93" s="156" t="s">
        <v>142</v>
      </c>
      <c r="K93" s="52"/>
      <c r="L93" s="52"/>
      <c r="M93" s="52"/>
      <c r="N93" s="52"/>
      <c r="O93" s="52"/>
      <c r="P93" s="52"/>
      <c r="Q93" s="52"/>
      <c r="R93" s="156" t="s">
        <v>187</v>
      </c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2"/>
      <c r="AJ93" s="157"/>
      <c r="AK93" s="129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131"/>
    </row>
    <row r="94" spans="2:61" ht="20.100000000000001" customHeight="1" x14ac:dyDescent="0.45">
      <c r="B94" s="127"/>
      <c r="C94" s="31"/>
      <c r="D94" s="31"/>
      <c r="E94" s="31"/>
      <c r="F94" s="31"/>
      <c r="G94" s="128"/>
      <c r="H94" s="129"/>
      <c r="I94" s="31"/>
      <c r="J94" s="156" t="s">
        <v>144</v>
      </c>
      <c r="K94" s="52"/>
      <c r="L94" s="52"/>
      <c r="M94" s="52"/>
      <c r="N94" s="52"/>
      <c r="O94" s="52"/>
      <c r="P94" s="52"/>
      <c r="Q94" s="52"/>
      <c r="R94" s="156" t="s">
        <v>189</v>
      </c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2"/>
      <c r="AJ94" s="157"/>
      <c r="AK94" s="129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131"/>
    </row>
    <row r="95" spans="2:61" ht="20.100000000000001" customHeight="1" x14ac:dyDescent="0.45">
      <c r="B95" s="127"/>
      <c r="C95" s="31"/>
      <c r="D95" s="31"/>
      <c r="E95" s="31"/>
      <c r="F95" s="31"/>
      <c r="G95" s="128"/>
      <c r="H95" s="129"/>
      <c r="I95" s="31"/>
      <c r="J95" s="156" t="s">
        <v>146</v>
      </c>
      <c r="K95" s="52"/>
      <c r="L95" s="52"/>
      <c r="M95" s="52"/>
      <c r="N95" s="52"/>
      <c r="O95" s="52"/>
      <c r="P95" s="52"/>
      <c r="Q95" s="52"/>
      <c r="R95" s="156" t="s">
        <v>190</v>
      </c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2"/>
      <c r="AJ95" s="157"/>
      <c r="AK95" s="129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131"/>
    </row>
    <row r="96" spans="2:61" ht="20.100000000000001" customHeight="1" x14ac:dyDescent="0.45">
      <c r="B96" s="127"/>
      <c r="C96" s="31"/>
      <c r="D96" s="31"/>
      <c r="E96" s="31"/>
      <c r="F96" s="31"/>
      <c r="G96" s="128"/>
      <c r="H96" s="129"/>
      <c r="I96" s="31"/>
      <c r="J96" s="156" t="s">
        <v>158</v>
      </c>
      <c r="K96" s="52"/>
      <c r="L96" s="52"/>
      <c r="M96" s="52"/>
      <c r="N96" s="52"/>
      <c r="O96" s="52"/>
      <c r="P96" s="52"/>
      <c r="Q96" s="52"/>
      <c r="R96" s="156" t="s">
        <v>191</v>
      </c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2"/>
      <c r="AJ96" s="157"/>
      <c r="AK96" s="129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131"/>
    </row>
    <row r="97" spans="2:61" ht="20.100000000000001" customHeight="1" x14ac:dyDescent="0.45">
      <c r="B97" s="127"/>
      <c r="C97" s="31"/>
      <c r="D97" s="31"/>
      <c r="E97" s="31"/>
      <c r="F97" s="31"/>
      <c r="G97" s="128"/>
      <c r="H97" s="129"/>
      <c r="I97" s="31"/>
      <c r="J97" s="156" t="s">
        <v>159</v>
      </c>
      <c r="K97" s="52"/>
      <c r="L97" s="52"/>
      <c r="M97" s="52"/>
      <c r="N97" s="52"/>
      <c r="O97" s="52"/>
      <c r="P97" s="52"/>
      <c r="Q97" s="52"/>
      <c r="R97" s="156" t="s">
        <v>192</v>
      </c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2"/>
      <c r="AJ97" s="157"/>
      <c r="AK97" s="129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131"/>
    </row>
    <row r="98" spans="2:61" ht="20.100000000000001" customHeight="1" x14ac:dyDescent="0.45">
      <c r="B98" s="127"/>
      <c r="C98" s="31"/>
      <c r="D98" s="31"/>
      <c r="E98" s="31"/>
      <c r="F98" s="31"/>
      <c r="G98" s="128"/>
      <c r="H98" s="129"/>
      <c r="I98" s="31"/>
      <c r="J98" s="156" t="s">
        <v>160</v>
      </c>
      <c r="K98" s="52"/>
      <c r="L98" s="52"/>
      <c r="M98" s="52"/>
      <c r="N98" s="52"/>
      <c r="O98" s="52"/>
      <c r="P98" s="52"/>
      <c r="Q98" s="52"/>
      <c r="R98" s="156" t="s">
        <v>193</v>
      </c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2"/>
      <c r="AJ98" s="157"/>
      <c r="AK98" s="129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131"/>
    </row>
    <row r="99" spans="2:61" ht="20.100000000000001" customHeight="1" x14ac:dyDescent="0.45">
      <c r="B99" s="127"/>
      <c r="C99" s="31"/>
      <c r="D99" s="31"/>
      <c r="E99" s="31"/>
      <c r="F99" s="31"/>
      <c r="G99" s="128"/>
      <c r="H99" s="129"/>
      <c r="I99" s="31"/>
      <c r="J99" s="156" t="s">
        <v>161</v>
      </c>
      <c r="K99" s="52"/>
      <c r="L99" s="52"/>
      <c r="M99" s="52"/>
      <c r="N99" s="52"/>
      <c r="O99" s="52"/>
      <c r="P99" s="52"/>
      <c r="Q99" s="52"/>
      <c r="R99" s="156" t="s">
        <v>194</v>
      </c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2"/>
      <c r="AJ99" s="157"/>
      <c r="AK99" s="129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131"/>
    </row>
    <row r="100" spans="2:61" ht="20.100000000000001" customHeight="1" x14ac:dyDescent="0.45">
      <c r="B100" s="127"/>
      <c r="C100" s="31"/>
      <c r="D100" s="31"/>
      <c r="E100" s="31"/>
      <c r="F100" s="31"/>
      <c r="G100" s="128"/>
      <c r="H100" s="135"/>
      <c r="I100" s="159"/>
      <c r="J100" s="156"/>
      <c r="K100" s="52"/>
      <c r="L100" s="52"/>
      <c r="M100" s="52"/>
      <c r="N100" s="52"/>
      <c r="O100" s="52"/>
      <c r="P100" s="52"/>
      <c r="Q100" s="52"/>
      <c r="R100" s="156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2"/>
      <c r="AJ100" s="157"/>
      <c r="AK100" s="129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131"/>
    </row>
    <row r="101" spans="2:61" ht="20.100000000000001" customHeight="1" x14ac:dyDescent="0.45">
      <c r="B101" s="127"/>
      <c r="C101" s="31"/>
      <c r="D101" s="31"/>
      <c r="E101" s="31"/>
      <c r="F101" s="31"/>
      <c r="G101" s="128"/>
      <c r="H101" s="129" t="s">
        <v>231</v>
      </c>
      <c r="I101" s="31"/>
      <c r="J101" s="129" t="s">
        <v>162</v>
      </c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129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131"/>
    </row>
    <row r="102" spans="2:61" ht="20.100000000000001" customHeight="1" x14ac:dyDescent="0.45">
      <c r="B102" s="127"/>
      <c r="C102" s="31"/>
      <c r="D102" s="31"/>
      <c r="E102" s="31"/>
      <c r="F102" s="31"/>
      <c r="G102" s="128"/>
      <c r="H102" s="135"/>
      <c r="I102" s="136"/>
      <c r="J102" s="135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5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8"/>
    </row>
    <row r="103" spans="2:61" ht="20.100000000000001" customHeight="1" x14ac:dyDescent="0.45">
      <c r="B103" s="127"/>
      <c r="C103" s="31"/>
      <c r="D103" s="31"/>
      <c r="E103" s="31"/>
      <c r="F103" s="31"/>
      <c r="G103" s="128"/>
      <c r="H103" s="129" t="s">
        <v>164</v>
      </c>
      <c r="I103" s="31"/>
      <c r="J103" s="129" t="s">
        <v>165</v>
      </c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129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131"/>
    </row>
    <row r="104" spans="2:61" ht="20.100000000000001" customHeight="1" x14ac:dyDescent="0.45">
      <c r="B104" s="127"/>
      <c r="C104" s="31"/>
      <c r="D104" s="31"/>
      <c r="E104" s="31"/>
      <c r="F104" s="31"/>
      <c r="G104" s="128"/>
      <c r="H104" s="129"/>
      <c r="I104" s="31"/>
      <c r="J104" s="129"/>
      <c r="K104" s="31" t="s">
        <v>166</v>
      </c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129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131"/>
    </row>
    <row r="105" spans="2:61" ht="20.100000000000001" customHeight="1" x14ac:dyDescent="0.45">
      <c r="B105" s="127"/>
      <c r="C105" s="31"/>
      <c r="D105" s="31"/>
      <c r="E105" s="31"/>
      <c r="F105" s="31"/>
      <c r="G105" s="128"/>
      <c r="H105" s="129"/>
      <c r="I105" s="31"/>
      <c r="J105" s="129"/>
      <c r="K105" s="31"/>
      <c r="L105" s="31" t="s">
        <v>167</v>
      </c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129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131"/>
    </row>
    <row r="106" spans="2:61" ht="20.100000000000001" customHeight="1" x14ac:dyDescent="0.45">
      <c r="B106" s="127"/>
      <c r="C106" s="31"/>
      <c r="D106" s="31"/>
      <c r="E106" s="31"/>
      <c r="F106" s="31"/>
      <c r="G106" s="128"/>
      <c r="H106" s="129"/>
      <c r="I106" s="31"/>
      <c r="J106" s="129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129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131"/>
    </row>
    <row r="107" spans="2:61" ht="20.100000000000001" customHeight="1" x14ac:dyDescent="0.45">
      <c r="B107" s="127"/>
      <c r="C107" s="31"/>
      <c r="D107" s="31"/>
      <c r="E107" s="31"/>
      <c r="F107" s="31"/>
      <c r="G107" s="128"/>
      <c r="H107" s="129"/>
      <c r="I107" s="31"/>
      <c r="J107" s="129" t="s">
        <v>168</v>
      </c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129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131"/>
    </row>
    <row r="108" spans="2:61" ht="20.100000000000001" customHeight="1" x14ac:dyDescent="0.45">
      <c r="B108" s="127"/>
      <c r="C108" s="31"/>
      <c r="D108" s="31"/>
      <c r="E108" s="31"/>
      <c r="F108" s="31"/>
      <c r="G108" s="128"/>
      <c r="H108" s="129"/>
      <c r="I108" s="31"/>
      <c r="J108" s="129"/>
      <c r="K108" s="31" t="s">
        <v>169</v>
      </c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129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131"/>
    </row>
    <row r="109" spans="2:61" ht="20.100000000000001" customHeight="1" x14ac:dyDescent="0.45">
      <c r="B109" s="127"/>
      <c r="C109" s="31"/>
      <c r="D109" s="31"/>
      <c r="E109" s="31"/>
      <c r="F109" s="31"/>
      <c r="G109" s="128"/>
      <c r="H109" s="129"/>
      <c r="I109" s="31"/>
      <c r="J109" s="129"/>
      <c r="K109" s="31"/>
      <c r="L109" s="31" t="s">
        <v>170</v>
      </c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129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131"/>
    </row>
    <row r="110" spans="2:61" ht="20.100000000000001" customHeight="1" x14ac:dyDescent="0.45">
      <c r="B110" s="127"/>
      <c r="C110" s="31"/>
      <c r="D110" s="31"/>
      <c r="E110" s="31"/>
      <c r="F110" s="31"/>
      <c r="G110" s="128"/>
      <c r="H110" s="129"/>
      <c r="I110" s="31"/>
      <c r="J110" s="129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129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131"/>
    </row>
    <row r="111" spans="2:61" ht="20.100000000000001" customHeight="1" x14ac:dyDescent="0.45">
      <c r="B111" s="127"/>
      <c r="C111" s="31"/>
      <c r="D111" s="31"/>
      <c r="E111" s="31"/>
      <c r="F111" s="31"/>
      <c r="G111" s="128"/>
      <c r="H111" s="129"/>
      <c r="I111" s="31"/>
      <c r="J111" s="129" t="s">
        <v>168</v>
      </c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129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131"/>
    </row>
    <row r="112" spans="2:61" ht="20.100000000000001" customHeight="1" x14ac:dyDescent="0.45">
      <c r="B112" s="127"/>
      <c r="C112" s="31"/>
      <c r="D112" s="31"/>
      <c r="E112" s="31"/>
      <c r="F112" s="31"/>
      <c r="G112" s="128"/>
      <c r="H112" s="129"/>
      <c r="I112" s="31"/>
      <c r="J112" s="129"/>
      <c r="K112" s="31" t="s">
        <v>171</v>
      </c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129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131"/>
    </row>
    <row r="113" spans="2:61" ht="20.100000000000001" customHeight="1" x14ac:dyDescent="0.45">
      <c r="B113" s="127"/>
      <c r="C113" s="31"/>
      <c r="D113" s="31"/>
      <c r="E113" s="31"/>
      <c r="F113" s="31"/>
      <c r="G113" s="128"/>
      <c r="H113" s="129"/>
      <c r="I113" s="31"/>
      <c r="J113" s="129"/>
      <c r="K113" s="31"/>
      <c r="L113" s="31" t="s">
        <v>172</v>
      </c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129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131"/>
    </row>
    <row r="114" spans="2:61" ht="20.100000000000001" customHeight="1" x14ac:dyDescent="0.45">
      <c r="B114" s="127"/>
      <c r="C114" s="31"/>
      <c r="D114" s="31"/>
      <c r="E114" s="31"/>
      <c r="F114" s="31"/>
      <c r="G114" s="128"/>
      <c r="H114" s="129"/>
      <c r="I114" s="31"/>
      <c r="J114" s="129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129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131"/>
    </row>
    <row r="115" spans="2:61" ht="20.100000000000001" customHeight="1" x14ac:dyDescent="0.45">
      <c r="B115" s="127"/>
      <c r="C115" s="31"/>
      <c r="D115" s="31"/>
      <c r="E115" s="31"/>
      <c r="F115" s="31"/>
      <c r="G115" s="128"/>
      <c r="H115" s="129"/>
      <c r="I115" s="31"/>
      <c r="J115" s="129" t="s">
        <v>165</v>
      </c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129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131"/>
    </row>
    <row r="116" spans="2:61" ht="20.100000000000001" customHeight="1" x14ac:dyDescent="0.45">
      <c r="B116" s="127"/>
      <c r="C116" s="31"/>
      <c r="D116" s="31"/>
      <c r="E116" s="31"/>
      <c r="F116" s="31"/>
      <c r="G116" s="128"/>
      <c r="H116" s="129"/>
      <c r="I116" s="31"/>
      <c r="J116" s="129"/>
      <c r="K116" s="31" t="s">
        <v>232</v>
      </c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129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131"/>
    </row>
    <row r="117" spans="2:61" ht="20.100000000000001" customHeight="1" x14ac:dyDescent="0.45">
      <c r="B117" s="127"/>
      <c r="C117" s="31"/>
      <c r="D117" s="31"/>
      <c r="E117" s="31"/>
      <c r="F117" s="31"/>
      <c r="G117" s="128"/>
      <c r="H117" s="129"/>
      <c r="I117" s="31"/>
      <c r="J117" s="129"/>
      <c r="K117" s="31"/>
      <c r="L117" s="31" t="s">
        <v>174</v>
      </c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129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131"/>
    </row>
    <row r="118" spans="2:61" ht="20.100000000000001" customHeight="1" x14ac:dyDescent="0.45">
      <c r="B118" s="127"/>
      <c r="C118" s="31"/>
      <c r="D118" s="31"/>
      <c r="E118" s="31"/>
      <c r="F118" s="31"/>
      <c r="G118" s="128"/>
      <c r="H118" s="135"/>
      <c r="I118" s="136"/>
      <c r="J118" s="135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5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8"/>
    </row>
    <row r="119" spans="2:61" ht="20.100000000000001" customHeight="1" x14ac:dyDescent="0.45">
      <c r="B119" s="127"/>
      <c r="C119" s="31"/>
      <c r="D119" s="31"/>
      <c r="E119" s="31"/>
      <c r="F119" s="31"/>
      <c r="G119" s="128"/>
      <c r="H119" s="129" t="s">
        <v>163</v>
      </c>
      <c r="I119" s="31"/>
      <c r="J119" s="129"/>
      <c r="K119" s="31" t="s">
        <v>175</v>
      </c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129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131"/>
    </row>
    <row r="120" spans="2:61" ht="20.100000000000001" customHeight="1" x14ac:dyDescent="0.45">
      <c r="B120" s="127"/>
      <c r="C120" s="31"/>
      <c r="D120" s="31"/>
      <c r="E120" s="31"/>
      <c r="F120" s="31"/>
      <c r="G120" s="128"/>
      <c r="H120" s="129"/>
      <c r="I120" s="31"/>
      <c r="J120" s="129" t="s">
        <v>176</v>
      </c>
      <c r="K120" s="31" t="s">
        <v>177</v>
      </c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129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131"/>
    </row>
    <row r="121" spans="2:61" ht="20.100000000000001" customHeight="1" x14ac:dyDescent="0.45">
      <c r="B121" s="127"/>
      <c r="C121" s="31"/>
      <c r="D121" s="31"/>
      <c r="E121" s="31"/>
      <c r="F121" s="31"/>
      <c r="G121" s="128"/>
      <c r="H121" s="129"/>
      <c r="I121" s="31"/>
      <c r="J121" s="129" t="s">
        <v>176</v>
      </c>
      <c r="K121" s="31" t="s">
        <v>237</v>
      </c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129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131"/>
    </row>
    <row r="122" spans="2:61" ht="20.100000000000001" customHeight="1" x14ac:dyDescent="0.45">
      <c r="B122" s="127"/>
      <c r="C122" s="31"/>
      <c r="D122" s="31"/>
      <c r="E122" s="31"/>
      <c r="F122" s="31"/>
      <c r="G122" s="128"/>
      <c r="H122" s="129"/>
      <c r="I122" s="31"/>
      <c r="J122" s="129" t="s">
        <v>178</v>
      </c>
      <c r="K122" s="31" t="s">
        <v>179</v>
      </c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129" t="s">
        <v>182</v>
      </c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131"/>
    </row>
    <row r="123" spans="2:61" ht="20.100000000000001" customHeight="1" x14ac:dyDescent="0.45">
      <c r="B123" s="127"/>
      <c r="C123" s="31"/>
      <c r="D123" s="31"/>
      <c r="E123" s="31"/>
      <c r="F123" s="31"/>
      <c r="G123" s="128"/>
      <c r="H123" s="135"/>
      <c r="I123" s="136"/>
      <c r="J123" s="135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5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8"/>
    </row>
    <row r="124" spans="2:61" ht="20.100000000000001" customHeight="1" x14ac:dyDescent="0.45">
      <c r="B124" s="127"/>
      <c r="C124" s="31"/>
      <c r="D124" s="31"/>
      <c r="E124" s="31"/>
      <c r="F124" s="31"/>
      <c r="G124" s="128"/>
      <c r="H124" s="129" t="s">
        <v>183</v>
      </c>
      <c r="I124" s="31"/>
      <c r="J124" s="129" t="s">
        <v>184</v>
      </c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129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131"/>
    </row>
    <row r="125" spans="2:61" ht="20.100000000000001" customHeight="1" x14ac:dyDescent="0.45">
      <c r="B125" s="160"/>
      <c r="C125" s="136"/>
      <c r="D125" s="136"/>
      <c r="E125" s="136"/>
      <c r="F125" s="136"/>
      <c r="G125" s="159"/>
      <c r="H125" s="135"/>
      <c r="I125" s="136"/>
      <c r="J125" s="135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5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8"/>
    </row>
    <row r="126" spans="2:61" ht="20.100000000000001" customHeight="1" x14ac:dyDescent="0.45">
      <c r="B126" s="127" t="s">
        <v>215</v>
      </c>
      <c r="C126" s="31"/>
      <c r="D126" s="31"/>
      <c r="E126" s="31"/>
      <c r="F126" s="31"/>
      <c r="G126" s="128"/>
      <c r="H126" s="129" t="s">
        <v>230</v>
      </c>
      <c r="I126" s="31"/>
      <c r="J126" s="156" t="s">
        <v>141</v>
      </c>
      <c r="K126" s="52"/>
      <c r="L126" s="52"/>
      <c r="M126" s="52"/>
      <c r="N126" s="52"/>
      <c r="O126" s="52"/>
      <c r="P126" s="52"/>
      <c r="Q126" s="52"/>
      <c r="R126" s="156"/>
      <c r="S126" s="52"/>
      <c r="T126" s="52"/>
      <c r="U126" s="52"/>
      <c r="V126" s="52"/>
      <c r="W126" s="52"/>
      <c r="X126" s="52"/>
      <c r="Y126" s="52"/>
      <c r="Z126" s="52"/>
      <c r="AA126" s="52"/>
      <c r="AB126" s="52"/>
      <c r="AC126" s="52"/>
      <c r="AD126" s="52"/>
      <c r="AE126" s="52"/>
      <c r="AF126" s="52"/>
      <c r="AG126" s="52"/>
      <c r="AH126" s="52"/>
      <c r="AI126" s="52"/>
      <c r="AJ126" s="157"/>
      <c r="AK126" s="129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131"/>
    </row>
    <row r="127" spans="2:61" ht="20.100000000000001" customHeight="1" x14ac:dyDescent="0.45">
      <c r="B127" s="127" t="s">
        <v>242</v>
      </c>
      <c r="C127" s="31"/>
      <c r="D127" s="31"/>
      <c r="E127" s="31"/>
      <c r="F127" s="31"/>
      <c r="G127" s="128"/>
      <c r="H127" s="129"/>
      <c r="I127" s="31"/>
      <c r="J127" s="156" t="s">
        <v>142</v>
      </c>
      <c r="K127" s="52"/>
      <c r="L127" s="52"/>
      <c r="M127" s="52"/>
      <c r="N127" s="52"/>
      <c r="O127" s="52"/>
      <c r="P127" s="52"/>
      <c r="Q127" s="52"/>
      <c r="R127" s="156"/>
      <c r="S127" s="52"/>
      <c r="T127" s="52"/>
      <c r="U127" s="52"/>
      <c r="V127" s="52"/>
      <c r="W127" s="52"/>
      <c r="X127" s="52"/>
      <c r="Y127" s="52"/>
      <c r="Z127" s="52"/>
      <c r="AA127" s="52"/>
      <c r="AB127" s="52"/>
      <c r="AC127" s="52"/>
      <c r="AD127" s="52"/>
      <c r="AE127" s="52"/>
      <c r="AF127" s="52"/>
      <c r="AG127" s="52"/>
      <c r="AH127" s="52"/>
      <c r="AI127" s="52"/>
      <c r="AJ127" s="157"/>
      <c r="AK127" s="129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131"/>
    </row>
    <row r="128" spans="2:61" ht="20.100000000000001" customHeight="1" x14ac:dyDescent="0.45">
      <c r="B128" s="127"/>
      <c r="C128" s="31"/>
      <c r="D128" s="31"/>
      <c r="E128" s="31"/>
      <c r="F128" s="31"/>
      <c r="G128" s="128"/>
      <c r="H128" s="129"/>
      <c r="I128" s="31"/>
      <c r="J128" s="156" t="s">
        <v>243</v>
      </c>
      <c r="K128" s="52"/>
      <c r="L128" s="52"/>
      <c r="M128" s="52"/>
      <c r="N128" s="52"/>
      <c r="O128" s="52"/>
      <c r="P128" s="52"/>
      <c r="Q128" s="52"/>
      <c r="R128" s="156"/>
      <c r="S128" s="52"/>
      <c r="T128" s="52"/>
      <c r="U128" s="52"/>
      <c r="V128" s="52"/>
      <c r="W128" s="52"/>
      <c r="X128" s="52"/>
      <c r="Y128" s="52"/>
      <c r="Z128" s="52"/>
      <c r="AA128" s="52"/>
      <c r="AB128" s="52"/>
      <c r="AC128" s="52"/>
      <c r="AD128" s="52"/>
      <c r="AE128" s="52"/>
      <c r="AF128" s="52"/>
      <c r="AG128" s="52"/>
      <c r="AH128" s="52"/>
      <c r="AI128" s="52"/>
      <c r="AJ128" s="157"/>
      <c r="AK128" s="129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131"/>
    </row>
    <row r="129" spans="2:61" ht="20.100000000000001" customHeight="1" x14ac:dyDescent="0.45">
      <c r="B129" s="127"/>
      <c r="C129" s="31"/>
      <c r="D129" s="31"/>
      <c r="E129" s="31"/>
      <c r="F129" s="31"/>
      <c r="G129" s="128"/>
      <c r="H129" s="129"/>
      <c r="I129" s="31"/>
      <c r="J129" s="156" t="s">
        <v>244</v>
      </c>
      <c r="K129" s="52"/>
      <c r="L129" s="52"/>
      <c r="M129" s="52"/>
      <c r="N129" s="52"/>
      <c r="O129" s="52"/>
      <c r="P129" s="52"/>
      <c r="Q129" s="52"/>
      <c r="R129" s="156"/>
      <c r="S129" s="52"/>
      <c r="T129" s="52"/>
      <c r="U129" s="52"/>
      <c r="V129" s="52"/>
      <c r="W129" s="52"/>
      <c r="X129" s="52"/>
      <c r="Y129" s="52"/>
      <c r="Z129" s="52"/>
      <c r="AA129" s="52"/>
      <c r="AB129" s="52"/>
      <c r="AC129" s="52"/>
      <c r="AD129" s="52"/>
      <c r="AE129" s="52"/>
      <c r="AF129" s="52"/>
      <c r="AG129" s="52"/>
      <c r="AH129" s="52"/>
      <c r="AI129" s="52"/>
      <c r="AJ129" s="157"/>
      <c r="AK129" s="129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131"/>
    </row>
    <row r="130" spans="2:61" ht="20.100000000000001" customHeight="1" x14ac:dyDescent="0.45">
      <c r="B130" s="127"/>
      <c r="C130" s="31"/>
      <c r="D130" s="31"/>
      <c r="E130" s="31"/>
      <c r="F130" s="31"/>
      <c r="G130" s="128"/>
      <c r="H130" s="129"/>
      <c r="I130" s="31"/>
      <c r="J130" s="156" t="s">
        <v>245</v>
      </c>
      <c r="K130" s="52"/>
      <c r="L130" s="52"/>
      <c r="M130" s="52"/>
      <c r="N130" s="52"/>
      <c r="O130" s="52"/>
      <c r="P130" s="52"/>
      <c r="Q130" s="52"/>
      <c r="R130" s="156"/>
      <c r="S130" s="52"/>
      <c r="T130" s="52"/>
      <c r="U130" s="52"/>
      <c r="V130" s="52"/>
      <c r="W130" s="52"/>
      <c r="X130" s="52"/>
      <c r="Y130" s="52"/>
      <c r="Z130" s="52"/>
      <c r="AA130" s="52"/>
      <c r="AB130" s="52"/>
      <c r="AC130" s="52"/>
      <c r="AD130" s="52"/>
      <c r="AE130" s="52"/>
      <c r="AF130" s="52"/>
      <c r="AG130" s="52"/>
      <c r="AH130" s="52"/>
      <c r="AI130" s="52"/>
      <c r="AJ130" s="157"/>
      <c r="AK130" s="129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131"/>
    </row>
    <row r="131" spans="2:61" ht="20.100000000000001" customHeight="1" x14ac:dyDescent="0.45">
      <c r="B131" s="127"/>
      <c r="C131" s="31"/>
      <c r="D131" s="31"/>
      <c r="E131" s="31"/>
      <c r="F131" s="31"/>
      <c r="G131" s="128"/>
      <c r="H131" s="129"/>
      <c r="I131" s="31"/>
      <c r="J131" s="156" t="s">
        <v>147</v>
      </c>
      <c r="K131" s="52"/>
      <c r="L131" s="52"/>
      <c r="M131" s="52"/>
      <c r="N131" s="52"/>
      <c r="O131" s="52"/>
      <c r="P131" s="52"/>
      <c r="Q131" s="52"/>
      <c r="R131" s="156"/>
      <c r="S131" s="52"/>
      <c r="T131" s="52"/>
      <c r="U131" s="52"/>
      <c r="V131" s="52"/>
      <c r="W131" s="52"/>
      <c r="X131" s="52"/>
      <c r="Y131" s="52"/>
      <c r="Z131" s="52"/>
      <c r="AA131" s="52"/>
      <c r="AB131" s="52"/>
      <c r="AC131" s="52"/>
      <c r="AD131" s="52"/>
      <c r="AE131" s="52"/>
      <c r="AF131" s="52"/>
      <c r="AG131" s="52"/>
      <c r="AH131" s="52"/>
      <c r="AI131" s="52"/>
      <c r="AJ131" s="157"/>
      <c r="AK131" s="129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131"/>
    </row>
    <row r="132" spans="2:61" ht="20.100000000000001" customHeight="1" x14ac:dyDescent="0.45">
      <c r="B132" s="127"/>
      <c r="C132" s="31"/>
      <c r="D132" s="31"/>
      <c r="E132" s="31"/>
      <c r="F132" s="31"/>
      <c r="G132" s="128"/>
      <c r="H132" s="129"/>
      <c r="I132" s="31"/>
      <c r="J132" s="156" t="s">
        <v>149</v>
      </c>
      <c r="K132" s="52"/>
      <c r="L132" s="52"/>
      <c r="M132" s="52"/>
      <c r="N132" s="52"/>
      <c r="O132" s="52"/>
      <c r="P132" s="52"/>
      <c r="Q132" s="52"/>
      <c r="R132" s="156"/>
      <c r="S132" s="52"/>
      <c r="T132" s="52"/>
      <c r="U132" s="52"/>
      <c r="V132" s="52"/>
      <c r="W132" s="52"/>
      <c r="X132" s="52"/>
      <c r="Y132" s="52"/>
      <c r="Z132" s="52"/>
      <c r="AA132" s="52"/>
      <c r="AB132" s="52"/>
      <c r="AC132" s="52"/>
      <c r="AD132" s="52"/>
      <c r="AE132" s="52"/>
      <c r="AF132" s="52"/>
      <c r="AG132" s="52"/>
      <c r="AH132" s="52"/>
      <c r="AI132" s="52"/>
      <c r="AJ132" s="157"/>
      <c r="AK132" s="129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131"/>
    </row>
    <row r="133" spans="2:61" ht="20.100000000000001" customHeight="1" x14ac:dyDescent="0.45">
      <c r="B133" s="127"/>
      <c r="C133" s="31"/>
      <c r="D133" s="31"/>
      <c r="E133" s="31"/>
      <c r="F133" s="31"/>
      <c r="G133" s="128"/>
      <c r="H133" s="129"/>
      <c r="I133" s="31"/>
      <c r="J133" s="156" t="s">
        <v>151</v>
      </c>
      <c r="K133" s="52"/>
      <c r="L133" s="52"/>
      <c r="M133" s="52"/>
      <c r="N133" s="52"/>
      <c r="O133" s="52"/>
      <c r="P133" s="52"/>
      <c r="Q133" s="52"/>
      <c r="R133" s="156"/>
      <c r="S133" s="52"/>
      <c r="T133" s="52"/>
      <c r="U133" s="52"/>
      <c r="V133" s="52"/>
      <c r="W133" s="52"/>
      <c r="X133" s="52"/>
      <c r="Y133" s="52"/>
      <c r="Z133" s="52"/>
      <c r="AA133" s="52"/>
      <c r="AB133" s="52"/>
      <c r="AC133" s="52"/>
      <c r="AD133" s="52"/>
      <c r="AE133" s="52"/>
      <c r="AF133" s="52"/>
      <c r="AG133" s="52"/>
      <c r="AH133" s="52"/>
      <c r="AI133" s="52"/>
      <c r="AJ133" s="157"/>
      <c r="AK133" s="129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131"/>
    </row>
    <row r="134" spans="2:61" ht="20.100000000000001" customHeight="1" x14ac:dyDescent="0.45">
      <c r="B134" s="127"/>
      <c r="C134" s="31"/>
      <c r="D134" s="31"/>
      <c r="E134" s="31"/>
      <c r="F134" s="31"/>
      <c r="G134" s="128"/>
      <c r="H134" s="129"/>
      <c r="I134" s="31"/>
      <c r="J134" s="156" t="s">
        <v>153</v>
      </c>
      <c r="K134" s="52"/>
      <c r="L134" s="52"/>
      <c r="M134" s="52"/>
      <c r="N134" s="52"/>
      <c r="O134" s="52"/>
      <c r="P134" s="52"/>
      <c r="Q134" s="52"/>
      <c r="R134" s="156"/>
      <c r="S134" s="52"/>
      <c r="T134" s="52"/>
      <c r="U134" s="52"/>
      <c r="V134" s="52"/>
      <c r="W134" s="52"/>
      <c r="X134" s="52"/>
      <c r="Y134" s="52"/>
      <c r="Z134" s="52"/>
      <c r="AA134" s="52"/>
      <c r="AB134" s="52"/>
      <c r="AC134" s="52"/>
      <c r="AD134" s="52"/>
      <c r="AE134" s="52"/>
      <c r="AF134" s="52"/>
      <c r="AG134" s="52"/>
      <c r="AH134" s="52"/>
      <c r="AI134" s="52"/>
      <c r="AJ134" s="157"/>
      <c r="AK134" s="129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131"/>
    </row>
    <row r="135" spans="2:61" ht="20.100000000000001" customHeight="1" x14ac:dyDescent="0.45">
      <c r="B135" s="127"/>
      <c r="C135" s="31"/>
      <c r="D135" s="31"/>
      <c r="E135" s="31"/>
      <c r="F135" s="31"/>
      <c r="G135" s="128"/>
      <c r="H135" s="129"/>
      <c r="I135" s="31"/>
      <c r="J135" s="156" t="s">
        <v>238</v>
      </c>
      <c r="K135" s="52"/>
      <c r="L135" s="52"/>
      <c r="M135" s="52"/>
      <c r="N135" s="52"/>
      <c r="O135" s="52"/>
      <c r="P135" s="52"/>
      <c r="Q135" s="52"/>
      <c r="R135" s="156"/>
      <c r="S135" s="52"/>
      <c r="T135" s="52"/>
      <c r="U135" s="52"/>
      <c r="V135" s="52"/>
      <c r="W135" s="52"/>
      <c r="X135" s="52"/>
      <c r="Y135" s="52"/>
      <c r="Z135" s="52"/>
      <c r="AA135" s="52"/>
      <c r="AB135" s="52"/>
      <c r="AC135" s="52"/>
      <c r="AD135" s="52"/>
      <c r="AE135" s="52"/>
      <c r="AF135" s="52"/>
      <c r="AG135" s="52"/>
      <c r="AH135" s="52"/>
      <c r="AI135" s="52"/>
      <c r="AJ135" s="157"/>
      <c r="AK135" s="129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131"/>
    </row>
    <row r="136" spans="2:61" ht="20.100000000000001" customHeight="1" x14ac:dyDescent="0.45">
      <c r="B136" s="127"/>
      <c r="C136" s="31"/>
      <c r="D136" s="31"/>
      <c r="E136" s="31"/>
      <c r="F136" s="31"/>
      <c r="G136" s="128"/>
      <c r="H136" s="129"/>
      <c r="I136" s="31"/>
      <c r="J136" s="156" t="s">
        <v>246</v>
      </c>
      <c r="K136" s="52"/>
      <c r="L136" s="52"/>
      <c r="M136" s="52"/>
      <c r="N136" s="52"/>
      <c r="O136" s="52"/>
      <c r="P136" s="52"/>
      <c r="Q136" s="52"/>
      <c r="R136" s="156"/>
      <c r="S136" s="52"/>
      <c r="T136" s="52"/>
      <c r="U136" s="52"/>
      <c r="V136" s="52"/>
      <c r="W136" s="52"/>
      <c r="X136" s="52"/>
      <c r="Y136" s="52"/>
      <c r="Z136" s="52"/>
      <c r="AA136" s="52"/>
      <c r="AB136" s="52"/>
      <c r="AC136" s="52"/>
      <c r="AD136" s="52"/>
      <c r="AE136" s="52"/>
      <c r="AF136" s="52"/>
      <c r="AG136" s="52"/>
      <c r="AH136" s="52"/>
      <c r="AI136" s="52"/>
      <c r="AJ136" s="157"/>
      <c r="AK136" s="129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131"/>
    </row>
    <row r="137" spans="2:61" ht="20.100000000000001" customHeight="1" x14ac:dyDescent="0.45">
      <c r="B137" s="127"/>
      <c r="C137" s="31"/>
      <c r="D137" s="31"/>
      <c r="E137" s="31"/>
      <c r="F137" s="31"/>
      <c r="G137" s="128"/>
      <c r="H137" s="129"/>
      <c r="I137" s="31"/>
      <c r="J137" s="156" t="s">
        <v>247</v>
      </c>
      <c r="K137" s="52"/>
      <c r="L137" s="52"/>
      <c r="M137" s="52"/>
      <c r="N137" s="52"/>
      <c r="O137" s="52"/>
      <c r="P137" s="52"/>
      <c r="Q137" s="52"/>
      <c r="R137" s="156"/>
      <c r="S137" s="52"/>
      <c r="T137" s="52"/>
      <c r="U137" s="52"/>
      <c r="V137" s="52"/>
      <c r="W137" s="52"/>
      <c r="X137" s="52"/>
      <c r="Y137" s="52"/>
      <c r="Z137" s="52"/>
      <c r="AA137" s="52"/>
      <c r="AB137" s="52"/>
      <c r="AC137" s="52"/>
      <c r="AD137" s="52"/>
      <c r="AE137" s="52"/>
      <c r="AF137" s="52"/>
      <c r="AG137" s="52"/>
      <c r="AH137" s="52"/>
      <c r="AI137" s="52"/>
      <c r="AJ137" s="157"/>
      <c r="AK137" s="129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131"/>
    </row>
    <row r="138" spans="2:61" ht="20.100000000000001" customHeight="1" x14ac:dyDescent="0.45">
      <c r="B138" s="127"/>
      <c r="C138" s="31"/>
      <c r="D138" s="31"/>
      <c r="E138" s="31"/>
      <c r="F138" s="31"/>
      <c r="G138" s="128"/>
      <c r="H138" s="129"/>
      <c r="I138" s="31"/>
      <c r="J138" s="156" t="s">
        <v>248</v>
      </c>
      <c r="K138" s="52"/>
      <c r="L138" s="52"/>
      <c r="M138" s="52"/>
      <c r="N138" s="52"/>
      <c r="O138" s="52"/>
      <c r="P138" s="52"/>
      <c r="Q138" s="52"/>
      <c r="R138" s="156"/>
      <c r="S138" s="52"/>
      <c r="T138" s="52"/>
      <c r="U138" s="52"/>
      <c r="V138" s="52"/>
      <c r="W138" s="52"/>
      <c r="X138" s="52"/>
      <c r="Y138" s="52"/>
      <c r="Z138" s="52"/>
      <c r="AA138" s="52"/>
      <c r="AB138" s="52"/>
      <c r="AC138" s="52"/>
      <c r="AD138" s="52"/>
      <c r="AE138" s="52"/>
      <c r="AF138" s="52"/>
      <c r="AG138" s="52"/>
      <c r="AH138" s="52"/>
      <c r="AI138" s="52"/>
      <c r="AJ138" s="157"/>
      <c r="AK138" s="129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131"/>
    </row>
    <row r="139" spans="2:61" ht="20.100000000000001" customHeight="1" x14ac:dyDescent="0.45">
      <c r="B139" s="127"/>
      <c r="C139" s="31"/>
      <c r="D139" s="31"/>
      <c r="E139" s="31"/>
      <c r="F139" s="31"/>
      <c r="G139" s="128"/>
      <c r="H139" s="129"/>
      <c r="I139" s="31"/>
      <c r="J139" s="156" t="s">
        <v>218</v>
      </c>
      <c r="K139" s="52"/>
      <c r="L139" s="52"/>
      <c r="M139" s="52"/>
      <c r="N139" s="52"/>
      <c r="O139" s="52"/>
      <c r="P139" s="52"/>
      <c r="Q139" s="52"/>
      <c r="R139" s="156"/>
      <c r="S139" s="52"/>
      <c r="T139" s="52"/>
      <c r="U139" s="52"/>
      <c r="V139" s="52"/>
      <c r="W139" s="52"/>
      <c r="X139" s="52"/>
      <c r="Y139" s="52"/>
      <c r="Z139" s="52"/>
      <c r="AA139" s="52"/>
      <c r="AB139" s="52"/>
      <c r="AC139" s="52"/>
      <c r="AD139" s="52"/>
      <c r="AE139" s="52"/>
      <c r="AF139" s="52"/>
      <c r="AG139" s="52"/>
      <c r="AH139" s="52"/>
      <c r="AI139" s="52"/>
      <c r="AJ139" s="157"/>
      <c r="AK139" s="129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131"/>
    </row>
    <row r="140" spans="2:61" ht="20.100000000000001" customHeight="1" x14ac:dyDescent="0.45">
      <c r="B140" s="127"/>
      <c r="C140" s="31"/>
      <c r="D140" s="31"/>
      <c r="E140" s="31"/>
      <c r="F140" s="31"/>
      <c r="G140" s="128"/>
      <c r="H140" s="129"/>
      <c r="I140" s="31"/>
      <c r="J140" s="156" t="s">
        <v>219</v>
      </c>
      <c r="K140" s="52"/>
      <c r="L140" s="52"/>
      <c r="M140" s="52"/>
      <c r="N140" s="52"/>
      <c r="O140" s="52"/>
      <c r="P140" s="52"/>
      <c r="Q140" s="52"/>
      <c r="R140" s="156"/>
      <c r="S140" s="52"/>
      <c r="T140" s="52"/>
      <c r="U140" s="52"/>
      <c r="V140" s="52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157"/>
      <c r="AK140" s="129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131"/>
    </row>
    <row r="141" spans="2:61" ht="20.100000000000001" customHeight="1" x14ac:dyDescent="0.45">
      <c r="B141" s="127"/>
      <c r="C141" s="31"/>
      <c r="D141" s="31"/>
      <c r="E141" s="31"/>
      <c r="F141" s="31"/>
      <c r="G141" s="128"/>
      <c r="H141" s="135"/>
      <c r="I141" s="136"/>
      <c r="J141" s="156" t="s">
        <v>249</v>
      </c>
      <c r="K141" s="52"/>
      <c r="L141" s="52"/>
      <c r="M141" s="52"/>
      <c r="N141" s="52"/>
      <c r="O141" s="52"/>
      <c r="P141" s="52"/>
      <c r="Q141" s="52"/>
      <c r="R141" s="156"/>
      <c r="S141" s="52"/>
      <c r="T141" s="52"/>
      <c r="U141" s="52"/>
      <c r="V141" s="52"/>
      <c r="W141" s="52"/>
      <c r="X141" s="52"/>
      <c r="Y141" s="52"/>
      <c r="Z141" s="52"/>
      <c r="AA141" s="52"/>
      <c r="AB141" s="52"/>
      <c r="AC141" s="52"/>
      <c r="AD141" s="52"/>
      <c r="AE141" s="52"/>
      <c r="AF141" s="52"/>
      <c r="AG141" s="52"/>
      <c r="AH141" s="52"/>
      <c r="AI141" s="52"/>
      <c r="AJ141" s="157"/>
      <c r="AK141" s="135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8"/>
    </row>
    <row r="142" spans="2:61" ht="20.100000000000001" customHeight="1" x14ac:dyDescent="0.45">
      <c r="B142" s="127"/>
      <c r="C142" s="31"/>
      <c r="D142" s="31"/>
      <c r="E142" s="31"/>
      <c r="F142" s="31"/>
      <c r="G142" s="128"/>
      <c r="H142" s="129" t="s">
        <v>250</v>
      </c>
      <c r="I142" s="31"/>
      <c r="J142" s="129" t="s">
        <v>251</v>
      </c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129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131"/>
    </row>
    <row r="143" spans="2:61" ht="20.100000000000001" customHeight="1" x14ac:dyDescent="0.45">
      <c r="B143" s="127"/>
      <c r="C143" s="31"/>
      <c r="D143" s="31"/>
      <c r="E143" s="31"/>
      <c r="F143" s="31"/>
      <c r="G143" s="128"/>
      <c r="H143" s="135"/>
      <c r="I143" s="136"/>
      <c r="J143" s="135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5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8"/>
    </row>
    <row r="144" spans="2:61" ht="20.100000000000001" customHeight="1" x14ac:dyDescent="0.45">
      <c r="B144" s="127"/>
      <c r="C144" s="31"/>
      <c r="D144" s="31"/>
      <c r="E144" s="31"/>
      <c r="F144" s="31"/>
      <c r="G144" s="128"/>
      <c r="H144" s="129" t="s">
        <v>252</v>
      </c>
      <c r="I144" s="31"/>
      <c r="J144" s="129" t="s">
        <v>253</v>
      </c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129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131"/>
    </row>
    <row r="145" spans="2:61" ht="20.100000000000001" customHeight="1" x14ac:dyDescent="0.45">
      <c r="B145" s="127"/>
      <c r="C145" s="31"/>
      <c r="D145" s="31"/>
      <c r="E145" s="31"/>
      <c r="F145" s="31"/>
      <c r="G145" s="128"/>
      <c r="H145" s="129"/>
      <c r="I145" s="31"/>
      <c r="J145" s="129"/>
      <c r="K145" s="31" t="s">
        <v>254</v>
      </c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129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131"/>
    </row>
    <row r="146" spans="2:61" ht="20.100000000000001" customHeight="1" x14ac:dyDescent="0.45">
      <c r="B146" s="127"/>
      <c r="C146" s="31"/>
      <c r="D146" s="31"/>
      <c r="E146" s="31"/>
      <c r="F146" s="31"/>
      <c r="G146" s="128"/>
      <c r="H146" s="129"/>
      <c r="I146" s="31"/>
      <c r="J146" s="129"/>
      <c r="K146" s="31"/>
      <c r="L146" s="31" t="s">
        <v>255</v>
      </c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129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131"/>
    </row>
    <row r="147" spans="2:61" ht="20.100000000000001" customHeight="1" x14ac:dyDescent="0.45">
      <c r="B147" s="127"/>
      <c r="C147" s="31"/>
      <c r="D147" s="31"/>
      <c r="E147" s="31"/>
      <c r="F147" s="31"/>
      <c r="G147" s="128"/>
      <c r="H147" s="129"/>
      <c r="I147" s="31"/>
      <c r="J147" s="129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129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131"/>
    </row>
    <row r="148" spans="2:61" ht="20.100000000000001" customHeight="1" x14ac:dyDescent="0.45">
      <c r="B148" s="127"/>
      <c r="C148" s="31"/>
      <c r="D148" s="31"/>
      <c r="E148" s="31"/>
      <c r="F148" s="31"/>
      <c r="G148" s="128"/>
      <c r="H148" s="129"/>
      <c r="I148" s="31"/>
      <c r="J148" s="129" t="s">
        <v>253</v>
      </c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129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131"/>
    </row>
    <row r="149" spans="2:61" ht="20.100000000000001" customHeight="1" x14ac:dyDescent="0.45">
      <c r="B149" s="127"/>
      <c r="C149" s="31"/>
      <c r="D149" s="31"/>
      <c r="E149" s="31"/>
      <c r="F149" s="31"/>
      <c r="G149" s="128"/>
      <c r="H149" s="129"/>
      <c r="I149" s="31"/>
      <c r="J149" s="129"/>
      <c r="K149" s="31" t="s">
        <v>256</v>
      </c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129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131"/>
    </row>
    <row r="150" spans="2:61" ht="20.100000000000001" customHeight="1" x14ac:dyDescent="0.45">
      <c r="B150" s="127"/>
      <c r="C150" s="31"/>
      <c r="D150" s="31"/>
      <c r="E150" s="31"/>
      <c r="F150" s="31"/>
      <c r="G150" s="128"/>
      <c r="H150" s="129"/>
      <c r="I150" s="31"/>
      <c r="J150" s="129"/>
      <c r="K150" s="31"/>
      <c r="L150" s="31" t="s">
        <v>257</v>
      </c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129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131"/>
    </row>
    <row r="151" spans="2:61" ht="20.100000000000001" customHeight="1" x14ac:dyDescent="0.45">
      <c r="B151" s="127"/>
      <c r="C151" s="31"/>
      <c r="D151" s="31"/>
      <c r="E151" s="31"/>
      <c r="F151" s="31"/>
      <c r="G151" s="128"/>
      <c r="H151" s="135"/>
      <c r="I151" s="136"/>
      <c r="J151" s="135"/>
      <c r="K151" s="136"/>
      <c r="L151" s="136"/>
      <c r="M151" s="136"/>
      <c r="N151" s="136"/>
      <c r="O151" s="136"/>
      <c r="P151" s="136"/>
      <c r="Q151" s="136"/>
      <c r="R151" s="136"/>
      <c r="S151" s="136"/>
      <c r="T151" s="136"/>
      <c r="U151" s="136"/>
      <c r="V151" s="136"/>
      <c r="W151" s="136"/>
      <c r="X151" s="136"/>
      <c r="Y151" s="136"/>
      <c r="Z151" s="136"/>
      <c r="AA151" s="136"/>
      <c r="AB151" s="136"/>
      <c r="AC151" s="136"/>
      <c r="AD151" s="136"/>
      <c r="AE151" s="136"/>
      <c r="AF151" s="136"/>
      <c r="AG151" s="136"/>
      <c r="AH151" s="136"/>
      <c r="AI151" s="136"/>
      <c r="AJ151" s="136"/>
      <c r="AK151" s="135"/>
      <c r="AL151" s="136"/>
      <c r="AM151" s="136"/>
      <c r="AN151" s="136"/>
      <c r="AO151" s="136"/>
      <c r="AP151" s="136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136"/>
      <c r="BD151" s="136"/>
      <c r="BE151" s="136"/>
      <c r="BF151" s="136"/>
      <c r="BG151" s="136"/>
      <c r="BH151" s="136"/>
      <c r="BI151" s="138"/>
    </row>
    <row r="152" spans="2:61" ht="20.100000000000001" customHeight="1" x14ac:dyDescent="0.45">
      <c r="B152" s="127"/>
      <c r="C152" s="31"/>
      <c r="D152" s="31"/>
      <c r="E152" s="31"/>
      <c r="F152" s="31"/>
      <c r="G152" s="128"/>
      <c r="H152" s="129" t="s">
        <v>258</v>
      </c>
      <c r="I152" s="31"/>
      <c r="J152" s="129" t="s">
        <v>259</v>
      </c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129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131"/>
    </row>
    <row r="153" spans="2:61" ht="20.100000000000001" customHeight="1" x14ac:dyDescent="0.45">
      <c r="B153" s="127"/>
      <c r="C153" s="31"/>
      <c r="D153" s="31"/>
      <c r="E153" s="31"/>
      <c r="F153" s="31"/>
      <c r="G153" s="128"/>
      <c r="H153" s="129"/>
      <c r="I153" s="31"/>
      <c r="J153" s="129" t="s">
        <v>260</v>
      </c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129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131"/>
    </row>
    <row r="154" spans="2:61" ht="20.100000000000001" customHeight="1" x14ac:dyDescent="0.45">
      <c r="B154" s="127"/>
      <c r="C154" s="31"/>
      <c r="D154" s="31"/>
      <c r="E154" s="31"/>
      <c r="F154" s="31"/>
      <c r="G154" s="128"/>
      <c r="H154" s="129"/>
      <c r="I154" s="31"/>
      <c r="J154" s="129" t="s">
        <v>261</v>
      </c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129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131"/>
    </row>
    <row r="155" spans="2:61" ht="20.100000000000001" customHeight="1" x14ac:dyDescent="0.45">
      <c r="B155" s="127"/>
      <c r="C155" s="31"/>
      <c r="D155" s="31"/>
      <c r="E155" s="31"/>
      <c r="F155" s="31"/>
      <c r="G155" s="128"/>
      <c r="H155" s="129"/>
      <c r="I155" s="31"/>
      <c r="J155" s="129" t="s">
        <v>262</v>
      </c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129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131"/>
    </row>
    <row r="156" spans="2:61" ht="20.100000000000001" customHeight="1" x14ac:dyDescent="0.45">
      <c r="B156" s="127"/>
      <c r="C156" s="31"/>
      <c r="D156" s="31"/>
      <c r="E156" s="31"/>
      <c r="F156" s="31"/>
      <c r="G156" s="128"/>
      <c r="H156" s="129"/>
      <c r="I156" s="31"/>
      <c r="J156" s="129" t="s">
        <v>263</v>
      </c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129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131"/>
    </row>
    <row r="157" spans="2:61" ht="20.100000000000001" customHeight="1" x14ac:dyDescent="0.45">
      <c r="B157" s="127"/>
      <c r="C157" s="31"/>
      <c r="D157" s="31"/>
      <c r="E157" s="31"/>
      <c r="F157" s="31"/>
      <c r="G157" s="128"/>
      <c r="H157" s="135"/>
      <c r="I157" s="136"/>
      <c r="J157" s="135"/>
      <c r="K157" s="136"/>
      <c r="L157" s="136"/>
      <c r="M157" s="136"/>
      <c r="N157" s="136"/>
      <c r="O157" s="136"/>
      <c r="P157" s="136"/>
      <c r="Q157" s="136"/>
      <c r="R157" s="136"/>
      <c r="S157" s="136"/>
      <c r="T157" s="136"/>
      <c r="U157" s="136"/>
      <c r="V157" s="136"/>
      <c r="W157" s="136"/>
      <c r="X157" s="136"/>
      <c r="Y157" s="136"/>
      <c r="Z157" s="136"/>
      <c r="AA157" s="136"/>
      <c r="AB157" s="136"/>
      <c r="AC157" s="136"/>
      <c r="AD157" s="136"/>
      <c r="AE157" s="136"/>
      <c r="AF157" s="136"/>
      <c r="AG157" s="136"/>
      <c r="AH157" s="136"/>
      <c r="AI157" s="136"/>
      <c r="AJ157" s="136"/>
      <c r="AK157" s="135"/>
      <c r="AL157" s="136"/>
      <c r="AM157" s="136"/>
      <c r="AN157" s="136"/>
      <c r="AO157" s="136"/>
      <c r="AP157" s="136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136"/>
      <c r="BD157" s="136"/>
      <c r="BE157" s="136"/>
      <c r="BF157" s="136"/>
      <c r="BG157" s="136"/>
      <c r="BH157" s="136"/>
      <c r="BI157" s="138"/>
    </row>
    <row r="158" spans="2:61" ht="20.100000000000001" customHeight="1" x14ac:dyDescent="0.45">
      <c r="B158" s="127"/>
      <c r="C158" s="31"/>
      <c r="D158" s="31"/>
      <c r="E158" s="31"/>
      <c r="F158" s="31"/>
      <c r="G158" s="128"/>
      <c r="H158" s="129" t="s">
        <v>264</v>
      </c>
      <c r="I158" s="31"/>
      <c r="J158" s="129" t="s">
        <v>262</v>
      </c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129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131"/>
    </row>
    <row r="159" spans="2:61" ht="20.100000000000001" customHeight="1" x14ac:dyDescent="0.45">
      <c r="B159" s="127"/>
      <c r="C159" s="31"/>
      <c r="D159" s="31"/>
      <c r="E159" s="31"/>
      <c r="F159" s="31"/>
      <c r="G159" s="128"/>
      <c r="H159" s="129"/>
      <c r="I159" s="31"/>
      <c r="J159" s="129" t="s">
        <v>265</v>
      </c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129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131"/>
    </row>
    <row r="160" spans="2:61" ht="20.100000000000001" customHeight="1" x14ac:dyDescent="0.45">
      <c r="B160" s="127"/>
      <c r="C160" s="31"/>
      <c r="D160" s="31"/>
      <c r="E160" s="31"/>
      <c r="F160" s="31"/>
      <c r="G160" s="128"/>
      <c r="H160" s="129"/>
      <c r="I160" s="31"/>
      <c r="J160" s="129" t="s">
        <v>260</v>
      </c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129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131"/>
    </row>
    <row r="161" spans="2:61" ht="20.100000000000001" customHeight="1" x14ac:dyDescent="0.45">
      <c r="B161" s="127"/>
      <c r="C161" s="31"/>
      <c r="D161" s="31"/>
      <c r="E161" s="31"/>
      <c r="F161" s="31"/>
      <c r="G161" s="128"/>
      <c r="H161" s="129"/>
      <c r="I161" s="31"/>
      <c r="J161" s="129" t="s">
        <v>263</v>
      </c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129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131"/>
    </row>
    <row r="162" spans="2:61" ht="20.100000000000001" customHeight="1" x14ac:dyDescent="0.45">
      <c r="B162" s="160"/>
      <c r="C162" s="136"/>
      <c r="D162" s="136"/>
      <c r="E162" s="136"/>
      <c r="F162" s="136"/>
      <c r="G162" s="159"/>
      <c r="H162" s="135"/>
      <c r="I162" s="136"/>
      <c r="J162" s="135" t="s">
        <v>266</v>
      </c>
      <c r="K162" s="136"/>
      <c r="L162" s="136"/>
      <c r="M162" s="136"/>
      <c r="N162" s="136"/>
      <c r="O162" s="136"/>
      <c r="P162" s="136"/>
      <c r="Q162" s="136"/>
      <c r="R162" s="136"/>
      <c r="S162" s="136"/>
      <c r="T162" s="136"/>
      <c r="U162" s="136"/>
      <c r="V162" s="136"/>
      <c r="W162" s="136"/>
      <c r="X162" s="136"/>
      <c r="Y162" s="136"/>
      <c r="Z162" s="136"/>
      <c r="AA162" s="136"/>
      <c r="AB162" s="136"/>
      <c r="AC162" s="136"/>
      <c r="AD162" s="136"/>
      <c r="AE162" s="136"/>
      <c r="AF162" s="136"/>
      <c r="AG162" s="136"/>
      <c r="AH162" s="136"/>
      <c r="AI162" s="136"/>
      <c r="AJ162" s="136"/>
      <c r="AK162" s="135"/>
      <c r="AL162" s="136"/>
      <c r="AM162" s="136"/>
      <c r="AN162" s="136"/>
      <c r="AO162" s="136"/>
      <c r="AP162" s="136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136"/>
      <c r="BD162" s="136"/>
      <c r="BE162" s="136"/>
      <c r="BF162" s="136"/>
      <c r="BG162" s="136"/>
      <c r="BH162" s="136"/>
      <c r="BI162" s="138"/>
    </row>
    <row r="163" spans="2:61" ht="20.100000000000001" customHeight="1" x14ac:dyDescent="0.45">
      <c r="B163" s="127" t="s">
        <v>251</v>
      </c>
      <c r="C163" s="31"/>
      <c r="D163" s="31"/>
      <c r="E163" s="31"/>
      <c r="F163" s="31"/>
      <c r="G163" s="128"/>
      <c r="H163" s="129" t="s">
        <v>267</v>
      </c>
      <c r="I163" s="31"/>
      <c r="J163" s="156" t="s">
        <v>268</v>
      </c>
      <c r="K163" s="52"/>
      <c r="L163" s="52"/>
      <c r="M163" s="52"/>
      <c r="N163" s="52"/>
      <c r="O163" s="52"/>
      <c r="P163" s="52"/>
      <c r="Q163" s="52"/>
      <c r="R163" s="156" t="s">
        <v>271</v>
      </c>
      <c r="S163" s="52"/>
      <c r="T163" s="52"/>
      <c r="U163" s="52"/>
      <c r="V163" s="52"/>
      <c r="W163" s="52"/>
      <c r="X163" s="52"/>
      <c r="Y163" s="52"/>
      <c r="Z163" s="52"/>
      <c r="AA163" s="52"/>
      <c r="AB163" s="52"/>
      <c r="AC163" s="52"/>
      <c r="AD163" s="52"/>
      <c r="AE163" s="52"/>
      <c r="AF163" s="52"/>
      <c r="AG163" s="52"/>
      <c r="AH163" s="52"/>
      <c r="AI163" s="52"/>
      <c r="AJ163" s="157"/>
      <c r="AK163" s="129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131"/>
    </row>
    <row r="164" spans="2:61" ht="20.100000000000001" customHeight="1" x14ac:dyDescent="0.45">
      <c r="B164" s="127"/>
      <c r="C164" s="31"/>
      <c r="D164" s="31"/>
      <c r="E164" s="31"/>
      <c r="F164" s="31"/>
      <c r="G164" s="128"/>
      <c r="H164" s="129"/>
      <c r="I164" s="31"/>
      <c r="J164" s="156" t="s">
        <v>269</v>
      </c>
      <c r="K164" s="52"/>
      <c r="L164" s="52"/>
      <c r="M164" s="52"/>
      <c r="N164" s="52"/>
      <c r="O164" s="52"/>
      <c r="P164" s="52"/>
      <c r="Q164" s="52"/>
      <c r="R164" s="156" t="s">
        <v>272</v>
      </c>
      <c r="S164" s="52"/>
      <c r="T164" s="52"/>
      <c r="U164" s="52"/>
      <c r="V164" s="52"/>
      <c r="W164" s="52"/>
      <c r="X164" s="52"/>
      <c r="Y164" s="52"/>
      <c r="Z164" s="52"/>
      <c r="AA164" s="52"/>
      <c r="AB164" s="52"/>
      <c r="AC164" s="52"/>
      <c r="AD164" s="52"/>
      <c r="AE164" s="52"/>
      <c r="AF164" s="52"/>
      <c r="AG164" s="52"/>
      <c r="AH164" s="52"/>
      <c r="AI164" s="52"/>
      <c r="AJ164" s="157"/>
      <c r="AK164" s="129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131"/>
    </row>
    <row r="165" spans="2:61" ht="20.100000000000001" customHeight="1" x14ac:dyDescent="0.45">
      <c r="B165" s="127"/>
      <c r="C165" s="31"/>
      <c r="D165" s="31"/>
      <c r="E165" s="31"/>
      <c r="F165" s="31"/>
      <c r="G165" s="128"/>
      <c r="H165" s="129"/>
      <c r="I165" s="31"/>
      <c r="J165" s="156" t="s">
        <v>270</v>
      </c>
      <c r="K165" s="52"/>
      <c r="L165" s="52"/>
      <c r="M165" s="52"/>
      <c r="N165" s="52"/>
      <c r="O165" s="52"/>
      <c r="P165" s="52"/>
      <c r="Q165" s="52"/>
      <c r="R165" s="156" t="s">
        <v>273</v>
      </c>
      <c r="S165" s="52"/>
      <c r="T165" s="52"/>
      <c r="U165" s="52"/>
      <c r="V165" s="52"/>
      <c r="W165" s="52"/>
      <c r="X165" s="52"/>
      <c r="Y165" s="52"/>
      <c r="Z165" s="52"/>
      <c r="AA165" s="52"/>
      <c r="AB165" s="52"/>
      <c r="AC165" s="52"/>
      <c r="AD165" s="52"/>
      <c r="AE165" s="52"/>
      <c r="AF165" s="52"/>
      <c r="AG165" s="52"/>
      <c r="AH165" s="52"/>
      <c r="AI165" s="52"/>
      <c r="AJ165" s="157"/>
      <c r="AK165" s="129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131"/>
    </row>
    <row r="166" spans="2:61" ht="20.100000000000001" customHeight="1" x14ac:dyDescent="0.45">
      <c r="B166" s="127"/>
      <c r="C166" s="31"/>
      <c r="D166" s="31"/>
      <c r="E166" s="31"/>
      <c r="F166" s="31"/>
      <c r="G166" s="128"/>
      <c r="H166" s="135"/>
      <c r="I166" s="159"/>
      <c r="J166" s="156"/>
      <c r="K166" s="52"/>
      <c r="L166" s="52"/>
      <c r="M166" s="52"/>
      <c r="N166" s="52"/>
      <c r="O166" s="52"/>
      <c r="P166" s="52"/>
      <c r="Q166" s="52"/>
      <c r="R166" s="156"/>
      <c r="S166" s="52"/>
      <c r="T166" s="52"/>
      <c r="U166" s="52"/>
      <c r="V166" s="52"/>
      <c r="W166" s="52"/>
      <c r="X166" s="52"/>
      <c r="Y166" s="52"/>
      <c r="Z166" s="52"/>
      <c r="AA166" s="52"/>
      <c r="AB166" s="52"/>
      <c r="AC166" s="52"/>
      <c r="AD166" s="52"/>
      <c r="AE166" s="52"/>
      <c r="AF166" s="52"/>
      <c r="AG166" s="52"/>
      <c r="AH166" s="52"/>
      <c r="AI166" s="52"/>
      <c r="AJ166" s="157"/>
      <c r="AK166" s="129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131"/>
    </row>
    <row r="167" spans="2:61" ht="20.100000000000001" customHeight="1" x14ac:dyDescent="0.45">
      <c r="B167" s="127"/>
      <c r="C167" s="31"/>
      <c r="D167" s="31"/>
      <c r="E167" s="31"/>
      <c r="F167" s="31"/>
      <c r="G167" s="128"/>
      <c r="H167" s="129" t="s">
        <v>250</v>
      </c>
      <c r="I167" s="31"/>
      <c r="J167" s="129" t="s">
        <v>271</v>
      </c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129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131"/>
    </row>
    <row r="168" spans="2:61" ht="20.100000000000001" customHeight="1" thickBot="1" x14ac:dyDescent="0.5">
      <c r="B168" s="127"/>
      <c r="C168" s="31"/>
      <c r="D168" s="31"/>
      <c r="E168" s="31"/>
      <c r="F168" s="31"/>
      <c r="G168" s="128"/>
      <c r="H168" s="135"/>
      <c r="I168" s="136"/>
      <c r="J168" s="135"/>
      <c r="K168" s="136"/>
      <c r="L168" s="136"/>
      <c r="M168" s="136"/>
      <c r="N168" s="136"/>
      <c r="O168" s="136"/>
      <c r="P168" s="136"/>
      <c r="Q168" s="136"/>
      <c r="R168" s="136"/>
      <c r="S168" s="136"/>
      <c r="T168" s="136"/>
      <c r="U168" s="136"/>
      <c r="V168" s="136"/>
      <c r="W168" s="136"/>
      <c r="X168" s="136"/>
      <c r="Y168" s="136"/>
      <c r="Z168" s="136"/>
      <c r="AA168" s="136"/>
      <c r="AB168" s="136"/>
      <c r="AC168" s="136"/>
      <c r="AD168" s="136"/>
      <c r="AE168" s="136"/>
      <c r="AF168" s="136"/>
      <c r="AG168" s="136"/>
      <c r="AH168" s="136"/>
      <c r="AI168" s="136"/>
      <c r="AJ168" s="136"/>
      <c r="AK168" s="135"/>
      <c r="AL168" s="136"/>
      <c r="AM168" s="136"/>
      <c r="AN168" s="136"/>
      <c r="AO168" s="136"/>
      <c r="AP168" s="136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136"/>
      <c r="BD168" s="136"/>
      <c r="BE168" s="136"/>
      <c r="BF168" s="136"/>
      <c r="BG168" s="136"/>
      <c r="BH168" s="136"/>
      <c r="BI168" s="138"/>
    </row>
    <row r="169" spans="2:61" ht="5.0999999999999996" customHeight="1" x14ac:dyDescent="0.45"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2"/>
      <c r="AE169" s="122"/>
      <c r="AF169" s="122"/>
      <c r="AG169" s="122"/>
      <c r="AH169" s="122"/>
      <c r="AI169" s="122"/>
      <c r="AJ169" s="122"/>
      <c r="AK169" s="122"/>
      <c r="AL169" s="122"/>
      <c r="AM169" s="122"/>
      <c r="AN169" s="122"/>
      <c r="AO169" s="122"/>
      <c r="AP169" s="122"/>
      <c r="AQ169" s="122"/>
      <c r="AR169" s="122"/>
      <c r="AS169" s="122"/>
      <c r="AT169" s="122"/>
      <c r="AU169" s="122"/>
      <c r="AV169" s="122"/>
      <c r="AW169" s="122"/>
      <c r="AX169" s="122"/>
      <c r="AY169" s="122"/>
      <c r="AZ169" s="122"/>
      <c r="BA169" s="122"/>
      <c r="BB169" s="122"/>
      <c r="BC169" s="122"/>
      <c r="BD169" s="122"/>
      <c r="BE169" s="122"/>
      <c r="BF169" s="122"/>
      <c r="BG169" s="122"/>
      <c r="BH169" s="122"/>
      <c r="BI169" s="122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B1:BM36"/>
  <sheetViews>
    <sheetView showGridLines="0" zoomScaleNormal="100" zoomScaleSheetLayoutView="100" workbookViewId="0">
      <selection activeCell="P16" sqref="P16"/>
    </sheetView>
  </sheetViews>
  <sheetFormatPr defaultColWidth="3.59765625" defaultRowHeight="20.100000000000001" customHeight="1" x14ac:dyDescent="0.45"/>
  <cols>
    <col min="1" max="1" width="0.8984375" style="6" customWidth="1"/>
    <col min="2" max="65" width="3.59765625" style="6"/>
    <col min="66" max="66" width="0.8984375" style="6" customWidth="1"/>
    <col min="67" max="16384" width="3.59765625" style="6"/>
  </cols>
  <sheetData>
    <row r="1" spans="2:65" ht="5.0999999999999996" customHeight="1" thickBot="1" x14ac:dyDescent="0.5"/>
    <row r="2" spans="2:65" ht="20.100000000000001" customHeight="1" x14ac:dyDescent="0.45">
      <c r="B2" s="228" t="s">
        <v>0</v>
      </c>
      <c r="C2" s="223"/>
      <c r="D2" s="223"/>
      <c r="E2" s="223"/>
      <c r="F2" s="223"/>
      <c r="G2" s="223"/>
      <c r="H2" s="223" t="s">
        <v>17</v>
      </c>
      <c r="I2" s="223"/>
      <c r="J2" s="223"/>
      <c r="K2" s="223"/>
      <c r="L2" s="223" t="s">
        <v>1</v>
      </c>
      <c r="M2" s="223"/>
      <c r="N2" s="223"/>
      <c r="O2" s="223"/>
      <c r="P2" s="223"/>
      <c r="Q2" s="223"/>
      <c r="R2" s="223" t="s">
        <v>2</v>
      </c>
      <c r="S2" s="223"/>
      <c r="T2" s="223"/>
      <c r="U2" s="223"/>
      <c r="V2" s="223"/>
      <c r="W2" s="223"/>
      <c r="X2" s="229" t="s">
        <v>3</v>
      </c>
      <c r="Y2" s="230"/>
      <c r="Z2" s="230"/>
      <c r="AA2" s="230"/>
      <c r="AB2" s="230"/>
      <c r="AC2" s="230"/>
      <c r="AD2" s="230"/>
      <c r="AE2" s="230"/>
      <c r="AF2" s="230"/>
      <c r="AG2" s="230"/>
      <c r="AH2" s="230"/>
      <c r="AI2" s="230"/>
      <c r="AJ2" s="231"/>
      <c r="AK2" s="229" t="s">
        <v>32</v>
      </c>
      <c r="AL2" s="230"/>
      <c r="AM2" s="230"/>
      <c r="AN2" s="230"/>
      <c r="AO2" s="230"/>
      <c r="AP2" s="230"/>
      <c r="AQ2" s="230"/>
      <c r="AR2" s="230"/>
      <c r="AS2" s="230"/>
      <c r="AT2" s="230"/>
      <c r="AU2" s="230"/>
      <c r="AV2" s="230"/>
      <c r="AW2" s="231"/>
      <c r="AX2" s="223" t="s">
        <v>5</v>
      </c>
      <c r="AY2" s="223"/>
      <c r="AZ2" s="223"/>
      <c r="BA2" s="223"/>
      <c r="BB2" s="223" t="s">
        <v>4</v>
      </c>
      <c r="BC2" s="223"/>
      <c r="BD2" s="223"/>
      <c r="BE2" s="223"/>
      <c r="BF2" s="223" t="s">
        <v>6</v>
      </c>
      <c r="BG2" s="223"/>
      <c r="BH2" s="223"/>
      <c r="BI2" s="223"/>
      <c r="BJ2" s="223" t="s">
        <v>7</v>
      </c>
      <c r="BK2" s="223"/>
      <c r="BL2" s="223"/>
      <c r="BM2" s="224"/>
    </row>
    <row r="3" spans="2:65" ht="20.100000000000001" customHeight="1" x14ac:dyDescent="0.45">
      <c r="B3" s="232" t="str">
        <f>変更履歴!B3</f>
        <v>受発注システム</v>
      </c>
      <c r="C3" s="172"/>
      <c r="D3" s="172"/>
      <c r="E3" s="172"/>
      <c r="F3" s="172"/>
      <c r="G3" s="172"/>
      <c r="H3" s="172" t="str">
        <f ca="1">変更履歴!H3</f>
        <v>SU1000</v>
      </c>
      <c r="I3" s="172"/>
      <c r="J3" s="172"/>
      <c r="K3" s="172"/>
      <c r="L3" s="172" t="str">
        <f>変更履歴!L3</f>
        <v>受発注</v>
      </c>
      <c r="M3" s="172"/>
      <c r="N3" s="172"/>
      <c r="O3" s="172"/>
      <c r="P3" s="172"/>
      <c r="Q3" s="172"/>
      <c r="R3" s="172" t="str">
        <f ca="1">変更履歴!R3</f>
        <v>帳票設計書</v>
      </c>
      <c r="S3" s="172"/>
      <c r="T3" s="172"/>
      <c r="U3" s="172"/>
      <c r="V3" s="172"/>
      <c r="W3" s="172"/>
      <c r="X3" s="175" t="str">
        <f ca="1">変更履歴!X3</f>
        <v>SU1000_ウエルシア中日施工集計表_帳票設計書</v>
      </c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7"/>
      <c r="AK3" s="175" t="str">
        <f ca="1">変更履歴!AK3</f>
        <v>ウエルシア中日施工集計表</v>
      </c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7"/>
      <c r="AX3" s="171">
        <f>変更履歴!AX3</f>
        <v>45581</v>
      </c>
      <c r="AY3" s="171"/>
      <c r="AZ3" s="171"/>
      <c r="BA3" s="171"/>
      <c r="BB3" s="172" t="str">
        <f>変更履歴!BB3</f>
        <v>大谷</v>
      </c>
      <c r="BC3" s="172"/>
      <c r="BD3" s="172"/>
      <c r="BE3" s="172"/>
      <c r="BF3" s="171">
        <f>変更履歴!BF3</f>
        <v>45581</v>
      </c>
      <c r="BG3" s="171"/>
      <c r="BH3" s="171"/>
      <c r="BI3" s="171"/>
      <c r="BJ3" s="172" t="str">
        <f>変更履歴!BJ3</f>
        <v>大谷</v>
      </c>
      <c r="BK3" s="172"/>
      <c r="BL3" s="172"/>
      <c r="BM3" s="221"/>
    </row>
    <row r="4" spans="2:65" ht="20.100000000000001" customHeight="1" thickBot="1" x14ac:dyDescent="0.5">
      <c r="B4" s="233"/>
      <c r="C4" s="220"/>
      <c r="D4" s="220"/>
      <c r="E4" s="220"/>
      <c r="F4" s="220"/>
      <c r="G4" s="220"/>
      <c r="H4" s="220"/>
      <c r="I4" s="220"/>
      <c r="J4" s="220"/>
      <c r="K4" s="220"/>
      <c r="L4" s="220"/>
      <c r="M4" s="220"/>
      <c r="N4" s="220"/>
      <c r="O4" s="220"/>
      <c r="P4" s="220"/>
      <c r="Q4" s="220"/>
      <c r="R4" s="220"/>
      <c r="S4" s="220"/>
      <c r="T4" s="220"/>
      <c r="U4" s="220"/>
      <c r="V4" s="220"/>
      <c r="W4" s="220"/>
      <c r="X4" s="225"/>
      <c r="Y4" s="226"/>
      <c r="Z4" s="226"/>
      <c r="AA4" s="226"/>
      <c r="AB4" s="226"/>
      <c r="AC4" s="226"/>
      <c r="AD4" s="226"/>
      <c r="AE4" s="226"/>
      <c r="AF4" s="226"/>
      <c r="AG4" s="226"/>
      <c r="AH4" s="226"/>
      <c r="AI4" s="226"/>
      <c r="AJ4" s="227"/>
      <c r="AK4" s="225"/>
      <c r="AL4" s="226"/>
      <c r="AM4" s="226"/>
      <c r="AN4" s="226"/>
      <c r="AO4" s="226"/>
      <c r="AP4" s="226"/>
      <c r="AQ4" s="226"/>
      <c r="AR4" s="226"/>
      <c r="AS4" s="226"/>
      <c r="AT4" s="226"/>
      <c r="AU4" s="226"/>
      <c r="AV4" s="226"/>
      <c r="AW4" s="227"/>
      <c r="AX4" s="219"/>
      <c r="AY4" s="219"/>
      <c r="AZ4" s="219"/>
      <c r="BA4" s="219"/>
      <c r="BB4" s="220"/>
      <c r="BC4" s="220"/>
      <c r="BD4" s="220"/>
      <c r="BE4" s="220"/>
      <c r="BF4" s="219"/>
      <c r="BG4" s="219"/>
      <c r="BH4" s="219"/>
      <c r="BI4" s="219"/>
      <c r="BJ4" s="220"/>
      <c r="BK4" s="220"/>
      <c r="BL4" s="220"/>
      <c r="BM4" s="222"/>
    </row>
    <row r="5" spans="2:65" ht="5.0999999999999996" customHeight="1" x14ac:dyDescent="0.45"/>
    <row r="6" spans="2:65" ht="5.0999999999999996" customHeight="1" thickBot="1" x14ac:dyDescent="0.5"/>
    <row r="7" spans="2:65" ht="20.100000000000001" customHeight="1" x14ac:dyDescent="0.45">
      <c r="B7" s="121" t="s">
        <v>100</v>
      </c>
      <c r="C7" s="122"/>
      <c r="D7" s="122"/>
      <c r="E7" s="122"/>
      <c r="F7" s="122"/>
      <c r="G7" s="122"/>
      <c r="H7" s="124" t="s">
        <v>128</v>
      </c>
      <c r="I7" s="123"/>
      <c r="J7" s="158" t="s">
        <v>20</v>
      </c>
      <c r="K7" s="153"/>
      <c r="L7" s="153"/>
      <c r="M7" s="153"/>
      <c r="N7" s="153"/>
      <c r="O7" s="153"/>
      <c r="P7" s="153"/>
      <c r="Q7" s="153"/>
      <c r="R7" s="158" t="s">
        <v>129</v>
      </c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3"/>
      <c r="AJ7" s="154"/>
      <c r="AK7" s="125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6"/>
      <c r="BJ7" s="29"/>
      <c r="BK7" s="29"/>
      <c r="BL7" s="29"/>
      <c r="BM7" s="29"/>
    </row>
    <row r="8" spans="2:65" ht="20.100000000000001" customHeight="1" x14ac:dyDescent="0.45">
      <c r="B8" s="155"/>
      <c r="C8" s="31"/>
      <c r="D8" s="31"/>
      <c r="E8" s="31"/>
      <c r="F8" s="31"/>
      <c r="G8" s="31"/>
      <c r="H8" s="129"/>
      <c r="I8" s="128"/>
      <c r="J8" s="156" t="s">
        <v>130</v>
      </c>
      <c r="K8" s="52"/>
      <c r="L8" s="52"/>
      <c r="M8" s="52"/>
      <c r="N8" s="52"/>
      <c r="O8" s="52"/>
      <c r="P8" s="52"/>
      <c r="Q8" s="52"/>
      <c r="R8" s="156" t="s">
        <v>131</v>
      </c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157"/>
      <c r="AK8" s="130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131"/>
      <c r="BJ8" s="29"/>
      <c r="BK8" s="29"/>
      <c r="BL8" s="29"/>
      <c r="BM8" s="29"/>
    </row>
    <row r="9" spans="2:65" ht="20.100000000000001" customHeight="1" x14ac:dyDescent="0.45">
      <c r="B9" s="155"/>
      <c r="C9" s="31"/>
      <c r="D9" s="31"/>
      <c r="E9" s="31"/>
      <c r="F9" s="31"/>
      <c r="G9" s="31"/>
      <c r="H9" s="135"/>
      <c r="I9" s="159"/>
      <c r="J9" s="156" t="s">
        <v>132</v>
      </c>
      <c r="K9" s="52"/>
      <c r="L9" s="52"/>
      <c r="M9" s="52"/>
      <c r="N9" s="52"/>
      <c r="O9" s="52"/>
      <c r="P9" s="52"/>
      <c r="Q9" s="52"/>
      <c r="R9" s="156" t="s">
        <v>133</v>
      </c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157"/>
      <c r="AK9" s="137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8"/>
      <c r="BJ9" s="29"/>
      <c r="BK9" s="29"/>
      <c r="BL9" s="29"/>
      <c r="BM9" s="29"/>
    </row>
    <row r="10" spans="2:65" ht="20.100000000000001" customHeight="1" x14ac:dyDescent="0.45">
      <c r="B10" s="155"/>
      <c r="C10" s="31"/>
      <c r="D10" s="31"/>
      <c r="E10" s="31"/>
      <c r="F10" s="31"/>
      <c r="G10" s="128"/>
      <c r="H10" s="129" t="s">
        <v>101</v>
      </c>
      <c r="I10" s="31"/>
      <c r="J10" s="143" t="s">
        <v>102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130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131"/>
      <c r="BJ10" s="29"/>
      <c r="BK10" s="29"/>
      <c r="BL10" s="29"/>
      <c r="BM10" s="29"/>
    </row>
    <row r="11" spans="2:65" ht="20.100000000000001" customHeight="1" x14ac:dyDescent="0.45">
      <c r="B11" s="127"/>
      <c r="C11" s="31"/>
      <c r="D11" s="31"/>
      <c r="E11" s="31"/>
      <c r="F11" s="31"/>
      <c r="G11" s="128"/>
      <c r="H11" s="129"/>
      <c r="I11" s="31"/>
      <c r="J11" s="129" t="s">
        <v>103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130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131"/>
      <c r="BJ11" s="29"/>
      <c r="BK11" s="29"/>
      <c r="BL11" s="29"/>
      <c r="BM11" s="29"/>
    </row>
    <row r="12" spans="2:65" ht="20.100000000000001" customHeight="1" x14ac:dyDescent="0.45">
      <c r="B12" s="127"/>
      <c r="C12" s="31"/>
      <c r="D12" s="31"/>
      <c r="E12" s="31"/>
      <c r="F12" s="31"/>
      <c r="G12" s="128"/>
      <c r="H12" s="129"/>
      <c r="I12" s="31"/>
      <c r="J12" s="129" t="s">
        <v>104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130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131"/>
      <c r="BJ12" s="29"/>
      <c r="BK12" s="29"/>
      <c r="BL12" s="29"/>
      <c r="BM12" s="29"/>
    </row>
    <row r="13" spans="2:65" ht="20.100000000000001" customHeight="1" x14ac:dyDescent="0.45">
      <c r="B13" s="127"/>
      <c r="C13" s="31"/>
      <c r="D13" s="31"/>
      <c r="E13" s="31"/>
      <c r="F13" s="31"/>
      <c r="G13" s="128"/>
      <c r="H13" s="129"/>
      <c r="I13" s="31"/>
      <c r="J13" s="129" t="s">
        <v>105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130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131"/>
      <c r="BJ13" s="29"/>
      <c r="BK13" s="29"/>
      <c r="BL13" s="29"/>
      <c r="BM13" s="29"/>
    </row>
    <row r="14" spans="2:65" ht="20.100000000000001" customHeight="1" x14ac:dyDescent="0.45">
      <c r="B14" s="127"/>
      <c r="C14" s="31"/>
      <c r="D14" s="31"/>
      <c r="E14" s="31"/>
      <c r="F14" s="31"/>
      <c r="G14" s="128"/>
      <c r="H14" s="132" t="s">
        <v>106</v>
      </c>
      <c r="I14" s="55"/>
      <c r="J14" s="139" t="s">
        <v>107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133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134"/>
      <c r="BJ14" s="29"/>
      <c r="BK14" s="29"/>
      <c r="BL14" s="29"/>
      <c r="BM14" s="29"/>
    </row>
    <row r="15" spans="2:65" ht="20.100000000000001" customHeight="1" x14ac:dyDescent="0.45">
      <c r="B15" s="127"/>
      <c r="C15" s="31"/>
      <c r="D15" s="31"/>
      <c r="E15" s="31"/>
      <c r="F15" s="31"/>
      <c r="G15" s="128"/>
      <c r="H15" s="129"/>
      <c r="I15" s="31"/>
      <c r="J15" s="140"/>
      <c r="K15" s="141" t="s">
        <v>108</v>
      </c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130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131"/>
      <c r="BJ15" s="29"/>
      <c r="BK15" s="29"/>
      <c r="BL15" s="29"/>
      <c r="BM15" s="29"/>
    </row>
    <row r="16" spans="2:65" ht="20.100000000000001" customHeight="1" x14ac:dyDescent="0.45">
      <c r="B16" s="127"/>
      <c r="C16" s="31"/>
      <c r="D16" s="31"/>
      <c r="E16" s="31"/>
      <c r="F16" s="31"/>
      <c r="G16" s="128"/>
      <c r="H16" s="129"/>
      <c r="I16" s="31"/>
      <c r="J16" s="129"/>
      <c r="K16" s="29"/>
      <c r="L16" s="142"/>
      <c r="M16" s="141" t="s">
        <v>109</v>
      </c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130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131"/>
      <c r="BJ16" s="29"/>
      <c r="BK16" s="29"/>
      <c r="BL16" s="29"/>
      <c r="BM16" s="29"/>
    </row>
    <row r="17" spans="2:65" ht="20.100000000000001" customHeight="1" x14ac:dyDescent="0.45">
      <c r="B17" s="127"/>
      <c r="C17" s="31"/>
      <c r="D17" s="31"/>
      <c r="E17" s="31"/>
      <c r="F17" s="31"/>
      <c r="G17" s="128"/>
      <c r="H17" s="129"/>
      <c r="I17" s="31"/>
      <c r="J17" s="129"/>
      <c r="K17" s="29"/>
      <c r="L17" s="142" t="s">
        <v>110</v>
      </c>
      <c r="M17" s="141" t="s">
        <v>109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130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131"/>
      <c r="BJ17" s="29"/>
      <c r="BK17" s="29"/>
      <c r="BL17" s="29"/>
      <c r="BM17" s="29"/>
    </row>
    <row r="18" spans="2:65" ht="20.100000000000001" customHeight="1" x14ac:dyDescent="0.45">
      <c r="B18" s="127"/>
      <c r="C18" s="31"/>
      <c r="D18" s="31"/>
      <c r="E18" s="31"/>
      <c r="F18" s="31"/>
      <c r="G18" s="128"/>
      <c r="H18" s="129"/>
      <c r="I18" s="31"/>
      <c r="J18" s="129"/>
      <c r="K18" s="29"/>
      <c r="L18" s="142" t="s">
        <v>111</v>
      </c>
      <c r="M18" s="141" t="s">
        <v>109</v>
      </c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130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131"/>
      <c r="BJ18" s="29"/>
      <c r="BK18" s="29"/>
      <c r="BL18" s="29"/>
      <c r="BM18" s="29"/>
    </row>
    <row r="19" spans="2:65" ht="20.100000000000001" customHeight="1" x14ac:dyDescent="0.45">
      <c r="B19" s="127"/>
      <c r="C19" s="31"/>
      <c r="D19" s="31"/>
      <c r="E19" s="31"/>
      <c r="F19" s="31"/>
      <c r="G19" s="128"/>
      <c r="H19" s="129"/>
      <c r="I19" s="31"/>
      <c r="J19" s="129" t="s">
        <v>112</v>
      </c>
      <c r="K19" s="142"/>
      <c r="L19" s="14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130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131"/>
      <c r="BJ19" s="29"/>
      <c r="BK19" s="29"/>
      <c r="BL19" s="29"/>
      <c r="BM19" s="29"/>
    </row>
    <row r="20" spans="2:65" ht="20.100000000000001" customHeight="1" x14ac:dyDescent="0.45">
      <c r="B20" s="127"/>
      <c r="C20" s="31"/>
      <c r="D20" s="31"/>
      <c r="E20" s="31"/>
      <c r="F20" s="31"/>
      <c r="G20" s="128"/>
      <c r="H20" s="129"/>
      <c r="I20" s="31"/>
      <c r="J20" s="129"/>
      <c r="K20" s="31" t="s">
        <v>113</v>
      </c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130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131"/>
      <c r="BJ20" s="29"/>
      <c r="BK20" s="29"/>
      <c r="BL20" s="29"/>
      <c r="BM20" s="29"/>
    </row>
    <row r="21" spans="2:65" ht="20.100000000000001" customHeight="1" x14ac:dyDescent="0.45">
      <c r="B21" s="127"/>
      <c r="C21" s="31"/>
      <c r="D21" s="31"/>
      <c r="E21" s="31"/>
      <c r="F21" s="31"/>
      <c r="G21" s="128"/>
      <c r="H21" s="129"/>
      <c r="I21" s="31"/>
      <c r="J21" s="129"/>
      <c r="K21" s="29"/>
      <c r="L21" s="31"/>
      <c r="M21" s="31" t="s">
        <v>114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130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131"/>
    </row>
    <row r="22" spans="2:65" ht="20.100000000000001" customHeight="1" x14ac:dyDescent="0.45">
      <c r="B22" s="127"/>
      <c r="C22" s="31"/>
      <c r="D22" s="31"/>
      <c r="E22" s="31"/>
      <c r="F22" s="31"/>
      <c r="G22" s="128"/>
      <c r="H22" s="135"/>
      <c r="I22" s="136"/>
      <c r="J22" s="135"/>
      <c r="K22" s="136"/>
      <c r="L22" s="136" t="s">
        <v>110</v>
      </c>
      <c r="M22" s="136" t="s">
        <v>115</v>
      </c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7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8"/>
    </row>
    <row r="23" spans="2:65" ht="20.100000000000001" customHeight="1" x14ac:dyDescent="0.45">
      <c r="B23" s="127"/>
      <c r="C23" s="31"/>
      <c r="D23" s="31"/>
      <c r="E23" s="31"/>
      <c r="F23" s="31"/>
      <c r="G23" s="128"/>
      <c r="H23" s="129" t="s">
        <v>116</v>
      </c>
      <c r="I23" s="31"/>
      <c r="J23" s="143"/>
      <c r="K23" s="141" t="s">
        <v>117</v>
      </c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144" t="s">
        <v>118</v>
      </c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31"/>
      <c r="BG23" s="31"/>
      <c r="BH23" s="31"/>
      <c r="BI23" s="131"/>
    </row>
    <row r="24" spans="2:65" ht="20.100000000000001" customHeight="1" x14ac:dyDescent="0.45">
      <c r="B24" s="127"/>
      <c r="C24" s="31"/>
      <c r="D24" s="31"/>
      <c r="E24" s="31"/>
      <c r="F24" s="31"/>
      <c r="G24" s="128"/>
      <c r="H24" s="129"/>
      <c r="I24" s="31"/>
      <c r="J24" s="143" t="s">
        <v>110</v>
      </c>
      <c r="K24" s="141" t="s">
        <v>119</v>
      </c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130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  <c r="BB24" s="31"/>
      <c r="BC24" s="31"/>
      <c r="BD24" s="31"/>
      <c r="BE24" s="31"/>
      <c r="BF24" s="31"/>
      <c r="BG24" s="31"/>
      <c r="BH24" s="31"/>
      <c r="BI24" s="131"/>
    </row>
    <row r="25" spans="2:65" ht="20.100000000000001" customHeight="1" x14ac:dyDescent="0.45">
      <c r="B25" s="127"/>
      <c r="C25" s="31"/>
      <c r="D25" s="31"/>
      <c r="E25" s="31"/>
      <c r="F25" s="31"/>
      <c r="G25" s="128"/>
      <c r="H25" s="129"/>
      <c r="I25" s="31"/>
      <c r="J25" s="143" t="s">
        <v>111</v>
      </c>
      <c r="K25" s="141" t="s">
        <v>119</v>
      </c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130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131"/>
    </row>
    <row r="26" spans="2:65" ht="20.100000000000001" customHeight="1" x14ac:dyDescent="0.45">
      <c r="B26" s="127"/>
      <c r="C26" s="31"/>
      <c r="D26" s="31"/>
      <c r="E26" s="31"/>
      <c r="F26" s="31"/>
      <c r="G26" s="128"/>
      <c r="H26" s="129"/>
      <c r="I26" s="31"/>
      <c r="J26" s="143" t="s">
        <v>120</v>
      </c>
      <c r="K26" s="14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130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131"/>
    </row>
    <row r="27" spans="2:65" ht="20.100000000000001" customHeight="1" x14ac:dyDescent="0.45">
      <c r="B27" s="127"/>
      <c r="C27" s="31"/>
      <c r="D27" s="31"/>
      <c r="E27" s="31"/>
      <c r="F27" s="31"/>
      <c r="G27" s="128"/>
      <c r="H27" s="129"/>
      <c r="I27" s="31"/>
      <c r="J27" s="129"/>
      <c r="K27" s="31" t="s">
        <v>121</v>
      </c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145" t="s">
        <v>122</v>
      </c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131"/>
    </row>
    <row r="28" spans="2:65" ht="20.100000000000001" customHeight="1" x14ac:dyDescent="0.45">
      <c r="B28" s="127"/>
      <c r="C28" s="31"/>
      <c r="D28" s="31"/>
      <c r="E28" s="31"/>
      <c r="F28" s="31"/>
      <c r="G28" s="128"/>
      <c r="H28" s="129"/>
      <c r="I28" s="31"/>
      <c r="J28" s="129" t="s">
        <v>110</v>
      </c>
      <c r="K28" s="31" t="s">
        <v>123</v>
      </c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129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131"/>
    </row>
    <row r="29" spans="2:65" ht="20.100000000000001" customHeight="1" x14ac:dyDescent="0.45">
      <c r="B29" s="127"/>
      <c r="C29" s="31"/>
      <c r="D29" s="31"/>
      <c r="E29" s="31"/>
      <c r="F29" s="31"/>
      <c r="G29" s="128"/>
      <c r="H29" s="129"/>
      <c r="I29" s="31"/>
      <c r="J29" s="143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129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131"/>
    </row>
    <row r="30" spans="2:65" ht="20.100000000000001" customHeight="1" x14ac:dyDescent="0.45">
      <c r="B30" s="127"/>
      <c r="C30" s="31"/>
      <c r="D30" s="31"/>
      <c r="E30" s="31"/>
      <c r="F30" s="31"/>
      <c r="G30" s="128"/>
      <c r="H30" s="129"/>
      <c r="I30" s="31"/>
      <c r="J30" s="129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129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131"/>
    </row>
    <row r="31" spans="2:65" ht="20.100000000000001" customHeight="1" x14ac:dyDescent="0.45">
      <c r="B31" s="127"/>
      <c r="C31" s="31"/>
      <c r="D31" s="31"/>
      <c r="E31" s="31"/>
      <c r="F31" s="31"/>
      <c r="G31" s="128"/>
      <c r="H31" s="135"/>
      <c r="I31" s="136"/>
      <c r="J31" s="135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5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8"/>
    </row>
    <row r="32" spans="2:65" ht="20.100000000000001" customHeight="1" x14ac:dyDescent="0.45">
      <c r="B32" s="127"/>
      <c r="C32" s="31"/>
      <c r="D32" s="31"/>
      <c r="E32" s="31"/>
      <c r="F32" s="31"/>
      <c r="G32" s="128"/>
      <c r="H32" s="129" t="s">
        <v>124</v>
      </c>
      <c r="I32" s="31"/>
      <c r="J32" s="143" t="s">
        <v>125</v>
      </c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129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131"/>
    </row>
    <row r="33" spans="2:61" ht="20.100000000000001" customHeight="1" x14ac:dyDescent="0.45">
      <c r="B33" s="127"/>
      <c r="C33" s="31"/>
      <c r="D33" s="31"/>
      <c r="E33" s="31"/>
      <c r="F33" s="31"/>
      <c r="G33" s="128"/>
      <c r="H33" s="129"/>
      <c r="I33" s="31"/>
      <c r="J33" s="143" t="s">
        <v>126</v>
      </c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129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131"/>
    </row>
    <row r="34" spans="2:61" ht="20.100000000000001" customHeight="1" thickBot="1" x14ac:dyDescent="0.5">
      <c r="B34" s="146"/>
      <c r="C34" s="147"/>
      <c r="D34" s="147"/>
      <c r="E34" s="147"/>
      <c r="F34" s="147"/>
      <c r="G34" s="148"/>
      <c r="H34" s="149"/>
      <c r="I34" s="147"/>
      <c r="J34" s="149"/>
      <c r="K34" s="147"/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9"/>
      <c r="AL34" s="147"/>
      <c r="AM34" s="147"/>
      <c r="AN34" s="147"/>
      <c r="AO34" s="147"/>
      <c r="AP34" s="147"/>
      <c r="AQ34" s="147"/>
      <c r="AR34" s="147"/>
      <c r="AS34" s="147"/>
      <c r="AT34" s="147"/>
      <c r="AU34" s="147"/>
      <c r="AV34" s="147"/>
      <c r="AW34" s="147"/>
      <c r="AX34" s="147"/>
      <c r="AY34" s="147"/>
      <c r="AZ34" s="147"/>
      <c r="BA34" s="147"/>
      <c r="BB34" s="147"/>
      <c r="BC34" s="147"/>
      <c r="BD34" s="147"/>
      <c r="BE34" s="147"/>
      <c r="BF34" s="147"/>
      <c r="BG34" s="147"/>
      <c r="BH34" s="147"/>
      <c r="BI34" s="150"/>
    </row>
    <row r="35" spans="2:61" ht="20.100000000000001" customHeight="1" x14ac:dyDescent="0.45"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</row>
    <row r="36" spans="2:61" ht="20.100000000000001" customHeight="1" x14ac:dyDescent="0.45">
      <c r="B36" s="29"/>
      <c r="C36" s="29"/>
      <c r="D36" s="29"/>
      <c r="E36" s="29"/>
      <c r="F36" s="29"/>
      <c r="G36" s="29"/>
      <c r="H36" s="151" t="s">
        <v>127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</row>
  </sheetData>
  <mergeCells count="20">
    <mergeCell ref="AK3:AW4"/>
    <mergeCell ref="B2:G2"/>
    <mergeCell ref="H2:K2"/>
    <mergeCell ref="L2:Q2"/>
    <mergeCell ref="R2:W2"/>
    <mergeCell ref="X2:AJ2"/>
    <mergeCell ref="AK2:AW2"/>
    <mergeCell ref="B3:G4"/>
    <mergeCell ref="H3:K4"/>
    <mergeCell ref="L3:Q4"/>
    <mergeCell ref="R3:W4"/>
    <mergeCell ref="X3:AJ4"/>
    <mergeCell ref="AX3:BA4"/>
    <mergeCell ref="BB3:BE4"/>
    <mergeCell ref="BF3:BI4"/>
    <mergeCell ref="BJ3:BM4"/>
    <mergeCell ref="AX2:BA2"/>
    <mergeCell ref="BB2:BE2"/>
    <mergeCell ref="BF2:BI2"/>
    <mergeCell ref="BJ2:BM2"/>
  </mergeCells>
  <phoneticPr fontId="2"/>
  <pageMargins left="0.70866141732283472" right="0.70866141732283472" top="0.74803149606299213" bottom="0.74803149606299213" header="0.31496062992125984" footer="0.31496062992125984"/>
  <pageSetup paperSize="8" scale="72" fitToHeight="10" orientation="landscape" r:id="rId1"/>
  <headerFooter>
    <oddFooter>&amp;R©2024 SMS DataTech Corporation. All rights reserved.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F55"/>
  <sheetViews>
    <sheetView workbookViewId="0"/>
  </sheetViews>
  <sheetFormatPr defaultColWidth="8.796875" defaultRowHeight="18" x14ac:dyDescent="0.45"/>
  <cols>
    <col min="1" max="2" width="8.796875" style="29"/>
    <col min="3" max="3" width="26.59765625" style="29" customWidth="1"/>
    <col min="4" max="4" width="35.09765625" style="29" customWidth="1"/>
    <col min="5" max="5" width="106.8984375" style="29" customWidth="1"/>
    <col min="6" max="16384" width="8.796875" style="29"/>
  </cols>
  <sheetData>
    <row r="2" spans="2:6" ht="19.2" thickBot="1" x14ac:dyDescent="0.5">
      <c r="B2" s="87" t="s">
        <v>48</v>
      </c>
    </row>
    <row r="3" spans="2:6" ht="18.600000000000001" thickTop="1" x14ac:dyDescent="0.45">
      <c r="B3" s="38" t="s">
        <v>19</v>
      </c>
      <c r="C3" s="77" t="s">
        <v>49</v>
      </c>
      <c r="D3" s="77" t="s">
        <v>50</v>
      </c>
      <c r="E3" s="74" t="s">
        <v>21</v>
      </c>
      <c r="F3" s="78" t="s">
        <v>51</v>
      </c>
    </row>
    <row r="4" spans="2:6" x14ac:dyDescent="0.45">
      <c r="B4" s="37">
        <v>1</v>
      </c>
      <c r="C4" s="79"/>
      <c r="D4" s="79"/>
      <c r="E4" s="80"/>
      <c r="F4" s="81"/>
    </row>
    <row r="5" spans="2:6" x14ac:dyDescent="0.45">
      <c r="B5" s="37">
        <v>2</v>
      </c>
      <c r="C5" s="79"/>
      <c r="D5" s="79"/>
      <c r="E5" s="82"/>
      <c r="F5" s="81"/>
    </row>
    <row r="6" spans="2:6" x14ac:dyDescent="0.45">
      <c r="B6" s="37">
        <v>3</v>
      </c>
      <c r="C6" s="79"/>
      <c r="D6" s="79"/>
      <c r="E6" s="82"/>
      <c r="F6" s="81"/>
    </row>
    <row r="7" spans="2:6" x14ac:dyDescent="0.45">
      <c r="B7" s="37">
        <v>4</v>
      </c>
      <c r="C7" s="79"/>
      <c r="D7" s="79"/>
      <c r="E7" s="82"/>
      <c r="F7" s="81"/>
    </row>
    <row r="8" spans="2:6" x14ac:dyDescent="0.45">
      <c r="B8" s="37">
        <v>5</v>
      </c>
      <c r="C8" s="79"/>
      <c r="D8" s="79"/>
      <c r="E8" s="82"/>
      <c r="F8" s="81"/>
    </row>
    <row r="9" spans="2:6" x14ac:dyDescent="0.45">
      <c r="B9" s="37">
        <v>6</v>
      </c>
      <c r="C9" s="79"/>
      <c r="D9" s="79"/>
      <c r="E9" s="82"/>
      <c r="F9" s="81"/>
    </row>
    <row r="10" spans="2:6" x14ac:dyDescent="0.45">
      <c r="B10" s="37">
        <v>7</v>
      </c>
      <c r="C10" s="79"/>
      <c r="D10" s="79"/>
      <c r="E10" s="82"/>
      <c r="F10" s="81"/>
    </row>
    <row r="11" spans="2:6" x14ac:dyDescent="0.45">
      <c r="B11" s="37">
        <v>8</v>
      </c>
      <c r="C11" s="79"/>
      <c r="D11" s="79"/>
      <c r="E11" s="82"/>
      <c r="F11" s="81"/>
    </row>
    <row r="12" spans="2:6" x14ac:dyDescent="0.45">
      <c r="B12" s="37">
        <v>9</v>
      </c>
      <c r="C12" s="79"/>
      <c r="D12" s="79"/>
      <c r="E12" s="82"/>
      <c r="F12" s="81"/>
    </row>
    <row r="13" spans="2:6" x14ac:dyDescent="0.45">
      <c r="B13" s="37">
        <v>10</v>
      </c>
      <c r="C13" s="79"/>
      <c r="D13" s="79"/>
      <c r="E13" s="82"/>
      <c r="F13" s="81"/>
    </row>
    <row r="14" spans="2:6" x14ac:dyDescent="0.45">
      <c r="B14" s="37">
        <v>11</v>
      </c>
      <c r="C14" s="79"/>
      <c r="D14" s="79"/>
      <c r="E14" s="82"/>
      <c r="F14" s="81"/>
    </row>
    <row r="15" spans="2:6" x14ac:dyDescent="0.45">
      <c r="B15" s="37">
        <v>12</v>
      </c>
      <c r="C15" s="79"/>
      <c r="D15" s="79"/>
      <c r="E15" s="82"/>
      <c r="F15" s="81"/>
    </row>
    <row r="16" spans="2:6" x14ac:dyDescent="0.45">
      <c r="B16" s="37">
        <v>13</v>
      </c>
      <c r="C16" s="79"/>
      <c r="D16" s="79"/>
      <c r="E16" s="82"/>
      <c r="F16" s="81"/>
    </row>
    <row r="17" spans="2:6" x14ac:dyDescent="0.45">
      <c r="B17" s="37">
        <v>14</v>
      </c>
      <c r="C17" s="79"/>
      <c r="D17" s="79"/>
      <c r="E17" s="82"/>
      <c r="F17" s="81"/>
    </row>
    <row r="18" spans="2:6" x14ac:dyDescent="0.45">
      <c r="B18" s="37">
        <v>15</v>
      </c>
      <c r="C18" s="79"/>
      <c r="D18" s="79"/>
      <c r="E18" s="82"/>
      <c r="F18" s="81"/>
    </row>
    <row r="19" spans="2:6" x14ac:dyDescent="0.45">
      <c r="B19" s="37">
        <v>16</v>
      </c>
      <c r="C19" s="79"/>
      <c r="D19" s="79"/>
      <c r="E19" s="82"/>
      <c r="F19" s="81"/>
    </row>
    <row r="20" spans="2:6" x14ac:dyDescent="0.45">
      <c r="B20" s="37">
        <v>17</v>
      </c>
      <c r="C20" s="79"/>
      <c r="D20" s="79"/>
      <c r="E20" s="82"/>
      <c r="F20" s="81"/>
    </row>
    <row r="21" spans="2:6" x14ac:dyDescent="0.45">
      <c r="B21" s="37">
        <v>18</v>
      </c>
      <c r="C21" s="79"/>
      <c r="D21" s="79"/>
      <c r="E21" s="82"/>
      <c r="F21" s="81"/>
    </row>
    <row r="22" spans="2:6" x14ac:dyDescent="0.45">
      <c r="B22" s="37">
        <v>19</v>
      </c>
      <c r="C22" s="79"/>
      <c r="D22" s="79"/>
      <c r="E22" s="82"/>
      <c r="F22" s="81"/>
    </row>
    <row r="23" spans="2:6" x14ac:dyDescent="0.45">
      <c r="B23" s="37">
        <v>20</v>
      </c>
      <c r="C23" s="79"/>
      <c r="D23" s="79"/>
      <c r="E23" s="82"/>
      <c r="F23" s="81"/>
    </row>
    <row r="24" spans="2:6" x14ac:dyDescent="0.45">
      <c r="B24" s="37">
        <v>21</v>
      </c>
      <c r="C24" s="79"/>
      <c r="D24" s="79"/>
      <c r="E24" s="82"/>
      <c r="F24" s="81"/>
    </row>
    <row r="25" spans="2:6" x14ac:dyDescent="0.45">
      <c r="B25" s="37">
        <v>22</v>
      </c>
      <c r="C25" s="79"/>
      <c r="D25" s="79"/>
      <c r="E25" s="82"/>
      <c r="F25" s="81"/>
    </row>
    <row r="26" spans="2:6" x14ac:dyDescent="0.45">
      <c r="B26" s="37">
        <v>23</v>
      </c>
      <c r="C26" s="79"/>
      <c r="D26" s="79"/>
      <c r="E26" s="82"/>
      <c r="F26" s="81"/>
    </row>
    <row r="27" spans="2:6" x14ac:dyDescent="0.45">
      <c r="B27" s="37">
        <v>24</v>
      </c>
      <c r="C27" s="79"/>
      <c r="D27" s="79"/>
      <c r="E27" s="82"/>
      <c r="F27" s="81"/>
    </row>
    <row r="28" spans="2:6" x14ac:dyDescent="0.45">
      <c r="B28" s="37">
        <v>25</v>
      </c>
      <c r="C28" s="79"/>
      <c r="D28" s="79"/>
      <c r="E28" s="82"/>
      <c r="F28" s="81"/>
    </row>
    <row r="29" spans="2:6" x14ac:dyDescent="0.45">
      <c r="B29" s="37">
        <v>26</v>
      </c>
      <c r="C29" s="79"/>
      <c r="D29" s="79"/>
      <c r="E29" s="82"/>
      <c r="F29" s="81"/>
    </row>
    <row r="30" spans="2:6" x14ac:dyDescent="0.45">
      <c r="B30" s="37">
        <v>27</v>
      </c>
      <c r="C30" s="79"/>
      <c r="D30" s="79"/>
      <c r="E30" s="82"/>
      <c r="F30" s="81"/>
    </row>
    <row r="31" spans="2:6" x14ac:dyDescent="0.45">
      <c r="B31" s="37">
        <v>28</v>
      </c>
      <c r="C31" s="79"/>
      <c r="D31" s="79"/>
      <c r="E31" s="82"/>
      <c r="F31" s="81"/>
    </row>
    <row r="32" spans="2:6" x14ac:dyDescent="0.45">
      <c r="B32" s="37">
        <v>29</v>
      </c>
      <c r="C32" s="79"/>
      <c r="D32" s="79"/>
      <c r="E32" s="82"/>
      <c r="F32" s="81"/>
    </row>
    <row r="33" spans="2:6" x14ac:dyDescent="0.45">
      <c r="B33" s="37">
        <v>30</v>
      </c>
      <c r="C33" s="79"/>
      <c r="D33" s="79"/>
      <c r="E33" s="82"/>
      <c r="F33" s="81"/>
    </row>
    <row r="34" spans="2:6" x14ac:dyDescent="0.45">
      <c r="B34" s="37">
        <v>31</v>
      </c>
      <c r="C34" s="79"/>
      <c r="D34" s="79"/>
      <c r="E34" s="82"/>
      <c r="F34" s="81"/>
    </row>
    <row r="35" spans="2:6" x14ac:dyDescent="0.45">
      <c r="B35" s="37">
        <v>32</v>
      </c>
      <c r="C35" s="79"/>
      <c r="D35" s="79"/>
      <c r="E35" s="82"/>
      <c r="F35" s="81"/>
    </row>
    <row r="36" spans="2:6" x14ac:dyDescent="0.45">
      <c r="B36" s="37">
        <v>33</v>
      </c>
      <c r="C36" s="79"/>
      <c r="D36" s="79"/>
      <c r="E36" s="82"/>
      <c r="F36" s="81"/>
    </row>
    <row r="37" spans="2:6" x14ac:dyDescent="0.45">
      <c r="B37" s="37">
        <v>34</v>
      </c>
      <c r="C37" s="79"/>
      <c r="D37" s="79"/>
      <c r="E37" s="82"/>
      <c r="F37" s="81"/>
    </row>
    <row r="38" spans="2:6" x14ac:dyDescent="0.45">
      <c r="B38" s="37">
        <v>35</v>
      </c>
      <c r="C38" s="79"/>
      <c r="D38" s="79"/>
      <c r="E38" s="82"/>
      <c r="F38" s="81"/>
    </row>
    <row r="39" spans="2:6" x14ac:dyDescent="0.45">
      <c r="B39" s="37">
        <v>36</v>
      </c>
      <c r="C39" s="79"/>
      <c r="D39" s="79"/>
      <c r="E39" s="82"/>
      <c r="F39" s="81"/>
    </row>
    <row r="40" spans="2:6" x14ac:dyDescent="0.45">
      <c r="B40" s="37">
        <v>37</v>
      </c>
      <c r="C40" s="79"/>
      <c r="D40" s="79"/>
      <c r="E40" s="82"/>
      <c r="F40" s="81"/>
    </row>
    <row r="41" spans="2:6" x14ac:dyDescent="0.45">
      <c r="B41" s="37">
        <v>38</v>
      </c>
      <c r="C41" s="79"/>
      <c r="D41" s="79"/>
      <c r="E41" s="82"/>
      <c r="F41" s="81"/>
    </row>
    <row r="42" spans="2:6" x14ac:dyDescent="0.45">
      <c r="B42" s="37">
        <v>39</v>
      </c>
      <c r="C42" s="79"/>
      <c r="D42" s="79"/>
      <c r="E42" s="82"/>
      <c r="F42" s="81"/>
    </row>
    <row r="43" spans="2:6" x14ac:dyDescent="0.45">
      <c r="B43" s="37">
        <v>40</v>
      </c>
      <c r="C43" s="79"/>
      <c r="D43" s="79"/>
      <c r="E43" s="82"/>
      <c r="F43" s="81"/>
    </row>
    <row r="44" spans="2:6" x14ac:dyDescent="0.45">
      <c r="B44" s="37">
        <v>41</v>
      </c>
      <c r="C44" s="79"/>
      <c r="D44" s="79"/>
      <c r="E44" s="82"/>
      <c r="F44" s="81"/>
    </row>
    <row r="45" spans="2:6" x14ac:dyDescent="0.45">
      <c r="B45" s="37">
        <v>42</v>
      </c>
      <c r="C45" s="79"/>
      <c r="D45" s="79"/>
      <c r="E45" s="82"/>
      <c r="F45" s="81"/>
    </row>
    <row r="46" spans="2:6" x14ac:dyDescent="0.45">
      <c r="B46" s="37">
        <v>43</v>
      </c>
      <c r="C46" s="79"/>
      <c r="D46" s="79"/>
      <c r="E46" s="82"/>
      <c r="F46" s="81"/>
    </row>
    <row r="47" spans="2:6" x14ac:dyDescent="0.45">
      <c r="B47" s="37">
        <v>44</v>
      </c>
      <c r="C47" s="79"/>
      <c r="D47" s="79"/>
      <c r="E47" s="82"/>
      <c r="F47" s="81"/>
    </row>
    <row r="48" spans="2:6" x14ac:dyDescent="0.45">
      <c r="B48" s="37">
        <v>45</v>
      </c>
      <c r="C48" s="79"/>
      <c r="D48" s="79"/>
      <c r="E48" s="82"/>
      <c r="F48" s="81"/>
    </row>
    <row r="49" spans="2:6" x14ac:dyDescent="0.45">
      <c r="B49" s="37">
        <v>46</v>
      </c>
      <c r="C49" s="79"/>
      <c r="D49" s="79"/>
      <c r="E49" s="82"/>
      <c r="F49" s="81"/>
    </row>
    <row r="50" spans="2:6" x14ac:dyDescent="0.45">
      <c r="B50" s="37">
        <v>47</v>
      </c>
      <c r="C50" s="79"/>
      <c r="D50" s="79"/>
      <c r="E50" s="82"/>
      <c r="F50" s="81"/>
    </row>
    <row r="51" spans="2:6" x14ac:dyDescent="0.45">
      <c r="B51" s="37">
        <v>48</v>
      </c>
      <c r="C51" s="79"/>
      <c r="D51" s="79"/>
      <c r="E51" s="82"/>
      <c r="F51" s="81"/>
    </row>
    <row r="52" spans="2:6" x14ac:dyDescent="0.45">
      <c r="B52" s="37">
        <v>49</v>
      </c>
      <c r="C52" s="79"/>
      <c r="D52" s="79"/>
      <c r="E52" s="82"/>
      <c r="F52" s="81"/>
    </row>
    <row r="53" spans="2:6" x14ac:dyDescent="0.45">
      <c r="B53" s="37">
        <v>50</v>
      </c>
      <c r="C53" s="79"/>
      <c r="D53" s="79"/>
      <c r="E53" s="82"/>
      <c r="F53" s="81"/>
    </row>
    <row r="54" spans="2:6" ht="18.600000000000001" thickBot="1" x14ac:dyDescent="0.5">
      <c r="B54" s="83">
        <v>51</v>
      </c>
      <c r="C54" s="84"/>
      <c r="D54" s="84"/>
      <c r="E54" s="85"/>
      <c r="F54" s="86"/>
    </row>
    <row r="55" spans="2:6" ht="18.600000000000001" thickTop="1" x14ac:dyDescent="0.45"/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W163"/>
  <sheetViews>
    <sheetView zoomScaleNormal="100" zoomScaleSheetLayoutView="90" workbookViewId="0"/>
  </sheetViews>
  <sheetFormatPr defaultRowHeight="13.2" x14ac:dyDescent="0.45"/>
  <cols>
    <col min="1" max="1" width="7.296875" style="97" customWidth="1"/>
    <col min="2" max="2" width="8.69921875" style="97" bestFit="1" customWidth="1"/>
    <col min="3" max="3" width="26.3984375" style="97" customWidth="1"/>
    <col min="4" max="4" width="4.19921875" style="91" customWidth="1"/>
    <col min="5" max="5" width="4.19921875" style="118" customWidth="1"/>
    <col min="6" max="6" width="11.796875" style="91" customWidth="1"/>
    <col min="7" max="7" width="11.796875" style="119" customWidth="1"/>
    <col min="8" max="8" width="11.796875" style="120" customWidth="1"/>
    <col min="9" max="16" width="11.796875" style="97" customWidth="1"/>
    <col min="17" max="256" width="8.796875" style="97"/>
    <col min="257" max="257" width="7.296875" style="97" customWidth="1"/>
    <col min="258" max="258" width="8.69921875" style="97" bestFit="1" customWidth="1"/>
    <col min="259" max="259" width="26.3984375" style="97" customWidth="1"/>
    <col min="260" max="261" width="4.19921875" style="97" customWidth="1"/>
    <col min="262" max="272" width="11.796875" style="97" customWidth="1"/>
    <col min="273" max="512" width="8.796875" style="97"/>
    <col min="513" max="513" width="7.296875" style="97" customWidth="1"/>
    <col min="514" max="514" width="8.69921875" style="97" bestFit="1" customWidth="1"/>
    <col min="515" max="515" width="26.3984375" style="97" customWidth="1"/>
    <col min="516" max="517" width="4.19921875" style="97" customWidth="1"/>
    <col min="518" max="528" width="11.796875" style="97" customWidth="1"/>
    <col min="529" max="768" width="8.796875" style="97"/>
    <col min="769" max="769" width="7.296875" style="97" customWidth="1"/>
    <col min="770" max="770" width="8.69921875" style="97" bestFit="1" customWidth="1"/>
    <col min="771" max="771" width="26.3984375" style="97" customWidth="1"/>
    <col min="772" max="773" width="4.19921875" style="97" customWidth="1"/>
    <col min="774" max="784" width="11.796875" style="97" customWidth="1"/>
    <col min="785" max="1024" width="8.796875" style="97"/>
    <col min="1025" max="1025" width="7.296875" style="97" customWidth="1"/>
    <col min="1026" max="1026" width="8.69921875" style="97" bestFit="1" customWidth="1"/>
    <col min="1027" max="1027" width="26.3984375" style="97" customWidth="1"/>
    <col min="1028" max="1029" width="4.19921875" style="97" customWidth="1"/>
    <col min="1030" max="1040" width="11.796875" style="97" customWidth="1"/>
    <col min="1041" max="1280" width="8.796875" style="97"/>
    <col min="1281" max="1281" width="7.296875" style="97" customWidth="1"/>
    <col min="1282" max="1282" width="8.69921875" style="97" bestFit="1" customWidth="1"/>
    <col min="1283" max="1283" width="26.3984375" style="97" customWidth="1"/>
    <col min="1284" max="1285" width="4.19921875" style="97" customWidth="1"/>
    <col min="1286" max="1296" width="11.796875" style="97" customWidth="1"/>
    <col min="1297" max="1536" width="8.796875" style="97"/>
    <col min="1537" max="1537" width="7.296875" style="97" customWidth="1"/>
    <col min="1538" max="1538" width="8.69921875" style="97" bestFit="1" customWidth="1"/>
    <col min="1539" max="1539" width="26.3984375" style="97" customWidth="1"/>
    <col min="1540" max="1541" width="4.19921875" style="97" customWidth="1"/>
    <col min="1542" max="1552" width="11.796875" style="97" customWidth="1"/>
    <col min="1553" max="1792" width="8.796875" style="97"/>
    <col min="1793" max="1793" width="7.296875" style="97" customWidth="1"/>
    <col min="1794" max="1794" width="8.69921875" style="97" bestFit="1" customWidth="1"/>
    <col min="1795" max="1795" width="26.3984375" style="97" customWidth="1"/>
    <col min="1796" max="1797" width="4.19921875" style="97" customWidth="1"/>
    <col min="1798" max="1808" width="11.796875" style="97" customWidth="1"/>
    <col min="1809" max="2048" width="8.796875" style="97"/>
    <col min="2049" max="2049" width="7.296875" style="97" customWidth="1"/>
    <col min="2050" max="2050" width="8.69921875" style="97" bestFit="1" customWidth="1"/>
    <col min="2051" max="2051" width="26.3984375" style="97" customWidth="1"/>
    <col min="2052" max="2053" width="4.19921875" style="97" customWidth="1"/>
    <col min="2054" max="2064" width="11.796875" style="97" customWidth="1"/>
    <col min="2065" max="2304" width="8.796875" style="97"/>
    <col min="2305" max="2305" width="7.296875" style="97" customWidth="1"/>
    <col min="2306" max="2306" width="8.69921875" style="97" bestFit="1" customWidth="1"/>
    <col min="2307" max="2307" width="26.3984375" style="97" customWidth="1"/>
    <col min="2308" max="2309" width="4.19921875" style="97" customWidth="1"/>
    <col min="2310" max="2320" width="11.796875" style="97" customWidth="1"/>
    <col min="2321" max="2560" width="8.796875" style="97"/>
    <col min="2561" max="2561" width="7.296875" style="97" customWidth="1"/>
    <col min="2562" max="2562" width="8.69921875" style="97" bestFit="1" customWidth="1"/>
    <col min="2563" max="2563" width="26.3984375" style="97" customWidth="1"/>
    <col min="2564" max="2565" width="4.19921875" style="97" customWidth="1"/>
    <col min="2566" max="2576" width="11.796875" style="97" customWidth="1"/>
    <col min="2577" max="2816" width="8.796875" style="97"/>
    <col min="2817" max="2817" width="7.296875" style="97" customWidth="1"/>
    <col min="2818" max="2818" width="8.69921875" style="97" bestFit="1" customWidth="1"/>
    <col min="2819" max="2819" width="26.3984375" style="97" customWidth="1"/>
    <col min="2820" max="2821" width="4.19921875" style="97" customWidth="1"/>
    <col min="2822" max="2832" width="11.796875" style="97" customWidth="1"/>
    <col min="2833" max="3072" width="8.796875" style="97"/>
    <col min="3073" max="3073" width="7.296875" style="97" customWidth="1"/>
    <col min="3074" max="3074" width="8.69921875" style="97" bestFit="1" customWidth="1"/>
    <col min="3075" max="3075" width="26.3984375" style="97" customWidth="1"/>
    <col min="3076" max="3077" width="4.19921875" style="97" customWidth="1"/>
    <col min="3078" max="3088" width="11.796875" style="97" customWidth="1"/>
    <col min="3089" max="3328" width="8.796875" style="97"/>
    <col min="3329" max="3329" width="7.296875" style="97" customWidth="1"/>
    <col min="3330" max="3330" width="8.69921875" style="97" bestFit="1" customWidth="1"/>
    <col min="3331" max="3331" width="26.3984375" style="97" customWidth="1"/>
    <col min="3332" max="3333" width="4.19921875" style="97" customWidth="1"/>
    <col min="3334" max="3344" width="11.796875" style="97" customWidth="1"/>
    <col min="3345" max="3584" width="8.796875" style="97"/>
    <col min="3585" max="3585" width="7.296875" style="97" customWidth="1"/>
    <col min="3586" max="3586" width="8.69921875" style="97" bestFit="1" customWidth="1"/>
    <col min="3587" max="3587" width="26.3984375" style="97" customWidth="1"/>
    <col min="3588" max="3589" width="4.19921875" style="97" customWidth="1"/>
    <col min="3590" max="3600" width="11.796875" style="97" customWidth="1"/>
    <col min="3601" max="3840" width="8.796875" style="97"/>
    <col min="3841" max="3841" width="7.296875" style="97" customWidth="1"/>
    <col min="3842" max="3842" width="8.69921875" style="97" bestFit="1" customWidth="1"/>
    <col min="3843" max="3843" width="26.3984375" style="97" customWidth="1"/>
    <col min="3844" max="3845" width="4.19921875" style="97" customWidth="1"/>
    <col min="3846" max="3856" width="11.796875" style="97" customWidth="1"/>
    <col min="3857" max="4096" width="8.796875" style="97"/>
    <col min="4097" max="4097" width="7.296875" style="97" customWidth="1"/>
    <col min="4098" max="4098" width="8.69921875" style="97" bestFit="1" customWidth="1"/>
    <col min="4099" max="4099" width="26.3984375" style="97" customWidth="1"/>
    <col min="4100" max="4101" width="4.19921875" style="97" customWidth="1"/>
    <col min="4102" max="4112" width="11.796875" style="97" customWidth="1"/>
    <col min="4113" max="4352" width="8.796875" style="97"/>
    <col min="4353" max="4353" width="7.296875" style="97" customWidth="1"/>
    <col min="4354" max="4354" width="8.69921875" style="97" bestFit="1" customWidth="1"/>
    <col min="4355" max="4355" width="26.3984375" style="97" customWidth="1"/>
    <col min="4356" max="4357" width="4.19921875" style="97" customWidth="1"/>
    <col min="4358" max="4368" width="11.796875" style="97" customWidth="1"/>
    <col min="4369" max="4608" width="8.796875" style="97"/>
    <col min="4609" max="4609" width="7.296875" style="97" customWidth="1"/>
    <col min="4610" max="4610" width="8.69921875" style="97" bestFit="1" customWidth="1"/>
    <col min="4611" max="4611" width="26.3984375" style="97" customWidth="1"/>
    <col min="4612" max="4613" width="4.19921875" style="97" customWidth="1"/>
    <col min="4614" max="4624" width="11.796875" style="97" customWidth="1"/>
    <col min="4625" max="4864" width="8.796875" style="97"/>
    <col min="4865" max="4865" width="7.296875" style="97" customWidth="1"/>
    <col min="4866" max="4866" width="8.69921875" style="97" bestFit="1" customWidth="1"/>
    <col min="4867" max="4867" width="26.3984375" style="97" customWidth="1"/>
    <col min="4868" max="4869" width="4.19921875" style="97" customWidth="1"/>
    <col min="4870" max="4880" width="11.796875" style="97" customWidth="1"/>
    <col min="4881" max="5120" width="8.796875" style="97"/>
    <col min="5121" max="5121" width="7.296875" style="97" customWidth="1"/>
    <col min="5122" max="5122" width="8.69921875" style="97" bestFit="1" customWidth="1"/>
    <col min="5123" max="5123" width="26.3984375" style="97" customWidth="1"/>
    <col min="5124" max="5125" width="4.19921875" style="97" customWidth="1"/>
    <col min="5126" max="5136" width="11.796875" style="97" customWidth="1"/>
    <col min="5137" max="5376" width="8.796875" style="97"/>
    <col min="5377" max="5377" width="7.296875" style="97" customWidth="1"/>
    <col min="5378" max="5378" width="8.69921875" style="97" bestFit="1" customWidth="1"/>
    <col min="5379" max="5379" width="26.3984375" style="97" customWidth="1"/>
    <col min="5380" max="5381" width="4.19921875" style="97" customWidth="1"/>
    <col min="5382" max="5392" width="11.796875" style="97" customWidth="1"/>
    <col min="5393" max="5632" width="8.796875" style="97"/>
    <col min="5633" max="5633" width="7.296875" style="97" customWidth="1"/>
    <col min="5634" max="5634" width="8.69921875" style="97" bestFit="1" customWidth="1"/>
    <col min="5635" max="5635" width="26.3984375" style="97" customWidth="1"/>
    <col min="5636" max="5637" width="4.19921875" style="97" customWidth="1"/>
    <col min="5638" max="5648" width="11.796875" style="97" customWidth="1"/>
    <col min="5649" max="5888" width="8.796875" style="97"/>
    <col min="5889" max="5889" width="7.296875" style="97" customWidth="1"/>
    <col min="5890" max="5890" width="8.69921875" style="97" bestFit="1" customWidth="1"/>
    <col min="5891" max="5891" width="26.3984375" style="97" customWidth="1"/>
    <col min="5892" max="5893" width="4.19921875" style="97" customWidth="1"/>
    <col min="5894" max="5904" width="11.796875" style="97" customWidth="1"/>
    <col min="5905" max="6144" width="8.796875" style="97"/>
    <col min="6145" max="6145" width="7.296875" style="97" customWidth="1"/>
    <col min="6146" max="6146" width="8.69921875" style="97" bestFit="1" customWidth="1"/>
    <col min="6147" max="6147" width="26.3984375" style="97" customWidth="1"/>
    <col min="6148" max="6149" width="4.19921875" style="97" customWidth="1"/>
    <col min="6150" max="6160" width="11.796875" style="97" customWidth="1"/>
    <col min="6161" max="6400" width="8.796875" style="97"/>
    <col min="6401" max="6401" width="7.296875" style="97" customWidth="1"/>
    <col min="6402" max="6402" width="8.69921875" style="97" bestFit="1" customWidth="1"/>
    <col min="6403" max="6403" width="26.3984375" style="97" customWidth="1"/>
    <col min="6404" max="6405" width="4.19921875" style="97" customWidth="1"/>
    <col min="6406" max="6416" width="11.796875" style="97" customWidth="1"/>
    <col min="6417" max="6656" width="8.796875" style="97"/>
    <col min="6657" max="6657" width="7.296875" style="97" customWidth="1"/>
    <col min="6658" max="6658" width="8.69921875" style="97" bestFit="1" customWidth="1"/>
    <col min="6659" max="6659" width="26.3984375" style="97" customWidth="1"/>
    <col min="6660" max="6661" width="4.19921875" style="97" customWidth="1"/>
    <col min="6662" max="6672" width="11.796875" style="97" customWidth="1"/>
    <col min="6673" max="6912" width="8.796875" style="97"/>
    <col min="6913" max="6913" width="7.296875" style="97" customWidth="1"/>
    <col min="6914" max="6914" width="8.69921875" style="97" bestFit="1" customWidth="1"/>
    <col min="6915" max="6915" width="26.3984375" style="97" customWidth="1"/>
    <col min="6916" max="6917" width="4.19921875" style="97" customWidth="1"/>
    <col min="6918" max="6928" width="11.796875" style="97" customWidth="1"/>
    <col min="6929" max="7168" width="8.796875" style="97"/>
    <col min="7169" max="7169" width="7.296875" style="97" customWidth="1"/>
    <col min="7170" max="7170" width="8.69921875" style="97" bestFit="1" customWidth="1"/>
    <col min="7171" max="7171" width="26.3984375" style="97" customWidth="1"/>
    <col min="7172" max="7173" width="4.19921875" style="97" customWidth="1"/>
    <col min="7174" max="7184" width="11.796875" style="97" customWidth="1"/>
    <col min="7185" max="7424" width="8.796875" style="97"/>
    <col min="7425" max="7425" width="7.296875" style="97" customWidth="1"/>
    <col min="7426" max="7426" width="8.69921875" style="97" bestFit="1" customWidth="1"/>
    <col min="7427" max="7427" width="26.3984375" style="97" customWidth="1"/>
    <col min="7428" max="7429" width="4.19921875" style="97" customWidth="1"/>
    <col min="7430" max="7440" width="11.796875" style="97" customWidth="1"/>
    <col min="7441" max="7680" width="8.796875" style="97"/>
    <col min="7681" max="7681" width="7.296875" style="97" customWidth="1"/>
    <col min="7682" max="7682" width="8.69921875" style="97" bestFit="1" customWidth="1"/>
    <col min="7683" max="7683" width="26.3984375" style="97" customWidth="1"/>
    <col min="7684" max="7685" width="4.19921875" style="97" customWidth="1"/>
    <col min="7686" max="7696" width="11.796875" style="97" customWidth="1"/>
    <col min="7697" max="7936" width="8.796875" style="97"/>
    <col min="7937" max="7937" width="7.296875" style="97" customWidth="1"/>
    <col min="7938" max="7938" width="8.69921875" style="97" bestFit="1" customWidth="1"/>
    <col min="7939" max="7939" width="26.3984375" style="97" customWidth="1"/>
    <col min="7940" max="7941" width="4.19921875" style="97" customWidth="1"/>
    <col min="7942" max="7952" width="11.796875" style="97" customWidth="1"/>
    <col min="7953" max="8192" width="8.796875" style="97"/>
    <col min="8193" max="8193" width="7.296875" style="97" customWidth="1"/>
    <col min="8194" max="8194" width="8.69921875" style="97" bestFit="1" customWidth="1"/>
    <col min="8195" max="8195" width="26.3984375" style="97" customWidth="1"/>
    <col min="8196" max="8197" width="4.19921875" style="97" customWidth="1"/>
    <col min="8198" max="8208" width="11.796875" style="97" customWidth="1"/>
    <col min="8209" max="8448" width="8.796875" style="97"/>
    <col min="8449" max="8449" width="7.296875" style="97" customWidth="1"/>
    <col min="8450" max="8450" width="8.69921875" style="97" bestFit="1" customWidth="1"/>
    <col min="8451" max="8451" width="26.3984375" style="97" customWidth="1"/>
    <col min="8452" max="8453" width="4.19921875" style="97" customWidth="1"/>
    <col min="8454" max="8464" width="11.796875" style="97" customWidth="1"/>
    <col min="8465" max="8704" width="8.796875" style="97"/>
    <col min="8705" max="8705" width="7.296875" style="97" customWidth="1"/>
    <col min="8706" max="8706" width="8.69921875" style="97" bestFit="1" customWidth="1"/>
    <col min="8707" max="8707" width="26.3984375" style="97" customWidth="1"/>
    <col min="8708" max="8709" width="4.19921875" style="97" customWidth="1"/>
    <col min="8710" max="8720" width="11.796875" style="97" customWidth="1"/>
    <col min="8721" max="8960" width="8.796875" style="97"/>
    <col min="8961" max="8961" width="7.296875" style="97" customWidth="1"/>
    <col min="8962" max="8962" width="8.69921875" style="97" bestFit="1" customWidth="1"/>
    <col min="8963" max="8963" width="26.3984375" style="97" customWidth="1"/>
    <col min="8964" max="8965" width="4.19921875" style="97" customWidth="1"/>
    <col min="8966" max="8976" width="11.796875" style="97" customWidth="1"/>
    <col min="8977" max="9216" width="8.796875" style="97"/>
    <col min="9217" max="9217" width="7.296875" style="97" customWidth="1"/>
    <col min="9218" max="9218" width="8.69921875" style="97" bestFit="1" customWidth="1"/>
    <col min="9219" max="9219" width="26.3984375" style="97" customWidth="1"/>
    <col min="9220" max="9221" width="4.19921875" style="97" customWidth="1"/>
    <col min="9222" max="9232" width="11.796875" style="97" customWidth="1"/>
    <col min="9233" max="9472" width="8.796875" style="97"/>
    <col min="9473" max="9473" width="7.296875" style="97" customWidth="1"/>
    <col min="9474" max="9474" width="8.69921875" style="97" bestFit="1" customWidth="1"/>
    <col min="9475" max="9475" width="26.3984375" style="97" customWidth="1"/>
    <col min="9476" max="9477" width="4.19921875" style="97" customWidth="1"/>
    <col min="9478" max="9488" width="11.796875" style="97" customWidth="1"/>
    <col min="9489" max="9728" width="8.796875" style="97"/>
    <col min="9729" max="9729" width="7.296875" style="97" customWidth="1"/>
    <col min="9730" max="9730" width="8.69921875" style="97" bestFit="1" customWidth="1"/>
    <col min="9731" max="9731" width="26.3984375" style="97" customWidth="1"/>
    <col min="9732" max="9733" width="4.19921875" style="97" customWidth="1"/>
    <col min="9734" max="9744" width="11.796875" style="97" customWidth="1"/>
    <col min="9745" max="9984" width="8.796875" style="97"/>
    <col min="9985" max="9985" width="7.296875" style="97" customWidth="1"/>
    <col min="9986" max="9986" width="8.69921875" style="97" bestFit="1" customWidth="1"/>
    <col min="9987" max="9987" width="26.3984375" style="97" customWidth="1"/>
    <col min="9988" max="9989" width="4.19921875" style="97" customWidth="1"/>
    <col min="9990" max="10000" width="11.796875" style="97" customWidth="1"/>
    <col min="10001" max="10240" width="8.796875" style="97"/>
    <col min="10241" max="10241" width="7.296875" style="97" customWidth="1"/>
    <col min="10242" max="10242" width="8.69921875" style="97" bestFit="1" customWidth="1"/>
    <col min="10243" max="10243" width="26.3984375" style="97" customWidth="1"/>
    <col min="10244" max="10245" width="4.19921875" style="97" customWidth="1"/>
    <col min="10246" max="10256" width="11.796875" style="97" customWidth="1"/>
    <col min="10257" max="10496" width="8.796875" style="97"/>
    <col min="10497" max="10497" width="7.296875" style="97" customWidth="1"/>
    <col min="10498" max="10498" width="8.69921875" style="97" bestFit="1" customWidth="1"/>
    <col min="10499" max="10499" width="26.3984375" style="97" customWidth="1"/>
    <col min="10500" max="10501" width="4.19921875" style="97" customWidth="1"/>
    <col min="10502" max="10512" width="11.796875" style="97" customWidth="1"/>
    <col min="10513" max="10752" width="8.796875" style="97"/>
    <col min="10753" max="10753" width="7.296875" style="97" customWidth="1"/>
    <col min="10754" max="10754" width="8.69921875" style="97" bestFit="1" customWidth="1"/>
    <col min="10755" max="10755" width="26.3984375" style="97" customWidth="1"/>
    <col min="10756" max="10757" width="4.19921875" style="97" customWidth="1"/>
    <col min="10758" max="10768" width="11.796875" style="97" customWidth="1"/>
    <col min="10769" max="11008" width="8.796875" style="97"/>
    <col min="11009" max="11009" width="7.296875" style="97" customWidth="1"/>
    <col min="11010" max="11010" width="8.69921875" style="97" bestFit="1" customWidth="1"/>
    <col min="11011" max="11011" width="26.3984375" style="97" customWidth="1"/>
    <col min="11012" max="11013" width="4.19921875" style="97" customWidth="1"/>
    <col min="11014" max="11024" width="11.796875" style="97" customWidth="1"/>
    <col min="11025" max="11264" width="8.796875" style="97"/>
    <col min="11265" max="11265" width="7.296875" style="97" customWidth="1"/>
    <col min="11266" max="11266" width="8.69921875" style="97" bestFit="1" customWidth="1"/>
    <col min="11267" max="11267" width="26.3984375" style="97" customWidth="1"/>
    <col min="11268" max="11269" width="4.19921875" style="97" customWidth="1"/>
    <col min="11270" max="11280" width="11.796875" style="97" customWidth="1"/>
    <col min="11281" max="11520" width="8.796875" style="97"/>
    <col min="11521" max="11521" width="7.296875" style="97" customWidth="1"/>
    <col min="11522" max="11522" width="8.69921875" style="97" bestFit="1" customWidth="1"/>
    <col min="11523" max="11523" width="26.3984375" style="97" customWidth="1"/>
    <col min="11524" max="11525" width="4.19921875" style="97" customWidth="1"/>
    <col min="11526" max="11536" width="11.796875" style="97" customWidth="1"/>
    <col min="11537" max="11776" width="8.796875" style="97"/>
    <col min="11777" max="11777" width="7.296875" style="97" customWidth="1"/>
    <col min="11778" max="11778" width="8.69921875" style="97" bestFit="1" customWidth="1"/>
    <col min="11779" max="11779" width="26.3984375" style="97" customWidth="1"/>
    <col min="11780" max="11781" width="4.19921875" style="97" customWidth="1"/>
    <col min="11782" max="11792" width="11.796875" style="97" customWidth="1"/>
    <col min="11793" max="12032" width="8.796875" style="97"/>
    <col min="12033" max="12033" width="7.296875" style="97" customWidth="1"/>
    <col min="12034" max="12034" width="8.69921875" style="97" bestFit="1" customWidth="1"/>
    <col min="12035" max="12035" width="26.3984375" style="97" customWidth="1"/>
    <col min="12036" max="12037" width="4.19921875" style="97" customWidth="1"/>
    <col min="12038" max="12048" width="11.796875" style="97" customWidth="1"/>
    <col min="12049" max="12288" width="8.796875" style="97"/>
    <col min="12289" max="12289" width="7.296875" style="97" customWidth="1"/>
    <col min="12290" max="12290" width="8.69921875" style="97" bestFit="1" customWidth="1"/>
    <col min="12291" max="12291" width="26.3984375" style="97" customWidth="1"/>
    <col min="12292" max="12293" width="4.19921875" style="97" customWidth="1"/>
    <col min="12294" max="12304" width="11.796875" style="97" customWidth="1"/>
    <col min="12305" max="12544" width="8.796875" style="97"/>
    <col min="12545" max="12545" width="7.296875" style="97" customWidth="1"/>
    <col min="12546" max="12546" width="8.69921875" style="97" bestFit="1" customWidth="1"/>
    <col min="12547" max="12547" width="26.3984375" style="97" customWidth="1"/>
    <col min="12548" max="12549" width="4.19921875" style="97" customWidth="1"/>
    <col min="12550" max="12560" width="11.796875" style="97" customWidth="1"/>
    <col min="12561" max="12800" width="8.796875" style="97"/>
    <col min="12801" max="12801" width="7.296875" style="97" customWidth="1"/>
    <col min="12802" max="12802" width="8.69921875" style="97" bestFit="1" customWidth="1"/>
    <col min="12803" max="12803" width="26.3984375" style="97" customWidth="1"/>
    <col min="12804" max="12805" width="4.19921875" style="97" customWidth="1"/>
    <col min="12806" max="12816" width="11.796875" style="97" customWidth="1"/>
    <col min="12817" max="13056" width="8.796875" style="97"/>
    <col min="13057" max="13057" width="7.296875" style="97" customWidth="1"/>
    <col min="13058" max="13058" width="8.69921875" style="97" bestFit="1" customWidth="1"/>
    <col min="13059" max="13059" width="26.3984375" style="97" customWidth="1"/>
    <col min="13060" max="13061" width="4.19921875" style="97" customWidth="1"/>
    <col min="13062" max="13072" width="11.796875" style="97" customWidth="1"/>
    <col min="13073" max="13312" width="8.796875" style="97"/>
    <col min="13313" max="13313" width="7.296875" style="97" customWidth="1"/>
    <col min="13314" max="13314" width="8.69921875" style="97" bestFit="1" customWidth="1"/>
    <col min="13315" max="13315" width="26.3984375" style="97" customWidth="1"/>
    <col min="13316" max="13317" width="4.19921875" style="97" customWidth="1"/>
    <col min="13318" max="13328" width="11.796875" style="97" customWidth="1"/>
    <col min="13329" max="13568" width="8.796875" style="97"/>
    <col min="13569" max="13569" width="7.296875" style="97" customWidth="1"/>
    <col min="13570" max="13570" width="8.69921875" style="97" bestFit="1" customWidth="1"/>
    <col min="13571" max="13571" width="26.3984375" style="97" customWidth="1"/>
    <col min="13572" max="13573" width="4.19921875" style="97" customWidth="1"/>
    <col min="13574" max="13584" width="11.796875" style="97" customWidth="1"/>
    <col min="13585" max="13824" width="8.796875" style="97"/>
    <col min="13825" max="13825" width="7.296875" style="97" customWidth="1"/>
    <col min="13826" max="13826" width="8.69921875" style="97" bestFit="1" customWidth="1"/>
    <col min="13827" max="13827" width="26.3984375" style="97" customWidth="1"/>
    <col min="13828" max="13829" width="4.19921875" style="97" customWidth="1"/>
    <col min="13830" max="13840" width="11.796875" style="97" customWidth="1"/>
    <col min="13841" max="14080" width="8.796875" style="97"/>
    <col min="14081" max="14081" width="7.296875" style="97" customWidth="1"/>
    <col min="14082" max="14082" width="8.69921875" style="97" bestFit="1" customWidth="1"/>
    <col min="14083" max="14083" width="26.3984375" style="97" customWidth="1"/>
    <col min="14084" max="14085" width="4.19921875" style="97" customWidth="1"/>
    <col min="14086" max="14096" width="11.796875" style="97" customWidth="1"/>
    <col min="14097" max="14336" width="8.796875" style="97"/>
    <col min="14337" max="14337" width="7.296875" style="97" customWidth="1"/>
    <col min="14338" max="14338" width="8.69921875" style="97" bestFit="1" customWidth="1"/>
    <col min="14339" max="14339" width="26.3984375" style="97" customWidth="1"/>
    <col min="14340" max="14341" width="4.19921875" style="97" customWidth="1"/>
    <col min="14342" max="14352" width="11.796875" style="97" customWidth="1"/>
    <col min="14353" max="14592" width="8.796875" style="97"/>
    <col min="14593" max="14593" width="7.296875" style="97" customWidth="1"/>
    <col min="14594" max="14594" width="8.69921875" style="97" bestFit="1" customWidth="1"/>
    <col min="14595" max="14595" width="26.3984375" style="97" customWidth="1"/>
    <col min="14596" max="14597" width="4.19921875" style="97" customWidth="1"/>
    <col min="14598" max="14608" width="11.796875" style="97" customWidth="1"/>
    <col min="14609" max="14848" width="8.796875" style="97"/>
    <col min="14849" max="14849" width="7.296875" style="97" customWidth="1"/>
    <col min="14850" max="14850" width="8.69921875" style="97" bestFit="1" customWidth="1"/>
    <col min="14851" max="14851" width="26.3984375" style="97" customWidth="1"/>
    <col min="14852" max="14853" width="4.19921875" style="97" customWidth="1"/>
    <col min="14854" max="14864" width="11.796875" style="97" customWidth="1"/>
    <col min="14865" max="15104" width="8.796875" style="97"/>
    <col min="15105" max="15105" width="7.296875" style="97" customWidth="1"/>
    <col min="15106" max="15106" width="8.69921875" style="97" bestFit="1" customWidth="1"/>
    <col min="15107" max="15107" width="26.3984375" style="97" customWidth="1"/>
    <col min="15108" max="15109" width="4.19921875" style="97" customWidth="1"/>
    <col min="15110" max="15120" width="11.796875" style="97" customWidth="1"/>
    <col min="15121" max="15360" width="8.796875" style="97"/>
    <col min="15361" max="15361" width="7.296875" style="97" customWidth="1"/>
    <col min="15362" max="15362" width="8.69921875" style="97" bestFit="1" customWidth="1"/>
    <col min="15363" max="15363" width="26.3984375" style="97" customWidth="1"/>
    <col min="15364" max="15365" width="4.19921875" style="97" customWidth="1"/>
    <col min="15366" max="15376" width="11.796875" style="97" customWidth="1"/>
    <col min="15377" max="15616" width="8.796875" style="97"/>
    <col min="15617" max="15617" width="7.296875" style="97" customWidth="1"/>
    <col min="15618" max="15618" width="8.69921875" style="97" bestFit="1" customWidth="1"/>
    <col min="15619" max="15619" width="26.3984375" style="97" customWidth="1"/>
    <col min="15620" max="15621" width="4.19921875" style="97" customWidth="1"/>
    <col min="15622" max="15632" width="11.796875" style="97" customWidth="1"/>
    <col min="15633" max="15872" width="8.796875" style="97"/>
    <col min="15873" max="15873" width="7.296875" style="97" customWidth="1"/>
    <col min="15874" max="15874" width="8.69921875" style="97" bestFit="1" customWidth="1"/>
    <col min="15875" max="15875" width="26.3984375" style="97" customWidth="1"/>
    <col min="15876" max="15877" width="4.19921875" style="97" customWidth="1"/>
    <col min="15878" max="15888" width="11.796875" style="97" customWidth="1"/>
    <col min="15889" max="16128" width="8.796875" style="97"/>
    <col min="16129" max="16129" width="7.296875" style="97" customWidth="1"/>
    <col min="16130" max="16130" width="8.69921875" style="97" bestFit="1" customWidth="1"/>
    <col min="16131" max="16131" width="26.3984375" style="97" customWidth="1"/>
    <col min="16132" max="16133" width="4.19921875" style="97" customWidth="1"/>
    <col min="16134" max="16144" width="11.796875" style="97" customWidth="1"/>
    <col min="16145" max="16384" width="8.796875" style="97"/>
  </cols>
  <sheetData>
    <row r="1" spans="1:23" ht="14.25" customHeight="1" x14ac:dyDescent="0.45">
      <c r="A1" s="89"/>
      <c r="B1" s="90"/>
      <c r="C1" s="90"/>
      <c r="E1" s="92"/>
      <c r="F1" s="93"/>
      <c r="G1" s="94"/>
      <c r="H1" s="95"/>
      <c r="I1" s="96"/>
      <c r="J1" s="96"/>
      <c r="K1" s="96"/>
      <c r="L1" s="96"/>
      <c r="M1" s="96"/>
      <c r="N1" s="96"/>
      <c r="O1" s="234">
        <v>42170</v>
      </c>
      <c r="P1" s="235"/>
      <c r="Q1" s="90"/>
      <c r="R1" s="90"/>
      <c r="T1" s="98"/>
      <c r="U1" s="98"/>
      <c r="V1" s="98"/>
      <c r="W1" s="98"/>
    </row>
    <row r="2" spans="1:23" ht="14.25" customHeight="1" x14ac:dyDescent="0.45">
      <c r="A2" s="99" t="s">
        <v>58</v>
      </c>
      <c r="B2" s="90"/>
      <c r="C2" s="90"/>
      <c r="D2" s="99"/>
      <c r="E2" s="92"/>
      <c r="F2" s="100" t="s">
        <v>59</v>
      </c>
      <c r="G2" s="100" t="s">
        <v>60</v>
      </c>
      <c r="H2" s="100" t="s">
        <v>60</v>
      </c>
      <c r="I2" s="100" t="s">
        <v>60</v>
      </c>
      <c r="J2" s="101"/>
      <c r="K2" s="96"/>
      <c r="L2" s="100" t="s">
        <v>61</v>
      </c>
      <c r="M2" s="100" t="s">
        <v>61</v>
      </c>
      <c r="N2" s="100" t="s">
        <v>61</v>
      </c>
      <c r="O2" s="100" t="s">
        <v>61</v>
      </c>
      <c r="P2" s="102"/>
      <c r="Q2" s="90"/>
      <c r="R2" s="90"/>
      <c r="T2" s="98"/>
      <c r="U2" s="98"/>
      <c r="V2" s="98"/>
      <c r="W2" s="98"/>
    </row>
    <row r="3" spans="1:23" ht="14.25" customHeight="1" x14ac:dyDescent="0.45">
      <c r="A3" s="89"/>
      <c r="B3" s="90"/>
      <c r="C3" s="90"/>
      <c r="D3" s="99"/>
      <c r="E3" s="92"/>
      <c r="F3" s="103" t="s">
        <v>62</v>
      </c>
      <c r="G3" s="103" t="s">
        <v>62</v>
      </c>
      <c r="H3" s="103" t="s">
        <v>63</v>
      </c>
      <c r="I3" s="103" t="s">
        <v>63</v>
      </c>
      <c r="J3" s="104"/>
      <c r="K3" s="96"/>
      <c r="L3" s="103" t="s">
        <v>62</v>
      </c>
      <c r="M3" s="103" t="s">
        <v>62</v>
      </c>
      <c r="N3" s="103" t="s">
        <v>63</v>
      </c>
      <c r="O3" s="103" t="s">
        <v>63</v>
      </c>
      <c r="P3" s="102"/>
      <c r="Q3" s="90"/>
      <c r="R3" s="90"/>
      <c r="T3" s="98"/>
      <c r="U3" s="98"/>
      <c r="V3" s="98"/>
      <c r="W3" s="98"/>
    </row>
    <row r="4" spans="1:23" ht="14.25" customHeight="1" x14ac:dyDescent="0.45">
      <c r="A4" s="105" t="s">
        <v>64</v>
      </c>
      <c r="B4" s="105" t="s">
        <v>65</v>
      </c>
      <c r="C4" s="106" t="s">
        <v>66</v>
      </c>
      <c r="D4" s="106" t="s">
        <v>67</v>
      </c>
      <c r="E4" s="106" t="s">
        <v>68</v>
      </c>
      <c r="F4" s="107" t="s">
        <v>69</v>
      </c>
      <c r="G4" s="107" t="s">
        <v>70</v>
      </c>
      <c r="H4" s="107" t="s">
        <v>69</v>
      </c>
      <c r="I4" s="107" t="s">
        <v>71</v>
      </c>
      <c r="J4" s="107" t="s">
        <v>72</v>
      </c>
      <c r="K4" s="107" t="s">
        <v>73</v>
      </c>
      <c r="L4" s="107" t="s">
        <v>74</v>
      </c>
      <c r="M4" s="107" t="s">
        <v>71</v>
      </c>
      <c r="N4" s="107" t="s">
        <v>69</v>
      </c>
      <c r="O4" s="107" t="s">
        <v>70</v>
      </c>
      <c r="P4" s="107" t="s">
        <v>75</v>
      </c>
      <c r="Q4" s="108"/>
      <c r="R4" s="108"/>
      <c r="T4" s="98"/>
      <c r="U4" s="98"/>
      <c r="V4" s="98"/>
      <c r="W4" s="98"/>
    </row>
    <row r="5" spans="1:23" ht="14.25" customHeight="1" x14ac:dyDescent="0.45">
      <c r="A5" s="109"/>
      <c r="B5" s="110"/>
      <c r="C5" s="111"/>
      <c r="D5" s="112">
        <v>999</v>
      </c>
      <c r="E5" s="112"/>
      <c r="F5" s="113"/>
      <c r="G5" s="114"/>
      <c r="H5" s="115"/>
      <c r="I5" s="115"/>
      <c r="J5" s="115"/>
      <c r="K5" s="115"/>
      <c r="L5" s="115"/>
      <c r="M5" s="115"/>
      <c r="N5" s="115"/>
      <c r="O5" s="115"/>
      <c r="P5" s="116"/>
      <c r="Q5" s="108"/>
      <c r="R5" s="108"/>
      <c r="T5" s="98"/>
      <c r="U5" s="98"/>
      <c r="V5" s="98"/>
      <c r="W5" s="98"/>
    </row>
    <row r="6" spans="1:23" ht="14.4" x14ac:dyDescent="0.45">
      <c r="A6" s="109"/>
      <c r="B6" s="110"/>
      <c r="C6" s="111"/>
      <c r="D6" s="112"/>
      <c r="E6" s="112"/>
      <c r="F6" s="113"/>
      <c r="G6" s="114"/>
      <c r="H6" s="115"/>
      <c r="I6" s="115"/>
      <c r="J6" s="115"/>
      <c r="K6" s="115"/>
      <c r="L6" s="115"/>
      <c r="M6" s="115"/>
      <c r="N6" s="115"/>
      <c r="O6" s="115"/>
      <c r="P6" s="116"/>
      <c r="Q6" s="108"/>
      <c r="R6" s="108"/>
    </row>
    <row r="7" spans="1:23" ht="14.4" x14ac:dyDescent="0.45">
      <c r="A7" s="108"/>
      <c r="D7" s="108"/>
      <c r="E7" s="97"/>
      <c r="F7" s="97"/>
      <c r="G7" s="97"/>
      <c r="H7" s="97"/>
    </row>
    <row r="8" spans="1:23" ht="14.4" x14ac:dyDescent="0.45">
      <c r="A8" s="108"/>
      <c r="D8" s="108"/>
      <c r="E8" s="97"/>
      <c r="F8" s="97"/>
      <c r="G8" s="97"/>
      <c r="H8" s="97"/>
    </row>
    <row r="9" spans="1:23" ht="14.4" x14ac:dyDescent="0.45">
      <c r="A9" s="108"/>
      <c r="D9" s="108"/>
      <c r="E9" s="97"/>
      <c r="F9" s="97"/>
      <c r="G9" s="97"/>
      <c r="H9" s="97"/>
    </row>
    <row r="10" spans="1:23" ht="14.4" x14ac:dyDescent="0.45">
      <c r="A10" s="108"/>
      <c r="D10" s="97"/>
      <c r="E10" s="97"/>
      <c r="F10" s="97"/>
      <c r="G10" s="97"/>
      <c r="H10" s="97"/>
    </row>
    <row r="11" spans="1:23" ht="14.4" x14ac:dyDescent="0.45">
      <c r="A11" s="108"/>
      <c r="D11" s="97"/>
      <c r="E11" s="97"/>
      <c r="F11" s="97"/>
      <c r="G11" s="97"/>
      <c r="H11" s="97"/>
    </row>
    <row r="12" spans="1:23" ht="14.4" x14ac:dyDescent="0.45">
      <c r="A12" s="108"/>
      <c r="D12" s="97"/>
      <c r="E12" s="97"/>
      <c r="F12" s="97"/>
      <c r="G12" s="97"/>
      <c r="H12" s="97"/>
    </row>
    <row r="13" spans="1:23" ht="14.4" x14ac:dyDescent="0.45">
      <c r="A13" s="108"/>
      <c r="D13" s="97"/>
      <c r="E13" s="97"/>
      <c r="F13" s="97"/>
      <c r="G13" s="97"/>
      <c r="H13" s="97"/>
    </row>
    <row r="14" spans="1:23" ht="14.4" x14ac:dyDescent="0.45">
      <c r="A14" s="108"/>
      <c r="D14" s="97"/>
      <c r="E14" s="97"/>
      <c r="F14" s="97"/>
      <c r="G14" s="97"/>
      <c r="H14" s="97"/>
    </row>
    <row r="15" spans="1:23" ht="14.4" x14ac:dyDescent="0.45">
      <c r="A15" s="108"/>
      <c r="D15" s="97"/>
      <c r="E15" s="97"/>
      <c r="F15" s="97"/>
      <c r="G15" s="97"/>
      <c r="H15" s="97"/>
    </row>
    <row r="16" spans="1:23" ht="14.4" x14ac:dyDescent="0.45">
      <c r="A16" s="108"/>
      <c r="D16" s="97"/>
      <c r="E16" s="97"/>
      <c r="F16" s="97"/>
      <c r="G16" s="97"/>
      <c r="H16" s="97"/>
    </row>
    <row r="17" spans="1:8" ht="14.4" x14ac:dyDescent="0.45">
      <c r="A17" s="108"/>
      <c r="D17" s="97"/>
      <c r="E17" s="97"/>
      <c r="F17" s="97"/>
      <c r="G17" s="97"/>
      <c r="H17" s="97"/>
    </row>
    <row r="18" spans="1:8" ht="14.4" x14ac:dyDescent="0.45">
      <c r="A18" s="108"/>
      <c r="D18" s="97"/>
      <c r="E18" s="97"/>
      <c r="F18" s="97"/>
      <c r="G18" s="97"/>
      <c r="H18" s="97"/>
    </row>
    <row r="19" spans="1:8" ht="14.4" x14ac:dyDescent="0.45">
      <c r="A19" s="108"/>
      <c r="D19" s="97"/>
      <c r="E19" s="97"/>
      <c r="F19" s="97"/>
      <c r="G19" s="97"/>
      <c r="H19" s="97"/>
    </row>
    <row r="20" spans="1:8" ht="14.4" x14ac:dyDescent="0.45">
      <c r="A20" s="108"/>
      <c r="D20" s="97"/>
      <c r="E20" s="97"/>
      <c r="F20" s="97"/>
      <c r="G20" s="97"/>
      <c r="H20" s="97"/>
    </row>
    <row r="21" spans="1:8" ht="14.4" x14ac:dyDescent="0.45">
      <c r="A21" s="108"/>
      <c r="D21" s="97"/>
      <c r="E21" s="97"/>
      <c r="F21" s="97"/>
      <c r="G21" s="97"/>
      <c r="H21" s="97"/>
    </row>
    <row r="22" spans="1:8" ht="14.4" x14ac:dyDescent="0.45">
      <c r="A22" s="108"/>
      <c r="D22" s="97"/>
      <c r="E22" s="97"/>
      <c r="F22" s="97"/>
      <c r="G22" s="97"/>
      <c r="H22" s="97"/>
    </row>
    <row r="23" spans="1:8" ht="14.4" x14ac:dyDescent="0.45">
      <c r="A23" s="108"/>
      <c r="D23" s="97"/>
      <c r="E23" s="97"/>
      <c r="F23" s="97"/>
      <c r="G23" s="97"/>
      <c r="H23" s="97"/>
    </row>
    <row r="24" spans="1:8" ht="14.4" x14ac:dyDescent="0.45">
      <c r="A24" s="108"/>
      <c r="D24" s="97"/>
      <c r="E24" s="97"/>
      <c r="F24" s="97"/>
      <c r="G24" s="97"/>
      <c r="H24" s="97"/>
    </row>
    <row r="25" spans="1:8" ht="14.4" x14ac:dyDescent="0.45">
      <c r="A25" s="108"/>
      <c r="D25" s="97"/>
      <c r="E25" s="97"/>
      <c r="F25" s="97"/>
      <c r="G25" s="97"/>
      <c r="H25" s="97"/>
    </row>
    <row r="26" spans="1:8" ht="14.4" x14ac:dyDescent="0.45">
      <c r="A26" s="108"/>
      <c r="D26" s="97"/>
      <c r="E26" s="97"/>
      <c r="F26" s="97"/>
      <c r="G26" s="97"/>
      <c r="H26" s="97"/>
    </row>
    <row r="27" spans="1:8" ht="14.4" x14ac:dyDescent="0.45">
      <c r="A27" s="108"/>
      <c r="D27" s="97"/>
      <c r="E27" s="97"/>
      <c r="F27" s="97"/>
      <c r="G27" s="97"/>
      <c r="H27" s="97"/>
    </row>
    <row r="28" spans="1:8" ht="14.4" x14ac:dyDescent="0.45">
      <c r="A28" s="108"/>
      <c r="D28" s="97"/>
      <c r="E28" s="97"/>
      <c r="F28" s="97"/>
      <c r="G28" s="97"/>
      <c r="H28" s="97"/>
    </row>
    <row r="29" spans="1:8" ht="14.4" x14ac:dyDescent="0.45">
      <c r="A29" s="108"/>
      <c r="D29" s="97"/>
      <c r="E29" s="97"/>
      <c r="F29" s="97"/>
      <c r="G29" s="97"/>
      <c r="H29" s="97"/>
    </row>
    <row r="30" spans="1:8" ht="14.4" x14ac:dyDescent="0.45">
      <c r="A30" s="108"/>
      <c r="D30" s="97"/>
      <c r="E30" s="97"/>
      <c r="F30" s="97"/>
      <c r="G30" s="97"/>
      <c r="H30" s="97"/>
    </row>
    <row r="31" spans="1:8" ht="14.4" x14ac:dyDescent="0.45">
      <c r="A31" s="108"/>
      <c r="D31" s="97"/>
      <c r="E31" s="97"/>
      <c r="F31" s="97"/>
      <c r="G31" s="97"/>
      <c r="H31" s="97"/>
    </row>
    <row r="32" spans="1:8" ht="14.4" x14ac:dyDescent="0.45">
      <c r="A32" s="108"/>
      <c r="D32" s="97"/>
      <c r="E32" s="97"/>
      <c r="F32" s="97"/>
      <c r="G32" s="97"/>
      <c r="H32" s="97"/>
    </row>
    <row r="33" spans="1:8" ht="14.4" x14ac:dyDescent="0.45">
      <c r="A33" s="108"/>
      <c r="D33" s="97"/>
      <c r="E33" s="97"/>
      <c r="F33" s="97"/>
      <c r="G33" s="97"/>
      <c r="H33" s="97"/>
    </row>
    <row r="34" spans="1:8" ht="14.4" x14ac:dyDescent="0.45">
      <c r="A34" s="108"/>
      <c r="D34" s="97"/>
      <c r="E34" s="97"/>
      <c r="F34" s="97"/>
      <c r="G34" s="97"/>
      <c r="H34" s="97"/>
    </row>
    <row r="35" spans="1:8" ht="14.4" x14ac:dyDescent="0.45">
      <c r="A35" s="108"/>
      <c r="D35" s="97"/>
      <c r="E35" s="97"/>
      <c r="F35" s="97"/>
      <c r="G35" s="97"/>
      <c r="H35" s="97"/>
    </row>
    <row r="36" spans="1:8" ht="14.4" x14ac:dyDescent="0.45">
      <c r="A36" s="108"/>
      <c r="D36" s="97"/>
      <c r="E36" s="97"/>
      <c r="F36" s="97"/>
      <c r="G36" s="97"/>
      <c r="H36" s="97"/>
    </row>
    <row r="37" spans="1:8" ht="14.4" x14ac:dyDescent="0.45">
      <c r="A37" s="108"/>
      <c r="D37" s="97"/>
      <c r="E37" s="97"/>
      <c r="F37" s="97"/>
      <c r="G37" s="97"/>
      <c r="H37" s="97"/>
    </row>
    <row r="38" spans="1:8" ht="14.4" x14ac:dyDescent="0.45">
      <c r="A38" s="108"/>
      <c r="D38" s="97"/>
      <c r="E38" s="97"/>
      <c r="F38" s="97"/>
      <c r="G38" s="97"/>
      <c r="H38" s="97"/>
    </row>
    <row r="39" spans="1:8" ht="14.4" x14ac:dyDescent="0.45">
      <c r="A39" s="108"/>
      <c r="D39" s="97"/>
      <c r="E39" s="97"/>
      <c r="F39" s="97"/>
      <c r="G39" s="97"/>
      <c r="H39" s="97"/>
    </row>
    <row r="40" spans="1:8" ht="14.4" x14ac:dyDescent="0.45">
      <c r="A40" s="108"/>
      <c r="D40" s="97"/>
      <c r="E40" s="97"/>
      <c r="F40" s="97"/>
      <c r="G40" s="97"/>
      <c r="H40" s="97"/>
    </row>
    <row r="41" spans="1:8" ht="14.4" x14ac:dyDescent="0.45">
      <c r="A41" s="108"/>
      <c r="D41" s="97"/>
      <c r="E41" s="97"/>
      <c r="F41" s="97"/>
      <c r="G41" s="97"/>
      <c r="H41" s="97"/>
    </row>
    <row r="42" spans="1:8" ht="14.4" x14ac:dyDescent="0.45">
      <c r="A42" s="108"/>
      <c r="D42" s="117"/>
      <c r="E42" s="97"/>
      <c r="F42" s="97"/>
      <c r="G42" s="97"/>
      <c r="H42" s="97"/>
    </row>
    <row r="43" spans="1:8" ht="14.4" x14ac:dyDescent="0.45">
      <c r="A43" s="108"/>
      <c r="D43" s="97"/>
      <c r="E43" s="97"/>
      <c r="F43" s="97"/>
      <c r="G43" s="97"/>
      <c r="H43" s="97"/>
    </row>
    <row r="44" spans="1:8" ht="14.4" x14ac:dyDescent="0.45">
      <c r="A44" s="108"/>
      <c r="D44" s="97"/>
      <c r="E44" s="97"/>
      <c r="F44" s="97"/>
      <c r="G44" s="97"/>
      <c r="H44" s="97"/>
    </row>
    <row r="45" spans="1:8" ht="14.4" x14ac:dyDescent="0.45">
      <c r="A45" s="108"/>
      <c r="D45" s="97"/>
      <c r="E45" s="97"/>
      <c r="F45" s="97"/>
      <c r="G45" s="97"/>
      <c r="H45" s="97"/>
    </row>
    <row r="46" spans="1:8" ht="14.4" x14ac:dyDescent="0.45">
      <c r="A46" s="108"/>
      <c r="D46" s="97"/>
      <c r="E46" s="97"/>
      <c r="F46" s="97"/>
      <c r="G46" s="97"/>
      <c r="H46" s="97"/>
    </row>
    <row r="47" spans="1:8" ht="14.4" x14ac:dyDescent="0.45">
      <c r="A47" s="108"/>
      <c r="D47" s="97"/>
      <c r="E47" s="97"/>
      <c r="F47" s="97"/>
      <c r="G47" s="97"/>
      <c r="H47" s="97"/>
    </row>
    <row r="48" spans="1:8" ht="14.4" x14ac:dyDescent="0.45">
      <c r="A48" s="108"/>
      <c r="D48" s="97"/>
      <c r="E48" s="97"/>
      <c r="F48" s="97"/>
      <c r="G48" s="97"/>
      <c r="H48" s="97"/>
    </row>
    <row r="49" spans="1:8" ht="14.4" x14ac:dyDescent="0.45">
      <c r="A49" s="108"/>
      <c r="D49" s="97"/>
      <c r="E49" s="97"/>
      <c r="F49" s="97"/>
      <c r="G49" s="97"/>
      <c r="H49" s="97"/>
    </row>
    <row r="50" spans="1:8" ht="14.4" x14ac:dyDescent="0.45">
      <c r="A50" s="108"/>
      <c r="D50" s="97"/>
      <c r="E50" s="97"/>
      <c r="F50" s="97"/>
      <c r="G50" s="97"/>
      <c r="H50" s="97"/>
    </row>
    <row r="51" spans="1:8" ht="14.4" x14ac:dyDescent="0.45">
      <c r="A51" s="108"/>
      <c r="D51" s="97"/>
      <c r="E51" s="97"/>
      <c r="F51" s="97"/>
      <c r="G51" s="97"/>
      <c r="H51" s="97"/>
    </row>
    <row r="52" spans="1:8" ht="14.4" x14ac:dyDescent="0.45">
      <c r="A52" s="108"/>
      <c r="D52" s="97"/>
      <c r="E52" s="97"/>
      <c r="F52" s="97"/>
      <c r="G52" s="97"/>
      <c r="H52" s="97"/>
    </row>
    <row r="53" spans="1:8" ht="14.4" x14ac:dyDescent="0.45">
      <c r="A53" s="108"/>
      <c r="D53" s="97"/>
      <c r="E53" s="97"/>
      <c r="F53" s="97"/>
      <c r="G53" s="97"/>
      <c r="H53" s="97"/>
    </row>
    <row r="54" spans="1:8" ht="14.4" x14ac:dyDescent="0.45">
      <c r="A54" s="108"/>
      <c r="D54" s="97"/>
      <c r="E54" s="97"/>
      <c r="F54" s="97"/>
      <c r="G54" s="97"/>
      <c r="H54" s="97"/>
    </row>
    <row r="55" spans="1:8" ht="14.4" x14ac:dyDescent="0.45">
      <c r="A55" s="108"/>
      <c r="D55" s="97"/>
      <c r="E55" s="97"/>
      <c r="F55" s="97"/>
      <c r="G55" s="97"/>
      <c r="H55" s="97"/>
    </row>
    <row r="56" spans="1:8" ht="14.4" x14ac:dyDescent="0.45">
      <c r="A56" s="108"/>
      <c r="D56" s="97"/>
      <c r="E56" s="97"/>
      <c r="F56" s="97"/>
      <c r="G56" s="97"/>
      <c r="H56" s="97"/>
    </row>
    <row r="57" spans="1:8" ht="14.4" x14ac:dyDescent="0.45">
      <c r="A57" s="108"/>
      <c r="D57" s="97"/>
      <c r="E57" s="97"/>
      <c r="F57" s="97"/>
      <c r="G57" s="97"/>
      <c r="H57" s="97"/>
    </row>
    <row r="58" spans="1:8" ht="14.4" x14ac:dyDescent="0.45">
      <c r="A58" s="108"/>
      <c r="D58" s="97"/>
      <c r="E58" s="97"/>
      <c r="F58" s="97"/>
      <c r="G58" s="97"/>
      <c r="H58" s="97"/>
    </row>
    <row r="59" spans="1:8" ht="14.4" x14ac:dyDescent="0.45">
      <c r="A59" s="108"/>
      <c r="D59" s="97"/>
      <c r="E59" s="97"/>
      <c r="F59" s="97"/>
      <c r="G59" s="97"/>
      <c r="H59" s="97"/>
    </row>
    <row r="60" spans="1:8" ht="14.4" x14ac:dyDescent="0.45">
      <c r="A60" s="108"/>
      <c r="D60" s="97"/>
      <c r="E60" s="97"/>
      <c r="F60" s="97"/>
      <c r="G60" s="97"/>
      <c r="H60" s="97"/>
    </row>
    <row r="61" spans="1:8" ht="14.4" x14ac:dyDescent="0.45">
      <c r="A61" s="108"/>
      <c r="D61" s="97"/>
      <c r="E61" s="97"/>
      <c r="F61" s="97"/>
      <c r="G61" s="97"/>
      <c r="H61" s="97"/>
    </row>
    <row r="62" spans="1:8" ht="14.4" x14ac:dyDescent="0.45">
      <c r="A62" s="108"/>
      <c r="D62" s="97"/>
      <c r="E62" s="97"/>
      <c r="F62" s="97"/>
      <c r="G62" s="97"/>
      <c r="H62" s="97"/>
    </row>
    <row r="63" spans="1:8" ht="14.4" x14ac:dyDescent="0.45">
      <c r="A63" s="108"/>
      <c r="D63" s="97"/>
      <c r="E63" s="97"/>
      <c r="F63" s="97"/>
      <c r="G63" s="97"/>
      <c r="H63" s="97"/>
    </row>
    <row r="64" spans="1:8" ht="14.4" x14ac:dyDescent="0.45">
      <c r="A64" s="108"/>
      <c r="D64" s="97"/>
      <c r="E64" s="97"/>
      <c r="F64" s="97"/>
      <c r="G64" s="97"/>
      <c r="H64" s="97"/>
    </row>
    <row r="65" spans="1:8" ht="14.4" x14ac:dyDescent="0.45">
      <c r="A65" s="108"/>
      <c r="D65" s="97"/>
      <c r="E65" s="97"/>
      <c r="F65" s="97"/>
      <c r="G65" s="97"/>
      <c r="H65" s="97"/>
    </row>
    <row r="66" spans="1:8" ht="14.4" x14ac:dyDescent="0.45">
      <c r="A66" s="108"/>
      <c r="D66" s="97"/>
      <c r="E66" s="97"/>
      <c r="F66" s="97"/>
      <c r="G66" s="97"/>
      <c r="H66" s="97"/>
    </row>
    <row r="67" spans="1:8" ht="14.4" x14ac:dyDescent="0.45">
      <c r="A67" s="108"/>
      <c r="D67" s="97"/>
      <c r="E67" s="97"/>
      <c r="F67" s="97"/>
      <c r="G67" s="97"/>
      <c r="H67" s="97"/>
    </row>
    <row r="68" spans="1:8" ht="14.4" x14ac:dyDescent="0.45">
      <c r="A68" s="108"/>
      <c r="D68" s="97"/>
      <c r="E68" s="97"/>
      <c r="F68" s="97"/>
      <c r="G68" s="97"/>
      <c r="H68" s="97"/>
    </row>
    <row r="69" spans="1:8" ht="14.4" x14ac:dyDescent="0.45">
      <c r="A69" s="108"/>
      <c r="D69" s="97"/>
      <c r="E69" s="97"/>
      <c r="F69" s="97"/>
      <c r="G69" s="97"/>
      <c r="H69" s="97"/>
    </row>
    <row r="70" spans="1:8" ht="14.4" x14ac:dyDescent="0.45">
      <c r="A70" s="108"/>
      <c r="D70" s="97"/>
      <c r="E70" s="97"/>
      <c r="F70" s="97"/>
      <c r="G70" s="97"/>
      <c r="H70" s="97"/>
    </row>
    <row r="71" spans="1:8" ht="14.4" x14ac:dyDescent="0.45">
      <c r="A71" s="108"/>
      <c r="D71" s="97"/>
      <c r="E71" s="97"/>
      <c r="F71" s="97"/>
      <c r="G71" s="97"/>
      <c r="H71" s="97"/>
    </row>
    <row r="72" spans="1:8" ht="14.4" x14ac:dyDescent="0.45">
      <c r="A72" s="108"/>
      <c r="D72" s="97"/>
      <c r="E72" s="97"/>
      <c r="F72" s="97"/>
      <c r="G72" s="97"/>
      <c r="H72" s="97"/>
    </row>
    <row r="73" spans="1:8" ht="14.4" x14ac:dyDescent="0.45">
      <c r="A73" s="108"/>
      <c r="D73" s="97"/>
      <c r="E73" s="97"/>
      <c r="F73" s="97"/>
      <c r="G73" s="97"/>
      <c r="H73" s="97"/>
    </row>
    <row r="74" spans="1:8" ht="14.4" x14ac:dyDescent="0.45">
      <c r="A74" s="108"/>
      <c r="D74" s="97"/>
      <c r="E74" s="97"/>
      <c r="F74" s="97"/>
      <c r="G74" s="97"/>
      <c r="H74" s="97"/>
    </row>
    <row r="75" spans="1:8" ht="14.4" x14ac:dyDescent="0.45">
      <c r="A75" s="108"/>
      <c r="D75" s="97"/>
      <c r="E75" s="97"/>
      <c r="F75" s="97"/>
      <c r="G75" s="97"/>
      <c r="H75" s="97"/>
    </row>
    <row r="76" spans="1:8" ht="14.4" x14ac:dyDescent="0.45">
      <c r="A76" s="108"/>
      <c r="D76" s="97"/>
      <c r="E76" s="97"/>
      <c r="F76" s="97"/>
      <c r="G76" s="97"/>
      <c r="H76" s="97"/>
    </row>
    <row r="77" spans="1:8" ht="14.4" x14ac:dyDescent="0.45">
      <c r="A77" s="108"/>
      <c r="D77" s="97"/>
      <c r="E77" s="97"/>
      <c r="F77" s="97"/>
      <c r="G77" s="97"/>
      <c r="H77" s="97"/>
    </row>
    <row r="78" spans="1:8" ht="14.4" x14ac:dyDescent="0.45">
      <c r="A78" s="108"/>
      <c r="D78" s="97"/>
      <c r="E78" s="97"/>
      <c r="F78" s="97"/>
      <c r="G78" s="97"/>
      <c r="H78" s="97"/>
    </row>
    <row r="79" spans="1:8" ht="14.4" x14ac:dyDescent="0.45">
      <c r="A79" s="108"/>
      <c r="D79" s="97"/>
      <c r="E79" s="97"/>
      <c r="F79" s="97"/>
      <c r="G79" s="97"/>
      <c r="H79" s="97"/>
    </row>
    <row r="80" spans="1:8" ht="14.4" x14ac:dyDescent="0.45">
      <c r="A80" s="108"/>
      <c r="D80" s="97"/>
      <c r="E80" s="97"/>
      <c r="F80" s="97"/>
      <c r="G80" s="97"/>
      <c r="H80" s="97"/>
    </row>
    <row r="81" spans="1:8" ht="14.4" x14ac:dyDescent="0.45">
      <c r="A81" s="108"/>
      <c r="D81" s="97"/>
      <c r="E81" s="97"/>
      <c r="F81" s="97"/>
      <c r="G81" s="97"/>
      <c r="H81" s="97"/>
    </row>
    <row r="82" spans="1:8" ht="14.4" x14ac:dyDescent="0.45">
      <c r="A82" s="108"/>
      <c r="D82" s="97"/>
      <c r="E82" s="97"/>
      <c r="F82" s="97"/>
      <c r="G82" s="97"/>
      <c r="H82" s="97"/>
    </row>
    <row r="83" spans="1:8" ht="14.4" x14ac:dyDescent="0.45">
      <c r="A83" s="108"/>
      <c r="D83" s="97"/>
      <c r="E83" s="97"/>
      <c r="F83" s="97"/>
      <c r="G83" s="97"/>
      <c r="H83" s="97"/>
    </row>
    <row r="84" spans="1:8" ht="14.4" x14ac:dyDescent="0.45">
      <c r="A84" s="108"/>
      <c r="D84" s="97"/>
      <c r="E84" s="97"/>
      <c r="F84" s="97"/>
      <c r="G84" s="97"/>
      <c r="H84" s="97"/>
    </row>
    <row r="85" spans="1:8" ht="14.4" x14ac:dyDescent="0.45">
      <c r="A85" s="108"/>
      <c r="D85" s="97"/>
      <c r="E85" s="97"/>
      <c r="F85" s="97"/>
      <c r="G85" s="97"/>
      <c r="H85" s="97"/>
    </row>
    <row r="86" spans="1:8" ht="14.4" x14ac:dyDescent="0.45">
      <c r="A86" s="108"/>
      <c r="D86" s="97"/>
      <c r="E86" s="97"/>
      <c r="F86" s="97"/>
      <c r="G86" s="97"/>
      <c r="H86" s="97"/>
    </row>
    <row r="87" spans="1:8" ht="14.4" x14ac:dyDescent="0.45">
      <c r="A87" s="108"/>
      <c r="D87" s="97"/>
      <c r="E87" s="97"/>
      <c r="F87" s="97"/>
      <c r="G87" s="97"/>
      <c r="H87" s="97"/>
    </row>
    <row r="88" spans="1:8" ht="14.4" x14ac:dyDescent="0.45">
      <c r="A88" s="108"/>
      <c r="D88" s="97"/>
      <c r="E88" s="97"/>
      <c r="F88" s="97"/>
      <c r="G88" s="97"/>
      <c r="H88" s="97"/>
    </row>
    <row r="89" spans="1:8" ht="14.4" x14ac:dyDescent="0.45">
      <c r="A89" s="108"/>
      <c r="D89" s="97"/>
      <c r="E89" s="97"/>
      <c r="F89" s="97"/>
      <c r="G89" s="97"/>
      <c r="H89" s="97"/>
    </row>
    <row r="90" spans="1:8" ht="14.4" x14ac:dyDescent="0.45">
      <c r="A90" s="108"/>
      <c r="D90" s="97"/>
      <c r="E90" s="97"/>
      <c r="F90" s="97"/>
      <c r="G90" s="97"/>
      <c r="H90" s="97"/>
    </row>
    <row r="91" spans="1:8" ht="14.4" x14ac:dyDescent="0.45">
      <c r="A91" s="108"/>
      <c r="D91" s="97"/>
      <c r="E91" s="97"/>
      <c r="F91" s="97"/>
      <c r="G91" s="97"/>
      <c r="H91" s="97"/>
    </row>
    <row r="92" spans="1:8" ht="14.4" x14ac:dyDescent="0.45">
      <c r="A92" s="108"/>
      <c r="D92" s="97"/>
      <c r="E92" s="97"/>
      <c r="F92" s="97"/>
      <c r="G92" s="97"/>
      <c r="H92" s="97"/>
    </row>
    <row r="93" spans="1:8" x14ac:dyDescent="0.45">
      <c r="D93" s="97"/>
      <c r="E93" s="97"/>
      <c r="F93" s="97"/>
      <c r="G93" s="97"/>
      <c r="H93" s="97"/>
    </row>
    <row r="94" spans="1:8" x14ac:dyDescent="0.45">
      <c r="D94" s="97"/>
      <c r="E94" s="97"/>
      <c r="F94" s="97"/>
      <c r="G94" s="97"/>
      <c r="H94" s="97"/>
    </row>
    <row r="95" spans="1:8" x14ac:dyDescent="0.45">
      <c r="D95" s="97"/>
      <c r="E95" s="97"/>
      <c r="F95" s="97"/>
      <c r="G95" s="97"/>
      <c r="H95" s="97"/>
    </row>
    <row r="96" spans="1:8" x14ac:dyDescent="0.45">
      <c r="D96" s="97"/>
      <c r="E96" s="97"/>
      <c r="F96" s="97"/>
      <c r="G96" s="97"/>
      <c r="H96" s="97"/>
    </row>
    <row r="97" spans="4:8" x14ac:dyDescent="0.45">
      <c r="D97" s="97"/>
      <c r="E97" s="97"/>
      <c r="F97" s="97"/>
      <c r="G97" s="97"/>
      <c r="H97" s="97"/>
    </row>
    <row r="98" spans="4:8" x14ac:dyDescent="0.45">
      <c r="D98" s="97"/>
      <c r="E98" s="97"/>
      <c r="F98" s="97"/>
      <c r="G98" s="97"/>
      <c r="H98" s="97"/>
    </row>
    <row r="99" spans="4:8" x14ac:dyDescent="0.45">
      <c r="D99" s="97"/>
      <c r="E99" s="97"/>
      <c r="F99" s="97"/>
      <c r="G99" s="97"/>
      <c r="H99" s="97"/>
    </row>
    <row r="100" spans="4:8" x14ac:dyDescent="0.45">
      <c r="D100" s="97"/>
      <c r="E100" s="97"/>
      <c r="F100" s="97"/>
      <c r="G100" s="97"/>
      <c r="H100" s="97"/>
    </row>
    <row r="101" spans="4:8" x14ac:dyDescent="0.45">
      <c r="D101" s="97"/>
      <c r="E101" s="97"/>
      <c r="F101" s="97"/>
      <c r="G101" s="97"/>
      <c r="H101" s="97"/>
    </row>
    <row r="102" spans="4:8" x14ac:dyDescent="0.45">
      <c r="D102" s="97"/>
      <c r="E102" s="97"/>
      <c r="F102" s="97"/>
      <c r="G102" s="97"/>
      <c r="H102" s="97"/>
    </row>
    <row r="103" spans="4:8" x14ac:dyDescent="0.45">
      <c r="D103" s="97"/>
      <c r="E103" s="97"/>
      <c r="F103" s="97"/>
      <c r="G103" s="97"/>
      <c r="H103" s="97"/>
    </row>
    <row r="104" spans="4:8" x14ac:dyDescent="0.45">
      <c r="D104" s="97"/>
      <c r="E104" s="97"/>
      <c r="F104" s="97"/>
      <c r="G104" s="97"/>
      <c r="H104" s="97"/>
    </row>
    <row r="105" spans="4:8" x14ac:dyDescent="0.45">
      <c r="D105" s="97"/>
      <c r="E105" s="97"/>
      <c r="F105" s="97"/>
      <c r="G105" s="97"/>
      <c r="H105" s="97"/>
    </row>
    <row r="106" spans="4:8" x14ac:dyDescent="0.45">
      <c r="D106" s="97"/>
      <c r="E106" s="97"/>
      <c r="F106" s="97"/>
      <c r="G106" s="97"/>
      <c r="H106" s="97"/>
    </row>
    <row r="107" spans="4:8" x14ac:dyDescent="0.45">
      <c r="D107" s="97"/>
      <c r="E107" s="97"/>
      <c r="F107" s="97"/>
      <c r="G107" s="97"/>
      <c r="H107" s="97"/>
    </row>
    <row r="108" spans="4:8" x14ac:dyDescent="0.45">
      <c r="D108" s="97"/>
      <c r="E108" s="97"/>
      <c r="F108" s="97"/>
      <c r="G108" s="97"/>
      <c r="H108" s="97"/>
    </row>
    <row r="109" spans="4:8" x14ac:dyDescent="0.45">
      <c r="D109" s="97"/>
      <c r="E109" s="97"/>
      <c r="F109" s="97"/>
      <c r="G109" s="97"/>
      <c r="H109" s="97"/>
    </row>
    <row r="110" spans="4:8" x14ac:dyDescent="0.45">
      <c r="D110" s="97"/>
      <c r="E110" s="97"/>
      <c r="F110" s="97"/>
      <c r="G110" s="97"/>
      <c r="H110" s="97"/>
    </row>
    <row r="111" spans="4:8" x14ac:dyDescent="0.45">
      <c r="D111" s="97"/>
      <c r="E111" s="97"/>
      <c r="F111" s="97"/>
      <c r="G111" s="97"/>
      <c r="H111" s="97"/>
    </row>
    <row r="112" spans="4:8" x14ac:dyDescent="0.45">
      <c r="D112" s="97"/>
      <c r="E112" s="97"/>
      <c r="F112" s="97"/>
      <c r="G112" s="97"/>
      <c r="H112" s="97"/>
    </row>
    <row r="113" spans="4:8" x14ac:dyDescent="0.45">
      <c r="D113" s="97"/>
      <c r="E113" s="97"/>
      <c r="F113" s="97"/>
      <c r="G113" s="97"/>
      <c r="H113" s="97"/>
    </row>
    <row r="114" spans="4:8" x14ac:dyDescent="0.45">
      <c r="D114" s="97"/>
      <c r="E114" s="97"/>
      <c r="F114" s="97"/>
      <c r="G114" s="97"/>
      <c r="H114" s="97"/>
    </row>
    <row r="115" spans="4:8" x14ac:dyDescent="0.45">
      <c r="D115" s="97"/>
      <c r="E115" s="97"/>
      <c r="F115" s="97"/>
      <c r="G115" s="97"/>
      <c r="H115" s="97"/>
    </row>
    <row r="116" spans="4:8" x14ac:dyDescent="0.45">
      <c r="D116" s="97"/>
      <c r="E116" s="97"/>
      <c r="F116" s="97"/>
      <c r="G116" s="97"/>
      <c r="H116" s="97"/>
    </row>
    <row r="117" spans="4:8" x14ac:dyDescent="0.45">
      <c r="D117" s="97"/>
      <c r="E117" s="97"/>
      <c r="F117" s="97"/>
      <c r="G117" s="97"/>
      <c r="H117" s="97"/>
    </row>
    <row r="118" spans="4:8" x14ac:dyDescent="0.45">
      <c r="D118" s="97"/>
      <c r="E118" s="97"/>
      <c r="F118" s="97"/>
      <c r="G118" s="97"/>
      <c r="H118" s="97"/>
    </row>
    <row r="119" spans="4:8" x14ac:dyDescent="0.45">
      <c r="D119" s="97"/>
      <c r="E119" s="97"/>
      <c r="F119" s="97"/>
      <c r="G119" s="97"/>
      <c r="H119" s="97"/>
    </row>
    <row r="120" spans="4:8" x14ac:dyDescent="0.45">
      <c r="D120" s="97"/>
      <c r="E120" s="97"/>
      <c r="F120" s="97"/>
      <c r="G120" s="97"/>
      <c r="H120" s="97"/>
    </row>
    <row r="121" spans="4:8" x14ac:dyDescent="0.45">
      <c r="D121" s="97"/>
      <c r="E121" s="97"/>
      <c r="F121" s="97"/>
      <c r="G121" s="97"/>
      <c r="H121" s="97"/>
    </row>
    <row r="122" spans="4:8" x14ac:dyDescent="0.45">
      <c r="D122" s="97"/>
      <c r="E122" s="97"/>
      <c r="F122" s="97"/>
      <c r="G122" s="97"/>
      <c r="H122" s="97"/>
    </row>
    <row r="123" spans="4:8" x14ac:dyDescent="0.45">
      <c r="D123" s="97"/>
      <c r="E123" s="97"/>
      <c r="F123" s="97"/>
      <c r="G123" s="97"/>
      <c r="H123" s="97"/>
    </row>
    <row r="124" spans="4:8" x14ac:dyDescent="0.45">
      <c r="D124" s="97"/>
      <c r="E124" s="97"/>
      <c r="F124" s="97"/>
      <c r="G124" s="97"/>
      <c r="H124" s="97"/>
    </row>
    <row r="125" spans="4:8" x14ac:dyDescent="0.45">
      <c r="D125" s="97"/>
      <c r="E125" s="97"/>
      <c r="F125" s="97"/>
      <c r="G125" s="97"/>
      <c r="H125" s="97"/>
    </row>
    <row r="126" spans="4:8" x14ac:dyDescent="0.45">
      <c r="D126" s="97"/>
      <c r="E126" s="97"/>
      <c r="F126" s="97"/>
      <c r="G126" s="97"/>
      <c r="H126" s="97"/>
    </row>
    <row r="127" spans="4:8" x14ac:dyDescent="0.45">
      <c r="D127" s="97"/>
      <c r="E127" s="97"/>
      <c r="F127" s="97"/>
      <c r="G127" s="97"/>
      <c r="H127" s="97"/>
    </row>
    <row r="128" spans="4:8" x14ac:dyDescent="0.45">
      <c r="D128" s="97"/>
      <c r="E128" s="97"/>
      <c r="F128" s="97"/>
      <c r="G128" s="97"/>
      <c r="H128" s="97"/>
    </row>
    <row r="129" spans="4:8" x14ac:dyDescent="0.45">
      <c r="D129" s="97"/>
      <c r="E129" s="97"/>
      <c r="F129" s="97"/>
      <c r="G129" s="97"/>
      <c r="H129" s="97"/>
    </row>
    <row r="130" spans="4:8" x14ac:dyDescent="0.45">
      <c r="D130" s="97"/>
      <c r="E130" s="97"/>
      <c r="F130" s="97"/>
      <c r="G130" s="97"/>
      <c r="H130" s="97"/>
    </row>
    <row r="131" spans="4:8" ht="18.75" customHeight="1" x14ac:dyDescent="0.45">
      <c r="D131" s="97"/>
      <c r="E131" s="97"/>
      <c r="F131" s="97"/>
      <c r="G131" s="97"/>
      <c r="H131" s="97"/>
    </row>
    <row r="132" spans="4:8" ht="29.25" customHeight="1" x14ac:dyDescent="0.45">
      <c r="D132" s="97"/>
      <c r="E132" s="97"/>
      <c r="F132" s="97"/>
      <c r="G132" s="97"/>
      <c r="H132" s="97"/>
    </row>
    <row r="133" spans="4:8" x14ac:dyDescent="0.45">
      <c r="D133" s="97"/>
      <c r="E133" s="97"/>
      <c r="F133" s="97"/>
      <c r="G133" s="97"/>
      <c r="H133" s="97"/>
    </row>
    <row r="134" spans="4:8" x14ac:dyDescent="0.45">
      <c r="D134" s="97"/>
      <c r="E134" s="97"/>
      <c r="F134" s="97"/>
      <c r="G134" s="97"/>
      <c r="H134" s="97"/>
    </row>
    <row r="135" spans="4:8" x14ac:dyDescent="0.45">
      <c r="D135" s="97"/>
      <c r="E135" s="97"/>
      <c r="F135" s="97"/>
      <c r="G135" s="97"/>
      <c r="H135" s="97"/>
    </row>
    <row r="136" spans="4:8" x14ac:dyDescent="0.45">
      <c r="D136" s="97"/>
      <c r="E136" s="97"/>
      <c r="F136" s="97"/>
      <c r="G136" s="97"/>
      <c r="H136" s="97"/>
    </row>
    <row r="137" spans="4:8" x14ac:dyDescent="0.45">
      <c r="D137" s="97"/>
      <c r="E137" s="97"/>
      <c r="F137" s="97"/>
      <c r="G137" s="97"/>
      <c r="H137" s="97"/>
    </row>
    <row r="138" spans="4:8" x14ac:dyDescent="0.45">
      <c r="D138" s="97"/>
      <c r="E138" s="97"/>
      <c r="F138" s="97"/>
      <c r="G138" s="97"/>
      <c r="H138" s="97"/>
    </row>
    <row r="139" spans="4:8" x14ac:dyDescent="0.45">
      <c r="D139" s="97"/>
      <c r="E139" s="97"/>
      <c r="F139" s="97"/>
      <c r="G139" s="97"/>
      <c r="H139" s="97"/>
    </row>
    <row r="140" spans="4:8" x14ac:dyDescent="0.45">
      <c r="D140" s="97"/>
      <c r="E140" s="97"/>
      <c r="F140" s="97"/>
      <c r="G140" s="97"/>
      <c r="H140" s="97"/>
    </row>
    <row r="141" spans="4:8" x14ac:dyDescent="0.45">
      <c r="D141" s="97"/>
      <c r="E141" s="97"/>
      <c r="F141" s="97"/>
      <c r="G141" s="97"/>
      <c r="H141" s="97"/>
    </row>
    <row r="142" spans="4:8" x14ac:dyDescent="0.45">
      <c r="D142" s="97"/>
      <c r="E142" s="97"/>
      <c r="F142" s="97"/>
      <c r="G142" s="97"/>
      <c r="H142" s="97"/>
    </row>
    <row r="143" spans="4:8" x14ac:dyDescent="0.45">
      <c r="D143" s="97"/>
      <c r="E143" s="97"/>
      <c r="F143" s="97"/>
      <c r="G143" s="97"/>
      <c r="H143" s="97"/>
    </row>
    <row r="144" spans="4:8" x14ac:dyDescent="0.45">
      <c r="D144" s="97"/>
      <c r="E144" s="97"/>
      <c r="F144" s="97"/>
      <c r="G144" s="97"/>
      <c r="H144" s="97"/>
    </row>
    <row r="145" spans="4:8" x14ac:dyDescent="0.45">
      <c r="D145" s="97"/>
      <c r="E145" s="97"/>
      <c r="F145" s="97"/>
      <c r="G145" s="97"/>
      <c r="H145" s="97"/>
    </row>
    <row r="146" spans="4:8" x14ac:dyDescent="0.45">
      <c r="D146" s="97"/>
      <c r="E146" s="97"/>
      <c r="F146" s="97"/>
      <c r="G146" s="97"/>
      <c r="H146" s="97"/>
    </row>
    <row r="147" spans="4:8" x14ac:dyDescent="0.45">
      <c r="D147" s="97"/>
      <c r="E147" s="97"/>
      <c r="F147" s="97"/>
      <c r="G147" s="97"/>
      <c r="H147" s="97"/>
    </row>
    <row r="148" spans="4:8" x14ac:dyDescent="0.45">
      <c r="D148" s="97"/>
      <c r="E148" s="97"/>
      <c r="F148" s="97"/>
      <c r="G148" s="97"/>
      <c r="H148" s="97"/>
    </row>
    <row r="149" spans="4:8" x14ac:dyDescent="0.45">
      <c r="D149" s="97"/>
      <c r="E149" s="97"/>
      <c r="F149" s="97"/>
      <c r="G149" s="97"/>
      <c r="H149" s="97"/>
    </row>
    <row r="150" spans="4:8" x14ac:dyDescent="0.45">
      <c r="D150" s="97"/>
      <c r="E150" s="97"/>
      <c r="F150" s="97"/>
      <c r="G150" s="97"/>
      <c r="H150" s="97"/>
    </row>
    <row r="151" spans="4:8" ht="29.25" customHeight="1" x14ac:dyDescent="0.45">
      <c r="D151" s="97"/>
      <c r="E151" s="97"/>
      <c r="F151" s="97"/>
      <c r="G151" s="97"/>
      <c r="H151" s="97"/>
    </row>
    <row r="152" spans="4:8" x14ac:dyDescent="0.45">
      <c r="D152" s="97"/>
      <c r="E152" s="97"/>
      <c r="F152" s="97"/>
      <c r="G152" s="97"/>
      <c r="H152" s="97"/>
    </row>
    <row r="153" spans="4:8" x14ac:dyDescent="0.45">
      <c r="D153" s="97"/>
      <c r="E153" s="97"/>
      <c r="F153" s="97"/>
      <c r="G153" s="97"/>
      <c r="H153" s="97"/>
    </row>
    <row r="154" spans="4:8" x14ac:dyDescent="0.45">
      <c r="D154" s="97"/>
      <c r="E154" s="97"/>
      <c r="F154" s="97"/>
      <c r="G154" s="97"/>
      <c r="H154" s="97"/>
    </row>
    <row r="155" spans="4:8" x14ac:dyDescent="0.45">
      <c r="D155" s="97"/>
      <c r="E155" s="97"/>
      <c r="F155" s="97"/>
      <c r="G155" s="97"/>
      <c r="H155" s="97"/>
    </row>
    <row r="156" spans="4:8" x14ac:dyDescent="0.45">
      <c r="D156" s="97"/>
      <c r="E156" s="97"/>
      <c r="F156" s="97"/>
      <c r="G156" s="97"/>
      <c r="H156" s="97"/>
    </row>
    <row r="157" spans="4:8" x14ac:dyDescent="0.45">
      <c r="D157" s="97"/>
      <c r="E157" s="97"/>
      <c r="F157" s="97"/>
      <c r="G157" s="97"/>
      <c r="H157" s="97"/>
    </row>
    <row r="158" spans="4:8" x14ac:dyDescent="0.45">
      <c r="D158" s="97"/>
      <c r="E158" s="97"/>
      <c r="F158" s="97"/>
      <c r="G158" s="97"/>
      <c r="H158" s="97"/>
    </row>
    <row r="159" spans="4:8" x14ac:dyDescent="0.45">
      <c r="D159" s="97"/>
      <c r="E159" s="97"/>
      <c r="F159" s="97"/>
      <c r="G159" s="97"/>
      <c r="H159" s="97"/>
    </row>
    <row r="160" spans="4:8" x14ac:dyDescent="0.45">
      <c r="D160" s="97"/>
      <c r="E160" s="97"/>
      <c r="F160" s="97"/>
      <c r="G160" s="97"/>
      <c r="H160" s="97"/>
    </row>
    <row r="161" spans="4:8" x14ac:dyDescent="0.45">
      <c r="D161" s="97"/>
      <c r="E161" s="97"/>
      <c r="F161" s="97"/>
      <c r="G161" s="97"/>
      <c r="H161" s="97"/>
    </row>
    <row r="162" spans="4:8" x14ac:dyDescent="0.45">
      <c r="D162" s="97"/>
      <c r="E162" s="97"/>
      <c r="F162" s="97"/>
      <c r="G162" s="97"/>
      <c r="H162" s="97"/>
    </row>
    <row r="163" spans="4:8" x14ac:dyDescent="0.45">
      <c r="D163" s="97"/>
      <c r="E163" s="97"/>
      <c r="F163" s="97"/>
      <c r="G163" s="97"/>
      <c r="H163" s="97"/>
    </row>
  </sheetData>
  <mergeCells count="1">
    <mergeCell ref="O1:P1"/>
  </mergeCells>
  <phoneticPr fontId="2"/>
  <pageMargins left="0.5" right="0" top="0.5" bottom="0.25" header="0.25" footer="0.25"/>
  <pageSetup paperSize="8" orientation="landscape" r:id="rId1"/>
  <headerFooter>
    <oddFooter>&amp;R©2024 SMS DataTech Corporation. All rights reserved.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85" zoomScaleNormal="85" workbookViewId="0"/>
  </sheetViews>
  <sheetFormatPr defaultRowHeight="18" x14ac:dyDescent="0.45"/>
  <sheetData/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6"/>
  <sheetViews>
    <sheetView workbookViewId="0">
      <selection activeCell="A2" sqref="A2:XFD2"/>
    </sheetView>
  </sheetViews>
  <sheetFormatPr defaultRowHeight="18" x14ac:dyDescent="0.45"/>
  <sheetData>
    <row r="1" spans="1:1" x14ac:dyDescent="0.45">
      <c r="A1" s="70" t="s">
        <v>47</v>
      </c>
    </row>
    <row r="2" spans="1:1" x14ac:dyDescent="0.45">
      <c r="A2" s="71" t="s">
        <v>37</v>
      </c>
    </row>
    <row r="3" spans="1:1" x14ac:dyDescent="0.45">
      <c r="A3" s="70" t="s">
        <v>38</v>
      </c>
    </row>
    <row r="4" spans="1:1" x14ac:dyDescent="0.45">
      <c r="A4" s="70" t="s">
        <v>41</v>
      </c>
    </row>
    <row r="5" spans="1:1" x14ac:dyDescent="0.45">
      <c r="A5" s="70" t="s">
        <v>39</v>
      </c>
    </row>
    <row r="6" spans="1:1" x14ac:dyDescent="0.45">
      <c r="A6" s="70" t="s">
        <v>40</v>
      </c>
    </row>
  </sheetData>
  <phoneticPr fontId="2"/>
  <pageMargins left="0.7" right="0.7" top="0.75" bottom="0.75" header="0.3" footer="0.3"/>
  <pageSetup paperSize="9" orientation="portrait" r:id="rId1"/>
  <headerFooter>
    <oddFooter>&amp;R©2024 SMS DataTech Corporation. All rights reserved.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16</vt:i4>
      </vt:variant>
    </vt:vector>
  </HeadingPairs>
  <TitlesOfParts>
    <vt:vector size="26" baseType="lpstr">
      <vt:lpstr>変更履歴</vt:lpstr>
      <vt:lpstr>概要</vt:lpstr>
      <vt:lpstr>帳票レイアウト</vt:lpstr>
      <vt:lpstr>項目一覧</vt:lpstr>
      <vt:lpstr>処理詳細</vt:lpstr>
      <vt:lpstr>処理詳細_書き方</vt:lpstr>
      <vt:lpstr>確認事項</vt:lpstr>
      <vt:lpstr>別紙_テンプレート</vt:lpstr>
      <vt:lpstr>別紙_印刷レイアウト</vt:lpstr>
      <vt:lpstr>参照</vt:lpstr>
      <vt:lpstr>CoreCells</vt:lpstr>
      <vt:lpstr>概要!Print_Area</vt:lpstr>
      <vt:lpstr>項目一覧!Print_Area</vt:lpstr>
      <vt:lpstr>処理詳細!Print_Area</vt:lpstr>
      <vt:lpstr>処理詳細_書き方!Print_Area</vt:lpstr>
      <vt:lpstr>帳票レイアウト!Print_Area</vt:lpstr>
      <vt:lpstr>変更履歴!Print_Area</vt:lpstr>
      <vt:lpstr>概要!Print_Titles</vt:lpstr>
      <vt:lpstr>項目一覧!Print_Titles</vt:lpstr>
      <vt:lpstr>処理詳細!Print_Titles</vt:lpstr>
      <vt:lpstr>処理詳細_書き方!Print_Titles</vt:lpstr>
      <vt:lpstr>帳票レイアウト!Print_Titles</vt:lpstr>
      <vt:lpstr>別紙_テンプレート!Print_Titles</vt:lpstr>
      <vt:lpstr>変更履歴!Print_Titles</vt:lpstr>
      <vt:lpstr>作成日</vt:lpstr>
      <vt:lpstr>請求範囲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2025-05-24T05:33:59Z</dcterms:modified>
</cp:coreProperties>
</file>