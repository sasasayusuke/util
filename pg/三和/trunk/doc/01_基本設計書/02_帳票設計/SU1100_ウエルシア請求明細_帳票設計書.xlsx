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7288" windowHeight="10368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20" r:id="rId5"/>
    <sheet name="処理詳細_書き方" sheetId="21" state="hidden" r:id="rId6"/>
    <sheet name="確認事項" sheetId="15" r:id="rId7"/>
    <sheet name="別紙_テンプレート1" sheetId="16" r:id="rId8"/>
    <sheet name="別紙_テンプレート2" sheetId="17" r:id="rId9"/>
    <sheet name="別紙_印刷レイアウト" sheetId="22" r:id="rId10"/>
    <sheet name="参照" sheetId="12" state="hidden" r:id="rId11"/>
  </sheets>
  <definedNames>
    <definedName name="CoreCells" localSheetId="7">別紙_テンプレート1!$A$3:$O$3</definedName>
    <definedName name="CoreCells" localSheetId="8">別紙_テンプレート2!#REF!</definedName>
    <definedName name="CoreCells">#REF!</definedName>
    <definedName name="CoreGroups" localSheetId="8">別紙_テンプレート2!#REF!</definedName>
    <definedName name="CoreGroups">別紙_テンプレート1!$1:$5</definedName>
    <definedName name="_xlnm.Print_Area" localSheetId="1">概要!$A$1:$BN$31</definedName>
    <definedName name="_xlnm.Print_Area" localSheetId="3">項目一覧!$A$1:$BX$65</definedName>
    <definedName name="_xlnm.Print_Area" localSheetId="4">処理詳細!$A$1:$BR$63</definedName>
    <definedName name="_xlnm.Print_Area" localSheetId="5">処理詳細_書き方!$A$1:$BR$33</definedName>
    <definedName name="_xlnm.Print_Area" localSheetId="2">帳票レイアウト!$A$1:$BN$100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別紙_テンプレート1!$1:$2</definedName>
    <definedName name="_xlnm.Print_Titles" localSheetId="0">変更履歴!$1:$5</definedName>
    <definedName name="TotalRows" localSheetId="8">別紙_テンプレート2!$3:$4</definedName>
    <definedName name="TotalRows">別紙_テンプレート1!#REF!</definedName>
    <definedName name="合計名称">#REF!</definedName>
    <definedName name="作成日" localSheetId="8">別紙_テンプレート2!#REF!</definedName>
    <definedName name="作成日">別紙_テンプレート1!$K$1</definedName>
    <definedName name="締切" localSheetId="7">別紙_テンプレート1!$D$1</definedName>
    <definedName name="締切" localSheetId="8">別紙_テンプレート2!#REF!</definedName>
    <definedName name="締切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1" l="1"/>
  <c r="BF3" i="21"/>
  <c r="BB3" i="21"/>
  <c r="AX3" i="21"/>
  <c r="L3" i="21"/>
  <c r="B3" i="21"/>
  <c r="BJ3" i="20"/>
  <c r="BF3" i="20"/>
  <c r="BB3" i="20"/>
  <c r="AX3" i="20"/>
  <c r="L3" i="20"/>
  <c r="B3" i="20"/>
  <c r="O5" i="16" l="1"/>
  <c r="N5" i="16"/>
  <c r="M5" i="16"/>
  <c r="L5" i="16"/>
  <c r="K5" i="16"/>
  <c r="J5" i="16"/>
  <c r="I5" i="16"/>
  <c r="BJ3" i="14" l="1"/>
  <c r="BF3" i="14"/>
  <c r="BB3" i="14"/>
  <c r="L3" i="14"/>
  <c r="B3" i="14"/>
  <c r="X3" i="1" l="1"/>
  <c r="X3" i="20" l="1"/>
  <c r="X3" i="21"/>
  <c r="X3" i="14"/>
  <c r="H3" i="1"/>
  <c r="R3" i="1"/>
  <c r="AK3" i="1"/>
  <c r="AK3" i="20" l="1"/>
  <c r="AK3" i="21"/>
  <c r="R3" i="20"/>
  <c r="R3" i="21"/>
  <c r="H3" i="20"/>
  <c r="H3" i="21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<sst xmlns="http://schemas.openxmlformats.org/spreadsheetml/2006/main" count="436" uniqueCount="253">
  <si>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</si>
  <si>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</si>
  <si>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</si>
  <si>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</si>
  <si>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</si>
  <si>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</si>
  <si>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</si>
  <si>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</si>
  <si>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</si>
  <si>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</si>
  <si>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</si>
  <si>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</si>
  <si>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</si>
  <si>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</si>
  <si>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</si>
  <si>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</si>
  <si>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</si>
  <si>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</si>
  <si>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</si>
  <si>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</si>
  <si>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</si>
  <si>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</si>
  <si>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</si>
  <si>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</si>
  <si>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</si>
  <si>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</si>
  <si>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</si>
  <si>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</si>
  <si>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</si>
  <si>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</si>
  <si>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</si>
  <si>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</si>
  <si>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</si>
  <si>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</si>
  <si>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</si>
  <si>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</si>
  <si>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</si>
  <si>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</si>
  <si>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</si>
  <si>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</si>
  <si>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</si>
  <si>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</si>
  <si>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</si>
  <si>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</si>
  <si>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</si>
  <si>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</si>
  <si>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</si>
  <si>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</si>
  <si>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</si>
  <si>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</si>
  <si>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</si>
  <si>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</si>
  <si>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</si>
  <si>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Excel</t>
    <phoneticPr fontId="2"/>
  </si>
  <si>
    <t>xlsx</t>
    <phoneticPr fontId="2"/>
  </si>
  <si>
    <t>-</t>
    <phoneticPr fontId="2"/>
  </si>
  <si>
    <t>TemplateWel請求明細</t>
  </si>
  <si>
    <t>締切</t>
    <rPh sb="0" eb="2">
      <t>シメキリ</t>
    </rPh>
    <phoneticPr fontId="1"/>
  </si>
  <si>
    <t>作成日</t>
    <rPh sb="0" eb="3">
      <t>サクセイビ</t>
    </rPh>
    <phoneticPr fontId="1"/>
  </si>
  <si>
    <t>No.</t>
    <phoneticPr fontId="1"/>
  </si>
  <si>
    <t>日付</t>
    <rPh sb="0" eb="2">
      <t>ヒヅケ</t>
    </rPh>
    <phoneticPr fontId="1"/>
  </si>
  <si>
    <t>店舗番号</t>
    <rPh sb="0" eb="2">
      <t>テンポ</t>
    </rPh>
    <rPh sb="2" eb="4">
      <t>バンゴウ</t>
    </rPh>
    <phoneticPr fontId="1"/>
  </si>
  <si>
    <t>伝票番号</t>
    <rPh sb="0" eb="2">
      <t>デンピョウ</t>
    </rPh>
    <rPh sb="2" eb="4">
      <t>バンゴウ</t>
    </rPh>
    <phoneticPr fontId="1"/>
  </si>
  <si>
    <t>店舗名</t>
    <rPh sb="0" eb="3">
      <t>テンポメイ</t>
    </rPh>
    <phoneticPr fontId="1"/>
  </si>
  <si>
    <t>内容</t>
    <rPh sb="0" eb="2">
      <t>ナイヨウ</t>
    </rPh>
    <phoneticPr fontId="1"/>
  </si>
  <si>
    <t>部材金額</t>
    <rPh sb="0" eb="2">
      <t>ブザイ</t>
    </rPh>
    <rPh sb="2" eb="4">
      <t>キンガク</t>
    </rPh>
    <phoneticPr fontId="1"/>
  </si>
  <si>
    <t>労務金額</t>
    <rPh sb="0" eb="2">
      <t>ロウム</t>
    </rPh>
    <rPh sb="2" eb="4">
      <t>キンガク</t>
    </rPh>
    <phoneticPr fontId="1"/>
  </si>
  <si>
    <t>販売割戻金</t>
    <rPh sb="0" eb="5">
      <t>ハンバイワリモドシキン</t>
    </rPh>
    <phoneticPr fontId="1"/>
  </si>
  <si>
    <t>消費税</t>
    <rPh sb="0" eb="3">
      <t>ショウヒゼイ</t>
    </rPh>
    <phoneticPr fontId="1"/>
  </si>
  <si>
    <t>特別出精値引</t>
    <rPh sb="0" eb="2">
      <t>トクベツ</t>
    </rPh>
    <rPh sb="2" eb="4">
      <t>シュッセイ</t>
    </rPh>
    <rPh sb="4" eb="6">
      <t>ネビ</t>
    </rPh>
    <phoneticPr fontId="1"/>
  </si>
  <si>
    <t>請求金額（税込）</t>
    <rPh sb="0" eb="2">
      <t>セイキュウ</t>
    </rPh>
    <rPh sb="2" eb="4">
      <t>キンガク</t>
    </rPh>
    <rPh sb="5" eb="6">
      <t>ゼイ</t>
    </rPh>
    <rPh sb="6" eb="7">
      <t>コ</t>
    </rPh>
    <phoneticPr fontId="1"/>
  </si>
  <si>
    <t>請求金額（税抜）</t>
    <rPh sb="0" eb="2">
      <t>セイキュウ</t>
    </rPh>
    <rPh sb="2" eb="4">
      <t>キンガク</t>
    </rPh>
    <rPh sb="5" eb="6">
      <t>ゼイ</t>
    </rPh>
    <rPh sb="6" eb="7">
      <t>ヌ</t>
    </rPh>
    <phoneticPr fontId="1"/>
  </si>
  <si>
    <t>請求書合計件数_部材金額</t>
    <rPh sb="0" eb="3">
      <t>セイキュウショ</t>
    </rPh>
    <rPh sb="3" eb="5">
      <t>ゴウケイ</t>
    </rPh>
    <rPh sb="5" eb="7">
      <t>ケンスウ</t>
    </rPh>
    <rPh sb="8" eb="10">
      <t>ブザイ</t>
    </rPh>
    <rPh sb="10" eb="12">
      <t>キンガク</t>
    </rPh>
    <phoneticPr fontId="1"/>
  </si>
  <si>
    <t>請求書合計件数_労務金額</t>
    <rPh sb="0" eb="3">
      <t>セイキュウショ</t>
    </rPh>
    <rPh sb="3" eb="5">
      <t>ゴウケイ</t>
    </rPh>
    <rPh sb="5" eb="7">
      <t>ケンスウ</t>
    </rPh>
    <rPh sb="8" eb="10">
      <t>ロウム</t>
    </rPh>
    <rPh sb="10" eb="12">
      <t>キンガク</t>
    </rPh>
    <phoneticPr fontId="1"/>
  </si>
  <si>
    <t>請求書合計件数_販売割戻金</t>
    <rPh sb="0" eb="3">
      <t>セイキュウショ</t>
    </rPh>
    <rPh sb="3" eb="5">
      <t>ゴウケイ</t>
    </rPh>
    <rPh sb="5" eb="7">
      <t>ケンスウ</t>
    </rPh>
    <rPh sb="8" eb="10">
      <t>ハンバイ</t>
    </rPh>
    <rPh sb="10" eb="12">
      <t>ワリモドシ</t>
    </rPh>
    <rPh sb="12" eb="13">
      <t>キン</t>
    </rPh>
    <phoneticPr fontId="1"/>
  </si>
  <si>
    <t>請求書合計件数_消費税</t>
    <rPh sb="0" eb="3">
      <t>セイキュウショ</t>
    </rPh>
    <rPh sb="3" eb="5">
      <t>ゴウケイ</t>
    </rPh>
    <rPh sb="5" eb="7">
      <t>ケンスウ</t>
    </rPh>
    <rPh sb="8" eb="11">
      <t>ショウヒゼイ</t>
    </rPh>
    <phoneticPr fontId="1"/>
  </si>
  <si>
    <t>請求書合計件数_特別出精値引</t>
    <rPh sb="0" eb="3">
      <t>セイキュウショ</t>
    </rPh>
    <rPh sb="3" eb="5">
      <t>ゴウケイ</t>
    </rPh>
    <rPh sb="5" eb="7">
      <t>ケンスウ</t>
    </rPh>
    <rPh sb="8" eb="10">
      <t>トクベツ</t>
    </rPh>
    <rPh sb="10" eb="12">
      <t>シュッセイ</t>
    </rPh>
    <rPh sb="12" eb="14">
      <t>ネビ</t>
    </rPh>
    <phoneticPr fontId="1"/>
  </si>
  <si>
    <t>請求書合計件数_請求金額（税抜）</t>
    <rPh sb="0" eb="3">
      <t>セイキュウショ</t>
    </rPh>
    <rPh sb="3" eb="5">
      <t>ゴウケイ</t>
    </rPh>
    <rPh sb="5" eb="7">
      <t>ケンスウ</t>
    </rPh>
    <rPh sb="8" eb="10">
      <t>セイキュウ</t>
    </rPh>
    <rPh sb="10" eb="12">
      <t>キンガク</t>
    </rPh>
    <rPh sb="13" eb="15">
      <t>ゼイヌキ</t>
    </rPh>
    <phoneticPr fontId="1"/>
  </si>
  <si>
    <t>請求書合計件数_請求金額（税込）</t>
    <rPh sb="0" eb="3">
      <t>セイキュウショ</t>
    </rPh>
    <rPh sb="3" eb="5">
      <t>ゴウケイ</t>
    </rPh>
    <rPh sb="5" eb="7">
      <t>ケンスウ</t>
    </rPh>
    <rPh sb="8" eb="10">
      <t>セイキュウ</t>
    </rPh>
    <rPh sb="10" eb="12">
      <t>キンガク</t>
    </rPh>
    <rPh sb="13" eb="15">
      <t>ゼイコミ</t>
    </rPh>
    <phoneticPr fontId="1"/>
  </si>
  <si>
    <t>リース</t>
    <phoneticPr fontId="1"/>
  </si>
  <si>
    <t>物件区分</t>
    <rPh sb="0" eb="2">
      <t>ブッケン</t>
    </rPh>
    <rPh sb="2" eb="4">
      <t>クブン</t>
    </rPh>
    <phoneticPr fontId="1"/>
  </si>
  <si>
    <t>半角</t>
    <rPh sb="0" eb="2">
      <t>ハンカク</t>
    </rPh>
    <phoneticPr fontId="1"/>
  </si>
  <si>
    <t>縮小して全体表示</t>
    <rPh sb="0" eb="2">
      <t>シュクショウ</t>
    </rPh>
    <rPh sb="4" eb="6">
      <t>ゼンタイ</t>
    </rPh>
    <rPh sb="6" eb="8">
      <t>ヒョウジ</t>
    </rPh>
    <phoneticPr fontId="1"/>
  </si>
  <si>
    <t>現在日付</t>
    <rPh sb="0" eb="2">
      <t>ゲンザイ</t>
    </rPh>
    <rPh sb="2" eb="4">
      <t>ヒヅケ</t>
    </rPh>
    <phoneticPr fontId="1"/>
  </si>
  <si>
    <t>-</t>
    <phoneticPr fontId="1"/>
  </si>
  <si>
    <t>TD見積.ウエルシアリース区分</t>
    <rPh sb="2" eb="4">
      <t>ミツモリ</t>
    </rPh>
    <rPh sb="13" eb="15">
      <t>クブン</t>
    </rPh>
    <phoneticPr fontId="1"/>
  </si>
  <si>
    <t>TD見積.ウエルシア物件区分CD</t>
    <rPh sb="2" eb="4">
      <t>ミツモリ</t>
    </rPh>
    <rPh sb="10" eb="12">
      <t>ブッケン</t>
    </rPh>
    <rPh sb="12" eb="14">
      <t>クブン</t>
    </rPh>
    <phoneticPr fontId="1"/>
  </si>
  <si>
    <t>TD見積.納期S</t>
    <rPh sb="5" eb="7">
      <t>ノウキ</t>
    </rPh>
    <phoneticPr fontId="1"/>
  </si>
  <si>
    <t>TD見積.納入先CD</t>
    <rPh sb="5" eb="8">
      <t>ノウニュウサキ</t>
    </rPh>
    <phoneticPr fontId="1"/>
  </si>
  <si>
    <t>TD売上請求H.見積番号</t>
    <rPh sb="2" eb="4">
      <t>ウリアゲ</t>
    </rPh>
    <rPh sb="4" eb="6">
      <t>セイキュウ</t>
    </rPh>
    <rPh sb="8" eb="10">
      <t>ミツモリ</t>
    </rPh>
    <rPh sb="10" eb="12">
      <t>バンゴウ</t>
    </rPh>
    <phoneticPr fontId="1"/>
  </si>
  <si>
    <t>TD見積.納入先名1</t>
    <rPh sb="5" eb="7">
      <t>ノウニュウ</t>
    </rPh>
    <rPh sb="7" eb="8">
      <t>サキ</t>
    </rPh>
    <rPh sb="8" eb="9">
      <t>メイ</t>
    </rPh>
    <phoneticPr fontId="1"/>
  </si>
  <si>
    <t>TD見積.ウエルシア物件内容名</t>
    <rPh sb="10" eb="12">
      <t>ブッケン</t>
    </rPh>
    <rPh sb="12" eb="14">
      <t>ナイヨウ</t>
    </rPh>
    <rPh sb="14" eb="15">
      <t>メイ</t>
    </rPh>
    <phoneticPr fontId="1"/>
  </si>
  <si>
    <t>TD売上請求H.外税額</t>
    <rPh sb="8" eb="9">
      <t>ガイ</t>
    </rPh>
    <rPh sb="9" eb="10">
      <t>ゼイ</t>
    </rPh>
    <rPh sb="10" eb="11">
      <t>ガク</t>
    </rPh>
    <phoneticPr fontId="1"/>
  </si>
  <si>
    <t>TD売上請求H.合計金額</t>
    <rPh sb="8" eb="10">
      <t>ゴウケイ</t>
    </rPh>
    <rPh sb="10" eb="12">
      <t>キンガク</t>
    </rPh>
    <phoneticPr fontId="1"/>
  </si>
  <si>
    <t>カラムの合計</t>
    <rPh sb="4" eb="6">
      <t>ゴウケイ</t>
    </rPh>
    <phoneticPr fontId="1"/>
  </si>
  <si>
    <t>TD売上請求H.合計金額とTD売上請求H.外税額を足した値の合計</t>
    <rPh sb="21" eb="22">
      <t>ガイ</t>
    </rPh>
    <rPh sb="22" eb="23">
      <t>ゼイ</t>
    </rPh>
    <rPh sb="23" eb="24">
      <t>ガク</t>
    </rPh>
    <rPh sb="25" eb="26">
      <t>タ</t>
    </rPh>
    <rPh sb="28" eb="29">
      <t>アタイ</t>
    </rPh>
    <rPh sb="30" eb="32">
      <t>ゴウケイ</t>
    </rPh>
    <phoneticPr fontId="1"/>
  </si>
  <si>
    <t>全角</t>
    <rPh sb="0" eb="2">
      <t>ゼンカク</t>
    </rPh>
    <phoneticPr fontId="1"/>
  </si>
  <si>
    <t>TD売上v2.売上金額</t>
    <rPh sb="7" eb="9">
      <t>ウリアゲ</t>
    </rPh>
    <rPh sb="9" eb="11">
      <t>キンガク</t>
    </rPh>
    <phoneticPr fontId="1"/>
  </si>
  <si>
    <t>mm月締切</t>
    <rPh sb="2" eb="3">
      <t>ツキ</t>
    </rPh>
    <rPh sb="3" eb="5">
      <t>シメキリ</t>
    </rPh>
    <phoneticPr fontId="1"/>
  </si>
  <si>
    <t>ページ2</t>
    <phoneticPr fontId="2"/>
  </si>
  <si>
    <t>タイトル</t>
    <phoneticPr fontId="1"/>
  </si>
  <si>
    <t>部材金額</t>
    <rPh sb="0" eb="2">
      <t>ブザイ</t>
    </rPh>
    <rPh sb="2" eb="4">
      <t>キンガク</t>
    </rPh>
    <phoneticPr fontId="1"/>
  </si>
  <si>
    <t>施工金額</t>
    <rPh sb="0" eb="2">
      <t>セコウ</t>
    </rPh>
    <rPh sb="2" eb="4">
      <t>キンガク</t>
    </rPh>
    <phoneticPr fontId="1"/>
  </si>
  <si>
    <t>販売割戻金</t>
    <rPh sb="0" eb="2">
      <t>ハンバイ</t>
    </rPh>
    <rPh sb="2" eb="4">
      <t>ワリモドシ</t>
    </rPh>
    <rPh sb="4" eb="5">
      <t>キン</t>
    </rPh>
    <phoneticPr fontId="1"/>
  </si>
  <si>
    <t>消費税</t>
    <rPh sb="0" eb="3">
      <t>ショウヒゼイ</t>
    </rPh>
    <phoneticPr fontId="1"/>
  </si>
  <si>
    <t>特別出精値引</t>
    <rPh sb="0" eb="6">
      <t>トクベツシュッセイネビ</t>
    </rPh>
    <phoneticPr fontId="1"/>
  </si>
  <si>
    <t>TD見積.ウエルシアリース区分</t>
    <rPh sb="2" eb="4">
      <t>ミツモリ</t>
    </rPh>
    <rPh sb="13" eb="15">
      <t>クブン</t>
    </rPh>
    <phoneticPr fontId="1"/>
  </si>
  <si>
    <t>ウエルシアリース区分が2の場合は「m月リース合計」、それ以外の場合は「m月支払合計」</t>
    <rPh sb="8" eb="10">
      <t>クブン</t>
    </rPh>
    <rPh sb="13" eb="15">
      <t>バアイ</t>
    </rPh>
    <rPh sb="18" eb="19">
      <t>ツキ</t>
    </rPh>
    <rPh sb="22" eb="24">
      <t>ゴウケイ</t>
    </rPh>
    <rPh sb="28" eb="30">
      <t>イガイ</t>
    </rPh>
    <rPh sb="31" eb="33">
      <t>バアイ</t>
    </rPh>
    <rPh sb="36" eb="37">
      <t>ツキ</t>
    </rPh>
    <rPh sb="37" eb="39">
      <t>シハライ</t>
    </rPh>
    <rPh sb="39" eb="41">
      <t>ゴウケイ</t>
    </rPh>
    <phoneticPr fontId="1"/>
  </si>
  <si>
    <t>請求明細一覧</t>
    <rPh sb="0" eb="2">
      <t>セイキュウ</t>
    </rPh>
    <rPh sb="2" eb="4">
      <t>メイサイ</t>
    </rPh>
    <rPh sb="4" eb="6">
      <t>イチラン</t>
    </rPh>
    <phoneticPr fontId="11"/>
  </si>
  <si>
    <t>リース</t>
    <phoneticPr fontId="11"/>
  </si>
  <si>
    <t>物件区分</t>
    <rPh sb="0" eb="2">
      <t>ブッケン</t>
    </rPh>
    <rPh sb="2" eb="4">
      <t>クブン</t>
    </rPh>
    <phoneticPr fontId="11"/>
  </si>
  <si>
    <t>日付</t>
    <rPh sb="0" eb="2">
      <t>ヒヅケ</t>
    </rPh>
    <phoneticPr fontId="11"/>
  </si>
  <si>
    <t>店舗番号</t>
    <rPh sb="0" eb="2">
      <t>テンポ</t>
    </rPh>
    <rPh sb="2" eb="4">
      <t>バンゴウ</t>
    </rPh>
    <phoneticPr fontId="11"/>
  </si>
  <si>
    <t>伝票番号</t>
    <rPh sb="0" eb="2">
      <t>デンピョウ</t>
    </rPh>
    <rPh sb="2" eb="4">
      <t>バンゴウ</t>
    </rPh>
    <phoneticPr fontId="11"/>
  </si>
  <si>
    <t>店　舗　名</t>
    <rPh sb="0" eb="1">
      <t>ミセ</t>
    </rPh>
    <rPh sb="2" eb="3">
      <t>ホ</t>
    </rPh>
    <rPh sb="4" eb="5">
      <t>メイ</t>
    </rPh>
    <phoneticPr fontId="11"/>
  </si>
  <si>
    <t>内容</t>
    <rPh sb="0" eb="2">
      <t>ナイヨウ</t>
    </rPh>
    <phoneticPr fontId="11"/>
  </si>
  <si>
    <t>部材金額</t>
    <rPh sb="0" eb="1">
      <t>ブ</t>
    </rPh>
    <rPh sb="1" eb="2">
      <t>ザイ</t>
    </rPh>
    <rPh sb="2" eb="4">
      <t>キンガク</t>
    </rPh>
    <phoneticPr fontId="11"/>
  </si>
  <si>
    <t>労務金額</t>
    <rPh sb="0" eb="2">
      <t>ロウム</t>
    </rPh>
    <rPh sb="2" eb="4">
      <t>キンガク</t>
    </rPh>
    <phoneticPr fontId="11"/>
  </si>
  <si>
    <t>販売割戻金</t>
    <rPh sb="0" eb="2">
      <t>ハンバイ</t>
    </rPh>
    <rPh sb="2" eb="4">
      <t>ワリモドシ</t>
    </rPh>
    <rPh sb="4" eb="5">
      <t>キン</t>
    </rPh>
    <phoneticPr fontId="11"/>
  </si>
  <si>
    <t>消費税</t>
    <rPh sb="0" eb="3">
      <t>ショウヒゼイ</t>
    </rPh>
    <phoneticPr fontId="11"/>
  </si>
  <si>
    <t>特別出精値引</t>
    <rPh sb="0" eb="2">
      <t>トクベツ</t>
    </rPh>
    <rPh sb="2" eb="4">
      <t>シュッセイ</t>
    </rPh>
    <rPh sb="4" eb="6">
      <t>ネビキ</t>
    </rPh>
    <phoneticPr fontId="11"/>
  </si>
  <si>
    <t>請求金額(税抜)</t>
    <rPh sb="0" eb="2">
      <t>セイキュウ</t>
    </rPh>
    <rPh sb="2" eb="4">
      <t>キンガク</t>
    </rPh>
    <rPh sb="5" eb="6">
      <t>ゼイ</t>
    </rPh>
    <rPh sb="6" eb="7">
      <t>ヌ</t>
    </rPh>
    <phoneticPr fontId="11"/>
  </si>
  <si>
    <t>請求金額(税込)</t>
    <rPh sb="0" eb="2">
      <t>セイキュウ</t>
    </rPh>
    <rPh sb="2" eb="4">
      <t>キンガク</t>
    </rPh>
    <rPh sb="5" eb="7">
      <t>ゼイコミ</t>
    </rPh>
    <phoneticPr fontId="11"/>
  </si>
  <si>
    <t>請求書合計件数</t>
    <phoneticPr fontId="11"/>
  </si>
  <si>
    <t>10月支払合計</t>
    <rPh sb="2" eb="3">
      <t>ガツ</t>
    </rPh>
    <rPh sb="3" eb="5">
      <t>シハライ</t>
    </rPh>
    <rPh sb="5" eb="7">
      <t>ゴウケイ</t>
    </rPh>
    <phoneticPr fontId="11"/>
  </si>
  <si>
    <t>施工金額</t>
    <rPh sb="0" eb="2">
      <t>セコウ</t>
    </rPh>
    <rPh sb="2" eb="4">
      <t>キンガク</t>
    </rPh>
    <phoneticPr fontId="11"/>
  </si>
  <si>
    <t>請求金額(税抜)</t>
    <rPh sb="0" eb="2">
      <t>セイキュウ</t>
    </rPh>
    <rPh sb="2" eb="4">
      <t>キンガク</t>
    </rPh>
    <rPh sb="5" eb="7">
      <t>ゼイヌキ</t>
    </rPh>
    <phoneticPr fontId="11"/>
  </si>
  <si>
    <t>画面.請求日付To</t>
    <rPh sb="0" eb="2">
      <t>ガメン</t>
    </rPh>
    <rPh sb="3" eb="5">
      <t>セイキュウ</t>
    </rPh>
    <rPh sb="5" eb="7">
      <t>ヒヅケ</t>
    </rPh>
    <phoneticPr fontId="1"/>
  </si>
  <si>
    <t>TM製品.費用区分,TD売上明細v2.売上金額</t>
    <rPh sb="2" eb="4">
      <t>セイヒン</t>
    </rPh>
    <rPh sb="5" eb="7">
      <t>ヒヨウ</t>
    </rPh>
    <rPh sb="7" eb="9">
      <t>クブン</t>
    </rPh>
    <rPh sb="12" eb="14">
      <t>ウリアゲ</t>
    </rPh>
    <rPh sb="14" eb="16">
      <t>メイサイ</t>
    </rPh>
    <rPh sb="19" eb="21">
      <t>ウリアゲ</t>
    </rPh>
    <rPh sb="21" eb="23">
      <t>キンガク</t>
    </rPh>
    <phoneticPr fontId="1"/>
  </si>
  <si>
    <t>[TM製品.費用区分]が0の[TD売上明細v2.売上金額]の合計</t>
    <phoneticPr fontId="1"/>
  </si>
  <si>
    <t>TM製品.費用区分,TD売上明細v2.売上金額,TD売上明細v2.製品NO</t>
    <rPh sb="2" eb="4">
      <t>セイヒン</t>
    </rPh>
    <rPh sb="5" eb="7">
      <t>ヒヨウ</t>
    </rPh>
    <rPh sb="7" eb="9">
      <t>クブン</t>
    </rPh>
    <rPh sb="12" eb="14">
      <t>ウリアゲ</t>
    </rPh>
    <rPh sb="14" eb="16">
      <t>メイサイ</t>
    </rPh>
    <rPh sb="19" eb="21">
      <t>ウリアゲ</t>
    </rPh>
    <rPh sb="21" eb="23">
      <t>キンガク</t>
    </rPh>
    <rPh sb="26" eb="28">
      <t>ウリアゲ</t>
    </rPh>
    <rPh sb="28" eb="30">
      <t>メイサイ</t>
    </rPh>
    <rPh sb="33" eb="35">
      <t>セイヒン</t>
    </rPh>
    <phoneticPr fontId="1"/>
  </si>
  <si>
    <t>[TM製品.費用区分]が0 &amp;&amp; [TD売上明細v2.製品NO]が「z019,z101,z103」でない場合の[TM売上明細v2.売上金額]の合計</t>
    <rPh sb="3" eb="5">
      <t>セイヒン</t>
    </rPh>
    <rPh sb="6" eb="8">
      <t>ヒヨウ</t>
    </rPh>
    <rPh sb="8" eb="10">
      <t>クブン</t>
    </rPh>
    <rPh sb="27" eb="29">
      <t>セイヒン</t>
    </rPh>
    <rPh sb="52" eb="54">
      <t>バアイ</t>
    </rPh>
    <rPh sb="58" eb="60">
      <t>ウリアゲ</t>
    </rPh>
    <rPh sb="60" eb="62">
      <t>メイサイ</t>
    </rPh>
    <rPh sb="65" eb="67">
      <t>ウリアゲ</t>
    </rPh>
    <rPh sb="67" eb="69">
      <t>キンガク</t>
    </rPh>
    <rPh sb="71" eb="73">
      <t>ゴウケイ</t>
    </rPh>
    <phoneticPr fontId="1"/>
  </si>
  <si>
    <t>[TM製品.製品NO]が'z103'の時の[TD売上明細v2.売上金額]の合計</t>
    <rPh sb="3" eb="5">
      <t>セイヒン</t>
    </rPh>
    <rPh sb="6" eb="8">
      <t>セイヒン</t>
    </rPh>
    <rPh sb="19" eb="20">
      <t>トキ</t>
    </rPh>
    <phoneticPr fontId="1"/>
  </si>
  <si>
    <t>[TM製品.製品NO]が'z101','z019'の時の[TD売上明細v2.売上金額]の合計</t>
    <rPh sb="3" eb="5">
      <t>セイヒン</t>
    </rPh>
    <rPh sb="6" eb="8">
      <t>セイヒン</t>
    </rPh>
    <rPh sb="26" eb="27">
      <t>トキ</t>
    </rPh>
    <phoneticPr fontId="1"/>
  </si>
  <si>
    <t>TD売上請求H.合計金額,TD売上請求H.外税額</t>
    <rPh sb="2" eb="4">
      <t>ウリアゲ</t>
    </rPh>
    <rPh sb="4" eb="6">
      <t>セイキュウ</t>
    </rPh>
    <rPh sb="8" eb="10">
      <t>ゴウケイ</t>
    </rPh>
    <rPh sb="10" eb="12">
      <t>キンガク</t>
    </rPh>
    <rPh sb="15" eb="17">
      <t>ウリアゲ</t>
    </rPh>
    <rPh sb="17" eb="19">
      <t>セイキュウ</t>
    </rPh>
    <rPh sb="21" eb="22">
      <t>ガイ</t>
    </rPh>
    <rPh sb="22" eb="23">
      <t>ゼイ</t>
    </rPh>
    <rPh sb="23" eb="24">
      <t>ガク</t>
    </rPh>
    <phoneticPr fontId="1"/>
  </si>
  <si>
    <t>[TD売上請求H.合計金額]と[TD売上請求H.外税額]を足した値</t>
    <rPh sb="3" eb="5">
      <t>ウリアゲ</t>
    </rPh>
    <rPh sb="5" eb="7">
      <t>セイキュウ</t>
    </rPh>
    <rPh sb="9" eb="11">
      <t>ゴウケイ</t>
    </rPh>
    <rPh sb="11" eb="13">
      <t>キンガク</t>
    </rPh>
    <rPh sb="18" eb="20">
      <t>ウリアゲ</t>
    </rPh>
    <rPh sb="20" eb="22">
      <t>セイキュウ</t>
    </rPh>
    <rPh sb="24" eb="25">
      <t>ガイ</t>
    </rPh>
    <rPh sb="25" eb="26">
      <t>ゼイ</t>
    </rPh>
    <rPh sb="26" eb="27">
      <t>ガク</t>
    </rPh>
    <rPh sb="29" eb="30">
      <t>タ</t>
    </rPh>
    <rPh sb="32" eb="33">
      <t>アタイ</t>
    </rPh>
    <phoneticPr fontId="1"/>
  </si>
  <si>
    <t>部材金額</t>
    <rPh sb="0" eb="2">
      <t>ブザイ</t>
    </rPh>
    <rPh sb="2" eb="4">
      <t>キンガク</t>
    </rPh>
    <phoneticPr fontId="1"/>
  </si>
  <si>
    <t>労務金額</t>
    <rPh sb="0" eb="2">
      <t>ロウム</t>
    </rPh>
    <rPh sb="2" eb="4">
      <t>キンガク</t>
    </rPh>
    <phoneticPr fontId="1"/>
  </si>
  <si>
    <t>販売割戻金</t>
    <rPh sb="0" eb="2">
      <t>ハンバイ</t>
    </rPh>
    <rPh sb="2" eb="4">
      <t>ワリモドシ</t>
    </rPh>
    <rPh sb="4" eb="5">
      <t>キン</t>
    </rPh>
    <phoneticPr fontId="1"/>
  </si>
  <si>
    <t>消費税</t>
    <rPh sb="0" eb="3">
      <t>ショウヒゼイ</t>
    </rPh>
    <phoneticPr fontId="1"/>
  </si>
  <si>
    <t>特別出精値引き</t>
    <rPh sb="0" eb="2">
      <t>トクベツ</t>
    </rPh>
    <rPh sb="2" eb="4">
      <t>シュッセイ</t>
    </rPh>
    <rPh sb="4" eb="6">
      <t>ネビ</t>
    </rPh>
    <phoneticPr fontId="1"/>
  </si>
  <si>
    <t>請求金額（税抜）</t>
    <rPh sb="0" eb="2">
      <t>セイキュウ</t>
    </rPh>
    <rPh sb="2" eb="4">
      <t>キンガク</t>
    </rPh>
    <rPh sb="5" eb="7">
      <t>ゼイヌキ</t>
    </rPh>
    <phoneticPr fontId="1"/>
  </si>
  <si>
    <t>請求金額（税込）</t>
    <rPh sb="0" eb="2">
      <t>セイキュウ</t>
    </rPh>
    <rPh sb="2" eb="4">
      <t>キンガク</t>
    </rPh>
    <rPh sb="5" eb="7">
      <t>ゼイコミ</t>
    </rPh>
    <phoneticPr fontId="1"/>
  </si>
  <si>
    <t>請求書合計件数_部材金額</t>
  </si>
  <si>
    <t>請求書合計件数_労務金額</t>
  </si>
  <si>
    <t>請求書合計件数_販売割戻金</t>
  </si>
  <si>
    <t>請求書合計件数_消費税</t>
  </si>
  <si>
    <t>請求書合計件数_特別出精値引</t>
  </si>
  <si>
    <t>請求書合計件数_請求金額（税抜）</t>
  </si>
  <si>
    <t>請求書合計件数_請求金額（税込）</t>
  </si>
  <si>
    <t>[請求書合計件数_部材金額]の値</t>
  </si>
  <si>
    <t>[請求書合計件数_労務金額]の値</t>
  </si>
  <si>
    <t>[請求書合計件数_販売割戻金]の値</t>
  </si>
  <si>
    <t>[請求書合計件数_消費税]の値</t>
  </si>
  <si>
    <t>[請求書合計件数_特別出精値引]の値</t>
  </si>
  <si>
    <t>[請求書合計件数_請求金額（税抜）]の値</t>
  </si>
  <si>
    <t>[請求書合計件数_請求金額（税込）]の値</t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</si>
  <si>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</si>
  <si>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</si>
  <si>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</si>
  <si>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</si>
  <si>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</si>
  <si>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</si>
  <si>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</si>
  <si>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</si>
  <si>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</si>
  <si>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</si>
  <si>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</si>
  <si>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</si>
  <si>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</si>
  <si>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</si>
  <si>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</si>
  <si>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</si>
  <si>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</si>
  <si>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</si>
  <si>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</si>
  <si>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</si>
  <si>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</si>
  <si>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</si>
  <si>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</si>
  <si>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</si>
  <si>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</si>
  <si>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</si>
  <si>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</si>
  <si>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</si>
  <si>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</si>
  <si>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</si>
  <si>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</si>
  <si>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</si>
  <si>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</si>
  <si>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</si>
  <si>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</si>
  <si>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</si>
  <si>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</si>
  <si>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ウエルシアリース区分</t>
    <rPh sb="8" eb="10">
      <t>クブン</t>
    </rPh>
    <phoneticPr fontId="2"/>
  </si>
  <si>
    <t>ウエルシア物件区分CD</t>
    <rPh sb="5" eb="7">
      <t>ブッケン</t>
    </rPh>
    <rPh sb="7" eb="9">
      <t>クブン</t>
    </rPh>
    <phoneticPr fontId="2"/>
  </si>
  <si>
    <t>ウエルシア物件区分名</t>
    <rPh sb="5" eb="7">
      <t>ブッケン</t>
    </rPh>
    <rPh sb="7" eb="9">
      <t>クブン</t>
    </rPh>
    <rPh sb="9" eb="10">
      <t>メイ</t>
    </rPh>
    <phoneticPr fontId="2"/>
  </si>
  <si>
    <t>納期S</t>
    <rPh sb="0" eb="2">
      <t>ノウキ</t>
    </rPh>
    <phoneticPr fontId="2"/>
  </si>
  <si>
    <t>納入先CD</t>
    <rPh sb="0" eb="3">
      <t>ノウニュウサキ</t>
    </rPh>
    <phoneticPr fontId="2"/>
  </si>
  <si>
    <t>見積番号</t>
    <rPh sb="0" eb="2">
      <t>ミツモリ</t>
    </rPh>
    <rPh sb="2" eb="4">
      <t>バンゴウ</t>
    </rPh>
    <phoneticPr fontId="2"/>
  </si>
  <si>
    <t>納入先名1</t>
    <rPh sb="0" eb="2">
      <t>ノウニュウ</t>
    </rPh>
    <rPh sb="2" eb="3">
      <t>サキ</t>
    </rPh>
    <rPh sb="3" eb="4">
      <t>メイ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</si>
  <si>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</si>
  <si>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合計金額</t>
    <rPh sb="0" eb="2">
      <t>ゴウケイ</t>
    </rPh>
    <rPh sb="2" eb="4">
      <t>キンガク</t>
    </rPh>
    <phoneticPr fontId="2"/>
  </si>
  <si>
    <t>外税額</t>
    <rPh sb="0" eb="1">
      <t>ソト</t>
    </rPh>
    <rPh sb="1" eb="3">
      <t>ゼイガク</t>
    </rPh>
    <phoneticPr fontId="2"/>
  </si>
  <si>
    <t>税込金額</t>
    <rPh sb="0" eb="2">
      <t>ゼイコ</t>
    </rPh>
    <rPh sb="2" eb="4">
      <t>キンガク</t>
    </rPh>
    <phoneticPr fontId="2"/>
  </si>
  <si>
    <t>部材費</t>
    <rPh sb="0" eb="2">
      <t>ブザイ</t>
    </rPh>
    <rPh sb="2" eb="3">
      <t>ヒ</t>
    </rPh>
    <phoneticPr fontId="2"/>
  </si>
  <si>
    <t>施工費</t>
    <rPh sb="0" eb="2">
      <t>セコウ</t>
    </rPh>
    <rPh sb="2" eb="3">
      <t>ヒ</t>
    </rPh>
    <phoneticPr fontId="2"/>
  </si>
  <si>
    <t>販売割戻金</t>
    <rPh sb="0" eb="2">
      <t>ハンバイ</t>
    </rPh>
    <rPh sb="2" eb="4">
      <t>ワリモドシ</t>
    </rPh>
    <rPh sb="4" eb="5">
      <t>キン</t>
    </rPh>
    <phoneticPr fontId="2"/>
  </si>
  <si>
    <t>特別出精値引</t>
    <rPh sb="0" eb="2">
      <t>トクベツ</t>
    </rPh>
    <rPh sb="2" eb="4">
      <t>シュッセイ</t>
    </rPh>
    <rPh sb="4" eb="6">
      <t>ネビ</t>
    </rPh>
    <phoneticPr fontId="2"/>
  </si>
  <si>
    <t>TD売上請求H</t>
    <rPh sb="2" eb="4">
      <t>ウリアゲ</t>
    </rPh>
    <rPh sb="4" eb="6">
      <t>セイキュウ</t>
    </rPh>
    <phoneticPr fontId="2"/>
  </si>
  <si>
    <t>TD見積</t>
    <rPh sb="2" eb="4">
      <t>ミツモリ</t>
    </rPh>
    <phoneticPr fontId="2"/>
  </si>
  <si>
    <t>INNER JOIN</t>
    <phoneticPr fontId="2"/>
  </si>
  <si>
    <t>sql2</t>
    <phoneticPr fontId="2"/>
  </si>
  <si>
    <t>LEFT JOIN</t>
    <phoneticPr fontId="2"/>
  </si>
  <si>
    <t>[TD見積.見積番号] = [TD売上請求H.見積番号]</t>
    <rPh sb="3" eb="5">
      <t>ミツモリ</t>
    </rPh>
    <rPh sb="6" eb="8">
      <t>ミツモリ</t>
    </rPh>
    <rPh sb="8" eb="10">
      <t>バンゴウ</t>
    </rPh>
    <rPh sb="17" eb="19">
      <t>ウリアゲ</t>
    </rPh>
    <rPh sb="19" eb="21">
      <t>セイキュウ</t>
    </rPh>
    <rPh sb="23" eb="25">
      <t>ミツモリ</t>
    </rPh>
    <rPh sb="25" eb="27">
      <t>バンゴウ</t>
    </rPh>
    <phoneticPr fontId="2"/>
  </si>
  <si>
    <t>[TD見積.ウエルシア物件区分CD] = [TMウエルシア物件区分.ウエルシア物件区分CD]</t>
    <rPh sb="3" eb="5">
      <t>ミツモリ</t>
    </rPh>
    <rPh sb="11" eb="13">
      <t>ブッケン</t>
    </rPh>
    <rPh sb="13" eb="15">
      <t>クブン</t>
    </rPh>
    <rPh sb="29" eb="31">
      <t>ブッケン</t>
    </rPh>
    <rPh sb="31" eb="33">
      <t>クブン</t>
    </rPh>
    <rPh sb="39" eb="43">
      <t>ブッケンクブン</t>
    </rPh>
    <phoneticPr fontId="2"/>
  </si>
  <si>
    <t>TD売上請求H</t>
    <rPh sb="2" eb="6">
      <t>ウリアゲセイキュウ</t>
    </rPh>
    <phoneticPr fontId="2"/>
  </si>
  <si>
    <t>[TD売上請求H.請求日付] &gt;= [画面.集計日付From]</t>
    <rPh sb="3" eb="7">
      <t>ウリアゲセイキュウ</t>
    </rPh>
    <rPh sb="9" eb="11">
      <t>セイキュウ</t>
    </rPh>
    <rPh sb="11" eb="13">
      <t>ヒヅケ</t>
    </rPh>
    <rPh sb="19" eb="21">
      <t>ガメン</t>
    </rPh>
    <rPh sb="22" eb="24">
      <t>シュウケイ</t>
    </rPh>
    <rPh sb="24" eb="26">
      <t>ヒヅケ</t>
    </rPh>
    <phoneticPr fontId="2"/>
  </si>
  <si>
    <t>[TD売上請求H.請求日付] &lt;= [画面.集計日付To]</t>
    <rPh sb="3" eb="7">
      <t>ウリアゲセイキュウ</t>
    </rPh>
    <rPh sb="9" eb="11">
      <t>セイキュウ</t>
    </rPh>
    <rPh sb="11" eb="13">
      <t>ヒヅケ</t>
    </rPh>
    <rPh sb="19" eb="21">
      <t>ガメン</t>
    </rPh>
    <rPh sb="22" eb="24">
      <t>シュウケイ</t>
    </rPh>
    <rPh sb="24" eb="26">
      <t>ヒヅケ</t>
    </rPh>
    <phoneticPr fontId="2"/>
  </si>
  <si>
    <t>and</t>
    <phoneticPr fontId="2"/>
  </si>
  <si>
    <t>[TD見積.得意先CD] = '2401'</t>
    <rPh sb="3" eb="5">
      <t>ミツモリ</t>
    </rPh>
    <rPh sb="6" eb="9">
      <t>トクイサキ</t>
    </rPh>
    <phoneticPr fontId="2"/>
  </si>
  <si>
    <t>order by</t>
    <phoneticPr fontId="2"/>
  </si>
  <si>
    <t>[TD見積.ウエルシアリース区分],[TD見積.ウエルシア物件区分CD],[TD見積.納期S],[TD見積.見積番号]を昇順でソート</t>
    <rPh sb="3" eb="5">
      <t>ミツモリ</t>
    </rPh>
    <rPh sb="14" eb="16">
      <t>クブン</t>
    </rPh>
    <rPh sb="21" eb="23">
      <t>ミツモリ</t>
    </rPh>
    <rPh sb="29" eb="33">
      <t>ブッケンクブン</t>
    </rPh>
    <rPh sb="40" eb="42">
      <t>ミツモリ</t>
    </rPh>
    <rPh sb="43" eb="45">
      <t>ノウキ</t>
    </rPh>
    <rPh sb="51" eb="53">
      <t>ミツモリ</t>
    </rPh>
    <rPh sb="54" eb="56">
      <t>ミツモリ</t>
    </rPh>
    <rPh sb="56" eb="58">
      <t>バンゴウ</t>
    </rPh>
    <rPh sb="60" eb="62">
      <t>ショウジュン</t>
    </rPh>
    <phoneticPr fontId="2"/>
  </si>
  <si>
    <t>select</t>
    <phoneticPr fontId="2"/>
  </si>
  <si>
    <t>見積番号</t>
    <rPh sb="0" eb="2">
      <t>ミツモリ</t>
    </rPh>
    <rPh sb="2" eb="4">
      <t>バンゴウ</t>
    </rPh>
    <phoneticPr fontId="2"/>
  </si>
  <si>
    <t>部材費</t>
    <rPh sb="0" eb="2">
      <t>ブザイ</t>
    </rPh>
    <rPh sb="2" eb="3">
      <t>ヒ</t>
    </rPh>
    <phoneticPr fontId="2"/>
  </si>
  <si>
    <t>施工費</t>
    <rPh sb="0" eb="2">
      <t>セコウ</t>
    </rPh>
    <rPh sb="2" eb="3">
      <t>ヒ</t>
    </rPh>
    <phoneticPr fontId="2"/>
  </si>
  <si>
    <t>販売割戻金</t>
    <rPh sb="0" eb="2">
      <t>ハンバイ</t>
    </rPh>
    <rPh sb="2" eb="4">
      <t>ワリモドシ</t>
    </rPh>
    <rPh sb="4" eb="5">
      <t>キン</t>
    </rPh>
    <phoneticPr fontId="2"/>
  </si>
  <si>
    <t>特別出精値引き</t>
    <rPh sb="0" eb="2">
      <t>トクベツ</t>
    </rPh>
    <rPh sb="2" eb="4">
      <t>シュッセイ</t>
    </rPh>
    <rPh sb="4" eb="6">
      <t>ネビ</t>
    </rPh>
    <phoneticPr fontId="2"/>
  </si>
  <si>
    <t>TD売上v2</t>
    <rPh sb="2" eb="4">
      <t>ウリアゲ</t>
    </rPh>
    <phoneticPr fontId="2"/>
  </si>
  <si>
    <t>[TM製品.製品区分]が0の場合の[TD売上明細v2.売上金額]の合計</t>
    <rPh sb="3" eb="5">
      <t>セイヒン</t>
    </rPh>
    <rPh sb="6" eb="8">
      <t>セイヒン</t>
    </rPh>
    <rPh sb="8" eb="10">
      <t>クブン</t>
    </rPh>
    <rPh sb="14" eb="16">
      <t>バアイ</t>
    </rPh>
    <rPh sb="20" eb="22">
      <t>ウリアゲ</t>
    </rPh>
    <rPh sb="22" eb="24">
      <t>メイサイ</t>
    </rPh>
    <rPh sb="27" eb="29">
      <t>ウリアゲ</t>
    </rPh>
    <rPh sb="29" eb="31">
      <t>キンガク</t>
    </rPh>
    <rPh sb="33" eb="35">
      <t>ゴウケイ</t>
    </rPh>
    <phoneticPr fontId="2"/>
  </si>
  <si>
    <t>[TM製品.製品区分]が1の場合かつ[TD売上明細v2.製品NO]の値が「'Z019','Z101','Z103'」以外の場合の[TD売上明細v2.売上金額]の合計</t>
    <rPh sb="3" eb="5">
      <t>セイヒン</t>
    </rPh>
    <rPh sb="6" eb="8">
      <t>セイヒン</t>
    </rPh>
    <rPh sb="8" eb="10">
      <t>クブン</t>
    </rPh>
    <rPh sb="14" eb="16">
      <t>バアイ</t>
    </rPh>
    <rPh sb="21" eb="23">
      <t>ウリアゲ</t>
    </rPh>
    <rPh sb="23" eb="25">
      <t>メイサイ</t>
    </rPh>
    <rPh sb="28" eb="30">
      <t>セイヒン</t>
    </rPh>
    <rPh sb="34" eb="35">
      <t>アタイ</t>
    </rPh>
    <rPh sb="58" eb="60">
      <t>イガイ</t>
    </rPh>
    <rPh sb="61" eb="63">
      <t>バアイ</t>
    </rPh>
    <rPh sb="67" eb="69">
      <t>ウリアゲ</t>
    </rPh>
    <rPh sb="69" eb="71">
      <t>メイサイ</t>
    </rPh>
    <rPh sb="74" eb="76">
      <t>ウリアゲ</t>
    </rPh>
    <rPh sb="76" eb="78">
      <t>キンガク</t>
    </rPh>
    <rPh sb="80" eb="82">
      <t>ゴウケイ</t>
    </rPh>
    <phoneticPr fontId="2"/>
  </si>
  <si>
    <t>[TD売上明細v2.製品NO]が'Z103'の場合の[TD売上明細v2.売上金額]の合計</t>
    <rPh sb="3" eb="5">
      <t>ウリアゲ</t>
    </rPh>
    <rPh sb="5" eb="7">
      <t>メイサイ</t>
    </rPh>
    <rPh sb="10" eb="12">
      <t>セイヒン</t>
    </rPh>
    <rPh sb="23" eb="25">
      <t>バアイ</t>
    </rPh>
    <rPh sb="29" eb="31">
      <t>ウリアゲ</t>
    </rPh>
    <rPh sb="31" eb="33">
      <t>メイサイ</t>
    </rPh>
    <rPh sb="36" eb="38">
      <t>ウリアゲ</t>
    </rPh>
    <rPh sb="38" eb="40">
      <t>キンガク</t>
    </rPh>
    <rPh sb="42" eb="44">
      <t>ゴウケイ</t>
    </rPh>
    <phoneticPr fontId="2"/>
  </si>
  <si>
    <t>[TD売上明細v2.製品NO]が「'Z101','Z019'」の場合の[TD売上明細v2.売上金額]の合計</t>
    <rPh sb="3" eb="5">
      <t>ウリアゲ</t>
    </rPh>
    <rPh sb="5" eb="7">
      <t>メイサイ</t>
    </rPh>
    <rPh sb="10" eb="12">
      <t>セイヒン</t>
    </rPh>
    <rPh sb="32" eb="34">
      <t>バアイ</t>
    </rPh>
    <rPh sb="38" eb="40">
      <t>ウリアゲ</t>
    </rPh>
    <rPh sb="40" eb="42">
      <t>メイサイ</t>
    </rPh>
    <rPh sb="45" eb="47">
      <t>ウリアゲ</t>
    </rPh>
    <rPh sb="47" eb="49">
      <t>キンガク</t>
    </rPh>
    <rPh sb="51" eb="53">
      <t>ゴウケイ</t>
    </rPh>
    <phoneticPr fontId="2"/>
  </si>
  <si>
    <t>from</t>
    <phoneticPr fontId="2"/>
  </si>
  <si>
    <t>join</t>
    <phoneticPr fontId="2"/>
  </si>
  <si>
    <t>TD売上明細v2</t>
    <rPh sb="2" eb="4">
      <t>ウリアゲ</t>
    </rPh>
    <rPh sb="4" eb="6">
      <t>メイサイ</t>
    </rPh>
    <phoneticPr fontId="2"/>
  </si>
  <si>
    <t>[TD売上v2.売上番号] = [TD売上明細v2.売上番号]</t>
    <rPh sb="3" eb="5">
      <t>ウリアゲ</t>
    </rPh>
    <rPh sb="8" eb="10">
      <t>ウリアゲ</t>
    </rPh>
    <rPh sb="10" eb="12">
      <t>バンゴウ</t>
    </rPh>
    <rPh sb="19" eb="21">
      <t>ウリアゲ</t>
    </rPh>
    <rPh sb="21" eb="23">
      <t>メイサイ</t>
    </rPh>
    <rPh sb="26" eb="28">
      <t>ウリアゲ</t>
    </rPh>
    <rPh sb="28" eb="30">
      <t>バンゴウ</t>
    </rPh>
    <phoneticPr fontId="2"/>
  </si>
  <si>
    <t>TM製品</t>
    <rPh sb="2" eb="4">
      <t>セイヒン</t>
    </rPh>
    <phoneticPr fontId="2"/>
  </si>
  <si>
    <t>[TD売上明細v2.製品NO] = [TM製品.製品NO]</t>
    <rPh sb="3" eb="5">
      <t>ウリアゲ</t>
    </rPh>
    <rPh sb="5" eb="7">
      <t>メイサイ</t>
    </rPh>
    <rPh sb="10" eb="12">
      <t>セイヒン</t>
    </rPh>
    <rPh sb="21" eb="23">
      <t>セイヒン</t>
    </rPh>
    <rPh sb="24" eb="26">
      <t>セイヒン</t>
    </rPh>
    <phoneticPr fontId="2"/>
  </si>
  <si>
    <t>[TD売上明細v2.仕様NO] = [TM製品.仕様NO]</t>
    <rPh sb="3" eb="5">
      <t>ウリアゲ</t>
    </rPh>
    <rPh sb="5" eb="7">
      <t>メイサイ</t>
    </rPh>
    <rPh sb="10" eb="12">
      <t>シヨウ</t>
    </rPh>
    <rPh sb="21" eb="23">
      <t>セイヒン</t>
    </rPh>
    <rPh sb="24" eb="26">
      <t>シヨウ</t>
    </rPh>
    <phoneticPr fontId="2"/>
  </si>
  <si>
    <t>group by</t>
    <phoneticPr fontId="2"/>
  </si>
  <si>
    <t>TD売上v2.見積番号</t>
    <rPh sb="2" eb="4">
      <t>ウリアゲ</t>
    </rPh>
    <rPh sb="7" eb="9">
      <t>ミツモリ</t>
    </rPh>
    <rPh sb="9" eb="11">
      <t>バンゴウ</t>
    </rPh>
    <phoneticPr fontId="2"/>
  </si>
  <si>
    <t>TMウエルシア物件区分</t>
    <rPh sb="7" eb="9">
      <t>ブッケン</t>
    </rPh>
    <rPh sb="9" eb="11">
      <t>クブン</t>
    </rPh>
    <phoneticPr fontId="2"/>
  </si>
  <si>
    <t>[TD売上請求H.合計金額] + [TD売上請求H.外税額]</t>
    <rPh sb="3" eb="7">
      <t>ウリアゲセイキュウ</t>
    </rPh>
    <rPh sb="9" eb="11">
      <t>ゴウケイ</t>
    </rPh>
    <rPh sb="11" eb="13">
      <t>キンガク</t>
    </rPh>
    <rPh sb="20" eb="24">
      <t>ウリアゲセイキュウ</t>
    </rPh>
    <rPh sb="26" eb="27">
      <t>ソト</t>
    </rPh>
    <rPh sb="27" eb="29">
      <t>ゼイガク</t>
    </rPh>
    <phoneticPr fontId="2"/>
  </si>
  <si>
    <t>2.sql2</t>
    <phoneticPr fontId="2"/>
  </si>
  <si>
    <t>通常、リース、その他の3シートに分かれる</t>
    <rPh sb="0" eb="2">
      <t>ツウジョウ</t>
    </rPh>
    <rPh sb="9" eb="10">
      <t>タ</t>
    </rPh>
    <rPh sb="16" eb="17">
      <t>ワ</t>
    </rPh>
    <phoneticPr fontId="2"/>
  </si>
  <si>
    <t>A4横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</si>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</sst>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&quot;¥&quot;#,##0_);\(&quot;¥&quot;#,##0\)"/>
    <numFmt numFmtId="177" formatCode="&quot;¥&quot;#,##0_);[Red]\(&quot;¥&quot;#,##0\)"/>
    <numFmt numFmtId="178" formatCode="_(&quot;¥&quot;* #,##0_);_(&quot;¥&quot;* \(#,##0\);_(&quot;¥&quot;* &quot;-&quot;_);_(@_)"/>
    <numFmt numFmtId="179" formatCode="0.0_ "/>
    <numFmt numFmtId="180" formatCode="yyyy&quot;年&quot;m&quot;月&quot;d&quot;日&quot;;@"/>
    <numFmt numFmtId="181" formatCode="m/d;@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</cellStyleXfs>
  <cellXfs count="26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9" fontId="3" fillId="2" borderId="5" xfId="0" applyNumberFormat="1" applyFont="1" applyFill="1" applyBorder="1" applyAlignment="1">
      <alignment horizontal="center" vertical="center"/>
    </xf>
    <xf numFmtId="179" fontId="3" fillId="2" borderId="6" xfId="0" applyNumberFormat="1" applyFont="1" applyFill="1" applyBorder="1" applyAlignment="1">
      <alignment horizontal="center" vertical="center"/>
    </xf>
    <xf numFmtId="179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9" fillId="0" borderId="0" xfId="3" applyFont="1">
      <alignment vertical="center"/>
    </xf>
    <xf numFmtId="0" fontId="4" fillId="0" borderId="0" xfId="4">
      <alignment vertical="center"/>
    </xf>
    <xf numFmtId="0" fontId="4" fillId="0" borderId="0" xfId="4" applyFont="1" applyProtection="1">
      <alignment vertical="center"/>
      <protection locked="0"/>
    </xf>
    <xf numFmtId="49" fontId="4" fillId="0" borderId="0" xfId="4" applyNumberFormat="1" applyFont="1" applyAlignment="1" applyProtection="1">
      <alignment horizontal="center" vertical="center"/>
      <protection locked="0"/>
    </xf>
    <xf numFmtId="0" fontId="4" fillId="0" borderId="0" xfId="4" applyFont="1" applyAlignment="1" applyProtection="1">
      <alignment horizontal="center" vertical="center"/>
      <protection locked="0"/>
    </xf>
    <xf numFmtId="0" fontId="4" fillId="0" borderId="0" xfId="4" applyFont="1" applyFill="1" applyAlignment="1" applyProtection="1">
      <alignment horizontal="left" vertical="center" shrinkToFit="1"/>
      <protection locked="0"/>
    </xf>
    <xf numFmtId="0" fontId="4" fillId="0" borderId="0" xfId="4" applyFont="1" applyAlignment="1">
      <alignment horizontal="center" vertical="center" shrinkToFit="1"/>
    </xf>
    <xf numFmtId="0" fontId="10" fillId="0" borderId="0" xfId="3">
      <alignment vertical="center"/>
    </xf>
    <xf numFmtId="0" fontId="12" fillId="0" borderId="0" xfId="4" applyFont="1" applyAlignment="1">
      <alignment vertical="center" wrapText="1"/>
    </xf>
    <xf numFmtId="0" fontId="4" fillId="0" borderId="1" xfId="4" applyFont="1" applyBorder="1" applyAlignment="1" applyProtection="1">
      <alignment vertical="center" shrinkToFit="1"/>
      <protection locked="0"/>
    </xf>
    <xf numFmtId="0" fontId="4" fillId="0" borderId="1" xfId="4" applyFont="1" applyBorder="1" applyAlignment="1">
      <alignment horizontal="center" vertical="center" shrinkToFit="1"/>
    </xf>
    <xf numFmtId="0" fontId="4" fillId="0" borderId="1" xfId="4" applyFont="1" applyBorder="1" applyAlignment="1" applyProtection="1">
      <alignment horizontal="center" vertical="center" shrinkToFit="1"/>
      <protection locked="0"/>
    </xf>
    <xf numFmtId="49" fontId="4" fillId="0" borderId="1" xfId="4" applyNumberFormat="1" applyFont="1" applyBorder="1" applyAlignment="1" applyProtection="1">
      <alignment horizontal="center" vertical="center" shrinkToFit="1"/>
      <protection locked="0"/>
    </xf>
    <xf numFmtId="0" fontId="4" fillId="0" borderId="1" xfId="4" applyFont="1" applyFill="1" applyBorder="1" applyAlignment="1" applyProtection="1">
      <alignment horizontal="center" vertical="center" shrinkToFit="1"/>
      <protection locked="0"/>
    </xf>
    <xf numFmtId="3" fontId="4" fillId="0" borderId="1" xfId="4" applyNumberFormat="1" applyFont="1" applyBorder="1" applyAlignment="1">
      <alignment horizontal="center" vertical="center" shrinkToFit="1"/>
    </xf>
    <xf numFmtId="0" fontId="13" fillId="0" borderId="1" xfId="4" applyFont="1" applyBorder="1">
      <alignment vertical="center"/>
    </xf>
    <xf numFmtId="181" fontId="4" fillId="0" borderId="1" xfId="4" applyNumberFormat="1" applyFont="1" applyBorder="1" applyAlignment="1" applyProtection="1">
      <alignment vertical="center" shrinkToFit="1"/>
      <protection locked="0"/>
    </xf>
    <xf numFmtId="0" fontId="4" fillId="0" borderId="1" xfId="4" applyFont="1" applyFill="1" applyBorder="1" applyAlignment="1" applyProtection="1">
      <alignment horizontal="left" vertical="center" shrinkToFit="1"/>
      <protection locked="0"/>
    </xf>
    <xf numFmtId="3" fontId="4" fillId="0" borderId="1" xfId="4" applyNumberFormat="1" applyFont="1" applyBorder="1" applyAlignment="1">
      <alignment horizontal="right" vertical="center" shrinkToFit="1"/>
    </xf>
    <xf numFmtId="3" fontId="9" fillId="0" borderId="1" xfId="3" applyNumberFormat="1" applyFont="1" applyBorder="1" applyAlignment="1">
      <alignment vertical="center" shrinkToFit="1"/>
    </xf>
    <xf numFmtId="3" fontId="4" fillId="0" borderId="1" xfId="4" applyNumberFormat="1" applyFont="1" applyBorder="1" applyAlignment="1">
      <alignment vertical="center" shrinkToFit="1"/>
    </xf>
    <xf numFmtId="0" fontId="4" fillId="0" borderId="11" xfId="4" applyFont="1" applyBorder="1" applyAlignment="1" applyProtection="1">
      <alignment vertical="center" shrinkToFit="1"/>
      <protection locked="0"/>
    </xf>
    <xf numFmtId="0" fontId="13" fillId="0" borderId="11" xfId="4" applyFont="1" applyBorder="1">
      <alignment vertical="center"/>
    </xf>
    <xf numFmtId="181" fontId="4" fillId="0" borderId="11" xfId="4" applyNumberFormat="1" applyFont="1" applyBorder="1" applyAlignment="1" applyProtection="1">
      <alignment vertical="center" shrinkToFit="1"/>
      <protection locked="0"/>
    </xf>
    <xf numFmtId="49" fontId="4" fillId="0" borderId="11" xfId="4" applyNumberFormat="1" applyFont="1" applyBorder="1" applyAlignment="1" applyProtection="1">
      <alignment horizontal="center" vertical="center" shrinkToFit="1"/>
      <protection locked="0"/>
    </xf>
    <xf numFmtId="0" fontId="4" fillId="0" borderId="11" xfId="4" applyFont="1" applyBorder="1" applyAlignment="1" applyProtection="1">
      <alignment horizontal="center" vertical="center" shrinkToFit="1"/>
      <protection locked="0"/>
    </xf>
    <xf numFmtId="0" fontId="4" fillId="0" borderId="11" xfId="4" applyFont="1" applyFill="1" applyBorder="1" applyAlignment="1" applyProtection="1">
      <alignment horizontal="left" vertical="center" shrinkToFit="1"/>
      <protection locked="0"/>
    </xf>
    <xf numFmtId="0" fontId="4" fillId="0" borderId="11" xfId="4" applyFont="1" applyBorder="1" applyAlignment="1">
      <alignment horizontal="center" vertical="center" shrinkToFit="1"/>
    </xf>
    <xf numFmtId="3" fontId="4" fillId="0" borderId="11" xfId="4" applyNumberFormat="1" applyFont="1" applyBorder="1" applyAlignment="1">
      <alignment vertical="center" shrinkToFit="1"/>
    </xf>
    <xf numFmtId="3" fontId="9" fillId="0" borderId="11" xfId="3" applyNumberFormat="1" applyFont="1" applyBorder="1" applyAlignment="1">
      <alignment vertical="center" shrinkToFit="1"/>
    </xf>
    <xf numFmtId="0" fontId="4" fillId="0" borderId="47" xfId="4" applyFont="1" applyBorder="1" applyAlignment="1" applyProtection="1">
      <alignment horizontal="center" vertical="center" shrinkToFit="1"/>
      <protection locked="0"/>
    </xf>
    <xf numFmtId="0" fontId="4" fillId="0" borderId="47" xfId="4" applyFont="1" applyFill="1" applyBorder="1" applyAlignment="1" applyProtection="1">
      <alignment horizontal="left" vertical="center" shrinkToFit="1"/>
      <protection locked="0"/>
    </xf>
    <xf numFmtId="0" fontId="4" fillId="0" borderId="47" xfId="4" applyFont="1" applyBorder="1" applyAlignment="1">
      <alignment horizontal="center" vertical="center" shrinkToFit="1"/>
    </xf>
    <xf numFmtId="176" fontId="4" fillId="0" borderId="47" xfId="4" applyNumberFormat="1" applyFont="1" applyBorder="1" applyAlignment="1">
      <alignment vertical="center" shrinkToFit="1"/>
    </xf>
    <xf numFmtId="176" fontId="9" fillId="0" borderId="47" xfId="3" applyNumberFormat="1" applyFont="1" applyBorder="1" applyAlignment="1">
      <alignment vertical="center" shrinkToFit="1"/>
    </xf>
    <xf numFmtId="0" fontId="13" fillId="0" borderId="0" xfId="4" applyFont="1">
      <alignment vertical="center"/>
    </xf>
    <xf numFmtId="3" fontId="10" fillId="0" borderId="0" xfId="3" applyNumberFormat="1">
      <alignment vertical="center"/>
    </xf>
    <xf numFmtId="0" fontId="10" fillId="0" borderId="0" xfId="3" applyProtection="1">
      <alignment vertical="center"/>
      <protection locked="0"/>
    </xf>
    <xf numFmtId="49" fontId="10" fillId="0" borderId="0" xfId="3" applyNumberFormat="1" applyProtection="1">
      <alignment vertical="center"/>
      <protection locked="0"/>
    </xf>
    <xf numFmtId="0" fontId="10" fillId="0" borderId="0" xfId="3" applyFill="1" applyAlignment="1" applyProtection="1">
      <alignment horizontal="left" vertical="center" shrinkToFit="1"/>
      <protection locked="0"/>
    </xf>
    <xf numFmtId="0" fontId="10" fillId="0" borderId="0" xfId="3" applyAlignment="1">
      <alignment horizontal="center" vertical="center" shrinkToFit="1"/>
    </xf>
    <xf numFmtId="0" fontId="4" fillId="0" borderId="0" xfId="4" applyFont="1" applyBorder="1" applyAlignment="1" applyProtection="1">
      <alignment vertical="center" shrinkToFit="1"/>
      <protection locked="0"/>
    </xf>
    <xf numFmtId="0" fontId="13" fillId="0" borderId="0" xfId="4" applyFont="1" applyBorder="1">
      <alignment vertical="center"/>
    </xf>
    <xf numFmtId="181" fontId="4" fillId="0" borderId="0" xfId="4" applyNumberFormat="1" applyFont="1" applyBorder="1" applyAlignment="1" applyProtection="1">
      <alignment vertical="center" shrinkToFit="1"/>
      <protection locked="0"/>
    </xf>
    <xf numFmtId="3" fontId="4" fillId="0" borderId="51" xfId="4" applyNumberFormat="1" applyFont="1" applyBorder="1" applyAlignment="1">
      <alignment horizontal="center" vertical="center" shrinkToFit="1"/>
    </xf>
    <xf numFmtId="0" fontId="4" fillId="0" borderId="51" xfId="4" applyFont="1" applyBorder="1" applyAlignment="1">
      <alignment horizontal="center" vertical="center" shrinkToFit="1"/>
    </xf>
    <xf numFmtId="0" fontId="4" fillId="0" borderId="52" xfId="4" applyFont="1" applyBorder="1" applyAlignment="1">
      <alignment horizontal="center" vertical="center" shrinkToFit="1"/>
    </xf>
    <xf numFmtId="178" fontId="12" fillId="0" borderId="56" xfId="4" applyNumberFormat="1" applyFont="1" applyBorder="1" applyAlignment="1">
      <alignment horizontal="right" vertical="center" shrinkToFit="1"/>
    </xf>
    <xf numFmtId="178" fontId="12" fillId="0" borderId="56" xfId="4" applyNumberFormat="1" applyFont="1" applyBorder="1" applyAlignment="1">
      <alignment vertical="center" shrinkToFit="1"/>
    </xf>
    <xf numFmtId="178" fontId="14" fillId="0" borderId="57" xfId="3" applyNumberFormat="1" applyFont="1" applyBorder="1" applyAlignment="1">
      <alignment vertical="center" shrinkToFit="1"/>
    </xf>
    <xf numFmtId="0" fontId="3" fillId="2" borderId="48" xfId="0" applyFont="1" applyFill="1" applyBorder="1" applyAlignment="1">
      <alignment horizontal="left" vertical="center"/>
    </xf>
    <xf numFmtId="0" fontId="3" fillId="2" borderId="49" xfId="0" applyFont="1" applyFill="1" applyBorder="1">
      <alignment vertical="center"/>
    </xf>
    <xf numFmtId="0" fontId="3" fillId="2" borderId="50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68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72" xfId="0" quotePrefix="1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3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75" xfId="0" applyFont="1" applyFill="1" applyBorder="1">
      <alignment vertical="center"/>
    </xf>
    <xf numFmtId="0" fontId="16" fillId="2" borderId="2" xfId="0" applyFont="1" applyFill="1" applyBorder="1">
      <alignment vertical="center"/>
    </xf>
    <xf numFmtId="0" fontId="16" fillId="2" borderId="72" xfId="0" applyFont="1" applyFill="1" applyBorder="1">
      <alignment vertical="center"/>
    </xf>
    <xf numFmtId="0" fontId="15" fillId="2" borderId="0" xfId="0" applyFont="1" applyFill="1" applyBorder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72" xfId="0" applyFont="1" applyFill="1" applyBorder="1">
      <alignment vertical="center"/>
    </xf>
    <xf numFmtId="0" fontId="15" fillId="2" borderId="72" xfId="0" quotePrefix="1" applyFont="1" applyFill="1" applyBorder="1">
      <alignment vertical="center"/>
    </xf>
    <xf numFmtId="0" fontId="3" fillId="2" borderId="72" xfId="0" quotePrefix="1" applyFont="1" applyFill="1" applyBorder="1" applyAlignment="1">
      <alignment vertical="center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76" xfId="0" applyFont="1" applyFill="1" applyBorder="1">
      <alignment vertical="center"/>
    </xf>
    <xf numFmtId="0" fontId="15" fillId="2" borderId="0" xfId="0" applyFont="1" applyFill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7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5" fillId="2" borderId="59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77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9" fontId="3" fillId="2" borderId="5" xfId="0" applyNumberFormat="1" applyFont="1" applyFill="1" applyBorder="1" applyAlignment="1">
      <alignment horizontal="center" vertical="center"/>
    </xf>
    <xf numFmtId="179" fontId="3" fillId="2" borderId="6" xfId="0" applyNumberFormat="1" applyFont="1" applyFill="1" applyBorder="1" applyAlignment="1">
      <alignment horizontal="center" vertical="center"/>
    </xf>
    <xf numFmtId="179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177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39" xfId="0" applyFont="1" applyFill="1" applyBorder="1" applyAlignment="1">
      <alignment horizontal="left" vertical="center"/>
    </xf>
    <xf numFmtId="0" fontId="1" fillId="2" borderId="41" xfId="0" applyFont="1" applyFill="1" applyBorder="1" applyAlignment="1">
      <alignment horizontal="left" vertical="center"/>
    </xf>
    <xf numFmtId="0" fontId="1" fillId="2" borderId="42" xfId="0" applyFont="1" applyFill="1" applyBorder="1" applyAlignment="1">
      <alignment horizontal="left" vertical="center"/>
    </xf>
    <xf numFmtId="14" fontId="3" fillId="2" borderId="65" xfId="0" applyNumberFormat="1" applyFont="1" applyFill="1" applyBorder="1" applyAlignment="1">
      <alignment horizontal="center" vertical="center" shrinkToFit="1"/>
    </xf>
    <xf numFmtId="0" fontId="3" fillId="2" borderId="65" xfId="0" applyFont="1" applyFill="1" applyBorder="1" applyAlignment="1">
      <alignment horizontal="center" vertical="center" shrinkToFit="1"/>
    </xf>
    <xf numFmtId="0" fontId="3" fillId="2" borderId="63" xfId="0" applyFont="1" applyFill="1" applyBorder="1" applyAlignment="1">
      <alignment horizontal="center" vertical="center" shrinkToFit="1"/>
    </xf>
    <xf numFmtId="0" fontId="3" fillId="2" borderId="67" xfId="0" applyFont="1" applyFill="1" applyBorder="1" applyAlignment="1">
      <alignment horizontal="center" vertical="center" shrinkToFit="1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5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2" borderId="62" xfId="0" applyFont="1" applyFill="1" applyBorder="1" applyAlignment="1">
      <alignment horizontal="center" vertical="center" shrinkToFit="1"/>
    </xf>
    <xf numFmtId="0" fontId="3" fillId="2" borderId="64" xfId="0" applyFont="1" applyFill="1" applyBorder="1" applyAlignment="1">
      <alignment horizontal="center" vertical="center" shrinkToFit="1"/>
    </xf>
    <xf numFmtId="180" fontId="4" fillId="0" borderId="43" xfId="4" applyNumberFormat="1" applyFont="1" applyBorder="1" applyAlignment="1">
      <alignment horizontal="right" vertical="center"/>
    </xf>
    <xf numFmtId="0" fontId="10" fillId="0" borderId="43" xfId="3" applyBorder="1" applyAlignment="1">
      <alignment vertical="center"/>
    </xf>
    <xf numFmtId="0" fontId="4" fillId="0" borderId="44" xfId="4" applyFont="1" applyBorder="1" applyAlignment="1" applyProtection="1">
      <alignment horizontal="center" vertical="center" shrinkToFit="1"/>
      <protection locked="0"/>
    </xf>
    <xf numFmtId="0" fontId="10" fillId="0" borderId="45" xfId="3" applyBorder="1" applyAlignment="1">
      <alignment vertical="center"/>
    </xf>
    <xf numFmtId="0" fontId="10" fillId="0" borderId="46" xfId="3" applyBorder="1" applyAlignment="1">
      <alignment vertical="center"/>
    </xf>
    <xf numFmtId="181" fontId="12" fillId="0" borderId="48" xfId="4" applyNumberFormat="1" applyFont="1" applyBorder="1" applyAlignment="1" applyProtection="1">
      <alignment horizontal="center" vertical="center" shrinkToFit="1"/>
      <protection locked="0"/>
    </xf>
    <xf numFmtId="181" fontId="12" fillId="0" borderId="49" xfId="4" applyNumberFormat="1" applyFont="1" applyBorder="1" applyAlignment="1" applyProtection="1">
      <alignment horizontal="center" vertical="center" shrinkToFit="1"/>
      <protection locked="0"/>
    </xf>
    <xf numFmtId="181" fontId="12" fillId="0" borderId="50" xfId="4" applyNumberFormat="1" applyFont="1" applyBorder="1" applyAlignment="1" applyProtection="1">
      <alignment horizontal="center" vertical="center" shrinkToFit="1"/>
      <protection locked="0"/>
    </xf>
    <xf numFmtId="181" fontId="12" fillId="0" borderId="53" xfId="4" applyNumberFormat="1" applyFont="1" applyBorder="1" applyAlignment="1" applyProtection="1">
      <alignment horizontal="center" vertical="center" shrinkToFit="1"/>
      <protection locked="0"/>
    </xf>
    <xf numFmtId="181" fontId="12" fillId="0" borderId="54" xfId="4" applyNumberFormat="1" applyFont="1" applyBorder="1" applyAlignment="1" applyProtection="1">
      <alignment horizontal="center" vertical="center" shrinkToFit="1"/>
      <protection locked="0"/>
    </xf>
    <xf numFmtId="181" fontId="12" fillId="0" borderId="55" xfId="4" applyNumberFormat="1" applyFont="1" applyBorder="1" applyAlignment="1" applyProtection="1">
      <alignment horizontal="center" vertical="center" shrinkToFit="1"/>
      <protection locked="0"/>
    </xf>
  </cellXfs>
  <cellStyles count="5">
    <cellStyle name="標準" xfId="0" builtinId="0"/>
    <cellStyle name="標準 2" xfId="2"/>
    <cellStyle name="標準 2 2" xfId="1"/>
    <cellStyle name="標準 2 3" xfId="4"/>
    <cellStyle name="標準 3" xfId="3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68728</xdr:colOff>
      <xdr:row>17</xdr:row>
      <xdr:rowOff>56777</xdr:rowOff>
    </xdr:from>
    <xdr:to>
      <xdr:col>62</xdr:col>
      <xdr:colOff>15488</xdr:colOff>
      <xdr:row>22</xdr:row>
      <xdr:rowOff>80683</xdr:rowOff>
    </xdr:to>
    <xdr:pic>
      <xdr:nvPicPr>
        <xdr:cNvPr id="30" name="図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316" y="3938495"/>
          <a:ext cx="16621113" cy="1278964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8</xdr:row>
      <xdr:rowOff>155067</xdr:rowOff>
    </xdr:from>
    <xdr:to>
      <xdr:col>61</xdr:col>
      <xdr:colOff>162106</xdr:colOff>
      <xdr:row>16</xdr:row>
      <xdr:rowOff>70241</xdr:rowOff>
    </xdr:to>
    <xdr:pic>
      <xdr:nvPicPr>
        <xdr:cNvPr id="28" name="図 2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100" y="1799717"/>
          <a:ext cx="16716556" cy="1947174"/>
        </a:xfrm>
        <a:prstGeom prst="rect">
          <a:avLst/>
        </a:prstGeom>
      </xdr:spPr>
    </xdr:pic>
    <xdr:clientData/>
  </xdr:twoCellAnchor>
  <xdr:twoCellAnchor>
    <xdr:from>
      <xdr:col>2</xdr:col>
      <xdr:colOff>150424</xdr:colOff>
      <xdr:row>11</xdr:row>
      <xdr:rowOff>109070</xdr:rowOff>
    </xdr:from>
    <xdr:to>
      <xdr:col>3</xdr:col>
      <xdr:colOff>217979</xdr:colOff>
      <xdr:row>12</xdr:row>
      <xdr:rowOff>183777</xdr:rowOff>
    </xdr:to>
    <xdr:sp macro="" textlink="">
      <xdr:nvSpPr>
        <xdr:cNvPr id="5" name="正方形/長方形 4"/>
        <xdr:cNvSpPr/>
      </xdr:nvSpPr>
      <xdr:spPr>
        <a:xfrm>
          <a:off x="512374" y="2515720"/>
          <a:ext cx="346955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194342</xdr:colOff>
      <xdr:row>11</xdr:row>
      <xdr:rowOff>98344</xdr:rowOff>
    </xdr:from>
    <xdr:to>
      <xdr:col>51</xdr:col>
      <xdr:colOff>255279</xdr:colOff>
      <xdr:row>12</xdr:row>
      <xdr:rowOff>173051</xdr:rowOff>
    </xdr:to>
    <xdr:sp macro="" textlink="">
      <xdr:nvSpPr>
        <xdr:cNvPr id="6" name="正方形/長方形 5"/>
        <xdr:cNvSpPr/>
      </xdr:nvSpPr>
      <xdr:spPr>
        <a:xfrm>
          <a:off x="13967492" y="250499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64424</xdr:colOff>
      <xdr:row>11</xdr:row>
      <xdr:rowOff>104588</xdr:rowOff>
    </xdr:from>
    <xdr:to>
      <xdr:col>5</xdr:col>
      <xdr:colOff>127176</xdr:colOff>
      <xdr:row>12</xdr:row>
      <xdr:rowOff>179295</xdr:rowOff>
    </xdr:to>
    <xdr:sp macro="" textlink="">
      <xdr:nvSpPr>
        <xdr:cNvPr id="8" name="正方形/長方形 7"/>
        <xdr:cNvSpPr/>
      </xdr:nvSpPr>
      <xdr:spPr>
        <a:xfrm>
          <a:off x="985174" y="2511238"/>
          <a:ext cx="342152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8443</xdr:colOff>
      <xdr:row>11</xdr:row>
      <xdr:rowOff>92635</xdr:rowOff>
    </xdr:from>
    <xdr:to>
      <xdr:col>9</xdr:col>
      <xdr:colOff>68986</xdr:colOff>
      <xdr:row>12</xdr:row>
      <xdr:rowOff>167342</xdr:rowOff>
    </xdr:to>
    <xdr:sp macro="" textlink="">
      <xdr:nvSpPr>
        <xdr:cNvPr id="9" name="正方形/長方形 8"/>
        <xdr:cNvSpPr/>
      </xdr:nvSpPr>
      <xdr:spPr>
        <a:xfrm>
          <a:off x="2046793" y="2499285"/>
          <a:ext cx="339943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203425</xdr:colOff>
      <xdr:row>11</xdr:row>
      <xdr:rowOff>102769</xdr:rowOff>
    </xdr:from>
    <xdr:to>
      <xdr:col>12</xdr:col>
      <xdr:colOff>266177</xdr:colOff>
      <xdr:row>12</xdr:row>
      <xdr:rowOff>177476</xdr:rowOff>
    </xdr:to>
    <xdr:sp macro="" textlink="">
      <xdr:nvSpPr>
        <xdr:cNvPr id="10" name="正方形/長方形 9"/>
        <xdr:cNvSpPr/>
      </xdr:nvSpPr>
      <xdr:spPr>
        <a:xfrm>
          <a:off x="3079975" y="2509419"/>
          <a:ext cx="342152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117009</xdr:colOff>
      <xdr:row>11</xdr:row>
      <xdr:rowOff>87860</xdr:rowOff>
    </xdr:from>
    <xdr:to>
      <xdr:col>16</xdr:col>
      <xdr:colOff>179762</xdr:colOff>
      <xdr:row>12</xdr:row>
      <xdr:rowOff>162567</xdr:rowOff>
    </xdr:to>
    <xdr:sp macro="" textlink="">
      <xdr:nvSpPr>
        <xdr:cNvPr id="11" name="正方形/長方形 10"/>
        <xdr:cNvSpPr/>
      </xdr:nvSpPr>
      <xdr:spPr>
        <a:xfrm>
          <a:off x="4111159" y="2494510"/>
          <a:ext cx="342153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167810</xdr:colOff>
      <xdr:row>11</xdr:row>
      <xdr:rowOff>85651</xdr:rowOff>
    </xdr:from>
    <xdr:to>
      <xdr:col>23</xdr:col>
      <xdr:colOff>230562</xdr:colOff>
      <xdr:row>12</xdr:row>
      <xdr:rowOff>160358</xdr:rowOff>
    </xdr:to>
    <xdr:sp macro="" textlink="">
      <xdr:nvSpPr>
        <xdr:cNvPr id="12" name="正方形/長方形 11"/>
        <xdr:cNvSpPr/>
      </xdr:nvSpPr>
      <xdr:spPr>
        <a:xfrm>
          <a:off x="6117760" y="2492301"/>
          <a:ext cx="342152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211708</xdr:colOff>
      <xdr:row>11</xdr:row>
      <xdr:rowOff>94485</xdr:rowOff>
    </xdr:from>
    <xdr:to>
      <xdr:col>31</xdr:col>
      <xdr:colOff>274460</xdr:colOff>
      <xdr:row>12</xdr:row>
      <xdr:rowOff>169192</xdr:rowOff>
    </xdr:to>
    <xdr:sp macro="" textlink="">
      <xdr:nvSpPr>
        <xdr:cNvPr id="13" name="正方形/長方形 12"/>
        <xdr:cNvSpPr/>
      </xdr:nvSpPr>
      <xdr:spPr>
        <a:xfrm>
          <a:off x="8396858" y="2501135"/>
          <a:ext cx="342152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4090</xdr:colOff>
      <xdr:row>11</xdr:row>
      <xdr:rowOff>96141</xdr:rowOff>
    </xdr:from>
    <xdr:to>
      <xdr:col>41</xdr:col>
      <xdr:colOff>66842</xdr:colOff>
      <xdr:row>12</xdr:row>
      <xdr:rowOff>170848</xdr:rowOff>
    </xdr:to>
    <xdr:sp macro="" textlink="">
      <xdr:nvSpPr>
        <xdr:cNvPr id="14" name="正方形/長方形 13"/>
        <xdr:cNvSpPr/>
      </xdr:nvSpPr>
      <xdr:spPr>
        <a:xfrm>
          <a:off x="10983240" y="2502791"/>
          <a:ext cx="342152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151795</xdr:colOff>
      <xdr:row>11</xdr:row>
      <xdr:rowOff>90619</xdr:rowOff>
    </xdr:from>
    <xdr:to>
      <xdr:col>44</xdr:col>
      <xdr:colOff>214548</xdr:colOff>
      <xdr:row>12</xdr:row>
      <xdr:rowOff>165326</xdr:rowOff>
    </xdr:to>
    <xdr:sp macro="" textlink="">
      <xdr:nvSpPr>
        <xdr:cNvPr id="15" name="正方形/長方形 14"/>
        <xdr:cNvSpPr/>
      </xdr:nvSpPr>
      <xdr:spPr>
        <a:xfrm>
          <a:off x="11969145" y="2497269"/>
          <a:ext cx="342153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43844</xdr:colOff>
      <xdr:row>11</xdr:row>
      <xdr:rowOff>102767</xdr:rowOff>
    </xdr:from>
    <xdr:to>
      <xdr:col>48</xdr:col>
      <xdr:colOff>106596</xdr:colOff>
      <xdr:row>12</xdr:row>
      <xdr:rowOff>177474</xdr:rowOff>
    </xdr:to>
    <xdr:sp macro="" textlink="">
      <xdr:nvSpPr>
        <xdr:cNvPr id="16" name="正方形/長方形 15"/>
        <xdr:cNvSpPr/>
      </xdr:nvSpPr>
      <xdr:spPr>
        <a:xfrm>
          <a:off x="12978794" y="2509417"/>
          <a:ext cx="342152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250901</xdr:colOff>
      <xdr:row>8</xdr:row>
      <xdr:rowOff>133613</xdr:rowOff>
    </xdr:from>
    <xdr:to>
      <xdr:col>45</xdr:col>
      <xdr:colOff>32438</xdr:colOff>
      <xdr:row>9</xdr:row>
      <xdr:rowOff>208320</xdr:rowOff>
    </xdr:to>
    <xdr:sp macro="" textlink="">
      <xdr:nvSpPr>
        <xdr:cNvPr id="17" name="正方形/長方形 16"/>
        <xdr:cNvSpPr/>
      </xdr:nvSpPr>
      <xdr:spPr>
        <a:xfrm>
          <a:off x="12068251" y="1778263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119218</xdr:colOff>
      <xdr:row>11</xdr:row>
      <xdr:rowOff>99454</xdr:rowOff>
    </xdr:from>
    <xdr:to>
      <xdr:col>36</xdr:col>
      <xdr:colOff>181970</xdr:colOff>
      <xdr:row>12</xdr:row>
      <xdr:rowOff>174161</xdr:rowOff>
    </xdr:to>
    <xdr:sp macro="" textlink="">
      <xdr:nvSpPr>
        <xdr:cNvPr id="18" name="正方形/長方形 17"/>
        <xdr:cNvSpPr/>
      </xdr:nvSpPr>
      <xdr:spPr>
        <a:xfrm>
          <a:off x="9701368" y="2506104"/>
          <a:ext cx="342152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219742</xdr:colOff>
      <xdr:row>11</xdr:row>
      <xdr:rowOff>98344</xdr:rowOff>
    </xdr:from>
    <xdr:to>
      <xdr:col>57</xdr:col>
      <xdr:colOff>1279</xdr:colOff>
      <xdr:row>12</xdr:row>
      <xdr:rowOff>173051</xdr:rowOff>
    </xdr:to>
    <xdr:sp macro="" textlink="">
      <xdr:nvSpPr>
        <xdr:cNvPr id="19" name="正方形/長方形 18"/>
        <xdr:cNvSpPr/>
      </xdr:nvSpPr>
      <xdr:spPr>
        <a:xfrm>
          <a:off x="15389892" y="250499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219742</xdr:colOff>
      <xdr:row>14</xdr:row>
      <xdr:rowOff>3094</xdr:rowOff>
    </xdr:from>
    <xdr:to>
      <xdr:col>32</xdr:col>
      <xdr:colOff>1279</xdr:colOff>
      <xdr:row>15</xdr:row>
      <xdr:rowOff>77801</xdr:rowOff>
    </xdr:to>
    <xdr:sp macro="" textlink="">
      <xdr:nvSpPr>
        <xdr:cNvPr id="20" name="正方形/長方形 19"/>
        <xdr:cNvSpPr/>
      </xdr:nvSpPr>
      <xdr:spPr>
        <a:xfrm>
          <a:off x="8404892" y="317174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111792</xdr:colOff>
      <xdr:row>14</xdr:row>
      <xdr:rowOff>3094</xdr:rowOff>
    </xdr:from>
    <xdr:to>
      <xdr:col>36</xdr:col>
      <xdr:colOff>172729</xdr:colOff>
      <xdr:row>15</xdr:row>
      <xdr:rowOff>77801</xdr:rowOff>
    </xdr:to>
    <xdr:sp macro="" textlink="">
      <xdr:nvSpPr>
        <xdr:cNvPr id="21" name="正方形/長方形 20"/>
        <xdr:cNvSpPr/>
      </xdr:nvSpPr>
      <xdr:spPr>
        <a:xfrm>
          <a:off x="9693942" y="317174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16542</xdr:colOff>
      <xdr:row>14</xdr:row>
      <xdr:rowOff>3094</xdr:rowOff>
    </xdr:from>
    <xdr:to>
      <xdr:col>41</xdr:col>
      <xdr:colOff>77479</xdr:colOff>
      <xdr:row>15</xdr:row>
      <xdr:rowOff>77801</xdr:rowOff>
    </xdr:to>
    <xdr:sp macro="" textlink="">
      <xdr:nvSpPr>
        <xdr:cNvPr id="22" name="正方形/長方形 21"/>
        <xdr:cNvSpPr/>
      </xdr:nvSpPr>
      <xdr:spPr>
        <a:xfrm>
          <a:off x="10995692" y="317174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168942</xdr:colOff>
      <xdr:row>14</xdr:row>
      <xdr:rowOff>9444</xdr:rowOff>
    </xdr:from>
    <xdr:to>
      <xdr:col>44</xdr:col>
      <xdr:colOff>229879</xdr:colOff>
      <xdr:row>15</xdr:row>
      <xdr:rowOff>84151</xdr:rowOff>
    </xdr:to>
    <xdr:sp macro="" textlink="">
      <xdr:nvSpPr>
        <xdr:cNvPr id="23" name="正方形/長方形 22"/>
        <xdr:cNvSpPr/>
      </xdr:nvSpPr>
      <xdr:spPr>
        <a:xfrm>
          <a:off x="11986292" y="317809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48292</xdr:colOff>
      <xdr:row>14</xdr:row>
      <xdr:rowOff>9444</xdr:rowOff>
    </xdr:from>
    <xdr:to>
      <xdr:col>48</xdr:col>
      <xdr:colOff>109229</xdr:colOff>
      <xdr:row>15</xdr:row>
      <xdr:rowOff>84151</xdr:rowOff>
    </xdr:to>
    <xdr:sp macro="" textlink="">
      <xdr:nvSpPr>
        <xdr:cNvPr id="24" name="正方形/長方形 23"/>
        <xdr:cNvSpPr/>
      </xdr:nvSpPr>
      <xdr:spPr>
        <a:xfrm>
          <a:off x="12983242" y="317809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200692</xdr:colOff>
      <xdr:row>13</xdr:row>
      <xdr:rowOff>250744</xdr:rowOff>
    </xdr:from>
    <xdr:to>
      <xdr:col>51</xdr:col>
      <xdr:colOff>261629</xdr:colOff>
      <xdr:row>15</xdr:row>
      <xdr:rowOff>71451</xdr:rowOff>
    </xdr:to>
    <xdr:sp macro="" textlink="">
      <xdr:nvSpPr>
        <xdr:cNvPr id="25" name="正方形/長方形 24"/>
        <xdr:cNvSpPr/>
      </xdr:nvSpPr>
      <xdr:spPr>
        <a:xfrm>
          <a:off x="13973842" y="316539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213392</xdr:colOff>
      <xdr:row>14</xdr:row>
      <xdr:rowOff>9444</xdr:rowOff>
    </xdr:from>
    <xdr:to>
      <xdr:col>56</xdr:col>
      <xdr:colOff>274329</xdr:colOff>
      <xdr:row>15</xdr:row>
      <xdr:rowOff>84151</xdr:rowOff>
    </xdr:to>
    <xdr:sp macro="" textlink="">
      <xdr:nvSpPr>
        <xdr:cNvPr id="26" name="正方形/長方形 25"/>
        <xdr:cNvSpPr/>
      </xdr:nvSpPr>
      <xdr:spPr>
        <a:xfrm>
          <a:off x="15383542" y="3178094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</a:p>
      </xdr:txBody>
    </xdr:sp>
    <xdr:clientData/>
  </xdr:twoCellAnchor>
  <xdr:twoCellAnchor>
    <xdr:from>
      <xdr:col>8</xdr:col>
      <xdr:colOff>47701</xdr:colOff>
      <xdr:row>8</xdr:row>
      <xdr:rowOff>146313</xdr:rowOff>
    </xdr:from>
    <xdr:to>
      <xdr:col>9</xdr:col>
      <xdr:colOff>108638</xdr:colOff>
      <xdr:row>9</xdr:row>
      <xdr:rowOff>221020</xdr:rowOff>
    </xdr:to>
    <xdr:sp macro="" textlink="">
      <xdr:nvSpPr>
        <xdr:cNvPr id="27" name="正方形/長方形 26"/>
        <xdr:cNvSpPr/>
      </xdr:nvSpPr>
      <xdr:spPr>
        <a:xfrm>
          <a:off x="2086051" y="1790963"/>
          <a:ext cx="340337" cy="3287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176321</xdr:colOff>
      <xdr:row>17</xdr:row>
      <xdr:rowOff>198150</xdr:rowOff>
    </xdr:from>
    <xdr:to>
      <xdr:col>3</xdr:col>
      <xdr:colOff>239073</xdr:colOff>
      <xdr:row>19</xdr:row>
      <xdr:rowOff>21846</xdr:rowOff>
    </xdr:to>
    <xdr:sp macro="" textlink="">
      <xdr:nvSpPr>
        <xdr:cNvPr id="52" name="正方形/長方形 51"/>
        <xdr:cNvSpPr/>
      </xdr:nvSpPr>
      <xdr:spPr>
        <a:xfrm>
          <a:off x="534909" y="4079868"/>
          <a:ext cx="340658" cy="32571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197109</xdr:colOff>
      <xdr:row>19</xdr:row>
      <xdr:rowOff>149511</xdr:rowOff>
    </xdr:from>
    <xdr:to>
      <xdr:col>28</xdr:col>
      <xdr:colOff>259861</xdr:colOff>
      <xdr:row>20</xdr:row>
      <xdr:rowOff>221229</xdr:rowOff>
    </xdr:to>
    <xdr:sp macro="" textlink="">
      <xdr:nvSpPr>
        <xdr:cNvPr id="53" name="正方形/長方形 52"/>
        <xdr:cNvSpPr/>
      </xdr:nvSpPr>
      <xdr:spPr>
        <a:xfrm>
          <a:off x="7503344" y="453325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218448</xdr:colOff>
      <xdr:row>19</xdr:row>
      <xdr:rowOff>160961</xdr:rowOff>
    </xdr:from>
    <xdr:to>
      <xdr:col>34</xdr:col>
      <xdr:colOff>3294</xdr:colOff>
      <xdr:row>20</xdr:row>
      <xdr:rowOff>232679</xdr:rowOff>
    </xdr:to>
    <xdr:sp macro="" textlink="">
      <xdr:nvSpPr>
        <xdr:cNvPr id="54" name="正方形/長方形 53"/>
        <xdr:cNvSpPr/>
      </xdr:nvSpPr>
      <xdr:spPr>
        <a:xfrm>
          <a:off x="8914213" y="4544702"/>
          <a:ext cx="340657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229296</xdr:colOff>
      <xdr:row>19</xdr:row>
      <xdr:rowOff>164810</xdr:rowOff>
    </xdr:from>
    <xdr:to>
      <xdr:col>39</xdr:col>
      <xdr:colOff>12648</xdr:colOff>
      <xdr:row>20</xdr:row>
      <xdr:rowOff>236528</xdr:rowOff>
    </xdr:to>
    <xdr:sp macro="" textlink="">
      <xdr:nvSpPr>
        <xdr:cNvPr id="55" name="正方形/長方形 54"/>
        <xdr:cNvSpPr/>
      </xdr:nvSpPr>
      <xdr:spPr>
        <a:xfrm>
          <a:off x="10314590" y="4548551"/>
          <a:ext cx="33916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224651</xdr:colOff>
      <xdr:row>19</xdr:row>
      <xdr:rowOff>162064</xdr:rowOff>
    </xdr:from>
    <xdr:to>
      <xdr:col>43</xdr:col>
      <xdr:colOff>8004</xdr:colOff>
      <xdr:row>20</xdr:row>
      <xdr:rowOff>233782</xdr:rowOff>
    </xdr:to>
    <xdr:sp macro="" textlink="">
      <xdr:nvSpPr>
        <xdr:cNvPr id="56" name="正方形/長方形 55"/>
        <xdr:cNvSpPr/>
      </xdr:nvSpPr>
      <xdr:spPr>
        <a:xfrm>
          <a:off x="11421569" y="4545805"/>
          <a:ext cx="339164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205407</xdr:colOff>
      <xdr:row>19</xdr:row>
      <xdr:rowOff>164680</xdr:rowOff>
    </xdr:from>
    <xdr:to>
      <xdr:col>46</xdr:col>
      <xdr:colOff>268159</xdr:colOff>
      <xdr:row>20</xdr:row>
      <xdr:rowOff>236398</xdr:rowOff>
    </xdr:to>
    <xdr:sp macro="" textlink="">
      <xdr:nvSpPr>
        <xdr:cNvPr id="57" name="正方形/長方形 56"/>
        <xdr:cNvSpPr/>
      </xdr:nvSpPr>
      <xdr:spPr>
        <a:xfrm>
          <a:off x="12513948" y="454842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49</xdr:col>
      <xdr:colOff>176887</xdr:colOff>
      <xdr:row>19</xdr:row>
      <xdr:rowOff>156950</xdr:rowOff>
    </xdr:from>
    <xdr:to>
      <xdr:col>50</xdr:col>
      <xdr:colOff>239639</xdr:colOff>
      <xdr:row>20</xdr:row>
      <xdr:rowOff>228668</xdr:rowOff>
    </xdr:to>
    <xdr:sp macro="" textlink="">
      <xdr:nvSpPr>
        <xdr:cNvPr id="58" name="正方形/長方形 57"/>
        <xdr:cNvSpPr/>
      </xdr:nvSpPr>
      <xdr:spPr>
        <a:xfrm>
          <a:off x="13597052" y="454069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55</xdr:col>
      <xdr:colOff>85601</xdr:colOff>
      <xdr:row>19</xdr:row>
      <xdr:rowOff>164826</xdr:rowOff>
    </xdr:from>
    <xdr:to>
      <xdr:col>56</xdr:col>
      <xdr:colOff>148353</xdr:colOff>
      <xdr:row>20</xdr:row>
      <xdr:rowOff>236544</xdr:rowOff>
    </xdr:to>
    <xdr:sp macro="" textlink="">
      <xdr:nvSpPr>
        <xdr:cNvPr id="59" name="正方形/長方形 58"/>
        <xdr:cNvSpPr/>
      </xdr:nvSpPr>
      <xdr:spPr>
        <a:xfrm>
          <a:off x="15173201" y="454856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131977</xdr:colOff>
      <xdr:row>44</xdr:row>
      <xdr:rowOff>27736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3" y="233082"/>
          <a:ext cx="14251389" cy="10050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6" t="s">
        <v>0</v>
      </c>
      <c r="C2" s="187"/>
      <c r="D2" s="187"/>
      <c r="E2" s="187"/>
      <c r="F2" s="187"/>
      <c r="G2" s="187"/>
      <c r="H2" s="187" t="s">
        <v>17</v>
      </c>
      <c r="I2" s="187"/>
      <c r="J2" s="187"/>
      <c r="K2" s="187"/>
      <c r="L2" s="187" t="s">
        <v>250</v>
      </c>
      <c r="M2" s="187"/>
      <c r="N2" s="187"/>
      <c r="O2" s="187"/>
      <c r="P2" s="187"/>
      <c r="Q2" s="187"/>
      <c r="R2" s="187" t="s">
        <v>2</v>
      </c>
      <c r="S2" s="187"/>
      <c r="T2" s="187"/>
      <c r="U2" s="187"/>
      <c r="V2" s="187"/>
      <c r="W2" s="187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31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5</v>
      </c>
      <c r="AY2" s="187"/>
      <c r="AZ2" s="187"/>
      <c r="BA2" s="187"/>
      <c r="BB2" s="187" t="s">
        <v>4</v>
      </c>
      <c r="BC2" s="187"/>
      <c r="BD2" s="187"/>
      <c r="BE2" s="187"/>
      <c r="BF2" s="187" t="s">
        <v>6</v>
      </c>
      <c r="BG2" s="187"/>
      <c r="BH2" s="187"/>
      <c r="BI2" s="187"/>
      <c r="BJ2" s="187" t="s">
        <v>7</v>
      </c>
      <c r="BK2" s="187"/>
      <c r="BL2" s="187"/>
      <c r="BM2" s="201"/>
      <c r="BN2" s="14"/>
    </row>
    <row r="3" spans="1:66" ht="20.100000000000001" customHeight="1" x14ac:dyDescent="0.45">
      <c r="A3" s="8"/>
      <c r="B3" s="191" t="s">
        <v>248</v>
      </c>
      <c r="C3" s="192"/>
      <c r="D3" s="192"/>
      <c r="E3" s="192"/>
      <c r="F3" s="192"/>
      <c r="G3" s="192"/>
      <c r="H3" s="192" t="str">
        <f ca="1">LEFT($X$3,FIND("_",$X$3)-1)</f>
        <v>SU1100</v>
      </c>
      <c r="I3" s="192"/>
      <c r="J3" s="192"/>
      <c r="K3" s="192"/>
      <c r="L3" s="192" t="s">
        <v>249</v>
      </c>
      <c r="M3" s="192"/>
      <c r="N3" s="192"/>
      <c r="O3" s="192"/>
      <c r="P3" s="192"/>
      <c r="Q3" s="192"/>
      <c r="R3" s="195" t="str">
        <f ca="1">MID($X$3,FIND("_",$X$3,FIND("_",$X$3)+1)+1,LEN($X$3)-FIND("_",$X$3,FIND("_",$X$3)+1))</f>
        <v>帳票設計書</v>
      </c>
      <c r="S3" s="192"/>
      <c r="T3" s="192"/>
      <c r="U3" s="192"/>
      <c r="V3" s="192"/>
      <c r="W3" s="192"/>
      <c r="X3" s="196" t="str">
        <f ca="1">REPLACE(LEFT(CELL("filename",$B$2),FIND(".x",CELL("filename",$B$2))-1),1,FIND("[",CELL("filename",$B$2)),)</f>
        <v>SU1100_ウエルシア請求明細_帳票設計書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MID($X$3,FIND("_",$X$3)+1,FIND("_",$X$3,FIND("_",$X$3)+1)-FIND("_",$X$3)-1)</f>
        <v>ウエルシア請求明細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v>45581</v>
      </c>
      <c r="AY3" s="192"/>
      <c r="AZ3" s="192"/>
      <c r="BA3" s="192"/>
      <c r="BB3" s="192" t="s">
        <v>251</v>
      </c>
      <c r="BC3" s="192"/>
      <c r="BD3" s="192"/>
      <c r="BE3" s="192"/>
      <c r="BF3" s="203">
        <v>45581</v>
      </c>
      <c r="BG3" s="192"/>
      <c r="BH3" s="192"/>
      <c r="BI3" s="192"/>
      <c r="BJ3" s="192" t="s">
        <v>252</v>
      </c>
      <c r="BK3" s="192"/>
      <c r="BL3" s="192"/>
      <c r="BM3" s="204"/>
      <c r="BN3" s="14"/>
    </row>
    <row r="4" spans="1:66" ht="20.100000000000001" customHeight="1" thickBot="1" x14ac:dyDescent="0.5">
      <c r="A4" s="8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194"/>
      <c r="AY4" s="194"/>
      <c r="AZ4" s="194"/>
      <c r="BA4" s="194"/>
      <c r="BB4" s="194"/>
      <c r="BC4" s="194"/>
      <c r="BD4" s="194"/>
      <c r="BE4" s="194"/>
      <c r="BF4" s="194"/>
      <c r="BG4" s="194"/>
      <c r="BH4" s="194"/>
      <c r="BI4" s="194"/>
      <c r="BJ4" s="194"/>
      <c r="BK4" s="194"/>
      <c r="BL4" s="194"/>
      <c r="BM4" s="196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202" t="s">
        <v>8</v>
      </c>
      <c r="D8" s="202"/>
      <c r="E8" s="202"/>
      <c r="F8" s="202"/>
      <c r="G8" s="202" t="s">
        <v>9</v>
      </c>
      <c r="H8" s="202"/>
      <c r="I8" s="202"/>
      <c r="J8" s="202"/>
      <c r="K8" s="202" t="s">
        <v>10</v>
      </c>
      <c r="L8" s="202"/>
      <c r="M8" s="202"/>
      <c r="N8" s="202"/>
      <c r="O8" s="202" t="s">
        <v>11</v>
      </c>
      <c r="P8" s="202"/>
      <c r="Q8" s="202"/>
      <c r="R8" s="202"/>
      <c r="S8" s="202"/>
      <c r="T8" s="202"/>
      <c r="U8" s="202"/>
      <c r="V8" s="202"/>
      <c r="W8" s="202"/>
      <c r="X8" s="202"/>
      <c r="Y8" s="202" t="s">
        <v>12</v>
      </c>
      <c r="Z8" s="202"/>
      <c r="AA8" s="202"/>
      <c r="AB8" s="202"/>
      <c r="AC8" s="202"/>
      <c r="AD8" s="202"/>
      <c r="AE8" s="202"/>
      <c r="AF8" s="202"/>
      <c r="AG8" s="202"/>
      <c r="AH8" s="202"/>
      <c r="AI8" s="202"/>
      <c r="AJ8" s="202"/>
      <c r="AK8" s="202"/>
      <c r="AL8" s="202"/>
      <c r="AM8" s="202"/>
      <c r="AN8" s="202"/>
      <c r="AO8" s="202"/>
      <c r="AP8" s="202"/>
      <c r="AQ8" s="202"/>
      <c r="AR8" s="202"/>
      <c r="AS8" s="202"/>
      <c r="AT8" s="202"/>
      <c r="AU8" s="202"/>
      <c r="AV8" s="202"/>
      <c r="AW8" s="202"/>
      <c r="AX8" s="202"/>
      <c r="AY8" s="202"/>
      <c r="AZ8" s="202"/>
      <c r="BA8" s="202"/>
      <c r="BB8" s="202"/>
      <c r="BC8" s="202"/>
      <c r="BD8" s="202"/>
      <c r="BE8" s="202"/>
      <c r="BF8" s="202"/>
      <c r="BG8" s="202"/>
      <c r="BH8" s="202"/>
      <c r="BI8" s="202"/>
      <c r="BJ8" s="202"/>
      <c r="BK8" s="202"/>
      <c r="BL8" s="202"/>
      <c r="BM8" s="7"/>
      <c r="BN8" s="14"/>
    </row>
    <row r="9" spans="1:66" ht="20.100000000000001" customHeight="1" x14ac:dyDescent="0.45">
      <c r="A9" s="8"/>
      <c r="B9" s="7"/>
      <c r="C9" s="205">
        <v>45581</v>
      </c>
      <c r="D9" s="206"/>
      <c r="E9" s="206"/>
      <c r="F9" s="207"/>
      <c r="G9" s="208" t="s">
        <v>16</v>
      </c>
      <c r="H9" s="209"/>
      <c r="I9" s="209"/>
      <c r="J9" s="210"/>
      <c r="K9" s="211" t="s">
        <v>252</v>
      </c>
      <c r="L9" s="206"/>
      <c r="M9" s="206"/>
      <c r="N9" s="207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05"/>
      <c r="D10" s="206"/>
      <c r="E10" s="206"/>
      <c r="F10" s="207"/>
      <c r="G10" s="208"/>
      <c r="H10" s="209"/>
      <c r="I10" s="209"/>
      <c r="J10" s="210"/>
      <c r="K10" s="211"/>
      <c r="L10" s="206"/>
      <c r="M10" s="206"/>
      <c r="N10" s="207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05"/>
      <c r="D11" s="206"/>
      <c r="E11" s="206"/>
      <c r="F11" s="207"/>
      <c r="G11" s="208"/>
      <c r="H11" s="209"/>
      <c r="I11" s="209"/>
      <c r="J11" s="210"/>
      <c r="K11" s="211"/>
      <c r="L11" s="206"/>
      <c r="M11" s="206"/>
      <c r="N11" s="207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05"/>
      <c r="D36" s="206"/>
      <c r="E36" s="206"/>
      <c r="F36" s="207"/>
      <c r="G36" s="208"/>
      <c r="H36" s="209"/>
      <c r="I36" s="209"/>
      <c r="J36" s="210"/>
      <c r="K36" s="211"/>
      <c r="L36" s="206"/>
      <c r="M36" s="206"/>
      <c r="N36" s="207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05"/>
      <c r="D37" s="206"/>
      <c r="E37" s="206"/>
      <c r="F37" s="207"/>
      <c r="G37" s="208"/>
      <c r="H37" s="209"/>
      <c r="I37" s="209"/>
      <c r="J37" s="210"/>
      <c r="K37" s="211"/>
      <c r="L37" s="206"/>
      <c r="M37" s="206"/>
      <c r="N37" s="207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05"/>
      <c r="D38" s="206"/>
      <c r="E38" s="206"/>
      <c r="F38" s="207"/>
      <c r="G38" s="208"/>
      <c r="H38" s="209"/>
      <c r="I38" s="209"/>
      <c r="J38" s="210"/>
      <c r="K38" s="211"/>
      <c r="L38" s="206"/>
      <c r="M38" s="206"/>
      <c r="N38" s="207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05"/>
      <c r="D39" s="206"/>
      <c r="E39" s="206"/>
      <c r="F39" s="207"/>
      <c r="G39" s="208"/>
      <c r="H39" s="209"/>
      <c r="I39" s="209"/>
      <c r="J39" s="210"/>
      <c r="K39" s="211"/>
      <c r="L39" s="206"/>
      <c r="M39" s="206"/>
      <c r="N39" s="207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05"/>
      <c r="D40" s="206"/>
      <c r="E40" s="206"/>
      <c r="F40" s="207"/>
      <c r="G40" s="208"/>
      <c r="H40" s="209"/>
      <c r="I40" s="209"/>
      <c r="J40" s="210"/>
      <c r="K40" s="211"/>
      <c r="L40" s="206"/>
      <c r="M40" s="206"/>
      <c r="N40" s="207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05"/>
      <c r="D41" s="206"/>
      <c r="E41" s="206"/>
      <c r="F41" s="207"/>
      <c r="G41" s="208"/>
      <c r="H41" s="209"/>
      <c r="I41" s="209"/>
      <c r="J41" s="210"/>
      <c r="K41" s="211"/>
      <c r="L41" s="206"/>
      <c r="M41" s="206"/>
      <c r="N41" s="207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05"/>
      <c r="D42" s="206"/>
      <c r="E42" s="206"/>
      <c r="F42" s="207"/>
      <c r="G42" s="208"/>
      <c r="H42" s="209"/>
      <c r="I42" s="209"/>
      <c r="J42" s="210"/>
      <c r="K42" s="211"/>
      <c r="L42" s="206"/>
      <c r="M42" s="206"/>
      <c r="N42" s="207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05"/>
      <c r="D43" s="206"/>
      <c r="E43" s="206"/>
      <c r="F43" s="207"/>
      <c r="G43" s="208"/>
      <c r="H43" s="209"/>
      <c r="I43" s="209"/>
      <c r="J43" s="210"/>
      <c r="K43" s="211"/>
      <c r="L43" s="206"/>
      <c r="M43" s="206"/>
      <c r="N43" s="207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05"/>
      <c r="D44" s="206"/>
      <c r="E44" s="206"/>
      <c r="F44" s="207"/>
      <c r="G44" s="208"/>
      <c r="H44" s="209"/>
      <c r="I44" s="209"/>
      <c r="J44" s="210"/>
      <c r="K44" s="211"/>
      <c r="L44" s="206"/>
      <c r="M44" s="206"/>
      <c r="N44" s="207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05"/>
      <c r="D45" s="206"/>
      <c r="E45" s="206"/>
      <c r="F45" s="207"/>
      <c r="G45" s="208"/>
      <c r="H45" s="209"/>
      <c r="I45" s="209"/>
      <c r="J45" s="210"/>
      <c r="K45" s="211"/>
      <c r="L45" s="206"/>
      <c r="M45" s="206"/>
      <c r="N45" s="207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05"/>
      <c r="D46" s="206"/>
      <c r="E46" s="206"/>
      <c r="F46" s="207"/>
      <c r="G46" s="208"/>
      <c r="H46" s="209"/>
      <c r="I46" s="209"/>
      <c r="J46" s="210"/>
      <c r="K46" s="211"/>
      <c r="L46" s="206"/>
      <c r="M46" s="206"/>
      <c r="N46" s="207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05"/>
      <c r="D47" s="206"/>
      <c r="E47" s="206"/>
      <c r="F47" s="207"/>
      <c r="G47" s="208"/>
      <c r="H47" s="209"/>
      <c r="I47" s="209"/>
      <c r="J47" s="210"/>
      <c r="K47" s="211"/>
      <c r="L47" s="206"/>
      <c r="M47" s="206"/>
      <c r="N47" s="207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6" t="s">
        <v>0</v>
      </c>
      <c r="C2" s="187"/>
      <c r="D2" s="187"/>
      <c r="E2" s="187"/>
      <c r="F2" s="187"/>
      <c r="G2" s="187"/>
      <c r="H2" s="187" t="s">
        <v>17</v>
      </c>
      <c r="I2" s="187"/>
      <c r="J2" s="187"/>
      <c r="K2" s="187"/>
      <c r="L2" s="187" t="s">
        <v>250</v>
      </c>
      <c r="M2" s="187"/>
      <c r="N2" s="187"/>
      <c r="O2" s="187"/>
      <c r="P2" s="187"/>
      <c r="Q2" s="187"/>
      <c r="R2" s="187" t="s">
        <v>2</v>
      </c>
      <c r="S2" s="187"/>
      <c r="T2" s="187"/>
      <c r="U2" s="187"/>
      <c r="V2" s="187"/>
      <c r="W2" s="187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32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5</v>
      </c>
      <c r="AY2" s="187"/>
      <c r="AZ2" s="187"/>
      <c r="BA2" s="187"/>
      <c r="BB2" s="187" t="s">
        <v>4</v>
      </c>
      <c r="BC2" s="187"/>
      <c r="BD2" s="187"/>
      <c r="BE2" s="187"/>
      <c r="BF2" s="187" t="s">
        <v>6</v>
      </c>
      <c r="BG2" s="187"/>
      <c r="BH2" s="187"/>
      <c r="BI2" s="187"/>
      <c r="BJ2" s="187" t="s">
        <v>7</v>
      </c>
      <c r="BK2" s="187"/>
      <c r="BL2" s="187"/>
      <c r="BM2" s="201"/>
      <c r="BN2" s="35"/>
    </row>
    <row r="3" spans="1:66" ht="20.100000000000001" customHeight="1" x14ac:dyDescent="0.45">
      <c r="A3" s="32"/>
      <c r="B3" s="191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SU1100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帳票設計書</v>
      </c>
      <c r="S3" s="192"/>
      <c r="T3" s="192"/>
      <c r="U3" s="192"/>
      <c r="V3" s="192"/>
      <c r="W3" s="192"/>
      <c r="X3" s="196" t="str">
        <f ca="1">変更履歴!X3</f>
        <v>SU1100_ウエルシア請求明細_帳票設計書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ウエルシア請求明細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v>45456</v>
      </c>
      <c r="AY3" s="203"/>
      <c r="AZ3" s="203"/>
      <c r="BA3" s="203"/>
      <c r="BB3" s="192" t="str">
        <f>変更履歴!BB3</f>
        <v>大谷</v>
      </c>
      <c r="BC3" s="192"/>
      <c r="BD3" s="192"/>
      <c r="BE3" s="192"/>
      <c r="BF3" s="203">
        <f>変更履歴!BF3</f>
        <v>45581</v>
      </c>
      <c r="BG3" s="203"/>
      <c r="BH3" s="203"/>
      <c r="BI3" s="203"/>
      <c r="BJ3" s="192" t="str">
        <f>変更履歴!BJ3</f>
        <v>大谷</v>
      </c>
      <c r="BK3" s="192"/>
      <c r="BL3" s="192"/>
      <c r="BM3" s="204"/>
      <c r="BN3" s="35"/>
    </row>
    <row r="4" spans="1:66" ht="20.100000000000001" customHeight="1" thickBot="1" x14ac:dyDescent="0.5">
      <c r="A4" s="32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212"/>
      <c r="AY4" s="212"/>
      <c r="AZ4" s="212"/>
      <c r="BA4" s="212"/>
      <c r="BB4" s="194"/>
      <c r="BC4" s="194"/>
      <c r="BD4" s="194"/>
      <c r="BE4" s="194"/>
      <c r="BF4" s="212"/>
      <c r="BG4" s="212"/>
      <c r="BH4" s="212"/>
      <c r="BI4" s="212"/>
      <c r="BJ4" s="194"/>
      <c r="BK4" s="194"/>
      <c r="BL4" s="194"/>
      <c r="BM4" s="196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ウエルシア請求明細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56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4" t="s">
        <v>55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247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246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91"/>
  <sheetViews>
    <sheetView showGridLines="0" view="pageBreakPreview" zoomScale="85" zoomScaleNormal="100" zoomScaleSheetLayoutView="85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6" t="s">
        <v>0</v>
      </c>
      <c r="C2" s="187"/>
      <c r="D2" s="187"/>
      <c r="E2" s="187"/>
      <c r="F2" s="187"/>
      <c r="G2" s="187"/>
      <c r="H2" s="187" t="s">
        <v>17</v>
      </c>
      <c r="I2" s="187"/>
      <c r="J2" s="187"/>
      <c r="K2" s="187"/>
      <c r="L2" s="187" t="s">
        <v>250</v>
      </c>
      <c r="M2" s="187"/>
      <c r="N2" s="187"/>
      <c r="O2" s="187"/>
      <c r="P2" s="187"/>
      <c r="Q2" s="187"/>
      <c r="R2" s="187" t="s">
        <v>2</v>
      </c>
      <c r="S2" s="187"/>
      <c r="T2" s="187"/>
      <c r="U2" s="187"/>
      <c r="V2" s="187"/>
      <c r="W2" s="187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32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5</v>
      </c>
      <c r="AY2" s="187"/>
      <c r="AZ2" s="187"/>
      <c r="BA2" s="187"/>
      <c r="BB2" s="187" t="s">
        <v>4</v>
      </c>
      <c r="BC2" s="187"/>
      <c r="BD2" s="187"/>
      <c r="BE2" s="187"/>
      <c r="BF2" s="187" t="s">
        <v>6</v>
      </c>
      <c r="BG2" s="187"/>
      <c r="BH2" s="187"/>
      <c r="BI2" s="187"/>
      <c r="BJ2" s="187" t="s">
        <v>7</v>
      </c>
      <c r="BK2" s="187"/>
      <c r="BL2" s="187"/>
      <c r="BM2" s="201"/>
      <c r="BN2" s="15"/>
    </row>
    <row r="3" spans="1:66" ht="20.100000000000001" customHeight="1" x14ac:dyDescent="0.45">
      <c r="A3" s="9"/>
      <c r="B3" s="191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SU1100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帳票設計書</v>
      </c>
      <c r="S3" s="192"/>
      <c r="T3" s="192"/>
      <c r="U3" s="192"/>
      <c r="V3" s="192"/>
      <c r="W3" s="192"/>
      <c r="X3" s="196" t="str">
        <f ca="1">変更履歴!X3</f>
        <v>SU1100_ウエルシア請求明細_帳票設計書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ウエルシア請求明細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45581</v>
      </c>
      <c r="AY3" s="203"/>
      <c r="AZ3" s="203"/>
      <c r="BA3" s="203"/>
      <c r="BB3" s="192" t="str">
        <f>変更履歴!BB3</f>
        <v>大谷</v>
      </c>
      <c r="BC3" s="192"/>
      <c r="BD3" s="192"/>
      <c r="BE3" s="192"/>
      <c r="BF3" s="203">
        <f>変更履歴!BF3</f>
        <v>45581</v>
      </c>
      <c r="BG3" s="203"/>
      <c r="BH3" s="203"/>
      <c r="BI3" s="203"/>
      <c r="BJ3" s="192" t="str">
        <f>変更履歴!BJ3</f>
        <v>大谷</v>
      </c>
      <c r="BK3" s="192"/>
      <c r="BL3" s="192"/>
      <c r="BM3" s="204"/>
      <c r="BN3" s="15"/>
    </row>
    <row r="4" spans="1:66" ht="20.100000000000001" customHeight="1" thickBot="1" x14ac:dyDescent="0.5">
      <c r="A4" s="9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212"/>
      <c r="AY4" s="212"/>
      <c r="AZ4" s="212"/>
      <c r="BA4" s="212"/>
      <c r="BB4" s="194"/>
      <c r="BC4" s="194"/>
      <c r="BD4" s="194"/>
      <c r="BE4" s="194"/>
      <c r="BF4" s="212"/>
      <c r="BG4" s="212"/>
      <c r="BH4" s="212"/>
      <c r="BI4" s="212"/>
      <c r="BJ4" s="194"/>
      <c r="BK4" s="194"/>
      <c r="BL4" s="194"/>
      <c r="BM4" s="196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19.5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  <row r="49" spans="2:65" ht="20.100000000000001" customHeight="1" thickBot="1" x14ac:dyDescent="0.5">
      <c r="B49" s="45" t="s">
        <v>99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</row>
    <row r="50" spans="2:65" ht="20.100000000000001" customHeight="1" thickTop="1" x14ac:dyDescent="0.45">
      <c r="B50" s="35"/>
      <c r="C50" s="39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2"/>
    </row>
    <row r="51" spans="2:65" ht="20.100000000000001" customHeight="1" x14ac:dyDescent="0.45">
      <c r="B51" s="35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29"/>
      <c r="BH51" s="29"/>
      <c r="BI51" s="29"/>
      <c r="BJ51" s="29"/>
      <c r="BK51" s="31"/>
      <c r="BL51" s="31"/>
      <c r="BM51" s="32"/>
    </row>
    <row r="52" spans="2:65" ht="20.100000000000001" customHeight="1" x14ac:dyDescent="0.45">
      <c r="B52" s="35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29"/>
      <c r="BH52" s="29"/>
      <c r="BI52" s="29"/>
      <c r="BJ52" s="29"/>
      <c r="BK52" s="31"/>
      <c r="BL52" s="31"/>
      <c r="BM52" s="32"/>
    </row>
    <row r="53" spans="2:65" ht="20.100000000000001" customHeight="1" x14ac:dyDescent="0.45">
      <c r="B53" s="35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29"/>
      <c r="BH53" s="29"/>
      <c r="BI53" s="29"/>
      <c r="BJ53" s="29"/>
      <c r="BK53" s="31"/>
      <c r="BL53" s="31"/>
      <c r="BM53" s="32"/>
    </row>
    <row r="54" spans="2:65" ht="20.100000000000001" customHeight="1" x14ac:dyDescent="0.45">
      <c r="B54" s="35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29"/>
      <c r="BH54" s="29"/>
      <c r="BI54" s="29"/>
      <c r="BJ54" s="29"/>
      <c r="BK54" s="31"/>
      <c r="BL54" s="31"/>
      <c r="BM54" s="32"/>
    </row>
    <row r="55" spans="2:65" ht="20.100000000000001" customHeight="1" x14ac:dyDescent="0.45">
      <c r="B55" s="35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29"/>
      <c r="BH55" s="29"/>
      <c r="BI55" s="29"/>
      <c r="BJ55" s="29"/>
      <c r="BK55" s="31"/>
      <c r="BL55" s="31"/>
      <c r="BM55" s="32"/>
    </row>
    <row r="56" spans="2:65" ht="20.100000000000001" customHeight="1" x14ac:dyDescent="0.45">
      <c r="B56" s="35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29"/>
      <c r="BH56" s="29"/>
      <c r="BI56" s="29"/>
      <c r="BJ56" s="29"/>
      <c r="BK56" s="31"/>
      <c r="BL56" s="31"/>
      <c r="BM56" s="32"/>
    </row>
    <row r="57" spans="2:65" ht="20.100000000000001" customHeight="1" x14ac:dyDescent="0.45">
      <c r="B57" s="35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29"/>
      <c r="BH57" s="29"/>
      <c r="BI57" s="29"/>
      <c r="BJ57" s="29"/>
      <c r="BK57" s="31"/>
      <c r="BL57" s="31"/>
      <c r="BM57" s="32"/>
    </row>
    <row r="58" spans="2:65" ht="20.100000000000001" customHeight="1" x14ac:dyDescent="0.45">
      <c r="B58" s="35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29"/>
      <c r="BH58" s="29"/>
      <c r="BI58" s="29"/>
      <c r="BJ58" s="29"/>
      <c r="BK58" s="31"/>
      <c r="BL58" s="31"/>
      <c r="BM58" s="32"/>
    </row>
    <row r="59" spans="2:65" ht="20.100000000000001" customHeight="1" x14ac:dyDescent="0.45">
      <c r="B59" s="35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29"/>
      <c r="BH59" s="29"/>
      <c r="BI59" s="29"/>
      <c r="BJ59" s="29"/>
      <c r="BK59" s="31"/>
      <c r="BL59" s="31"/>
      <c r="BM59" s="32"/>
    </row>
    <row r="60" spans="2:65" ht="20.100000000000001" customHeight="1" x14ac:dyDescent="0.45">
      <c r="B60" s="35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29"/>
      <c r="BH60" s="29"/>
      <c r="BI60" s="29"/>
      <c r="BJ60" s="29"/>
      <c r="BK60" s="31"/>
      <c r="BL60" s="31"/>
      <c r="BM60" s="32"/>
    </row>
    <row r="61" spans="2:65" ht="20.100000000000001" customHeight="1" x14ac:dyDescent="0.45">
      <c r="B61" s="35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29"/>
      <c r="BH61" s="29"/>
      <c r="BI61" s="29"/>
      <c r="BJ61" s="29"/>
      <c r="BK61" s="31"/>
      <c r="BL61" s="31"/>
      <c r="BM61" s="32"/>
    </row>
    <row r="62" spans="2:65" ht="20.100000000000001" customHeight="1" x14ac:dyDescent="0.45">
      <c r="B62" s="35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29"/>
      <c r="BH62" s="29"/>
      <c r="BI62" s="29"/>
      <c r="BJ62" s="29"/>
      <c r="BK62" s="31"/>
      <c r="BL62" s="31"/>
      <c r="BM62" s="32"/>
    </row>
    <row r="63" spans="2:65" ht="20.100000000000001" customHeight="1" x14ac:dyDescent="0.45">
      <c r="B63" s="35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29"/>
      <c r="BH63" s="29"/>
      <c r="BI63" s="29"/>
      <c r="BJ63" s="29"/>
      <c r="BK63" s="31"/>
      <c r="BL63" s="31"/>
      <c r="BM63" s="32"/>
    </row>
    <row r="64" spans="2:65" ht="20.100000000000001" customHeight="1" x14ac:dyDescent="0.45">
      <c r="B64" s="35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29"/>
      <c r="BH64" s="29"/>
      <c r="BI64" s="29"/>
      <c r="BJ64" s="29"/>
      <c r="BK64" s="31"/>
      <c r="BL64" s="31"/>
      <c r="BM64" s="32"/>
    </row>
    <row r="65" spans="2:65" ht="20.100000000000001" customHeight="1" x14ac:dyDescent="0.45">
      <c r="B65" s="35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29"/>
      <c r="BH65" s="29"/>
      <c r="BI65" s="29"/>
      <c r="BJ65" s="29"/>
      <c r="BK65" s="31"/>
      <c r="BL65" s="31"/>
      <c r="BM65" s="32"/>
    </row>
    <row r="66" spans="2:65" ht="20.100000000000001" customHeight="1" x14ac:dyDescent="0.45">
      <c r="B66" s="35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29"/>
      <c r="BH66" s="29"/>
      <c r="BI66" s="29"/>
      <c r="BJ66" s="29"/>
      <c r="BK66" s="31"/>
      <c r="BL66" s="31"/>
      <c r="BM66" s="32"/>
    </row>
    <row r="67" spans="2:65" ht="20.100000000000001" customHeight="1" x14ac:dyDescent="0.45">
      <c r="B67" s="35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29"/>
      <c r="BH67" s="29"/>
      <c r="BI67" s="29"/>
      <c r="BJ67" s="29"/>
      <c r="BK67" s="31"/>
      <c r="BL67" s="31"/>
      <c r="BM67" s="32"/>
    </row>
    <row r="68" spans="2:65" ht="20.100000000000001" customHeight="1" x14ac:dyDescent="0.45">
      <c r="B68" s="35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29"/>
      <c r="BH68" s="29"/>
      <c r="BI68" s="29"/>
      <c r="BJ68" s="29"/>
      <c r="BK68" s="31"/>
      <c r="BL68" s="31"/>
      <c r="BM68" s="32"/>
    </row>
    <row r="69" spans="2:65" ht="20.100000000000001" customHeight="1" x14ac:dyDescent="0.45">
      <c r="B69" s="35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29"/>
      <c r="BH69" s="29"/>
      <c r="BI69" s="29"/>
      <c r="BJ69" s="29"/>
      <c r="BK69" s="31"/>
      <c r="BL69" s="31"/>
      <c r="BM69" s="32"/>
    </row>
    <row r="70" spans="2:65" ht="20.100000000000001" customHeight="1" x14ac:dyDescent="0.45">
      <c r="B70" s="35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29"/>
      <c r="BH70" s="29"/>
      <c r="BI70" s="29"/>
      <c r="BJ70" s="29"/>
      <c r="BK70" s="31"/>
      <c r="BL70" s="31"/>
      <c r="BM70" s="32"/>
    </row>
    <row r="71" spans="2:65" ht="20.100000000000001" customHeight="1" x14ac:dyDescent="0.45">
      <c r="B71" s="35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29"/>
      <c r="BH71" s="29"/>
      <c r="BI71" s="29"/>
      <c r="BJ71" s="29"/>
      <c r="BK71" s="31"/>
      <c r="BL71" s="31"/>
      <c r="BM71" s="32"/>
    </row>
    <row r="72" spans="2:65" ht="20.100000000000001" customHeight="1" x14ac:dyDescent="0.45">
      <c r="B72" s="35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29"/>
      <c r="BH72" s="29"/>
      <c r="BI72" s="29"/>
      <c r="BJ72" s="29"/>
      <c r="BK72" s="31"/>
      <c r="BL72" s="31"/>
      <c r="BM72" s="32"/>
    </row>
    <row r="73" spans="2:65" ht="20.100000000000001" customHeight="1" x14ac:dyDescent="0.45">
      <c r="B73" s="35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29"/>
      <c r="BH73" s="29"/>
      <c r="BI73" s="29"/>
      <c r="BJ73" s="29"/>
      <c r="BK73" s="31"/>
      <c r="BL73" s="31"/>
      <c r="BM73" s="32"/>
    </row>
    <row r="74" spans="2:65" ht="20.100000000000001" customHeight="1" x14ac:dyDescent="0.45">
      <c r="B74" s="35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29"/>
      <c r="BH74" s="29"/>
      <c r="BI74" s="29"/>
      <c r="BJ74" s="29"/>
      <c r="BK74" s="31"/>
      <c r="BL74" s="31"/>
      <c r="BM74" s="32"/>
    </row>
    <row r="75" spans="2:65" ht="20.100000000000001" customHeight="1" x14ac:dyDescent="0.45">
      <c r="B75" s="35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29"/>
      <c r="BH75" s="29"/>
      <c r="BI75" s="29"/>
      <c r="BJ75" s="29"/>
      <c r="BK75" s="31"/>
      <c r="BL75" s="31"/>
      <c r="BM75" s="32"/>
    </row>
    <row r="76" spans="2:65" ht="20.100000000000001" customHeight="1" x14ac:dyDescent="0.45">
      <c r="B76" s="35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29"/>
      <c r="BH76" s="29"/>
      <c r="BI76" s="29"/>
      <c r="BJ76" s="29"/>
      <c r="BK76" s="31"/>
      <c r="BL76" s="31"/>
      <c r="BM76" s="32"/>
    </row>
    <row r="77" spans="2:65" ht="20.100000000000001" customHeight="1" x14ac:dyDescent="0.45">
      <c r="B77" s="35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2"/>
    </row>
    <row r="78" spans="2:65" ht="20.100000000000001" customHeight="1" x14ac:dyDescent="0.45">
      <c r="B78" s="35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2"/>
    </row>
    <row r="79" spans="2:65" ht="20.100000000000001" customHeight="1" x14ac:dyDescent="0.45">
      <c r="B79" s="35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2"/>
    </row>
    <row r="80" spans="2:65" ht="20.100000000000001" customHeight="1" x14ac:dyDescent="0.45">
      <c r="B80" s="35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2"/>
    </row>
    <row r="81" spans="2:65" ht="20.100000000000001" customHeight="1" x14ac:dyDescent="0.45">
      <c r="B81" s="35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2"/>
    </row>
    <row r="82" spans="2:65" ht="20.100000000000001" customHeight="1" x14ac:dyDescent="0.45">
      <c r="B82" s="35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2"/>
    </row>
    <row r="83" spans="2:65" ht="20.100000000000001" customHeight="1" x14ac:dyDescent="0.45">
      <c r="B83" s="35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2"/>
    </row>
    <row r="84" spans="2:65" ht="20.100000000000001" customHeight="1" x14ac:dyDescent="0.45">
      <c r="B84" s="35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2"/>
    </row>
    <row r="85" spans="2:65" ht="20.100000000000001" customHeight="1" x14ac:dyDescent="0.45">
      <c r="B85" s="35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2"/>
    </row>
    <row r="86" spans="2:65" ht="20.100000000000001" customHeight="1" x14ac:dyDescent="0.45">
      <c r="B86" s="35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2"/>
    </row>
    <row r="87" spans="2:65" ht="20.100000000000001" customHeight="1" x14ac:dyDescent="0.45">
      <c r="B87" s="35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2"/>
    </row>
    <row r="88" spans="2:65" ht="20.100000000000001" customHeight="1" x14ac:dyDescent="0.45">
      <c r="B88" s="35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2"/>
    </row>
    <row r="89" spans="2:65" ht="20.100000000000001" customHeight="1" x14ac:dyDescent="0.45">
      <c r="B89" s="35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2"/>
    </row>
    <row r="90" spans="2:65" ht="20.100000000000001" customHeight="1" thickBot="1" x14ac:dyDescent="0.5">
      <c r="B90" s="27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28"/>
    </row>
    <row r="91" spans="2:65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6" t="s">
        <v>0</v>
      </c>
      <c r="C2" s="187"/>
      <c r="D2" s="187"/>
      <c r="E2" s="187"/>
      <c r="F2" s="187"/>
      <c r="G2" s="187"/>
      <c r="H2" s="187" t="s">
        <v>17</v>
      </c>
      <c r="I2" s="187"/>
      <c r="J2" s="187"/>
      <c r="K2" s="187"/>
      <c r="L2" s="187" t="s">
        <v>250</v>
      </c>
      <c r="M2" s="187"/>
      <c r="N2" s="187"/>
      <c r="O2" s="187"/>
      <c r="P2" s="187"/>
      <c r="Q2" s="187"/>
      <c r="R2" s="187" t="s">
        <v>2</v>
      </c>
      <c r="S2" s="187"/>
      <c r="T2" s="187"/>
      <c r="U2" s="187"/>
      <c r="V2" s="187"/>
      <c r="W2" s="187"/>
      <c r="X2" s="188" t="s">
        <v>3</v>
      </c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90"/>
      <c r="AK2" s="188" t="s">
        <v>32</v>
      </c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87" t="s">
        <v>5</v>
      </c>
      <c r="AY2" s="187"/>
      <c r="AZ2" s="187"/>
      <c r="BA2" s="187"/>
      <c r="BB2" s="187" t="s">
        <v>4</v>
      </c>
      <c r="BC2" s="187"/>
      <c r="BD2" s="187"/>
      <c r="BE2" s="187"/>
      <c r="BF2" s="187" t="s">
        <v>6</v>
      </c>
      <c r="BG2" s="187"/>
      <c r="BH2" s="187"/>
      <c r="BI2" s="187"/>
      <c r="BJ2" s="187" t="s">
        <v>7</v>
      </c>
      <c r="BK2" s="187"/>
      <c r="BL2" s="187"/>
      <c r="BM2" s="201"/>
      <c r="BN2" s="15"/>
    </row>
    <row r="3" spans="1:85" ht="20.100000000000001" customHeight="1" x14ac:dyDescent="0.45">
      <c r="A3" s="9"/>
      <c r="B3" s="191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SU1100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帳票設計書</v>
      </c>
      <c r="S3" s="192"/>
      <c r="T3" s="192"/>
      <c r="U3" s="192"/>
      <c r="V3" s="192"/>
      <c r="W3" s="192"/>
      <c r="X3" s="196" t="str">
        <f ca="1">変更履歴!X3</f>
        <v>SU1100_ウエルシア請求明細_帳票設計書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ウエルシア請求明細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45581</v>
      </c>
      <c r="AY3" s="203"/>
      <c r="AZ3" s="203"/>
      <c r="BA3" s="203"/>
      <c r="BB3" s="192" t="str">
        <f>変更履歴!BB3</f>
        <v>大谷</v>
      </c>
      <c r="BC3" s="192"/>
      <c r="BD3" s="192"/>
      <c r="BE3" s="192"/>
      <c r="BF3" s="203">
        <f>変更履歴!BF3</f>
        <v>45581</v>
      </c>
      <c r="BG3" s="203"/>
      <c r="BH3" s="203"/>
      <c r="BI3" s="203"/>
      <c r="BJ3" s="192" t="str">
        <f>変更履歴!BJ3</f>
        <v>大谷</v>
      </c>
      <c r="BK3" s="192"/>
      <c r="BL3" s="192"/>
      <c r="BM3" s="204"/>
      <c r="BN3" s="15"/>
    </row>
    <row r="4" spans="1:85" ht="20.100000000000001" customHeight="1" thickBot="1" x14ac:dyDescent="0.5">
      <c r="A4" s="9"/>
      <c r="B4" s="193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8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200"/>
      <c r="AK4" s="198"/>
      <c r="AL4" s="199"/>
      <c r="AM4" s="199"/>
      <c r="AN4" s="199"/>
      <c r="AO4" s="199"/>
      <c r="AP4" s="199"/>
      <c r="AQ4" s="199"/>
      <c r="AR4" s="199"/>
      <c r="AS4" s="199"/>
      <c r="AT4" s="199"/>
      <c r="AU4" s="199"/>
      <c r="AV4" s="199"/>
      <c r="AW4" s="200"/>
      <c r="AX4" s="212"/>
      <c r="AY4" s="212"/>
      <c r="AZ4" s="212"/>
      <c r="BA4" s="212"/>
      <c r="BB4" s="194"/>
      <c r="BC4" s="194"/>
      <c r="BD4" s="194"/>
      <c r="BE4" s="194"/>
      <c r="BF4" s="212"/>
      <c r="BG4" s="212"/>
      <c r="BH4" s="212"/>
      <c r="BI4" s="212"/>
      <c r="BJ4" s="194"/>
      <c r="BK4" s="194"/>
      <c r="BL4" s="194"/>
      <c r="BM4" s="196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32" t="s">
        <v>20</v>
      </c>
      <c r="F10" s="233"/>
      <c r="G10" s="233"/>
      <c r="H10" s="233"/>
      <c r="I10" s="233"/>
      <c r="J10" s="233"/>
      <c r="K10" s="233"/>
      <c r="L10" s="234"/>
      <c r="M10" s="220" t="s">
        <v>24</v>
      </c>
      <c r="N10" s="221"/>
      <c r="O10" s="221"/>
      <c r="P10" s="220" t="s">
        <v>33</v>
      </c>
      <c r="Q10" s="221"/>
      <c r="R10" s="221"/>
      <c r="S10" s="220" t="s">
        <v>34</v>
      </c>
      <c r="T10" s="221"/>
      <c r="U10" s="221"/>
      <c r="V10" s="220" t="s">
        <v>36</v>
      </c>
      <c r="W10" s="221"/>
      <c r="X10" s="221"/>
      <c r="Y10" s="221"/>
      <c r="Z10" s="221"/>
      <c r="AA10" s="222"/>
      <c r="AB10" s="220" t="s">
        <v>35</v>
      </c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2"/>
      <c r="AR10" s="220" t="s">
        <v>42</v>
      </c>
      <c r="AS10" s="221"/>
      <c r="AT10" s="221"/>
      <c r="AU10" s="221"/>
      <c r="AV10" s="221"/>
      <c r="AW10" s="222"/>
      <c r="AX10" s="220" t="s">
        <v>43</v>
      </c>
      <c r="AY10" s="221"/>
      <c r="AZ10" s="221"/>
      <c r="BA10" s="221"/>
      <c r="BB10" s="221"/>
      <c r="BC10" s="221"/>
      <c r="BD10" s="221"/>
      <c r="BE10" s="221"/>
      <c r="BF10" s="221"/>
      <c r="BG10" s="221"/>
      <c r="BH10" s="221"/>
      <c r="BI10" s="221"/>
      <c r="BJ10" s="221"/>
      <c r="BK10" s="221"/>
      <c r="BL10" s="221"/>
      <c r="BM10" s="221"/>
      <c r="BN10" s="221"/>
      <c r="BO10" s="221"/>
      <c r="BP10" s="221"/>
      <c r="BQ10" s="221"/>
      <c r="BR10" s="221"/>
      <c r="BS10" s="221"/>
      <c r="BT10" s="228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29" t="s">
        <v>57</v>
      </c>
      <c r="F11" s="230"/>
      <c r="G11" s="230"/>
      <c r="H11" s="230"/>
      <c r="I11" s="230"/>
      <c r="J11" s="230"/>
      <c r="K11" s="230"/>
      <c r="L11" s="231"/>
      <c r="M11" s="211" t="s">
        <v>8</v>
      </c>
      <c r="N11" s="206"/>
      <c r="O11" s="206"/>
      <c r="P11" s="211" t="s">
        <v>96</v>
      </c>
      <c r="Q11" s="206"/>
      <c r="R11" s="206"/>
      <c r="S11" s="211">
        <v>4</v>
      </c>
      <c r="T11" s="206"/>
      <c r="U11" s="206"/>
      <c r="V11" s="214" t="s">
        <v>127</v>
      </c>
      <c r="W11" s="215"/>
      <c r="X11" s="215"/>
      <c r="Y11" s="215"/>
      <c r="Z11" s="215"/>
      <c r="AA11" s="216"/>
      <c r="AB11" s="214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6"/>
      <c r="AR11" s="211" t="s">
        <v>98</v>
      </c>
      <c r="AS11" s="206"/>
      <c r="AT11" s="206"/>
      <c r="AU11" s="206"/>
      <c r="AV11" s="206"/>
      <c r="AW11" s="207"/>
      <c r="AX11" s="217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27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9" t="s">
        <v>58</v>
      </c>
      <c r="F12" s="230"/>
      <c r="G12" s="230"/>
      <c r="H12" s="230"/>
      <c r="I12" s="230"/>
      <c r="J12" s="230"/>
      <c r="K12" s="230"/>
      <c r="L12" s="231"/>
      <c r="M12" s="211" t="s">
        <v>8</v>
      </c>
      <c r="N12" s="206"/>
      <c r="O12" s="206"/>
      <c r="P12" s="211" t="s">
        <v>81</v>
      </c>
      <c r="Q12" s="206"/>
      <c r="R12" s="206"/>
      <c r="S12" s="211">
        <v>8</v>
      </c>
      <c r="T12" s="206"/>
      <c r="U12" s="206"/>
      <c r="V12" s="217" t="s">
        <v>83</v>
      </c>
      <c r="W12" s="218"/>
      <c r="X12" s="218"/>
      <c r="Y12" s="218"/>
      <c r="Z12" s="218"/>
      <c r="AA12" s="219"/>
      <c r="AB12" s="214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6"/>
      <c r="AR12" s="211"/>
      <c r="AS12" s="206"/>
      <c r="AT12" s="206"/>
      <c r="AU12" s="206"/>
      <c r="AV12" s="206"/>
      <c r="AW12" s="207"/>
      <c r="AX12" s="217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27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29" t="s">
        <v>59</v>
      </c>
      <c r="F13" s="230"/>
      <c r="G13" s="230"/>
      <c r="H13" s="230"/>
      <c r="I13" s="230"/>
      <c r="J13" s="230"/>
      <c r="K13" s="230"/>
      <c r="L13" s="231"/>
      <c r="M13" s="211" t="s">
        <v>47</v>
      </c>
      <c r="N13" s="206"/>
      <c r="O13" s="206"/>
      <c r="P13" s="211" t="s">
        <v>81</v>
      </c>
      <c r="Q13" s="206"/>
      <c r="R13" s="206"/>
      <c r="S13" s="211" t="s">
        <v>82</v>
      </c>
      <c r="T13" s="206"/>
      <c r="U13" s="206"/>
      <c r="V13" s="217" t="s">
        <v>84</v>
      </c>
      <c r="W13" s="218"/>
      <c r="X13" s="218"/>
      <c r="Y13" s="218"/>
      <c r="Z13" s="218"/>
      <c r="AA13" s="219"/>
      <c r="AB13" s="214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6"/>
      <c r="AR13" s="211"/>
      <c r="AS13" s="206"/>
      <c r="AT13" s="206"/>
      <c r="AU13" s="206"/>
      <c r="AV13" s="206"/>
      <c r="AW13" s="207"/>
      <c r="AX13" s="217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27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229" t="s">
        <v>79</v>
      </c>
      <c r="F14" s="230"/>
      <c r="G14" s="230"/>
      <c r="H14" s="230"/>
      <c r="I14" s="230"/>
      <c r="J14" s="230"/>
      <c r="K14" s="230"/>
      <c r="L14" s="231"/>
      <c r="M14" s="211" t="s">
        <v>47</v>
      </c>
      <c r="N14" s="206"/>
      <c r="O14" s="206"/>
      <c r="P14" s="211" t="s">
        <v>81</v>
      </c>
      <c r="Q14" s="206"/>
      <c r="R14" s="206"/>
      <c r="S14" s="211">
        <v>5</v>
      </c>
      <c r="T14" s="206"/>
      <c r="U14" s="206"/>
      <c r="V14" s="217" t="s">
        <v>85</v>
      </c>
      <c r="W14" s="218"/>
      <c r="X14" s="218"/>
      <c r="Y14" s="218"/>
      <c r="Z14" s="218"/>
      <c r="AA14" s="219"/>
      <c r="AB14" s="214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6"/>
      <c r="AR14" s="211"/>
      <c r="AS14" s="206"/>
      <c r="AT14" s="206"/>
      <c r="AU14" s="206"/>
      <c r="AV14" s="206"/>
      <c r="AW14" s="207"/>
      <c r="AX14" s="217"/>
      <c r="AY14" s="218"/>
      <c r="AZ14" s="218"/>
      <c r="BA14" s="218"/>
      <c r="BB14" s="218"/>
      <c r="BC14" s="218"/>
      <c r="BD14" s="218"/>
      <c r="BE14" s="218"/>
      <c r="BF14" s="218"/>
      <c r="BG14" s="218"/>
      <c r="BH14" s="218"/>
      <c r="BI14" s="218"/>
      <c r="BJ14" s="218"/>
      <c r="BK14" s="218"/>
      <c r="BL14" s="218"/>
      <c r="BM14" s="218"/>
      <c r="BN14" s="218"/>
      <c r="BO14" s="218"/>
      <c r="BP14" s="218"/>
      <c r="BQ14" s="218"/>
      <c r="BR14" s="218"/>
      <c r="BS14" s="218"/>
      <c r="BT14" s="227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29" t="s">
        <v>80</v>
      </c>
      <c r="F15" s="230"/>
      <c r="G15" s="230"/>
      <c r="H15" s="230"/>
      <c r="I15" s="230"/>
      <c r="J15" s="230"/>
      <c r="K15" s="230"/>
      <c r="L15" s="231"/>
      <c r="M15" s="211" t="s">
        <v>47</v>
      </c>
      <c r="N15" s="206"/>
      <c r="O15" s="206"/>
      <c r="P15" s="211" t="s">
        <v>81</v>
      </c>
      <c r="Q15" s="206"/>
      <c r="R15" s="206"/>
      <c r="S15" s="211">
        <v>7</v>
      </c>
      <c r="T15" s="206"/>
      <c r="U15" s="206"/>
      <c r="V15" s="217" t="s">
        <v>86</v>
      </c>
      <c r="W15" s="218"/>
      <c r="X15" s="218"/>
      <c r="Y15" s="218"/>
      <c r="Z15" s="218"/>
      <c r="AA15" s="219"/>
      <c r="AB15" s="214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6"/>
      <c r="AR15" s="211"/>
      <c r="AS15" s="206"/>
      <c r="AT15" s="206"/>
      <c r="AU15" s="206"/>
      <c r="AV15" s="206"/>
      <c r="AW15" s="207"/>
      <c r="AX15" s="217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27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229" t="s">
        <v>60</v>
      </c>
      <c r="F16" s="230"/>
      <c r="G16" s="230"/>
      <c r="H16" s="230"/>
      <c r="I16" s="230"/>
      <c r="J16" s="230"/>
      <c r="K16" s="230"/>
      <c r="L16" s="231"/>
      <c r="M16" s="211" t="s">
        <v>8</v>
      </c>
      <c r="N16" s="206"/>
      <c r="O16" s="206"/>
      <c r="P16" s="211" t="s">
        <v>81</v>
      </c>
      <c r="Q16" s="206"/>
      <c r="R16" s="206"/>
      <c r="S16" s="211">
        <v>8</v>
      </c>
      <c r="T16" s="206"/>
      <c r="U16" s="206"/>
      <c r="V16" s="217" t="s">
        <v>87</v>
      </c>
      <c r="W16" s="218"/>
      <c r="X16" s="218"/>
      <c r="Y16" s="218"/>
      <c r="Z16" s="218"/>
      <c r="AA16" s="219"/>
      <c r="AB16" s="214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6"/>
      <c r="AR16" s="211"/>
      <c r="AS16" s="206"/>
      <c r="AT16" s="206"/>
      <c r="AU16" s="206"/>
      <c r="AV16" s="206"/>
      <c r="AW16" s="207"/>
      <c r="AX16" s="217"/>
      <c r="AY16" s="218"/>
      <c r="AZ16" s="218"/>
      <c r="BA16" s="218"/>
      <c r="BB16" s="218"/>
      <c r="BC16" s="218"/>
      <c r="BD16" s="218"/>
      <c r="BE16" s="218"/>
      <c r="BF16" s="218"/>
      <c r="BG16" s="218"/>
      <c r="BH16" s="218"/>
      <c r="BI16" s="218"/>
      <c r="BJ16" s="218"/>
      <c r="BK16" s="218"/>
      <c r="BL16" s="218"/>
      <c r="BM16" s="218"/>
      <c r="BN16" s="218"/>
      <c r="BO16" s="218"/>
      <c r="BP16" s="218"/>
      <c r="BQ16" s="218"/>
      <c r="BR16" s="218"/>
      <c r="BS16" s="218"/>
      <c r="BT16" s="227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29" t="s">
        <v>61</v>
      </c>
      <c r="F17" s="230"/>
      <c r="G17" s="230"/>
      <c r="H17" s="230"/>
      <c r="I17" s="230"/>
      <c r="J17" s="230"/>
      <c r="K17" s="230"/>
      <c r="L17" s="231"/>
      <c r="M17" s="211" t="s">
        <v>38</v>
      </c>
      <c r="N17" s="206"/>
      <c r="O17" s="206"/>
      <c r="P17" s="211" t="s">
        <v>81</v>
      </c>
      <c r="Q17" s="206"/>
      <c r="R17" s="206"/>
      <c r="S17" s="211" t="s">
        <v>82</v>
      </c>
      <c r="T17" s="206"/>
      <c r="U17" s="206"/>
      <c r="V17" s="217" t="s">
        <v>88</v>
      </c>
      <c r="W17" s="218"/>
      <c r="X17" s="218"/>
      <c r="Y17" s="218"/>
      <c r="Z17" s="218"/>
      <c r="AA17" s="219"/>
      <c r="AB17" s="214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6"/>
      <c r="AR17" s="211"/>
      <c r="AS17" s="206"/>
      <c r="AT17" s="206"/>
      <c r="AU17" s="206"/>
      <c r="AV17" s="206"/>
      <c r="AW17" s="207"/>
      <c r="AX17" s="217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27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29" t="s">
        <v>62</v>
      </c>
      <c r="F18" s="230"/>
      <c r="G18" s="230"/>
      <c r="H18" s="230"/>
      <c r="I18" s="230"/>
      <c r="J18" s="230"/>
      <c r="K18" s="230"/>
      <c r="L18" s="231"/>
      <c r="M18" s="211" t="s">
        <v>47</v>
      </c>
      <c r="N18" s="206"/>
      <c r="O18" s="207"/>
      <c r="P18" s="211" t="s">
        <v>81</v>
      </c>
      <c r="Q18" s="206"/>
      <c r="R18" s="206"/>
      <c r="S18" s="211" t="s">
        <v>82</v>
      </c>
      <c r="T18" s="206"/>
      <c r="U18" s="206"/>
      <c r="V18" s="217" t="s">
        <v>89</v>
      </c>
      <c r="W18" s="218"/>
      <c r="X18" s="218"/>
      <c r="Y18" s="218"/>
      <c r="Z18" s="218"/>
      <c r="AA18" s="219"/>
      <c r="AB18" s="214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6"/>
      <c r="AR18" s="211"/>
      <c r="AS18" s="206"/>
      <c r="AT18" s="206"/>
      <c r="AU18" s="206"/>
      <c r="AV18" s="206"/>
      <c r="AW18" s="207"/>
      <c r="AX18" s="217"/>
      <c r="AY18" s="218"/>
      <c r="AZ18" s="218"/>
      <c r="BA18" s="218"/>
      <c r="BB18" s="218"/>
      <c r="BC18" s="218"/>
      <c r="BD18" s="218"/>
      <c r="BE18" s="218"/>
      <c r="BF18" s="218"/>
      <c r="BG18" s="218"/>
      <c r="BH18" s="218"/>
      <c r="BI18" s="218"/>
      <c r="BJ18" s="218"/>
      <c r="BK18" s="218"/>
      <c r="BL18" s="218"/>
      <c r="BM18" s="218"/>
      <c r="BN18" s="218"/>
      <c r="BO18" s="218"/>
      <c r="BP18" s="218"/>
      <c r="BQ18" s="218"/>
      <c r="BR18" s="218"/>
      <c r="BS18" s="218"/>
      <c r="BT18" s="227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29" t="s">
        <v>63</v>
      </c>
      <c r="F19" s="230"/>
      <c r="G19" s="230"/>
      <c r="H19" s="230"/>
      <c r="I19" s="230"/>
      <c r="J19" s="230"/>
      <c r="K19" s="230"/>
      <c r="L19" s="231"/>
      <c r="M19" s="211" t="s">
        <v>38</v>
      </c>
      <c r="N19" s="206"/>
      <c r="O19" s="207"/>
      <c r="P19" s="211" t="s">
        <v>96</v>
      </c>
      <c r="Q19" s="206"/>
      <c r="R19" s="206"/>
      <c r="S19" s="211" t="s">
        <v>82</v>
      </c>
      <c r="T19" s="206"/>
      <c r="U19" s="206"/>
      <c r="V19" s="217" t="s">
        <v>90</v>
      </c>
      <c r="W19" s="218"/>
      <c r="X19" s="218"/>
      <c r="Y19" s="218"/>
      <c r="Z19" s="218"/>
      <c r="AA19" s="219"/>
      <c r="AB19" s="214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6"/>
      <c r="AR19" s="211"/>
      <c r="AS19" s="206"/>
      <c r="AT19" s="206"/>
      <c r="AU19" s="206"/>
      <c r="AV19" s="206"/>
      <c r="AW19" s="207"/>
      <c r="AX19" s="217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27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229" t="s">
        <v>64</v>
      </c>
      <c r="F20" s="230"/>
      <c r="G20" s="230"/>
      <c r="H20" s="230"/>
      <c r="I20" s="230"/>
      <c r="J20" s="230"/>
      <c r="K20" s="230"/>
      <c r="L20" s="231"/>
      <c r="M20" s="211" t="s">
        <v>38</v>
      </c>
      <c r="N20" s="206"/>
      <c r="O20" s="207"/>
      <c r="P20" s="211" t="s">
        <v>96</v>
      </c>
      <c r="Q20" s="206"/>
      <c r="R20" s="206"/>
      <c r="S20" s="211" t="s">
        <v>82</v>
      </c>
      <c r="T20" s="206"/>
      <c r="U20" s="206"/>
      <c r="V20" s="217" t="s">
        <v>91</v>
      </c>
      <c r="W20" s="218"/>
      <c r="X20" s="218"/>
      <c r="Y20" s="218"/>
      <c r="Z20" s="218"/>
      <c r="AA20" s="219"/>
      <c r="AB20" s="214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6"/>
      <c r="AR20" s="211"/>
      <c r="AS20" s="206"/>
      <c r="AT20" s="206"/>
      <c r="AU20" s="206"/>
      <c r="AV20" s="206"/>
      <c r="AW20" s="207"/>
      <c r="AX20" s="217"/>
      <c r="AY20" s="218"/>
      <c r="AZ20" s="218"/>
      <c r="BA20" s="218"/>
      <c r="BB20" s="218"/>
      <c r="BC20" s="218"/>
      <c r="BD20" s="218"/>
      <c r="BE20" s="218"/>
      <c r="BF20" s="218"/>
      <c r="BG20" s="218"/>
      <c r="BH20" s="218"/>
      <c r="BI20" s="218"/>
      <c r="BJ20" s="218"/>
      <c r="BK20" s="218"/>
      <c r="BL20" s="218"/>
      <c r="BM20" s="218"/>
      <c r="BN20" s="218"/>
      <c r="BO20" s="218"/>
      <c r="BP20" s="218"/>
      <c r="BQ20" s="218"/>
      <c r="BR20" s="218"/>
      <c r="BS20" s="218"/>
      <c r="BT20" s="227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229" t="s">
        <v>65</v>
      </c>
      <c r="F21" s="230"/>
      <c r="G21" s="230"/>
      <c r="H21" s="230"/>
      <c r="I21" s="230"/>
      <c r="J21" s="230"/>
      <c r="K21" s="230"/>
      <c r="L21" s="231"/>
      <c r="M21" s="211" t="s">
        <v>47</v>
      </c>
      <c r="N21" s="206"/>
      <c r="O21" s="207"/>
      <c r="P21" s="211" t="s">
        <v>81</v>
      </c>
      <c r="Q21" s="206"/>
      <c r="R21" s="206"/>
      <c r="S21" s="211" t="s">
        <v>82</v>
      </c>
      <c r="T21" s="206"/>
      <c r="U21" s="206"/>
      <c r="V21" s="214" t="s">
        <v>128</v>
      </c>
      <c r="W21" s="215"/>
      <c r="X21" s="215"/>
      <c r="Y21" s="215"/>
      <c r="Z21" s="215"/>
      <c r="AA21" s="216"/>
      <c r="AB21" s="214" t="s">
        <v>129</v>
      </c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6"/>
      <c r="AR21" s="223">
        <v>999999</v>
      </c>
      <c r="AS21" s="206"/>
      <c r="AT21" s="206"/>
      <c r="AU21" s="206"/>
      <c r="AV21" s="206"/>
      <c r="AW21" s="207"/>
      <c r="AX21" s="217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27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229" t="s">
        <v>66</v>
      </c>
      <c r="F22" s="230"/>
      <c r="G22" s="230"/>
      <c r="H22" s="230"/>
      <c r="I22" s="230"/>
      <c r="J22" s="230"/>
      <c r="K22" s="230"/>
      <c r="L22" s="231"/>
      <c r="M22" s="211" t="s">
        <v>47</v>
      </c>
      <c r="N22" s="206"/>
      <c r="O22" s="207"/>
      <c r="P22" s="211" t="s">
        <v>81</v>
      </c>
      <c r="Q22" s="206"/>
      <c r="R22" s="206"/>
      <c r="S22" s="211" t="s">
        <v>82</v>
      </c>
      <c r="T22" s="206"/>
      <c r="U22" s="206"/>
      <c r="V22" s="214" t="s">
        <v>130</v>
      </c>
      <c r="W22" s="215"/>
      <c r="X22" s="215"/>
      <c r="Y22" s="215"/>
      <c r="Z22" s="215"/>
      <c r="AA22" s="216"/>
      <c r="AB22" s="214" t="s">
        <v>131</v>
      </c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6"/>
      <c r="AR22" s="223">
        <v>999999</v>
      </c>
      <c r="AS22" s="206"/>
      <c r="AT22" s="206"/>
      <c r="AU22" s="206"/>
      <c r="AV22" s="206"/>
      <c r="AW22" s="207"/>
      <c r="AX22" s="217"/>
      <c r="AY22" s="218"/>
      <c r="AZ22" s="218"/>
      <c r="BA22" s="218"/>
      <c r="BB22" s="218"/>
      <c r="BC22" s="218"/>
      <c r="BD22" s="218"/>
      <c r="BE22" s="218"/>
      <c r="BF22" s="218"/>
      <c r="BG22" s="218"/>
      <c r="BH22" s="218"/>
      <c r="BI22" s="218"/>
      <c r="BJ22" s="218"/>
      <c r="BK22" s="218"/>
      <c r="BL22" s="218"/>
      <c r="BM22" s="218"/>
      <c r="BN22" s="218"/>
      <c r="BO22" s="218"/>
      <c r="BP22" s="218"/>
      <c r="BQ22" s="218"/>
      <c r="BR22" s="218"/>
      <c r="BS22" s="218"/>
      <c r="BT22" s="227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229" t="s">
        <v>67</v>
      </c>
      <c r="F23" s="230"/>
      <c r="G23" s="230"/>
      <c r="H23" s="230"/>
      <c r="I23" s="230"/>
      <c r="J23" s="230"/>
      <c r="K23" s="230"/>
      <c r="L23" s="231"/>
      <c r="M23" s="211" t="s">
        <v>47</v>
      </c>
      <c r="N23" s="206"/>
      <c r="O23" s="207"/>
      <c r="P23" s="211" t="s">
        <v>81</v>
      </c>
      <c r="Q23" s="206"/>
      <c r="R23" s="206"/>
      <c r="S23" s="211" t="s">
        <v>82</v>
      </c>
      <c r="T23" s="206"/>
      <c r="U23" s="206"/>
      <c r="V23" s="214" t="s">
        <v>97</v>
      </c>
      <c r="W23" s="215"/>
      <c r="X23" s="215"/>
      <c r="Y23" s="215"/>
      <c r="Z23" s="215"/>
      <c r="AA23" s="216"/>
      <c r="AB23" s="214" t="s">
        <v>132</v>
      </c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6"/>
      <c r="AR23" s="223">
        <v>999999</v>
      </c>
      <c r="AS23" s="206"/>
      <c r="AT23" s="206"/>
      <c r="AU23" s="206"/>
      <c r="AV23" s="206"/>
      <c r="AW23" s="207"/>
      <c r="AX23" s="217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27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29" t="s">
        <v>68</v>
      </c>
      <c r="F24" s="230"/>
      <c r="G24" s="230"/>
      <c r="H24" s="230"/>
      <c r="I24" s="230"/>
      <c r="J24" s="230"/>
      <c r="K24" s="230"/>
      <c r="L24" s="231"/>
      <c r="M24" s="211" t="s">
        <v>47</v>
      </c>
      <c r="N24" s="206"/>
      <c r="O24" s="207"/>
      <c r="P24" s="211" t="s">
        <v>81</v>
      </c>
      <c r="Q24" s="206"/>
      <c r="R24" s="206"/>
      <c r="S24" s="211" t="s">
        <v>82</v>
      </c>
      <c r="T24" s="206"/>
      <c r="U24" s="206"/>
      <c r="V24" s="214" t="s">
        <v>92</v>
      </c>
      <c r="W24" s="215"/>
      <c r="X24" s="215"/>
      <c r="Y24" s="215"/>
      <c r="Z24" s="215"/>
      <c r="AA24" s="216"/>
      <c r="AB24" s="214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6"/>
      <c r="AR24" s="223">
        <v>999999</v>
      </c>
      <c r="AS24" s="206"/>
      <c r="AT24" s="206"/>
      <c r="AU24" s="206"/>
      <c r="AV24" s="206"/>
      <c r="AW24" s="207"/>
      <c r="AX24" s="217"/>
      <c r="AY24" s="218"/>
      <c r="AZ24" s="218"/>
      <c r="BA24" s="218"/>
      <c r="BB24" s="218"/>
      <c r="BC24" s="218"/>
      <c r="BD24" s="218"/>
      <c r="BE24" s="218"/>
      <c r="BF24" s="218"/>
      <c r="BG24" s="218"/>
      <c r="BH24" s="218"/>
      <c r="BI24" s="218"/>
      <c r="BJ24" s="218"/>
      <c r="BK24" s="218"/>
      <c r="BL24" s="218"/>
      <c r="BM24" s="218"/>
      <c r="BN24" s="218"/>
      <c r="BO24" s="218"/>
      <c r="BP24" s="218"/>
      <c r="BQ24" s="218"/>
      <c r="BR24" s="218"/>
      <c r="BS24" s="218"/>
      <c r="BT24" s="227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29" t="s">
        <v>69</v>
      </c>
      <c r="F25" s="230"/>
      <c r="G25" s="230"/>
      <c r="H25" s="230"/>
      <c r="I25" s="230"/>
      <c r="J25" s="230"/>
      <c r="K25" s="230"/>
      <c r="L25" s="231"/>
      <c r="M25" s="211" t="s">
        <v>47</v>
      </c>
      <c r="N25" s="206"/>
      <c r="O25" s="207"/>
      <c r="P25" s="211" t="s">
        <v>81</v>
      </c>
      <c r="Q25" s="206"/>
      <c r="R25" s="206"/>
      <c r="S25" s="211" t="s">
        <v>82</v>
      </c>
      <c r="T25" s="206"/>
      <c r="U25" s="206"/>
      <c r="V25" s="214" t="s">
        <v>130</v>
      </c>
      <c r="W25" s="215"/>
      <c r="X25" s="215"/>
      <c r="Y25" s="215"/>
      <c r="Z25" s="215"/>
      <c r="AA25" s="216"/>
      <c r="AB25" s="214" t="s">
        <v>133</v>
      </c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6"/>
      <c r="AR25" s="223">
        <v>999999</v>
      </c>
      <c r="AS25" s="206"/>
      <c r="AT25" s="206"/>
      <c r="AU25" s="206"/>
      <c r="AV25" s="206"/>
      <c r="AW25" s="207"/>
      <c r="AX25" s="217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27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 s="29"/>
      <c r="D26" s="37">
        <v>16</v>
      </c>
      <c r="E26" s="229" t="s">
        <v>71</v>
      </c>
      <c r="F26" s="230"/>
      <c r="G26" s="230"/>
      <c r="H26" s="230"/>
      <c r="I26" s="230"/>
      <c r="J26" s="230"/>
      <c r="K26" s="230"/>
      <c r="L26" s="231"/>
      <c r="M26" s="211" t="s">
        <v>47</v>
      </c>
      <c r="N26" s="206"/>
      <c r="O26" s="207"/>
      <c r="P26" s="211" t="s">
        <v>81</v>
      </c>
      <c r="Q26" s="206"/>
      <c r="R26" s="206"/>
      <c r="S26" s="211" t="s">
        <v>82</v>
      </c>
      <c r="T26" s="206"/>
      <c r="U26" s="206"/>
      <c r="V26" s="214" t="s">
        <v>93</v>
      </c>
      <c r="W26" s="215"/>
      <c r="X26" s="215"/>
      <c r="Y26" s="215"/>
      <c r="Z26" s="215"/>
      <c r="AA26" s="216"/>
      <c r="AB26" s="214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6"/>
      <c r="AR26" s="223">
        <v>999999</v>
      </c>
      <c r="AS26" s="206"/>
      <c r="AT26" s="206"/>
      <c r="AU26" s="206"/>
      <c r="AV26" s="206"/>
      <c r="AW26" s="207"/>
      <c r="AX26" s="89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1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 s="29"/>
      <c r="D27" s="37">
        <v>17</v>
      </c>
      <c r="E27" s="229" t="s">
        <v>70</v>
      </c>
      <c r="F27" s="230"/>
      <c r="G27" s="230"/>
      <c r="H27" s="230"/>
      <c r="I27" s="230"/>
      <c r="J27" s="230"/>
      <c r="K27" s="230"/>
      <c r="L27" s="231"/>
      <c r="M27" s="211" t="s">
        <v>47</v>
      </c>
      <c r="N27" s="206"/>
      <c r="O27" s="207"/>
      <c r="P27" s="211" t="s">
        <v>81</v>
      </c>
      <c r="Q27" s="206"/>
      <c r="R27" s="206"/>
      <c r="S27" s="211" t="s">
        <v>82</v>
      </c>
      <c r="T27" s="206"/>
      <c r="U27" s="206"/>
      <c r="V27" s="214" t="s">
        <v>134</v>
      </c>
      <c r="W27" s="215"/>
      <c r="X27" s="215"/>
      <c r="Y27" s="215"/>
      <c r="Z27" s="215"/>
      <c r="AA27" s="216"/>
      <c r="AB27" s="214" t="s">
        <v>135</v>
      </c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6"/>
      <c r="AR27" s="223">
        <v>999999</v>
      </c>
      <c r="AS27" s="206"/>
      <c r="AT27" s="206"/>
      <c r="AU27" s="206"/>
      <c r="AV27" s="206"/>
      <c r="AW27" s="207"/>
      <c r="AX27" s="89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1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s="5" customFormat="1" ht="20.100000000000001" customHeight="1" x14ac:dyDescent="0.45">
      <c r="A28" s="29"/>
      <c r="B28" s="35"/>
      <c r="C28" s="29"/>
      <c r="D28" s="37">
        <v>18</v>
      </c>
      <c r="E28" s="229" t="s">
        <v>72</v>
      </c>
      <c r="F28" s="230"/>
      <c r="G28" s="230"/>
      <c r="H28" s="230"/>
      <c r="I28" s="230"/>
      <c r="J28" s="230"/>
      <c r="K28" s="230"/>
      <c r="L28" s="231"/>
      <c r="M28" s="211" t="s">
        <v>47</v>
      </c>
      <c r="N28" s="206"/>
      <c r="O28" s="207"/>
      <c r="P28" s="211" t="s">
        <v>81</v>
      </c>
      <c r="Q28" s="206"/>
      <c r="R28" s="206"/>
      <c r="S28" s="211" t="s">
        <v>82</v>
      </c>
      <c r="T28" s="206"/>
      <c r="U28" s="206"/>
      <c r="V28" s="217" t="s">
        <v>136</v>
      </c>
      <c r="W28" s="218"/>
      <c r="X28" s="218"/>
      <c r="Y28" s="218"/>
      <c r="Z28" s="218"/>
      <c r="AA28" s="219"/>
      <c r="AB28" s="214" t="s">
        <v>94</v>
      </c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6"/>
      <c r="AR28" s="213">
        <v>999999</v>
      </c>
      <c r="AS28" s="206"/>
      <c r="AT28" s="206"/>
      <c r="AU28" s="206"/>
      <c r="AV28" s="206"/>
      <c r="AW28" s="207"/>
      <c r="AX28" s="89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1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s="5" customFormat="1" ht="20.100000000000001" customHeight="1" x14ac:dyDescent="0.45">
      <c r="A29" s="29"/>
      <c r="B29" s="35"/>
      <c r="C29" s="29"/>
      <c r="D29" s="37">
        <v>19</v>
      </c>
      <c r="E29" s="229" t="s">
        <v>73</v>
      </c>
      <c r="F29" s="230"/>
      <c r="G29" s="230"/>
      <c r="H29" s="230"/>
      <c r="I29" s="230"/>
      <c r="J29" s="230"/>
      <c r="K29" s="230"/>
      <c r="L29" s="231"/>
      <c r="M29" s="211" t="s">
        <v>47</v>
      </c>
      <c r="N29" s="206"/>
      <c r="O29" s="207"/>
      <c r="P29" s="211" t="s">
        <v>81</v>
      </c>
      <c r="Q29" s="206"/>
      <c r="R29" s="206"/>
      <c r="S29" s="211" t="s">
        <v>82</v>
      </c>
      <c r="T29" s="206"/>
      <c r="U29" s="206"/>
      <c r="V29" s="217" t="s">
        <v>137</v>
      </c>
      <c r="W29" s="218"/>
      <c r="X29" s="218"/>
      <c r="Y29" s="218"/>
      <c r="Z29" s="218"/>
      <c r="AA29" s="219"/>
      <c r="AB29" s="214" t="s">
        <v>94</v>
      </c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6"/>
      <c r="AR29" s="213">
        <v>999999</v>
      </c>
      <c r="AS29" s="206"/>
      <c r="AT29" s="206"/>
      <c r="AU29" s="206"/>
      <c r="AV29" s="206"/>
      <c r="AW29" s="207"/>
      <c r="AX29" s="89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1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s="5" customFormat="1" ht="20.100000000000001" customHeight="1" x14ac:dyDescent="0.45">
      <c r="A30" s="29"/>
      <c r="B30" s="35"/>
      <c r="C30"/>
      <c r="D30" s="37">
        <v>20</v>
      </c>
      <c r="E30" s="229" t="s">
        <v>74</v>
      </c>
      <c r="F30" s="230"/>
      <c r="G30" s="230"/>
      <c r="H30" s="230"/>
      <c r="I30" s="230"/>
      <c r="J30" s="230"/>
      <c r="K30" s="230"/>
      <c r="L30" s="231"/>
      <c r="M30" s="211" t="s">
        <v>47</v>
      </c>
      <c r="N30" s="206"/>
      <c r="O30" s="207"/>
      <c r="P30" s="211" t="s">
        <v>81</v>
      </c>
      <c r="Q30" s="206"/>
      <c r="R30" s="206"/>
      <c r="S30" s="211" t="s">
        <v>82</v>
      </c>
      <c r="T30" s="206"/>
      <c r="U30" s="206"/>
      <c r="V30" s="217" t="s">
        <v>138</v>
      </c>
      <c r="W30" s="218"/>
      <c r="X30" s="218"/>
      <c r="Y30" s="218"/>
      <c r="Z30" s="218"/>
      <c r="AA30" s="219"/>
      <c r="AB30" s="214" t="s">
        <v>94</v>
      </c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6"/>
      <c r="AR30" s="213">
        <v>999999</v>
      </c>
      <c r="AS30" s="206"/>
      <c r="AT30" s="206"/>
      <c r="AU30" s="206"/>
      <c r="AV30" s="206"/>
      <c r="AW30" s="207"/>
      <c r="AX30" s="217"/>
      <c r="AY30" s="218"/>
      <c r="AZ30" s="218"/>
      <c r="BA30" s="218"/>
      <c r="BB30" s="218"/>
      <c r="BC30" s="218"/>
      <c r="BD30" s="218"/>
      <c r="BE30" s="218"/>
      <c r="BF30" s="218"/>
      <c r="BG30" s="218"/>
      <c r="BH30" s="218"/>
      <c r="BI30" s="218"/>
      <c r="BJ30" s="218"/>
      <c r="BK30" s="218"/>
      <c r="BL30" s="218"/>
      <c r="BM30" s="218"/>
      <c r="BN30" s="218"/>
      <c r="BO30" s="218"/>
      <c r="BP30" s="218"/>
      <c r="BQ30" s="218"/>
      <c r="BR30" s="218"/>
      <c r="BS30" s="218"/>
      <c r="BT30" s="227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x14ac:dyDescent="0.45">
      <c r="A31" s="29"/>
      <c r="B31" s="44"/>
      <c r="C31"/>
      <c r="D31" s="37">
        <v>21</v>
      </c>
      <c r="E31" s="229" t="s">
        <v>75</v>
      </c>
      <c r="F31" s="230"/>
      <c r="G31" s="230"/>
      <c r="H31" s="230"/>
      <c r="I31" s="230"/>
      <c r="J31" s="230"/>
      <c r="K31" s="230"/>
      <c r="L31" s="231"/>
      <c r="M31" s="211" t="s">
        <v>47</v>
      </c>
      <c r="N31" s="206"/>
      <c r="O31" s="207"/>
      <c r="P31" s="211" t="s">
        <v>81</v>
      </c>
      <c r="Q31" s="206"/>
      <c r="R31" s="206"/>
      <c r="S31" s="211" t="s">
        <v>82</v>
      </c>
      <c r="T31" s="206"/>
      <c r="U31" s="206"/>
      <c r="V31" s="217" t="s">
        <v>139</v>
      </c>
      <c r="W31" s="218"/>
      <c r="X31" s="218"/>
      <c r="Y31" s="218"/>
      <c r="Z31" s="218"/>
      <c r="AA31" s="219"/>
      <c r="AB31" s="214" t="s">
        <v>94</v>
      </c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6"/>
      <c r="AR31" s="213">
        <v>999999</v>
      </c>
      <c r="AS31" s="206"/>
      <c r="AT31" s="206"/>
      <c r="AU31" s="206"/>
      <c r="AV31" s="206"/>
      <c r="AW31" s="207"/>
      <c r="AX31" s="217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27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 x14ac:dyDescent="0.45">
      <c r="A32" s="29"/>
      <c r="B32" s="44"/>
      <c r="C32"/>
      <c r="D32" s="37">
        <v>22</v>
      </c>
      <c r="E32" s="229" t="s">
        <v>76</v>
      </c>
      <c r="F32" s="230"/>
      <c r="G32" s="230"/>
      <c r="H32" s="230"/>
      <c r="I32" s="230"/>
      <c r="J32" s="230"/>
      <c r="K32" s="230"/>
      <c r="L32" s="231"/>
      <c r="M32" s="211" t="s">
        <v>47</v>
      </c>
      <c r="N32" s="206"/>
      <c r="O32" s="207"/>
      <c r="P32" s="211" t="s">
        <v>81</v>
      </c>
      <c r="Q32" s="206"/>
      <c r="R32" s="206"/>
      <c r="S32" s="211" t="s">
        <v>82</v>
      </c>
      <c r="T32" s="206"/>
      <c r="U32" s="206"/>
      <c r="V32" s="217" t="s">
        <v>140</v>
      </c>
      <c r="W32" s="218"/>
      <c r="X32" s="218"/>
      <c r="Y32" s="218"/>
      <c r="Z32" s="218"/>
      <c r="AA32" s="219"/>
      <c r="AB32" s="214" t="s">
        <v>94</v>
      </c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6"/>
      <c r="AR32" s="213">
        <v>999999</v>
      </c>
      <c r="AS32" s="206"/>
      <c r="AT32" s="206"/>
      <c r="AU32" s="206"/>
      <c r="AV32" s="206"/>
      <c r="AW32" s="207"/>
      <c r="AX32" s="217"/>
      <c r="AY32" s="218"/>
      <c r="AZ32" s="218"/>
      <c r="BA32" s="218"/>
      <c r="BB32" s="218"/>
      <c r="BC32" s="218"/>
      <c r="BD32" s="218"/>
      <c r="BE32" s="218"/>
      <c r="BF32" s="218"/>
      <c r="BG32" s="218"/>
      <c r="BH32" s="218"/>
      <c r="BI32" s="218"/>
      <c r="BJ32" s="218"/>
      <c r="BK32" s="218"/>
      <c r="BL32" s="218"/>
      <c r="BM32" s="218"/>
      <c r="BN32" s="218"/>
      <c r="BO32" s="218"/>
      <c r="BP32" s="218"/>
      <c r="BQ32" s="218"/>
      <c r="BR32" s="218"/>
      <c r="BS32" s="218"/>
      <c r="BT32" s="227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/>
      <c r="D33" s="37">
        <v>23</v>
      </c>
      <c r="E33" s="229" t="s">
        <v>77</v>
      </c>
      <c r="F33" s="230"/>
      <c r="G33" s="230"/>
      <c r="H33" s="230"/>
      <c r="I33" s="230"/>
      <c r="J33" s="230"/>
      <c r="K33" s="230"/>
      <c r="L33" s="231"/>
      <c r="M33" s="211" t="s">
        <v>47</v>
      </c>
      <c r="N33" s="206"/>
      <c r="O33" s="207"/>
      <c r="P33" s="211" t="s">
        <v>81</v>
      </c>
      <c r="Q33" s="206"/>
      <c r="R33" s="206"/>
      <c r="S33" s="211" t="s">
        <v>82</v>
      </c>
      <c r="T33" s="206"/>
      <c r="U33" s="206"/>
      <c r="V33" s="217" t="s">
        <v>141</v>
      </c>
      <c r="W33" s="218"/>
      <c r="X33" s="218"/>
      <c r="Y33" s="218"/>
      <c r="Z33" s="218"/>
      <c r="AA33" s="219"/>
      <c r="AB33" s="214" t="s">
        <v>94</v>
      </c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6"/>
      <c r="AR33" s="213">
        <v>999999</v>
      </c>
      <c r="AS33" s="206"/>
      <c r="AT33" s="206"/>
      <c r="AU33" s="206"/>
      <c r="AV33" s="206"/>
      <c r="AW33" s="207"/>
      <c r="AX33" s="217"/>
      <c r="AY33" s="218"/>
      <c r="AZ33" s="218"/>
      <c r="BA33" s="218"/>
      <c r="BB33" s="218"/>
      <c r="BC33" s="218"/>
      <c r="BD33" s="218"/>
      <c r="BE33" s="218"/>
      <c r="BF33" s="218"/>
      <c r="BG33" s="218"/>
      <c r="BH33" s="218"/>
      <c r="BI33" s="218"/>
      <c r="BJ33" s="218"/>
      <c r="BK33" s="218"/>
      <c r="BL33" s="218"/>
      <c r="BM33" s="218"/>
      <c r="BN33" s="218"/>
      <c r="BO33" s="218"/>
      <c r="BP33" s="218"/>
      <c r="BQ33" s="218"/>
      <c r="BR33" s="218"/>
      <c r="BS33" s="218"/>
      <c r="BT33" s="227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229" t="s">
        <v>78</v>
      </c>
      <c r="F34" s="230"/>
      <c r="G34" s="230"/>
      <c r="H34" s="230"/>
      <c r="I34" s="230"/>
      <c r="J34" s="230"/>
      <c r="K34" s="230"/>
      <c r="L34" s="231"/>
      <c r="M34" s="211" t="s">
        <v>47</v>
      </c>
      <c r="N34" s="206"/>
      <c r="O34" s="207"/>
      <c r="P34" s="211" t="s">
        <v>81</v>
      </c>
      <c r="Q34" s="206"/>
      <c r="R34" s="206"/>
      <c r="S34" s="211" t="s">
        <v>82</v>
      </c>
      <c r="T34" s="206"/>
      <c r="U34" s="206"/>
      <c r="V34" s="217" t="s">
        <v>142</v>
      </c>
      <c r="W34" s="218"/>
      <c r="X34" s="218"/>
      <c r="Y34" s="218"/>
      <c r="Z34" s="218"/>
      <c r="AA34" s="219"/>
      <c r="AB34" s="214" t="s">
        <v>95</v>
      </c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6"/>
      <c r="AR34" s="213">
        <v>999999</v>
      </c>
      <c r="AS34" s="206"/>
      <c r="AT34" s="206"/>
      <c r="AU34" s="206"/>
      <c r="AV34" s="206"/>
      <c r="AW34" s="207"/>
      <c r="AX34" s="92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4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 x14ac:dyDescent="0.45">
      <c r="A35" s="29"/>
      <c r="B35" s="44"/>
      <c r="C35" s="29"/>
      <c r="D35" s="37">
        <v>25</v>
      </c>
      <c r="E35" s="229" t="s">
        <v>100</v>
      </c>
      <c r="F35" s="230"/>
      <c r="G35" s="230"/>
      <c r="H35" s="230"/>
      <c r="I35" s="230"/>
      <c r="J35" s="230"/>
      <c r="K35" s="230"/>
      <c r="L35" s="231"/>
      <c r="M35" s="211" t="s">
        <v>38</v>
      </c>
      <c r="N35" s="206"/>
      <c r="O35" s="207"/>
      <c r="P35" s="211" t="s">
        <v>96</v>
      </c>
      <c r="Q35" s="206"/>
      <c r="R35" s="206"/>
      <c r="S35" s="211" t="s">
        <v>82</v>
      </c>
      <c r="T35" s="206"/>
      <c r="U35" s="206"/>
      <c r="V35" s="217" t="s">
        <v>106</v>
      </c>
      <c r="W35" s="218"/>
      <c r="X35" s="218"/>
      <c r="Y35" s="218"/>
      <c r="Z35" s="218"/>
      <c r="AA35" s="219"/>
      <c r="AB35" s="214" t="s">
        <v>107</v>
      </c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6"/>
      <c r="AR35" s="213">
        <v>999999</v>
      </c>
      <c r="AS35" s="206"/>
      <c r="AT35" s="206"/>
      <c r="AU35" s="206"/>
      <c r="AV35" s="206"/>
      <c r="AW35" s="207"/>
      <c r="AX35" s="92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4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19.5" customHeight="1" x14ac:dyDescent="0.45">
      <c r="A36" s="29"/>
      <c r="B36" s="44"/>
      <c r="C36" s="29"/>
      <c r="D36" s="37">
        <v>26</v>
      </c>
      <c r="E36" s="229" t="s">
        <v>101</v>
      </c>
      <c r="F36" s="230"/>
      <c r="G36" s="230"/>
      <c r="H36" s="230"/>
      <c r="I36" s="230"/>
      <c r="J36" s="230"/>
      <c r="K36" s="230"/>
      <c r="L36" s="231"/>
      <c r="M36" s="211" t="s">
        <v>47</v>
      </c>
      <c r="N36" s="206"/>
      <c r="O36" s="207"/>
      <c r="P36" s="211" t="s">
        <v>81</v>
      </c>
      <c r="Q36" s="206"/>
      <c r="R36" s="206"/>
      <c r="S36" s="211" t="s">
        <v>82</v>
      </c>
      <c r="T36" s="206"/>
      <c r="U36" s="206"/>
      <c r="V36" s="235" t="s">
        <v>143</v>
      </c>
      <c r="W36" s="236"/>
      <c r="X36" s="236"/>
      <c r="Y36" s="236"/>
      <c r="Z36" s="236"/>
      <c r="AA36" s="237"/>
      <c r="AB36" s="224" t="s">
        <v>150</v>
      </c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6"/>
      <c r="AR36" s="213">
        <v>999999</v>
      </c>
      <c r="AS36" s="206"/>
      <c r="AT36" s="206"/>
      <c r="AU36" s="206"/>
      <c r="AV36" s="206"/>
      <c r="AW36" s="207"/>
      <c r="AX36" s="92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4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19.5" customHeight="1" x14ac:dyDescent="0.45">
      <c r="A37" s="29"/>
      <c r="B37" s="44"/>
      <c r="C37" s="29"/>
      <c r="D37" s="37">
        <v>27</v>
      </c>
      <c r="E37" s="229" t="s">
        <v>102</v>
      </c>
      <c r="F37" s="230"/>
      <c r="G37" s="230"/>
      <c r="H37" s="230"/>
      <c r="I37" s="230"/>
      <c r="J37" s="230"/>
      <c r="K37" s="230"/>
      <c r="L37" s="231"/>
      <c r="M37" s="211" t="s">
        <v>47</v>
      </c>
      <c r="N37" s="206"/>
      <c r="O37" s="207"/>
      <c r="P37" s="211" t="s">
        <v>81</v>
      </c>
      <c r="Q37" s="206"/>
      <c r="R37" s="206"/>
      <c r="S37" s="211" t="s">
        <v>82</v>
      </c>
      <c r="T37" s="206"/>
      <c r="U37" s="206"/>
      <c r="V37" s="235" t="s">
        <v>144</v>
      </c>
      <c r="W37" s="236"/>
      <c r="X37" s="236"/>
      <c r="Y37" s="236"/>
      <c r="Z37" s="236"/>
      <c r="AA37" s="237"/>
      <c r="AB37" s="224" t="s">
        <v>151</v>
      </c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6"/>
      <c r="AR37" s="213">
        <v>999999</v>
      </c>
      <c r="AS37" s="206"/>
      <c r="AT37" s="206"/>
      <c r="AU37" s="206"/>
      <c r="AV37" s="206"/>
      <c r="AW37" s="207"/>
      <c r="AX37" s="92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4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229" t="s">
        <v>103</v>
      </c>
      <c r="F38" s="230"/>
      <c r="G38" s="230"/>
      <c r="H38" s="230"/>
      <c r="I38" s="230"/>
      <c r="J38" s="230"/>
      <c r="K38" s="230"/>
      <c r="L38" s="231"/>
      <c r="M38" s="211" t="s">
        <v>47</v>
      </c>
      <c r="N38" s="206"/>
      <c r="O38" s="207"/>
      <c r="P38" s="211" t="s">
        <v>81</v>
      </c>
      <c r="Q38" s="206"/>
      <c r="R38" s="206"/>
      <c r="S38" s="211" t="s">
        <v>82</v>
      </c>
      <c r="T38" s="206"/>
      <c r="U38" s="206"/>
      <c r="V38" s="235" t="s">
        <v>145</v>
      </c>
      <c r="W38" s="236"/>
      <c r="X38" s="236"/>
      <c r="Y38" s="236"/>
      <c r="Z38" s="236"/>
      <c r="AA38" s="237"/>
      <c r="AB38" s="224" t="s">
        <v>152</v>
      </c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6"/>
      <c r="AR38" s="213">
        <v>999999</v>
      </c>
      <c r="AS38" s="206"/>
      <c r="AT38" s="206"/>
      <c r="AU38" s="206"/>
      <c r="AV38" s="206"/>
      <c r="AW38" s="207"/>
      <c r="AX38" s="92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4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x14ac:dyDescent="0.45">
      <c r="A39" s="29"/>
      <c r="B39" s="44"/>
      <c r="C39" s="29"/>
      <c r="D39" s="37">
        <v>29</v>
      </c>
      <c r="E39" s="229" t="s">
        <v>104</v>
      </c>
      <c r="F39" s="230"/>
      <c r="G39" s="230"/>
      <c r="H39" s="230"/>
      <c r="I39" s="230"/>
      <c r="J39" s="230"/>
      <c r="K39" s="230"/>
      <c r="L39" s="231"/>
      <c r="M39" s="211" t="s">
        <v>47</v>
      </c>
      <c r="N39" s="206"/>
      <c r="O39" s="207"/>
      <c r="P39" s="211" t="s">
        <v>81</v>
      </c>
      <c r="Q39" s="206"/>
      <c r="R39" s="206"/>
      <c r="S39" s="211" t="s">
        <v>82</v>
      </c>
      <c r="T39" s="206"/>
      <c r="U39" s="206"/>
      <c r="V39" s="235" t="s">
        <v>146</v>
      </c>
      <c r="W39" s="236"/>
      <c r="X39" s="236"/>
      <c r="Y39" s="236"/>
      <c r="Z39" s="236"/>
      <c r="AA39" s="237"/>
      <c r="AB39" s="224" t="s">
        <v>153</v>
      </c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6"/>
      <c r="AR39" s="213">
        <v>999999</v>
      </c>
      <c r="AS39" s="206"/>
      <c r="AT39" s="206"/>
      <c r="AU39" s="206"/>
      <c r="AV39" s="206"/>
      <c r="AW39" s="207"/>
      <c r="AX39" s="92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4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19.5" customHeight="1" x14ac:dyDescent="0.45">
      <c r="A40" s="29"/>
      <c r="B40" s="44"/>
      <c r="C40" s="29"/>
      <c r="D40" s="37">
        <v>30</v>
      </c>
      <c r="E40" s="229" t="s">
        <v>105</v>
      </c>
      <c r="F40" s="230"/>
      <c r="G40" s="230"/>
      <c r="H40" s="230"/>
      <c r="I40" s="230"/>
      <c r="J40" s="230"/>
      <c r="K40" s="230"/>
      <c r="L40" s="231"/>
      <c r="M40" s="211" t="s">
        <v>47</v>
      </c>
      <c r="N40" s="206"/>
      <c r="O40" s="207"/>
      <c r="P40" s="211" t="s">
        <v>81</v>
      </c>
      <c r="Q40" s="206"/>
      <c r="R40" s="206"/>
      <c r="S40" s="211" t="s">
        <v>82</v>
      </c>
      <c r="T40" s="206"/>
      <c r="U40" s="206"/>
      <c r="V40" s="235" t="s">
        <v>147</v>
      </c>
      <c r="W40" s="236"/>
      <c r="X40" s="236"/>
      <c r="Y40" s="236"/>
      <c r="Z40" s="236"/>
      <c r="AA40" s="237"/>
      <c r="AB40" s="224" t="s">
        <v>154</v>
      </c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6"/>
      <c r="AR40" s="213">
        <v>999999</v>
      </c>
      <c r="AS40" s="206"/>
      <c r="AT40" s="206"/>
      <c r="AU40" s="206"/>
      <c r="AV40" s="206"/>
      <c r="AW40" s="207"/>
      <c r="AX40" s="92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4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ht="19.5" customHeight="1" x14ac:dyDescent="0.45">
      <c r="A41" s="29"/>
      <c r="B41" s="44"/>
      <c r="C41" s="29"/>
      <c r="D41" s="37">
        <v>31</v>
      </c>
      <c r="E41" s="229" t="s">
        <v>71</v>
      </c>
      <c r="F41" s="230"/>
      <c r="G41" s="230"/>
      <c r="H41" s="230"/>
      <c r="I41" s="230"/>
      <c r="J41" s="230"/>
      <c r="K41" s="230"/>
      <c r="L41" s="231"/>
      <c r="M41" s="211" t="s">
        <v>47</v>
      </c>
      <c r="N41" s="206"/>
      <c r="O41" s="207"/>
      <c r="P41" s="211" t="s">
        <v>81</v>
      </c>
      <c r="Q41" s="206"/>
      <c r="R41" s="206"/>
      <c r="S41" s="211" t="s">
        <v>82</v>
      </c>
      <c r="T41" s="206"/>
      <c r="U41" s="206"/>
      <c r="V41" s="235" t="s">
        <v>148</v>
      </c>
      <c r="W41" s="236"/>
      <c r="X41" s="236"/>
      <c r="Y41" s="236"/>
      <c r="Z41" s="236"/>
      <c r="AA41" s="237"/>
      <c r="AB41" s="224" t="s">
        <v>155</v>
      </c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6"/>
      <c r="AR41" s="213">
        <v>999999</v>
      </c>
      <c r="AS41" s="206"/>
      <c r="AT41" s="206"/>
      <c r="AU41" s="206"/>
      <c r="AV41" s="206"/>
      <c r="AW41" s="207"/>
      <c r="AX41" s="92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4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ht="19.5" customHeight="1" x14ac:dyDescent="0.45">
      <c r="A42" s="29"/>
      <c r="B42" s="44"/>
      <c r="C42" s="29"/>
      <c r="D42" s="37">
        <v>32</v>
      </c>
      <c r="E42" s="229" t="s">
        <v>70</v>
      </c>
      <c r="F42" s="230"/>
      <c r="G42" s="230"/>
      <c r="H42" s="230"/>
      <c r="I42" s="230"/>
      <c r="J42" s="230"/>
      <c r="K42" s="230"/>
      <c r="L42" s="231"/>
      <c r="M42" s="211" t="s">
        <v>47</v>
      </c>
      <c r="N42" s="206"/>
      <c r="O42" s="207"/>
      <c r="P42" s="211" t="s">
        <v>81</v>
      </c>
      <c r="Q42" s="206"/>
      <c r="R42" s="206"/>
      <c r="S42" s="211" t="s">
        <v>82</v>
      </c>
      <c r="T42" s="206"/>
      <c r="U42" s="206"/>
      <c r="V42" s="235" t="s">
        <v>149</v>
      </c>
      <c r="W42" s="236"/>
      <c r="X42" s="236"/>
      <c r="Y42" s="236"/>
      <c r="Z42" s="236"/>
      <c r="AA42" s="237"/>
      <c r="AB42" s="224" t="s">
        <v>156</v>
      </c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6"/>
      <c r="AR42" s="213">
        <v>999999</v>
      </c>
      <c r="AS42" s="206"/>
      <c r="AT42" s="206"/>
      <c r="AU42" s="206"/>
      <c r="AV42" s="206"/>
      <c r="AW42" s="207"/>
      <c r="AX42" s="92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4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ht="20.100000000000001" customHeight="1" thickBot="1" x14ac:dyDescent="0.5">
      <c r="A43" s="29"/>
      <c r="B43" s="44"/>
      <c r="C43"/>
      <c r="D43" s="37">
        <v>33</v>
      </c>
      <c r="E43" s="238"/>
      <c r="F43" s="239"/>
      <c r="G43" s="239"/>
      <c r="H43" s="239"/>
      <c r="I43" s="239"/>
      <c r="J43" s="239"/>
      <c r="K43" s="239"/>
      <c r="L43" s="240"/>
      <c r="M43" s="211"/>
      <c r="N43" s="206"/>
      <c r="O43" s="207"/>
      <c r="P43" s="211"/>
      <c r="Q43" s="206"/>
      <c r="R43" s="206"/>
      <c r="S43" s="211"/>
      <c r="T43" s="206"/>
      <c r="U43" s="206"/>
      <c r="V43" s="217"/>
      <c r="W43" s="218"/>
      <c r="X43" s="218"/>
      <c r="Y43" s="218"/>
      <c r="Z43" s="218"/>
      <c r="AA43" s="219"/>
      <c r="AB43" s="214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6"/>
      <c r="AR43" s="213"/>
      <c r="AS43" s="206"/>
      <c r="AT43" s="206"/>
      <c r="AU43" s="206"/>
      <c r="AV43" s="206"/>
      <c r="AW43" s="207"/>
      <c r="AX43" s="92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4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ht="20.100000000000001" customHeight="1" thickTop="1" thickBot="1" x14ac:dyDescent="0.5">
      <c r="A44" s="29"/>
      <c r="B44" s="40"/>
      <c r="C44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46"/>
      <c r="BR44" s="46"/>
      <c r="BS44" s="46"/>
      <c r="BT44" s="46"/>
      <c r="BU44" s="28"/>
    </row>
    <row r="45" spans="1:85" ht="20.100000000000001" customHeight="1" thickTop="1" x14ac:dyDescent="0.45">
      <c r="A45" s="29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33"/>
      <c r="BD45" s="33"/>
      <c r="BE45" s="33"/>
      <c r="BF45" s="33"/>
      <c r="BG45" s="33"/>
      <c r="BH45" s="33"/>
      <c r="BI45" s="42"/>
      <c r="BJ45" s="42"/>
      <c r="BK45" s="42"/>
      <c r="BL45" s="42"/>
      <c r="BM45" s="42"/>
      <c r="BN45" s="42"/>
      <c r="BO45" s="42"/>
      <c r="BP45" s="4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31"/>
      <c r="BH55" s="31"/>
      <c r="BI55" s="31"/>
      <c r="BJ55" s="31"/>
      <c r="BK55" s="31"/>
      <c r="BL55" s="31"/>
      <c r="BM55" s="31"/>
      <c r="BN55" s="3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31"/>
      <c r="BH56" s="31"/>
      <c r="BI56" s="31"/>
      <c r="BJ56" s="31"/>
      <c r="BK56" s="31"/>
      <c r="BL56" s="31"/>
      <c r="BM56" s="31"/>
      <c r="BN56" s="31"/>
      <c r="BO56" s="31"/>
      <c r="BP56" s="31"/>
    </row>
    <row r="57" spans="1:68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</row>
    <row r="58" spans="1:68" ht="20.100000000000001" customHeight="1" x14ac:dyDescent="0.45">
      <c r="B58" s="3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</row>
    <row r="59" spans="1:68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31"/>
      <c r="BP60" s="31"/>
    </row>
    <row r="61" spans="1:68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31"/>
      <c r="BP61" s="31"/>
    </row>
    <row r="62" spans="1:68" ht="20.100000000000001" customHeight="1" x14ac:dyDescent="0.45">
      <c r="A62" s="29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31"/>
      <c r="BP62" s="31"/>
    </row>
    <row r="63" spans="1:68" ht="20.100000000000001" customHeight="1" x14ac:dyDescent="0.45">
      <c r="A63" s="29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31"/>
      <c r="BP63" s="31"/>
    </row>
    <row r="64" spans="1:68" ht="20.100000000000001" customHeight="1" x14ac:dyDescent="0.4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</row>
    <row r="65" spans="1:68" ht="20.100000000000001" customHeight="1" x14ac:dyDescent="0.4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</row>
    <row r="66" spans="1:68" ht="20.100000000000001" customHeight="1" x14ac:dyDescent="0.4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</row>
  </sheetData>
  <mergeCells count="278">
    <mergeCell ref="E38:L38"/>
    <mergeCell ref="E39:L39"/>
    <mergeCell ref="E40:L40"/>
    <mergeCell ref="E41:L41"/>
    <mergeCell ref="E42:L42"/>
    <mergeCell ref="E43:L43"/>
    <mergeCell ref="E29:L29"/>
    <mergeCell ref="E30:L30"/>
    <mergeCell ref="E31:L31"/>
    <mergeCell ref="E32:L32"/>
    <mergeCell ref="E33:L33"/>
    <mergeCell ref="E34:L34"/>
    <mergeCell ref="E35:L35"/>
    <mergeCell ref="E36:L36"/>
    <mergeCell ref="E37:L37"/>
    <mergeCell ref="E20:L20"/>
    <mergeCell ref="E21:L21"/>
    <mergeCell ref="E22:L22"/>
    <mergeCell ref="E23:L23"/>
    <mergeCell ref="E24:L24"/>
    <mergeCell ref="E25:L25"/>
    <mergeCell ref="E26:L26"/>
    <mergeCell ref="E27:L27"/>
    <mergeCell ref="E28:L28"/>
    <mergeCell ref="AR40:AW40"/>
    <mergeCell ref="M41:O41"/>
    <mergeCell ref="P41:R41"/>
    <mergeCell ref="S41:U41"/>
    <mergeCell ref="V41:AA41"/>
    <mergeCell ref="AB41:AQ41"/>
    <mergeCell ref="AR41:AW41"/>
    <mergeCell ref="M42:O42"/>
    <mergeCell ref="P42:R42"/>
    <mergeCell ref="S42:U42"/>
    <mergeCell ref="V42:AA42"/>
    <mergeCell ref="AB42:AQ42"/>
    <mergeCell ref="AR42:AW42"/>
    <mergeCell ref="AR37:AW37"/>
    <mergeCell ref="M38:O38"/>
    <mergeCell ref="P38:R38"/>
    <mergeCell ref="S38:U38"/>
    <mergeCell ref="V38:AA38"/>
    <mergeCell ref="AB38:AQ38"/>
    <mergeCell ref="AR38:AW38"/>
    <mergeCell ref="M39:O39"/>
    <mergeCell ref="P39:R39"/>
    <mergeCell ref="S39:U39"/>
    <mergeCell ref="V39:AA39"/>
    <mergeCell ref="AB39:AQ39"/>
    <mergeCell ref="AR39:AW39"/>
    <mergeCell ref="AR34:AW34"/>
    <mergeCell ref="M35:O35"/>
    <mergeCell ref="P35:R35"/>
    <mergeCell ref="S35:U35"/>
    <mergeCell ref="V35:AA35"/>
    <mergeCell ref="AB35:AQ35"/>
    <mergeCell ref="AR35:AW35"/>
    <mergeCell ref="M36:O36"/>
    <mergeCell ref="P36:R36"/>
    <mergeCell ref="S36:U36"/>
    <mergeCell ref="V36:AA36"/>
    <mergeCell ref="AB36:AQ36"/>
    <mergeCell ref="AR36:AW36"/>
    <mergeCell ref="M30:O30"/>
    <mergeCell ref="M31:O31"/>
    <mergeCell ref="M32:O32"/>
    <mergeCell ref="M33:O33"/>
    <mergeCell ref="M43:O43"/>
    <mergeCell ref="M34:O34"/>
    <mergeCell ref="P34:R34"/>
    <mergeCell ref="S34:U34"/>
    <mergeCell ref="V34:AA34"/>
    <mergeCell ref="M37:O37"/>
    <mergeCell ref="P37:R37"/>
    <mergeCell ref="S37:U37"/>
    <mergeCell ref="V37:AA37"/>
    <mergeCell ref="M40:O40"/>
    <mergeCell ref="P40:R40"/>
    <mergeCell ref="S40:U40"/>
    <mergeCell ref="V40:AA40"/>
    <mergeCell ref="P33:R33"/>
    <mergeCell ref="P43:R43"/>
    <mergeCell ref="P32:R32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S11:U11"/>
    <mergeCell ref="S12:U12"/>
    <mergeCell ref="S13:U13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E14:L14"/>
    <mergeCell ref="E15:L15"/>
    <mergeCell ref="M10:O10"/>
    <mergeCell ref="M11:O11"/>
    <mergeCell ref="M12:O12"/>
    <mergeCell ref="M13:O13"/>
    <mergeCell ref="M14:O14"/>
    <mergeCell ref="M19:O19"/>
    <mergeCell ref="M15:O15"/>
    <mergeCell ref="M16:O16"/>
    <mergeCell ref="M17:O17"/>
    <mergeCell ref="M18:O18"/>
    <mergeCell ref="E16:L16"/>
    <mergeCell ref="E17:L17"/>
    <mergeCell ref="E18:L18"/>
    <mergeCell ref="E19:L19"/>
    <mergeCell ref="P15:R15"/>
    <mergeCell ref="P16:R16"/>
    <mergeCell ref="P17:R17"/>
    <mergeCell ref="P18:R18"/>
    <mergeCell ref="V24:AA24"/>
    <mergeCell ref="V25:AA25"/>
    <mergeCell ref="V30:AA30"/>
    <mergeCell ref="V31:AA31"/>
    <mergeCell ref="V32:AA32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S23:U23"/>
    <mergeCell ref="P24:R24"/>
    <mergeCell ref="P25:R25"/>
    <mergeCell ref="P30:R30"/>
    <mergeCell ref="P31:R31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AX10:BT10"/>
    <mergeCell ref="AX11:BT11"/>
    <mergeCell ref="AX12:BT12"/>
    <mergeCell ref="AX13:BT13"/>
    <mergeCell ref="AX14:BT14"/>
    <mergeCell ref="V33:AA33"/>
    <mergeCell ref="V43:AA43"/>
    <mergeCell ref="S10:U10"/>
    <mergeCell ref="S24:U24"/>
    <mergeCell ref="S25:U25"/>
    <mergeCell ref="S30:U30"/>
    <mergeCell ref="S31:U31"/>
    <mergeCell ref="S32:U32"/>
    <mergeCell ref="S33:U33"/>
    <mergeCell ref="V10:AA10"/>
    <mergeCell ref="S43:U43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31:BT31"/>
    <mergeCell ref="AX32:BT32"/>
    <mergeCell ref="AX33:BT33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25:BT25"/>
    <mergeCell ref="AX30:BT30"/>
    <mergeCell ref="AB33:AQ33"/>
    <mergeCell ref="AB43:AQ43"/>
    <mergeCell ref="AB24:AQ24"/>
    <mergeCell ref="AB25:AQ25"/>
    <mergeCell ref="AB30:AQ30"/>
    <mergeCell ref="AB31:AQ31"/>
    <mergeCell ref="AB32:AQ32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B34:AQ34"/>
    <mergeCell ref="AB37:AQ37"/>
    <mergeCell ref="AB40:AQ40"/>
    <mergeCell ref="AR43:AW43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30:AW30"/>
    <mergeCell ref="AR31:AW31"/>
    <mergeCell ref="AR32:AW32"/>
    <mergeCell ref="AR33:AW33"/>
    <mergeCell ref="AR26:AW26"/>
    <mergeCell ref="AR27:AW27"/>
    <mergeCell ref="AR28:AW28"/>
    <mergeCell ref="M26:O26"/>
    <mergeCell ref="M27:O27"/>
    <mergeCell ref="M28:O28"/>
    <mergeCell ref="M29:O29"/>
    <mergeCell ref="S26:U26"/>
    <mergeCell ref="S27:U27"/>
    <mergeCell ref="S28:U28"/>
    <mergeCell ref="S29:U29"/>
    <mergeCell ref="V28:AA28"/>
    <mergeCell ref="V29:AA29"/>
    <mergeCell ref="V26:AA26"/>
    <mergeCell ref="V27:AA27"/>
    <mergeCell ref="AR29:AW29"/>
    <mergeCell ref="AB26:AQ26"/>
    <mergeCell ref="AB27:AQ27"/>
    <mergeCell ref="AB28:AQ28"/>
    <mergeCell ref="AB29:AQ29"/>
    <mergeCell ref="P26:R26"/>
    <mergeCell ref="P27:R27"/>
    <mergeCell ref="P28:R28"/>
    <mergeCell ref="P29:R2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N11:O17 M11:M43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63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0" t="s">
        <v>0</v>
      </c>
      <c r="C2" s="245"/>
      <c r="D2" s="245"/>
      <c r="E2" s="245"/>
      <c r="F2" s="245"/>
      <c r="G2" s="245"/>
      <c r="H2" s="245" t="s">
        <v>17</v>
      </c>
      <c r="I2" s="245"/>
      <c r="J2" s="245"/>
      <c r="K2" s="245"/>
      <c r="L2" s="245" t="s">
        <v>250</v>
      </c>
      <c r="M2" s="245"/>
      <c r="N2" s="245"/>
      <c r="O2" s="245"/>
      <c r="P2" s="245"/>
      <c r="Q2" s="245"/>
      <c r="R2" s="245" t="s">
        <v>2</v>
      </c>
      <c r="S2" s="245"/>
      <c r="T2" s="245"/>
      <c r="U2" s="245"/>
      <c r="V2" s="245"/>
      <c r="W2" s="245"/>
      <c r="X2" s="251" t="s">
        <v>3</v>
      </c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K2" s="251" t="s">
        <v>32</v>
      </c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3"/>
      <c r="AX2" s="245" t="s">
        <v>5</v>
      </c>
      <c r="AY2" s="245"/>
      <c r="AZ2" s="245"/>
      <c r="BA2" s="245"/>
      <c r="BB2" s="245" t="s">
        <v>4</v>
      </c>
      <c r="BC2" s="245"/>
      <c r="BD2" s="245"/>
      <c r="BE2" s="245"/>
      <c r="BF2" s="245" t="s">
        <v>6</v>
      </c>
      <c r="BG2" s="245"/>
      <c r="BH2" s="245"/>
      <c r="BI2" s="245"/>
      <c r="BJ2" s="245" t="s">
        <v>7</v>
      </c>
      <c r="BK2" s="245"/>
      <c r="BL2" s="245"/>
      <c r="BM2" s="246"/>
    </row>
    <row r="3" spans="2:65" ht="20.100000000000001" customHeight="1" x14ac:dyDescent="0.45">
      <c r="B3" s="254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SU1100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帳票設計書</v>
      </c>
      <c r="S3" s="192"/>
      <c r="T3" s="192"/>
      <c r="U3" s="192"/>
      <c r="V3" s="192"/>
      <c r="W3" s="192"/>
      <c r="X3" s="196" t="str">
        <f ca="1">変更履歴!X3</f>
        <v>SU1100_ウエルシア請求明細_帳票設計書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ウエルシア請求明細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45581</v>
      </c>
      <c r="AY3" s="203"/>
      <c r="AZ3" s="203"/>
      <c r="BA3" s="203"/>
      <c r="BB3" s="192" t="str">
        <f>変更履歴!BB3</f>
        <v>大谷</v>
      </c>
      <c r="BC3" s="192"/>
      <c r="BD3" s="192"/>
      <c r="BE3" s="192"/>
      <c r="BF3" s="203">
        <f>変更履歴!BF3</f>
        <v>45581</v>
      </c>
      <c r="BG3" s="203"/>
      <c r="BH3" s="203"/>
      <c r="BI3" s="203"/>
      <c r="BJ3" s="192" t="str">
        <f>変更履歴!BJ3</f>
        <v>大谷</v>
      </c>
      <c r="BK3" s="192"/>
      <c r="BL3" s="192"/>
      <c r="BM3" s="243"/>
    </row>
    <row r="4" spans="2:65" ht="20.100000000000001" customHeight="1" thickBot="1" x14ac:dyDescent="0.5">
      <c r="B4" s="255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7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9"/>
      <c r="AK4" s="247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9"/>
      <c r="AX4" s="241"/>
      <c r="AY4" s="241"/>
      <c r="AZ4" s="241"/>
      <c r="BA4" s="241"/>
      <c r="BB4" s="242"/>
      <c r="BC4" s="242"/>
      <c r="BD4" s="242"/>
      <c r="BE4" s="242"/>
      <c r="BF4" s="241"/>
      <c r="BG4" s="241"/>
      <c r="BH4" s="241"/>
      <c r="BI4" s="241"/>
      <c r="BJ4" s="242"/>
      <c r="BK4" s="242"/>
      <c r="BL4" s="242"/>
      <c r="BM4" s="244"/>
    </row>
    <row r="5" spans="2:65" ht="5.0999999999999996" customHeight="1" thickBot="1" x14ac:dyDescent="0.5"/>
    <row r="6" spans="2:65" ht="20.100000000000001" customHeight="1" thickBot="1" x14ac:dyDescent="0.5">
      <c r="B6" s="145">
        <v>1</v>
      </c>
      <c r="C6" s="146"/>
      <c r="D6" s="146"/>
      <c r="E6" s="146"/>
      <c r="F6" s="146"/>
      <c r="G6" s="147"/>
      <c r="H6" s="148" t="s">
        <v>188</v>
      </c>
      <c r="I6" s="146"/>
      <c r="J6" s="176" t="s">
        <v>194</v>
      </c>
      <c r="K6" s="177"/>
      <c r="L6" s="177"/>
      <c r="M6" s="177"/>
      <c r="N6" s="177"/>
      <c r="O6" s="177"/>
      <c r="P6" s="177"/>
      <c r="Q6" s="178"/>
      <c r="R6" s="177" t="s">
        <v>210</v>
      </c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  <c r="AH6" s="177"/>
      <c r="AI6" s="177"/>
      <c r="AJ6" s="178"/>
      <c r="AK6" s="149"/>
      <c r="AL6" s="146"/>
      <c r="AM6" s="146"/>
      <c r="AN6" s="146"/>
      <c r="AO6" s="146"/>
      <c r="AP6" s="146"/>
      <c r="AQ6" s="146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50"/>
    </row>
    <row r="7" spans="2:65" ht="20.100000000000001" customHeight="1" x14ac:dyDescent="0.45">
      <c r="B7" s="179"/>
      <c r="C7" s="31"/>
      <c r="D7" s="31"/>
      <c r="E7" s="31"/>
      <c r="F7" s="31"/>
      <c r="G7" s="152"/>
      <c r="H7" s="153"/>
      <c r="I7" s="31"/>
      <c r="J7" s="180" t="s">
        <v>195</v>
      </c>
      <c r="K7" s="52"/>
      <c r="L7" s="52"/>
      <c r="M7" s="52"/>
      <c r="N7" s="52"/>
      <c r="O7" s="52"/>
      <c r="P7" s="52"/>
      <c r="Q7" s="181"/>
      <c r="R7" s="177" t="s">
        <v>210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81"/>
      <c r="AK7" s="154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55"/>
    </row>
    <row r="8" spans="2:65" ht="20.100000000000001" customHeight="1" x14ac:dyDescent="0.45">
      <c r="B8" s="179"/>
      <c r="C8" s="31"/>
      <c r="D8" s="31"/>
      <c r="E8" s="31"/>
      <c r="F8" s="31"/>
      <c r="G8" s="152"/>
      <c r="H8" s="153"/>
      <c r="I8" s="31"/>
      <c r="J8" s="180" t="s">
        <v>196</v>
      </c>
      <c r="K8" s="52"/>
      <c r="L8" s="52"/>
      <c r="M8" s="52"/>
      <c r="N8" s="52"/>
      <c r="O8" s="52"/>
      <c r="P8" s="52"/>
      <c r="Q8" s="181"/>
      <c r="R8" s="52" t="s">
        <v>243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81"/>
      <c r="AK8" s="154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55"/>
    </row>
    <row r="9" spans="2:65" ht="20.100000000000001" customHeight="1" x14ac:dyDescent="0.45">
      <c r="B9" s="179"/>
      <c r="C9" s="31"/>
      <c r="D9" s="31"/>
      <c r="E9" s="31"/>
      <c r="F9" s="31"/>
      <c r="G9" s="152"/>
      <c r="H9" s="153"/>
      <c r="I9" s="31"/>
      <c r="J9" s="180" t="s">
        <v>197</v>
      </c>
      <c r="K9" s="52"/>
      <c r="L9" s="52"/>
      <c r="M9" s="52"/>
      <c r="N9" s="52"/>
      <c r="O9" s="52"/>
      <c r="P9" s="52"/>
      <c r="Q9" s="181"/>
      <c r="R9" s="52" t="s">
        <v>210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81"/>
      <c r="AK9" s="154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55"/>
    </row>
    <row r="10" spans="2:65" ht="20.100000000000001" customHeight="1" x14ac:dyDescent="0.45">
      <c r="B10" s="179"/>
      <c r="C10" s="31"/>
      <c r="D10" s="31"/>
      <c r="E10" s="31"/>
      <c r="F10" s="31"/>
      <c r="G10" s="152"/>
      <c r="H10" s="153"/>
      <c r="I10" s="31"/>
      <c r="J10" s="180" t="s">
        <v>198</v>
      </c>
      <c r="K10" s="52"/>
      <c r="L10" s="52"/>
      <c r="M10" s="52"/>
      <c r="N10" s="52"/>
      <c r="O10" s="52"/>
      <c r="P10" s="52"/>
      <c r="Q10" s="181"/>
      <c r="R10" s="52" t="s">
        <v>210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81"/>
      <c r="AK10" s="154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55"/>
    </row>
    <row r="11" spans="2:65" ht="20.100000000000001" customHeight="1" x14ac:dyDescent="0.45">
      <c r="B11" s="179"/>
      <c r="C11" s="31"/>
      <c r="D11" s="31"/>
      <c r="E11" s="31"/>
      <c r="F11" s="31"/>
      <c r="G11" s="152"/>
      <c r="H11" s="153"/>
      <c r="I11" s="31"/>
      <c r="J11" s="180" t="s">
        <v>199</v>
      </c>
      <c r="K11" s="52"/>
      <c r="L11" s="52"/>
      <c r="M11" s="52"/>
      <c r="N11" s="52"/>
      <c r="O11" s="52"/>
      <c r="P11" s="52"/>
      <c r="Q11" s="181"/>
      <c r="R11" s="52" t="s">
        <v>209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81"/>
      <c r="AK11" s="154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55"/>
    </row>
    <row r="12" spans="2:65" ht="20.100000000000001" customHeight="1" x14ac:dyDescent="0.45">
      <c r="B12" s="179"/>
      <c r="C12" s="31"/>
      <c r="D12" s="31"/>
      <c r="E12" s="31"/>
      <c r="F12" s="31"/>
      <c r="G12" s="152"/>
      <c r="H12" s="153"/>
      <c r="I12" s="31"/>
      <c r="J12" s="180" t="s">
        <v>200</v>
      </c>
      <c r="K12" s="52"/>
      <c r="L12" s="52"/>
      <c r="M12" s="52"/>
      <c r="N12" s="52"/>
      <c r="O12" s="52"/>
      <c r="P12" s="52"/>
      <c r="Q12" s="181"/>
      <c r="R12" s="52" t="s">
        <v>210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81"/>
      <c r="AK12" s="154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55"/>
    </row>
    <row r="13" spans="2:65" ht="20.100000000000001" customHeight="1" x14ac:dyDescent="0.45">
      <c r="B13" s="179"/>
      <c r="C13" s="31"/>
      <c r="D13" s="31"/>
      <c r="E13" s="31"/>
      <c r="F13" s="31"/>
      <c r="G13" s="152"/>
      <c r="H13" s="153"/>
      <c r="I13" s="31"/>
      <c r="J13" s="180" t="s">
        <v>201</v>
      </c>
      <c r="K13" s="52"/>
      <c r="L13" s="52"/>
      <c r="M13" s="52"/>
      <c r="N13" s="52"/>
      <c r="O13" s="52"/>
      <c r="P13" s="52"/>
      <c r="Q13" s="181"/>
      <c r="R13" s="52" t="s">
        <v>210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81"/>
      <c r="AK13" s="154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55"/>
    </row>
    <row r="14" spans="2:65" ht="20.100000000000001" customHeight="1" x14ac:dyDescent="0.45">
      <c r="B14" s="179"/>
      <c r="C14" s="31"/>
      <c r="D14" s="31"/>
      <c r="E14" s="31"/>
      <c r="F14" s="31"/>
      <c r="G14" s="152"/>
      <c r="H14" s="31"/>
      <c r="I14" s="31"/>
      <c r="J14" s="180" t="s">
        <v>202</v>
      </c>
      <c r="K14" s="52"/>
      <c r="L14" s="52"/>
      <c r="M14" s="52"/>
      <c r="N14" s="52"/>
      <c r="O14" s="52"/>
      <c r="P14" s="52"/>
      <c r="Q14" s="181"/>
      <c r="R14" s="52" t="s">
        <v>216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81"/>
      <c r="AK14" s="154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55"/>
    </row>
    <row r="15" spans="2:65" ht="20.100000000000001" customHeight="1" x14ac:dyDescent="0.45">
      <c r="B15" s="179"/>
      <c r="C15" s="31"/>
      <c r="D15" s="31"/>
      <c r="E15" s="31"/>
      <c r="F15" s="31"/>
      <c r="G15" s="152"/>
      <c r="H15" s="31"/>
      <c r="I15" s="31"/>
      <c r="J15" s="180" t="s">
        <v>203</v>
      </c>
      <c r="K15" s="52"/>
      <c r="L15" s="52"/>
      <c r="M15" s="52"/>
      <c r="N15" s="52"/>
      <c r="O15" s="52"/>
      <c r="P15" s="52"/>
      <c r="Q15" s="181"/>
      <c r="R15" s="52" t="s">
        <v>216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81"/>
      <c r="AK15" s="154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55"/>
    </row>
    <row r="16" spans="2:65" ht="20.100000000000001" customHeight="1" x14ac:dyDescent="0.45">
      <c r="B16" s="179"/>
      <c r="C16" s="31"/>
      <c r="D16" s="31"/>
      <c r="E16" s="31"/>
      <c r="F16" s="31"/>
      <c r="G16" s="152"/>
      <c r="H16" s="31"/>
      <c r="I16" s="31"/>
      <c r="J16" s="180" t="s">
        <v>204</v>
      </c>
      <c r="K16" s="52"/>
      <c r="L16" s="52"/>
      <c r="M16" s="52"/>
      <c r="N16" s="52"/>
      <c r="O16" s="52"/>
      <c r="P16" s="52"/>
      <c r="Q16" s="181"/>
      <c r="R16" s="52" t="s">
        <v>244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81"/>
      <c r="AK16" s="154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55"/>
    </row>
    <row r="17" spans="2:61" ht="20.100000000000001" customHeight="1" x14ac:dyDescent="0.45">
      <c r="B17" s="179"/>
      <c r="C17" s="31"/>
      <c r="D17" s="31"/>
      <c r="E17" s="31"/>
      <c r="F17" s="31"/>
      <c r="G17" s="152"/>
      <c r="H17" s="31"/>
      <c r="I17" s="31"/>
      <c r="J17" s="180" t="s">
        <v>205</v>
      </c>
      <c r="K17" s="52"/>
      <c r="L17" s="52"/>
      <c r="M17" s="52"/>
      <c r="N17" s="52"/>
      <c r="O17" s="52"/>
      <c r="P17" s="52"/>
      <c r="Q17" s="181"/>
      <c r="R17" s="52" t="s">
        <v>212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81"/>
      <c r="AK17" s="154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55"/>
    </row>
    <row r="18" spans="2:61" ht="20.100000000000001" customHeight="1" x14ac:dyDescent="0.45">
      <c r="B18" s="179"/>
      <c r="C18" s="31"/>
      <c r="D18" s="31"/>
      <c r="E18" s="31"/>
      <c r="F18" s="31"/>
      <c r="G18" s="152"/>
      <c r="H18" s="31"/>
      <c r="I18" s="31"/>
      <c r="J18" s="180" t="s">
        <v>206</v>
      </c>
      <c r="K18" s="52"/>
      <c r="L18" s="52"/>
      <c r="M18" s="52"/>
      <c r="N18" s="52"/>
      <c r="O18" s="52"/>
      <c r="P18" s="52"/>
      <c r="Q18" s="181"/>
      <c r="R18" s="52" t="s">
        <v>212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81"/>
      <c r="AK18" s="154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55"/>
    </row>
    <row r="19" spans="2:61" ht="20.100000000000001" customHeight="1" x14ac:dyDescent="0.45">
      <c r="B19" s="179"/>
      <c r="C19" s="31"/>
      <c r="D19" s="31"/>
      <c r="E19" s="31"/>
      <c r="F19" s="31"/>
      <c r="G19" s="152"/>
      <c r="H19" s="31"/>
      <c r="I19" s="31"/>
      <c r="J19" s="180" t="s">
        <v>207</v>
      </c>
      <c r="K19" s="52"/>
      <c r="L19" s="52"/>
      <c r="M19" s="52"/>
      <c r="N19" s="52"/>
      <c r="O19" s="52"/>
      <c r="P19" s="52"/>
      <c r="Q19" s="181"/>
      <c r="R19" s="52" t="s">
        <v>212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81"/>
      <c r="AK19" s="154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55"/>
    </row>
    <row r="20" spans="2:61" ht="20.100000000000001" customHeight="1" x14ac:dyDescent="0.45">
      <c r="B20" s="179"/>
      <c r="C20" s="31"/>
      <c r="D20" s="31"/>
      <c r="E20" s="31"/>
      <c r="F20" s="31"/>
      <c r="G20" s="152"/>
      <c r="H20" s="31"/>
      <c r="I20" s="31"/>
      <c r="J20" s="180" t="s">
        <v>208</v>
      </c>
      <c r="K20" s="52"/>
      <c r="L20" s="52"/>
      <c r="M20" s="52"/>
      <c r="N20" s="52"/>
      <c r="O20" s="52"/>
      <c r="P20" s="52"/>
      <c r="Q20" s="181"/>
      <c r="R20" s="52" t="s">
        <v>212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81"/>
      <c r="AK20" s="154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55"/>
    </row>
    <row r="21" spans="2:61" ht="20.100000000000001" customHeight="1" x14ac:dyDescent="0.45">
      <c r="B21" s="179"/>
      <c r="C21" s="31"/>
      <c r="D21" s="31"/>
      <c r="E21" s="31"/>
      <c r="F21" s="31"/>
      <c r="G21" s="152"/>
      <c r="H21" s="31"/>
      <c r="I21" s="31"/>
      <c r="J21" s="180"/>
      <c r="K21" s="52"/>
      <c r="L21" s="52"/>
      <c r="M21" s="52"/>
      <c r="N21" s="52"/>
      <c r="O21" s="52"/>
      <c r="P21" s="52"/>
      <c r="Q21" s="181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81"/>
      <c r="AK21" s="154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55"/>
    </row>
    <row r="22" spans="2:61" ht="20.100000000000001" customHeight="1" x14ac:dyDescent="0.45">
      <c r="B22" s="179"/>
      <c r="C22" s="31"/>
      <c r="D22" s="31"/>
      <c r="E22" s="31"/>
      <c r="F22" s="31"/>
      <c r="G22" s="152"/>
      <c r="H22" s="31"/>
      <c r="I22" s="31"/>
      <c r="J22" s="180"/>
      <c r="K22" s="52"/>
      <c r="L22" s="52"/>
      <c r="M22" s="52"/>
      <c r="N22" s="52"/>
      <c r="O22" s="52"/>
      <c r="P22" s="52"/>
      <c r="Q22" s="181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81"/>
      <c r="AK22" s="154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55"/>
    </row>
    <row r="23" spans="2:61" ht="20.100000000000001" customHeight="1" x14ac:dyDescent="0.45">
      <c r="B23" s="179"/>
      <c r="C23" s="31"/>
      <c r="D23" s="31"/>
      <c r="E23" s="31"/>
      <c r="F23" s="31"/>
      <c r="G23" s="152"/>
      <c r="I23" s="31"/>
      <c r="J23" s="180"/>
      <c r="K23" s="52"/>
      <c r="L23" s="52"/>
      <c r="M23" s="52"/>
      <c r="N23" s="52"/>
      <c r="O23" s="52"/>
      <c r="P23" s="52"/>
      <c r="Q23" s="181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81"/>
      <c r="AK23" s="154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55"/>
    </row>
    <row r="24" spans="2:61" ht="20.100000000000001" customHeight="1" x14ac:dyDescent="0.45">
      <c r="B24" s="179"/>
      <c r="C24" s="31"/>
      <c r="D24" s="31"/>
      <c r="E24" s="31"/>
      <c r="F24" s="31"/>
      <c r="G24" s="152"/>
      <c r="H24" s="156" t="s">
        <v>157</v>
      </c>
      <c r="I24" s="55"/>
      <c r="J24" s="156" t="s">
        <v>209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157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158"/>
    </row>
    <row r="25" spans="2:61" ht="20.100000000000001" customHeight="1" x14ac:dyDescent="0.45">
      <c r="B25" s="151"/>
      <c r="C25" s="31"/>
      <c r="D25" s="31"/>
      <c r="E25" s="31"/>
      <c r="F25" s="31"/>
      <c r="G25" s="152"/>
      <c r="H25" s="153"/>
      <c r="I25" s="31"/>
      <c r="J25" s="153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54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55"/>
    </row>
    <row r="26" spans="2:61" ht="20.100000000000001" customHeight="1" x14ac:dyDescent="0.45">
      <c r="B26" s="151"/>
      <c r="C26" s="31"/>
      <c r="D26" s="31"/>
      <c r="E26" s="31"/>
      <c r="F26" s="31"/>
      <c r="G26" s="152"/>
      <c r="H26" s="156" t="s">
        <v>158</v>
      </c>
      <c r="I26" s="55"/>
      <c r="J26" s="156" t="s">
        <v>211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157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158"/>
    </row>
    <row r="27" spans="2:61" ht="20.100000000000001" customHeight="1" x14ac:dyDescent="0.45">
      <c r="B27" s="151"/>
      <c r="C27" s="31"/>
      <c r="D27" s="31"/>
      <c r="E27" s="31"/>
      <c r="F27" s="31"/>
      <c r="G27" s="152"/>
      <c r="H27" s="153"/>
      <c r="I27" s="31"/>
      <c r="J27" s="153"/>
      <c r="K27" s="31" t="s">
        <v>212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4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55"/>
    </row>
    <row r="28" spans="2:61" ht="20.100000000000001" customHeight="1" x14ac:dyDescent="0.45">
      <c r="B28" s="151"/>
      <c r="C28" s="31"/>
      <c r="D28" s="31"/>
      <c r="E28" s="31"/>
      <c r="F28" s="31"/>
      <c r="G28" s="152"/>
      <c r="H28" s="153"/>
      <c r="I28" s="31"/>
      <c r="J28" s="153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54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55"/>
    </row>
    <row r="29" spans="2:61" ht="20.100000000000001" customHeight="1" x14ac:dyDescent="0.45">
      <c r="B29" s="151"/>
      <c r="C29" s="31"/>
      <c r="D29" s="31"/>
      <c r="E29" s="31"/>
      <c r="F29" s="31"/>
      <c r="G29" s="152"/>
      <c r="H29" s="153"/>
      <c r="I29" s="31"/>
      <c r="J29" s="153" t="s">
        <v>211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54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55"/>
    </row>
    <row r="30" spans="2:61" ht="20.100000000000001" customHeight="1" x14ac:dyDescent="0.45">
      <c r="B30" s="151"/>
      <c r="C30" s="31"/>
      <c r="D30" s="31"/>
      <c r="E30" s="31"/>
      <c r="F30" s="31"/>
      <c r="G30" s="152"/>
      <c r="H30" s="153"/>
      <c r="I30" s="31"/>
      <c r="J30" s="153"/>
      <c r="K30" s="31" t="s">
        <v>210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54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55"/>
    </row>
    <row r="31" spans="2:61" ht="20.100000000000001" customHeight="1" x14ac:dyDescent="0.45">
      <c r="B31" s="151"/>
      <c r="C31" s="31"/>
      <c r="D31" s="31"/>
      <c r="E31" s="31"/>
      <c r="F31" s="31"/>
      <c r="G31" s="152"/>
      <c r="H31" s="153"/>
      <c r="I31" s="31"/>
      <c r="J31" s="153"/>
      <c r="K31" s="31"/>
      <c r="L31" s="31" t="s">
        <v>214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154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55"/>
    </row>
    <row r="32" spans="2:61" ht="20.100000000000001" customHeight="1" x14ac:dyDescent="0.45">
      <c r="B32" s="151"/>
      <c r="C32" s="31"/>
      <c r="D32" s="31"/>
      <c r="E32" s="31"/>
      <c r="F32" s="31"/>
      <c r="G32" s="152"/>
      <c r="H32" s="153"/>
      <c r="I32" s="31"/>
      <c r="J32" s="153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54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55"/>
    </row>
    <row r="33" spans="2:61" ht="20.100000000000001" customHeight="1" x14ac:dyDescent="0.45">
      <c r="B33" s="151"/>
      <c r="C33" s="31"/>
      <c r="D33" s="31"/>
      <c r="E33" s="31"/>
      <c r="F33" s="31"/>
      <c r="G33" s="152"/>
      <c r="H33" s="153"/>
      <c r="I33" s="31"/>
      <c r="J33" s="153" t="s">
        <v>213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54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55"/>
    </row>
    <row r="34" spans="2:61" ht="20.100000000000001" customHeight="1" x14ac:dyDescent="0.45">
      <c r="B34" s="151"/>
      <c r="C34" s="31"/>
      <c r="D34" s="31"/>
      <c r="E34" s="31"/>
      <c r="F34" s="31"/>
      <c r="G34" s="152"/>
      <c r="H34" s="153"/>
      <c r="I34" s="31"/>
      <c r="J34" s="153"/>
      <c r="K34" s="31" t="s">
        <v>215</v>
      </c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54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55"/>
    </row>
    <row r="35" spans="2:61" ht="20.100000000000001" customHeight="1" x14ac:dyDescent="0.45">
      <c r="B35" s="151"/>
      <c r="C35" s="31"/>
      <c r="D35" s="31"/>
      <c r="E35" s="31"/>
      <c r="F35" s="31"/>
      <c r="G35" s="152"/>
      <c r="H35" s="159"/>
      <c r="I35" s="160"/>
      <c r="J35" s="159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1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2"/>
    </row>
    <row r="36" spans="2:61" ht="20.100000000000001" customHeight="1" x14ac:dyDescent="0.45">
      <c r="B36" s="151"/>
      <c r="C36" s="31"/>
      <c r="D36" s="31"/>
      <c r="E36" s="31"/>
      <c r="F36" s="31"/>
      <c r="G36" s="152"/>
      <c r="H36" s="153" t="s">
        <v>159</v>
      </c>
      <c r="I36" s="31"/>
      <c r="J36" s="156"/>
      <c r="K36" s="31" t="s">
        <v>217</v>
      </c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54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55"/>
    </row>
    <row r="37" spans="2:61" ht="20.100000000000001" customHeight="1" x14ac:dyDescent="0.45">
      <c r="B37" s="151"/>
      <c r="C37" s="31"/>
      <c r="D37" s="31"/>
      <c r="E37" s="31"/>
      <c r="F37" s="31"/>
      <c r="G37" s="152"/>
      <c r="H37" s="153"/>
      <c r="I37" s="31"/>
      <c r="J37" s="153" t="s">
        <v>219</v>
      </c>
      <c r="K37" s="31" t="s">
        <v>218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54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55"/>
    </row>
    <row r="38" spans="2:61" ht="20.100000000000001" customHeight="1" x14ac:dyDescent="0.45">
      <c r="B38" s="151"/>
      <c r="C38" s="31"/>
      <c r="D38" s="31"/>
      <c r="E38" s="31"/>
      <c r="F38" s="31"/>
      <c r="G38" s="152"/>
      <c r="H38" s="153"/>
      <c r="I38" s="31"/>
      <c r="J38" s="153" t="s">
        <v>219</v>
      </c>
      <c r="K38" s="31" t="s">
        <v>220</v>
      </c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54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55"/>
    </row>
    <row r="39" spans="2:61" ht="20.100000000000001" customHeight="1" x14ac:dyDescent="0.45">
      <c r="B39" s="151"/>
      <c r="C39" s="31"/>
      <c r="D39" s="31"/>
      <c r="E39" s="31"/>
      <c r="F39" s="31"/>
      <c r="G39" s="152"/>
      <c r="H39" s="159"/>
      <c r="I39" s="160"/>
      <c r="J39" s="159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1"/>
      <c r="AL39" s="160"/>
      <c r="AM39" s="160"/>
      <c r="AN39" s="160"/>
      <c r="AO39" s="160"/>
      <c r="AP39" s="160"/>
      <c r="AQ39" s="160"/>
      <c r="AR39" s="160"/>
      <c r="AS39" s="160"/>
      <c r="AT39" s="160"/>
      <c r="AU39" s="160"/>
      <c r="AV39" s="160"/>
      <c r="AW39" s="160"/>
      <c r="AX39" s="160"/>
      <c r="AY39" s="160"/>
      <c r="AZ39" s="160"/>
      <c r="BA39" s="160"/>
      <c r="BB39" s="160"/>
      <c r="BC39" s="160"/>
      <c r="BD39" s="160"/>
      <c r="BE39" s="160"/>
      <c r="BF39" s="160"/>
      <c r="BG39" s="160"/>
      <c r="BH39" s="160"/>
      <c r="BI39" s="162"/>
    </row>
    <row r="40" spans="2:61" ht="20.100000000000001" customHeight="1" x14ac:dyDescent="0.45">
      <c r="B40" s="151"/>
      <c r="C40" s="31"/>
      <c r="D40" s="31"/>
      <c r="E40" s="31"/>
      <c r="F40" s="31"/>
      <c r="G40" s="152"/>
      <c r="H40" s="153" t="s">
        <v>221</v>
      </c>
      <c r="I40" s="31"/>
      <c r="J40" s="153" t="s">
        <v>222</v>
      </c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54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55"/>
    </row>
    <row r="41" spans="2:61" ht="20.100000000000001" customHeight="1" x14ac:dyDescent="0.45">
      <c r="B41" s="184" t="s">
        <v>245</v>
      </c>
      <c r="C41" s="55"/>
      <c r="D41" s="55"/>
      <c r="E41" s="55"/>
      <c r="F41" s="55"/>
      <c r="G41" s="185"/>
      <c r="H41" s="156" t="s">
        <v>223</v>
      </c>
      <c r="I41" s="55"/>
      <c r="J41" s="180" t="s">
        <v>224</v>
      </c>
      <c r="K41" s="52"/>
      <c r="L41" s="52"/>
      <c r="M41" s="52"/>
      <c r="N41" s="52"/>
      <c r="O41" s="52"/>
      <c r="P41" s="52"/>
      <c r="Q41" s="52"/>
      <c r="R41" s="180" t="s">
        <v>229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81"/>
      <c r="AK41" s="157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158"/>
    </row>
    <row r="42" spans="2:61" ht="20.100000000000001" customHeight="1" x14ac:dyDescent="0.45">
      <c r="B42" s="151"/>
      <c r="C42" s="31"/>
      <c r="D42" s="31"/>
      <c r="E42" s="31"/>
      <c r="F42" s="31"/>
      <c r="G42" s="152"/>
      <c r="H42" s="153"/>
      <c r="I42" s="31"/>
      <c r="J42" s="180" t="s">
        <v>225</v>
      </c>
      <c r="K42" s="52"/>
      <c r="L42" s="52"/>
      <c r="M42" s="52"/>
      <c r="N42" s="52"/>
      <c r="O42" s="52"/>
      <c r="P42" s="52"/>
      <c r="Q42" s="52"/>
      <c r="R42" s="180" t="s">
        <v>230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81"/>
      <c r="AK42" s="154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55"/>
    </row>
    <row r="43" spans="2:61" ht="20.100000000000001" customHeight="1" x14ac:dyDescent="0.45">
      <c r="B43" s="151"/>
      <c r="C43" s="31"/>
      <c r="D43" s="31"/>
      <c r="E43" s="31"/>
      <c r="F43" s="31"/>
      <c r="G43" s="152"/>
      <c r="H43" s="153"/>
      <c r="I43" s="31"/>
      <c r="J43" s="180" t="s">
        <v>226</v>
      </c>
      <c r="K43" s="52"/>
      <c r="L43" s="52"/>
      <c r="M43" s="52"/>
      <c r="N43" s="52"/>
      <c r="O43" s="52"/>
      <c r="P43" s="52"/>
      <c r="Q43" s="52"/>
      <c r="R43" s="180" t="s">
        <v>231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81"/>
      <c r="AK43" s="154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55"/>
    </row>
    <row r="44" spans="2:61" ht="20.100000000000001" customHeight="1" x14ac:dyDescent="0.45">
      <c r="B44" s="151"/>
      <c r="C44" s="31"/>
      <c r="D44" s="31"/>
      <c r="E44" s="31"/>
      <c r="F44" s="31"/>
      <c r="G44" s="152"/>
      <c r="H44" s="153"/>
      <c r="I44" s="31"/>
      <c r="J44" s="180" t="s">
        <v>227</v>
      </c>
      <c r="K44" s="52"/>
      <c r="L44" s="52"/>
      <c r="M44" s="52"/>
      <c r="N44" s="52"/>
      <c r="O44" s="52"/>
      <c r="P44" s="52"/>
      <c r="Q44" s="52"/>
      <c r="R44" s="180" t="s">
        <v>232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81"/>
      <c r="AK44" s="154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55"/>
    </row>
    <row r="45" spans="2:61" ht="20.100000000000001" customHeight="1" x14ac:dyDescent="0.45">
      <c r="B45" s="151"/>
      <c r="C45" s="31"/>
      <c r="D45" s="31"/>
      <c r="E45" s="31"/>
      <c r="F45" s="31"/>
      <c r="G45" s="152"/>
      <c r="H45" s="159"/>
      <c r="I45" s="160"/>
      <c r="J45" s="180" t="s">
        <v>228</v>
      </c>
      <c r="K45" s="52"/>
      <c r="L45" s="52"/>
      <c r="M45" s="52"/>
      <c r="N45" s="52"/>
      <c r="O45" s="52"/>
      <c r="P45" s="52"/>
      <c r="Q45" s="52"/>
      <c r="R45" s="180" t="s">
        <v>233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181"/>
      <c r="AK45" s="161"/>
      <c r="AL45" s="160"/>
      <c r="AM45" s="160"/>
      <c r="AN45" s="160"/>
      <c r="AO45" s="160"/>
      <c r="AP45" s="160"/>
      <c r="AQ45" s="160"/>
      <c r="AR45" s="160"/>
      <c r="AS45" s="160"/>
      <c r="AT45" s="160"/>
      <c r="AU45" s="160"/>
      <c r="AV45" s="160"/>
      <c r="AW45" s="160"/>
      <c r="AX45" s="160"/>
      <c r="AY45" s="160"/>
      <c r="AZ45" s="160"/>
      <c r="BA45" s="160"/>
      <c r="BB45" s="160"/>
      <c r="BC45" s="160"/>
      <c r="BD45" s="160"/>
      <c r="BE45" s="160"/>
      <c r="BF45" s="160"/>
      <c r="BG45" s="160"/>
      <c r="BH45" s="160"/>
      <c r="BI45" s="162"/>
    </row>
    <row r="46" spans="2:61" ht="20.100000000000001" customHeight="1" x14ac:dyDescent="0.45">
      <c r="B46" s="151"/>
      <c r="C46" s="31"/>
      <c r="D46" s="31"/>
      <c r="E46" s="31"/>
      <c r="F46" s="31"/>
      <c r="G46" s="152"/>
      <c r="H46" s="153" t="s">
        <v>234</v>
      </c>
      <c r="I46" s="31"/>
      <c r="J46" s="153" t="s">
        <v>229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54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55"/>
    </row>
    <row r="47" spans="2:61" ht="20.100000000000001" customHeight="1" x14ac:dyDescent="0.45">
      <c r="B47" s="151"/>
      <c r="C47" s="31"/>
      <c r="D47" s="31"/>
      <c r="E47" s="31"/>
      <c r="F47" s="31"/>
      <c r="G47" s="152"/>
      <c r="H47" s="159"/>
      <c r="I47" s="160"/>
      <c r="J47" s="159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1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2"/>
    </row>
    <row r="48" spans="2:61" ht="20.100000000000001" customHeight="1" x14ac:dyDescent="0.45">
      <c r="B48" s="151"/>
      <c r="C48" s="31"/>
      <c r="D48" s="31"/>
      <c r="E48" s="31"/>
      <c r="F48" s="31"/>
      <c r="G48" s="152"/>
      <c r="H48" s="153" t="s">
        <v>235</v>
      </c>
      <c r="I48" s="31"/>
      <c r="J48" s="153" t="s">
        <v>211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54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55"/>
    </row>
    <row r="49" spans="2:61" ht="20.100000000000001" customHeight="1" x14ac:dyDescent="0.45">
      <c r="B49" s="151"/>
      <c r="C49" s="31"/>
      <c r="D49" s="31"/>
      <c r="E49" s="31"/>
      <c r="F49" s="31"/>
      <c r="G49" s="152"/>
      <c r="H49" s="153"/>
      <c r="I49" s="31"/>
      <c r="J49" s="153"/>
      <c r="K49" s="31" t="s">
        <v>236</v>
      </c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54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55"/>
    </row>
    <row r="50" spans="2:61" ht="20.100000000000001" customHeight="1" x14ac:dyDescent="0.45">
      <c r="B50" s="151"/>
      <c r="C50" s="31"/>
      <c r="D50" s="31"/>
      <c r="E50" s="31"/>
      <c r="F50" s="31"/>
      <c r="G50" s="152"/>
      <c r="H50" s="153"/>
      <c r="I50" s="31"/>
      <c r="J50" s="153"/>
      <c r="K50" s="31"/>
      <c r="L50" s="31" t="s">
        <v>237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54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55"/>
    </row>
    <row r="51" spans="2:61" ht="20.100000000000001" customHeight="1" x14ac:dyDescent="0.45">
      <c r="B51" s="151"/>
      <c r="C51" s="31"/>
      <c r="D51" s="31"/>
      <c r="E51" s="31"/>
      <c r="F51" s="31"/>
      <c r="G51" s="152"/>
      <c r="H51" s="153"/>
      <c r="I51" s="31"/>
      <c r="J51" s="153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54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55"/>
    </row>
    <row r="52" spans="2:61" ht="20.100000000000001" customHeight="1" x14ac:dyDescent="0.45">
      <c r="B52" s="151"/>
      <c r="C52" s="31"/>
      <c r="D52" s="31"/>
      <c r="E52" s="31"/>
      <c r="F52" s="31"/>
      <c r="G52" s="152"/>
      <c r="H52" s="153"/>
      <c r="I52" s="31"/>
      <c r="J52" s="153" t="s">
        <v>213</v>
      </c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54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55"/>
    </row>
    <row r="53" spans="2:61" ht="20.100000000000001" customHeight="1" x14ac:dyDescent="0.45">
      <c r="B53" s="151"/>
      <c r="C53" s="31"/>
      <c r="D53" s="31"/>
      <c r="E53" s="31"/>
      <c r="F53" s="31"/>
      <c r="G53" s="152"/>
      <c r="H53" s="153"/>
      <c r="I53" s="31"/>
      <c r="J53" s="153"/>
      <c r="K53" s="31" t="s">
        <v>238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54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55"/>
    </row>
    <row r="54" spans="2:61" ht="20.100000000000001" customHeight="1" x14ac:dyDescent="0.45">
      <c r="B54" s="151"/>
      <c r="C54" s="31"/>
      <c r="D54" s="31"/>
      <c r="E54" s="31"/>
      <c r="F54" s="31"/>
      <c r="G54" s="152"/>
      <c r="H54" s="153"/>
      <c r="I54" s="31"/>
      <c r="J54" s="153"/>
      <c r="K54" s="31"/>
      <c r="L54" s="31"/>
      <c r="M54" s="31" t="s">
        <v>239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54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55"/>
    </row>
    <row r="55" spans="2:61" ht="20.100000000000001" customHeight="1" x14ac:dyDescent="0.45">
      <c r="B55" s="151"/>
      <c r="C55" s="31"/>
      <c r="D55" s="31"/>
      <c r="E55" s="31"/>
      <c r="F55" s="31"/>
      <c r="G55" s="152"/>
      <c r="H55" s="153"/>
      <c r="I55" s="31"/>
      <c r="J55" s="153"/>
      <c r="K55" s="31"/>
      <c r="L55" s="31" t="s">
        <v>219</v>
      </c>
      <c r="M55" s="31" t="s">
        <v>240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54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55"/>
    </row>
    <row r="56" spans="2:61" ht="20.100000000000001" customHeight="1" x14ac:dyDescent="0.45">
      <c r="B56" s="151"/>
      <c r="C56" s="31"/>
      <c r="D56" s="31"/>
      <c r="E56" s="31"/>
      <c r="F56" s="31"/>
      <c r="G56" s="152"/>
      <c r="H56" s="159"/>
      <c r="I56" s="160"/>
      <c r="J56" s="159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1"/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60"/>
      <c r="AZ56" s="160"/>
      <c r="BA56" s="160"/>
      <c r="BB56" s="160"/>
      <c r="BC56" s="160"/>
      <c r="BD56" s="160"/>
      <c r="BE56" s="160"/>
      <c r="BF56" s="160"/>
      <c r="BG56" s="160"/>
      <c r="BH56" s="160"/>
      <c r="BI56" s="162"/>
    </row>
    <row r="57" spans="2:61" ht="20.100000000000001" customHeight="1" x14ac:dyDescent="0.45">
      <c r="B57" s="151"/>
      <c r="C57" s="31"/>
      <c r="D57" s="31"/>
      <c r="E57" s="31"/>
      <c r="F57" s="31"/>
      <c r="G57" s="152"/>
      <c r="H57" s="153" t="s">
        <v>241</v>
      </c>
      <c r="I57" s="31"/>
      <c r="J57" s="153" t="s">
        <v>242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54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55"/>
    </row>
    <row r="58" spans="2:61" ht="20.100000000000001" customHeight="1" x14ac:dyDescent="0.45">
      <c r="B58" s="151"/>
      <c r="C58" s="31"/>
      <c r="D58" s="31"/>
      <c r="E58" s="31"/>
      <c r="F58" s="31"/>
      <c r="G58" s="152"/>
      <c r="H58" s="153"/>
      <c r="I58" s="31"/>
      <c r="J58" s="153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54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55"/>
    </row>
    <row r="59" spans="2:61" ht="20.100000000000001" customHeight="1" x14ac:dyDescent="0.45">
      <c r="B59" s="151"/>
      <c r="C59" s="31"/>
      <c r="D59" s="31"/>
      <c r="E59" s="31"/>
      <c r="F59" s="31"/>
      <c r="G59" s="152"/>
      <c r="H59" s="153"/>
      <c r="I59" s="31"/>
      <c r="J59" s="153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53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55"/>
    </row>
    <row r="60" spans="2:61" ht="20.100000000000001" customHeight="1" x14ac:dyDescent="0.45">
      <c r="B60" s="151"/>
      <c r="C60" s="31"/>
      <c r="D60" s="31"/>
      <c r="E60" s="31"/>
      <c r="F60" s="31"/>
      <c r="G60" s="152"/>
      <c r="H60" s="153"/>
      <c r="I60" s="31"/>
      <c r="J60" s="153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53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55"/>
    </row>
    <row r="61" spans="2:61" ht="20.100000000000001" customHeight="1" x14ac:dyDescent="0.45">
      <c r="B61" s="151"/>
      <c r="C61" s="31"/>
      <c r="D61" s="31"/>
      <c r="E61" s="31"/>
      <c r="F61" s="31"/>
      <c r="G61" s="152"/>
      <c r="H61" s="153"/>
      <c r="I61" s="31"/>
      <c r="J61" s="153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53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55"/>
    </row>
    <row r="62" spans="2:61" ht="20.100000000000001" customHeight="1" thickBot="1" x14ac:dyDescent="0.5">
      <c r="B62" s="151"/>
      <c r="C62" s="31"/>
      <c r="D62" s="31"/>
      <c r="E62" s="31"/>
      <c r="F62" s="31"/>
      <c r="G62" s="152"/>
      <c r="H62" s="159"/>
      <c r="I62" s="160"/>
      <c r="J62" s="159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59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2"/>
    </row>
    <row r="63" spans="2:61" ht="5.0999999999999996" customHeight="1" x14ac:dyDescent="0.45"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6"/>
      <c r="BD63" s="146"/>
      <c r="BE63" s="146"/>
      <c r="BF63" s="146"/>
      <c r="BG63" s="146"/>
      <c r="BH63" s="146"/>
      <c r="BI63" s="146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B1:BM36"/>
  <sheetViews>
    <sheetView showGridLines="0" topLeftCell="A4" zoomScaleNormal="100" zoomScaleSheetLayoutView="100" workbookViewId="0">
      <selection activeCell="J13" sqref="J13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50" t="s">
        <v>0</v>
      </c>
      <c r="C2" s="245"/>
      <c r="D2" s="245"/>
      <c r="E2" s="245"/>
      <c r="F2" s="245"/>
      <c r="G2" s="245"/>
      <c r="H2" s="245" t="s">
        <v>17</v>
      </c>
      <c r="I2" s="245"/>
      <c r="J2" s="245"/>
      <c r="K2" s="245"/>
      <c r="L2" s="245" t="s">
        <v>1</v>
      </c>
      <c r="M2" s="245"/>
      <c r="N2" s="245"/>
      <c r="O2" s="245"/>
      <c r="P2" s="245"/>
      <c r="Q2" s="245"/>
      <c r="R2" s="245" t="s">
        <v>2</v>
      </c>
      <c r="S2" s="245"/>
      <c r="T2" s="245"/>
      <c r="U2" s="245"/>
      <c r="V2" s="245"/>
      <c r="W2" s="245"/>
      <c r="X2" s="251" t="s">
        <v>3</v>
      </c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K2" s="251" t="s">
        <v>32</v>
      </c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3"/>
      <c r="AX2" s="245" t="s">
        <v>5</v>
      </c>
      <c r="AY2" s="245"/>
      <c r="AZ2" s="245"/>
      <c r="BA2" s="245"/>
      <c r="BB2" s="245" t="s">
        <v>4</v>
      </c>
      <c r="BC2" s="245"/>
      <c r="BD2" s="245"/>
      <c r="BE2" s="245"/>
      <c r="BF2" s="245" t="s">
        <v>6</v>
      </c>
      <c r="BG2" s="245"/>
      <c r="BH2" s="245"/>
      <c r="BI2" s="245"/>
      <c r="BJ2" s="245" t="s">
        <v>7</v>
      </c>
      <c r="BK2" s="245"/>
      <c r="BL2" s="245"/>
      <c r="BM2" s="246"/>
    </row>
    <row r="3" spans="2:65" ht="20.100000000000001" customHeight="1" x14ac:dyDescent="0.45">
      <c r="B3" s="254" t="str">
        <f>変更履歴!B3</f>
        <v>受発注システム</v>
      </c>
      <c r="C3" s="192"/>
      <c r="D3" s="192"/>
      <c r="E3" s="192"/>
      <c r="F3" s="192"/>
      <c r="G3" s="192"/>
      <c r="H3" s="192" t="str">
        <f ca="1">変更履歴!H3</f>
        <v>SU1100</v>
      </c>
      <c r="I3" s="192"/>
      <c r="J3" s="192"/>
      <c r="K3" s="192"/>
      <c r="L3" s="192" t="str">
        <f>変更履歴!L3</f>
        <v>受発注</v>
      </c>
      <c r="M3" s="192"/>
      <c r="N3" s="192"/>
      <c r="O3" s="192"/>
      <c r="P3" s="192"/>
      <c r="Q3" s="192"/>
      <c r="R3" s="192" t="str">
        <f ca="1">変更履歴!R3</f>
        <v>帳票設計書</v>
      </c>
      <c r="S3" s="192"/>
      <c r="T3" s="192"/>
      <c r="U3" s="192"/>
      <c r="V3" s="192"/>
      <c r="W3" s="192"/>
      <c r="X3" s="196" t="str">
        <f ca="1">変更履歴!X3</f>
        <v>SU1100_ウエルシア請求明細_帳票設計書</v>
      </c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3"/>
      <c r="AK3" s="196" t="str">
        <f ca="1">変更履歴!AK3</f>
        <v>ウエルシア請求明細</v>
      </c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3"/>
      <c r="AX3" s="203">
        <f>変更履歴!AX3</f>
        <v>45581</v>
      </c>
      <c r="AY3" s="203"/>
      <c r="AZ3" s="203"/>
      <c r="BA3" s="203"/>
      <c r="BB3" s="192" t="str">
        <f>変更履歴!BB3</f>
        <v>大谷</v>
      </c>
      <c r="BC3" s="192"/>
      <c r="BD3" s="192"/>
      <c r="BE3" s="192"/>
      <c r="BF3" s="203">
        <f>変更履歴!BF3</f>
        <v>45581</v>
      </c>
      <c r="BG3" s="203"/>
      <c r="BH3" s="203"/>
      <c r="BI3" s="203"/>
      <c r="BJ3" s="192" t="str">
        <f>変更履歴!BJ3</f>
        <v>大谷</v>
      </c>
      <c r="BK3" s="192"/>
      <c r="BL3" s="192"/>
      <c r="BM3" s="243"/>
    </row>
    <row r="4" spans="2:65" ht="20.100000000000001" customHeight="1" thickBot="1" x14ac:dyDescent="0.5">
      <c r="B4" s="255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7"/>
      <c r="Y4" s="248"/>
      <c r="Z4" s="248"/>
      <c r="AA4" s="248"/>
      <c r="AB4" s="248"/>
      <c r="AC4" s="248"/>
      <c r="AD4" s="248"/>
      <c r="AE4" s="248"/>
      <c r="AF4" s="248"/>
      <c r="AG4" s="248"/>
      <c r="AH4" s="248"/>
      <c r="AI4" s="248"/>
      <c r="AJ4" s="249"/>
      <c r="AK4" s="247"/>
      <c r="AL4" s="248"/>
      <c r="AM4" s="248"/>
      <c r="AN4" s="248"/>
      <c r="AO4" s="248"/>
      <c r="AP4" s="248"/>
      <c r="AQ4" s="248"/>
      <c r="AR4" s="248"/>
      <c r="AS4" s="248"/>
      <c r="AT4" s="248"/>
      <c r="AU4" s="248"/>
      <c r="AV4" s="248"/>
      <c r="AW4" s="249"/>
      <c r="AX4" s="241"/>
      <c r="AY4" s="241"/>
      <c r="AZ4" s="241"/>
      <c r="BA4" s="241"/>
      <c r="BB4" s="242"/>
      <c r="BC4" s="242"/>
      <c r="BD4" s="242"/>
      <c r="BE4" s="242"/>
      <c r="BF4" s="241"/>
      <c r="BG4" s="241"/>
      <c r="BH4" s="241"/>
      <c r="BI4" s="241"/>
      <c r="BJ4" s="242"/>
      <c r="BK4" s="242"/>
      <c r="BL4" s="242"/>
      <c r="BM4" s="244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45" t="s">
        <v>160</v>
      </c>
      <c r="C7" s="146"/>
      <c r="D7" s="146"/>
      <c r="E7" s="146"/>
      <c r="F7" s="146"/>
      <c r="G7" s="146"/>
      <c r="H7" s="148" t="s">
        <v>188</v>
      </c>
      <c r="I7" s="147"/>
      <c r="J7" s="182" t="s">
        <v>20</v>
      </c>
      <c r="K7" s="177"/>
      <c r="L7" s="177"/>
      <c r="M7" s="177"/>
      <c r="N7" s="177"/>
      <c r="O7" s="177"/>
      <c r="P7" s="177"/>
      <c r="Q7" s="177"/>
      <c r="R7" s="182" t="s">
        <v>189</v>
      </c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8"/>
      <c r="AK7" s="149"/>
      <c r="AL7" s="146"/>
      <c r="AM7" s="146"/>
      <c r="AN7" s="146"/>
      <c r="AO7" s="146"/>
      <c r="AP7" s="146"/>
      <c r="AQ7" s="146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6"/>
      <c r="BF7" s="146"/>
      <c r="BG7" s="146"/>
      <c r="BH7" s="146"/>
      <c r="BI7" s="150"/>
      <c r="BJ7" s="29"/>
      <c r="BK7" s="29"/>
      <c r="BL7" s="29"/>
      <c r="BM7" s="29"/>
    </row>
    <row r="8" spans="2:65" ht="20.100000000000001" customHeight="1" x14ac:dyDescent="0.45">
      <c r="B8" s="179"/>
      <c r="C8" s="31"/>
      <c r="D8" s="31"/>
      <c r="E8" s="31"/>
      <c r="F8" s="31"/>
      <c r="G8" s="31"/>
      <c r="H8" s="153"/>
      <c r="I8" s="152"/>
      <c r="J8" s="180" t="s">
        <v>190</v>
      </c>
      <c r="K8" s="52"/>
      <c r="L8" s="52"/>
      <c r="M8" s="52"/>
      <c r="N8" s="52"/>
      <c r="O8" s="52"/>
      <c r="P8" s="52"/>
      <c r="Q8" s="52"/>
      <c r="R8" s="180" t="s">
        <v>191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81"/>
      <c r="AK8" s="154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55"/>
      <c r="BJ8" s="29"/>
      <c r="BK8" s="29"/>
      <c r="BL8" s="29"/>
      <c r="BM8" s="29"/>
    </row>
    <row r="9" spans="2:65" ht="20.100000000000001" customHeight="1" x14ac:dyDescent="0.45">
      <c r="B9" s="179"/>
      <c r="C9" s="31"/>
      <c r="D9" s="31"/>
      <c r="E9" s="31"/>
      <c r="F9" s="31"/>
      <c r="G9" s="31"/>
      <c r="H9" s="159"/>
      <c r="I9" s="183"/>
      <c r="J9" s="180" t="s">
        <v>192</v>
      </c>
      <c r="K9" s="52"/>
      <c r="L9" s="52"/>
      <c r="M9" s="52"/>
      <c r="N9" s="52"/>
      <c r="O9" s="52"/>
      <c r="P9" s="52"/>
      <c r="Q9" s="52"/>
      <c r="R9" s="180" t="s">
        <v>193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81"/>
      <c r="AK9" s="161"/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160"/>
      <c r="AZ9" s="160"/>
      <c r="BA9" s="160"/>
      <c r="BB9" s="160"/>
      <c r="BC9" s="160"/>
      <c r="BD9" s="160"/>
      <c r="BE9" s="160"/>
      <c r="BF9" s="160"/>
      <c r="BG9" s="160"/>
      <c r="BH9" s="160"/>
      <c r="BI9" s="162"/>
      <c r="BJ9" s="29"/>
      <c r="BK9" s="29"/>
      <c r="BL9" s="29"/>
      <c r="BM9" s="29"/>
    </row>
    <row r="10" spans="2:65" ht="20.100000000000001" customHeight="1" x14ac:dyDescent="0.45">
      <c r="B10" s="179"/>
      <c r="C10" s="31"/>
      <c r="D10" s="31"/>
      <c r="E10" s="31"/>
      <c r="F10" s="31"/>
      <c r="G10" s="152"/>
      <c r="H10" s="153" t="s">
        <v>161</v>
      </c>
      <c r="I10" s="31"/>
      <c r="J10" s="167" t="s">
        <v>162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54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55"/>
      <c r="BJ10" s="29"/>
      <c r="BK10" s="29"/>
      <c r="BL10" s="29"/>
      <c r="BM10" s="29"/>
    </row>
    <row r="11" spans="2:65" ht="20.100000000000001" customHeight="1" x14ac:dyDescent="0.45">
      <c r="B11" s="151"/>
      <c r="C11" s="31"/>
      <c r="D11" s="31"/>
      <c r="E11" s="31"/>
      <c r="F11" s="31"/>
      <c r="G11" s="152"/>
      <c r="H11" s="153"/>
      <c r="I11" s="31"/>
      <c r="J11" s="153" t="s">
        <v>163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54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55"/>
      <c r="BJ11" s="29"/>
      <c r="BK11" s="29"/>
      <c r="BL11" s="29"/>
      <c r="BM11" s="29"/>
    </row>
    <row r="12" spans="2:65" ht="20.100000000000001" customHeight="1" x14ac:dyDescent="0.45">
      <c r="B12" s="151"/>
      <c r="C12" s="31"/>
      <c r="D12" s="31"/>
      <c r="E12" s="31"/>
      <c r="F12" s="31"/>
      <c r="G12" s="152"/>
      <c r="H12" s="153"/>
      <c r="I12" s="31"/>
      <c r="J12" s="153" t="s">
        <v>164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54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55"/>
      <c r="BJ12" s="29"/>
      <c r="BK12" s="29"/>
      <c r="BL12" s="29"/>
      <c r="BM12" s="29"/>
    </row>
    <row r="13" spans="2:65" ht="20.100000000000001" customHeight="1" x14ac:dyDescent="0.45">
      <c r="B13" s="151"/>
      <c r="C13" s="31"/>
      <c r="D13" s="31"/>
      <c r="E13" s="31"/>
      <c r="F13" s="31"/>
      <c r="G13" s="152"/>
      <c r="H13" s="153"/>
      <c r="I13" s="31"/>
      <c r="J13" s="153" t="s">
        <v>165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54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55"/>
      <c r="BJ13" s="29"/>
      <c r="BK13" s="29"/>
      <c r="BL13" s="29"/>
      <c r="BM13" s="29"/>
    </row>
    <row r="14" spans="2:65" ht="20.100000000000001" customHeight="1" x14ac:dyDescent="0.45">
      <c r="B14" s="151"/>
      <c r="C14" s="31"/>
      <c r="D14" s="31"/>
      <c r="E14" s="31"/>
      <c r="F14" s="31"/>
      <c r="G14" s="152"/>
      <c r="H14" s="156" t="s">
        <v>166</v>
      </c>
      <c r="I14" s="55"/>
      <c r="J14" s="163" t="s">
        <v>167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57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58"/>
      <c r="BJ14" s="29"/>
      <c r="BK14" s="29"/>
      <c r="BL14" s="29"/>
      <c r="BM14" s="29"/>
    </row>
    <row r="15" spans="2:65" ht="20.100000000000001" customHeight="1" x14ac:dyDescent="0.45">
      <c r="B15" s="151"/>
      <c r="C15" s="31"/>
      <c r="D15" s="31"/>
      <c r="E15" s="31"/>
      <c r="F15" s="31"/>
      <c r="G15" s="152"/>
      <c r="H15" s="153"/>
      <c r="I15" s="31"/>
      <c r="J15" s="164"/>
      <c r="K15" s="165" t="s">
        <v>168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54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55"/>
      <c r="BJ15" s="29"/>
      <c r="BK15" s="29"/>
      <c r="BL15" s="29"/>
      <c r="BM15" s="29"/>
    </row>
    <row r="16" spans="2:65" ht="20.100000000000001" customHeight="1" x14ac:dyDescent="0.45">
      <c r="B16" s="151"/>
      <c r="C16" s="31"/>
      <c r="D16" s="31"/>
      <c r="E16" s="31"/>
      <c r="F16" s="31"/>
      <c r="G16" s="152"/>
      <c r="H16" s="153"/>
      <c r="I16" s="31"/>
      <c r="J16" s="153"/>
      <c r="K16" s="29"/>
      <c r="L16" s="166"/>
      <c r="M16" s="165" t="s">
        <v>169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54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55"/>
      <c r="BJ16" s="29"/>
      <c r="BK16" s="29"/>
      <c r="BL16" s="29"/>
      <c r="BM16" s="29"/>
    </row>
    <row r="17" spans="2:65" ht="20.100000000000001" customHeight="1" x14ac:dyDescent="0.45">
      <c r="B17" s="151"/>
      <c r="C17" s="31"/>
      <c r="D17" s="31"/>
      <c r="E17" s="31"/>
      <c r="F17" s="31"/>
      <c r="G17" s="152"/>
      <c r="H17" s="153"/>
      <c r="I17" s="31"/>
      <c r="J17" s="153"/>
      <c r="K17" s="29"/>
      <c r="L17" s="166" t="s">
        <v>170</v>
      </c>
      <c r="M17" s="165" t="s">
        <v>169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54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55"/>
      <c r="BJ17" s="29"/>
      <c r="BK17" s="29"/>
      <c r="BL17" s="29"/>
      <c r="BM17" s="29"/>
    </row>
    <row r="18" spans="2:65" ht="20.100000000000001" customHeight="1" x14ac:dyDescent="0.45">
      <c r="B18" s="151"/>
      <c r="C18" s="31"/>
      <c r="D18" s="31"/>
      <c r="E18" s="31"/>
      <c r="F18" s="31"/>
      <c r="G18" s="152"/>
      <c r="H18" s="153"/>
      <c r="I18" s="31"/>
      <c r="J18" s="153"/>
      <c r="K18" s="29"/>
      <c r="L18" s="166" t="s">
        <v>171</v>
      </c>
      <c r="M18" s="165" t="s">
        <v>169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54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55"/>
      <c r="BJ18" s="29"/>
      <c r="BK18" s="29"/>
      <c r="BL18" s="29"/>
      <c r="BM18" s="29"/>
    </row>
    <row r="19" spans="2:65" ht="20.100000000000001" customHeight="1" x14ac:dyDescent="0.45">
      <c r="B19" s="151"/>
      <c r="C19" s="31"/>
      <c r="D19" s="31"/>
      <c r="E19" s="31"/>
      <c r="F19" s="31"/>
      <c r="G19" s="152"/>
      <c r="H19" s="153"/>
      <c r="I19" s="31"/>
      <c r="J19" s="153" t="s">
        <v>172</v>
      </c>
      <c r="K19" s="166"/>
      <c r="L19" s="165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54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55"/>
      <c r="BJ19" s="29"/>
      <c r="BK19" s="29"/>
      <c r="BL19" s="29"/>
      <c r="BM19" s="29"/>
    </row>
    <row r="20" spans="2:65" ht="20.100000000000001" customHeight="1" x14ac:dyDescent="0.45">
      <c r="B20" s="151"/>
      <c r="C20" s="31"/>
      <c r="D20" s="31"/>
      <c r="E20" s="31"/>
      <c r="F20" s="31"/>
      <c r="G20" s="152"/>
      <c r="H20" s="153"/>
      <c r="I20" s="31"/>
      <c r="J20" s="153"/>
      <c r="K20" s="31" t="s">
        <v>173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54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55"/>
      <c r="BJ20" s="29"/>
      <c r="BK20" s="29"/>
      <c r="BL20" s="29"/>
      <c r="BM20" s="29"/>
    </row>
    <row r="21" spans="2:65" ht="20.100000000000001" customHeight="1" x14ac:dyDescent="0.45">
      <c r="B21" s="151"/>
      <c r="C21" s="31"/>
      <c r="D21" s="31"/>
      <c r="E21" s="31"/>
      <c r="F21" s="31"/>
      <c r="G21" s="152"/>
      <c r="H21" s="153"/>
      <c r="I21" s="31"/>
      <c r="J21" s="153"/>
      <c r="K21" s="29"/>
      <c r="L21" s="31"/>
      <c r="M21" s="31" t="s">
        <v>174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54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55"/>
    </row>
    <row r="22" spans="2:65" ht="20.100000000000001" customHeight="1" x14ac:dyDescent="0.45">
      <c r="B22" s="151"/>
      <c r="C22" s="31"/>
      <c r="D22" s="31"/>
      <c r="E22" s="31"/>
      <c r="F22" s="31"/>
      <c r="G22" s="152"/>
      <c r="H22" s="159"/>
      <c r="I22" s="160"/>
      <c r="J22" s="159"/>
      <c r="K22" s="160"/>
      <c r="L22" s="160" t="s">
        <v>170</v>
      </c>
      <c r="M22" s="160" t="s">
        <v>175</v>
      </c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1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60"/>
      <c r="BI22" s="162"/>
    </row>
    <row r="23" spans="2:65" ht="20.100000000000001" customHeight="1" x14ac:dyDescent="0.45">
      <c r="B23" s="151"/>
      <c r="C23" s="31"/>
      <c r="D23" s="31"/>
      <c r="E23" s="31"/>
      <c r="F23" s="31"/>
      <c r="G23" s="152"/>
      <c r="H23" s="153" t="s">
        <v>176</v>
      </c>
      <c r="I23" s="31"/>
      <c r="J23" s="167"/>
      <c r="K23" s="165" t="s">
        <v>177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68" t="s">
        <v>178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55"/>
    </row>
    <row r="24" spans="2:65" ht="20.100000000000001" customHeight="1" x14ac:dyDescent="0.45">
      <c r="B24" s="151"/>
      <c r="C24" s="31"/>
      <c r="D24" s="31"/>
      <c r="E24" s="31"/>
      <c r="F24" s="31"/>
      <c r="G24" s="152"/>
      <c r="H24" s="153"/>
      <c r="I24" s="31"/>
      <c r="J24" s="167" t="s">
        <v>170</v>
      </c>
      <c r="K24" s="165" t="s">
        <v>179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54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55"/>
    </row>
    <row r="25" spans="2:65" ht="20.100000000000001" customHeight="1" x14ac:dyDescent="0.45">
      <c r="B25" s="151"/>
      <c r="C25" s="31"/>
      <c r="D25" s="31"/>
      <c r="E25" s="31"/>
      <c r="F25" s="31"/>
      <c r="G25" s="152"/>
      <c r="H25" s="153"/>
      <c r="I25" s="31"/>
      <c r="J25" s="167" t="s">
        <v>171</v>
      </c>
      <c r="K25" s="165" t="s">
        <v>179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54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55"/>
    </row>
    <row r="26" spans="2:65" ht="20.100000000000001" customHeight="1" x14ac:dyDescent="0.45">
      <c r="B26" s="151"/>
      <c r="C26" s="31"/>
      <c r="D26" s="31"/>
      <c r="E26" s="31"/>
      <c r="F26" s="31"/>
      <c r="G26" s="152"/>
      <c r="H26" s="153"/>
      <c r="I26" s="31"/>
      <c r="J26" s="167" t="s">
        <v>180</v>
      </c>
      <c r="K26" s="165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54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55"/>
    </row>
    <row r="27" spans="2:65" ht="20.100000000000001" customHeight="1" x14ac:dyDescent="0.45">
      <c r="B27" s="151"/>
      <c r="C27" s="31"/>
      <c r="D27" s="31"/>
      <c r="E27" s="31"/>
      <c r="F27" s="31"/>
      <c r="G27" s="152"/>
      <c r="H27" s="153"/>
      <c r="I27" s="31"/>
      <c r="J27" s="153"/>
      <c r="K27" s="31" t="s">
        <v>181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69" t="s">
        <v>182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55"/>
    </row>
    <row r="28" spans="2:65" ht="20.100000000000001" customHeight="1" x14ac:dyDescent="0.45">
      <c r="B28" s="151"/>
      <c r="C28" s="31"/>
      <c r="D28" s="31"/>
      <c r="E28" s="31"/>
      <c r="F28" s="31"/>
      <c r="G28" s="152"/>
      <c r="H28" s="153"/>
      <c r="I28" s="31"/>
      <c r="J28" s="153" t="s">
        <v>170</v>
      </c>
      <c r="K28" s="31" t="s">
        <v>183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53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55"/>
    </row>
    <row r="29" spans="2:65" ht="20.100000000000001" customHeight="1" x14ac:dyDescent="0.45">
      <c r="B29" s="151"/>
      <c r="C29" s="31"/>
      <c r="D29" s="31"/>
      <c r="E29" s="31"/>
      <c r="F29" s="31"/>
      <c r="G29" s="152"/>
      <c r="H29" s="153"/>
      <c r="I29" s="31"/>
      <c r="J29" s="167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53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55"/>
    </row>
    <row r="30" spans="2:65" ht="20.100000000000001" customHeight="1" x14ac:dyDescent="0.45">
      <c r="B30" s="151"/>
      <c r="C30" s="31"/>
      <c r="D30" s="31"/>
      <c r="E30" s="31"/>
      <c r="F30" s="31"/>
      <c r="G30" s="152"/>
      <c r="H30" s="153"/>
      <c r="I30" s="31"/>
      <c r="J30" s="153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53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55"/>
    </row>
    <row r="31" spans="2:65" ht="20.100000000000001" customHeight="1" x14ac:dyDescent="0.45">
      <c r="B31" s="151"/>
      <c r="C31" s="31"/>
      <c r="D31" s="31"/>
      <c r="E31" s="31"/>
      <c r="F31" s="31"/>
      <c r="G31" s="152"/>
      <c r="H31" s="159"/>
      <c r="I31" s="160"/>
      <c r="J31" s="159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59"/>
      <c r="AL31" s="160"/>
      <c r="AM31" s="160"/>
      <c r="AN31" s="160"/>
      <c r="AO31" s="160"/>
      <c r="AP31" s="160"/>
      <c r="AQ31" s="160"/>
      <c r="AR31" s="160"/>
      <c r="AS31" s="160"/>
      <c r="AT31" s="160"/>
      <c r="AU31" s="160"/>
      <c r="AV31" s="160"/>
      <c r="AW31" s="160"/>
      <c r="AX31" s="160"/>
      <c r="AY31" s="160"/>
      <c r="AZ31" s="160"/>
      <c r="BA31" s="160"/>
      <c r="BB31" s="160"/>
      <c r="BC31" s="160"/>
      <c r="BD31" s="160"/>
      <c r="BE31" s="160"/>
      <c r="BF31" s="160"/>
      <c r="BG31" s="160"/>
      <c r="BH31" s="160"/>
      <c r="BI31" s="162"/>
    </row>
    <row r="32" spans="2:65" ht="20.100000000000001" customHeight="1" x14ac:dyDescent="0.45">
      <c r="B32" s="151"/>
      <c r="C32" s="31"/>
      <c r="D32" s="31"/>
      <c r="E32" s="31"/>
      <c r="F32" s="31"/>
      <c r="G32" s="152"/>
      <c r="H32" s="153" t="s">
        <v>184</v>
      </c>
      <c r="I32" s="31"/>
      <c r="J32" s="167" t="s">
        <v>185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53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55"/>
    </row>
    <row r="33" spans="2:61" ht="20.100000000000001" customHeight="1" x14ac:dyDescent="0.45">
      <c r="B33" s="151"/>
      <c r="C33" s="31"/>
      <c r="D33" s="31"/>
      <c r="E33" s="31"/>
      <c r="F33" s="31"/>
      <c r="G33" s="152"/>
      <c r="H33" s="153"/>
      <c r="I33" s="31"/>
      <c r="J33" s="167" t="s">
        <v>186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53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55"/>
    </row>
    <row r="34" spans="2:61" ht="20.100000000000001" customHeight="1" thickBot="1" x14ac:dyDescent="0.5">
      <c r="B34" s="170"/>
      <c r="C34" s="171"/>
      <c r="D34" s="171"/>
      <c r="E34" s="171"/>
      <c r="F34" s="171"/>
      <c r="G34" s="172"/>
      <c r="H34" s="173"/>
      <c r="I34" s="171"/>
      <c r="J34" s="173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3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4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75" t="s">
        <v>187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T159"/>
  <sheetViews>
    <sheetView zoomScaleNormal="100" zoomScaleSheetLayoutView="90" workbookViewId="0"/>
  </sheetViews>
  <sheetFormatPr defaultRowHeight="13.2" x14ac:dyDescent="0.45"/>
  <cols>
    <col min="1" max="1" width="3.69921875" style="102" bestFit="1" customWidth="1"/>
    <col min="2" max="2" width="5.796875" style="102" hidden="1" customWidth="1"/>
    <col min="3" max="3" width="0" style="102" hidden="1" customWidth="1"/>
    <col min="4" max="4" width="8.5" style="132" bestFit="1" customWidth="1"/>
    <col min="5" max="5" width="8.19921875" style="133" customWidth="1"/>
    <col min="6" max="6" width="8.19921875" style="132" customWidth="1"/>
    <col min="7" max="7" width="16.19921875" style="134" customWidth="1"/>
    <col min="8" max="8" width="18.296875" style="135" customWidth="1"/>
    <col min="9" max="10" width="10.296875" style="102" customWidth="1"/>
    <col min="11" max="13" width="8" style="102" customWidth="1"/>
    <col min="14" max="15" width="11.3984375" style="102" customWidth="1"/>
    <col min="16" max="256" width="8.69921875" style="102"/>
    <col min="257" max="257" width="3.69921875" style="102" bestFit="1" customWidth="1"/>
    <col min="258" max="259" width="0" style="102" hidden="1" customWidth="1"/>
    <col min="260" max="260" width="8.5" style="102" bestFit="1" customWidth="1"/>
    <col min="261" max="262" width="8.19921875" style="102" customWidth="1"/>
    <col min="263" max="263" width="16.19921875" style="102" customWidth="1"/>
    <col min="264" max="264" width="18.296875" style="102" customWidth="1"/>
    <col min="265" max="266" width="10.296875" style="102" customWidth="1"/>
    <col min="267" max="269" width="8" style="102" customWidth="1"/>
    <col min="270" max="271" width="11.3984375" style="102" customWidth="1"/>
    <col min="272" max="512" width="8.69921875" style="102"/>
    <col min="513" max="513" width="3.69921875" style="102" bestFit="1" customWidth="1"/>
    <col min="514" max="515" width="0" style="102" hidden="1" customWidth="1"/>
    <col min="516" max="516" width="8.5" style="102" bestFit="1" customWidth="1"/>
    <col min="517" max="518" width="8.19921875" style="102" customWidth="1"/>
    <col min="519" max="519" width="16.19921875" style="102" customWidth="1"/>
    <col min="520" max="520" width="18.296875" style="102" customWidth="1"/>
    <col min="521" max="522" width="10.296875" style="102" customWidth="1"/>
    <col min="523" max="525" width="8" style="102" customWidth="1"/>
    <col min="526" max="527" width="11.3984375" style="102" customWidth="1"/>
    <col min="528" max="768" width="8.69921875" style="102"/>
    <col min="769" max="769" width="3.69921875" style="102" bestFit="1" customWidth="1"/>
    <col min="770" max="771" width="0" style="102" hidden="1" customWidth="1"/>
    <col min="772" max="772" width="8.5" style="102" bestFit="1" customWidth="1"/>
    <col min="773" max="774" width="8.19921875" style="102" customWidth="1"/>
    <col min="775" max="775" width="16.19921875" style="102" customWidth="1"/>
    <col min="776" max="776" width="18.296875" style="102" customWidth="1"/>
    <col min="777" max="778" width="10.296875" style="102" customWidth="1"/>
    <col min="779" max="781" width="8" style="102" customWidth="1"/>
    <col min="782" max="783" width="11.3984375" style="102" customWidth="1"/>
    <col min="784" max="1024" width="8.69921875" style="102"/>
    <col min="1025" max="1025" width="3.69921875" style="102" bestFit="1" customWidth="1"/>
    <col min="1026" max="1027" width="0" style="102" hidden="1" customWidth="1"/>
    <col min="1028" max="1028" width="8.5" style="102" bestFit="1" customWidth="1"/>
    <col min="1029" max="1030" width="8.19921875" style="102" customWidth="1"/>
    <col min="1031" max="1031" width="16.19921875" style="102" customWidth="1"/>
    <col min="1032" max="1032" width="18.296875" style="102" customWidth="1"/>
    <col min="1033" max="1034" width="10.296875" style="102" customWidth="1"/>
    <col min="1035" max="1037" width="8" style="102" customWidth="1"/>
    <col min="1038" max="1039" width="11.3984375" style="102" customWidth="1"/>
    <col min="1040" max="1280" width="8.69921875" style="102"/>
    <col min="1281" max="1281" width="3.69921875" style="102" bestFit="1" customWidth="1"/>
    <col min="1282" max="1283" width="0" style="102" hidden="1" customWidth="1"/>
    <col min="1284" max="1284" width="8.5" style="102" bestFit="1" customWidth="1"/>
    <col min="1285" max="1286" width="8.19921875" style="102" customWidth="1"/>
    <col min="1287" max="1287" width="16.19921875" style="102" customWidth="1"/>
    <col min="1288" max="1288" width="18.296875" style="102" customWidth="1"/>
    <col min="1289" max="1290" width="10.296875" style="102" customWidth="1"/>
    <col min="1291" max="1293" width="8" style="102" customWidth="1"/>
    <col min="1294" max="1295" width="11.3984375" style="102" customWidth="1"/>
    <col min="1296" max="1536" width="8.69921875" style="102"/>
    <col min="1537" max="1537" width="3.69921875" style="102" bestFit="1" customWidth="1"/>
    <col min="1538" max="1539" width="0" style="102" hidden="1" customWidth="1"/>
    <col min="1540" max="1540" width="8.5" style="102" bestFit="1" customWidth="1"/>
    <col min="1541" max="1542" width="8.19921875" style="102" customWidth="1"/>
    <col min="1543" max="1543" width="16.19921875" style="102" customWidth="1"/>
    <col min="1544" max="1544" width="18.296875" style="102" customWidth="1"/>
    <col min="1545" max="1546" width="10.296875" style="102" customWidth="1"/>
    <col min="1547" max="1549" width="8" style="102" customWidth="1"/>
    <col min="1550" max="1551" width="11.3984375" style="102" customWidth="1"/>
    <col min="1552" max="1792" width="8.69921875" style="102"/>
    <col min="1793" max="1793" width="3.69921875" style="102" bestFit="1" customWidth="1"/>
    <col min="1794" max="1795" width="0" style="102" hidden="1" customWidth="1"/>
    <col min="1796" max="1796" width="8.5" style="102" bestFit="1" customWidth="1"/>
    <col min="1797" max="1798" width="8.19921875" style="102" customWidth="1"/>
    <col min="1799" max="1799" width="16.19921875" style="102" customWidth="1"/>
    <col min="1800" max="1800" width="18.296875" style="102" customWidth="1"/>
    <col min="1801" max="1802" width="10.296875" style="102" customWidth="1"/>
    <col min="1803" max="1805" width="8" style="102" customWidth="1"/>
    <col min="1806" max="1807" width="11.3984375" style="102" customWidth="1"/>
    <col min="1808" max="2048" width="8.69921875" style="102"/>
    <col min="2049" max="2049" width="3.69921875" style="102" bestFit="1" customWidth="1"/>
    <col min="2050" max="2051" width="0" style="102" hidden="1" customWidth="1"/>
    <col min="2052" max="2052" width="8.5" style="102" bestFit="1" customWidth="1"/>
    <col min="2053" max="2054" width="8.19921875" style="102" customWidth="1"/>
    <col min="2055" max="2055" width="16.19921875" style="102" customWidth="1"/>
    <col min="2056" max="2056" width="18.296875" style="102" customWidth="1"/>
    <col min="2057" max="2058" width="10.296875" style="102" customWidth="1"/>
    <col min="2059" max="2061" width="8" style="102" customWidth="1"/>
    <col min="2062" max="2063" width="11.3984375" style="102" customWidth="1"/>
    <col min="2064" max="2304" width="8.69921875" style="102"/>
    <col min="2305" max="2305" width="3.69921875" style="102" bestFit="1" customWidth="1"/>
    <col min="2306" max="2307" width="0" style="102" hidden="1" customWidth="1"/>
    <col min="2308" max="2308" width="8.5" style="102" bestFit="1" customWidth="1"/>
    <col min="2309" max="2310" width="8.19921875" style="102" customWidth="1"/>
    <col min="2311" max="2311" width="16.19921875" style="102" customWidth="1"/>
    <col min="2312" max="2312" width="18.296875" style="102" customWidth="1"/>
    <col min="2313" max="2314" width="10.296875" style="102" customWidth="1"/>
    <col min="2315" max="2317" width="8" style="102" customWidth="1"/>
    <col min="2318" max="2319" width="11.3984375" style="102" customWidth="1"/>
    <col min="2320" max="2560" width="8.69921875" style="102"/>
    <col min="2561" max="2561" width="3.69921875" style="102" bestFit="1" customWidth="1"/>
    <col min="2562" max="2563" width="0" style="102" hidden="1" customWidth="1"/>
    <col min="2564" max="2564" width="8.5" style="102" bestFit="1" customWidth="1"/>
    <col min="2565" max="2566" width="8.19921875" style="102" customWidth="1"/>
    <col min="2567" max="2567" width="16.19921875" style="102" customWidth="1"/>
    <col min="2568" max="2568" width="18.296875" style="102" customWidth="1"/>
    <col min="2569" max="2570" width="10.296875" style="102" customWidth="1"/>
    <col min="2571" max="2573" width="8" style="102" customWidth="1"/>
    <col min="2574" max="2575" width="11.3984375" style="102" customWidth="1"/>
    <col min="2576" max="2816" width="8.69921875" style="102"/>
    <col min="2817" max="2817" width="3.69921875" style="102" bestFit="1" customWidth="1"/>
    <col min="2818" max="2819" width="0" style="102" hidden="1" customWidth="1"/>
    <col min="2820" max="2820" width="8.5" style="102" bestFit="1" customWidth="1"/>
    <col min="2821" max="2822" width="8.19921875" style="102" customWidth="1"/>
    <col min="2823" max="2823" width="16.19921875" style="102" customWidth="1"/>
    <col min="2824" max="2824" width="18.296875" style="102" customWidth="1"/>
    <col min="2825" max="2826" width="10.296875" style="102" customWidth="1"/>
    <col min="2827" max="2829" width="8" style="102" customWidth="1"/>
    <col min="2830" max="2831" width="11.3984375" style="102" customWidth="1"/>
    <col min="2832" max="3072" width="8.69921875" style="102"/>
    <col min="3073" max="3073" width="3.69921875" style="102" bestFit="1" customWidth="1"/>
    <col min="3074" max="3075" width="0" style="102" hidden="1" customWidth="1"/>
    <col min="3076" max="3076" width="8.5" style="102" bestFit="1" customWidth="1"/>
    <col min="3077" max="3078" width="8.19921875" style="102" customWidth="1"/>
    <col min="3079" max="3079" width="16.19921875" style="102" customWidth="1"/>
    <col min="3080" max="3080" width="18.296875" style="102" customWidth="1"/>
    <col min="3081" max="3082" width="10.296875" style="102" customWidth="1"/>
    <col min="3083" max="3085" width="8" style="102" customWidth="1"/>
    <col min="3086" max="3087" width="11.3984375" style="102" customWidth="1"/>
    <col min="3088" max="3328" width="8.69921875" style="102"/>
    <col min="3329" max="3329" width="3.69921875" style="102" bestFit="1" customWidth="1"/>
    <col min="3330" max="3331" width="0" style="102" hidden="1" customWidth="1"/>
    <col min="3332" max="3332" width="8.5" style="102" bestFit="1" customWidth="1"/>
    <col min="3333" max="3334" width="8.19921875" style="102" customWidth="1"/>
    <col min="3335" max="3335" width="16.19921875" style="102" customWidth="1"/>
    <col min="3336" max="3336" width="18.296875" style="102" customWidth="1"/>
    <col min="3337" max="3338" width="10.296875" style="102" customWidth="1"/>
    <col min="3339" max="3341" width="8" style="102" customWidth="1"/>
    <col min="3342" max="3343" width="11.3984375" style="102" customWidth="1"/>
    <col min="3344" max="3584" width="8.69921875" style="102"/>
    <col min="3585" max="3585" width="3.69921875" style="102" bestFit="1" customWidth="1"/>
    <col min="3586" max="3587" width="0" style="102" hidden="1" customWidth="1"/>
    <col min="3588" max="3588" width="8.5" style="102" bestFit="1" customWidth="1"/>
    <col min="3589" max="3590" width="8.19921875" style="102" customWidth="1"/>
    <col min="3591" max="3591" width="16.19921875" style="102" customWidth="1"/>
    <col min="3592" max="3592" width="18.296875" style="102" customWidth="1"/>
    <col min="3593" max="3594" width="10.296875" style="102" customWidth="1"/>
    <col min="3595" max="3597" width="8" style="102" customWidth="1"/>
    <col min="3598" max="3599" width="11.3984375" style="102" customWidth="1"/>
    <col min="3600" max="3840" width="8.69921875" style="102"/>
    <col min="3841" max="3841" width="3.69921875" style="102" bestFit="1" customWidth="1"/>
    <col min="3842" max="3843" width="0" style="102" hidden="1" customWidth="1"/>
    <col min="3844" max="3844" width="8.5" style="102" bestFit="1" customWidth="1"/>
    <col min="3845" max="3846" width="8.19921875" style="102" customWidth="1"/>
    <col min="3847" max="3847" width="16.19921875" style="102" customWidth="1"/>
    <col min="3848" max="3848" width="18.296875" style="102" customWidth="1"/>
    <col min="3849" max="3850" width="10.296875" style="102" customWidth="1"/>
    <col min="3851" max="3853" width="8" style="102" customWidth="1"/>
    <col min="3854" max="3855" width="11.3984375" style="102" customWidth="1"/>
    <col min="3856" max="4096" width="8.69921875" style="102"/>
    <col min="4097" max="4097" width="3.69921875" style="102" bestFit="1" customWidth="1"/>
    <col min="4098" max="4099" width="0" style="102" hidden="1" customWidth="1"/>
    <col min="4100" max="4100" width="8.5" style="102" bestFit="1" customWidth="1"/>
    <col min="4101" max="4102" width="8.19921875" style="102" customWidth="1"/>
    <col min="4103" max="4103" width="16.19921875" style="102" customWidth="1"/>
    <col min="4104" max="4104" width="18.296875" style="102" customWidth="1"/>
    <col min="4105" max="4106" width="10.296875" style="102" customWidth="1"/>
    <col min="4107" max="4109" width="8" style="102" customWidth="1"/>
    <col min="4110" max="4111" width="11.3984375" style="102" customWidth="1"/>
    <col min="4112" max="4352" width="8.69921875" style="102"/>
    <col min="4353" max="4353" width="3.69921875" style="102" bestFit="1" customWidth="1"/>
    <col min="4354" max="4355" width="0" style="102" hidden="1" customWidth="1"/>
    <col min="4356" max="4356" width="8.5" style="102" bestFit="1" customWidth="1"/>
    <col min="4357" max="4358" width="8.19921875" style="102" customWidth="1"/>
    <col min="4359" max="4359" width="16.19921875" style="102" customWidth="1"/>
    <col min="4360" max="4360" width="18.296875" style="102" customWidth="1"/>
    <col min="4361" max="4362" width="10.296875" style="102" customWidth="1"/>
    <col min="4363" max="4365" width="8" style="102" customWidth="1"/>
    <col min="4366" max="4367" width="11.3984375" style="102" customWidth="1"/>
    <col min="4368" max="4608" width="8.69921875" style="102"/>
    <col min="4609" max="4609" width="3.69921875" style="102" bestFit="1" customWidth="1"/>
    <col min="4610" max="4611" width="0" style="102" hidden="1" customWidth="1"/>
    <col min="4612" max="4612" width="8.5" style="102" bestFit="1" customWidth="1"/>
    <col min="4613" max="4614" width="8.19921875" style="102" customWidth="1"/>
    <col min="4615" max="4615" width="16.19921875" style="102" customWidth="1"/>
    <col min="4616" max="4616" width="18.296875" style="102" customWidth="1"/>
    <col min="4617" max="4618" width="10.296875" style="102" customWidth="1"/>
    <col min="4619" max="4621" width="8" style="102" customWidth="1"/>
    <col min="4622" max="4623" width="11.3984375" style="102" customWidth="1"/>
    <col min="4624" max="4864" width="8.69921875" style="102"/>
    <col min="4865" max="4865" width="3.69921875" style="102" bestFit="1" customWidth="1"/>
    <col min="4866" max="4867" width="0" style="102" hidden="1" customWidth="1"/>
    <col min="4868" max="4868" width="8.5" style="102" bestFit="1" customWidth="1"/>
    <col min="4869" max="4870" width="8.19921875" style="102" customWidth="1"/>
    <col min="4871" max="4871" width="16.19921875" style="102" customWidth="1"/>
    <col min="4872" max="4872" width="18.296875" style="102" customWidth="1"/>
    <col min="4873" max="4874" width="10.296875" style="102" customWidth="1"/>
    <col min="4875" max="4877" width="8" style="102" customWidth="1"/>
    <col min="4878" max="4879" width="11.3984375" style="102" customWidth="1"/>
    <col min="4880" max="5120" width="8.69921875" style="102"/>
    <col min="5121" max="5121" width="3.69921875" style="102" bestFit="1" customWidth="1"/>
    <col min="5122" max="5123" width="0" style="102" hidden="1" customWidth="1"/>
    <col min="5124" max="5124" width="8.5" style="102" bestFit="1" customWidth="1"/>
    <col min="5125" max="5126" width="8.19921875" style="102" customWidth="1"/>
    <col min="5127" max="5127" width="16.19921875" style="102" customWidth="1"/>
    <col min="5128" max="5128" width="18.296875" style="102" customWidth="1"/>
    <col min="5129" max="5130" width="10.296875" style="102" customWidth="1"/>
    <col min="5131" max="5133" width="8" style="102" customWidth="1"/>
    <col min="5134" max="5135" width="11.3984375" style="102" customWidth="1"/>
    <col min="5136" max="5376" width="8.69921875" style="102"/>
    <col min="5377" max="5377" width="3.69921875" style="102" bestFit="1" customWidth="1"/>
    <col min="5378" max="5379" width="0" style="102" hidden="1" customWidth="1"/>
    <col min="5380" max="5380" width="8.5" style="102" bestFit="1" customWidth="1"/>
    <col min="5381" max="5382" width="8.19921875" style="102" customWidth="1"/>
    <col min="5383" max="5383" width="16.19921875" style="102" customWidth="1"/>
    <col min="5384" max="5384" width="18.296875" style="102" customWidth="1"/>
    <col min="5385" max="5386" width="10.296875" style="102" customWidth="1"/>
    <col min="5387" max="5389" width="8" style="102" customWidth="1"/>
    <col min="5390" max="5391" width="11.3984375" style="102" customWidth="1"/>
    <col min="5392" max="5632" width="8.69921875" style="102"/>
    <col min="5633" max="5633" width="3.69921875" style="102" bestFit="1" customWidth="1"/>
    <col min="5634" max="5635" width="0" style="102" hidden="1" customWidth="1"/>
    <col min="5636" max="5636" width="8.5" style="102" bestFit="1" customWidth="1"/>
    <col min="5637" max="5638" width="8.19921875" style="102" customWidth="1"/>
    <col min="5639" max="5639" width="16.19921875" style="102" customWidth="1"/>
    <col min="5640" max="5640" width="18.296875" style="102" customWidth="1"/>
    <col min="5641" max="5642" width="10.296875" style="102" customWidth="1"/>
    <col min="5643" max="5645" width="8" style="102" customWidth="1"/>
    <col min="5646" max="5647" width="11.3984375" style="102" customWidth="1"/>
    <col min="5648" max="5888" width="8.69921875" style="102"/>
    <col min="5889" max="5889" width="3.69921875" style="102" bestFit="1" customWidth="1"/>
    <col min="5890" max="5891" width="0" style="102" hidden="1" customWidth="1"/>
    <col min="5892" max="5892" width="8.5" style="102" bestFit="1" customWidth="1"/>
    <col min="5893" max="5894" width="8.19921875" style="102" customWidth="1"/>
    <col min="5895" max="5895" width="16.19921875" style="102" customWidth="1"/>
    <col min="5896" max="5896" width="18.296875" style="102" customWidth="1"/>
    <col min="5897" max="5898" width="10.296875" style="102" customWidth="1"/>
    <col min="5899" max="5901" width="8" style="102" customWidth="1"/>
    <col min="5902" max="5903" width="11.3984375" style="102" customWidth="1"/>
    <col min="5904" max="6144" width="8.69921875" style="102"/>
    <col min="6145" max="6145" width="3.69921875" style="102" bestFit="1" customWidth="1"/>
    <col min="6146" max="6147" width="0" style="102" hidden="1" customWidth="1"/>
    <col min="6148" max="6148" width="8.5" style="102" bestFit="1" customWidth="1"/>
    <col min="6149" max="6150" width="8.19921875" style="102" customWidth="1"/>
    <col min="6151" max="6151" width="16.19921875" style="102" customWidth="1"/>
    <col min="6152" max="6152" width="18.296875" style="102" customWidth="1"/>
    <col min="6153" max="6154" width="10.296875" style="102" customWidth="1"/>
    <col min="6155" max="6157" width="8" style="102" customWidth="1"/>
    <col min="6158" max="6159" width="11.3984375" style="102" customWidth="1"/>
    <col min="6160" max="6400" width="8.69921875" style="102"/>
    <col min="6401" max="6401" width="3.69921875" style="102" bestFit="1" customWidth="1"/>
    <col min="6402" max="6403" width="0" style="102" hidden="1" customWidth="1"/>
    <col min="6404" max="6404" width="8.5" style="102" bestFit="1" customWidth="1"/>
    <col min="6405" max="6406" width="8.19921875" style="102" customWidth="1"/>
    <col min="6407" max="6407" width="16.19921875" style="102" customWidth="1"/>
    <col min="6408" max="6408" width="18.296875" style="102" customWidth="1"/>
    <col min="6409" max="6410" width="10.296875" style="102" customWidth="1"/>
    <col min="6411" max="6413" width="8" style="102" customWidth="1"/>
    <col min="6414" max="6415" width="11.3984375" style="102" customWidth="1"/>
    <col min="6416" max="6656" width="8.69921875" style="102"/>
    <col min="6657" max="6657" width="3.69921875" style="102" bestFit="1" customWidth="1"/>
    <col min="6658" max="6659" width="0" style="102" hidden="1" customWidth="1"/>
    <col min="6660" max="6660" width="8.5" style="102" bestFit="1" customWidth="1"/>
    <col min="6661" max="6662" width="8.19921875" style="102" customWidth="1"/>
    <col min="6663" max="6663" width="16.19921875" style="102" customWidth="1"/>
    <col min="6664" max="6664" width="18.296875" style="102" customWidth="1"/>
    <col min="6665" max="6666" width="10.296875" style="102" customWidth="1"/>
    <col min="6667" max="6669" width="8" style="102" customWidth="1"/>
    <col min="6670" max="6671" width="11.3984375" style="102" customWidth="1"/>
    <col min="6672" max="6912" width="8.69921875" style="102"/>
    <col min="6913" max="6913" width="3.69921875" style="102" bestFit="1" customWidth="1"/>
    <col min="6914" max="6915" width="0" style="102" hidden="1" customWidth="1"/>
    <col min="6916" max="6916" width="8.5" style="102" bestFit="1" customWidth="1"/>
    <col min="6917" max="6918" width="8.19921875" style="102" customWidth="1"/>
    <col min="6919" max="6919" width="16.19921875" style="102" customWidth="1"/>
    <col min="6920" max="6920" width="18.296875" style="102" customWidth="1"/>
    <col min="6921" max="6922" width="10.296875" style="102" customWidth="1"/>
    <col min="6923" max="6925" width="8" style="102" customWidth="1"/>
    <col min="6926" max="6927" width="11.3984375" style="102" customWidth="1"/>
    <col min="6928" max="7168" width="8.69921875" style="102"/>
    <col min="7169" max="7169" width="3.69921875" style="102" bestFit="1" customWidth="1"/>
    <col min="7170" max="7171" width="0" style="102" hidden="1" customWidth="1"/>
    <col min="7172" max="7172" width="8.5" style="102" bestFit="1" customWidth="1"/>
    <col min="7173" max="7174" width="8.19921875" style="102" customWidth="1"/>
    <col min="7175" max="7175" width="16.19921875" style="102" customWidth="1"/>
    <col min="7176" max="7176" width="18.296875" style="102" customWidth="1"/>
    <col min="7177" max="7178" width="10.296875" style="102" customWidth="1"/>
    <col min="7179" max="7181" width="8" style="102" customWidth="1"/>
    <col min="7182" max="7183" width="11.3984375" style="102" customWidth="1"/>
    <col min="7184" max="7424" width="8.69921875" style="102"/>
    <col min="7425" max="7425" width="3.69921875" style="102" bestFit="1" customWidth="1"/>
    <col min="7426" max="7427" width="0" style="102" hidden="1" customWidth="1"/>
    <col min="7428" max="7428" width="8.5" style="102" bestFit="1" customWidth="1"/>
    <col min="7429" max="7430" width="8.19921875" style="102" customWidth="1"/>
    <col min="7431" max="7431" width="16.19921875" style="102" customWidth="1"/>
    <col min="7432" max="7432" width="18.296875" style="102" customWidth="1"/>
    <col min="7433" max="7434" width="10.296875" style="102" customWidth="1"/>
    <col min="7435" max="7437" width="8" style="102" customWidth="1"/>
    <col min="7438" max="7439" width="11.3984375" style="102" customWidth="1"/>
    <col min="7440" max="7680" width="8.69921875" style="102"/>
    <col min="7681" max="7681" width="3.69921875" style="102" bestFit="1" customWidth="1"/>
    <col min="7682" max="7683" width="0" style="102" hidden="1" customWidth="1"/>
    <col min="7684" max="7684" width="8.5" style="102" bestFit="1" customWidth="1"/>
    <col min="7685" max="7686" width="8.19921875" style="102" customWidth="1"/>
    <col min="7687" max="7687" width="16.19921875" style="102" customWidth="1"/>
    <col min="7688" max="7688" width="18.296875" style="102" customWidth="1"/>
    <col min="7689" max="7690" width="10.296875" style="102" customWidth="1"/>
    <col min="7691" max="7693" width="8" style="102" customWidth="1"/>
    <col min="7694" max="7695" width="11.3984375" style="102" customWidth="1"/>
    <col min="7696" max="7936" width="8.69921875" style="102"/>
    <col min="7937" max="7937" width="3.69921875" style="102" bestFit="1" customWidth="1"/>
    <col min="7938" max="7939" width="0" style="102" hidden="1" customWidth="1"/>
    <col min="7940" max="7940" width="8.5" style="102" bestFit="1" customWidth="1"/>
    <col min="7941" max="7942" width="8.19921875" style="102" customWidth="1"/>
    <col min="7943" max="7943" width="16.19921875" style="102" customWidth="1"/>
    <col min="7944" max="7944" width="18.296875" style="102" customWidth="1"/>
    <col min="7945" max="7946" width="10.296875" style="102" customWidth="1"/>
    <col min="7947" max="7949" width="8" style="102" customWidth="1"/>
    <col min="7950" max="7951" width="11.3984375" style="102" customWidth="1"/>
    <col min="7952" max="8192" width="8.69921875" style="102"/>
    <col min="8193" max="8193" width="3.69921875" style="102" bestFit="1" customWidth="1"/>
    <col min="8194" max="8195" width="0" style="102" hidden="1" customWidth="1"/>
    <col min="8196" max="8196" width="8.5" style="102" bestFit="1" customWidth="1"/>
    <col min="8197" max="8198" width="8.19921875" style="102" customWidth="1"/>
    <col min="8199" max="8199" width="16.19921875" style="102" customWidth="1"/>
    <col min="8200" max="8200" width="18.296875" style="102" customWidth="1"/>
    <col min="8201" max="8202" width="10.296875" style="102" customWidth="1"/>
    <col min="8203" max="8205" width="8" style="102" customWidth="1"/>
    <col min="8206" max="8207" width="11.3984375" style="102" customWidth="1"/>
    <col min="8208" max="8448" width="8.69921875" style="102"/>
    <col min="8449" max="8449" width="3.69921875" style="102" bestFit="1" customWidth="1"/>
    <col min="8450" max="8451" width="0" style="102" hidden="1" customWidth="1"/>
    <col min="8452" max="8452" width="8.5" style="102" bestFit="1" customWidth="1"/>
    <col min="8453" max="8454" width="8.19921875" style="102" customWidth="1"/>
    <col min="8455" max="8455" width="16.19921875" style="102" customWidth="1"/>
    <col min="8456" max="8456" width="18.296875" style="102" customWidth="1"/>
    <col min="8457" max="8458" width="10.296875" style="102" customWidth="1"/>
    <col min="8459" max="8461" width="8" style="102" customWidth="1"/>
    <col min="8462" max="8463" width="11.3984375" style="102" customWidth="1"/>
    <col min="8464" max="8704" width="8.69921875" style="102"/>
    <col min="8705" max="8705" width="3.69921875" style="102" bestFit="1" customWidth="1"/>
    <col min="8706" max="8707" width="0" style="102" hidden="1" customWidth="1"/>
    <col min="8708" max="8708" width="8.5" style="102" bestFit="1" customWidth="1"/>
    <col min="8709" max="8710" width="8.19921875" style="102" customWidth="1"/>
    <col min="8711" max="8711" width="16.19921875" style="102" customWidth="1"/>
    <col min="8712" max="8712" width="18.296875" style="102" customWidth="1"/>
    <col min="8713" max="8714" width="10.296875" style="102" customWidth="1"/>
    <col min="8715" max="8717" width="8" style="102" customWidth="1"/>
    <col min="8718" max="8719" width="11.3984375" style="102" customWidth="1"/>
    <col min="8720" max="8960" width="8.69921875" style="102"/>
    <col min="8961" max="8961" width="3.69921875" style="102" bestFit="1" customWidth="1"/>
    <col min="8962" max="8963" width="0" style="102" hidden="1" customWidth="1"/>
    <col min="8964" max="8964" width="8.5" style="102" bestFit="1" customWidth="1"/>
    <col min="8965" max="8966" width="8.19921875" style="102" customWidth="1"/>
    <col min="8967" max="8967" width="16.19921875" style="102" customWidth="1"/>
    <col min="8968" max="8968" width="18.296875" style="102" customWidth="1"/>
    <col min="8969" max="8970" width="10.296875" style="102" customWidth="1"/>
    <col min="8971" max="8973" width="8" style="102" customWidth="1"/>
    <col min="8974" max="8975" width="11.3984375" style="102" customWidth="1"/>
    <col min="8976" max="9216" width="8.69921875" style="102"/>
    <col min="9217" max="9217" width="3.69921875" style="102" bestFit="1" customWidth="1"/>
    <col min="9218" max="9219" width="0" style="102" hidden="1" customWidth="1"/>
    <col min="9220" max="9220" width="8.5" style="102" bestFit="1" customWidth="1"/>
    <col min="9221" max="9222" width="8.19921875" style="102" customWidth="1"/>
    <col min="9223" max="9223" width="16.19921875" style="102" customWidth="1"/>
    <col min="9224" max="9224" width="18.296875" style="102" customWidth="1"/>
    <col min="9225" max="9226" width="10.296875" style="102" customWidth="1"/>
    <col min="9227" max="9229" width="8" style="102" customWidth="1"/>
    <col min="9230" max="9231" width="11.3984375" style="102" customWidth="1"/>
    <col min="9232" max="9472" width="8.69921875" style="102"/>
    <col min="9473" max="9473" width="3.69921875" style="102" bestFit="1" customWidth="1"/>
    <col min="9474" max="9475" width="0" style="102" hidden="1" customWidth="1"/>
    <col min="9476" max="9476" width="8.5" style="102" bestFit="1" customWidth="1"/>
    <col min="9477" max="9478" width="8.19921875" style="102" customWidth="1"/>
    <col min="9479" max="9479" width="16.19921875" style="102" customWidth="1"/>
    <col min="9480" max="9480" width="18.296875" style="102" customWidth="1"/>
    <col min="9481" max="9482" width="10.296875" style="102" customWidth="1"/>
    <col min="9483" max="9485" width="8" style="102" customWidth="1"/>
    <col min="9486" max="9487" width="11.3984375" style="102" customWidth="1"/>
    <col min="9488" max="9728" width="8.69921875" style="102"/>
    <col min="9729" max="9729" width="3.69921875" style="102" bestFit="1" customWidth="1"/>
    <col min="9730" max="9731" width="0" style="102" hidden="1" customWidth="1"/>
    <col min="9732" max="9732" width="8.5" style="102" bestFit="1" customWidth="1"/>
    <col min="9733" max="9734" width="8.19921875" style="102" customWidth="1"/>
    <col min="9735" max="9735" width="16.19921875" style="102" customWidth="1"/>
    <col min="9736" max="9736" width="18.296875" style="102" customWidth="1"/>
    <col min="9737" max="9738" width="10.296875" style="102" customWidth="1"/>
    <col min="9739" max="9741" width="8" style="102" customWidth="1"/>
    <col min="9742" max="9743" width="11.3984375" style="102" customWidth="1"/>
    <col min="9744" max="9984" width="8.69921875" style="102"/>
    <col min="9985" max="9985" width="3.69921875" style="102" bestFit="1" customWidth="1"/>
    <col min="9986" max="9987" width="0" style="102" hidden="1" customWidth="1"/>
    <col min="9988" max="9988" width="8.5" style="102" bestFit="1" customWidth="1"/>
    <col min="9989" max="9990" width="8.19921875" style="102" customWidth="1"/>
    <col min="9991" max="9991" width="16.19921875" style="102" customWidth="1"/>
    <col min="9992" max="9992" width="18.296875" style="102" customWidth="1"/>
    <col min="9993" max="9994" width="10.296875" style="102" customWidth="1"/>
    <col min="9995" max="9997" width="8" style="102" customWidth="1"/>
    <col min="9998" max="9999" width="11.3984375" style="102" customWidth="1"/>
    <col min="10000" max="10240" width="8.69921875" style="102"/>
    <col min="10241" max="10241" width="3.69921875" style="102" bestFit="1" customWidth="1"/>
    <col min="10242" max="10243" width="0" style="102" hidden="1" customWidth="1"/>
    <col min="10244" max="10244" width="8.5" style="102" bestFit="1" customWidth="1"/>
    <col min="10245" max="10246" width="8.19921875" style="102" customWidth="1"/>
    <col min="10247" max="10247" width="16.19921875" style="102" customWidth="1"/>
    <col min="10248" max="10248" width="18.296875" style="102" customWidth="1"/>
    <col min="10249" max="10250" width="10.296875" style="102" customWidth="1"/>
    <col min="10251" max="10253" width="8" style="102" customWidth="1"/>
    <col min="10254" max="10255" width="11.3984375" style="102" customWidth="1"/>
    <col min="10256" max="10496" width="8.69921875" style="102"/>
    <col min="10497" max="10497" width="3.69921875" style="102" bestFit="1" customWidth="1"/>
    <col min="10498" max="10499" width="0" style="102" hidden="1" customWidth="1"/>
    <col min="10500" max="10500" width="8.5" style="102" bestFit="1" customWidth="1"/>
    <col min="10501" max="10502" width="8.19921875" style="102" customWidth="1"/>
    <col min="10503" max="10503" width="16.19921875" style="102" customWidth="1"/>
    <col min="10504" max="10504" width="18.296875" style="102" customWidth="1"/>
    <col min="10505" max="10506" width="10.296875" style="102" customWidth="1"/>
    <col min="10507" max="10509" width="8" style="102" customWidth="1"/>
    <col min="10510" max="10511" width="11.3984375" style="102" customWidth="1"/>
    <col min="10512" max="10752" width="8.69921875" style="102"/>
    <col min="10753" max="10753" width="3.69921875" style="102" bestFit="1" customWidth="1"/>
    <col min="10754" max="10755" width="0" style="102" hidden="1" customWidth="1"/>
    <col min="10756" max="10756" width="8.5" style="102" bestFit="1" customWidth="1"/>
    <col min="10757" max="10758" width="8.19921875" style="102" customWidth="1"/>
    <col min="10759" max="10759" width="16.19921875" style="102" customWidth="1"/>
    <col min="10760" max="10760" width="18.296875" style="102" customWidth="1"/>
    <col min="10761" max="10762" width="10.296875" style="102" customWidth="1"/>
    <col min="10763" max="10765" width="8" style="102" customWidth="1"/>
    <col min="10766" max="10767" width="11.3984375" style="102" customWidth="1"/>
    <col min="10768" max="11008" width="8.69921875" style="102"/>
    <col min="11009" max="11009" width="3.69921875" style="102" bestFit="1" customWidth="1"/>
    <col min="11010" max="11011" width="0" style="102" hidden="1" customWidth="1"/>
    <col min="11012" max="11012" width="8.5" style="102" bestFit="1" customWidth="1"/>
    <col min="11013" max="11014" width="8.19921875" style="102" customWidth="1"/>
    <col min="11015" max="11015" width="16.19921875" style="102" customWidth="1"/>
    <col min="11016" max="11016" width="18.296875" style="102" customWidth="1"/>
    <col min="11017" max="11018" width="10.296875" style="102" customWidth="1"/>
    <col min="11019" max="11021" width="8" style="102" customWidth="1"/>
    <col min="11022" max="11023" width="11.3984375" style="102" customWidth="1"/>
    <col min="11024" max="11264" width="8.69921875" style="102"/>
    <col min="11265" max="11265" width="3.69921875" style="102" bestFit="1" customWidth="1"/>
    <col min="11266" max="11267" width="0" style="102" hidden="1" customWidth="1"/>
    <col min="11268" max="11268" width="8.5" style="102" bestFit="1" customWidth="1"/>
    <col min="11269" max="11270" width="8.19921875" style="102" customWidth="1"/>
    <col min="11271" max="11271" width="16.19921875" style="102" customWidth="1"/>
    <col min="11272" max="11272" width="18.296875" style="102" customWidth="1"/>
    <col min="11273" max="11274" width="10.296875" style="102" customWidth="1"/>
    <col min="11275" max="11277" width="8" style="102" customWidth="1"/>
    <col min="11278" max="11279" width="11.3984375" style="102" customWidth="1"/>
    <col min="11280" max="11520" width="8.69921875" style="102"/>
    <col min="11521" max="11521" width="3.69921875" style="102" bestFit="1" customWidth="1"/>
    <col min="11522" max="11523" width="0" style="102" hidden="1" customWidth="1"/>
    <col min="11524" max="11524" width="8.5" style="102" bestFit="1" customWidth="1"/>
    <col min="11525" max="11526" width="8.19921875" style="102" customWidth="1"/>
    <col min="11527" max="11527" width="16.19921875" style="102" customWidth="1"/>
    <col min="11528" max="11528" width="18.296875" style="102" customWidth="1"/>
    <col min="11529" max="11530" width="10.296875" style="102" customWidth="1"/>
    <col min="11531" max="11533" width="8" style="102" customWidth="1"/>
    <col min="11534" max="11535" width="11.3984375" style="102" customWidth="1"/>
    <col min="11536" max="11776" width="8.69921875" style="102"/>
    <col min="11777" max="11777" width="3.69921875" style="102" bestFit="1" customWidth="1"/>
    <col min="11778" max="11779" width="0" style="102" hidden="1" customWidth="1"/>
    <col min="11780" max="11780" width="8.5" style="102" bestFit="1" customWidth="1"/>
    <col min="11781" max="11782" width="8.19921875" style="102" customWidth="1"/>
    <col min="11783" max="11783" width="16.19921875" style="102" customWidth="1"/>
    <col min="11784" max="11784" width="18.296875" style="102" customWidth="1"/>
    <col min="11785" max="11786" width="10.296875" style="102" customWidth="1"/>
    <col min="11787" max="11789" width="8" style="102" customWidth="1"/>
    <col min="11790" max="11791" width="11.3984375" style="102" customWidth="1"/>
    <col min="11792" max="12032" width="8.69921875" style="102"/>
    <col min="12033" max="12033" width="3.69921875" style="102" bestFit="1" customWidth="1"/>
    <col min="12034" max="12035" width="0" style="102" hidden="1" customWidth="1"/>
    <col min="12036" max="12036" width="8.5" style="102" bestFit="1" customWidth="1"/>
    <col min="12037" max="12038" width="8.19921875" style="102" customWidth="1"/>
    <col min="12039" max="12039" width="16.19921875" style="102" customWidth="1"/>
    <col min="12040" max="12040" width="18.296875" style="102" customWidth="1"/>
    <col min="12041" max="12042" width="10.296875" style="102" customWidth="1"/>
    <col min="12043" max="12045" width="8" style="102" customWidth="1"/>
    <col min="12046" max="12047" width="11.3984375" style="102" customWidth="1"/>
    <col min="12048" max="12288" width="8.69921875" style="102"/>
    <col min="12289" max="12289" width="3.69921875" style="102" bestFit="1" customWidth="1"/>
    <col min="12290" max="12291" width="0" style="102" hidden="1" customWidth="1"/>
    <col min="12292" max="12292" width="8.5" style="102" bestFit="1" customWidth="1"/>
    <col min="12293" max="12294" width="8.19921875" style="102" customWidth="1"/>
    <col min="12295" max="12295" width="16.19921875" style="102" customWidth="1"/>
    <col min="12296" max="12296" width="18.296875" style="102" customWidth="1"/>
    <col min="12297" max="12298" width="10.296875" style="102" customWidth="1"/>
    <col min="12299" max="12301" width="8" style="102" customWidth="1"/>
    <col min="12302" max="12303" width="11.3984375" style="102" customWidth="1"/>
    <col min="12304" max="12544" width="8.69921875" style="102"/>
    <col min="12545" max="12545" width="3.69921875" style="102" bestFit="1" customWidth="1"/>
    <col min="12546" max="12547" width="0" style="102" hidden="1" customWidth="1"/>
    <col min="12548" max="12548" width="8.5" style="102" bestFit="1" customWidth="1"/>
    <col min="12549" max="12550" width="8.19921875" style="102" customWidth="1"/>
    <col min="12551" max="12551" width="16.19921875" style="102" customWidth="1"/>
    <col min="12552" max="12552" width="18.296875" style="102" customWidth="1"/>
    <col min="12553" max="12554" width="10.296875" style="102" customWidth="1"/>
    <col min="12555" max="12557" width="8" style="102" customWidth="1"/>
    <col min="12558" max="12559" width="11.3984375" style="102" customWidth="1"/>
    <col min="12560" max="12800" width="8.69921875" style="102"/>
    <col min="12801" max="12801" width="3.69921875" style="102" bestFit="1" customWidth="1"/>
    <col min="12802" max="12803" width="0" style="102" hidden="1" customWidth="1"/>
    <col min="12804" max="12804" width="8.5" style="102" bestFit="1" customWidth="1"/>
    <col min="12805" max="12806" width="8.19921875" style="102" customWidth="1"/>
    <col min="12807" max="12807" width="16.19921875" style="102" customWidth="1"/>
    <col min="12808" max="12808" width="18.296875" style="102" customWidth="1"/>
    <col min="12809" max="12810" width="10.296875" style="102" customWidth="1"/>
    <col min="12811" max="12813" width="8" style="102" customWidth="1"/>
    <col min="12814" max="12815" width="11.3984375" style="102" customWidth="1"/>
    <col min="12816" max="13056" width="8.69921875" style="102"/>
    <col min="13057" max="13057" width="3.69921875" style="102" bestFit="1" customWidth="1"/>
    <col min="13058" max="13059" width="0" style="102" hidden="1" customWidth="1"/>
    <col min="13060" max="13060" width="8.5" style="102" bestFit="1" customWidth="1"/>
    <col min="13061" max="13062" width="8.19921875" style="102" customWidth="1"/>
    <col min="13063" max="13063" width="16.19921875" style="102" customWidth="1"/>
    <col min="13064" max="13064" width="18.296875" style="102" customWidth="1"/>
    <col min="13065" max="13066" width="10.296875" style="102" customWidth="1"/>
    <col min="13067" max="13069" width="8" style="102" customWidth="1"/>
    <col min="13070" max="13071" width="11.3984375" style="102" customWidth="1"/>
    <col min="13072" max="13312" width="8.69921875" style="102"/>
    <col min="13313" max="13313" width="3.69921875" style="102" bestFit="1" customWidth="1"/>
    <col min="13314" max="13315" width="0" style="102" hidden="1" customWidth="1"/>
    <col min="13316" max="13316" width="8.5" style="102" bestFit="1" customWidth="1"/>
    <col min="13317" max="13318" width="8.19921875" style="102" customWidth="1"/>
    <col min="13319" max="13319" width="16.19921875" style="102" customWidth="1"/>
    <col min="13320" max="13320" width="18.296875" style="102" customWidth="1"/>
    <col min="13321" max="13322" width="10.296875" style="102" customWidth="1"/>
    <col min="13323" max="13325" width="8" style="102" customWidth="1"/>
    <col min="13326" max="13327" width="11.3984375" style="102" customWidth="1"/>
    <col min="13328" max="13568" width="8.69921875" style="102"/>
    <col min="13569" max="13569" width="3.69921875" style="102" bestFit="1" customWidth="1"/>
    <col min="13570" max="13571" width="0" style="102" hidden="1" customWidth="1"/>
    <col min="13572" max="13572" width="8.5" style="102" bestFit="1" customWidth="1"/>
    <col min="13573" max="13574" width="8.19921875" style="102" customWidth="1"/>
    <col min="13575" max="13575" width="16.19921875" style="102" customWidth="1"/>
    <col min="13576" max="13576" width="18.296875" style="102" customWidth="1"/>
    <col min="13577" max="13578" width="10.296875" style="102" customWidth="1"/>
    <col min="13579" max="13581" width="8" style="102" customWidth="1"/>
    <col min="13582" max="13583" width="11.3984375" style="102" customWidth="1"/>
    <col min="13584" max="13824" width="8.69921875" style="102"/>
    <col min="13825" max="13825" width="3.69921875" style="102" bestFit="1" customWidth="1"/>
    <col min="13826" max="13827" width="0" style="102" hidden="1" customWidth="1"/>
    <col min="13828" max="13828" width="8.5" style="102" bestFit="1" customWidth="1"/>
    <col min="13829" max="13830" width="8.19921875" style="102" customWidth="1"/>
    <col min="13831" max="13831" width="16.19921875" style="102" customWidth="1"/>
    <col min="13832" max="13832" width="18.296875" style="102" customWidth="1"/>
    <col min="13833" max="13834" width="10.296875" style="102" customWidth="1"/>
    <col min="13835" max="13837" width="8" style="102" customWidth="1"/>
    <col min="13838" max="13839" width="11.3984375" style="102" customWidth="1"/>
    <col min="13840" max="14080" width="8.69921875" style="102"/>
    <col min="14081" max="14081" width="3.69921875" style="102" bestFit="1" customWidth="1"/>
    <col min="14082" max="14083" width="0" style="102" hidden="1" customWidth="1"/>
    <col min="14084" max="14084" width="8.5" style="102" bestFit="1" customWidth="1"/>
    <col min="14085" max="14086" width="8.19921875" style="102" customWidth="1"/>
    <col min="14087" max="14087" width="16.19921875" style="102" customWidth="1"/>
    <col min="14088" max="14088" width="18.296875" style="102" customWidth="1"/>
    <col min="14089" max="14090" width="10.296875" style="102" customWidth="1"/>
    <col min="14091" max="14093" width="8" style="102" customWidth="1"/>
    <col min="14094" max="14095" width="11.3984375" style="102" customWidth="1"/>
    <col min="14096" max="14336" width="8.69921875" style="102"/>
    <col min="14337" max="14337" width="3.69921875" style="102" bestFit="1" customWidth="1"/>
    <col min="14338" max="14339" width="0" style="102" hidden="1" customWidth="1"/>
    <col min="14340" max="14340" width="8.5" style="102" bestFit="1" customWidth="1"/>
    <col min="14341" max="14342" width="8.19921875" style="102" customWidth="1"/>
    <col min="14343" max="14343" width="16.19921875" style="102" customWidth="1"/>
    <col min="14344" max="14344" width="18.296875" style="102" customWidth="1"/>
    <col min="14345" max="14346" width="10.296875" style="102" customWidth="1"/>
    <col min="14347" max="14349" width="8" style="102" customWidth="1"/>
    <col min="14350" max="14351" width="11.3984375" style="102" customWidth="1"/>
    <col min="14352" max="14592" width="8.69921875" style="102"/>
    <col min="14593" max="14593" width="3.69921875" style="102" bestFit="1" customWidth="1"/>
    <col min="14594" max="14595" width="0" style="102" hidden="1" customWidth="1"/>
    <col min="14596" max="14596" width="8.5" style="102" bestFit="1" customWidth="1"/>
    <col min="14597" max="14598" width="8.19921875" style="102" customWidth="1"/>
    <col min="14599" max="14599" width="16.19921875" style="102" customWidth="1"/>
    <col min="14600" max="14600" width="18.296875" style="102" customWidth="1"/>
    <col min="14601" max="14602" width="10.296875" style="102" customWidth="1"/>
    <col min="14603" max="14605" width="8" style="102" customWidth="1"/>
    <col min="14606" max="14607" width="11.3984375" style="102" customWidth="1"/>
    <col min="14608" max="14848" width="8.69921875" style="102"/>
    <col min="14849" max="14849" width="3.69921875" style="102" bestFit="1" customWidth="1"/>
    <col min="14850" max="14851" width="0" style="102" hidden="1" customWidth="1"/>
    <col min="14852" max="14852" width="8.5" style="102" bestFit="1" customWidth="1"/>
    <col min="14853" max="14854" width="8.19921875" style="102" customWidth="1"/>
    <col min="14855" max="14855" width="16.19921875" style="102" customWidth="1"/>
    <col min="14856" max="14856" width="18.296875" style="102" customWidth="1"/>
    <col min="14857" max="14858" width="10.296875" style="102" customWidth="1"/>
    <col min="14859" max="14861" width="8" style="102" customWidth="1"/>
    <col min="14862" max="14863" width="11.3984375" style="102" customWidth="1"/>
    <col min="14864" max="15104" width="8.69921875" style="102"/>
    <col min="15105" max="15105" width="3.69921875" style="102" bestFit="1" customWidth="1"/>
    <col min="15106" max="15107" width="0" style="102" hidden="1" customWidth="1"/>
    <col min="15108" max="15108" width="8.5" style="102" bestFit="1" customWidth="1"/>
    <col min="15109" max="15110" width="8.19921875" style="102" customWidth="1"/>
    <col min="15111" max="15111" width="16.19921875" style="102" customWidth="1"/>
    <col min="15112" max="15112" width="18.296875" style="102" customWidth="1"/>
    <col min="15113" max="15114" width="10.296875" style="102" customWidth="1"/>
    <col min="15115" max="15117" width="8" style="102" customWidth="1"/>
    <col min="15118" max="15119" width="11.3984375" style="102" customWidth="1"/>
    <col min="15120" max="15360" width="8.69921875" style="102"/>
    <col min="15361" max="15361" width="3.69921875" style="102" bestFit="1" customWidth="1"/>
    <col min="15362" max="15363" width="0" style="102" hidden="1" customWidth="1"/>
    <col min="15364" max="15364" width="8.5" style="102" bestFit="1" customWidth="1"/>
    <col min="15365" max="15366" width="8.19921875" style="102" customWidth="1"/>
    <col min="15367" max="15367" width="16.19921875" style="102" customWidth="1"/>
    <col min="15368" max="15368" width="18.296875" style="102" customWidth="1"/>
    <col min="15369" max="15370" width="10.296875" style="102" customWidth="1"/>
    <col min="15371" max="15373" width="8" style="102" customWidth="1"/>
    <col min="15374" max="15375" width="11.3984375" style="102" customWidth="1"/>
    <col min="15376" max="15616" width="8.69921875" style="102"/>
    <col min="15617" max="15617" width="3.69921875" style="102" bestFit="1" customWidth="1"/>
    <col min="15618" max="15619" width="0" style="102" hidden="1" customWidth="1"/>
    <col min="15620" max="15620" width="8.5" style="102" bestFit="1" customWidth="1"/>
    <col min="15621" max="15622" width="8.19921875" style="102" customWidth="1"/>
    <col min="15623" max="15623" width="16.19921875" style="102" customWidth="1"/>
    <col min="15624" max="15624" width="18.296875" style="102" customWidth="1"/>
    <col min="15625" max="15626" width="10.296875" style="102" customWidth="1"/>
    <col min="15627" max="15629" width="8" style="102" customWidth="1"/>
    <col min="15630" max="15631" width="11.3984375" style="102" customWidth="1"/>
    <col min="15632" max="15872" width="8.69921875" style="102"/>
    <col min="15873" max="15873" width="3.69921875" style="102" bestFit="1" customWidth="1"/>
    <col min="15874" max="15875" width="0" style="102" hidden="1" customWidth="1"/>
    <col min="15876" max="15876" width="8.5" style="102" bestFit="1" customWidth="1"/>
    <col min="15877" max="15878" width="8.19921875" style="102" customWidth="1"/>
    <col min="15879" max="15879" width="16.19921875" style="102" customWidth="1"/>
    <col min="15880" max="15880" width="18.296875" style="102" customWidth="1"/>
    <col min="15881" max="15882" width="10.296875" style="102" customWidth="1"/>
    <col min="15883" max="15885" width="8" style="102" customWidth="1"/>
    <col min="15886" max="15887" width="11.3984375" style="102" customWidth="1"/>
    <col min="15888" max="16128" width="8.69921875" style="102"/>
    <col min="16129" max="16129" width="3.69921875" style="102" bestFit="1" customWidth="1"/>
    <col min="16130" max="16131" width="0" style="102" hidden="1" customWidth="1"/>
    <col min="16132" max="16132" width="8.5" style="102" bestFit="1" customWidth="1"/>
    <col min="16133" max="16134" width="8.19921875" style="102" customWidth="1"/>
    <col min="16135" max="16135" width="16.19921875" style="102" customWidth="1"/>
    <col min="16136" max="16136" width="18.296875" style="102" customWidth="1"/>
    <col min="16137" max="16138" width="10.296875" style="102" customWidth="1"/>
    <col min="16139" max="16141" width="8" style="102" customWidth="1"/>
    <col min="16142" max="16143" width="11.3984375" style="102" customWidth="1"/>
    <col min="16144" max="16384" width="8.69921875" style="102"/>
  </cols>
  <sheetData>
    <row r="1" spans="1:20" ht="16.5" customHeight="1" x14ac:dyDescent="0.45">
      <c r="A1" s="95"/>
      <c r="B1" s="96"/>
      <c r="C1" s="96"/>
      <c r="D1" s="97"/>
      <c r="E1" s="98"/>
      <c r="F1" s="99"/>
      <c r="G1" s="100" t="s">
        <v>108</v>
      </c>
      <c r="H1" s="101"/>
      <c r="K1" s="256">
        <v>42170</v>
      </c>
      <c r="L1" s="257"/>
      <c r="M1" s="257"/>
      <c r="Q1" s="103"/>
      <c r="R1" s="103"/>
      <c r="S1" s="103"/>
      <c r="T1" s="103"/>
    </row>
    <row r="2" spans="1:20" ht="16.5" customHeight="1" x14ac:dyDescent="0.45">
      <c r="A2" s="104" t="s">
        <v>19</v>
      </c>
      <c r="B2" s="105" t="s">
        <v>109</v>
      </c>
      <c r="C2" s="105" t="s">
        <v>110</v>
      </c>
      <c r="D2" s="106" t="s">
        <v>111</v>
      </c>
      <c r="E2" s="107" t="s">
        <v>112</v>
      </c>
      <c r="F2" s="106" t="s">
        <v>113</v>
      </c>
      <c r="G2" s="108" t="s">
        <v>114</v>
      </c>
      <c r="H2" s="105" t="s">
        <v>115</v>
      </c>
      <c r="I2" s="109" t="s">
        <v>116</v>
      </c>
      <c r="J2" s="109" t="s">
        <v>117</v>
      </c>
      <c r="K2" s="105" t="s">
        <v>118</v>
      </c>
      <c r="L2" s="105" t="s">
        <v>119</v>
      </c>
      <c r="M2" s="105" t="s">
        <v>120</v>
      </c>
      <c r="N2" s="105" t="s">
        <v>121</v>
      </c>
      <c r="O2" s="105" t="s">
        <v>122</v>
      </c>
      <c r="Q2" s="103"/>
      <c r="R2" s="103"/>
      <c r="S2" s="103"/>
      <c r="T2" s="103"/>
    </row>
    <row r="3" spans="1:20" ht="16.5" customHeight="1" x14ac:dyDescent="0.45">
      <c r="A3" s="104"/>
      <c r="B3" s="110"/>
      <c r="C3" s="110"/>
      <c r="D3" s="111"/>
      <c r="E3" s="107"/>
      <c r="F3" s="106"/>
      <c r="G3" s="112"/>
      <c r="H3" s="105"/>
      <c r="I3" s="113"/>
      <c r="J3" s="113"/>
      <c r="K3" s="114"/>
      <c r="L3" s="115"/>
      <c r="M3" s="114"/>
      <c r="N3" s="114"/>
      <c r="O3" s="114"/>
      <c r="Q3" s="103"/>
      <c r="R3" s="103"/>
      <c r="S3" s="103"/>
      <c r="T3" s="103"/>
    </row>
    <row r="4" spans="1:20" ht="16.5" customHeight="1" thickBot="1" x14ac:dyDescent="0.5">
      <c r="A4" s="116"/>
      <c r="B4" s="117"/>
      <c r="C4" s="117"/>
      <c r="D4" s="118"/>
      <c r="E4" s="119"/>
      <c r="F4" s="120"/>
      <c r="G4" s="121"/>
      <c r="H4" s="122"/>
      <c r="I4" s="123"/>
      <c r="J4" s="123"/>
      <c r="K4" s="124"/>
      <c r="L4" s="123"/>
      <c r="M4" s="124"/>
      <c r="N4" s="124"/>
      <c r="O4" s="124"/>
    </row>
    <row r="5" spans="1:20" ht="22.5" customHeight="1" thickTop="1" x14ac:dyDescent="0.45">
      <c r="A5" s="258" t="s">
        <v>123</v>
      </c>
      <c r="B5" s="259"/>
      <c r="C5" s="259"/>
      <c r="D5" s="259"/>
      <c r="E5" s="260"/>
      <c r="F5" s="125"/>
      <c r="G5" s="126"/>
      <c r="H5" s="127"/>
      <c r="I5" s="128">
        <f t="shared" ref="I5:O5" si="0">SUM(I3:I4)</f>
        <v>0</v>
      </c>
      <c r="J5" s="128">
        <f t="shared" si="0"/>
        <v>0</v>
      </c>
      <c r="K5" s="129">
        <f t="shared" si="0"/>
        <v>0</v>
      </c>
      <c r="L5" s="128">
        <f t="shared" si="0"/>
        <v>0</v>
      </c>
      <c r="M5" s="129">
        <f t="shared" si="0"/>
        <v>0</v>
      </c>
      <c r="N5" s="129">
        <f>SUM(N3:N4)</f>
        <v>0</v>
      </c>
      <c r="O5" s="129">
        <f t="shared" si="0"/>
        <v>0</v>
      </c>
    </row>
    <row r="6" spans="1:20" ht="14.4" x14ac:dyDescent="0.45">
      <c r="A6" s="130"/>
      <c r="D6" s="130"/>
      <c r="E6" s="102"/>
      <c r="F6" s="102"/>
      <c r="G6" s="102"/>
      <c r="H6" s="102"/>
    </row>
    <row r="7" spans="1:20" ht="14.4" x14ac:dyDescent="0.45">
      <c r="A7" s="130"/>
      <c r="D7" s="102"/>
      <c r="E7" s="102"/>
      <c r="F7" s="102"/>
      <c r="G7" s="102"/>
      <c r="H7" s="102"/>
    </row>
    <row r="8" spans="1:20" ht="14.4" x14ac:dyDescent="0.45">
      <c r="A8" s="130"/>
      <c r="D8" s="102"/>
      <c r="E8" s="102"/>
      <c r="F8" s="102"/>
      <c r="G8" s="102"/>
      <c r="H8" s="102"/>
    </row>
    <row r="9" spans="1:20" ht="14.4" x14ac:dyDescent="0.45">
      <c r="A9" s="130"/>
      <c r="D9" s="102"/>
      <c r="E9" s="102"/>
      <c r="F9" s="102"/>
      <c r="G9" s="102"/>
      <c r="H9" s="102"/>
    </row>
    <row r="10" spans="1:20" ht="14.4" x14ac:dyDescent="0.45">
      <c r="A10" s="130"/>
      <c r="D10" s="102"/>
      <c r="E10" s="102"/>
      <c r="F10" s="102"/>
      <c r="G10" s="102"/>
      <c r="H10" s="102"/>
    </row>
    <row r="11" spans="1:20" ht="14.4" x14ac:dyDescent="0.45">
      <c r="A11" s="130"/>
      <c r="D11" s="102"/>
      <c r="E11" s="102"/>
      <c r="F11" s="102"/>
      <c r="G11" s="102"/>
      <c r="H11" s="102"/>
    </row>
    <row r="12" spans="1:20" ht="14.4" x14ac:dyDescent="0.45">
      <c r="A12" s="130"/>
      <c r="D12" s="102"/>
      <c r="E12" s="102"/>
      <c r="F12" s="102"/>
      <c r="G12" s="102"/>
      <c r="H12" s="102"/>
    </row>
    <row r="13" spans="1:20" ht="14.4" x14ac:dyDescent="0.45">
      <c r="A13" s="130"/>
      <c r="D13" s="102"/>
      <c r="E13" s="102"/>
      <c r="F13" s="102"/>
      <c r="G13" s="102"/>
      <c r="H13" s="102"/>
    </row>
    <row r="14" spans="1:20" ht="14.4" x14ac:dyDescent="0.45">
      <c r="A14" s="130"/>
      <c r="D14" s="102"/>
      <c r="E14" s="102"/>
      <c r="F14" s="102"/>
      <c r="G14" s="102"/>
      <c r="H14" s="102"/>
    </row>
    <row r="15" spans="1:20" ht="14.4" x14ac:dyDescent="0.45">
      <c r="A15" s="130"/>
      <c r="D15" s="102"/>
      <c r="E15" s="102"/>
      <c r="F15" s="102"/>
      <c r="G15" s="102"/>
      <c r="H15" s="102"/>
    </row>
    <row r="16" spans="1:20" ht="14.4" x14ac:dyDescent="0.45">
      <c r="A16" s="130"/>
      <c r="D16" s="102"/>
      <c r="E16" s="102"/>
      <c r="F16" s="102"/>
      <c r="G16" s="102"/>
      <c r="H16" s="102"/>
    </row>
    <row r="17" spans="1:8" ht="14.4" x14ac:dyDescent="0.45">
      <c r="A17" s="130"/>
      <c r="D17" s="102"/>
      <c r="E17" s="102"/>
      <c r="F17" s="102"/>
      <c r="G17" s="102"/>
      <c r="H17" s="102"/>
    </row>
    <row r="18" spans="1:8" ht="14.4" x14ac:dyDescent="0.45">
      <c r="A18" s="130"/>
      <c r="D18" s="102"/>
      <c r="E18" s="102"/>
      <c r="F18" s="102"/>
      <c r="G18" s="102"/>
      <c r="H18" s="102"/>
    </row>
    <row r="19" spans="1:8" ht="14.4" x14ac:dyDescent="0.45">
      <c r="A19" s="130"/>
      <c r="D19" s="102"/>
      <c r="E19" s="102"/>
      <c r="F19" s="102"/>
      <c r="G19" s="102"/>
      <c r="H19" s="102"/>
    </row>
    <row r="20" spans="1:8" ht="14.4" x14ac:dyDescent="0.45">
      <c r="A20" s="130"/>
      <c r="D20" s="102"/>
      <c r="E20" s="102"/>
      <c r="F20" s="102"/>
      <c r="G20" s="102"/>
      <c r="H20" s="102"/>
    </row>
    <row r="21" spans="1:8" ht="14.4" x14ac:dyDescent="0.45">
      <c r="A21" s="130"/>
      <c r="D21" s="102"/>
      <c r="E21" s="102"/>
      <c r="F21" s="102"/>
      <c r="G21" s="102"/>
      <c r="H21" s="102"/>
    </row>
    <row r="22" spans="1:8" ht="14.4" x14ac:dyDescent="0.45">
      <c r="A22" s="130"/>
      <c r="D22" s="102"/>
      <c r="E22" s="102"/>
      <c r="F22" s="102"/>
      <c r="G22" s="102"/>
      <c r="H22" s="102"/>
    </row>
    <row r="23" spans="1:8" ht="14.4" x14ac:dyDescent="0.45">
      <c r="A23" s="130"/>
      <c r="D23" s="102"/>
      <c r="E23" s="102"/>
      <c r="F23" s="102"/>
      <c r="G23" s="102"/>
      <c r="H23" s="102"/>
    </row>
    <row r="24" spans="1:8" ht="14.4" x14ac:dyDescent="0.45">
      <c r="A24" s="130"/>
      <c r="D24" s="102"/>
      <c r="E24" s="102"/>
      <c r="F24" s="102"/>
      <c r="G24" s="102"/>
      <c r="H24" s="102"/>
    </row>
    <row r="25" spans="1:8" ht="14.4" x14ac:dyDescent="0.45">
      <c r="A25" s="130"/>
      <c r="D25" s="102"/>
      <c r="E25" s="102"/>
      <c r="F25" s="102"/>
      <c r="G25" s="102"/>
      <c r="H25" s="102"/>
    </row>
    <row r="26" spans="1:8" ht="14.4" x14ac:dyDescent="0.45">
      <c r="A26" s="130"/>
      <c r="D26" s="102"/>
      <c r="E26" s="102"/>
      <c r="F26" s="102"/>
      <c r="G26" s="102"/>
      <c r="H26" s="102"/>
    </row>
    <row r="27" spans="1:8" ht="14.4" x14ac:dyDescent="0.45">
      <c r="A27" s="130"/>
      <c r="D27" s="102"/>
      <c r="E27" s="102"/>
      <c r="F27" s="102"/>
      <c r="G27" s="102"/>
      <c r="H27" s="102"/>
    </row>
    <row r="28" spans="1:8" ht="14.4" x14ac:dyDescent="0.45">
      <c r="A28" s="130"/>
      <c r="D28" s="102"/>
      <c r="E28" s="102"/>
      <c r="F28" s="102"/>
      <c r="G28" s="102"/>
      <c r="H28" s="102"/>
    </row>
    <row r="29" spans="1:8" ht="14.4" x14ac:dyDescent="0.45">
      <c r="A29" s="130"/>
      <c r="D29" s="102"/>
      <c r="E29" s="102"/>
      <c r="F29" s="102"/>
      <c r="G29" s="102"/>
      <c r="H29" s="102"/>
    </row>
    <row r="30" spans="1:8" ht="14.4" x14ac:dyDescent="0.45">
      <c r="A30" s="130"/>
      <c r="D30" s="102"/>
      <c r="E30" s="102"/>
      <c r="F30" s="102"/>
      <c r="G30" s="102"/>
      <c r="H30" s="102"/>
    </row>
    <row r="31" spans="1:8" ht="14.4" x14ac:dyDescent="0.45">
      <c r="A31" s="130"/>
      <c r="D31" s="102"/>
      <c r="E31" s="102"/>
      <c r="F31" s="102"/>
      <c r="G31" s="102"/>
      <c r="H31" s="102"/>
    </row>
    <row r="32" spans="1:8" ht="14.4" x14ac:dyDescent="0.45">
      <c r="A32" s="130"/>
      <c r="D32" s="102"/>
      <c r="E32" s="102"/>
      <c r="F32" s="102"/>
      <c r="G32" s="102"/>
      <c r="H32" s="102"/>
    </row>
    <row r="33" spans="1:8" ht="14.4" x14ac:dyDescent="0.45">
      <c r="A33" s="130"/>
      <c r="D33" s="102"/>
      <c r="E33" s="102"/>
      <c r="F33" s="102"/>
      <c r="G33" s="102"/>
      <c r="H33" s="102"/>
    </row>
    <row r="34" spans="1:8" ht="14.4" x14ac:dyDescent="0.45">
      <c r="A34" s="130"/>
      <c r="D34" s="102"/>
      <c r="E34" s="102"/>
      <c r="F34" s="102"/>
      <c r="G34" s="102"/>
      <c r="H34" s="102"/>
    </row>
    <row r="35" spans="1:8" ht="14.4" x14ac:dyDescent="0.45">
      <c r="A35" s="130"/>
      <c r="D35" s="102"/>
      <c r="E35" s="102"/>
      <c r="F35" s="102"/>
      <c r="G35" s="102"/>
      <c r="H35" s="102"/>
    </row>
    <row r="36" spans="1:8" ht="14.4" x14ac:dyDescent="0.45">
      <c r="A36" s="130"/>
      <c r="D36" s="102"/>
      <c r="E36" s="102"/>
      <c r="F36" s="102"/>
      <c r="G36" s="102"/>
      <c r="H36" s="102"/>
    </row>
    <row r="37" spans="1:8" ht="14.4" x14ac:dyDescent="0.45">
      <c r="A37" s="130"/>
      <c r="D37" s="102"/>
      <c r="E37" s="102"/>
      <c r="F37" s="102"/>
      <c r="G37" s="102"/>
      <c r="H37" s="102"/>
    </row>
    <row r="38" spans="1:8" ht="14.4" x14ac:dyDescent="0.45">
      <c r="A38" s="130"/>
      <c r="D38" s="131"/>
      <c r="E38" s="102"/>
      <c r="F38" s="102"/>
      <c r="G38" s="102"/>
      <c r="H38" s="102"/>
    </row>
    <row r="39" spans="1:8" ht="14.4" x14ac:dyDescent="0.45">
      <c r="A39" s="130"/>
      <c r="D39" s="102"/>
      <c r="E39" s="102"/>
      <c r="F39" s="102"/>
      <c r="G39" s="102"/>
      <c r="H39" s="102"/>
    </row>
    <row r="40" spans="1:8" ht="14.4" x14ac:dyDescent="0.45">
      <c r="A40" s="130"/>
      <c r="D40" s="102"/>
      <c r="E40" s="102"/>
      <c r="F40" s="102"/>
      <c r="G40" s="102"/>
      <c r="H40" s="102"/>
    </row>
    <row r="41" spans="1:8" ht="14.4" x14ac:dyDescent="0.45">
      <c r="A41" s="130"/>
      <c r="D41" s="102"/>
      <c r="E41" s="102"/>
      <c r="F41" s="102"/>
      <c r="G41" s="102"/>
      <c r="H41" s="102"/>
    </row>
    <row r="42" spans="1:8" ht="14.4" x14ac:dyDescent="0.45">
      <c r="A42" s="130"/>
      <c r="D42" s="102"/>
      <c r="E42" s="102"/>
      <c r="F42" s="102"/>
      <c r="G42" s="102"/>
      <c r="H42" s="102"/>
    </row>
    <row r="43" spans="1:8" ht="14.4" x14ac:dyDescent="0.45">
      <c r="A43" s="130"/>
      <c r="D43" s="102"/>
      <c r="E43" s="102"/>
      <c r="F43" s="102"/>
      <c r="G43" s="102"/>
      <c r="H43" s="102"/>
    </row>
    <row r="44" spans="1:8" ht="14.4" x14ac:dyDescent="0.45">
      <c r="A44" s="130"/>
      <c r="D44" s="102"/>
      <c r="E44" s="102"/>
      <c r="F44" s="102"/>
      <c r="G44" s="102"/>
      <c r="H44" s="102"/>
    </row>
    <row r="45" spans="1:8" ht="14.4" x14ac:dyDescent="0.45">
      <c r="A45" s="130"/>
      <c r="D45" s="102"/>
      <c r="E45" s="102"/>
      <c r="F45" s="102"/>
      <c r="G45" s="102"/>
      <c r="H45" s="102"/>
    </row>
    <row r="46" spans="1:8" ht="14.4" x14ac:dyDescent="0.45">
      <c r="A46" s="130"/>
      <c r="D46" s="102"/>
      <c r="E46" s="102"/>
      <c r="F46" s="102"/>
      <c r="G46" s="102"/>
      <c r="H46" s="102"/>
    </row>
    <row r="47" spans="1:8" ht="14.4" x14ac:dyDescent="0.45">
      <c r="A47" s="130"/>
      <c r="D47" s="102"/>
      <c r="E47" s="102"/>
      <c r="F47" s="102"/>
      <c r="G47" s="102"/>
      <c r="H47" s="102"/>
    </row>
    <row r="48" spans="1:8" ht="14.4" x14ac:dyDescent="0.45">
      <c r="A48" s="130"/>
      <c r="D48" s="102"/>
      <c r="E48" s="102"/>
      <c r="F48" s="102"/>
      <c r="G48" s="102"/>
      <c r="H48" s="102"/>
    </row>
    <row r="49" spans="1:8" ht="14.4" x14ac:dyDescent="0.45">
      <c r="A49" s="130"/>
      <c r="D49" s="102"/>
      <c r="E49" s="102"/>
      <c r="F49" s="102"/>
      <c r="G49" s="102"/>
      <c r="H49" s="102"/>
    </row>
    <row r="50" spans="1:8" ht="14.4" x14ac:dyDescent="0.45">
      <c r="A50" s="130"/>
      <c r="D50" s="102"/>
      <c r="E50" s="102"/>
      <c r="F50" s="102"/>
      <c r="G50" s="102"/>
      <c r="H50" s="102"/>
    </row>
    <row r="51" spans="1:8" ht="14.4" x14ac:dyDescent="0.45">
      <c r="A51" s="130"/>
      <c r="D51" s="102"/>
      <c r="E51" s="102"/>
      <c r="F51" s="102"/>
      <c r="G51" s="102"/>
      <c r="H51" s="102"/>
    </row>
    <row r="52" spans="1:8" ht="14.4" x14ac:dyDescent="0.45">
      <c r="A52" s="130"/>
      <c r="D52" s="102"/>
      <c r="E52" s="102"/>
      <c r="F52" s="102"/>
      <c r="G52" s="102"/>
      <c r="H52" s="102"/>
    </row>
    <row r="53" spans="1:8" ht="14.4" x14ac:dyDescent="0.45">
      <c r="A53" s="130"/>
      <c r="D53" s="102"/>
      <c r="E53" s="102"/>
      <c r="F53" s="102"/>
      <c r="G53" s="102"/>
      <c r="H53" s="102"/>
    </row>
    <row r="54" spans="1:8" ht="14.4" x14ac:dyDescent="0.45">
      <c r="A54" s="130"/>
      <c r="D54" s="102"/>
      <c r="E54" s="102"/>
      <c r="F54" s="102"/>
      <c r="G54" s="102"/>
      <c r="H54" s="102"/>
    </row>
    <row r="55" spans="1:8" ht="14.4" x14ac:dyDescent="0.45">
      <c r="A55" s="130"/>
      <c r="D55" s="102"/>
      <c r="E55" s="102"/>
      <c r="F55" s="102"/>
      <c r="G55" s="102"/>
      <c r="H55" s="102"/>
    </row>
    <row r="56" spans="1:8" ht="14.4" x14ac:dyDescent="0.45">
      <c r="A56" s="130"/>
      <c r="D56" s="102"/>
      <c r="E56" s="102"/>
      <c r="F56" s="102"/>
      <c r="G56" s="102"/>
      <c r="H56" s="102"/>
    </row>
    <row r="57" spans="1:8" ht="14.4" x14ac:dyDescent="0.45">
      <c r="A57" s="130"/>
      <c r="D57" s="102"/>
      <c r="E57" s="102"/>
      <c r="F57" s="102"/>
      <c r="G57" s="102"/>
      <c r="H57" s="102"/>
    </row>
    <row r="58" spans="1:8" ht="14.4" x14ac:dyDescent="0.45">
      <c r="A58" s="130"/>
      <c r="D58" s="102"/>
      <c r="E58" s="102"/>
      <c r="F58" s="102"/>
      <c r="G58" s="102"/>
      <c r="H58" s="102"/>
    </row>
    <row r="59" spans="1:8" ht="14.4" x14ac:dyDescent="0.45">
      <c r="A59" s="130"/>
      <c r="D59" s="102"/>
      <c r="E59" s="102"/>
      <c r="F59" s="102"/>
      <c r="G59" s="102"/>
      <c r="H59" s="102"/>
    </row>
    <row r="60" spans="1:8" ht="14.4" x14ac:dyDescent="0.45">
      <c r="A60" s="130"/>
      <c r="D60" s="102"/>
      <c r="E60" s="102"/>
      <c r="F60" s="102"/>
      <c r="G60" s="102"/>
      <c r="H60" s="102"/>
    </row>
    <row r="61" spans="1:8" ht="14.4" x14ac:dyDescent="0.45">
      <c r="A61" s="130"/>
      <c r="D61" s="102"/>
      <c r="E61" s="102"/>
      <c r="F61" s="102"/>
      <c r="G61" s="102"/>
      <c r="H61" s="102"/>
    </row>
    <row r="62" spans="1:8" ht="14.4" x14ac:dyDescent="0.45">
      <c r="A62" s="130"/>
      <c r="D62" s="102"/>
      <c r="E62" s="102"/>
      <c r="F62" s="102"/>
      <c r="G62" s="102"/>
      <c r="H62" s="102"/>
    </row>
    <row r="63" spans="1:8" ht="14.4" x14ac:dyDescent="0.45">
      <c r="A63" s="130"/>
      <c r="D63" s="102"/>
      <c r="E63" s="102"/>
      <c r="F63" s="102"/>
      <c r="G63" s="102"/>
      <c r="H63" s="102"/>
    </row>
    <row r="64" spans="1:8" ht="14.4" x14ac:dyDescent="0.45">
      <c r="A64" s="130"/>
      <c r="D64" s="102"/>
      <c r="E64" s="102"/>
      <c r="F64" s="102"/>
      <c r="G64" s="102"/>
      <c r="H64" s="102"/>
    </row>
    <row r="65" spans="1:8" ht="14.4" x14ac:dyDescent="0.45">
      <c r="A65" s="130"/>
      <c r="D65" s="102"/>
      <c r="E65" s="102"/>
      <c r="F65" s="102"/>
      <c r="G65" s="102"/>
      <c r="H65" s="102"/>
    </row>
    <row r="66" spans="1:8" ht="14.4" x14ac:dyDescent="0.45">
      <c r="A66" s="130"/>
      <c r="D66" s="102"/>
      <c r="E66" s="102"/>
      <c r="F66" s="102"/>
      <c r="G66" s="102"/>
      <c r="H66" s="102"/>
    </row>
    <row r="67" spans="1:8" ht="14.4" x14ac:dyDescent="0.45">
      <c r="A67" s="130"/>
      <c r="D67" s="102"/>
      <c r="E67" s="102"/>
      <c r="F67" s="102"/>
      <c r="G67" s="102"/>
      <c r="H67" s="102"/>
    </row>
    <row r="68" spans="1:8" ht="14.4" x14ac:dyDescent="0.45">
      <c r="A68" s="130"/>
      <c r="D68" s="102"/>
      <c r="E68" s="102"/>
      <c r="F68" s="102"/>
      <c r="G68" s="102"/>
      <c r="H68" s="102"/>
    </row>
    <row r="69" spans="1:8" ht="14.4" x14ac:dyDescent="0.45">
      <c r="A69" s="130"/>
      <c r="D69" s="102"/>
      <c r="E69" s="102"/>
      <c r="F69" s="102"/>
      <c r="G69" s="102"/>
      <c r="H69" s="102"/>
    </row>
    <row r="70" spans="1:8" ht="14.4" x14ac:dyDescent="0.45">
      <c r="A70" s="130"/>
      <c r="D70" s="102"/>
      <c r="E70" s="102"/>
      <c r="F70" s="102"/>
      <c r="G70" s="102"/>
      <c r="H70" s="102"/>
    </row>
    <row r="71" spans="1:8" ht="14.4" x14ac:dyDescent="0.45">
      <c r="A71" s="130"/>
      <c r="D71" s="102"/>
      <c r="E71" s="102"/>
      <c r="F71" s="102"/>
      <c r="G71" s="102"/>
      <c r="H71" s="102"/>
    </row>
    <row r="72" spans="1:8" ht="14.4" x14ac:dyDescent="0.45">
      <c r="A72" s="130"/>
      <c r="D72" s="102"/>
      <c r="E72" s="102"/>
      <c r="F72" s="102"/>
      <c r="G72" s="102"/>
      <c r="H72" s="102"/>
    </row>
    <row r="73" spans="1:8" ht="14.4" x14ac:dyDescent="0.45">
      <c r="A73" s="130"/>
      <c r="D73" s="102"/>
      <c r="E73" s="102"/>
      <c r="F73" s="102"/>
      <c r="G73" s="102"/>
      <c r="H73" s="102"/>
    </row>
    <row r="74" spans="1:8" ht="14.4" x14ac:dyDescent="0.45">
      <c r="A74" s="130"/>
      <c r="D74" s="102"/>
      <c r="E74" s="102"/>
      <c r="F74" s="102"/>
      <c r="G74" s="102"/>
      <c r="H74" s="102"/>
    </row>
    <row r="75" spans="1:8" ht="14.4" x14ac:dyDescent="0.45">
      <c r="A75" s="130"/>
      <c r="D75" s="102"/>
      <c r="E75" s="102"/>
      <c r="F75" s="102"/>
      <c r="G75" s="102"/>
      <c r="H75" s="102"/>
    </row>
    <row r="76" spans="1:8" ht="14.4" x14ac:dyDescent="0.45">
      <c r="A76" s="130"/>
      <c r="D76" s="102"/>
      <c r="E76" s="102"/>
      <c r="F76" s="102"/>
      <c r="G76" s="102"/>
      <c r="H76" s="102"/>
    </row>
    <row r="77" spans="1:8" ht="14.4" x14ac:dyDescent="0.45">
      <c r="A77" s="130"/>
      <c r="D77" s="102"/>
      <c r="E77" s="102"/>
      <c r="F77" s="102"/>
      <c r="G77" s="102"/>
      <c r="H77" s="102"/>
    </row>
    <row r="78" spans="1:8" ht="14.4" x14ac:dyDescent="0.45">
      <c r="A78" s="130"/>
      <c r="D78" s="102"/>
      <c r="E78" s="102"/>
      <c r="F78" s="102"/>
      <c r="G78" s="102"/>
      <c r="H78" s="102"/>
    </row>
    <row r="79" spans="1:8" ht="14.4" x14ac:dyDescent="0.45">
      <c r="A79" s="130"/>
      <c r="D79" s="102"/>
      <c r="E79" s="102"/>
      <c r="F79" s="102"/>
      <c r="G79" s="102"/>
      <c r="H79" s="102"/>
    </row>
    <row r="80" spans="1:8" ht="14.4" x14ac:dyDescent="0.45">
      <c r="A80" s="130"/>
      <c r="D80" s="102"/>
      <c r="E80" s="102"/>
      <c r="F80" s="102"/>
      <c r="G80" s="102"/>
      <c r="H80" s="102"/>
    </row>
    <row r="81" spans="1:8" ht="14.4" x14ac:dyDescent="0.45">
      <c r="A81" s="130"/>
      <c r="D81" s="102"/>
      <c r="E81" s="102"/>
      <c r="F81" s="102"/>
      <c r="G81" s="102"/>
      <c r="H81" s="102"/>
    </row>
    <row r="82" spans="1:8" ht="14.4" x14ac:dyDescent="0.45">
      <c r="A82" s="130"/>
      <c r="D82" s="102"/>
      <c r="E82" s="102"/>
      <c r="F82" s="102"/>
      <c r="G82" s="102"/>
      <c r="H82" s="102"/>
    </row>
    <row r="83" spans="1:8" ht="14.4" x14ac:dyDescent="0.45">
      <c r="A83" s="130"/>
      <c r="D83" s="102"/>
      <c r="E83" s="102"/>
      <c r="F83" s="102"/>
      <c r="G83" s="102"/>
      <c r="H83" s="102"/>
    </row>
    <row r="84" spans="1:8" ht="14.4" x14ac:dyDescent="0.45">
      <c r="A84" s="130"/>
      <c r="D84" s="102"/>
      <c r="E84" s="102"/>
      <c r="F84" s="102"/>
      <c r="G84" s="102"/>
      <c r="H84" s="102"/>
    </row>
    <row r="85" spans="1:8" ht="14.4" x14ac:dyDescent="0.45">
      <c r="A85" s="130"/>
      <c r="D85" s="102"/>
      <c r="E85" s="102"/>
      <c r="F85" s="102"/>
      <c r="G85" s="102"/>
      <c r="H85" s="102"/>
    </row>
    <row r="86" spans="1:8" ht="14.4" x14ac:dyDescent="0.45">
      <c r="A86" s="130"/>
      <c r="D86" s="102"/>
      <c r="E86" s="102"/>
      <c r="F86" s="102"/>
      <c r="G86" s="102"/>
      <c r="H86" s="102"/>
    </row>
    <row r="87" spans="1:8" ht="14.4" x14ac:dyDescent="0.45">
      <c r="A87" s="130"/>
      <c r="D87" s="102"/>
      <c r="E87" s="102"/>
      <c r="F87" s="102"/>
      <c r="G87" s="102"/>
      <c r="H87" s="102"/>
    </row>
    <row r="88" spans="1:8" ht="14.4" x14ac:dyDescent="0.45">
      <c r="A88" s="130"/>
      <c r="D88" s="102"/>
      <c r="E88" s="102"/>
      <c r="F88" s="102"/>
      <c r="G88" s="102"/>
      <c r="H88" s="102"/>
    </row>
    <row r="89" spans="1:8" x14ac:dyDescent="0.45">
      <c r="D89" s="102"/>
      <c r="E89" s="102"/>
      <c r="F89" s="102"/>
      <c r="G89" s="102"/>
      <c r="H89" s="102"/>
    </row>
    <row r="90" spans="1:8" x14ac:dyDescent="0.45">
      <c r="D90" s="102"/>
      <c r="E90" s="102"/>
      <c r="F90" s="102"/>
      <c r="G90" s="102"/>
      <c r="H90" s="102"/>
    </row>
    <row r="91" spans="1:8" x14ac:dyDescent="0.45">
      <c r="D91" s="102"/>
      <c r="E91" s="102"/>
      <c r="F91" s="102"/>
      <c r="G91" s="102"/>
      <c r="H91" s="102"/>
    </row>
    <row r="92" spans="1:8" x14ac:dyDescent="0.45">
      <c r="D92" s="102"/>
      <c r="E92" s="102"/>
      <c r="F92" s="102"/>
      <c r="G92" s="102"/>
      <c r="H92" s="102"/>
    </row>
    <row r="93" spans="1:8" x14ac:dyDescent="0.45">
      <c r="D93" s="102"/>
      <c r="E93" s="102"/>
      <c r="F93" s="102"/>
      <c r="G93" s="102"/>
      <c r="H93" s="102"/>
    </row>
    <row r="94" spans="1:8" x14ac:dyDescent="0.45">
      <c r="D94" s="102"/>
      <c r="E94" s="102"/>
      <c r="F94" s="102"/>
      <c r="G94" s="102"/>
      <c r="H94" s="102"/>
    </row>
    <row r="95" spans="1:8" x14ac:dyDescent="0.45">
      <c r="D95" s="102"/>
      <c r="E95" s="102"/>
      <c r="F95" s="102"/>
      <c r="G95" s="102"/>
      <c r="H95" s="102"/>
    </row>
    <row r="96" spans="1:8" x14ac:dyDescent="0.45">
      <c r="D96" s="102"/>
      <c r="E96" s="102"/>
      <c r="F96" s="102"/>
      <c r="G96" s="102"/>
      <c r="H96" s="102"/>
    </row>
    <row r="97" spans="4:8" x14ac:dyDescent="0.45">
      <c r="D97" s="102"/>
      <c r="E97" s="102"/>
      <c r="F97" s="102"/>
      <c r="G97" s="102"/>
      <c r="H97" s="102"/>
    </row>
    <row r="98" spans="4:8" x14ac:dyDescent="0.45">
      <c r="D98" s="102"/>
      <c r="E98" s="102"/>
      <c r="F98" s="102"/>
      <c r="G98" s="102"/>
      <c r="H98" s="102"/>
    </row>
    <row r="99" spans="4:8" x14ac:dyDescent="0.45">
      <c r="D99" s="102"/>
      <c r="E99" s="102"/>
      <c r="F99" s="102"/>
      <c r="G99" s="102"/>
      <c r="H99" s="102"/>
    </row>
    <row r="100" spans="4:8" x14ac:dyDescent="0.45">
      <c r="D100" s="102"/>
      <c r="E100" s="102"/>
      <c r="F100" s="102"/>
      <c r="G100" s="102"/>
      <c r="H100" s="102"/>
    </row>
    <row r="101" spans="4:8" x14ac:dyDescent="0.45">
      <c r="D101" s="102"/>
      <c r="E101" s="102"/>
      <c r="F101" s="102"/>
      <c r="G101" s="102"/>
      <c r="H101" s="102"/>
    </row>
    <row r="102" spans="4:8" x14ac:dyDescent="0.45">
      <c r="D102" s="102"/>
      <c r="E102" s="102"/>
      <c r="F102" s="102"/>
      <c r="G102" s="102"/>
      <c r="H102" s="102"/>
    </row>
    <row r="103" spans="4:8" x14ac:dyDescent="0.45">
      <c r="D103" s="102"/>
      <c r="E103" s="102"/>
      <c r="F103" s="102"/>
      <c r="G103" s="102"/>
      <c r="H103" s="102"/>
    </row>
    <row r="104" spans="4:8" x14ac:dyDescent="0.45">
      <c r="D104" s="102"/>
      <c r="E104" s="102"/>
      <c r="F104" s="102"/>
      <c r="G104" s="102"/>
      <c r="H104" s="102"/>
    </row>
    <row r="105" spans="4:8" x14ac:dyDescent="0.45">
      <c r="D105" s="102"/>
      <c r="E105" s="102"/>
      <c r="F105" s="102"/>
      <c r="G105" s="102"/>
      <c r="H105" s="102"/>
    </row>
    <row r="106" spans="4:8" x14ac:dyDescent="0.45">
      <c r="D106" s="102"/>
      <c r="E106" s="102"/>
      <c r="F106" s="102"/>
      <c r="G106" s="102"/>
      <c r="H106" s="102"/>
    </row>
    <row r="107" spans="4:8" x14ac:dyDescent="0.45">
      <c r="D107" s="102"/>
      <c r="E107" s="102"/>
      <c r="F107" s="102"/>
      <c r="G107" s="102"/>
      <c r="H107" s="102"/>
    </row>
    <row r="108" spans="4:8" x14ac:dyDescent="0.45">
      <c r="D108" s="102"/>
      <c r="E108" s="102"/>
      <c r="F108" s="102"/>
      <c r="G108" s="102"/>
      <c r="H108" s="102"/>
    </row>
    <row r="109" spans="4:8" x14ac:dyDescent="0.45">
      <c r="D109" s="102"/>
      <c r="E109" s="102"/>
      <c r="F109" s="102"/>
      <c r="G109" s="102"/>
      <c r="H109" s="102"/>
    </row>
    <row r="110" spans="4:8" x14ac:dyDescent="0.45">
      <c r="D110" s="102"/>
      <c r="E110" s="102"/>
      <c r="F110" s="102"/>
      <c r="G110" s="102"/>
      <c r="H110" s="102"/>
    </row>
    <row r="111" spans="4:8" x14ac:dyDescent="0.45">
      <c r="D111" s="102"/>
      <c r="E111" s="102"/>
      <c r="F111" s="102"/>
      <c r="G111" s="102"/>
      <c r="H111" s="102"/>
    </row>
    <row r="112" spans="4:8" x14ac:dyDescent="0.45">
      <c r="D112" s="102"/>
      <c r="E112" s="102"/>
      <c r="F112" s="102"/>
      <c r="G112" s="102"/>
      <c r="H112" s="102"/>
    </row>
    <row r="113" spans="4:8" x14ac:dyDescent="0.45">
      <c r="D113" s="102"/>
      <c r="E113" s="102"/>
      <c r="F113" s="102"/>
      <c r="G113" s="102"/>
      <c r="H113" s="102"/>
    </row>
    <row r="114" spans="4:8" x14ac:dyDescent="0.45">
      <c r="D114" s="102"/>
      <c r="E114" s="102"/>
      <c r="F114" s="102"/>
      <c r="G114" s="102"/>
      <c r="H114" s="102"/>
    </row>
    <row r="115" spans="4:8" x14ac:dyDescent="0.45">
      <c r="D115" s="102"/>
      <c r="E115" s="102"/>
      <c r="F115" s="102"/>
      <c r="G115" s="102"/>
      <c r="H115" s="102"/>
    </row>
    <row r="116" spans="4:8" x14ac:dyDescent="0.45">
      <c r="D116" s="102"/>
      <c r="E116" s="102"/>
      <c r="F116" s="102"/>
      <c r="G116" s="102"/>
      <c r="H116" s="102"/>
    </row>
    <row r="117" spans="4:8" x14ac:dyDescent="0.45">
      <c r="D117" s="102"/>
      <c r="E117" s="102"/>
      <c r="F117" s="102"/>
      <c r="G117" s="102"/>
      <c r="H117" s="102"/>
    </row>
    <row r="118" spans="4:8" x14ac:dyDescent="0.45">
      <c r="D118" s="102"/>
      <c r="E118" s="102"/>
      <c r="F118" s="102"/>
      <c r="G118" s="102"/>
      <c r="H118" s="102"/>
    </row>
    <row r="119" spans="4:8" x14ac:dyDescent="0.45">
      <c r="D119" s="102"/>
      <c r="E119" s="102"/>
      <c r="F119" s="102"/>
      <c r="G119" s="102"/>
      <c r="H119" s="102"/>
    </row>
    <row r="120" spans="4:8" x14ac:dyDescent="0.45">
      <c r="D120" s="102"/>
      <c r="E120" s="102"/>
      <c r="F120" s="102"/>
      <c r="G120" s="102"/>
      <c r="H120" s="102"/>
    </row>
    <row r="121" spans="4:8" x14ac:dyDescent="0.45">
      <c r="D121" s="102"/>
      <c r="E121" s="102"/>
      <c r="F121" s="102"/>
      <c r="G121" s="102"/>
      <c r="H121" s="102"/>
    </row>
    <row r="122" spans="4:8" x14ac:dyDescent="0.45">
      <c r="D122" s="102"/>
      <c r="E122" s="102"/>
      <c r="F122" s="102"/>
      <c r="G122" s="102"/>
      <c r="H122" s="102"/>
    </row>
    <row r="123" spans="4:8" x14ac:dyDescent="0.45">
      <c r="D123" s="102"/>
      <c r="E123" s="102"/>
      <c r="F123" s="102"/>
      <c r="G123" s="102"/>
      <c r="H123" s="102"/>
    </row>
    <row r="124" spans="4:8" x14ac:dyDescent="0.45">
      <c r="D124" s="102"/>
      <c r="E124" s="102"/>
      <c r="F124" s="102"/>
      <c r="G124" s="102"/>
      <c r="H124" s="102"/>
    </row>
    <row r="125" spans="4:8" x14ac:dyDescent="0.45">
      <c r="D125" s="102"/>
      <c r="E125" s="102"/>
      <c r="F125" s="102"/>
      <c r="G125" s="102"/>
      <c r="H125" s="102"/>
    </row>
    <row r="126" spans="4:8" x14ac:dyDescent="0.45">
      <c r="D126" s="102"/>
      <c r="E126" s="102"/>
      <c r="F126" s="102"/>
      <c r="G126" s="102"/>
      <c r="H126" s="102"/>
    </row>
    <row r="127" spans="4:8" ht="18.75" customHeight="1" x14ac:dyDescent="0.45">
      <c r="D127" s="102"/>
      <c r="E127" s="102"/>
      <c r="F127" s="102"/>
      <c r="G127" s="102"/>
      <c r="H127" s="102"/>
    </row>
    <row r="128" spans="4:8" ht="29.25" customHeight="1" x14ac:dyDescent="0.45">
      <c r="D128" s="102"/>
      <c r="E128" s="102"/>
      <c r="F128" s="102"/>
      <c r="G128" s="102"/>
      <c r="H128" s="102"/>
    </row>
    <row r="129" spans="4:8" x14ac:dyDescent="0.45">
      <c r="D129" s="102"/>
      <c r="E129" s="102"/>
      <c r="F129" s="102"/>
      <c r="G129" s="102"/>
      <c r="H129" s="102"/>
    </row>
    <row r="130" spans="4:8" x14ac:dyDescent="0.45">
      <c r="D130" s="102"/>
      <c r="E130" s="102"/>
      <c r="F130" s="102"/>
      <c r="G130" s="102"/>
      <c r="H130" s="102"/>
    </row>
    <row r="131" spans="4:8" x14ac:dyDescent="0.45">
      <c r="D131" s="102"/>
      <c r="E131" s="102"/>
      <c r="F131" s="102"/>
      <c r="G131" s="102"/>
      <c r="H131" s="102"/>
    </row>
    <row r="132" spans="4:8" x14ac:dyDescent="0.45">
      <c r="D132" s="102"/>
      <c r="E132" s="102"/>
      <c r="F132" s="102"/>
      <c r="G132" s="102"/>
      <c r="H132" s="102"/>
    </row>
    <row r="133" spans="4:8" x14ac:dyDescent="0.45">
      <c r="D133" s="102"/>
      <c r="E133" s="102"/>
      <c r="F133" s="102"/>
      <c r="G133" s="102"/>
      <c r="H133" s="102"/>
    </row>
    <row r="134" spans="4:8" x14ac:dyDescent="0.45">
      <c r="D134" s="102"/>
      <c r="E134" s="102"/>
      <c r="F134" s="102"/>
      <c r="G134" s="102"/>
      <c r="H134" s="102"/>
    </row>
    <row r="135" spans="4:8" x14ac:dyDescent="0.45">
      <c r="D135" s="102"/>
      <c r="E135" s="102"/>
      <c r="F135" s="102"/>
      <c r="G135" s="102"/>
      <c r="H135" s="102"/>
    </row>
    <row r="136" spans="4:8" x14ac:dyDescent="0.45">
      <c r="D136" s="102"/>
      <c r="E136" s="102"/>
      <c r="F136" s="102"/>
      <c r="G136" s="102"/>
      <c r="H136" s="102"/>
    </row>
    <row r="137" spans="4:8" x14ac:dyDescent="0.45">
      <c r="D137" s="102"/>
      <c r="E137" s="102"/>
      <c r="F137" s="102"/>
      <c r="G137" s="102"/>
      <c r="H137" s="102"/>
    </row>
    <row r="138" spans="4:8" x14ac:dyDescent="0.45">
      <c r="D138" s="102"/>
      <c r="E138" s="102"/>
      <c r="F138" s="102"/>
      <c r="G138" s="102"/>
      <c r="H138" s="102"/>
    </row>
    <row r="139" spans="4:8" x14ac:dyDescent="0.45">
      <c r="D139" s="102"/>
      <c r="E139" s="102"/>
      <c r="F139" s="102"/>
      <c r="G139" s="102"/>
      <c r="H139" s="102"/>
    </row>
    <row r="140" spans="4:8" x14ac:dyDescent="0.45">
      <c r="D140" s="102"/>
      <c r="E140" s="102"/>
      <c r="F140" s="102"/>
      <c r="G140" s="102"/>
      <c r="H140" s="102"/>
    </row>
    <row r="141" spans="4:8" x14ac:dyDescent="0.45">
      <c r="D141" s="102"/>
      <c r="E141" s="102"/>
      <c r="F141" s="102"/>
      <c r="G141" s="102"/>
      <c r="H141" s="102"/>
    </row>
    <row r="142" spans="4:8" x14ac:dyDescent="0.45">
      <c r="D142" s="102"/>
      <c r="E142" s="102"/>
      <c r="F142" s="102"/>
      <c r="G142" s="102"/>
      <c r="H142" s="102"/>
    </row>
    <row r="143" spans="4:8" x14ac:dyDescent="0.45">
      <c r="D143" s="102"/>
      <c r="E143" s="102"/>
      <c r="F143" s="102"/>
      <c r="G143" s="102"/>
      <c r="H143" s="102"/>
    </row>
    <row r="144" spans="4:8" x14ac:dyDescent="0.45">
      <c r="D144" s="102"/>
      <c r="E144" s="102"/>
      <c r="F144" s="102"/>
      <c r="G144" s="102"/>
      <c r="H144" s="102"/>
    </row>
    <row r="145" spans="4:8" x14ac:dyDescent="0.45">
      <c r="D145" s="102"/>
      <c r="E145" s="102"/>
      <c r="F145" s="102"/>
      <c r="G145" s="102"/>
      <c r="H145" s="102"/>
    </row>
    <row r="146" spans="4:8" x14ac:dyDescent="0.45">
      <c r="D146" s="102"/>
      <c r="E146" s="102"/>
      <c r="F146" s="102"/>
      <c r="G146" s="102"/>
      <c r="H146" s="102"/>
    </row>
    <row r="147" spans="4:8" ht="29.25" customHeight="1" x14ac:dyDescent="0.45">
      <c r="D147" s="102"/>
      <c r="E147" s="102"/>
      <c r="F147" s="102"/>
      <c r="G147" s="102"/>
      <c r="H147" s="102"/>
    </row>
    <row r="148" spans="4:8" x14ac:dyDescent="0.45">
      <c r="D148" s="102"/>
      <c r="E148" s="102"/>
      <c r="F148" s="102"/>
      <c r="G148" s="102"/>
      <c r="H148" s="102"/>
    </row>
    <row r="149" spans="4:8" x14ac:dyDescent="0.45">
      <c r="D149" s="102"/>
      <c r="E149" s="102"/>
      <c r="F149" s="102"/>
      <c r="G149" s="102"/>
      <c r="H149" s="102"/>
    </row>
    <row r="150" spans="4:8" x14ac:dyDescent="0.45">
      <c r="D150" s="102"/>
      <c r="E150" s="102"/>
      <c r="F150" s="102"/>
      <c r="G150" s="102"/>
      <c r="H150" s="102"/>
    </row>
    <row r="151" spans="4:8" x14ac:dyDescent="0.45">
      <c r="D151" s="102"/>
      <c r="E151" s="102"/>
      <c r="F151" s="102"/>
      <c r="G151" s="102"/>
      <c r="H151" s="102"/>
    </row>
    <row r="152" spans="4:8" x14ac:dyDescent="0.45">
      <c r="D152" s="102"/>
      <c r="E152" s="102"/>
      <c r="F152" s="102"/>
      <c r="G152" s="102"/>
      <c r="H152" s="102"/>
    </row>
    <row r="153" spans="4:8" x14ac:dyDescent="0.45">
      <c r="D153" s="102"/>
      <c r="E153" s="102"/>
      <c r="F153" s="102"/>
      <c r="G153" s="102"/>
      <c r="H153" s="102"/>
    </row>
    <row r="154" spans="4:8" x14ac:dyDescent="0.45">
      <c r="D154" s="102"/>
      <c r="E154" s="102"/>
      <c r="F154" s="102"/>
      <c r="G154" s="102"/>
      <c r="H154" s="102"/>
    </row>
    <row r="155" spans="4:8" x14ac:dyDescent="0.45">
      <c r="D155" s="102"/>
      <c r="E155" s="102"/>
      <c r="F155" s="102"/>
      <c r="G155" s="102"/>
      <c r="H155" s="102"/>
    </row>
    <row r="156" spans="4:8" x14ac:dyDescent="0.45">
      <c r="D156" s="102"/>
      <c r="E156" s="102"/>
      <c r="F156" s="102"/>
      <c r="G156" s="102"/>
      <c r="H156" s="102"/>
    </row>
    <row r="157" spans="4:8" x14ac:dyDescent="0.45">
      <c r="D157" s="102"/>
      <c r="E157" s="102"/>
      <c r="F157" s="102"/>
      <c r="G157" s="102"/>
      <c r="H157" s="102"/>
    </row>
    <row r="158" spans="4:8" x14ac:dyDescent="0.45">
      <c r="D158" s="102"/>
      <c r="E158" s="102"/>
      <c r="F158" s="102"/>
      <c r="G158" s="102"/>
      <c r="H158" s="102"/>
    </row>
    <row r="159" spans="4:8" x14ac:dyDescent="0.45">
      <c r="D159" s="102"/>
      <c r="E159" s="102"/>
      <c r="F159" s="102"/>
      <c r="G159" s="102"/>
      <c r="H159" s="102"/>
    </row>
  </sheetData>
  <mergeCells count="2">
    <mergeCell ref="K1:M1"/>
    <mergeCell ref="A5:E5"/>
  </mergeCells>
  <phoneticPr fontId="2"/>
  <pageMargins left="0.5" right="0" top="0.5" bottom="0.25" header="0.25" footer="0.25"/>
  <pageSetup paperSize="9" orientation="landscape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V160"/>
  <sheetViews>
    <sheetView zoomScale="160" zoomScaleNormal="160" zoomScaleSheetLayoutView="90" workbookViewId="0"/>
  </sheetViews>
  <sheetFormatPr defaultRowHeight="13.2" x14ac:dyDescent="0.45"/>
  <cols>
    <col min="1" max="1" width="3.69921875" style="102" customWidth="1"/>
    <col min="2" max="2" width="4.5" style="102" customWidth="1"/>
    <col min="3" max="3" width="5.3984375" style="102" customWidth="1"/>
    <col min="4" max="4" width="8.5" style="132" bestFit="1" customWidth="1"/>
    <col min="5" max="5" width="8.19921875" style="133" customWidth="1"/>
    <col min="6" max="6" width="8.19921875" style="132" customWidth="1"/>
    <col min="7" max="7" width="16.19921875" style="134" customWidth="1"/>
    <col min="8" max="8" width="18.296875" style="135" customWidth="1"/>
    <col min="9" max="10" width="10.296875" style="102" customWidth="1"/>
    <col min="11" max="13" width="8" style="102" customWidth="1"/>
    <col min="14" max="15" width="11.3984375" style="102" customWidth="1"/>
    <col min="16" max="16" width="8.69921875" style="102"/>
    <col min="17" max="17" width="8.5" style="102" bestFit="1" customWidth="1"/>
    <col min="18" max="256" width="8.69921875" style="102"/>
    <col min="257" max="257" width="3.69921875" style="102" customWidth="1"/>
    <col min="258" max="258" width="4.5" style="102" customWidth="1"/>
    <col min="259" max="259" width="5.3984375" style="102" customWidth="1"/>
    <col min="260" max="260" width="8.5" style="102" bestFit="1" customWidth="1"/>
    <col min="261" max="262" width="8.19921875" style="102" customWidth="1"/>
    <col min="263" max="263" width="16.19921875" style="102" customWidth="1"/>
    <col min="264" max="264" width="18.296875" style="102" customWidth="1"/>
    <col min="265" max="266" width="10.296875" style="102" customWidth="1"/>
    <col min="267" max="269" width="8" style="102" customWidth="1"/>
    <col min="270" max="271" width="11.3984375" style="102" customWidth="1"/>
    <col min="272" max="272" width="8.69921875" style="102"/>
    <col min="273" max="273" width="8.5" style="102" bestFit="1" customWidth="1"/>
    <col min="274" max="512" width="8.69921875" style="102"/>
    <col min="513" max="513" width="3.69921875" style="102" customWidth="1"/>
    <col min="514" max="514" width="4.5" style="102" customWidth="1"/>
    <col min="515" max="515" width="5.3984375" style="102" customWidth="1"/>
    <col min="516" max="516" width="8.5" style="102" bestFit="1" customWidth="1"/>
    <col min="517" max="518" width="8.19921875" style="102" customWidth="1"/>
    <col min="519" max="519" width="16.19921875" style="102" customWidth="1"/>
    <col min="520" max="520" width="18.296875" style="102" customWidth="1"/>
    <col min="521" max="522" width="10.296875" style="102" customWidth="1"/>
    <col min="523" max="525" width="8" style="102" customWidth="1"/>
    <col min="526" max="527" width="11.3984375" style="102" customWidth="1"/>
    <col min="528" max="528" width="8.69921875" style="102"/>
    <col min="529" max="529" width="8.5" style="102" bestFit="1" customWidth="1"/>
    <col min="530" max="768" width="8.69921875" style="102"/>
    <col min="769" max="769" width="3.69921875" style="102" customWidth="1"/>
    <col min="770" max="770" width="4.5" style="102" customWidth="1"/>
    <col min="771" max="771" width="5.3984375" style="102" customWidth="1"/>
    <col min="772" max="772" width="8.5" style="102" bestFit="1" customWidth="1"/>
    <col min="773" max="774" width="8.19921875" style="102" customWidth="1"/>
    <col min="775" max="775" width="16.19921875" style="102" customWidth="1"/>
    <col min="776" max="776" width="18.296875" style="102" customWidth="1"/>
    <col min="777" max="778" width="10.296875" style="102" customWidth="1"/>
    <col min="779" max="781" width="8" style="102" customWidth="1"/>
    <col min="782" max="783" width="11.3984375" style="102" customWidth="1"/>
    <col min="784" max="784" width="8.69921875" style="102"/>
    <col min="785" max="785" width="8.5" style="102" bestFit="1" customWidth="1"/>
    <col min="786" max="1024" width="8.69921875" style="102"/>
    <col min="1025" max="1025" width="3.69921875" style="102" customWidth="1"/>
    <col min="1026" max="1026" width="4.5" style="102" customWidth="1"/>
    <col min="1027" max="1027" width="5.3984375" style="102" customWidth="1"/>
    <col min="1028" max="1028" width="8.5" style="102" bestFit="1" customWidth="1"/>
    <col min="1029" max="1030" width="8.19921875" style="102" customWidth="1"/>
    <col min="1031" max="1031" width="16.19921875" style="102" customWidth="1"/>
    <col min="1032" max="1032" width="18.296875" style="102" customWidth="1"/>
    <col min="1033" max="1034" width="10.296875" style="102" customWidth="1"/>
    <col min="1035" max="1037" width="8" style="102" customWidth="1"/>
    <col min="1038" max="1039" width="11.3984375" style="102" customWidth="1"/>
    <col min="1040" max="1040" width="8.69921875" style="102"/>
    <col min="1041" max="1041" width="8.5" style="102" bestFit="1" customWidth="1"/>
    <col min="1042" max="1280" width="8.69921875" style="102"/>
    <col min="1281" max="1281" width="3.69921875" style="102" customWidth="1"/>
    <col min="1282" max="1282" width="4.5" style="102" customWidth="1"/>
    <col min="1283" max="1283" width="5.3984375" style="102" customWidth="1"/>
    <col min="1284" max="1284" width="8.5" style="102" bestFit="1" customWidth="1"/>
    <col min="1285" max="1286" width="8.19921875" style="102" customWidth="1"/>
    <col min="1287" max="1287" width="16.19921875" style="102" customWidth="1"/>
    <col min="1288" max="1288" width="18.296875" style="102" customWidth="1"/>
    <col min="1289" max="1290" width="10.296875" style="102" customWidth="1"/>
    <col min="1291" max="1293" width="8" style="102" customWidth="1"/>
    <col min="1294" max="1295" width="11.3984375" style="102" customWidth="1"/>
    <col min="1296" max="1296" width="8.69921875" style="102"/>
    <col min="1297" max="1297" width="8.5" style="102" bestFit="1" customWidth="1"/>
    <col min="1298" max="1536" width="8.69921875" style="102"/>
    <col min="1537" max="1537" width="3.69921875" style="102" customWidth="1"/>
    <col min="1538" max="1538" width="4.5" style="102" customWidth="1"/>
    <col min="1539" max="1539" width="5.3984375" style="102" customWidth="1"/>
    <col min="1540" max="1540" width="8.5" style="102" bestFit="1" customWidth="1"/>
    <col min="1541" max="1542" width="8.19921875" style="102" customWidth="1"/>
    <col min="1543" max="1543" width="16.19921875" style="102" customWidth="1"/>
    <col min="1544" max="1544" width="18.296875" style="102" customWidth="1"/>
    <col min="1545" max="1546" width="10.296875" style="102" customWidth="1"/>
    <col min="1547" max="1549" width="8" style="102" customWidth="1"/>
    <col min="1550" max="1551" width="11.3984375" style="102" customWidth="1"/>
    <col min="1552" max="1552" width="8.69921875" style="102"/>
    <col min="1553" max="1553" width="8.5" style="102" bestFit="1" customWidth="1"/>
    <col min="1554" max="1792" width="8.69921875" style="102"/>
    <col min="1793" max="1793" width="3.69921875" style="102" customWidth="1"/>
    <col min="1794" max="1794" width="4.5" style="102" customWidth="1"/>
    <col min="1795" max="1795" width="5.3984375" style="102" customWidth="1"/>
    <col min="1796" max="1796" width="8.5" style="102" bestFit="1" customWidth="1"/>
    <col min="1797" max="1798" width="8.19921875" style="102" customWidth="1"/>
    <col min="1799" max="1799" width="16.19921875" style="102" customWidth="1"/>
    <col min="1800" max="1800" width="18.296875" style="102" customWidth="1"/>
    <col min="1801" max="1802" width="10.296875" style="102" customWidth="1"/>
    <col min="1803" max="1805" width="8" style="102" customWidth="1"/>
    <col min="1806" max="1807" width="11.3984375" style="102" customWidth="1"/>
    <col min="1808" max="1808" width="8.69921875" style="102"/>
    <col min="1809" max="1809" width="8.5" style="102" bestFit="1" customWidth="1"/>
    <col min="1810" max="2048" width="8.69921875" style="102"/>
    <col min="2049" max="2049" width="3.69921875" style="102" customWidth="1"/>
    <col min="2050" max="2050" width="4.5" style="102" customWidth="1"/>
    <col min="2051" max="2051" width="5.3984375" style="102" customWidth="1"/>
    <col min="2052" max="2052" width="8.5" style="102" bestFit="1" customWidth="1"/>
    <col min="2053" max="2054" width="8.19921875" style="102" customWidth="1"/>
    <col min="2055" max="2055" width="16.19921875" style="102" customWidth="1"/>
    <col min="2056" max="2056" width="18.296875" style="102" customWidth="1"/>
    <col min="2057" max="2058" width="10.296875" style="102" customWidth="1"/>
    <col min="2059" max="2061" width="8" style="102" customWidth="1"/>
    <col min="2062" max="2063" width="11.3984375" style="102" customWidth="1"/>
    <col min="2064" max="2064" width="8.69921875" style="102"/>
    <col min="2065" max="2065" width="8.5" style="102" bestFit="1" customWidth="1"/>
    <col min="2066" max="2304" width="8.69921875" style="102"/>
    <col min="2305" max="2305" width="3.69921875" style="102" customWidth="1"/>
    <col min="2306" max="2306" width="4.5" style="102" customWidth="1"/>
    <col min="2307" max="2307" width="5.3984375" style="102" customWidth="1"/>
    <col min="2308" max="2308" width="8.5" style="102" bestFit="1" customWidth="1"/>
    <col min="2309" max="2310" width="8.19921875" style="102" customWidth="1"/>
    <col min="2311" max="2311" width="16.19921875" style="102" customWidth="1"/>
    <col min="2312" max="2312" width="18.296875" style="102" customWidth="1"/>
    <col min="2313" max="2314" width="10.296875" style="102" customWidth="1"/>
    <col min="2315" max="2317" width="8" style="102" customWidth="1"/>
    <col min="2318" max="2319" width="11.3984375" style="102" customWidth="1"/>
    <col min="2320" max="2320" width="8.69921875" style="102"/>
    <col min="2321" max="2321" width="8.5" style="102" bestFit="1" customWidth="1"/>
    <col min="2322" max="2560" width="8.69921875" style="102"/>
    <col min="2561" max="2561" width="3.69921875" style="102" customWidth="1"/>
    <col min="2562" max="2562" width="4.5" style="102" customWidth="1"/>
    <col min="2563" max="2563" width="5.3984375" style="102" customWidth="1"/>
    <col min="2564" max="2564" width="8.5" style="102" bestFit="1" customWidth="1"/>
    <col min="2565" max="2566" width="8.19921875" style="102" customWidth="1"/>
    <col min="2567" max="2567" width="16.19921875" style="102" customWidth="1"/>
    <col min="2568" max="2568" width="18.296875" style="102" customWidth="1"/>
    <col min="2569" max="2570" width="10.296875" style="102" customWidth="1"/>
    <col min="2571" max="2573" width="8" style="102" customWidth="1"/>
    <col min="2574" max="2575" width="11.3984375" style="102" customWidth="1"/>
    <col min="2576" max="2576" width="8.69921875" style="102"/>
    <col min="2577" max="2577" width="8.5" style="102" bestFit="1" customWidth="1"/>
    <col min="2578" max="2816" width="8.69921875" style="102"/>
    <col min="2817" max="2817" width="3.69921875" style="102" customWidth="1"/>
    <col min="2818" max="2818" width="4.5" style="102" customWidth="1"/>
    <col min="2819" max="2819" width="5.3984375" style="102" customWidth="1"/>
    <col min="2820" max="2820" width="8.5" style="102" bestFit="1" customWidth="1"/>
    <col min="2821" max="2822" width="8.19921875" style="102" customWidth="1"/>
    <col min="2823" max="2823" width="16.19921875" style="102" customWidth="1"/>
    <col min="2824" max="2824" width="18.296875" style="102" customWidth="1"/>
    <col min="2825" max="2826" width="10.296875" style="102" customWidth="1"/>
    <col min="2827" max="2829" width="8" style="102" customWidth="1"/>
    <col min="2830" max="2831" width="11.3984375" style="102" customWidth="1"/>
    <col min="2832" max="2832" width="8.69921875" style="102"/>
    <col min="2833" max="2833" width="8.5" style="102" bestFit="1" customWidth="1"/>
    <col min="2834" max="3072" width="8.69921875" style="102"/>
    <col min="3073" max="3073" width="3.69921875" style="102" customWidth="1"/>
    <col min="3074" max="3074" width="4.5" style="102" customWidth="1"/>
    <col min="3075" max="3075" width="5.3984375" style="102" customWidth="1"/>
    <col min="3076" max="3076" width="8.5" style="102" bestFit="1" customWidth="1"/>
    <col min="3077" max="3078" width="8.19921875" style="102" customWidth="1"/>
    <col min="3079" max="3079" width="16.19921875" style="102" customWidth="1"/>
    <col min="3080" max="3080" width="18.296875" style="102" customWidth="1"/>
    <col min="3081" max="3082" width="10.296875" style="102" customWidth="1"/>
    <col min="3083" max="3085" width="8" style="102" customWidth="1"/>
    <col min="3086" max="3087" width="11.3984375" style="102" customWidth="1"/>
    <col min="3088" max="3088" width="8.69921875" style="102"/>
    <col min="3089" max="3089" width="8.5" style="102" bestFit="1" customWidth="1"/>
    <col min="3090" max="3328" width="8.69921875" style="102"/>
    <col min="3329" max="3329" width="3.69921875" style="102" customWidth="1"/>
    <col min="3330" max="3330" width="4.5" style="102" customWidth="1"/>
    <col min="3331" max="3331" width="5.3984375" style="102" customWidth="1"/>
    <col min="3332" max="3332" width="8.5" style="102" bestFit="1" customWidth="1"/>
    <col min="3333" max="3334" width="8.19921875" style="102" customWidth="1"/>
    <col min="3335" max="3335" width="16.19921875" style="102" customWidth="1"/>
    <col min="3336" max="3336" width="18.296875" style="102" customWidth="1"/>
    <col min="3337" max="3338" width="10.296875" style="102" customWidth="1"/>
    <col min="3339" max="3341" width="8" style="102" customWidth="1"/>
    <col min="3342" max="3343" width="11.3984375" style="102" customWidth="1"/>
    <col min="3344" max="3344" width="8.69921875" style="102"/>
    <col min="3345" max="3345" width="8.5" style="102" bestFit="1" customWidth="1"/>
    <col min="3346" max="3584" width="8.69921875" style="102"/>
    <col min="3585" max="3585" width="3.69921875" style="102" customWidth="1"/>
    <col min="3586" max="3586" width="4.5" style="102" customWidth="1"/>
    <col min="3587" max="3587" width="5.3984375" style="102" customWidth="1"/>
    <col min="3588" max="3588" width="8.5" style="102" bestFit="1" customWidth="1"/>
    <col min="3589" max="3590" width="8.19921875" style="102" customWidth="1"/>
    <col min="3591" max="3591" width="16.19921875" style="102" customWidth="1"/>
    <col min="3592" max="3592" width="18.296875" style="102" customWidth="1"/>
    <col min="3593" max="3594" width="10.296875" style="102" customWidth="1"/>
    <col min="3595" max="3597" width="8" style="102" customWidth="1"/>
    <col min="3598" max="3599" width="11.3984375" style="102" customWidth="1"/>
    <col min="3600" max="3600" width="8.69921875" style="102"/>
    <col min="3601" max="3601" width="8.5" style="102" bestFit="1" customWidth="1"/>
    <col min="3602" max="3840" width="8.69921875" style="102"/>
    <col min="3841" max="3841" width="3.69921875" style="102" customWidth="1"/>
    <col min="3842" max="3842" width="4.5" style="102" customWidth="1"/>
    <col min="3843" max="3843" width="5.3984375" style="102" customWidth="1"/>
    <col min="3844" max="3844" width="8.5" style="102" bestFit="1" customWidth="1"/>
    <col min="3845" max="3846" width="8.19921875" style="102" customWidth="1"/>
    <col min="3847" max="3847" width="16.19921875" style="102" customWidth="1"/>
    <col min="3848" max="3848" width="18.296875" style="102" customWidth="1"/>
    <col min="3849" max="3850" width="10.296875" style="102" customWidth="1"/>
    <col min="3851" max="3853" width="8" style="102" customWidth="1"/>
    <col min="3854" max="3855" width="11.3984375" style="102" customWidth="1"/>
    <col min="3856" max="3856" width="8.69921875" style="102"/>
    <col min="3857" max="3857" width="8.5" style="102" bestFit="1" customWidth="1"/>
    <col min="3858" max="4096" width="8.69921875" style="102"/>
    <col min="4097" max="4097" width="3.69921875" style="102" customWidth="1"/>
    <col min="4098" max="4098" width="4.5" style="102" customWidth="1"/>
    <col min="4099" max="4099" width="5.3984375" style="102" customWidth="1"/>
    <col min="4100" max="4100" width="8.5" style="102" bestFit="1" customWidth="1"/>
    <col min="4101" max="4102" width="8.19921875" style="102" customWidth="1"/>
    <col min="4103" max="4103" width="16.19921875" style="102" customWidth="1"/>
    <col min="4104" max="4104" width="18.296875" style="102" customWidth="1"/>
    <col min="4105" max="4106" width="10.296875" style="102" customWidth="1"/>
    <col min="4107" max="4109" width="8" style="102" customWidth="1"/>
    <col min="4110" max="4111" width="11.3984375" style="102" customWidth="1"/>
    <col min="4112" max="4112" width="8.69921875" style="102"/>
    <col min="4113" max="4113" width="8.5" style="102" bestFit="1" customWidth="1"/>
    <col min="4114" max="4352" width="8.69921875" style="102"/>
    <col min="4353" max="4353" width="3.69921875" style="102" customWidth="1"/>
    <col min="4354" max="4354" width="4.5" style="102" customWidth="1"/>
    <col min="4355" max="4355" width="5.3984375" style="102" customWidth="1"/>
    <col min="4356" max="4356" width="8.5" style="102" bestFit="1" customWidth="1"/>
    <col min="4357" max="4358" width="8.19921875" style="102" customWidth="1"/>
    <col min="4359" max="4359" width="16.19921875" style="102" customWidth="1"/>
    <col min="4360" max="4360" width="18.296875" style="102" customWidth="1"/>
    <col min="4361" max="4362" width="10.296875" style="102" customWidth="1"/>
    <col min="4363" max="4365" width="8" style="102" customWidth="1"/>
    <col min="4366" max="4367" width="11.3984375" style="102" customWidth="1"/>
    <col min="4368" max="4368" width="8.69921875" style="102"/>
    <col min="4369" max="4369" width="8.5" style="102" bestFit="1" customWidth="1"/>
    <col min="4370" max="4608" width="8.69921875" style="102"/>
    <col min="4609" max="4609" width="3.69921875" style="102" customWidth="1"/>
    <col min="4610" max="4610" width="4.5" style="102" customWidth="1"/>
    <col min="4611" max="4611" width="5.3984375" style="102" customWidth="1"/>
    <col min="4612" max="4612" width="8.5" style="102" bestFit="1" customWidth="1"/>
    <col min="4613" max="4614" width="8.19921875" style="102" customWidth="1"/>
    <col min="4615" max="4615" width="16.19921875" style="102" customWidth="1"/>
    <col min="4616" max="4616" width="18.296875" style="102" customWidth="1"/>
    <col min="4617" max="4618" width="10.296875" style="102" customWidth="1"/>
    <col min="4619" max="4621" width="8" style="102" customWidth="1"/>
    <col min="4622" max="4623" width="11.3984375" style="102" customWidth="1"/>
    <col min="4624" max="4624" width="8.69921875" style="102"/>
    <col min="4625" max="4625" width="8.5" style="102" bestFit="1" customWidth="1"/>
    <col min="4626" max="4864" width="8.69921875" style="102"/>
    <col min="4865" max="4865" width="3.69921875" style="102" customWidth="1"/>
    <col min="4866" max="4866" width="4.5" style="102" customWidth="1"/>
    <col min="4867" max="4867" width="5.3984375" style="102" customWidth="1"/>
    <col min="4868" max="4868" width="8.5" style="102" bestFit="1" customWidth="1"/>
    <col min="4869" max="4870" width="8.19921875" style="102" customWidth="1"/>
    <col min="4871" max="4871" width="16.19921875" style="102" customWidth="1"/>
    <col min="4872" max="4872" width="18.296875" style="102" customWidth="1"/>
    <col min="4873" max="4874" width="10.296875" style="102" customWidth="1"/>
    <col min="4875" max="4877" width="8" style="102" customWidth="1"/>
    <col min="4878" max="4879" width="11.3984375" style="102" customWidth="1"/>
    <col min="4880" max="4880" width="8.69921875" style="102"/>
    <col min="4881" max="4881" width="8.5" style="102" bestFit="1" customWidth="1"/>
    <col min="4882" max="5120" width="8.69921875" style="102"/>
    <col min="5121" max="5121" width="3.69921875" style="102" customWidth="1"/>
    <col min="5122" max="5122" width="4.5" style="102" customWidth="1"/>
    <col min="5123" max="5123" width="5.3984375" style="102" customWidth="1"/>
    <col min="5124" max="5124" width="8.5" style="102" bestFit="1" customWidth="1"/>
    <col min="5125" max="5126" width="8.19921875" style="102" customWidth="1"/>
    <col min="5127" max="5127" width="16.19921875" style="102" customWidth="1"/>
    <col min="5128" max="5128" width="18.296875" style="102" customWidth="1"/>
    <col min="5129" max="5130" width="10.296875" style="102" customWidth="1"/>
    <col min="5131" max="5133" width="8" style="102" customWidth="1"/>
    <col min="5134" max="5135" width="11.3984375" style="102" customWidth="1"/>
    <col min="5136" max="5136" width="8.69921875" style="102"/>
    <col min="5137" max="5137" width="8.5" style="102" bestFit="1" customWidth="1"/>
    <col min="5138" max="5376" width="8.69921875" style="102"/>
    <col min="5377" max="5377" width="3.69921875" style="102" customWidth="1"/>
    <col min="5378" max="5378" width="4.5" style="102" customWidth="1"/>
    <col min="5379" max="5379" width="5.3984375" style="102" customWidth="1"/>
    <col min="5380" max="5380" width="8.5" style="102" bestFit="1" customWidth="1"/>
    <col min="5381" max="5382" width="8.19921875" style="102" customWidth="1"/>
    <col min="5383" max="5383" width="16.19921875" style="102" customWidth="1"/>
    <col min="5384" max="5384" width="18.296875" style="102" customWidth="1"/>
    <col min="5385" max="5386" width="10.296875" style="102" customWidth="1"/>
    <col min="5387" max="5389" width="8" style="102" customWidth="1"/>
    <col min="5390" max="5391" width="11.3984375" style="102" customWidth="1"/>
    <col min="5392" max="5392" width="8.69921875" style="102"/>
    <col min="5393" max="5393" width="8.5" style="102" bestFit="1" customWidth="1"/>
    <col min="5394" max="5632" width="8.69921875" style="102"/>
    <col min="5633" max="5633" width="3.69921875" style="102" customWidth="1"/>
    <col min="5634" max="5634" width="4.5" style="102" customWidth="1"/>
    <col min="5635" max="5635" width="5.3984375" style="102" customWidth="1"/>
    <col min="5636" max="5636" width="8.5" style="102" bestFit="1" customWidth="1"/>
    <col min="5637" max="5638" width="8.19921875" style="102" customWidth="1"/>
    <col min="5639" max="5639" width="16.19921875" style="102" customWidth="1"/>
    <col min="5640" max="5640" width="18.296875" style="102" customWidth="1"/>
    <col min="5641" max="5642" width="10.296875" style="102" customWidth="1"/>
    <col min="5643" max="5645" width="8" style="102" customWidth="1"/>
    <col min="5646" max="5647" width="11.3984375" style="102" customWidth="1"/>
    <col min="5648" max="5648" width="8.69921875" style="102"/>
    <col min="5649" max="5649" width="8.5" style="102" bestFit="1" customWidth="1"/>
    <col min="5650" max="5888" width="8.69921875" style="102"/>
    <col min="5889" max="5889" width="3.69921875" style="102" customWidth="1"/>
    <col min="5890" max="5890" width="4.5" style="102" customWidth="1"/>
    <col min="5891" max="5891" width="5.3984375" style="102" customWidth="1"/>
    <col min="5892" max="5892" width="8.5" style="102" bestFit="1" customWidth="1"/>
    <col min="5893" max="5894" width="8.19921875" style="102" customWidth="1"/>
    <col min="5895" max="5895" width="16.19921875" style="102" customWidth="1"/>
    <col min="5896" max="5896" width="18.296875" style="102" customWidth="1"/>
    <col min="5897" max="5898" width="10.296875" style="102" customWidth="1"/>
    <col min="5899" max="5901" width="8" style="102" customWidth="1"/>
    <col min="5902" max="5903" width="11.3984375" style="102" customWidth="1"/>
    <col min="5904" max="5904" width="8.69921875" style="102"/>
    <col min="5905" max="5905" width="8.5" style="102" bestFit="1" customWidth="1"/>
    <col min="5906" max="6144" width="8.69921875" style="102"/>
    <col min="6145" max="6145" width="3.69921875" style="102" customWidth="1"/>
    <col min="6146" max="6146" width="4.5" style="102" customWidth="1"/>
    <col min="6147" max="6147" width="5.3984375" style="102" customWidth="1"/>
    <col min="6148" max="6148" width="8.5" style="102" bestFit="1" customWidth="1"/>
    <col min="6149" max="6150" width="8.19921875" style="102" customWidth="1"/>
    <col min="6151" max="6151" width="16.19921875" style="102" customWidth="1"/>
    <col min="6152" max="6152" width="18.296875" style="102" customWidth="1"/>
    <col min="6153" max="6154" width="10.296875" style="102" customWidth="1"/>
    <col min="6155" max="6157" width="8" style="102" customWidth="1"/>
    <col min="6158" max="6159" width="11.3984375" style="102" customWidth="1"/>
    <col min="6160" max="6160" width="8.69921875" style="102"/>
    <col min="6161" max="6161" width="8.5" style="102" bestFit="1" customWidth="1"/>
    <col min="6162" max="6400" width="8.69921875" style="102"/>
    <col min="6401" max="6401" width="3.69921875" style="102" customWidth="1"/>
    <col min="6402" max="6402" width="4.5" style="102" customWidth="1"/>
    <col min="6403" max="6403" width="5.3984375" style="102" customWidth="1"/>
    <col min="6404" max="6404" width="8.5" style="102" bestFit="1" customWidth="1"/>
    <col min="6405" max="6406" width="8.19921875" style="102" customWidth="1"/>
    <col min="6407" max="6407" width="16.19921875" style="102" customWidth="1"/>
    <col min="6408" max="6408" width="18.296875" style="102" customWidth="1"/>
    <col min="6409" max="6410" width="10.296875" style="102" customWidth="1"/>
    <col min="6411" max="6413" width="8" style="102" customWidth="1"/>
    <col min="6414" max="6415" width="11.3984375" style="102" customWidth="1"/>
    <col min="6416" max="6416" width="8.69921875" style="102"/>
    <col min="6417" max="6417" width="8.5" style="102" bestFit="1" customWidth="1"/>
    <col min="6418" max="6656" width="8.69921875" style="102"/>
    <col min="6657" max="6657" width="3.69921875" style="102" customWidth="1"/>
    <col min="6658" max="6658" width="4.5" style="102" customWidth="1"/>
    <col min="6659" max="6659" width="5.3984375" style="102" customWidth="1"/>
    <col min="6660" max="6660" width="8.5" style="102" bestFit="1" customWidth="1"/>
    <col min="6661" max="6662" width="8.19921875" style="102" customWidth="1"/>
    <col min="6663" max="6663" width="16.19921875" style="102" customWidth="1"/>
    <col min="6664" max="6664" width="18.296875" style="102" customWidth="1"/>
    <col min="6665" max="6666" width="10.296875" style="102" customWidth="1"/>
    <col min="6667" max="6669" width="8" style="102" customWidth="1"/>
    <col min="6670" max="6671" width="11.3984375" style="102" customWidth="1"/>
    <col min="6672" max="6672" width="8.69921875" style="102"/>
    <col min="6673" max="6673" width="8.5" style="102" bestFit="1" customWidth="1"/>
    <col min="6674" max="6912" width="8.69921875" style="102"/>
    <col min="6913" max="6913" width="3.69921875" style="102" customWidth="1"/>
    <col min="6914" max="6914" width="4.5" style="102" customWidth="1"/>
    <col min="6915" max="6915" width="5.3984375" style="102" customWidth="1"/>
    <col min="6916" max="6916" width="8.5" style="102" bestFit="1" customWidth="1"/>
    <col min="6917" max="6918" width="8.19921875" style="102" customWidth="1"/>
    <col min="6919" max="6919" width="16.19921875" style="102" customWidth="1"/>
    <col min="6920" max="6920" width="18.296875" style="102" customWidth="1"/>
    <col min="6921" max="6922" width="10.296875" style="102" customWidth="1"/>
    <col min="6923" max="6925" width="8" style="102" customWidth="1"/>
    <col min="6926" max="6927" width="11.3984375" style="102" customWidth="1"/>
    <col min="6928" max="6928" width="8.69921875" style="102"/>
    <col min="6929" max="6929" width="8.5" style="102" bestFit="1" customWidth="1"/>
    <col min="6930" max="7168" width="8.69921875" style="102"/>
    <col min="7169" max="7169" width="3.69921875" style="102" customWidth="1"/>
    <col min="7170" max="7170" width="4.5" style="102" customWidth="1"/>
    <col min="7171" max="7171" width="5.3984375" style="102" customWidth="1"/>
    <col min="7172" max="7172" width="8.5" style="102" bestFit="1" customWidth="1"/>
    <col min="7173" max="7174" width="8.19921875" style="102" customWidth="1"/>
    <col min="7175" max="7175" width="16.19921875" style="102" customWidth="1"/>
    <col min="7176" max="7176" width="18.296875" style="102" customWidth="1"/>
    <col min="7177" max="7178" width="10.296875" style="102" customWidth="1"/>
    <col min="7179" max="7181" width="8" style="102" customWidth="1"/>
    <col min="7182" max="7183" width="11.3984375" style="102" customWidth="1"/>
    <col min="7184" max="7184" width="8.69921875" style="102"/>
    <col min="7185" max="7185" width="8.5" style="102" bestFit="1" customWidth="1"/>
    <col min="7186" max="7424" width="8.69921875" style="102"/>
    <col min="7425" max="7425" width="3.69921875" style="102" customWidth="1"/>
    <col min="7426" max="7426" width="4.5" style="102" customWidth="1"/>
    <col min="7427" max="7427" width="5.3984375" style="102" customWidth="1"/>
    <col min="7428" max="7428" width="8.5" style="102" bestFit="1" customWidth="1"/>
    <col min="7429" max="7430" width="8.19921875" style="102" customWidth="1"/>
    <col min="7431" max="7431" width="16.19921875" style="102" customWidth="1"/>
    <col min="7432" max="7432" width="18.296875" style="102" customWidth="1"/>
    <col min="7433" max="7434" width="10.296875" style="102" customWidth="1"/>
    <col min="7435" max="7437" width="8" style="102" customWidth="1"/>
    <col min="7438" max="7439" width="11.3984375" style="102" customWidth="1"/>
    <col min="7440" max="7440" width="8.69921875" style="102"/>
    <col min="7441" max="7441" width="8.5" style="102" bestFit="1" customWidth="1"/>
    <col min="7442" max="7680" width="8.69921875" style="102"/>
    <col min="7681" max="7681" width="3.69921875" style="102" customWidth="1"/>
    <col min="7682" max="7682" width="4.5" style="102" customWidth="1"/>
    <col min="7683" max="7683" width="5.3984375" style="102" customWidth="1"/>
    <col min="7684" max="7684" width="8.5" style="102" bestFit="1" customWidth="1"/>
    <col min="7685" max="7686" width="8.19921875" style="102" customWidth="1"/>
    <col min="7687" max="7687" width="16.19921875" style="102" customWidth="1"/>
    <col min="7688" max="7688" width="18.296875" style="102" customWidth="1"/>
    <col min="7689" max="7690" width="10.296875" style="102" customWidth="1"/>
    <col min="7691" max="7693" width="8" style="102" customWidth="1"/>
    <col min="7694" max="7695" width="11.3984375" style="102" customWidth="1"/>
    <col min="7696" max="7696" width="8.69921875" style="102"/>
    <col min="7697" max="7697" width="8.5" style="102" bestFit="1" customWidth="1"/>
    <col min="7698" max="7936" width="8.69921875" style="102"/>
    <col min="7937" max="7937" width="3.69921875" style="102" customWidth="1"/>
    <col min="7938" max="7938" width="4.5" style="102" customWidth="1"/>
    <col min="7939" max="7939" width="5.3984375" style="102" customWidth="1"/>
    <col min="7940" max="7940" width="8.5" style="102" bestFit="1" customWidth="1"/>
    <col min="7941" max="7942" width="8.19921875" style="102" customWidth="1"/>
    <col min="7943" max="7943" width="16.19921875" style="102" customWidth="1"/>
    <col min="7944" max="7944" width="18.296875" style="102" customWidth="1"/>
    <col min="7945" max="7946" width="10.296875" style="102" customWidth="1"/>
    <col min="7947" max="7949" width="8" style="102" customWidth="1"/>
    <col min="7950" max="7951" width="11.3984375" style="102" customWidth="1"/>
    <col min="7952" max="7952" width="8.69921875" style="102"/>
    <col min="7953" max="7953" width="8.5" style="102" bestFit="1" customWidth="1"/>
    <col min="7954" max="8192" width="8.69921875" style="102"/>
    <col min="8193" max="8193" width="3.69921875" style="102" customWidth="1"/>
    <col min="8194" max="8194" width="4.5" style="102" customWidth="1"/>
    <col min="8195" max="8195" width="5.3984375" style="102" customWidth="1"/>
    <col min="8196" max="8196" width="8.5" style="102" bestFit="1" customWidth="1"/>
    <col min="8197" max="8198" width="8.19921875" style="102" customWidth="1"/>
    <col min="8199" max="8199" width="16.19921875" style="102" customWidth="1"/>
    <col min="8200" max="8200" width="18.296875" style="102" customWidth="1"/>
    <col min="8201" max="8202" width="10.296875" style="102" customWidth="1"/>
    <col min="8203" max="8205" width="8" style="102" customWidth="1"/>
    <col min="8206" max="8207" width="11.3984375" style="102" customWidth="1"/>
    <col min="8208" max="8208" width="8.69921875" style="102"/>
    <col min="8209" max="8209" width="8.5" style="102" bestFit="1" customWidth="1"/>
    <col min="8210" max="8448" width="8.69921875" style="102"/>
    <col min="8449" max="8449" width="3.69921875" style="102" customWidth="1"/>
    <col min="8450" max="8450" width="4.5" style="102" customWidth="1"/>
    <col min="8451" max="8451" width="5.3984375" style="102" customWidth="1"/>
    <col min="8452" max="8452" width="8.5" style="102" bestFit="1" customWidth="1"/>
    <col min="8453" max="8454" width="8.19921875" style="102" customWidth="1"/>
    <col min="8455" max="8455" width="16.19921875" style="102" customWidth="1"/>
    <col min="8456" max="8456" width="18.296875" style="102" customWidth="1"/>
    <col min="8457" max="8458" width="10.296875" style="102" customWidth="1"/>
    <col min="8459" max="8461" width="8" style="102" customWidth="1"/>
    <col min="8462" max="8463" width="11.3984375" style="102" customWidth="1"/>
    <col min="8464" max="8464" width="8.69921875" style="102"/>
    <col min="8465" max="8465" width="8.5" style="102" bestFit="1" customWidth="1"/>
    <col min="8466" max="8704" width="8.69921875" style="102"/>
    <col min="8705" max="8705" width="3.69921875" style="102" customWidth="1"/>
    <col min="8706" max="8706" width="4.5" style="102" customWidth="1"/>
    <col min="8707" max="8707" width="5.3984375" style="102" customWidth="1"/>
    <col min="8708" max="8708" width="8.5" style="102" bestFit="1" customWidth="1"/>
    <col min="8709" max="8710" width="8.19921875" style="102" customWidth="1"/>
    <col min="8711" max="8711" width="16.19921875" style="102" customWidth="1"/>
    <col min="8712" max="8712" width="18.296875" style="102" customWidth="1"/>
    <col min="8713" max="8714" width="10.296875" style="102" customWidth="1"/>
    <col min="8715" max="8717" width="8" style="102" customWidth="1"/>
    <col min="8718" max="8719" width="11.3984375" style="102" customWidth="1"/>
    <col min="8720" max="8720" width="8.69921875" style="102"/>
    <col min="8721" max="8721" width="8.5" style="102" bestFit="1" customWidth="1"/>
    <col min="8722" max="8960" width="8.69921875" style="102"/>
    <col min="8961" max="8961" width="3.69921875" style="102" customWidth="1"/>
    <col min="8962" max="8962" width="4.5" style="102" customWidth="1"/>
    <col min="8963" max="8963" width="5.3984375" style="102" customWidth="1"/>
    <col min="8964" max="8964" width="8.5" style="102" bestFit="1" customWidth="1"/>
    <col min="8965" max="8966" width="8.19921875" style="102" customWidth="1"/>
    <col min="8967" max="8967" width="16.19921875" style="102" customWidth="1"/>
    <col min="8968" max="8968" width="18.296875" style="102" customWidth="1"/>
    <col min="8969" max="8970" width="10.296875" style="102" customWidth="1"/>
    <col min="8971" max="8973" width="8" style="102" customWidth="1"/>
    <col min="8974" max="8975" width="11.3984375" style="102" customWidth="1"/>
    <col min="8976" max="8976" width="8.69921875" style="102"/>
    <col min="8977" max="8977" width="8.5" style="102" bestFit="1" customWidth="1"/>
    <col min="8978" max="9216" width="8.69921875" style="102"/>
    <col min="9217" max="9217" width="3.69921875" style="102" customWidth="1"/>
    <col min="9218" max="9218" width="4.5" style="102" customWidth="1"/>
    <col min="9219" max="9219" width="5.3984375" style="102" customWidth="1"/>
    <col min="9220" max="9220" width="8.5" style="102" bestFit="1" customWidth="1"/>
    <col min="9221" max="9222" width="8.19921875" style="102" customWidth="1"/>
    <col min="9223" max="9223" width="16.19921875" style="102" customWidth="1"/>
    <col min="9224" max="9224" width="18.296875" style="102" customWidth="1"/>
    <col min="9225" max="9226" width="10.296875" style="102" customWidth="1"/>
    <col min="9227" max="9229" width="8" style="102" customWidth="1"/>
    <col min="9230" max="9231" width="11.3984375" style="102" customWidth="1"/>
    <col min="9232" max="9232" width="8.69921875" style="102"/>
    <col min="9233" max="9233" width="8.5" style="102" bestFit="1" customWidth="1"/>
    <col min="9234" max="9472" width="8.69921875" style="102"/>
    <col min="9473" max="9473" width="3.69921875" style="102" customWidth="1"/>
    <col min="9474" max="9474" width="4.5" style="102" customWidth="1"/>
    <col min="9475" max="9475" width="5.3984375" style="102" customWidth="1"/>
    <col min="9476" max="9476" width="8.5" style="102" bestFit="1" customWidth="1"/>
    <col min="9477" max="9478" width="8.19921875" style="102" customWidth="1"/>
    <col min="9479" max="9479" width="16.19921875" style="102" customWidth="1"/>
    <col min="9480" max="9480" width="18.296875" style="102" customWidth="1"/>
    <col min="9481" max="9482" width="10.296875" style="102" customWidth="1"/>
    <col min="9483" max="9485" width="8" style="102" customWidth="1"/>
    <col min="9486" max="9487" width="11.3984375" style="102" customWidth="1"/>
    <col min="9488" max="9488" width="8.69921875" style="102"/>
    <col min="9489" max="9489" width="8.5" style="102" bestFit="1" customWidth="1"/>
    <col min="9490" max="9728" width="8.69921875" style="102"/>
    <col min="9729" max="9729" width="3.69921875" style="102" customWidth="1"/>
    <col min="9730" max="9730" width="4.5" style="102" customWidth="1"/>
    <col min="9731" max="9731" width="5.3984375" style="102" customWidth="1"/>
    <col min="9732" max="9732" width="8.5" style="102" bestFit="1" customWidth="1"/>
    <col min="9733" max="9734" width="8.19921875" style="102" customWidth="1"/>
    <col min="9735" max="9735" width="16.19921875" style="102" customWidth="1"/>
    <col min="9736" max="9736" width="18.296875" style="102" customWidth="1"/>
    <col min="9737" max="9738" width="10.296875" style="102" customWidth="1"/>
    <col min="9739" max="9741" width="8" style="102" customWidth="1"/>
    <col min="9742" max="9743" width="11.3984375" style="102" customWidth="1"/>
    <col min="9744" max="9744" width="8.69921875" style="102"/>
    <col min="9745" max="9745" width="8.5" style="102" bestFit="1" customWidth="1"/>
    <col min="9746" max="9984" width="8.69921875" style="102"/>
    <col min="9985" max="9985" width="3.69921875" style="102" customWidth="1"/>
    <col min="9986" max="9986" width="4.5" style="102" customWidth="1"/>
    <col min="9987" max="9987" width="5.3984375" style="102" customWidth="1"/>
    <col min="9988" max="9988" width="8.5" style="102" bestFit="1" customWidth="1"/>
    <col min="9989" max="9990" width="8.19921875" style="102" customWidth="1"/>
    <col min="9991" max="9991" width="16.19921875" style="102" customWidth="1"/>
    <col min="9992" max="9992" width="18.296875" style="102" customWidth="1"/>
    <col min="9993" max="9994" width="10.296875" style="102" customWidth="1"/>
    <col min="9995" max="9997" width="8" style="102" customWidth="1"/>
    <col min="9998" max="9999" width="11.3984375" style="102" customWidth="1"/>
    <col min="10000" max="10000" width="8.69921875" style="102"/>
    <col min="10001" max="10001" width="8.5" style="102" bestFit="1" customWidth="1"/>
    <col min="10002" max="10240" width="8.69921875" style="102"/>
    <col min="10241" max="10241" width="3.69921875" style="102" customWidth="1"/>
    <col min="10242" max="10242" width="4.5" style="102" customWidth="1"/>
    <col min="10243" max="10243" width="5.3984375" style="102" customWidth="1"/>
    <col min="10244" max="10244" width="8.5" style="102" bestFit="1" customWidth="1"/>
    <col min="10245" max="10246" width="8.19921875" style="102" customWidth="1"/>
    <col min="10247" max="10247" width="16.19921875" style="102" customWidth="1"/>
    <col min="10248" max="10248" width="18.296875" style="102" customWidth="1"/>
    <col min="10249" max="10250" width="10.296875" style="102" customWidth="1"/>
    <col min="10251" max="10253" width="8" style="102" customWidth="1"/>
    <col min="10254" max="10255" width="11.3984375" style="102" customWidth="1"/>
    <col min="10256" max="10256" width="8.69921875" style="102"/>
    <col min="10257" max="10257" width="8.5" style="102" bestFit="1" customWidth="1"/>
    <col min="10258" max="10496" width="8.69921875" style="102"/>
    <col min="10497" max="10497" width="3.69921875" style="102" customWidth="1"/>
    <col min="10498" max="10498" width="4.5" style="102" customWidth="1"/>
    <col min="10499" max="10499" width="5.3984375" style="102" customWidth="1"/>
    <col min="10500" max="10500" width="8.5" style="102" bestFit="1" customWidth="1"/>
    <col min="10501" max="10502" width="8.19921875" style="102" customWidth="1"/>
    <col min="10503" max="10503" width="16.19921875" style="102" customWidth="1"/>
    <col min="10504" max="10504" width="18.296875" style="102" customWidth="1"/>
    <col min="10505" max="10506" width="10.296875" style="102" customWidth="1"/>
    <col min="10507" max="10509" width="8" style="102" customWidth="1"/>
    <col min="10510" max="10511" width="11.3984375" style="102" customWidth="1"/>
    <col min="10512" max="10512" width="8.69921875" style="102"/>
    <col min="10513" max="10513" width="8.5" style="102" bestFit="1" customWidth="1"/>
    <col min="10514" max="10752" width="8.69921875" style="102"/>
    <col min="10753" max="10753" width="3.69921875" style="102" customWidth="1"/>
    <col min="10754" max="10754" width="4.5" style="102" customWidth="1"/>
    <col min="10755" max="10755" width="5.3984375" style="102" customWidth="1"/>
    <col min="10756" max="10756" width="8.5" style="102" bestFit="1" customWidth="1"/>
    <col min="10757" max="10758" width="8.19921875" style="102" customWidth="1"/>
    <col min="10759" max="10759" width="16.19921875" style="102" customWidth="1"/>
    <col min="10760" max="10760" width="18.296875" style="102" customWidth="1"/>
    <col min="10761" max="10762" width="10.296875" style="102" customWidth="1"/>
    <col min="10763" max="10765" width="8" style="102" customWidth="1"/>
    <col min="10766" max="10767" width="11.3984375" style="102" customWidth="1"/>
    <col min="10768" max="10768" width="8.69921875" style="102"/>
    <col min="10769" max="10769" width="8.5" style="102" bestFit="1" customWidth="1"/>
    <col min="10770" max="11008" width="8.69921875" style="102"/>
    <col min="11009" max="11009" width="3.69921875" style="102" customWidth="1"/>
    <col min="11010" max="11010" width="4.5" style="102" customWidth="1"/>
    <col min="11011" max="11011" width="5.3984375" style="102" customWidth="1"/>
    <col min="11012" max="11012" width="8.5" style="102" bestFit="1" customWidth="1"/>
    <col min="11013" max="11014" width="8.19921875" style="102" customWidth="1"/>
    <col min="11015" max="11015" width="16.19921875" style="102" customWidth="1"/>
    <col min="11016" max="11016" width="18.296875" style="102" customWidth="1"/>
    <col min="11017" max="11018" width="10.296875" style="102" customWidth="1"/>
    <col min="11019" max="11021" width="8" style="102" customWidth="1"/>
    <col min="11022" max="11023" width="11.3984375" style="102" customWidth="1"/>
    <col min="11024" max="11024" width="8.69921875" style="102"/>
    <col min="11025" max="11025" width="8.5" style="102" bestFit="1" customWidth="1"/>
    <col min="11026" max="11264" width="8.69921875" style="102"/>
    <col min="11265" max="11265" width="3.69921875" style="102" customWidth="1"/>
    <col min="11266" max="11266" width="4.5" style="102" customWidth="1"/>
    <col min="11267" max="11267" width="5.3984375" style="102" customWidth="1"/>
    <col min="11268" max="11268" width="8.5" style="102" bestFit="1" customWidth="1"/>
    <col min="11269" max="11270" width="8.19921875" style="102" customWidth="1"/>
    <col min="11271" max="11271" width="16.19921875" style="102" customWidth="1"/>
    <col min="11272" max="11272" width="18.296875" style="102" customWidth="1"/>
    <col min="11273" max="11274" width="10.296875" style="102" customWidth="1"/>
    <col min="11275" max="11277" width="8" style="102" customWidth="1"/>
    <col min="11278" max="11279" width="11.3984375" style="102" customWidth="1"/>
    <col min="11280" max="11280" width="8.69921875" style="102"/>
    <col min="11281" max="11281" width="8.5" style="102" bestFit="1" customWidth="1"/>
    <col min="11282" max="11520" width="8.69921875" style="102"/>
    <col min="11521" max="11521" width="3.69921875" style="102" customWidth="1"/>
    <col min="11522" max="11522" width="4.5" style="102" customWidth="1"/>
    <col min="11523" max="11523" width="5.3984375" style="102" customWidth="1"/>
    <col min="11524" max="11524" width="8.5" style="102" bestFit="1" customWidth="1"/>
    <col min="11525" max="11526" width="8.19921875" style="102" customWidth="1"/>
    <col min="11527" max="11527" width="16.19921875" style="102" customWidth="1"/>
    <col min="11528" max="11528" width="18.296875" style="102" customWidth="1"/>
    <col min="11529" max="11530" width="10.296875" style="102" customWidth="1"/>
    <col min="11531" max="11533" width="8" style="102" customWidth="1"/>
    <col min="11534" max="11535" width="11.3984375" style="102" customWidth="1"/>
    <col min="11536" max="11536" width="8.69921875" style="102"/>
    <col min="11537" max="11537" width="8.5" style="102" bestFit="1" customWidth="1"/>
    <col min="11538" max="11776" width="8.69921875" style="102"/>
    <col min="11777" max="11777" width="3.69921875" style="102" customWidth="1"/>
    <col min="11778" max="11778" width="4.5" style="102" customWidth="1"/>
    <col min="11779" max="11779" width="5.3984375" style="102" customWidth="1"/>
    <col min="11780" max="11780" width="8.5" style="102" bestFit="1" customWidth="1"/>
    <col min="11781" max="11782" width="8.19921875" style="102" customWidth="1"/>
    <col min="11783" max="11783" width="16.19921875" style="102" customWidth="1"/>
    <col min="11784" max="11784" width="18.296875" style="102" customWidth="1"/>
    <col min="11785" max="11786" width="10.296875" style="102" customWidth="1"/>
    <col min="11787" max="11789" width="8" style="102" customWidth="1"/>
    <col min="11790" max="11791" width="11.3984375" style="102" customWidth="1"/>
    <col min="11792" max="11792" width="8.69921875" style="102"/>
    <col min="11793" max="11793" width="8.5" style="102" bestFit="1" customWidth="1"/>
    <col min="11794" max="12032" width="8.69921875" style="102"/>
    <col min="12033" max="12033" width="3.69921875" style="102" customWidth="1"/>
    <col min="12034" max="12034" width="4.5" style="102" customWidth="1"/>
    <col min="12035" max="12035" width="5.3984375" style="102" customWidth="1"/>
    <col min="12036" max="12036" width="8.5" style="102" bestFit="1" customWidth="1"/>
    <col min="12037" max="12038" width="8.19921875" style="102" customWidth="1"/>
    <col min="12039" max="12039" width="16.19921875" style="102" customWidth="1"/>
    <col min="12040" max="12040" width="18.296875" style="102" customWidth="1"/>
    <col min="12041" max="12042" width="10.296875" style="102" customWidth="1"/>
    <col min="12043" max="12045" width="8" style="102" customWidth="1"/>
    <col min="12046" max="12047" width="11.3984375" style="102" customWidth="1"/>
    <col min="12048" max="12048" width="8.69921875" style="102"/>
    <col min="12049" max="12049" width="8.5" style="102" bestFit="1" customWidth="1"/>
    <col min="12050" max="12288" width="8.69921875" style="102"/>
    <col min="12289" max="12289" width="3.69921875" style="102" customWidth="1"/>
    <col min="12290" max="12290" width="4.5" style="102" customWidth="1"/>
    <col min="12291" max="12291" width="5.3984375" style="102" customWidth="1"/>
    <col min="12292" max="12292" width="8.5" style="102" bestFit="1" customWidth="1"/>
    <col min="12293" max="12294" width="8.19921875" style="102" customWidth="1"/>
    <col min="12295" max="12295" width="16.19921875" style="102" customWidth="1"/>
    <col min="12296" max="12296" width="18.296875" style="102" customWidth="1"/>
    <col min="12297" max="12298" width="10.296875" style="102" customWidth="1"/>
    <col min="12299" max="12301" width="8" style="102" customWidth="1"/>
    <col min="12302" max="12303" width="11.3984375" style="102" customWidth="1"/>
    <col min="12304" max="12304" width="8.69921875" style="102"/>
    <col min="12305" max="12305" width="8.5" style="102" bestFit="1" customWidth="1"/>
    <col min="12306" max="12544" width="8.69921875" style="102"/>
    <col min="12545" max="12545" width="3.69921875" style="102" customWidth="1"/>
    <col min="12546" max="12546" width="4.5" style="102" customWidth="1"/>
    <col min="12547" max="12547" width="5.3984375" style="102" customWidth="1"/>
    <col min="12548" max="12548" width="8.5" style="102" bestFit="1" customWidth="1"/>
    <col min="12549" max="12550" width="8.19921875" style="102" customWidth="1"/>
    <col min="12551" max="12551" width="16.19921875" style="102" customWidth="1"/>
    <col min="12552" max="12552" width="18.296875" style="102" customWidth="1"/>
    <col min="12553" max="12554" width="10.296875" style="102" customWidth="1"/>
    <col min="12555" max="12557" width="8" style="102" customWidth="1"/>
    <col min="12558" max="12559" width="11.3984375" style="102" customWidth="1"/>
    <col min="12560" max="12560" width="8.69921875" style="102"/>
    <col min="12561" max="12561" width="8.5" style="102" bestFit="1" customWidth="1"/>
    <col min="12562" max="12800" width="8.69921875" style="102"/>
    <col min="12801" max="12801" width="3.69921875" style="102" customWidth="1"/>
    <col min="12802" max="12802" width="4.5" style="102" customWidth="1"/>
    <col min="12803" max="12803" width="5.3984375" style="102" customWidth="1"/>
    <col min="12804" max="12804" width="8.5" style="102" bestFit="1" customWidth="1"/>
    <col min="12805" max="12806" width="8.19921875" style="102" customWidth="1"/>
    <col min="12807" max="12807" width="16.19921875" style="102" customWidth="1"/>
    <col min="12808" max="12808" width="18.296875" style="102" customWidth="1"/>
    <col min="12809" max="12810" width="10.296875" style="102" customWidth="1"/>
    <col min="12811" max="12813" width="8" style="102" customWidth="1"/>
    <col min="12814" max="12815" width="11.3984375" style="102" customWidth="1"/>
    <col min="12816" max="12816" width="8.69921875" style="102"/>
    <col min="12817" max="12817" width="8.5" style="102" bestFit="1" customWidth="1"/>
    <col min="12818" max="13056" width="8.69921875" style="102"/>
    <col min="13057" max="13057" width="3.69921875" style="102" customWidth="1"/>
    <col min="13058" max="13058" width="4.5" style="102" customWidth="1"/>
    <col min="13059" max="13059" width="5.3984375" style="102" customWidth="1"/>
    <col min="13060" max="13060" width="8.5" style="102" bestFit="1" customWidth="1"/>
    <col min="13061" max="13062" width="8.19921875" style="102" customWidth="1"/>
    <col min="13063" max="13063" width="16.19921875" style="102" customWidth="1"/>
    <col min="13064" max="13064" width="18.296875" style="102" customWidth="1"/>
    <col min="13065" max="13066" width="10.296875" style="102" customWidth="1"/>
    <col min="13067" max="13069" width="8" style="102" customWidth="1"/>
    <col min="13070" max="13071" width="11.3984375" style="102" customWidth="1"/>
    <col min="13072" max="13072" width="8.69921875" style="102"/>
    <col min="13073" max="13073" width="8.5" style="102" bestFit="1" customWidth="1"/>
    <col min="13074" max="13312" width="8.69921875" style="102"/>
    <col min="13313" max="13313" width="3.69921875" style="102" customWidth="1"/>
    <col min="13314" max="13314" width="4.5" style="102" customWidth="1"/>
    <col min="13315" max="13315" width="5.3984375" style="102" customWidth="1"/>
    <col min="13316" max="13316" width="8.5" style="102" bestFit="1" customWidth="1"/>
    <col min="13317" max="13318" width="8.19921875" style="102" customWidth="1"/>
    <col min="13319" max="13319" width="16.19921875" style="102" customWidth="1"/>
    <col min="13320" max="13320" width="18.296875" style="102" customWidth="1"/>
    <col min="13321" max="13322" width="10.296875" style="102" customWidth="1"/>
    <col min="13323" max="13325" width="8" style="102" customWidth="1"/>
    <col min="13326" max="13327" width="11.3984375" style="102" customWidth="1"/>
    <col min="13328" max="13328" width="8.69921875" style="102"/>
    <col min="13329" max="13329" width="8.5" style="102" bestFit="1" customWidth="1"/>
    <col min="13330" max="13568" width="8.69921875" style="102"/>
    <col min="13569" max="13569" width="3.69921875" style="102" customWidth="1"/>
    <col min="13570" max="13570" width="4.5" style="102" customWidth="1"/>
    <col min="13571" max="13571" width="5.3984375" style="102" customWidth="1"/>
    <col min="13572" max="13572" width="8.5" style="102" bestFit="1" customWidth="1"/>
    <col min="13573" max="13574" width="8.19921875" style="102" customWidth="1"/>
    <col min="13575" max="13575" width="16.19921875" style="102" customWidth="1"/>
    <col min="13576" max="13576" width="18.296875" style="102" customWidth="1"/>
    <col min="13577" max="13578" width="10.296875" style="102" customWidth="1"/>
    <col min="13579" max="13581" width="8" style="102" customWidth="1"/>
    <col min="13582" max="13583" width="11.3984375" style="102" customWidth="1"/>
    <col min="13584" max="13584" width="8.69921875" style="102"/>
    <col min="13585" max="13585" width="8.5" style="102" bestFit="1" customWidth="1"/>
    <col min="13586" max="13824" width="8.69921875" style="102"/>
    <col min="13825" max="13825" width="3.69921875" style="102" customWidth="1"/>
    <col min="13826" max="13826" width="4.5" style="102" customWidth="1"/>
    <col min="13827" max="13827" width="5.3984375" style="102" customWidth="1"/>
    <col min="13828" max="13828" width="8.5" style="102" bestFit="1" customWidth="1"/>
    <col min="13829" max="13830" width="8.19921875" style="102" customWidth="1"/>
    <col min="13831" max="13831" width="16.19921875" style="102" customWidth="1"/>
    <col min="13832" max="13832" width="18.296875" style="102" customWidth="1"/>
    <col min="13833" max="13834" width="10.296875" style="102" customWidth="1"/>
    <col min="13835" max="13837" width="8" style="102" customWidth="1"/>
    <col min="13838" max="13839" width="11.3984375" style="102" customWidth="1"/>
    <col min="13840" max="13840" width="8.69921875" style="102"/>
    <col min="13841" max="13841" width="8.5" style="102" bestFit="1" customWidth="1"/>
    <col min="13842" max="14080" width="8.69921875" style="102"/>
    <col min="14081" max="14081" width="3.69921875" style="102" customWidth="1"/>
    <col min="14082" max="14082" width="4.5" style="102" customWidth="1"/>
    <col min="14083" max="14083" width="5.3984375" style="102" customWidth="1"/>
    <col min="14084" max="14084" width="8.5" style="102" bestFit="1" customWidth="1"/>
    <col min="14085" max="14086" width="8.19921875" style="102" customWidth="1"/>
    <col min="14087" max="14087" width="16.19921875" style="102" customWidth="1"/>
    <col min="14088" max="14088" width="18.296875" style="102" customWidth="1"/>
    <col min="14089" max="14090" width="10.296875" style="102" customWidth="1"/>
    <col min="14091" max="14093" width="8" style="102" customWidth="1"/>
    <col min="14094" max="14095" width="11.3984375" style="102" customWidth="1"/>
    <col min="14096" max="14096" width="8.69921875" style="102"/>
    <col min="14097" max="14097" width="8.5" style="102" bestFit="1" customWidth="1"/>
    <col min="14098" max="14336" width="8.69921875" style="102"/>
    <col min="14337" max="14337" width="3.69921875" style="102" customWidth="1"/>
    <col min="14338" max="14338" width="4.5" style="102" customWidth="1"/>
    <col min="14339" max="14339" width="5.3984375" style="102" customWidth="1"/>
    <col min="14340" max="14340" width="8.5" style="102" bestFit="1" customWidth="1"/>
    <col min="14341" max="14342" width="8.19921875" style="102" customWidth="1"/>
    <col min="14343" max="14343" width="16.19921875" style="102" customWidth="1"/>
    <col min="14344" max="14344" width="18.296875" style="102" customWidth="1"/>
    <col min="14345" max="14346" width="10.296875" style="102" customWidth="1"/>
    <col min="14347" max="14349" width="8" style="102" customWidth="1"/>
    <col min="14350" max="14351" width="11.3984375" style="102" customWidth="1"/>
    <col min="14352" max="14352" width="8.69921875" style="102"/>
    <col min="14353" max="14353" width="8.5" style="102" bestFit="1" customWidth="1"/>
    <col min="14354" max="14592" width="8.69921875" style="102"/>
    <col min="14593" max="14593" width="3.69921875" style="102" customWidth="1"/>
    <col min="14594" max="14594" width="4.5" style="102" customWidth="1"/>
    <col min="14595" max="14595" width="5.3984375" style="102" customWidth="1"/>
    <col min="14596" max="14596" width="8.5" style="102" bestFit="1" customWidth="1"/>
    <col min="14597" max="14598" width="8.19921875" style="102" customWidth="1"/>
    <col min="14599" max="14599" width="16.19921875" style="102" customWidth="1"/>
    <col min="14600" max="14600" width="18.296875" style="102" customWidth="1"/>
    <col min="14601" max="14602" width="10.296875" style="102" customWidth="1"/>
    <col min="14603" max="14605" width="8" style="102" customWidth="1"/>
    <col min="14606" max="14607" width="11.3984375" style="102" customWidth="1"/>
    <col min="14608" max="14608" width="8.69921875" style="102"/>
    <col min="14609" max="14609" width="8.5" style="102" bestFit="1" customWidth="1"/>
    <col min="14610" max="14848" width="8.69921875" style="102"/>
    <col min="14849" max="14849" width="3.69921875" style="102" customWidth="1"/>
    <col min="14850" max="14850" width="4.5" style="102" customWidth="1"/>
    <col min="14851" max="14851" width="5.3984375" style="102" customWidth="1"/>
    <col min="14852" max="14852" width="8.5" style="102" bestFit="1" customWidth="1"/>
    <col min="14853" max="14854" width="8.19921875" style="102" customWidth="1"/>
    <col min="14855" max="14855" width="16.19921875" style="102" customWidth="1"/>
    <col min="14856" max="14856" width="18.296875" style="102" customWidth="1"/>
    <col min="14857" max="14858" width="10.296875" style="102" customWidth="1"/>
    <col min="14859" max="14861" width="8" style="102" customWidth="1"/>
    <col min="14862" max="14863" width="11.3984375" style="102" customWidth="1"/>
    <col min="14864" max="14864" width="8.69921875" style="102"/>
    <col min="14865" max="14865" width="8.5" style="102" bestFit="1" customWidth="1"/>
    <col min="14866" max="15104" width="8.69921875" style="102"/>
    <col min="15105" max="15105" width="3.69921875" style="102" customWidth="1"/>
    <col min="15106" max="15106" width="4.5" style="102" customWidth="1"/>
    <col min="15107" max="15107" width="5.3984375" style="102" customWidth="1"/>
    <col min="15108" max="15108" width="8.5" style="102" bestFit="1" customWidth="1"/>
    <col min="15109" max="15110" width="8.19921875" style="102" customWidth="1"/>
    <col min="15111" max="15111" width="16.19921875" style="102" customWidth="1"/>
    <col min="15112" max="15112" width="18.296875" style="102" customWidth="1"/>
    <col min="15113" max="15114" width="10.296875" style="102" customWidth="1"/>
    <col min="15115" max="15117" width="8" style="102" customWidth="1"/>
    <col min="15118" max="15119" width="11.3984375" style="102" customWidth="1"/>
    <col min="15120" max="15120" width="8.69921875" style="102"/>
    <col min="15121" max="15121" width="8.5" style="102" bestFit="1" customWidth="1"/>
    <col min="15122" max="15360" width="8.69921875" style="102"/>
    <col min="15361" max="15361" width="3.69921875" style="102" customWidth="1"/>
    <col min="15362" max="15362" width="4.5" style="102" customWidth="1"/>
    <col min="15363" max="15363" width="5.3984375" style="102" customWidth="1"/>
    <col min="15364" max="15364" width="8.5" style="102" bestFit="1" customWidth="1"/>
    <col min="15365" max="15366" width="8.19921875" style="102" customWidth="1"/>
    <col min="15367" max="15367" width="16.19921875" style="102" customWidth="1"/>
    <col min="15368" max="15368" width="18.296875" style="102" customWidth="1"/>
    <col min="15369" max="15370" width="10.296875" style="102" customWidth="1"/>
    <col min="15371" max="15373" width="8" style="102" customWidth="1"/>
    <col min="15374" max="15375" width="11.3984375" style="102" customWidth="1"/>
    <col min="15376" max="15376" width="8.69921875" style="102"/>
    <col min="15377" max="15377" width="8.5" style="102" bestFit="1" customWidth="1"/>
    <col min="15378" max="15616" width="8.69921875" style="102"/>
    <col min="15617" max="15617" width="3.69921875" style="102" customWidth="1"/>
    <col min="15618" max="15618" width="4.5" style="102" customWidth="1"/>
    <col min="15619" max="15619" width="5.3984375" style="102" customWidth="1"/>
    <col min="15620" max="15620" width="8.5" style="102" bestFit="1" customWidth="1"/>
    <col min="15621" max="15622" width="8.19921875" style="102" customWidth="1"/>
    <col min="15623" max="15623" width="16.19921875" style="102" customWidth="1"/>
    <col min="15624" max="15624" width="18.296875" style="102" customWidth="1"/>
    <col min="15625" max="15626" width="10.296875" style="102" customWidth="1"/>
    <col min="15627" max="15629" width="8" style="102" customWidth="1"/>
    <col min="15630" max="15631" width="11.3984375" style="102" customWidth="1"/>
    <col min="15632" max="15632" width="8.69921875" style="102"/>
    <col min="15633" max="15633" width="8.5" style="102" bestFit="1" customWidth="1"/>
    <col min="15634" max="15872" width="8.69921875" style="102"/>
    <col min="15873" max="15873" width="3.69921875" style="102" customWidth="1"/>
    <col min="15874" max="15874" width="4.5" style="102" customWidth="1"/>
    <col min="15875" max="15875" width="5.3984375" style="102" customWidth="1"/>
    <col min="15876" max="15876" width="8.5" style="102" bestFit="1" customWidth="1"/>
    <col min="15877" max="15878" width="8.19921875" style="102" customWidth="1"/>
    <col min="15879" max="15879" width="16.19921875" style="102" customWidth="1"/>
    <col min="15880" max="15880" width="18.296875" style="102" customWidth="1"/>
    <col min="15881" max="15882" width="10.296875" style="102" customWidth="1"/>
    <col min="15883" max="15885" width="8" style="102" customWidth="1"/>
    <col min="15886" max="15887" width="11.3984375" style="102" customWidth="1"/>
    <col min="15888" max="15888" width="8.69921875" style="102"/>
    <col min="15889" max="15889" width="8.5" style="102" bestFit="1" customWidth="1"/>
    <col min="15890" max="16128" width="8.69921875" style="102"/>
    <col min="16129" max="16129" width="3.69921875" style="102" customWidth="1"/>
    <col min="16130" max="16130" width="4.5" style="102" customWidth="1"/>
    <col min="16131" max="16131" width="5.3984375" style="102" customWidth="1"/>
    <col min="16132" max="16132" width="8.5" style="102" bestFit="1" customWidth="1"/>
    <col min="16133" max="16134" width="8.19921875" style="102" customWidth="1"/>
    <col min="16135" max="16135" width="16.19921875" style="102" customWidth="1"/>
    <col min="16136" max="16136" width="18.296875" style="102" customWidth="1"/>
    <col min="16137" max="16138" width="10.296875" style="102" customWidth="1"/>
    <col min="16139" max="16141" width="8" style="102" customWidth="1"/>
    <col min="16142" max="16143" width="11.3984375" style="102" customWidth="1"/>
    <col min="16144" max="16144" width="8.69921875" style="102"/>
    <col min="16145" max="16145" width="8.5" style="102" bestFit="1" customWidth="1"/>
    <col min="16146" max="16384" width="8.69921875" style="102"/>
  </cols>
  <sheetData>
    <row r="1" spans="1:22" ht="14.4" x14ac:dyDescent="0.45">
      <c r="A1" s="130"/>
      <c r="D1" s="130"/>
      <c r="E1" s="102"/>
      <c r="F1" s="102"/>
      <c r="G1" s="102"/>
      <c r="H1" s="102"/>
    </row>
    <row r="2" spans="1:22" ht="15" thickBot="1" x14ac:dyDescent="0.5">
      <c r="A2" s="130"/>
      <c r="D2" s="130"/>
      <c r="E2" s="102"/>
      <c r="F2" s="102"/>
      <c r="G2" s="102"/>
      <c r="H2" s="102"/>
    </row>
    <row r="3" spans="1:22" ht="22.5" customHeight="1" x14ac:dyDescent="0.45">
      <c r="A3" s="136"/>
      <c r="B3" s="137"/>
      <c r="C3" s="137"/>
      <c r="D3" s="138"/>
      <c r="E3" s="261" t="s">
        <v>124</v>
      </c>
      <c r="F3" s="262"/>
      <c r="G3" s="262"/>
      <c r="H3" s="263"/>
      <c r="I3" s="139" t="s">
        <v>116</v>
      </c>
      <c r="J3" s="140" t="s">
        <v>125</v>
      </c>
      <c r="K3" s="140" t="s">
        <v>118</v>
      </c>
      <c r="L3" s="140" t="s">
        <v>119</v>
      </c>
      <c r="M3" s="140" t="s">
        <v>120</v>
      </c>
      <c r="N3" s="141" t="s">
        <v>126</v>
      </c>
      <c r="O3" s="141" t="s">
        <v>122</v>
      </c>
      <c r="P3" s="130"/>
      <c r="Q3" s="130"/>
      <c r="S3" s="103"/>
      <c r="T3" s="103"/>
      <c r="U3" s="103"/>
      <c r="V3" s="103"/>
    </row>
    <row r="4" spans="1:22" ht="22.5" customHeight="1" thickBot="1" x14ac:dyDescent="0.5">
      <c r="A4" s="136"/>
      <c r="B4" s="137"/>
      <c r="C4" s="137"/>
      <c r="D4" s="138"/>
      <c r="E4" s="264"/>
      <c r="F4" s="265"/>
      <c r="G4" s="265"/>
      <c r="H4" s="266"/>
      <c r="I4" s="142"/>
      <c r="J4" s="143"/>
      <c r="K4" s="143"/>
      <c r="L4" s="143"/>
      <c r="M4" s="143"/>
      <c r="N4" s="144"/>
      <c r="O4" s="144"/>
      <c r="P4" s="130"/>
      <c r="Q4" s="130"/>
      <c r="S4" s="103"/>
      <c r="T4" s="103"/>
      <c r="U4" s="103"/>
      <c r="V4" s="103"/>
    </row>
    <row r="5" spans="1:22" ht="14.4" x14ac:dyDescent="0.45">
      <c r="A5" s="130"/>
      <c r="D5" s="130"/>
      <c r="E5" s="102"/>
      <c r="F5" s="102"/>
      <c r="G5" s="102"/>
      <c r="H5" s="102"/>
    </row>
    <row r="6" spans="1:22" ht="14.4" x14ac:dyDescent="0.45">
      <c r="A6" s="130"/>
      <c r="D6" s="102"/>
      <c r="E6" s="102"/>
      <c r="F6" s="102"/>
      <c r="G6" s="102"/>
      <c r="H6" s="102"/>
    </row>
    <row r="7" spans="1:22" ht="14.4" x14ac:dyDescent="0.45">
      <c r="A7" s="130"/>
      <c r="D7" s="102"/>
      <c r="E7" s="102"/>
      <c r="F7" s="102"/>
      <c r="G7" s="102"/>
      <c r="H7" s="102"/>
    </row>
    <row r="8" spans="1:22" ht="14.4" x14ac:dyDescent="0.45">
      <c r="A8" s="130"/>
      <c r="D8" s="102"/>
      <c r="E8" s="102"/>
      <c r="F8" s="102"/>
      <c r="G8" s="102"/>
      <c r="H8" s="102"/>
    </row>
    <row r="9" spans="1:22" ht="14.4" x14ac:dyDescent="0.45">
      <c r="A9" s="130"/>
      <c r="D9" s="102"/>
      <c r="E9" s="102"/>
      <c r="F9" s="102"/>
      <c r="G9" s="102"/>
      <c r="H9" s="102"/>
    </row>
    <row r="10" spans="1:22" ht="14.4" x14ac:dyDescent="0.45">
      <c r="A10" s="130"/>
      <c r="D10" s="102"/>
      <c r="E10" s="102"/>
      <c r="F10" s="102"/>
      <c r="G10" s="102"/>
      <c r="H10" s="102"/>
    </row>
    <row r="11" spans="1:22" ht="14.4" x14ac:dyDescent="0.45">
      <c r="A11" s="130"/>
      <c r="D11" s="102"/>
      <c r="E11" s="102"/>
      <c r="F11" s="102"/>
      <c r="G11" s="102"/>
      <c r="H11" s="102"/>
    </row>
    <row r="12" spans="1:22" ht="14.4" x14ac:dyDescent="0.45">
      <c r="A12" s="130"/>
      <c r="D12" s="102"/>
      <c r="E12" s="102"/>
      <c r="F12" s="102"/>
      <c r="G12" s="102"/>
      <c r="H12" s="102"/>
    </row>
    <row r="13" spans="1:22" ht="14.4" x14ac:dyDescent="0.45">
      <c r="A13" s="130"/>
      <c r="D13" s="102"/>
      <c r="E13" s="102"/>
      <c r="F13" s="102"/>
      <c r="G13" s="102"/>
      <c r="H13" s="102"/>
    </row>
    <row r="14" spans="1:22" ht="14.4" x14ac:dyDescent="0.45">
      <c r="A14" s="130"/>
      <c r="D14" s="102"/>
      <c r="E14" s="102"/>
      <c r="F14" s="102"/>
      <c r="G14" s="102"/>
      <c r="H14" s="102"/>
    </row>
    <row r="15" spans="1:22" ht="14.4" x14ac:dyDescent="0.45">
      <c r="A15" s="130"/>
      <c r="D15" s="102"/>
      <c r="E15" s="102"/>
      <c r="F15" s="102"/>
      <c r="G15" s="102"/>
      <c r="H15" s="102"/>
    </row>
    <row r="16" spans="1:22" ht="14.4" x14ac:dyDescent="0.45">
      <c r="A16" s="130"/>
      <c r="D16" s="102"/>
      <c r="E16" s="102"/>
      <c r="F16" s="102"/>
      <c r="G16" s="102"/>
      <c r="H16" s="102"/>
    </row>
    <row r="17" spans="1:8" ht="14.4" x14ac:dyDescent="0.45">
      <c r="A17" s="130"/>
      <c r="D17" s="102"/>
      <c r="E17" s="102"/>
      <c r="F17" s="102"/>
      <c r="G17" s="102"/>
      <c r="H17" s="102"/>
    </row>
    <row r="18" spans="1:8" ht="14.4" x14ac:dyDescent="0.45">
      <c r="A18" s="130"/>
      <c r="D18" s="102"/>
      <c r="E18" s="102"/>
      <c r="F18" s="102"/>
      <c r="G18" s="102"/>
      <c r="H18" s="102"/>
    </row>
    <row r="19" spans="1:8" ht="14.4" x14ac:dyDescent="0.45">
      <c r="A19" s="130"/>
      <c r="D19" s="102"/>
      <c r="E19" s="102"/>
      <c r="F19" s="102"/>
      <c r="G19" s="102"/>
      <c r="H19" s="102"/>
    </row>
    <row r="20" spans="1:8" ht="14.4" x14ac:dyDescent="0.45">
      <c r="A20" s="130"/>
      <c r="D20" s="102"/>
      <c r="E20" s="102"/>
      <c r="F20" s="102"/>
      <c r="G20" s="102"/>
      <c r="H20" s="102"/>
    </row>
    <row r="21" spans="1:8" ht="14.4" x14ac:dyDescent="0.45">
      <c r="A21" s="130"/>
      <c r="D21" s="102"/>
      <c r="E21" s="102"/>
      <c r="F21" s="102"/>
      <c r="G21" s="102"/>
      <c r="H21" s="102"/>
    </row>
    <row r="22" spans="1:8" ht="14.4" x14ac:dyDescent="0.45">
      <c r="A22" s="130"/>
      <c r="D22" s="102"/>
      <c r="E22" s="102"/>
      <c r="F22" s="102"/>
      <c r="G22" s="102"/>
      <c r="H22" s="102"/>
    </row>
    <row r="23" spans="1:8" ht="14.4" x14ac:dyDescent="0.45">
      <c r="A23" s="130"/>
      <c r="D23" s="102"/>
      <c r="E23" s="102"/>
      <c r="F23" s="102"/>
      <c r="G23" s="102"/>
      <c r="H23" s="102"/>
    </row>
    <row r="24" spans="1:8" ht="14.4" x14ac:dyDescent="0.45">
      <c r="A24" s="130"/>
      <c r="D24" s="102"/>
      <c r="E24" s="102"/>
      <c r="F24" s="102"/>
      <c r="G24" s="102"/>
      <c r="H24" s="102"/>
    </row>
    <row r="25" spans="1:8" ht="14.4" x14ac:dyDescent="0.45">
      <c r="A25" s="130"/>
      <c r="D25" s="102"/>
      <c r="E25" s="102"/>
      <c r="F25" s="102"/>
      <c r="G25" s="102"/>
      <c r="H25" s="102"/>
    </row>
    <row r="26" spans="1:8" ht="14.4" x14ac:dyDescent="0.45">
      <c r="A26" s="130"/>
      <c r="D26" s="102"/>
      <c r="E26" s="102"/>
      <c r="F26" s="102"/>
      <c r="G26" s="102"/>
      <c r="H26" s="102"/>
    </row>
    <row r="27" spans="1:8" ht="14.4" x14ac:dyDescent="0.45">
      <c r="A27" s="130"/>
      <c r="D27" s="102"/>
      <c r="E27" s="102"/>
      <c r="F27" s="102"/>
      <c r="G27" s="102"/>
      <c r="H27" s="102"/>
    </row>
    <row r="28" spans="1:8" ht="14.4" x14ac:dyDescent="0.45">
      <c r="A28" s="130"/>
      <c r="D28" s="102"/>
      <c r="E28" s="102"/>
      <c r="F28" s="102"/>
      <c r="G28" s="102"/>
      <c r="H28" s="102"/>
    </row>
    <row r="29" spans="1:8" ht="14.4" x14ac:dyDescent="0.45">
      <c r="A29" s="130"/>
      <c r="D29" s="102"/>
      <c r="E29" s="102"/>
      <c r="F29" s="102"/>
      <c r="G29" s="102"/>
      <c r="H29" s="102"/>
    </row>
    <row r="30" spans="1:8" ht="14.4" x14ac:dyDescent="0.45">
      <c r="A30" s="130"/>
      <c r="D30" s="102"/>
      <c r="E30" s="102"/>
      <c r="F30" s="102"/>
      <c r="G30" s="102"/>
      <c r="H30" s="102"/>
    </row>
    <row r="31" spans="1:8" ht="14.4" x14ac:dyDescent="0.45">
      <c r="A31" s="130"/>
      <c r="D31" s="102"/>
      <c r="E31" s="102"/>
      <c r="F31" s="102"/>
      <c r="G31" s="102"/>
      <c r="H31" s="102"/>
    </row>
    <row r="32" spans="1:8" ht="14.4" x14ac:dyDescent="0.45">
      <c r="A32" s="130"/>
      <c r="D32" s="102"/>
      <c r="E32" s="102"/>
      <c r="F32" s="102"/>
      <c r="G32" s="102"/>
      <c r="H32" s="102"/>
    </row>
    <row r="33" spans="1:8" ht="14.4" x14ac:dyDescent="0.45">
      <c r="A33" s="130"/>
      <c r="D33" s="102"/>
      <c r="E33" s="102"/>
      <c r="F33" s="102"/>
      <c r="G33" s="102"/>
      <c r="H33" s="102"/>
    </row>
    <row r="34" spans="1:8" ht="14.4" x14ac:dyDescent="0.45">
      <c r="A34" s="130"/>
      <c r="D34" s="102"/>
      <c r="E34" s="102"/>
      <c r="F34" s="102"/>
      <c r="G34" s="102"/>
      <c r="H34" s="102"/>
    </row>
    <row r="35" spans="1:8" ht="14.4" x14ac:dyDescent="0.45">
      <c r="A35" s="130"/>
      <c r="D35" s="102"/>
      <c r="E35" s="102"/>
      <c r="F35" s="102"/>
      <c r="G35" s="102"/>
      <c r="H35" s="102"/>
    </row>
    <row r="36" spans="1:8" ht="14.4" x14ac:dyDescent="0.45">
      <c r="A36" s="130"/>
      <c r="D36" s="102"/>
      <c r="E36" s="102"/>
      <c r="F36" s="102"/>
      <c r="G36" s="102"/>
      <c r="H36" s="102"/>
    </row>
    <row r="37" spans="1:8" ht="14.4" x14ac:dyDescent="0.45">
      <c r="A37" s="130"/>
      <c r="D37" s="102"/>
      <c r="E37" s="102"/>
      <c r="F37" s="102"/>
      <c r="G37" s="102"/>
      <c r="H37" s="102"/>
    </row>
    <row r="38" spans="1:8" ht="14.4" x14ac:dyDescent="0.45">
      <c r="A38" s="130"/>
      <c r="D38" s="102"/>
      <c r="E38" s="102"/>
      <c r="F38" s="102"/>
      <c r="G38" s="102"/>
      <c r="H38" s="102"/>
    </row>
    <row r="39" spans="1:8" ht="14.4" x14ac:dyDescent="0.45">
      <c r="A39" s="130"/>
      <c r="D39" s="131"/>
      <c r="E39" s="102"/>
      <c r="F39" s="102"/>
      <c r="G39" s="102"/>
      <c r="H39" s="102"/>
    </row>
    <row r="40" spans="1:8" ht="14.4" x14ac:dyDescent="0.45">
      <c r="A40" s="130"/>
      <c r="D40" s="102"/>
      <c r="E40" s="102"/>
      <c r="F40" s="102"/>
      <c r="G40" s="102"/>
      <c r="H40" s="102"/>
    </row>
    <row r="41" spans="1:8" ht="14.4" x14ac:dyDescent="0.45">
      <c r="A41" s="130"/>
      <c r="D41" s="102"/>
      <c r="E41" s="102"/>
      <c r="F41" s="102"/>
      <c r="G41" s="102"/>
      <c r="H41" s="102"/>
    </row>
    <row r="42" spans="1:8" ht="14.4" x14ac:dyDescent="0.45">
      <c r="A42" s="130"/>
      <c r="D42" s="102"/>
      <c r="E42" s="102"/>
      <c r="F42" s="102"/>
      <c r="G42" s="102"/>
      <c r="H42" s="102"/>
    </row>
    <row r="43" spans="1:8" ht="14.4" x14ac:dyDescent="0.45">
      <c r="A43" s="130"/>
      <c r="D43" s="102"/>
      <c r="E43" s="102"/>
      <c r="F43" s="102"/>
      <c r="G43" s="102"/>
      <c r="H43" s="102"/>
    </row>
    <row r="44" spans="1:8" ht="14.4" x14ac:dyDescent="0.45">
      <c r="A44" s="130"/>
      <c r="D44" s="102"/>
      <c r="E44" s="102"/>
      <c r="F44" s="102"/>
      <c r="G44" s="102"/>
      <c r="H44" s="102"/>
    </row>
    <row r="45" spans="1:8" ht="14.4" x14ac:dyDescent="0.45">
      <c r="A45" s="130"/>
      <c r="D45" s="102"/>
      <c r="E45" s="102"/>
      <c r="F45" s="102"/>
      <c r="G45" s="102"/>
      <c r="H45" s="102"/>
    </row>
    <row r="46" spans="1:8" ht="14.4" x14ac:dyDescent="0.45">
      <c r="A46" s="130"/>
      <c r="D46" s="102"/>
      <c r="E46" s="102"/>
      <c r="F46" s="102"/>
      <c r="G46" s="102"/>
      <c r="H46" s="102"/>
    </row>
    <row r="47" spans="1:8" ht="14.4" x14ac:dyDescent="0.45">
      <c r="A47" s="130"/>
      <c r="D47" s="102"/>
      <c r="E47" s="102"/>
      <c r="F47" s="102"/>
      <c r="G47" s="102"/>
      <c r="H47" s="102"/>
    </row>
    <row r="48" spans="1:8" ht="14.4" x14ac:dyDescent="0.45">
      <c r="A48" s="130"/>
      <c r="D48" s="102"/>
      <c r="E48" s="102"/>
      <c r="F48" s="102"/>
      <c r="G48" s="102"/>
      <c r="H48" s="102"/>
    </row>
    <row r="49" spans="1:8" ht="14.4" x14ac:dyDescent="0.45">
      <c r="A49" s="130"/>
      <c r="D49" s="102"/>
      <c r="E49" s="102"/>
      <c r="F49" s="102"/>
      <c r="G49" s="102"/>
      <c r="H49" s="102"/>
    </row>
    <row r="50" spans="1:8" ht="14.4" x14ac:dyDescent="0.45">
      <c r="A50" s="130"/>
      <c r="D50" s="102"/>
      <c r="E50" s="102"/>
      <c r="F50" s="102"/>
      <c r="G50" s="102"/>
      <c r="H50" s="102"/>
    </row>
    <row r="51" spans="1:8" ht="14.4" x14ac:dyDescent="0.45">
      <c r="A51" s="130"/>
      <c r="D51" s="102"/>
      <c r="E51" s="102"/>
      <c r="F51" s="102"/>
      <c r="G51" s="102"/>
      <c r="H51" s="102"/>
    </row>
    <row r="52" spans="1:8" ht="14.4" x14ac:dyDescent="0.45">
      <c r="A52" s="130"/>
      <c r="D52" s="102"/>
      <c r="E52" s="102"/>
      <c r="F52" s="102"/>
      <c r="G52" s="102"/>
      <c r="H52" s="102"/>
    </row>
    <row r="53" spans="1:8" ht="14.4" x14ac:dyDescent="0.45">
      <c r="A53" s="130"/>
      <c r="D53" s="102"/>
      <c r="E53" s="102"/>
      <c r="F53" s="102"/>
      <c r="G53" s="102"/>
      <c r="H53" s="102"/>
    </row>
    <row r="54" spans="1:8" ht="14.4" x14ac:dyDescent="0.45">
      <c r="A54" s="130"/>
      <c r="D54" s="102"/>
      <c r="E54" s="102"/>
      <c r="F54" s="102"/>
      <c r="G54" s="102"/>
      <c r="H54" s="102"/>
    </row>
    <row r="55" spans="1:8" ht="14.4" x14ac:dyDescent="0.45">
      <c r="A55" s="130"/>
      <c r="D55" s="102"/>
      <c r="E55" s="102"/>
      <c r="F55" s="102"/>
      <c r="G55" s="102"/>
      <c r="H55" s="102"/>
    </row>
    <row r="56" spans="1:8" ht="14.4" x14ac:dyDescent="0.45">
      <c r="A56" s="130"/>
      <c r="D56" s="102"/>
      <c r="E56" s="102"/>
      <c r="F56" s="102"/>
      <c r="G56" s="102"/>
      <c r="H56" s="102"/>
    </row>
    <row r="57" spans="1:8" ht="14.4" x14ac:dyDescent="0.45">
      <c r="A57" s="130"/>
      <c r="D57" s="102"/>
      <c r="E57" s="102"/>
      <c r="F57" s="102"/>
      <c r="G57" s="102"/>
      <c r="H57" s="102"/>
    </row>
    <row r="58" spans="1:8" ht="14.4" x14ac:dyDescent="0.45">
      <c r="A58" s="130"/>
      <c r="D58" s="102"/>
      <c r="E58" s="102"/>
      <c r="F58" s="102"/>
      <c r="G58" s="102"/>
      <c r="H58" s="102"/>
    </row>
    <row r="59" spans="1:8" ht="14.4" x14ac:dyDescent="0.45">
      <c r="A59" s="130"/>
      <c r="D59" s="102"/>
      <c r="E59" s="102"/>
      <c r="F59" s="102"/>
      <c r="G59" s="102"/>
      <c r="H59" s="102"/>
    </row>
    <row r="60" spans="1:8" ht="14.4" x14ac:dyDescent="0.45">
      <c r="A60" s="130"/>
      <c r="D60" s="102"/>
      <c r="E60" s="102"/>
      <c r="F60" s="102"/>
      <c r="G60" s="102"/>
      <c r="H60" s="102"/>
    </row>
    <row r="61" spans="1:8" ht="14.4" x14ac:dyDescent="0.45">
      <c r="A61" s="130"/>
      <c r="D61" s="102"/>
      <c r="E61" s="102"/>
      <c r="F61" s="102"/>
      <c r="G61" s="102"/>
      <c r="H61" s="102"/>
    </row>
    <row r="62" spans="1:8" ht="14.4" x14ac:dyDescent="0.45">
      <c r="A62" s="130"/>
      <c r="D62" s="102"/>
      <c r="E62" s="102"/>
      <c r="F62" s="102"/>
      <c r="G62" s="102"/>
      <c r="H62" s="102"/>
    </row>
    <row r="63" spans="1:8" ht="14.4" x14ac:dyDescent="0.45">
      <c r="A63" s="130"/>
      <c r="D63" s="102"/>
      <c r="E63" s="102"/>
      <c r="F63" s="102"/>
      <c r="G63" s="102"/>
      <c r="H63" s="102"/>
    </row>
    <row r="64" spans="1:8" ht="14.4" x14ac:dyDescent="0.45">
      <c r="A64" s="130"/>
      <c r="D64" s="102"/>
      <c r="E64" s="102"/>
      <c r="F64" s="102"/>
      <c r="G64" s="102"/>
      <c r="H64" s="102"/>
    </row>
    <row r="65" spans="1:8" ht="14.4" x14ac:dyDescent="0.45">
      <c r="A65" s="130"/>
      <c r="D65" s="102"/>
      <c r="E65" s="102"/>
      <c r="F65" s="102"/>
      <c r="G65" s="102"/>
      <c r="H65" s="102"/>
    </row>
    <row r="66" spans="1:8" ht="14.4" x14ac:dyDescent="0.45">
      <c r="A66" s="130"/>
      <c r="D66" s="102"/>
      <c r="E66" s="102"/>
      <c r="F66" s="102"/>
      <c r="G66" s="102"/>
      <c r="H66" s="102"/>
    </row>
    <row r="67" spans="1:8" ht="14.4" x14ac:dyDescent="0.45">
      <c r="A67" s="130"/>
      <c r="D67" s="102"/>
      <c r="E67" s="102"/>
      <c r="F67" s="102"/>
      <c r="G67" s="102"/>
      <c r="H67" s="102"/>
    </row>
    <row r="68" spans="1:8" ht="14.4" x14ac:dyDescent="0.45">
      <c r="A68" s="130"/>
      <c r="D68" s="102"/>
      <c r="E68" s="102"/>
      <c r="F68" s="102"/>
      <c r="G68" s="102"/>
      <c r="H68" s="102"/>
    </row>
    <row r="69" spans="1:8" ht="14.4" x14ac:dyDescent="0.45">
      <c r="A69" s="130"/>
      <c r="D69" s="102"/>
      <c r="E69" s="102"/>
      <c r="F69" s="102"/>
      <c r="G69" s="102"/>
      <c r="H69" s="102"/>
    </row>
    <row r="70" spans="1:8" ht="14.4" x14ac:dyDescent="0.45">
      <c r="A70" s="130"/>
      <c r="D70" s="102"/>
      <c r="E70" s="102"/>
      <c r="F70" s="102"/>
      <c r="G70" s="102"/>
      <c r="H70" s="102"/>
    </row>
    <row r="71" spans="1:8" ht="14.4" x14ac:dyDescent="0.45">
      <c r="A71" s="130"/>
      <c r="D71" s="102"/>
      <c r="E71" s="102"/>
      <c r="F71" s="102"/>
      <c r="G71" s="102"/>
      <c r="H71" s="102"/>
    </row>
    <row r="72" spans="1:8" ht="14.4" x14ac:dyDescent="0.45">
      <c r="A72" s="130"/>
      <c r="D72" s="102"/>
      <c r="E72" s="102"/>
      <c r="F72" s="102"/>
      <c r="G72" s="102"/>
      <c r="H72" s="102"/>
    </row>
    <row r="73" spans="1:8" ht="14.4" x14ac:dyDescent="0.45">
      <c r="A73" s="130"/>
      <c r="D73" s="102"/>
      <c r="E73" s="102"/>
      <c r="F73" s="102"/>
      <c r="G73" s="102"/>
      <c r="H73" s="102"/>
    </row>
    <row r="74" spans="1:8" ht="14.4" x14ac:dyDescent="0.45">
      <c r="A74" s="130"/>
      <c r="D74" s="102"/>
      <c r="E74" s="102"/>
      <c r="F74" s="102"/>
      <c r="G74" s="102"/>
      <c r="H74" s="102"/>
    </row>
    <row r="75" spans="1:8" ht="14.4" x14ac:dyDescent="0.45">
      <c r="A75" s="130"/>
      <c r="D75" s="102"/>
      <c r="E75" s="102"/>
      <c r="F75" s="102"/>
      <c r="G75" s="102"/>
      <c r="H75" s="102"/>
    </row>
    <row r="76" spans="1:8" ht="14.4" x14ac:dyDescent="0.45">
      <c r="A76" s="130"/>
      <c r="D76" s="102"/>
      <c r="E76" s="102"/>
      <c r="F76" s="102"/>
      <c r="G76" s="102"/>
      <c r="H76" s="102"/>
    </row>
    <row r="77" spans="1:8" ht="14.4" x14ac:dyDescent="0.45">
      <c r="A77" s="130"/>
      <c r="D77" s="102"/>
      <c r="E77" s="102"/>
      <c r="F77" s="102"/>
      <c r="G77" s="102"/>
      <c r="H77" s="102"/>
    </row>
    <row r="78" spans="1:8" ht="14.4" x14ac:dyDescent="0.45">
      <c r="A78" s="130"/>
      <c r="D78" s="102"/>
      <c r="E78" s="102"/>
      <c r="F78" s="102"/>
      <c r="G78" s="102"/>
      <c r="H78" s="102"/>
    </row>
    <row r="79" spans="1:8" ht="14.4" x14ac:dyDescent="0.45">
      <c r="A79" s="130"/>
      <c r="D79" s="102"/>
      <c r="E79" s="102"/>
      <c r="F79" s="102"/>
      <c r="G79" s="102"/>
      <c r="H79" s="102"/>
    </row>
    <row r="80" spans="1:8" ht="14.4" x14ac:dyDescent="0.45">
      <c r="A80" s="130"/>
      <c r="D80" s="102"/>
      <c r="E80" s="102"/>
      <c r="F80" s="102"/>
      <c r="G80" s="102"/>
      <c r="H80" s="102"/>
    </row>
    <row r="81" spans="1:8" ht="14.4" x14ac:dyDescent="0.45">
      <c r="A81" s="130"/>
      <c r="D81" s="102"/>
      <c r="E81" s="102"/>
      <c r="F81" s="102"/>
      <c r="G81" s="102"/>
      <c r="H81" s="102"/>
    </row>
    <row r="82" spans="1:8" ht="14.4" x14ac:dyDescent="0.45">
      <c r="A82" s="130"/>
      <c r="D82" s="102"/>
      <c r="E82" s="102"/>
      <c r="F82" s="102"/>
      <c r="G82" s="102"/>
      <c r="H82" s="102"/>
    </row>
    <row r="83" spans="1:8" ht="14.4" x14ac:dyDescent="0.45">
      <c r="A83" s="130"/>
      <c r="D83" s="102"/>
      <c r="E83" s="102"/>
      <c r="F83" s="102"/>
      <c r="G83" s="102"/>
      <c r="H83" s="102"/>
    </row>
    <row r="84" spans="1:8" ht="14.4" x14ac:dyDescent="0.45">
      <c r="A84" s="130"/>
      <c r="D84" s="102"/>
      <c r="E84" s="102"/>
      <c r="F84" s="102"/>
      <c r="G84" s="102"/>
      <c r="H84" s="102"/>
    </row>
    <row r="85" spans="1:8" ht="14.4" x14ac:dyDescent="0.45">
      <c r="A85" s="130"/>
      <c r="D85" s="102"/>
      <c r="E85" s="102"/>
      <c r="F85" s="102"/>
      <c r="G85" s="102"/>
      <c r="H85" s="102"/>
    </row>
    <row r="86" spans="1:8" ht="14.4" x14ac:dyDescent="0.45">
      <c r="A86" s="130"/>
      <c r="D86" s="102"/>
      <c r="E86" s="102"/>
      <c r="F86" s="102"/>
      <c r="G86" s="102"/>
      <c r="H86" s="102"/>
    </row>
    <row r="87" spans="1:8" ht="14.4" x14ac:dyDescent="0.45">
      <c r="A87" s="130"/>
      <c r="D87" s="102"/>
      <c r="E87" s="102"/>
      <c r="F87" s="102"/>
      <c r="G87" s="102"/>
      <c r="H87" s="102"/>
    </row>
    <row r="88" spans="1:8" ht="14.4" x14ac:dyDescent="0.45">
      <c r="A88" s="130"/>
      <c r="D88" s="102"/>
      <c r="E88" s="102"/>
      <c r="F88" s="102"/>
      <c r="G88" s="102"/>
      <c r="H88" s="102"/>
    </row>
    <row r="89" spans="1:8" ht="14.4" x14ac:dyDescent="0.45">
      <c r="A89" s="130"/>
      <c r="D89" s="102"/>
      <c r="E89" s="102"/>
      <c r="F89" s="102"/>
      <c r="G89" s="102"/>
      <c r="H89" s="102"/>
    </row>
    <row r="90" spans="1:8" x14ac:dyDescent="0.45">
      <c r="D90" s="102"/>
      <c r="E90" s="102"/>
      <c r="F90" s="102"/>
      <c r="G90" s="102"/>
      <c r="H90" s="102"/>
    </row>
    <row r="91" spans="1:8" x14ac:dyDescent="0.45">
      <c r="D91" s="102"/>
      <c r="E91" s="102"/>
      <c r="F91" s="102"/>
      <c r="G91" s="102"/>
      <c r="H91" s="102"/>
    </row>
    <row r="92" spans="1:8" x14ac:dyDescent="0.45">
      <c r="D92" s="102"/>
      <c r="E92" s="102"/>
      <c r="F92" s="102"/>
      <c r="G92" s="102"/>
      <c r="H92" s="102"/>
    </row>
    <row r="93" spans="1:8" x14ac:dyDescent="0.45">
      <c r="D93" s="102"/>
      <c r="E93" s="102"/>
      <c r="F93" s="102"/>
      <c r="G93" s="102"/>
      <c r="H93" s="102"/>
    </row>
    <row r="94" spans="1:8" x14ac:dyDescent="0.45">
      <c r="D94" s="102"/>
      <c r="E94" s="102"/>
      <c r="F94" s="102"/>
      <c r="G94" s="102"/>
      <c r="H94" s="102"/>
    </row>
    <row r="95" spans="1:8" x14ac:dyDescent="0.45">
      <c r="D95" s="102"/>
      <c r="E95" s="102"/>
      <c r="F95" s="102"/>
      <c r="G95" s="102"/>
      <c r="H95" s="102"/>
    </row>
    <row r="96" spans="1:8" x14ac:dyDescent="0.45">
      <c r="D96" s="102"/>
      <c r="E96" s="102"/>
      <c r="F96" s="102"/>
      <c r="G96" s="102"/>
      <c r="H96" s="102"/>
    </row>
    <row r="97" spans="4:8" x14ac:dyDescent="0.45">
      <c r="D97" s="102"/>
      <c r="E97" s="102"/>
      <c r="F97" s="102"/>
      <c r="G97" s="102"/>
      <c r="H97" s="102"/>
    </row>
    <row r="98" spans="4:8" x14ac:dyDescent="0.45">
      <c r="D98" s="102"/>
      <c r="E98" s="102"/>
      <c r="F98" s="102"/>
      <c r="G98" s="102"/>
      <c r="H98" s="102"/>
    </row>
    <row r="99" spans="4:8" x14ac:dyDescent="0.45">
      <c r="D99" s="102"/>
      <c r="E99" s="102"/>
      <c r="F99" s="102"/>
      <c r="G99" s="102"/>
      <c r="H99" s="102"/>
    </row>
    <row r="100" spans="4:8" x14ac:dyDescent="0.45">
      <c r="D100" s="102"/>
      <c r="E100" s="102"/>
      <c r="F100" s="102"/>
      <c r="G100" s="102"/>
      <c r="H100" s="102"/>
    </row>
    <row r="101" spans="4:8" x14ac:dyDescent="0.45">
      <c r="D101" s="102"/>
      <c r="E101" s="102"/>
      <c r="F101" s="102"/>
      <c r="G101" s="102"/>
      <c r="H101" s="102"/>
    </row>
    <row r="102" spans="4:8" x14ac:dyDescent="0.45">
      <c r="D102" s="102"/>
      <c r="E102" s="102"/>
      <c r="F102" s="102"/>
      <c r="G102" s="102"/>
      <c r="H102" s="102"/>
    </row>
    <row r="103" spans="4:8" x14ac:dyDescent="0.45">
      <c r="D103" s="102"/>
      <c r="E103" s="102"/>
      <c r="F103" s="102"/>
      <c r="G103" s="102"/>
      <c r="H103" s="102"/>
    </row>
    <row r="104" spans="4:8" x14ac:dyDescent="0.45">
      <c r="D104" s="102"/>
      <c r="E104" s="102"/>
      <c r="F104" s="102"/>
      <c r="G104" s="102"/>
      <c r="H104" s="102"/>
    </row>
    <row r="105" spans="4:8" x14ac:dyDescent="0.45">
      <c r="D105" s="102"/>
      <c r="E105" s="102"/>
      <c r="F105" s="102"/>
      <c r="G105" s="102"/>
      <c r="H105" s="102"/>
    </row>
    <row r="106" spans="4:8" x14ac:dyDescent="0.45">
      <c r="D106" s="102"/>
      <c r="E106" s="102"/>
      <c r="F106" s="102"/>
      <c r="G106" s="102"/>
      <c r="H106" s="102"/>
    </row>
    <row r="107" spans="4:8" x14ac:dyDescent="0.45">
      <c r="D107" s="102"/>
      <c r="E107" s="102"/>
      <c r="F107" s="102"/>
      <c r="G107" s="102"/>
      <c r="H107" s="102"/>
    </row>
    <row r="108" spans="4:8" x14ac:dyDescent="0.45">
      <c r="D108" s="102"/>
      <c r="E108" s="102"/>
      <c r="F108" s="102"/>
      <c r="G108" s="102"/>
      <c r="H108" s="102"/>
    </row>
    <row r="109" spans="4:8" x14ac:dyDescent="0.45">
      <c r="D109" s="102"/>
      <c r="E109" s="102"/>
      <c r="F109" s="102"/>
      <c r="G109" s="102"/>
      <c r="H109" s="102"/>
    </row>
    <row r="110" spans="4:8" x14ac:dyDescent="0.45">
      <c r="D110" s="102"/>
      <c r="E110" s="102"/>
      <c r="F110" s="102"/>
      <c r="G110" s="102"/>
      <c r="H110" s="102"/>
    </row>
    <row r="111" spans="4:8" x14ac:dyDescent="0.45">
      <c r="D111" s="102"/>
      <c r="E111" s="102"/>
      <c r="F111" s="102"/>
      <c r="G111" s="102"/>
      <c r="H111" s="102"/>
    </row>
    <row r="112" spans="4:8" x14ac:dyDescent="0.45">
      <c r="D112" s="102"/>
      <c r="E112" s="102"/>
      <c r="F112" s="102"/>
      <c r="G112" s="102"/>
      <c r="H112" s="102"/>
    </row>
    <row r="113" spans="4:8" x14ac:dyDescent="0.45">
      <c r="D113" s="102"/>
      <c r="E113" s="102"/>
      <c r="F113" s="102"/>
      <c r="G113" s="102"/>
      <c r="H113" s="102"/>
    </row>
    <row r="114" spans="4:8" x14ac:dyDescent="0.45">
      <c r="D114" s="102"/>
      <c r="E114" s="102"/>
      <c r="F114" s="102"/>
      <c r="G114" s="102"/>
      <c r="H114" s="102"/>
    </row>
    <row r="115" spans="4:8" x14ac:dyDescent="0.45">
      <c r="D115" s="102"/>
      <c r="E115" s="102"/>
      <c r="F115" s="102"/>
      <c r="G115" s="102"/>
      <c r="H115" s="102"/>
    </row>
    <row r="116" spans="4:8" x14ac:dyDescent="0.45">
      <c r="D116" s="102"/>
      <c r="E116" s="102"/>
      <c r="F116" s="102"/>
      <c r="G116" s="102"/>
      <c r="H116" s="102"/>
    </row>
    <row r="117" spans="4:8" x14ac:dyDescent="0.45">
      <c r="D117" s="102"/>
      <c r="E117" s="102"/>
      <c r="F117" s="102"/>
      <c r="G117" s="102"/>
      <c r="H117" s="102"/>
    </row>
    <row r="118" spans="4:8" x14ac:dyDescent="0.45">
      <c r="D118" s="102"/>
      <c r="E118" s="102"/>
      <c r="F118" s="102"/>
      <c r="G118" s="102"/>
      <c r="H118" s="102"/>
    </row>
    <row r="119" spans="4:8" x14ac:dyDescent="0.45">
      <c r="D119" s="102"/>
      <c r="E119" s="102"/>
      <c r="F119" s="102"/>
      <c r="G119" s="102"/>
      <c r="H119" s="102"/>
    </row>
    <row r="120" spans="4:8" x14ac:dyDescent="0.45">
      <c r="D120" s="102"/>
      <c r="E120" s="102"/>
      <c r="F120" s="102"/>
      <c r="G120" s="102"/>
      <c r="H120" s="102"/>
    </row>
    <row r="121" spans="4:8" x14ac:dyDescent="0.45">
      <c r="D121" s="102"/>
      <c r="E121" s="102"/>
      <c r="F121" s="102"/>
      <c r="G121" s="102"/>
      <c r="H121" s="102"/>
    </row>
    <row r="122" spans="4:8" x14ac:dyDescent="0.45">
      <c r="D122" s="102"/>
      <c r="E122" s="102"/>
      <c r="F122" s="102"/>
      <c r="G122" s="102"/>
      <c r="H122" s="102"/>
    </row>
    <row r="123" spans="4:8" x14ac:dyDescent="0.45">
      <c r="D123" s="102"/>
      <c r="E123" s="102"/>
      <c r="F123" s="102"/>
      <c r="G123" s="102"/>
      <c r="H123" s="102"/>
    </row>
    <row r="124" spans="4:8" x14ac:dyDescent="0.45">
      <c r="D124" s="102"/>
      <c r="E124" s="102"/>
      <c r="F124" s="102"/>
      <c r="G124" s="102"/>
      <c r="H124" s="102"/>
    </row>
    <row r="125" spans="4:8" x14ac:dyDescent="0.45">
      <c r="D125" s="102"/>
      <c r="E125" s="102"/>
      <c r="F125" s="102"/>
      <c r="G125" s="102"/>
      <c r="H125" s="102"/>
    </row>
    <row r="126" spans="4:8" x14ac:dyDescent="0.45">
      <c r="D126" s="102"/>
      <c r="E126" s="102"/>
      <c r="F126" s="102"/>
      <c r="G126" s="102"/>
      <c r="H126" s="102"/>
    </row>
    <row r="127" spans="4:8" x14ac:dyDescent="0.45">
      <c r="D127" s="102"/>
      <c r="E127" s="102"/>
      <c r="F127" s="102"/>
      <c r="G127" s="102"/>
      <c r="H127" s="102"/>
    </row>
    <row r="128" spans="4:8" ht="18.75" customHeight="1" x14ac:dyDescent="0.45">
      <c r="D128" s="102"/>
      <c r="E128" s="102"/>
      <c r="F128" s="102"/>
      <c r="G128" s="102"/>
      <c r="H128" s="102"/>
    </row>
    <row r="129" spans="4:8" ht="29.25" customHeight="1" x14ac:dyDescent="0.45">
      <c r="D129" s="102"/>
      <c r="E129" s="102"/>
      <c r="F129" s="102"/>
      <c r="G129" s="102"/>
      <c r="H129" s="102"/>
    </row>
    <row r="130" spans="4:8" x14ac:dyDescent="0.45">
      <c r="D130" s="102"/>
      <c r="E130" s="102"/>
      <c r="F130" s="102"/>
      <c r="G130" s="102"/>
      <c r="H130" s="102"/>
    </row>
    <row r="131" spans="4:8" x14ac:dyDescent="0.45">
      <c r="D131" s="102"/>
      <c r="E131" s="102"/>
      <c r="F131" s="102"/>
      <c r="G131" s="102"/>
      <c r="H131" s="102"/>
    </row>
    <row r="132" spans="4:8" x14ac:dyDescent="0.45">
      <c r="D132" s="102"/>
      <c r="E132" s="102"/>
      <c r="F132" s="102"/>
      <c r="G132" s="102"/>
      <c r="H132" s="102"/>
    </row>
    <row r="133" spans="4:8" x14ac:dyDescent="0.45">
      <c r="D133" s="102"/>
      <c r="E133" s="102"/>
      <c r="F133" s="102"/>
      <c r="G133" s="102"/>
      <c r="H133" s="102"/>
    </row>
    <row r="134" spans="4:8" x14ac:dyDescent="0.45">
      <c r="D134" s="102"/>
      <c r="E134" s="102"/>
      <c r="F134" s="102"/>
      <c r="G134" s="102"/>
      <c r="H134" s="102"/>
    </row>
    <row r="135" spans="4:8" x14ac:dyDescent="0.45">
      <c r="D135" s="102"/>
      <c r="E135" s="102"/>
      <c r="F135" s="102"/>
      <c r="G135" s="102"/>
      <c r="H135" s="102"/>
    </row>
    <row r="136" spans="4:8" x14ac:dyDescent="0.45">
      <c r="D136" s="102"/>
      <c r="E136" s="102"/>
      <c r="F136" s="102"/>
      <c r="G136" s="102"/>
      <c r="H136" s="102"/>
    </row>
    <row r="137" spans="4:8" x14ac:dyDescent="0.45">
      <c r="D137" s="102"/>
      <c r="E137" s="102"/>
      <c r="F137" s="102"/>
      <c r="G137" s="102"/>
      <c r="H137" s="102"/>
    </row>
    <row r="138" spans="4:8" x14ac:dyDescent="0.45">
      <c r="D138" s="102"/>
      <c r="E138" s="102"/>
      <c r="F138" s="102"/>
      <c r="G138" s="102"/>
      <c r="H138" s="102"/>
    </row>
    <row r="139" spans="4:8" x14ac:dyDescent="0.45">
      <c r="D139" s="102"/>
      <c r="E139" s="102"/>
      <c r="F139" s="102"/>
      <c r="G139" s="102"/>
      <c r="H139" s="102"/>
    </row>
    <row r="140" spans="4:8" x14ac:dyDescent="0.45">
      <c r="D140" s="102"/>
      <c r="E140" s="102"/>
      <c r="F140" s="102"/>
      <c r="G140" s="102"/>
      <c r="H140" s="102"/>
    </row>
    <row r="141" spans="4:8" x14ac:dyDescent="0.45">
      <c r="D141" s="102"/>
      <c r="E141" s="102"/>
      <c r="F141" s="102"/>
      <c r="G141" s="102"/>
      <c r="H141" s="102"/>
    </row>
    <row r="142" spans="4:8" x14ac:dyDescent="0.45">
      <c r="D142" s="102"/>
      <c r="E142" s="102"/>
      <c r="F142" s="102"/>
      <c r="G142" s="102"/>
      <c r="H142" s="102"/>
    </row>
    <row r="143" spans="4:8" x14ac:dyDescent="0.45">
      <c r="D143" s="102"/>
      <c r="E143" s="102"/>
      <c r="F143" s="102"/>
      <c r="G143" s="102"/>
      <c r="H143" s="102"/>
    </row>
    <row r="144" spans="4:8" x14ac:dyDescent="0.45">
      <c r="D144" s="102"/>
      <c r="E144" s="102"/>
      <c r="F144" s="102"/>
      <c r="G144" s="102"/>
      <c r="H144" s="102"/>
    </row>
    <row r="145" spans="4:8" x14ac:dyDescent="0.45">
      <c r="D145" s="102"/>
      <c r="E145" s="102"/>
      <c r="F145" s="102"/>
      <c r="G145" s="102"/>
      <c r="H145" s="102"/>
    </row>
    <row r="146" spans="4:8" x14ac:dyDescent="0.45">
      <c r="D146" s="102"/>
      <c r="E146" s="102"/>
      <c r="F146" s="102"/>
      <c r="G146" s="102"/>
      <c r="H146" s="102"/>
    </row>
    <row r="147" spans="4:8" x14ac:dyDescent="0.45">
      <c r="D147" s="102"/>
      <c r="E147" s="102"/>
      <c r="F147" s="102"/>
      <c r="G147" s="102"/>
      <c r="H147" s="102"/>
    </row>
    <row r="148" spans="4:8" ht="29.25" customHeight="1" x14ac:dyDescent="0.45">
      <c r="D148" s="102"/>
      <c r="E148" s="102"/>
      <c r="F148" s="102"/>
      <c r="G148" s="102"/>
      <c r="H148" s="102"/>
    </row>
    <row r="149" spans="4:8" x14ac:dyDescent="0.45">
      <c r="D149" s="102"/>
      <c r="E149" s="102"/>
      <c r="F149" s="102"/>
      <c r="G149" s="102"/>
      <c r="H149" s="102"/>
    </row>
    <row r="150" spans="4:8" x14ac:dyDescent="0.45">
      <c r="D150" s="102"/>
      <c r="E150" s="102"/>
      <c r="F150" s="102"/>
      <c r="G150" s="102"/>
      <c r="H150" s="102"/>
    </row>
    <row r="151" spans="4:8" x14ac:dyDescent="0.45">
      <c r="D151" s="102"/>
      <c r="E151" s="102"/>
      <c r="F151" s="102"/>
      <c r="G151" s="102"/>
      <c r="H151" s="102"/>
    </row>
    <row r="152" spans="4:8" x14ac:dyDescent="0.45">
      <c r="D152" s="102"/>
      <c r="E152" s="102"/>
      <c r="F152" s="102"/>
      <c r="G152" s="102"/>
      <c r="H152" s="102"/>
    </row>
    <row r="153" spans="4:8" x14ac:dyDescent="0.45">
      <c r="D153" s="102"/>
      <c r="E153" s="102"/>
      <c r="F153" s="102"/>
      <c r="G153" s="102"/>
      <c r="H153" s="102"/>
    </row>
    <row r="154" spans="4:8" x14ac:dyDescent="0.45">
      <c r="D154" s="102"/>
      <c r="E154" s="102"/>
      <c r="F154" s="102"/>
      <c r="G154" s="102"/>
      <c r="H154" s="102"/>
    </row>
    <row r="155" spans="4:8" x14ac:dyDescent="0.45">
      <c r="D155" s="102"/>
      <c r="E155" s="102"/>
      <c r="F155" s="102"/>
      <c r="G155" s="102"/>
      <c r="H155" s="102"/>
    </row>
    <row r="156" spans="4:8" x14ac:dyDescent="0.45">
      <c r="D156" s="102"/>
      <c r="E156" s="102"/>
      <c r="F156" s="102"/>
      <c r="G156" s="102"/>
      <c r="H156" s="102"/>
    </row>
    <row r="157" spans="4:8" x14ac:dyDescent="0.45">
      <c r="D157" s="102"/>
      <c r="E157" s="102"/>
      <c r="F157" s="102"/>
      <c r="G157" s="102"/>
      <c r="H157" s="102"/>
    </row>
    <row r="158" spans="4:8" x14ac:dyDescent="0.45">
      <c r="D158" s="102"/>
      <c r="E158" s="102"/>
      <c r="F158" s="102"/>
      <c r="G158" s="102"/>
      <c r="H158" s="102"/>
    </row>
    <row r="159" spans="4:8" x14ac:dyDescent="0.45">
      <c r="D159" s="102"/>
      <c r="E159" s="102"/>
      <c r="F159" s="102"/>
      <c r="G159" s="102"/>
      <c r="H159" s="102"/>
    </row>
    <row r="160" spans="4:8" x14ac:dyDescent="0.45">
      <c r="D160" s="102"/>
      <c r="E160" s="102"/>
      <c r="F160" s="102"/>
      <c r="G160" s="102"/>
      <c r="H160" s="102"/>
    </row>
  </sheetData>
  <mergeCells count="1">
    <mergeCell ref="E3:H4"/>
  </mergeCells>
  <phoneticPr fontId="2"/>
  <pageMargins left="0.5" right="0" top="0.5" bottom="0.25" header="0.25" footer="0.25"/>
  <pageSetup paperSize="9" orientation="portrait" r:id="rId1"/>
  <headerFooter alignWithMargins="0">
    <oddFooter>&amp;R©2024 SMS DataTech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18</vt:i4>
      </vt:variant>
    </vt:vector>
  </HeadingPairs>
  <TitlesOfParts>
    <vt:vector size="29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別紙_テンプレート1</vt:lpstr>
      <vt:lpstr>別紙_テンプレート2</vt:lpstr>
      <vt:lpstr>別紙_印刷レイアウト</vt:lpstr>
      <vt:lpstr>参照</vt:lpstr>
      <vt:lpstr>別紙_テンプレート1!CoreCells</vt:lpstr>
      <vt:lpstr>CoreGroups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別紙_テンプレート1!Print_Titles</vt:lpstr>
      <vt:lpstr>変更履歴!Print_Titles</vt:lpstr>
      <vt:lpstr>別紙_テンプレート2!TotalRows</vt:lpstr>
      <vt:lpstr>作成日</vt:lpstr>
      <vt:lpstr>別紙_テンプレート1!締切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2025-05-24T05:34:07Z</dcterms:modified>
</cp:coreProperties>
</file>