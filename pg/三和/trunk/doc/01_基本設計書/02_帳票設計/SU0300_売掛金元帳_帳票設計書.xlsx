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2" activeTab="3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項目一覧!$A$1:$BX$70</definedName>
    <definedName name="_xlnm.Print_Area" localSheetId="4">処理詳細!$A$1:$BR$310</definedName>
    <definedName name="_xlnm.Print_Area" localSheetId="5">処理詳細_書き方!$A$1:$BR$33</definedName>
    <definedName name="_xlnm.Print_Area" localSheetId="2">帳票レイアウト!$A$1:$BN$59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<sst xmlns="http://schemas.openxmlformats.org/spreadsheetml/2006/main" count="928" uniqueCount="475">
  <si>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</si>
  <si>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</si>
  <si>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</si>
  <si>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</si>
  <si>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</si>
  <si>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</si>
  <si>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</si>
  <si>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</si>
  <si>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</si>
  <si>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</si>
  <si>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</si>
  <si>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</si>
  <si>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</si>
  <si>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</si>
  <si>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</si>
  <si>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</si>
  <si>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</si>
  <si>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</si>
  <si>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</si>
  <si>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</si>
  <si>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</si>
  <si>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</si>
  <si>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</si>
  <si>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</si>
  <si>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</si>
  <si>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</si>
  <si>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</si>
  <si>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</si>
  <si>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</si>
  <si>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</si>
  <si>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</si>
  <si>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</si>
  <si>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</si>
  <si>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</si>
  <si>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</si>
  <si>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</si>
  <si>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</si>
  <si>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</si>
  <si>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</si>
  <si>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</si>
  <si>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</si>
  <si>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</si>
  <si>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</si>
  <si>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</si>
  <si>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</si>
  <si>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</si>
  <si>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</si>
  <si>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</si>
  <si>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</si>
  <si>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</si>
  <si>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</si>
  <si>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</si>
  <si>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</si>
  <si>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</si>
  <si>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</si>
  <si>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</si>
  <si>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</si>
  <si>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</si>
  <si>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</si>
  <si>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</si>
  <si>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</si>
  <si>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</si>
  <si>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</si>
  <si>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</si>
  <si>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</si>
  <si>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</si>
  <si>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</si>
  <si>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</si>
  <si>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</si>
  <si>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</si>
  <si>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</si>
  <si>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</si>
  <si>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</si>
  <si>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</si>
  <si>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</si>
  <si>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</si>
  <si>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</si>
  <si>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</si>
  <si>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</si>
  <si>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</si>
  <si>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</si>
  <si>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</si>
  <si>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</si>
  <si>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</si>
  <si>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</si>
  <si>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</si>
  <si>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</si>
  <si>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</si>
  <si>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</si>
  <si>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</si>
  <si>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</si>
  <si>
    <t>PDF</t>
  </si>
  <si>
    <t>pdf</t>
  </si>
  <si>
    <t>SQL1</t>
    <phoneticPr fontId="2"/>
  </si>
  <si>
    <t>FROM TM請求金額 AS SM</t>
    <phoneticPr fontId="2"/>
  </si>
  <si>
    <t>INNER JOIN (SELECT SK.得意先CD, Max(SK.請求日付) AS 請求日付</t>
    <phoneticPr fontId="2"/>
  </si>
  <si>
    <t>GROUP BY SK.得意先CD) AS QR</t>
    <phoneticPr fontId="2"/>
  </si>
  <si>
    <t>FROM TM請求金額 AS SK</t>
    <phoneticPr fontId="2"/>
  </si>
  <si>
    <t>ON (SM.請求日付 = QR.請求日付)</t>
    <phoneticPr fontId="2"/>
  </si>
  <si>
    <t>AND (SM.得意先CD = QR.得意先CD)</t>
    <phoneticPr fontId="2"/>
  </si>
  <si>
    <t>LEFT JOIN TM得意先 AS TM ON SM.得意先CD = TM.得意先CD</t>
    <phoneticPr fontId="2"/>
  </si>
  <si>
    <t>order by</t>
    <phoneticPr fontId="2"/>
  </si>
  <si>
    <t>ORDER BY SM.得意先CD の昇順でソート</t>
    <rPh sb="19" eb="21">
      <t>ショウジュン</t>
    </rPh>
    <phoneticPr fontId="2"/>
  </si>
  <si>
    <t>得意先CD</t>
    <phoneticPr fontId="2"/>
  </si>
  <si>
    <t>得意先名1</t>
    <phoneticPr fontId="2"/>
  </si>
  <si>
    <t>締日</t>
    <phoneticPr fontId="2"/>
  </si>
  <si>
    <t>請求開始日付</t>
    <phoneticPr fontId="2"/>
  </si>
  <si>
    <t>請求終了日付</t>
    <phoneticPr fontId="2"/>
  </si>
  <si>
    <t>処理日</t>
    <phoneticPr fontId="2"/>
  </si>
  <si>
    <t>請求終了日付</t>
    <rPh sb="0" eb="6">
      <t>セイキュウシュウリョウヒヅケ</t>
    </rPh>
    <phoneticPr fontId="1"/>
  </si>
  <si>
    <t>得郵便番号</t>
    <rPh sb="0" eb="1">
      <t>トク</t>
    </rPh>
    <rPh sb="1" eb="5">
      <t>ユウビンバンゴウ</t>
    </rPh>
    <phoneticPr fontId="1"/>
  </si>
  <si>
    <t>得住所1</t>
    <rPh sb="0" eb="1">
      <t>トク</t>
    </rPh>
    <rPh sb="1" eb="3">
      <t>ジュウショ</t>
    </rPh>
    <phoneticPr fontId="1"/>
  </si>
  <si>
    <t>得住所2</t>
    <rPh sb="0" eb="1">
      <t>トク</t>
    </rPh>
    <rPh sb="1" eb="3">
      <t>ジュウショ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</si>
  <si>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</si>
  <si>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</si>
  <si>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得意先CD</t>
    <rPh sb="0" eb="3">
      <t>トクイサキ</t>
    </rPh>
    <phoneticPr fontId="1"/>
  </si>
  <si>
    <t>得TEL</t>
    <rPh sb="0" eb="1">
      <t>トク</t>
    </rPh>
    <phoneticPr fontId="1"/>
  </si>
  <si>
    <t>開始日付</t>
    <rPh sb="0" eb="4">
      <t>カイシヒヅケ</t>
    </rPh>
    <phoneticPr fontId="1"/>
  </si>
  <si>
    <t>終了日付</t>
    <rPh sb="0" eb="4">
      <t>シュウリョウヒヅケ</t>
    </rPh>
    <phoneticPr fontId="1"/>
  </si>
  <si>
    <t>前月残高</t>
    <rPh sb="0" eb="4">
      <t>ゼンゲツザンダカ</t>
    </rPh>
    <phoneticPr fontId="1"/>
  </si>
  <si>
    <t>入金金額</t>
    <rPh sb="0" eb="2">
      <t>ニュウキン</t>
    </rPh>
    <rPh sb="2" eb="4">
      <t>キンガク</t>
    </rPh>
    <phoneticPr fontId="1"/>
  </si>
  <si>
    <t>調整金額</t>
    <rPh sb="0" eb="4">
      <t>チョウセイキンガク</t>
    </rPh>
    <phoneticPr fontId="1"/>
  </si>
  <si>
    <t>繰越金額</t>
    <rPh sb="0" eb="4">
      <t>クリコシキンガク</t>
    </rPh>
    <phoneticPr fontId="1"/>
  </si>
  <si>
    <t>売上金額</t>
    <rPh sb="0" eb="4">
      <t>ウリアゲキンガク</t>
    </rPh>
    <phoneticPr fontId="1"/>
  </si>
  <si>
    <t>返品金額</t>
    <rPh sb="0" eb="4">
      <t>ヘンピンキンガク</t>
    </rPh>
    <phoneticPr fontId="1"/>
  </si>
  <si>
    <t>訂正金額</t>
    <rPh sb="0" eb="4">
      <t>テイセイキンガク</t>
    </rPh>
    <phoneticPr fontId="1"/>
  </si>
  <si>
    <t>消費税額</t>
    <rPh sb="0" eb="4">
      <t>ショウヒゼイガク</t>
    </rPh>
    <phoneticPr fontId="1"/>
  </si>
  <si>
    <t>当月請求</t>
    <rPh sb="0" eb="4">
      <t>トウゲツセイキュウ</t>
    </rPh>
    <phoneticPr fontId="1"/>
  </si>
  <si>
    <t>当月残高</t>
    <rPh sb="0" eb="4">
      <t>トウゲツザンダカ</t>
    </rPh>
    <phoneticPr fontId="1"/>
  </si>
  <si>
    <t>日付</t>
    <rPh sb="0" eb="2">
      <t>ヒヅケ</t>
    </rPh>
    <phoneticPr fontId="1"/>
  </si>
  <si>
    <t>番号</t>
    <rPh sb="0" eb="2">
      <t>バンゴウ</t>
    </rPh>
    <phoneticPr fontId="1"/>
  </si>
  <si>
    <t>PC区分</t>
    <rPh sb="2" eb="4">
      <t>クブン</t>
    </rPh>
    <phoneticPr fontId="1"/>
  </si>
  <si>
    <t>製品NO</t>
    <rPh sb="0" eb="2">
      <t>セイヒン</t>
    </rPh>
    <phoneticPr fontId="1"/>
  </si>
  <si>
    <t>仕様NO</t>
    <rPh sb="0" eb="2">
      <t>シヨウ</t>
    </rPh>
    <phoneticPr fontId="1"/>
  </si>
  <si>
    <t>品名</t>
    <rPh sb="0" eb="2">
      <t>ヒンメイ</t>
    </rPh>
    <phoneticPr fontId="1"/>
  </si>
  <si>
    <t>サイズ</t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</si>
  <si>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</si>
  <si>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</si>
  <si>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</si>
  <si>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明細売上</t>
    <rPh sb="0" eb="4">
      <t>メイサイウリアゲ</t>
    </rPh>
    <phoneticPr fontId="1"/>
  </si>
  <si>
    <t>明細入金</t>
    <rPh sb="0" eb="4">
      <t>メイサイニュウキン</t>
    </rPh>
    <phoneticPr fontId="1"/>
  </si>
  <si>
    <t>残高名</t>
    <rPh sb="0" eb="3">
      <t>ザンダカメイ</t>
    </rPh>
    <phoneticPr fontId="1"/>
  </si>
  <si>
    <t>繰越残高</t>
    <rPh sb="0" eb="4">
      <t>クリコシザンダカ</t>
    </rPh>
    <phoneticPr fontId="1"/>
  </si>
  <si>
    <t>差引残高</t>
    <rPh sb="0" eb="4">
      <t>サシヒキザンダカ</t>
    </rPh>
    <phoneticPr fontId="1"/>
  </si>
  <si>
    <t>納入先名1</t>
    <rPh sb="0" eb="4">
      <t>ノウニュウサキメイ</t>
    </rPh>
    <phoneticPr fontId="1"/>
  </si>
  <si>
    <t>TM請求金額.得意先CD</t>
    <phoneticPr fontId="2"/>
  </si>
  <si>
    <t>TM請求金額.締日</t>
    <phoneticPr fontId="2"/>
  </si>
  <si>
    <t>TM請求金額.請求開始日付</t>
    <phoneticPr fontId="2"/>
  </si>
  <si>
    <t>TM請求金額.請求終了日付</t>
    <phoneticPr fontId="2"/>
  </si>
  <si>
    <t>TM請求金額.処理日</t>
    <phoneticPr fontId="2"/>
  </si>
  <si>
    <t>TM得意先.得意先名1</t>
    <phoneticPr fontId="2"/>
  </si>
  <si>
    <t>締日が存在しない場合</t>
    <rPh sb="0" eb="2">
      <t>シメビ</t>
    </rPh>
    <rPh sb="3" eb="5">
      <t>ソンザイ</t>
    </rPh>
    <rPh sb="8" eb="10">
      <t>バアイ</t>
    </rPh>
    <phoneticPr fontId="2"/>
  </si>
  <si>
    <t>締日が存在する場合</t>
    <rPh sb="0" eb="2">
      <t>シメビ</t>
    </rPh>
    <rPh sb="3" eb="5">
      <t>ソンザイ</t>
    </rPh>
    <rPh sb="7" eb="9">
      <t>バアイ</t>
    </rPh>
    <phoneticPr fontId="2"/>
  </si>
  <si>
    <t>SQL2</t>
    <phoneticPr fontId="2"/>
  </si>
  <si>
    <t>売上伝票計</t>
    <rPh sb="0" eb="2">
      <t>ウリアゲ</t>
    </rPh>
    <rPh sb="2" eb="4">
      <t>デンピョウ</t>
    </rPh>
    <rPh sb="4" eb="5">
      <t>ケイ</t>
    </rPh>
    <phoneticPr fontId="1"/>
  </si>
  <si>
    <t>SM.締日 = 画面.締日 and SM.得意先CD &gt;= 画面.開始得意先CD And  SM.得意先CD &lt;= 画面.終了得意先CD</t>
    <rPh sb="8" eb="10">
      <t>ガメン</t>
    </rPh>
    <rPh sb="30" eb="32">
      <t>ガメン</t>
    </rPh>
    <rPh sb="33" eb="35">
      <t>カイシ</t>
    </rPh>
    <rPh sb="58" eb="60">
      <t>ガメン</t>
    </rPh>
    <rPh sb="61" eb="63">
      <t>シュウリョウ</t>
    </rPh>
    <phoneticPr fontId="2"/>
  </si>
  <si>
    <t>SM.得意先CD &gt;= 画面.開始得意先CD And  SM.得意先CD &lt;= 画面.終了得意先CD</t>
    <rPh sb="12" eb="14">
      <t>ガメン</t>
    </rPh>
    <rPh sb="15" eb="17">
      <t>カイシ</t>
    </rPh>
    <rPh sb="40" eb="42">
      <t>ガメン</t>
    </rPh>
    <rPh sb="43" eb="45">
      <t>シュウリョウ</t>
    </rPh>
    <phoneticPr fontId="2"/>
  </si>
  <si>
    <t>郵便番号</t>
    <phoneticPr fontId="2"/>
  </si>
  <si>
    <t>住所1</t>
    <phoneticPr fontId="2"/>
  </si>
  <si>
    <t>住所2</t>
    <phoneticPr fontId="2"/>
  </si>
  <si>
    <t>電話番号</t>
    <phoneticPr fontId="2"/>
  </si>
  <si>
    <t>TM請求金額 AS UK</t>
    <phoneticPr fontId="2"/>
  </si>
  <si>
    <t>LEFT JOIN</t>
    <phoneticPr fontId="2"/>
  </si>
  <si>
    <t>(</t>
    <phoneticPr fontId="2"/>
  </si>
  <si>
    <t>FROM  TM得意先</t>
    <phoneticPr fontId="2"/>
  </si>
  <si>
    <t>)  AS TM</t>
    <phoneticPr fontId="2"/>
  </si>
  <si>
    <t>ON  UK.得意先CD = TM.得意先CD</t>
    <phoneticPr fontId="2"/>
  </si>
  <si>
    <t>WHERE  UK.請求日付 = @iDATE</t>
    <phoneticPr fontId="2"/>
  </si>
  <si>
    <t>AND  NOT (前月残高 = 0</t>
    <phoneticPr fontId="2"/>
  </si>
  <si>
    <t>AND 入金金額 = 0</t>
    <phoneticPr fontId="2"/>
  </si>
  <si>
    <t>AND 調整金額 = 0</t>
    <phoneticPr fontId="2"/>
  </si>
  <si>
    <t>AND 売上金額 = 0</t>
    <phoneticPr fontId="2"/>
  </si>
  <si>
    <t>AND 返品金額 = 0</t>
    <phoneticPr fontId="2"/>
  </si>
  <si>
    <t>AND 訂正金額 = 0</t>
    <phoneticPr fontId="2"/>
  </si>
  <si>
    <t>AND 消費税額 = 0</t>
    <phoneticPr fontId="2"/>
  </si>
  <si>
    <t>AND 当月残高 = 0</t>
    <phoneticPr fontId="2"/>
  </si>
  <si>
    <t>AND  伝票枚数 = 0)</t>
    <phoneticPr fontId="2"/>
  </si>
  <si>
    <t>ORDER BY  UK.得意先CDの昇順でソート</t>
    <rPh sb="19" eb="21">
      <t>ショウジュン</t>
    </rPh>
    <phoneticPr fontId="2"/>
  </si>
  <si>
    <t>得意先CD</t>
  </si>
  <si>
    <t>得意先CD</t>
    <phoneticPr fontId="2"/>
  </si>
  <si>
    <t>請求日付</t>
    <phoneticPr fontId="2"/>
  </si>
  <si>
    <t>請求開始日付</t>
    <phoneticPr fontId="2"/>
  </si>
  <si>
    <t>請求終了日付</t>
    <phoneticPr fontId="2"/>
  </si>
  <si>
    <t>得意先名1</t>
    <phoneticPr fontId="2"/>
  </si>
  <si>
    <t>得意先名2</t>
    <phoneticPr fontId="2"/>
  </si>
  <si>
    <t>前月残高</t>
    <phoneticPr fontId="2"/>
  </si>
  <si>
    <t>入金金額</t>
    <phoneticPr fontId="2"/>
  </si>
  <si>
    <t>調整金額</t>
    <phoneticPr fontId="2"/>
  </si>
  <si>
    <t>売上金額</t>
  </si>
  <si>
    <t>返品金額</t>
    <phoneticPr fontId="2"/>
  </si>
  <si>
    <t>訂正金額</t>
    <phoneticPr fontId="2"/>
  </si>
  <si>
    <t>消費税額</t>
    <phoneticPr fontId="2"/>
  </si>
  <si>
    <t>当月残高</t>
    <phoneticPr fontId="2"/>
  </si>
  <si>
    <t>TM請求金額.得意先CD</t>
  </si>
  <si>
    <t>TM請求金額.請求日付</t>
  </si>
  <si>
    <t>TM請求金額.請求開始日付</t>
  </si>
  <si>
    <t>TM請求金額.請求終了日付</t>
  </si>
  <si>
    <t>TM請求金額.前月残高</t>
  </si>
  <si>
    <t>TM請求金額.入金金額</t>
  </si>
  <si>
    <t>TM請求金額.調整金額</t>
  </si>
  <si>
    <t>TM請求金額.売上金額</t>
  </si>
  <si>
    <t>TM請求金額.返品金額</t>
  </si>
  <si>
    <t>TM請求金額.訂正金額</t>
  </si>
  <si>
    <t>TM請求金額.消費税額</t>
  </si>
  <si>
    <t>TM請求金額.当月残高</t>
  </si>
  <si>
    <t>TM得意先.得意先名1</t>
    <rPh sb="2" eb="5">
      <t>トクイサキ</t>
    </rPh>
    <phoneticPr fontId="2"/>
  </si>
  <si>
    <t>TM得意先.得意先名2</t>
    <rPh sb="2" eb="5">
      <t>トクイサキ</t>
    </rPh>
    <phoneticPr fontId="2"/>
  </si>
  <si>
    <t>TM得意先.郵便番号</t>
    <phoneticPr fontId="2"/>
  </si>
  <si>
    <t>TM得意先.住所1</t>
    <phoneticPr fontId="2"/>
  </si>
  <si>
    <t>TM得意先.住所2</t>
    <phoneticPr fontId="2"/>
  </si>
  <si>
    <t>TM得意先.電話番号</t>
    <phoneticPr fontId="2"/>
  </si>
  <si>
    <t>AND  UK.締日 = 画面.締日</t>
    <rPh sb="13" eb="15">
      <t>ガメン</t>
    </rPh>
    <phoneticPr fontId="2"/>
  </si>
  <si>
    <t>AND  UK.得意先CD &gt;= COALESCE(画面.開始得意先CD,UK.得意先CD)</t>
    <rPh sb="26" eb="28">
      <t>ガメン</t>
    </rPh>
    <rPh sb="29" eb="31">
      <t>カイシ</t>
    </rPh>
    <phoneticPr fontId="2"/>
  </si>
  <si>
    <t>AND  UK.得意先CD &lt;= COALESCE(画面.終了得意先CD,UK.得意先CD)</t>
    <rPh sb="26" eb="28">
      <t>ガメン</t>
    </rPh>
    <rPh sb="29" eb="31">
      <t>シュウリョウ</t>
    </rPh>
    <phoneticPr fontId="2"/>
  </si>
  <si>
    <t>SQL3</t>
    <phoneticPr fontId="2"/>
  </si>
  <si>
    <t>TM得意先.得意先CD</t>
    <phoneticPr fontId="2"/>
  </si>
  <si>
    <t>TM得意先.得意先名1</t>
    <phoneticPr fontId="2"/>
  </si>
  <si>
    <t>TM得意先.得意先名2</t>
    <phoneticPr fontId="2"/>
  </si>
  <si>
    <t>SQL3</t>
    <phoneticPr fontId="2"/>
  </si>
  <si>
    <t>SQL4</t>
    <phoneticPr fontId="2"/>
  </si>
  <si>
    <t>insert</t>
    <phoneticPr fontId="2"/>
  </si>
  <si>
    <t>日付</t>
  </si>
  <si>
    <t>日付</t>
    <phoneticPr fontId="2"/>
  </si>
  <si>
    <t>区分</t>
  </si>
  <si>
    <t>区分</t>
    <phoneticPr fontId="2"/>
  </si>
  <si>
    <t>見積番号</t>
  </si>
  <si>
    <t>見積番号</t>
    <phoneticPr fontId="2"/>
  </si>
  <si>
    <t>仕分番号</t>
  </si>
  <si>
    <t>仕分番号</t>
    <phoneticPr fontId="2"/>
  </si>
  <si>
    <t>見積行番号</t>
  </si>
  <si>
    <t>見積行番号</t>
    <phoneticPr fontId="2"/>
  </si>
  <si>
    <t>伝票区分</t>
  </si>
  <si>
    <t>伝票区分</t>
    <phoneticPr fontId="2"/>
  </si>
  <si>
    <t>PC区分</t>
  </si>
  <si>
    <t>PC区分</t>
    <phoneticPr fontId="2"/>
  </si>
  <si>
    <t>製品NO</t>
  </si>
  <si>
    <t>製品NO</t>
    <phoneticPr fontId="2"/>
  </si>
  <si>
    <t>仕様NO</t>
  </si>
  <si>
    <t>仕様NO</t>
    <phoneticPr fontId="2"/>
  </si>
  <si>
    <t>品名</t>
  </si>
  <si>
    <t>品名</t>
    <phoneticPr fontId="2"/>
  </si>
  <si>
    <t>W</t>
  </si>
  <si>
    <t>W</t>
    <phoneticPr fontId="2"/>
  </si>
  <si>
    <t>D</t>
  </si>
  <si>
    <t>D</t>
    <phoneticPr fontId="2"/>
  </si>
  <si>
    <t>H</t>
  </si>
  <si>
    <t>H</t>
    <phoneticPr fontId="2"/>
  </si>
  <si>
    <t>D1</t>
  </si>
  <si>
    <t>D1</t>
    <phoneticPr fontId="2"/>
  </si>
  <si>
    <t>D2</t>
  </si>
  <si>
    <t>D2</t>
    <phoneticPr fontId="2"/>
  </si>
  <si>
    <t>H1</t>
  </si>
  <si>
    <t>H1</t>
    <phoneticPr fontId="2"/>
  </si>
  <si>
    <t>H2</t>
  </si>
  <si>
    <t>H2</t>
    <phoneticPr fontId="2"/>
  </si>
  <si>
    <t>数量</t>
  </si>
  <si>
    <t>数量</t>
    <phoneticPr fontId="2"/>
  </si>
  <si>
    <t>単位名</t>
  </si>
  <si>
    <t>単価</t>
  </si>
  <si>
    <t>単価</t>
    <phoneticPr fontId="2"/>
  </si>
  <si>
    <t>金額</t>
  </si>
  <si>
    <t>金額</t>
    <phoneticPr fontId="2"/>
  </si>
  <si>
    <t>納入先名1</t>
  </si>
  <si>
    <t>納入先名1</t>
    <phoneticPr fontId="2"/>
  </si>
  <si>
    <t>0 AS 区分</t>
    <phoneticPr fontId="2"/>
  </si>
  <si>
    <t>TD売上請求H AS USH</t>
    <phoneticPr fontId="2"/>
  </si>
  <si>
    <t>INNER JOIN TD見積 AS MH</t>
    <phoneticPr fontId="2"/>
  </si>
  <si>
    <t>ON USH.見積番号 = MH.見積番号</t>
    <phoneticPr fontId="2"/>
  </si>
  <si>
    <t>INNER JOIN TD売上v2 AS UH</t>
    <phoneticPr fontId="2"/>
  </si>
  <si>
    <t>ON USH.見積番号 = UH.見積番号</t>
  </si>
  <si>
    <t>ON UH.売上番号 = UM.売上番号</t>
  </si>
  <si>
    <t>ON UM.見積明細連番 = MS.見積明細連番</t>
  </si>
  <si>
    <t>INNER JOIN TD売上明細V2 AS UM</t>
    <phoneticPr fontId="2"/>
  </si>
  <si>
    <t>LEFT JOIN TD見積シートM AS MS</t>
    <phoneticPr fontId="2"/>
  </si>
  <si>
    <t>TD売上請求H.請求日付</t>
  </si>
  <si>
    <t>TD売上請求H.見積番号</t>
  </si>
  <si>
    <t>TD見積.得意先CD</t>
  </si>
  <si>
    <t>TD見積.納入先名1</t>
  </si>
  <si>
    <t>TD売上明細v2.特別区分</t>
  </si>
  <si>
    <t>TD売上明細v2.伝票区分</t>
  </si>
  <si>
    <t>TD売上明細v2.PC区分</t>
  </si>
  <si>
    <t>TD売上明細v2.製品NO</t>
  </si>
  <si>
    <t>TD売上明細v2.仕様NO</t>
  </si>
  <si>
    <t>TD売上明細v2.漢字名称</t>
  </si>
  <si>
    <t>TD売上明細v2.W</t>
  </si>
  <si>
    <t>TD売上明細v2.D</t>
  </si>
  <si>
    <t>TD売上明細v2.H</t>
  </si>
  <si>
    <t>TD売上明細v2.D1</t>
  </si>
  <si>
    <t>TD売上明細v2.D2</t>
  </si>
  <si>
    <t>TD売上明細v2.H1</t>
  </si>
  <si>
    <t>TD売上明細v2.H2</t>
  </si>
  <si>
    <t>TD売上明細v2.売上数量</t>
  </si>
  <si>
    <t>TD売上明細v2.単位名</t>
  </si>
  <si>
    <t>TD売上明細v2.売上単価</t>
  </si>
  <si>
    <t>TD売上明細v2.売上金額</t>
  </si>
  <si>
    <t>ISNULL(TD見積シートM.行番号,0)</t>
  </si>
  <si>
    <t>WHERE MH.得意先CD = SQL1.得意先CD</t>
    <phoneticPr fontId="2"/>
  </si>
  <si>
    <t>AND  USH.請求日付 &gt;= SQL1.請求開始日付</t>
    <rPh sb="22" eb="24">
      <t>セイキュウ</t>
    </rPh>
    <rPh sb="24" eb="26">
      <t>カイシ</t>
    </rPh>
    <rPh sb="26" eb="28">
      <t>ヒヅケ</t>
    </rPh>
    <phoneticPr fontId="2"/>
  </si>
  <si>
    <t>AND  USH.請求日付 &lt;= SQL1.請求終了日付</t>
    <rPh sb="9" eb="11">
      <t>セイキュウ</t>
    </rPh>
    <rPh sb="11" eb="13">
      <t>ヒヅケ</t>
    </rPh>
    <rPh sb="22" eb="24">
      <t>セイキュウ</t>
    </rPh>
    <rPh sb="24" eb="26">
      <t>シュウリョウ</t>
    </rPh>
    <rPh sb="26" eb="28">
      <t>ヒヅケ</t>
    </rPh>
    <phoneticPr fontId="2"/>
  </si>
  <si>
    <t>売上明細作成</t>
    <phoneticPr fontId="2"/>
  </si>
  <si>
    <t>INSERT INTO #wk_元帳明細</t>
    <phoneticPr fontId="2"/>
  </si>
  <si>
    <t>伝票毎消費税額作成(区分=0 仕分番号=ZZ 枝番=9000)</t>
    <phoneticPr fontId="2"/>
  </si>
  <si>
    <t>CONVERT(INT,0) AS 区分</t>
    <phoneticPr fontId="2"/>
  </si>
  <si>
    <t>'ZZ' AS 仕分番号</t>
    <phoneticPr fontId="2"/>
  </si>
  <si>
    <t>9000 AS 見積行番号</t>
    <phoneticPr fontId="2"/>
  </si>
  <si>
    <t>NULL</t>
    <phoneticPr fontId="2"/>
  </si>
  <si>
    <t>　　　　　　【消費税額】</t>
    <phoneticPr fontId="2"/>
  </si>
  <si>
    <t>TD見積.得意先CD</t>
    <phoneticPr fontId="2"/>
  </si>
  <si>
    <t>TD売上請求H.請求日付</t>
    <phoneticPr fontId="2"/>
  </si>
  <si>
    <t>TD売上請求H.見積番号</t>
    <phoneticPr fontId="2"/>
  </si>
  <si>
    <t>(CONVERT(MONEY, ISNULL(TD売上請求H.外税額,0)))</t>
    <phoneticPr fontId="2"/>
  </si>
  <si>
    <t>AND  USH.税集計区分 = 0</t>
    <phoneticPr fontId="2"/>
  </si>
  <si>
    <t>AND  ISNULL(USH.外税額,0) &lt;&gt; 0</t>
    <phoneticPr fontId="2"/>
  </si>
  <si>
    <t>WHERE  MH.得意先CD  = SQL1.得意先CD</t>
    <phoneticPr fontId="2"/>
  </si>
  <si>
    <t>AND  USH.請求日付 &gt;= SQL1.請求開始日付</t>
    <phoneticPr fontId="2"/>
  </si>
  <si>
    <t>AND  USH.請求日付 &lt;= SQL1.請求終了日付</t>
    <rPh sb="24" eb="26">
      <t>シュウリョウ</t>
    </rPh>
    <phoneticPr fontId="2"/>
  </si>
  <si>
    <t>SQL5</t>
    <phoneticPr fontId="2"/>
  </si>
  <si>
    <t>伝票合計作成(区分=0 仕分番号=ZZ 行番号=901)</t>
    <phoneticPr fontId="2"/>
  </si>
  <si>
    <t>9001 AS 見積行番号</t>
    <phoneticPr fontId="2"/>
  </si>
  <si>
    <t>　　　　　　【売上伝票計】</t>
    <phoneticPr fontId="2"/>
  </si>
  <si>
    <t>(TD売上請求H.合計金額 + ISNULL(CASE TD売上請求H.税集計区分 WHEN 0 THEN TD売上請求H.外税額 WHEN 1 THEN 0 END,0))</t>
    <phoneticPr fontId="2"/>
  </si>
  <si>
    <t>AND  USH.請求日付 &lt;= SQL1.請求終了日付</t>
    <phoneticPr fontId="2"/>
  </si>
  <si>
    <t>SQL6</t>
    <phoneticPr fontId="2"/>
  </si>
  <si>
    <t>入金明細作成(区分=1 仕分番号=NULL 行番号=枝番)</t>
    <phoneticPr fontId="2"/>
  </si>
  <si>
    <t>CONVERT(INT,1)</t>
    <phoneticPr fontId="2"/>
  </si>
  <si>
    <t>FROM   TD入金</t>
    <phoneticPr fontId="2"/>
  </si>
  <si>
    <t>TD入金.得意先CD</t>
    <phoneticPr fontId="2"/>
  </si>
  <si>
    <t>TD入金.入金日付</t>
    <phoneticPr fontId="2"/>
  </si>
  <si>
    <t>TD入金.入金番号</t>
    <phoneticPr fontId="2"/>
  </si>
  <si>
    <t>TD入金.枝番</t>
    <rPh sb="4" eb="5">
      <t>エダバン</t>
    </rPh>
    <phoneticPr fontId="2"/>
  </si>
  <si>
    <t>TD入金.入金金額</t>
    <rPh sb="5" eb="7">
      <t>ニュウキン</t>
    </rPh>
    <rPh sb="7" eb="9">
      <t>キンガク</t>
    </rPh>
    <phoneticPr fontId="2"/>
  </si>
  <si>
    <t>WHERE 得意先CD = SQL1.得意先CD</t>
    <phoneticPr fontId="2"/>
  </si>
  <si>
    <t>AND  入金日付 &gt;= SQL1.請求開始日付</t>
    <phoneticPr fontId="2"/>
  </si>
  <si>
    <t>AND  入金日付 &lt;= SQL1.請求終了日付</t>
    <phoneticPr fontId="2"/>
  </si>
  <si>
    <t>SQL7</t>
    <phoneticPr fontId="2"/>
  </si>
  <si>
    <t>請求単位の税明細作成(区分=2 仕分番号=ZZ 行番号=9000)</t>
    <phoneticPr fontId="2"/>
  </si>
  <si>
    <t>CONVERT(INT,2) AS 区分</t>
    <phoneticPr fontId="2"/>
  </si>
  <si>
    <t>0 AS 見積番号</t>
    <phoneticPr fontId="2"/>
  </si>
  <si>
    <t>FROM (</t>
    <phoneticPr fontId="2"/>
  </si>
  <si>
    <t>SQL8</t>
    <phoneticPr fontId="2"/>
  </si>
  <si>
    <t>) AS UH</t>
    <phoneticPr fontId="2"/>
  </si>
  <si>
    <t>SQL9</t>
    <phoneticPr fontId="2"/>
  </si>
  <si>
    <t>) AS SK</t>
    <phoneticPr fontId="2"/>
  </si>
  <si>
    <t>ON  UH.得意先CD = SK.得意先CD</t>
    <phoneticPr fontId="2"/>
  </si>
  <si>
    <t>SQL10</t>
    <phoneticPr fontId="2"/>
  </si>
  <si>
    <t>) AS U</t>
    <phoneticPr fontId="2"/>
  </si>
  <si>
    <t>ON  U.得意先CD = SK.得意先CD</t>
    <phoneticPr fontId="2"/>
  </si>
  <si>
    <t>AND  (ISNULL(SK.消費税額,0)-ISNULL(U.外税額,0)) &lt;&gt; 0</t>
    <phoneticPr fontId="2"/>
  </si>
  <si>
    <t>SQL8.得意先CD</t>
    <phoneticPr fontId="2"/>
  </si>
  <si>
    <t>(ISNULL(SQL9.消費税額,0)-ISNULL(SQL10.外税額,0)) AS 金額</t>
    <phoneticPr fontId="2"/>
  </si>
  <si>
    <t>WHERE  UH.得意先CD  = SQL1.得意先CD</t>
    <phoneticPr fontId="2"/>
  </si>
  <si>
    <t>SQL1.請求終了日付</t>
    <phoneticPr fontId="2"/>
  </si>
  <si>
    <t>SQL8</t>
    <phoneticPr fontId="2"/>
  </si>
  <si>
    <t>請求単位が存在するか用のSELECT</t>
    <phoneticPr fontId="2"/>
  </si>
  <si>
    <t>FROM TD売上請求H AS USH</t>
    <phoneticPr fontId="2"/>
  </si>
  <si>
    <t>AND  USH.税集計区分 = 1</t>
    <phoneticPr fontId="2"/>
  </si>
  <si>
    <t>group by</t>
    <phoneticPr fontId="2"/>
  </si>
  <si>
    <t>GROUP BY MH.得意先CD</t>
    <phoneticPr fontId="2"/>
  </si>
  <si>
    <t>AND  USH.請求日付 &lt;= SQL1.請求終了日付</t>
    <rPh sb="24" eb="26">
      <t>シュウリョウ</t>
    </rPh>
    <rPh sb="26" eb="28">
      <t>ヒヅケ</t>
    </rPh>
    <phoneticPr fontId="2"/>
  </si>
  <si>
    <t>SQL9</t>
    <phoneticPr fontId="2"/>
  </si>
  <si>
    <t>FROM TM請求金額</t>
    <phoneticPr fontId="2"/>
  </si>
  <si>
    <t>TM請求金額.得意先CD</t>
    <phoneticPr fontId="2"/>
  </si>
  <si>
    <t>WHERE  請求日付 = SQL1.請求終了日付</t>
    <phoneticPr fontId="2"/>
  </si>
  <si>
    <t>AND  得意先CD = SQL1.得意先CD</t>
    <phoneticPr fontId="2"/>
  </si>
  <si>
    <t>AND  伝票枚数 &lt;&gt; 0</t>
    <rPh sb="5" eb="7">
      <t>デンピョウ</t>
    </rPh>
    <rPh sb="7" eb="9">
      <t>マイスウ</t>
    </rPh>
    <phoneticPr fontId="2"/>
  </si>
  <si>
    <t>SQL10</t>
    <phoneticPr fontId="2"/>
  </si>
  <si>
    <t>SUM(ISNULL(USH.外税額,0)) AS 外税額</t>
    <phoneticPr fontId="2"/>
  </si>
  <si>
    <t>外税額</t>
    <phoneticPr fontId="2"/>
  </si>
  <si>
    <t>SQL11</t>
    <phoneticPr fontId="2"/>
  </si>
  <si>
    <t>FROM  TM請求金額</t>
    <phoneticPr fontId="2"/>
  </si>
  <si>
    <t>明細が無い時空打ち用に空レコード作成(区分=3 仕分番号=NULL 行番号=0)</t>
    <phoneticPr fontId="2"/>
  </si>
  <si>
    <t>請求日付 = SQL1.請求終了日付</t>
    <phoneticPr fontId="2"/>
  </si>
  <si>
    <t>AND  伝票枚数 &lt;&gt; 0</t>
    <phoneticPr fontId="2"/>
  </si>
  <si>
    <t>IF  NOT EXISTS (select句が存在しない場合、SQL12を実施)</t>
    <rPh sb="22" eb="23">
      <t>ク</t>
    </rPh>
    <rPh sb="24" eb="26">
      <t>ソンザイ</t>
    </rPh>
    <rPh sb="29" eb="31">
      <t>バアイ</t>
    </rPh>
    <rPh sb="38" eb="40">
      <t>ジッシ</t>
    </rPh>
    <phoneticPr fontId="2"/>
  </si>
  <si>
    <t>SQL12</t>
    <phoneticPr fontId="2"/>
  </si>
  <si>
    <t>SQL11のselect句が存在しない場合に実施</t>
    <rPh sb="11" eb="12">
      <t>ク</t>
    </rPh>
    <rPh sb="13" eb="15">
      <t>ソンザイ</t>
    </rPh>
    <rPh sb="18" eb="20">
      <t>バアイ</t>
    </rPh>
    <rPh sb="21" eb="23">
      <t>ジッシ</t>
    </rPh>
    <phoneticPr fontId="2"/>
  </si>
  <si>
    <t>SQL1.得意先CD</t>
    <rPh sb="5" eb="8">
      <t>トクイサキ</t>
    </rPh>
    <phoneticPr fontId="2"/>
  </si>
  <si>
    <t>''</t>
    <phoneticPr fontId="2"/>
  </si>
  <si>
    <t>SQL13</t>
    <phoneticPr fontId="2"/>
  </si>
  <si>
    <t>wk_元帳明細.得意先CD</t>
    <phoneticPr fontId="2"/>
  </si>
  <si>
    <t>wk_元帳明細.日付</t>
    <phoneticPr fontId="2"/>
  </si>
  <si>
    <t>wk_元帳明細.区分</t>
    <phoneticPr fontId="2"/>
  </si>
  <si>
    <t>wk_元帳明細.見積番号</t>
    <phoneticPr fontId="2"/>
  </si>
  <si>
    <t>wk_元帳明細.仕分番号</t>
    <phoneticPr fontId="2"/>
  </si>
  <si>
    <t>wk_元帳明細.見積行番号</t>
    <phoneticPr fontId="2"/>
  </si>
  <si>
    <t>wk_元帳明細.伝票区分</t>
    <phoneticPr fontId="2"/>
  </si>
  <si>
    <t>wk_元帳明細.PC区分</t>
    <phoneticPr fontId="2"/>
  </si>
  <si>
    <t>wk_元帳明細.製品NO</t>
    <phoneticPr fontId="2"/>
  </si>
  <si>
    <t>wk_元帳明細.仕様NO</t>
    <phoneticPr fontId="2"/>
  </si>
  <si>
    <t>wk_元帳明細.品名</t>
    <phoneticPr fontId="2"/>
  </si>
  <si>
    <t>wk_元帳明細.W</t>
    <phoneticPr fontId="2"/>
  </si>
  <si>
    <t>wk_元帳明細.D</t>
    <phoneticPr fontId="2"/>
  </si>
  <si>
    <t>wk_元帳明細.H</t>
    <phoneticPr fontId="2"/>
  </si>
  <si>
    <t>wk_元帳明細.D1</t>
    <phoneticPr fontId="2"/>
  </si>
  <si>
    <t>wk_元帳明細.D2</t>
    <phoneticPr fontId="2"/>
  </si>
  <si>
    <t>wk_元帳明細.H1</t>
    <phoneticPr fontId="2"/>
  </si>
  <si>
    <t>select *</t>
    <phoneticPr fontId="2"/>
  </si>
  <si>
    <t>wk_元帳明細.H2</t>
    <phoneticPr fontId="2"/>
  </si>
  <si>
    <t>wk_元帳明細.数量</t>
    <phoneticPr fontId="2"/>
  </si>
  <si>
    <t>wk_元帳明細.単位名</t>
    <phoneticPr fontId="2"/>
  </si>
  <si>
    <t>wk_元帳明細.単価</t>
    <phoneticPr fontId="2"/>
  </si>
  <si>
    <t>wk_元帳明細.金額</t>
    <phoneticPr fontId="2"/>
  </si>
  <si>
    <t>wk_元帳明細.納入先名1</t>
    <phoneticPr fontId="2"/>
  </si>
  <si>
    <t>FROM #wk_元帳明細</t>
    <phoneticPr fontId="2"/>
  </si>
  <si>
    <t>ORDER BY 得意先CD,日付,区分,見積番号,仕分番号, 見積行番号 の昇順でソート</t>
    <rPh sb="39" eb="41">
      <t>ショウジュン</t>
    </rPh>
    <phoneticPr fontId="2"/>
  </si>
  <si>
    <t>SQL2.郵便番号</t>
    <rPh sb="5" eb="9">
      <t>ユウビンバンゴウ</t>
    </rPh>
    <phoneticPr fontId="1"/>
  </si>
  <si>
    <t>SQL2.住所1</t>
    <rPh sb="5" eb="7">
      <t>ジュウショ</t>
    </rPh>
    <phoneticPr fontId="1"/>
  </si>
  <si>
    <t>SQL2.住所2</t>
    <rPh sb="5" eb="7">
      <t>ジュウショ</t>
    </rPh>
    <phoneticPr fontId="1"/>
  </si>
  <si>
    <t>SQL2.得意先名2</t>
    <rPh sb="5" eb="9">
      <t>トクイサキメイ</t>
    </rPh>
    <phoneticPr fontId="1"/>
  </si>
  <si>
    <t>SQL2.得意先名1</t>
    <phoneticPr fontId="1"/>
  </si>
  <si>
    <t>SQL2.得意先CD</t>
    <rPh sb="5" eb="8">
      <t>トクイサキ</t>
    </rPh>
    <phoneticPr fontId="1"/>
  </si>
  <si>
    <t>SQL2.電話番号</t>
    <rPh sb="5" eb="9">
      <t>デンワバンゴウ</t>
    </rPh>
    <phoneticPr fontId="1"/>
  </si>
  <si>
    <t>画面.請求終了日付</t>
    <rPh sb="0" eb="2">
      <t>ガメン</t>
    </rPh>
    <rPh sb="3" eb="9">
      <t>セイキュウシュウリョウヒヅケ</t>
    </rPh>
    <phoneticPr fontId="1"/>
  </si>
  <si>
    <t>TM請求金額.請求開始日付</t>
    <phoneticPr fontId="2"/>
  </si>
  <si>
    <t>SQL2.請求開始日付</t>
    <rPh sb="5" eb="7">
      <t>セイキュウ</t>
    </rPh>
    <rPh sb="7" eb="9">
      <t>カイシ</t>
    </rPh>
    <rPh sb="9" eb="11">
      <t>ヒヅケ</t>
    </rPh>
    <phoneticPr fontId="1"/>
  </si>
  <si>
    <t>SQL2.前月残高</t>
    <rPh sb="5" eb="9">
      <t>ゼンゲツザンダカ</t>
    </rPh>
    <phoneticPr fontId="1"/>
  </si>
  <si>
    <t>SQL2.入金金額</t>
    <rPh sb="5" eb="7">
      <t>ニュウキン</t>
    </rPh>
    <rPh sb="7" eb="9">
      <t>キンガク</t>
    </rPh>
    <phoneticPr fontId="1"/>
  </si>
  <si>
    <t>SQL2.調整金額</t>
    <rPh sb="5" eb="9">
      <t>チョウセイキンガク</t>
    </rPh>
    <phoneticPr fontId="1"/>
  </si>
  <si>
    <t>SQL2.売上金額</t>
    <rPh sb="5" eb="9">
      <t>ウリアゲキンガク</t>
    </rPh>
    <phoneticPr fontId="1"/>
  </si>
  <si>
    <t>SQL2.返品金額</t>
    <rPh sb="5" eb="9">
      <t>ヘンピンキンガク</t>
    </rPh>
    <phoneticPr fontId="1"/>
  </si>
  <si>
    <t>SQL2.訂正金額</t>
    <rPh sb="5" eb="9">
      <t>テイセイキンガク</t>
    </rPh>
    <phoneticPr fontId="1"/>
  </si>
  <si>
    <t>SQL2.消費税額</t>
    <rPh sb="5" eb="9">
      <t>ショウヒゼイガク</t>
    </rPh>
    <phoneticPr fontId="1"/>
  </si>
  <si>
    <t>SQL2.当月残高</t>
    <rPh sb="5" eb="9">
      <t>トウゲツザンダカ</t>
    </rPh>
    <phoneticPr fontId="1"/>
  </si>
  <si>
    <t>[SQL2.前月残高] - [SQL2.入金金額] - [SQL2.調整金額]</t>
    <phoneticPr fontId="1"/>
  </si>
  <si>
    <t>SQL2.前月残高、SQL2.入金金額、SQL2.調整金額</t>
    <phoneticPr fontId="1"/>
  </si>
  <si>
    <t>[SQL2.売上金額] +[SQL2.返品金額] + [SQL2.訂正金額] + [SQL2.消費税額]</t>
    <phoneticPr fontId="1"/>
  </si>
  <si>
    <t>SQL2.売上金額、SQL2.返品金額、SQL2.訂正金額、SQL2.消費税額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</si>
  <si>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</si>
  <si>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</si>
  <si>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全角</t>
    <rPh sb="0" eb="2">
      <t>ゼンカク</t>
    </rPh>
    <phoneticPr fontId="1"/>
  </si>
  <si>
    <t>SQL13.日付</t>
    <rPh sb="6" eb="8">
      <t>ヒヅケ</t>
    </rPh>
    <phoneticPr fontId="1"/>
  </si>
  <si>
    <t>SQL13.見積番号</t>
    <rPh sb="6" eb="10">
      <t>ミツモリバンゴウ</t>
    </rPh>
    <phoneticPr fontId="1"/>
  </si>
  <si>
    <t>SQL13.品名</t>
    <rPh sb="6" eb="8">
      <t>ヒンメイ</t>
    </rPh>
    <phoneticPr fontId="1"/>
  </si>
  <si>
    <t>SQL2.前月残高</t>
    <rPh sb="5" eb="7">
      <t>ゼンゲツ</t>
    </rPh>
    <rPh sb="7" eb="9">
      <t>ザンダカ</t>
    </rPh>
    <phoneticPr fontId="1"/>
  </si>
  <si>
    <t>SQL13.PC区分</t>
    <rPh sb="8" eb="10">
      <t>クブン</t>
    </rPh>
    <phoneticPr fontId="1"/>
  </si>
  <si>
    <t>SQL13.製品NO</t>
    <rPh sb="6" eb="8">
      <t>セイヒン</t>
    </rPh>
    <phoneticPr fontId="1"/>
  </si>
  <si>
    <t>SQL13.仕様NO</t>
    <rPh sb="6" eb="8">
      <t>シヨウ</t>
    </rPh>
    <phoneticPr fontId="1"/>
  </si>
  <si>
    <t>SQL13.W、SQL13.D、SQL13.H、SQL13.D1、SQL13.D2、SQL13.H1、SQL13.H2</t>
    <phoneticPr fontId="1"/>
  </si>
  <si>
    <t>[SQL13.W]W×[SQL13.D]/[SQL13.D1]/[SQL13.D2]D×[SQL13.H]×[SQL13.H1]×[SQL13.H2]H</t>
    <phoneticPr fontId="1"/>
  </si>
  <si>
    <t>例）893W×2D/3D×50H/76H</t>
    <rPh sb="0" eb="1">
      <t>レイ</t>
    </rPh>
    <phoneticPr fontId="1"/>
  </si>
  <si>
    <t>SQL13.数量</t>
    <rPh sb="6" eb="8">
      <t>スウリョウ</t>
    </rPh>
    <phoneticPr fontId="1"/>
  </si>
  <si>
    <t>ソース内</t>
    <rPh sb="3" eb="4">
      <t>ナイ</t>
    </rPh>
    <phoneticPr fontId="1"/>
  </si>
  <si>
    <t>SQL13.単位</t>
    <rPh sb="6" eb="8">
      <t>タンイ</t>
    </rPh>
    <phoneticPr fontId="1"/>
  </si>
  <si>
    <t>SQL13.単価</t>
    <rPh sb="6" eb="8">
      <t>タンカ</t>
    </rPh>
    <phoneticPr fontId="1"/>
  </si>
  <si>
    <t>SQL13.納入先名</t>
    <rPh sb="6" eb="10">
      <t>ノウニュウサキメイ</t>
    </rPh>
    <phoneticPr fontId="1"/>
  </si>
  <si>
    <t>SQL13.金額</t>
    <rPh sb="6" eb="8">
      <t>キンガク</t>
    </rPh>
    <phoneticPr fontId="1"/>
  </si>
  <si>
    <t>[SQL13.区分]が1以外のときに入力</t>
    <rPh sb="7" eb="9">
      <t>クブン</t>
    </rPh>
    <rPh sb="12" eb="14">
      <t>イガイ</t>
    </rPh>
    <rPh sb="18" eb="20">
      <t>ニュウリョク</t>
    </rPh>
    <phoneticPr fontId="1"/>
  </si>
  <si>
    <t>[SQL13.区分]が1のときに入力</t>
    <rPh sb="7" eb="9">
      <t>クブン</t>
    </rPh>
    <rPh sb="16" eb="18">
      <t>ニュウリョク</t>
    </rPh>
    <phoneticPr fontId="1"/>
  </si>
  <si>
    <t>[SQL13.見積行番号]が9001のときは空</t>
    <rPh sb="22" eb="23">
      <t>カラ</t>
    </rPh>
    <phoneticPr fontId="1"/>
  </si>
  <si>
    <t>消費税額計</t>
    <rPh sb="0" eb="4">
      <t>ショウヒゼイガク</t>
    </rPh>
    <rPh sb="4" eb="5">
      <t>ケイ</t>
    </rPh>
    <phoneticPr fontId="1"/>
  </si>
  <si>
    <t>SQL13.金額</t>
    <phoneticPr fontId="1"/>
  </si>
  <si>
    <t>納入先ごとの金額合計（税区分2のみ）</t>
    <rPh sb="0" eb="3">
      <t>ノウニュウサキ</t>
    </rPh>
    <rPh sb="6" eb="8">
      <t>キンガク</t>
    </rPh>
    <rPh sb="11" eb="12">
      <t>ゼイ</t>
    </rPh>
    <rPh sb="12" eb="14">
      <t>クブン</t>
    </rPh>
    <phoneticPr fontId="1"/>
  </si>
  <si>
    <t>納入先ごとの金額合計（すべて）</t>
    <rPh sb="0" eb="3">
      <t>ノウニュウサキ</t>
    </rPh>
    <rPh sb="6" eb="8">
      <t>キンガク</t>
    </rPh>
    <rPh sb="8" eb="10">
      <t>ゴウケイ</t>
    </rPh>
    <phoneticPr fontId="1"/>
  </si>
  <si>
    <t>差引残高（初回は繰越残高） + 明細売上 - 明細入金 または空</t>
    <rPh sb="0" eb="4">
      <t>サシヒキザンダカ</t>
    </rPh>
    <rPh sb="5" eb="7">
      <t>ショカイ</t>
    </rPh>
    <rPh sb="8" eb="12">
      <t>クリコシザンダカ</t>
    </rPh>
    <rPh sb="31" eb="32">
      <t>カラ</t>
    </rPh>
    <phoneticPr fontId="1"/>
  </si>
  <si>
    <t>SQL2.前月残高、SQL13.金額</t>
    <phoneticPr fontId="1"/>
  </si>
  <si>
    <t>初ページは'繰  越  残  高　'その後は'前  頁  残  高'</t>
    <rPh sb="0" eb="1">
      <t>ハツ</t>
    </rPh>
    <rPh sb="20" eb="21">
      <t>ゴ</t>
    </rPh>
    <phoneticPr fontId="1"/>
  </si>
  <si>
    <t>yyyy年 mm月 dd日 締</t>
    <phoneticPr fontId="1"/>
  </si>
  <si>
    <t>000-0000</t>
    <phoneticPr fontId="1"/>
  </si>
  <si>
    <t>000-000-0000</t>
    <phoneticPr fontId="1"/>
  </si>
  <si>
    <t>yy/mm/dd</t>
    <phoneticPr fontId="1"/>
  </si>
  <si>
    <t>項目一覧</t>
    <rPh sb="0" eb="4">
      <t>コウモクイチラン</t>
    </rPh>
    <phoneticPr fontId="2"/>
  </si>
  <si>
    <t>帳票レイアウトでは表示されていないが、項目が存在するため必要か確認　必要な場合フォーマットはどのようなものかも確認</t>
    <rPh sb="0" eb="2">
      <t>チョウヒョウ</t>
    </rPh>
    <rPh sb="9" eb="11">
      <t>ヒョウジ</t>
    </rPh>
    <rPh sb="19" eb="21">
      <t>コウモク</t>
    </rPh>
    <rPh sb="22" eb="24">
      <t>ソンザイ</t>
    </rPh>
    <rPh sb="28" eb="30">
      <t>ヒツヨウ</t>
    </rPh>
    <rPh sb="31" eb="33">
      <t>カクニン</t>
    </rPh>
    <rPh sb="34" eb="36">
      <t>ヒツヨウ</t>
    </rPh>
    <rPh sb="37" eb="39">
      <t>バアイ</t>
    </rPh>
    <rPh sb="55" eb="57">
      <t>カクニン</t>
    </rPh>
    <phoneticPr fontId="2"/>
  </si>
  <si>
    <t>すべての項目を取得</t>
    <rPh sb="4" eb="6">
      <t>コウモク</t>
    </rPh>
    <rPh sb="7" eb="9">
      <t>シュトク</t>
    </rPh>
    <phoneticPr fontId="2"/>
  </si>
  <si>
    <t>No.24 PC区分の表示条件</t>
    <rPh sb="8" eb="10">
      <t>クブン</t>
    </rPh>
    <rPh sb="11" eb="15">
      <t>ヒョウジジョウケン</t>
    </rPh>
    <phoneticPr fontId="2"/>
  </si>
  <si>
    <t>回答</t>
    <rPh sb="0" eb="2">
      <t>カイトウ</t>
    </rPh>
    <phoneticPr fontId="2"/>
  </si>
  <si>
    <t>不要</t>
    <rPh sb="0" eb="2">
      <t>フヨウ</t>
    </rPh>
    <phoneticPr fontId="2"/>
  </si>
  <si>
    <t>〇</t>
    <phoneticPr fontId="2"/>
  </si>
  <si>
    <t>〇</t>
    <phoneticPr fontId="2"/>
  </si>
  <si>
    <t>No.9 開始日付の表示条件</t>
    <rPh sb="5" eb="9">
      <t>カイシヒヅケ</t>
    </rPh>
    <rPh sb="10" eb="14">
      <t>ヒョウジジョウケン</t>
    </rPh>
    <phoneticPr fontId="2"/>
  </si>
  <si>
    <t>No.10 終了日付の表示条件</t>
    <rPh sb="6" eb="8">
      <t>シュウリョウ</t>
    </rPh>
    <rPh sb="8" eb="10">
      <t>ヒヅケ</t>
    </rPh>
    <rPh sb="11" eb="15">
      <t>ヒョウジジョウケン</t>
    </rPh>
    <phoneticPr fontId="2"/>
  </si>
  <si>
    <t>A3横</t>
    <rPh sb="2" eb="3">
      <t>ヨコ</t>
    </rPh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</si>
  <si>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</si>
  <si>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</si>
  <si>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</si>
  <si>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受発注システム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</si>
</sst>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quotePrefix="1" applyFont="1" applyFill="1" applyBorder="1">
      <alignment vertical="center"/>
    </xf>
    <xf numFmtId="0" fontId="3" fillId="2" borderId="5" xfId="0" quotePrefix="1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125507</xdr:rowOff>
    </xdr:from>
    <xdr:to>
      <xdr:col>63</xdr:col>
      <xdr:colOff>161365</xdr:colOff>
      <xdr:row>55</xdr:row>
      <xdr:rowOff>136355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88" y="1757083"/>
          <a:ext cx="17113624" cy="11808401"/>
        </a:xfrm>
        <a:prstGeom prst="rect">
          <a:avLst/>
        </a:prstGeom>
      </xdr:spPr>
    </xdr:pic>
    <xdr:clientData/>
  </xdr:twoCellAnchor>
  <xdr:twoCellAnchor>
    <xdr:from>
      <xdr:col>31</xdr:col>
      <xdr:colOff>17929</xdr:colOff>
      <xdr:row>13</xdr:row>
      <xdr:rowOff>188259</xdr:rowOff>
    </xdr:from>
    <xdr:to>
      <xdr:col>32</xdr:col>
      <xdr:colOff>80681</xdr:colOff>
      <xdr:row>15</xdr:row>
      <xdr:rowOff>8965</xdr:rowOff>
    </xdr:to>
    <xdr:sp macro="" textlink="">
      <xdr:nvSpPr>
        <xdr:cNvPr id="3" name="正方形/長方形 2"/>
        <xdr:cNvSpPr/>
      </xdr:nvSpPr>
      <xdr:spPr>
        <a:xfrm>
          <a:off x="8435788" y="30748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35857</xdr:colOff>
      <xdr:row>12</xdr:row>
      <xdr:rowOff>206187</xdr:rowOff>
    </xdr:from>
    <xdr:to>
      <xdr:col>6</xdr:col>
      <xdr:colOff>98609</xdr:colOff>
      <xdr:row>14</xdr:row>
      <xdr:rowOff>26894</xdr:rowOff>
    </xdr:to>
    <xdr:sp macro="" textlink="">
      <xdr:nvSpPr>
        <xdr:cNvPr id="4" name="正方形/長方形 3"/>
        <xdr:cNvSpPr/>
      </xdr:nvSpPr>
      <xdr:spPr>
        <a:xfrm>
          <a:off x="1228163" y="284181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98612</xdr:colOff>
      <xdr:row>14</xdr:row>
      <xdr:rowOff>35859</xdr:rowOff>
    </xdr:from>
    <xdr:to>
      <xdr:col>7</xdr:col>
      <xdr:colOff>161364</xdr:colOff>
      <xdr:row>15</xdr:row>
      <xdr:rowOff>107577</xdr:rowOff>
    </xdr:to>
    <xdr:sp macro="" textlink="">
      <xdr:nvSpPr>
        <xdr:cNvPr id="5" name="正方形/長方形 4"/>
        <xdr:cNvSpPr/>
      </xdr:nvSpPr>
      <xdr:spPr>
        <a:xfrm>
          <a:off x="1568824" y="31735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98612</xdr:colOff>
      <xdr:row>15</xdr:row>
      <xdr:rowOff>80682</xdr:rowOff>
    </xdr:from>
    <xdr:to>
      <xdr:col>7</xdr:col>
      <xdr:colOff>161364</xdr:colOff>
      <xdr:row>16</xdr:row>
      <xdr:rowOff>152400</xdr:rowOff>
    </xdr:to>
    <xdr:sp macro="" textlink="">
      <xdr:nvSpPr>
        <xdr:cNvPr id="6" name="正方形/長方形 5"/>
        <xdr:cNvSpPr/>
      </xdr:nvSpPr>
      <xdr:spPr>
        <a:xfrm>
          <a:off x="1568824" y="34693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206187</xdr:colOff>
      <xdr:row>16</xdr:row>
      <xdr:rowOff>17929</xdr:rowOff>
    </xdr:from>
    <xdr:to>
      <xdr:col>8</xdr:col>
      <xdr:colOff>268939</xdr:colOff>
      <xdr:row>17</xdr:row>
      <xdr:rowOff>89648</xdr:rowOff>
    </xdr:to>
    <xdr:sp macro="" textlink="">
      <xdr:nvSpPr>
        <xdr:cNvPr id="7" name="正方形/長方形 6"/>
        <xdr:cNvSpPr/>
      </xdr:nvSpPr>
      <xdr:spPr>
        <a:xfrm>
          <a:off x="1954305" y="36576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206188</xdr:colOff>
      <xdr:row>17</xdr:row>
      <xdr:rowOff>98613</xdr:rowOff>
    </xdr:from>
    <xdr:to>
      <xdr:col>8</xdr:col>
      <xdr:colOff>268940</xdr:colOff>
      <xdr:row>18</xdr:row>
      <xdr:rowOff>170331</xdr:rowOff>
    </xdr:to>
    <xdr:sp macro="" textlink="">
      <xdr:nvSpPr>
        <xdr:cNvPr id="8" name="正方形/長方形 7"/>
        <xdr:cNvSpPr/>
      </xdr:nvSpPr>
      <xdr:spPr>
        <a:xfrm>
          <a:off x="1954306" y="39892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116541</xdr:colOff>
      <xdr:row>18</xdr:row>
      <xdr:rowOff>143436</xdr:rowOff>
    </xdr:from>
    <xdr:to>
      <xdr:col>7</xdr:col>
      <xdr:colOff>179293</xdr:colOff>
      <xdr:row>19</xdr:row>
      <xdr:rowOff>215154</xdr:rowOff>
    </xdr:to>
    <xdr:sp macro="" textlink="">
      <xdr:nvSpPr>
        <xdr:cNvPr id="9" name="正方形/長方形 8"/>
        <xdr:cNvSpPr/>
      </xdr:nvSpPr>
      <xdr:spPr>
        <a:xfrm>
          <a:off x="1586753" y="42851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233083</xdr:colOff>
      <xdr:row>18</xdr:row>
      <xdr:rowOff>152400</xdr:rowOff>
    </xdr:from>
    <xdr:to>
      <xdr:col>12</xdr:col>
      <xdr:colOff>17929</xdr:colOff>
      <xdr:row>19</xdr:row>
      <xdr:rowOff>224118</xdr:rowOff>
    </xdr:to>
    <xdr:sp macro="" textlink="">
      <xdr:nvSpPr>
        <xdr:cNvPr id="10" name="正方形/長方形 9"/>
        <xdr:cNvSpPr/>
      </xdr:nvSpPr>
      <xdr:spPr>
        <a:xfrm>
          <a:off x="2814918" y="42940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89648</xdr:colOff>
      <xdr:row>14</xdr:row>
      <xdr:rowOff>224114</xdr:rowOff>
    </xdr:from>
    <xdr:to>
      <xdr:col>18</xdr:col>
      <xdr:colOff>152400</xdr:colOff>
      <xdr:row>16</xdr:row>
      <xdr:rowOff>44820</xdr:rowOff>
    </xdr:to>
    <xdr:sp macro="" textlink="">
      <xdr:nvSpPr>
        <xdr:cNvPr id="11" name="正方形/長方形 10"/>
        <xdr:cNvSpPr/>
      </xdr:nvSpPr>
      <xdr:spPr>
        <a:xfrm>
          <a:off x="4616824" y="336176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89647</xdr:colOff>
      <xdr:row>16</xdr:row>
      <xdr:rowOff>98609</xdr:rowOff>
    </xdr:from>
    <xdr:to>
      <xdr:col>18</xdr:col>
      <xdr:colOff>152399</xdr:colOff>
      <xdr:row>17</xdr:row>
      <xdr:rowOff>170328</xdr:rowOff>
    </xdr:to>
    <xdr:sp macro="" textlink="">
      <xdr:nvSpPr>
        <xdr:cNvPr id="12" name="正方形/長方形 11"/>
        <xdr:cNvSpPr/>
      </xdr:nvSpPr>
      <xdr:spPr>
        <a:xfrm>
          <a:off x="4616823" y="373828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224117</xdr:colOff>
      <xdr:row>18</xdr:row>
      <xdr:rowOff>152400</xdr:rowOff>
    </xdr:from>
    <xdr:to>
      <xdr:col>22</xdr:col>
      <xdr:colOff>8963</xdr:colOff>
      <xdr:row>19</xdr:row>
      <xdr:rowOff>224118</xdr:rowOff>
    </xdr:to>
    <xdr:sp macro="" textlink="">
      <xdr:nvSpPr>
        <xdr:cNvPr id="13" name="正方形/長方形 12"/>
        <xdr:cNvSpPr/>
      </xdr:nvSpPr>
      <xdr:spPr>
        <a:xfrm>
          <a:off x="5585011" y="42940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197224</xdr:colOff>
      <xdr:row>17</xdr:row>
      <xdr:rowOff>80680</xdr:rowOff>
    </xdr:from>
    <xdr:to>
      <xdr:col>26</xdr:col>
      <xdr:colOff>259977</xdr:colOff>
      <xdr:row>18</xdr:row>
      <xdr:rowOff>152398</xdr:rowOff>
    </xdr:to>
    <xdr:sp macro="" textlink="">
      <xdr:nvSpPr>
        <xdr:cNvPr id="14" name="正方形/長方形 13"/>
        <xdr:cNvSpPr/>
      </xdr:nvSpPr>
      <xdr:spPr>
        <a:xfrm>
          <a:off x="6947648" y="397136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197223</xdr:colOff>
      <xdr:row>18</xdr:row>
      <xdr:rowOff>161362</xdr:rowOff>
    </xdr:from>
    <xdr:to>
      <xdr:col>26</xdr:col>
      <xdr:colOff>259976</xdr:colOff>
      <xdr:row>19</xdr:row>
      <xdr:rowOff>233080</xdr:rowOff>
    </xdr:to>
    <xdr:sp macro="" textlink="">
      <xdr:nvSpPr>
        <xdr:cNvPr id="15" name="正方形/長方形 14"/>
        <xdr:cNvSpPr/>
      </xdr:nvSpPr>
      <xdr:spPr>
        <a:xfrm>
          <a:off x="6947647" y="430305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134471</xdr:colOff>
      <xdr:row>18</xdr:row>
      <xdr:rowOff>143436</xdr:rowOff>
    </xdr:from>
    <xdr:to>
      <xdr:col>31</xdr:col>
      <xdr:colOff>197223</xdr:colOff>
      <xdr:row>19</xdr:row>
      <xdr:rowOff>215154</xdr:rowOff>
    </xdr:to>
    <xdr:sp macro="" textlink="">
      <xdr:nvSpPr>
        <xdr:cNvPr id="16" name="正方形/長方形 15"/>
        <xdr:cNvSpPr/>
      </xdr:nvSpPr>
      <xdr:spPr>
        <a:xfrm>
          <a:off x="8274424" y="42851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116541</xdr:colOff>
      <xdr:row>18</xdr:row>
      <xdr:rowOff>152400</xdr:rowOff>
    </xdr:from>
    <xdr:to>
      <xdr:col>36</xdr:col>
      <xdr:colOff>179293</xdr:colOff>
      <xdr:row>19</xdr:row>
      <xdr:rowOff>224118</xdr:rowOff>
    </xdr:to>
    <xdr:sp macro="" textlink="">
      <xdr:nvSpPr>
        <xdr:cNvPr id="17" name="正方形/長方形 16"/>
        <xdr:cNvSpPr/>
      </xdr:nvSpPr>
      <xdr:spPr>
        <a:xfrm>
          <a:off x="9646023" y="42940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44823</xdr:colOff>
      <xdr:row>18</xdr:row>
      <xdr:rowOff>143435</xdr:rowOff>
    </xdr:from>
    <xdr:to>
      <xdr:col>41</xdr:col>
      <xdr:colOff>107575</xdr:colOff>
      <xdr:row>19</xdr:row>
      <xdr:rowOff>215153</xdr:rowOff>
    </xdr:to>
    <xdr:sp macro="" textlink="">
      <xdr:nvSpPr>
        <xdr:cNvPr id="18" name="正方形/長方形 17"/>
        <xdr:cNvSpPr/>
      </xdr:nvSpPr>
      <xdr:spPr>
        <a:xfrm>
          <a:off x="10963835" y="42851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17930</xdr:colOff>
      <xdr:row>18</xdr:row>
      <xdr:rowOff>161365</xdr:rowOff>
    </xdr:from>
    <xdr:to>
      <xdr:col>46</xdr:col>
      <xdr:colOff>80682</xdr:colOff>
      <xdr:row>19</xdr:row>
      <xdr:rowOff>233083</xdr:rowOff>
    </xdr:to>
    <xdr:sp macro="" textlink="">
      <xdr:nvSpPr>
        <xdr:cNvPr id="19" name="正方形/長方形 18"/>
        <xdr:cNvSpPr/>
      </xdr:nvSpPr>
      <xdr:spPr>
        <a:xfrm>
          <a:off x="12326471" y="43030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251012</xdr:colOff>
      <xdr:row>18</xdr:row>
      <xdr:rowOff>152400</xdr:rowOff>
    </xdr:from>
    <xdr:to>
      <xdr:col>51</xdr:col>
      <xdr:colOff>35859</xdr:colOff>
      <xdr:row>19</xdr:row>
      <xdr:rowOff>224118</xdr:rowOff>
    </xdr:to>
    <xdr:sp macro="" textlink="">
      <xdr:nvSpPr>
        <xdr:cNvPr id="20" name="正方形/長方形 19"/>
        <xdr:cNvSpPr/>
      </xdr:nvSpPr>
      <xdr:spPr>
        <a:xfrm>
          <a:off x="13671177" y="42940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197224</xdr:colOff>
      <xdr:row>18</xdr:row>
      <xdr:rowOff>170329</xdr:rowOff>
    </xdr:from>
    <xdr:to>
      <xdr:col>55</xdr:col>
      <xdr:colOff>259976</xdr:colOff>
      <xdr:row>19</xdr:row>
      <xdr:rowOff>242047</xdr:rowOff>
    </xdr:to>
    <xdr:sp macro="" textlink="">
      <xdr:nvSpPr>
        <xdr:cNvPr id="21" name="正方形/長方形 20"/>
        <xdr:cNvSpPr/>
      </xdr:nvSpPr>
      <xdr:spPr>
        <a:xfrm>
          <a:off x="15006918" y="431202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59</xdr:col>
      <xdr:colOff>161364</xdr:colOff>
      <xdr:row>18</xdr:row>
      <xdr:rowOff>161365</xdr:rowOff>
    </xdr:from>
    <xdr:to>
      <xdr:col>60</xdr:col>
      <xdr:colOff>224117</xdr:colOff>
      <xdr:row>19</xdr:row>
      <xdr:rowOff>233083</xdr:rowOff>
    </xdr:to>
    <xdr:sp macro="" textlink="">
      <xdr:nvSpPr>
        <xdr:cNvPr id="22" name="正方形/長方形 21"/>
        <xdr:cNvSpPr/>
      </xdr:nvSpPr>
      <xdr:spPr>
        <a:xfrm>
          <a:off x="16360588" y="43030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170329</xdr:colOff>
      <xdr:row>22</xdr:row>
      <xdr:rowOff>161365</xdr:rowOff>
    </xdr:from>
    <xdr:to>
      <xdr:col>5</xdr:col>
      <xdr:colOff>233081</xdr:colOff>
      <xdr:row>23</xdr:row>
      <xdr:rowOff>233083</xdr:rowOff>
    </xdr:to>
    <xdr:sp macro="" textlink="">
      <xdr:nvSpPr>
        <xdr:cNvPr id="23" name="正方形/長方形 22"/>
        <xdr:cNvSpPr/>
      </xdr:nvSpPr>
      <xdr:spPr>
        <a:xfrm>
          <a:off x="1084729" y="53071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188259</xdr:colOff>
      <xdr:row>22</xdr:row>
      <xdr:rowOff>161365</xdr:rowOff>
    </xdr:from>
    <xdr:to>
      <xdr:col>10</xdr:col>
      <xdr:colOff>251011</xdr:colOff>
      <xdr:row>23</xdr:row>
      <xdr:rowOff>233083</xdr:rowOff>
    </xdr:to>
    <xdr:sp macro="" textlink="">
      <xdr:nvSpPr>
        <xdr:cNvPr id="24" name="正方形/長方形 23"/>
        <xdr:cNvSpPr/>
      </xdr:nvSpPr>
      <xdr:spPr>
        <a:xfrm>
          <a:off x="2492188" y="53071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80682</xdr:colOff>
      <xdr:row>21</xdr:row>
      <xdr:rowOff>62754</xdr:rowOff>
    </xdr:from>
    <xdr:to>
      <xdr:col>17</xdr:col>
      <xdr:colOff>143435</xdr:colOff>
      <xdr:row>22</xdr:row>
      <xdr:rowOff>134472</xdr:rowOff>
    </xdr:to>
    <xdr:sp macro="" textlink="">
      <xdr:nvSpPr>
        <xdr:cNvPr id="25" name="正方形/長方形 24"/>
        <xdr:cNvSpPr/>
      </xdr:nvSpPr>
      <xdr:spPr>
        <a:xfrm>
          <a:off x="4329953" y="49574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197223</xdr:colOff>
      <xdr:row>22</xdr:row>
      <xdr:rowOff>53788</xdr:rowOff>
    </xdr:from>
    <xdr:to>
      <xdr:col>12</xdr:col>
      <xdr:colOff>259975</xdr:colOff>
      <xdr:row>23</xdr:row>
      <xdr:rowOff>125506</xdr:rowOff>
    </xdr:to>
    <xdr:sp macro="" textlink="">
      <xdr:nvSpPr>
        <xdr:cNvPr id="26" name="正方形/長方形 25"/>
        <xdr:cNvSpPr/>
      </xdr:nvSpPr>
      <xdr:spPr>
        <a:xfrm>
          <a:off x="3056964" y="51995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125506</xdr:colOff>
      <xdr:row>22</xdr:row>
      <xdr:rowOff>44824</xdr:rowOff>
    </xdr:from>
    <xdr:to>
      <xdr:col>14</xdr:col>
      <xdr:colOff>188258</xdr:colOff>
      <xdr:row>23</xdr:row>
      <xdr:rowOff>116542</xdr:rowOff>
    </xdr:to>
    <xdr:sp macro="" textlink="">
      <xdr:nvSpPr>
        <xdr:cNvPr id="27" name="正方形/長方形 26"/>
        <xdr:cNvSpPr/>
      </xdr:nvSpPr>
      <xdr:spPr>
        <a:xfrm>
          <a:off x="3541059" y="51905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152399</xdr:colOff>
      <xdr:row>22</xdr:row>
      <xdr:rowOff>53789</xdr:rowOff>
    </xdr:from>
    <xdr:to>
      <xdr:col>16</xdr:col>
      <xdr:colOff>215151</xdr:colOff>
      <xdr:row>23</xdr:row>
      <xdr:rowOff>125507</xdr:rowOff>
    </xdr:to>
    <xdr:sp macro="" textlink="">
      <xdr:nvSpPr>
        <xdr:cNvPr id="28" name="正方形/長方形 27"/>
        <xdr:cNvSpPr/>
      </xdr:nvSpPr>
      <xdr:spPr>
        <a:xfrm>
          <a:off x="4123764" y="51995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197223</xdr:colOff>
      <xdr:row>23</xdr:row>
      <xdr:rowOff>125506</xdr:rowOff>
    </xdr:from>
    <xdr:to>
      <xdr:col>12</xdr:col>
      <xdr:colOff>259975</xdr:colOff>
      <xdr:row>24</xdr:row>
      <xdr:rowOff>197224</xdr:rowOff>
    </xdr:to>
    <xdr:sp macro="" textlink="">
      <xdr:nvSpPr>
        <xdr:cNvPr id="29" name="正方形/長方形 28"/>
        <xdr:cNvSpPr/>
      </xdr:nvSpPr>
      <xdr:spPr>
        <a:xfrm>
          <a:off x="3056964" y="55222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134469</xdr:colOff>
      <xdr:row>22</xdr:row>
      <xdr:rowOff>161365</xdr:rowOff>
    </xdr:from>
    <xdr:to>
      <xdr:col>26</xdr:col>
      <xdr:colOff>197222</xdr:colOff>
      <xdr:row>23</xdr:row>
      <xdr:rowOff>233083</xdr:rowOff>
    </xdr:to>
    <xdr:sp macro="" textlink="">
      <xdr:nvSpPr>
        <xdr:cNvPr id="30" name="正方形/長方形 29"/>
        <xdr:cNvSpPr/>
      </xdr:nvSpPr>
      <xdr:spPr>
        <a:xfrm>
          <a:off x="6884893" y="53071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35858</xdr:colOff>
      <xdr:row>22</xdr:row>
      <xdr:rowOff>179295</xdr:rowOff>
    </xdr:from>
    <xdr:to>
      <xdr:col>32</xdr:col>
      <xdr:colOff>98610</xdr:colOff>
      <xdr:row>24</xdr:row>
      <xdr:rowOff>1</xdr:rowOff>
    </xdr:to>
    <xdr:sp macro="" textlink="">
      <xdr:nvSpPr>
        <xdr:cNvPr id="31" name="正方形/長方形 30"/>
        <xdr:cNvSpPr/>
      </xdr:nvSpPr>
      <xdr:spPr>
        <a:xfrm>
          <a:off x="8453717" y="53250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206187</xdr:colOff>
      <xdr:row>22</xdr:row>
      <xdr:rowOff>170330</xdr:rowOff>
    </xdr:from>
    <xdr:to>
      <xdr:col>34</xdr:col>
      <xdr:colOff>268940</xdr:colOff>
      <xdr:row>23</xdr:row>
      <xdr:rowOff>242048</xdr:rowOff>
    </xdr:to>
    <xdr:sp macro="" textlink="">
      <xdr:nvSpPr>
        <xdr:cNvPr id="32" name="正方形/長方形 31"/>
        <xdr:cNvSpPr/>
      </xdr:nvSpPr>
      <xdr:spPr>
        <a:xfrm>
          <a:off x="9179858" y="53160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22</xdr:row>
      <xdr:rowOff>161365</xdr:rowOff>
    </xdr:from>
    <xdr:to>
      <xdr:col>39</xdr:col>
      <xdr:colOff>62752</xdr:colOff>
      <xdr:row>23</xdr:row>
      <xdr:rowOff>233083</xdr:rowOff>
    </xdr:to>
    <xdr:sp macro="" textlink="">
      <xdr:nvSpPr>
        <xdr:cNvPr id="33" name="正方形/長方形 32"/>
        <xdr:cNvSpPr/>
      </xdr:nvSpPr>
      <xdr:spPr>
        <a:xfrm>
          <a:off x="10363200" y="53071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170329</xdr:colOff>
      <xdr:row>22</xdr:row>
      <xdr:rowOff>170329</xdr:rowOff>
    </xdr:from>
    <xdr:to>
      <xdr:col>43</xdr:col>
      <xdr:colOff>233082</xdr:colOff>
      <xdr:row>23</xdr:row>
      <xdr:rowOff>242047</xdr:rowOff>
    </xdr:to>
    <xdr:sp macro="" textlink="">
      <xdr:nvSpPr>
        <xdr:cNvPr id="34" name="正方形/長方形 33"/>
        <xdr:cNvSpPr/>
      </xdr:nvSpPr>
      <xdr:spPr>
        <a:xfrm>
          <a:off x="11645153" y="531607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197223</xdr:colOff>
      <xdr:row>22</xdr:row>
      <xdr:rowOff>179294</xdr:rowOff>
    </xdr:from>
    <xdr:to>
      <xdr:col>47</xdr:col>
      <xdr:colOff>259975</xdr:colOff>
      <xdr:row>24</xdr:row>
      <xdr:rowOff>0</xdr:rowOff>
    </xdr:to>
    <xdr:sp macro="" textlink="">
      <xdr:nvSpPr>
        <xdr:cNvPr id="35" name="正方形/長方形 34"/>
        <xdr:cNvSpPr/>
      </xdr:nvSpPr>
      <xdr:spPr>
        <a:xfrm>
          <a:off x="12783670" y="532503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224118</xdr:colOff>
      <xdr:row>22</xdr:row>
      <xdr:rowOff>152400</xdr:rowOff>
    </xdr:from>
    <xdr:to>
      <xdr:col>53</xdr:col>
      <xdr:colOff>8964</xdr:colOff>
      <xdr:row>23</xdr:row>
      <xdr:rowOff>224118</xdr:rowOff>
    </xdr:to>
    <xdr:sp macro="" textlink="">
      <xdr:nvSpPr>
        <xdr:cNvPr id="36" name="正方形/長方形 35"/>
        <xdr:cNvSpPr/>
      </xdr:nvSpPr>
      <xdr:spPr>
        <a:xfrm>
          <a:off x="14200094" y="52981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268941</xdr:colOff>
      <xdr:row>22</xdr:row>
      <xdr:rowOff>179294</xdr:rowOff>
    </xdr:from>
    <xdr:to>
      <xdr:col>57</xdr:col>
      <xdr:colOff>53787</xdr:colOff>
      <xdr:row>24</xdr:row>
      <xdr:rowOff>0</xdr:rowOff>
    </xdr:to>
    <xdr:sp macro="" textlink="">
      <xdr:nvSpPr>
        <xdr:cNvPr id="37" name="正方形/長方形 36"/>
        <xdr:cNvSpPr/>
      </xdr:nvSpPr>
      <xdr:spPr>
        <a:xfrm>
          <a:off x="15356541" y="532503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215153</xdr:colOff>
      <xdr:row>21</xdr:row>
      <xdr:rowOff>26895</xdr:rowOff>
    </xdr:from>
    <xdr:to>
      <xdr:col>52</xdr:col>
      <xdr:colOff>277905</xdr:colOff>
      <xdr:row>22</xdr:row>
      <xdr:rowOff>98613</xdr:rowOff>
    </xdr:to>
    <xdr:sp macro="" textlink="">
      <xdr:nvSpPr>
        <xdr:cNvPr id="38" name="正方形/長方形 37"/>
        <xdr:cNvSpPr/>
      </xdr:nvSpPr>
      <xdr:spPr>
        <a:xfrm>
          <a:off x="14191129" y="4921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197223</xdr:colOff>
      <xdr:row>35</xdr:row>
      <xdr:rowOff>215154</xdr:rowOff>
    </xdr:from>
    <xdr:to>
      <xdr:col>43</xdr:col>
      <xdr:colOff>259976</xdr:colOff>
      <xdr:row>37</xdr:row>
      <xdr:rowOff>35860</xdr:rowOff>
    </xdr:to>
    <xdr:sp macro="" textlink="">
      <xdr:nvSpPr>
        <xdr:cNvPr id="39" name="正方形/長方形 38"/>
        <xdr:cNvSpPr/>
      </xdr:nvSpPr>
      <xdr:spPr>
        <a:xfrm>
          <a:off x="11672047" y="862404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206188</xdr:colOff>
      <xdr:row>37</xdr:row>
      <xdr:rowOff>107577</xdr:rowOff>
    </xdr:from>
    <xdr:to>
      <xdr:col>43</xdr:col>
      <xdr:colOff>268941</xdr:colOff>
      <xdr:row>38</xdr:row>
      <xdr:rowOff>179296</xdr:rowOff>
    </xdr:to>
    <xdr:sp macro="" textlink="">
      <xdr:nvSpPr>
        <xdr:cNvPr id="40" name="正方形/長方形 39"/>
        <xdr:cNvSpPr/>
      </xdr:nvSpPr>
      <xdr:spPr>
        <a:xfrm>
          <a:off x="11681012" y="90184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565550</xdr:colOff>
      <xdr:row>38</xdr:row>
      <xdr:rowOff>163128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1965070" cy="862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1" t="s">
        <v>0</v>
      </c>
      <c r="C2" s="144"/>
      <c r="D2" s="144"/>
      <c r="E2" s="144"/>
      <c r="F2" s="144"/>
      <c r="G2" s="144"/>
      <c r="H2" s="144" t="s">
        <v>17</v>
      </c>
      <c r="I2" s="144"/>
      <c r="J2" s="144"/>
      <c r="K2" s="144"/>
      <c r="L2" s="144" t="s">
        <v>472</v>
      </c>
      <c r="M2" s="144"/>
      <c r="N2" s="144"/>
      <c r="O2" s="144"/>
      <c r="P2" s="144"/>
      <c r="Q2" s="144"/>
      <c r="R2" s="144" t="s">
        <v>2</v>
      </c>
      <c r="S2" s="144"/>
      <c r="T2" s="144"/>
      <c r="U2" s="144"/>
      <c r="V2" s="144"/>
      <c r="W2" s="144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31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44" t="s">
        <v>5</v>
      </c>
      <c r="AY2" s="144"/>
      <c r="AZ2" s="144"/>
      <c r="BA2" s="144"/>
      <c r="BB2" s="144" t="s">
        <v>4</v>
      </c>
      <c r="BC2" s="144"/>
      <c r="BD2" s="144"/>
      <c r="BE2" s="144"/>
      <c r="BF2" s="144" t="s">
        <v>6</v>
      </c>
      <c r="BG2" s="144"/>
      <c r="BH2" s="144"/>
      <c r="BI2" s="144"/>
      <c r="BJ2" s="144" t="s">
        <v>7</v>
      </c>
      <c r="BK2" s="144"/>
      <c r="BL2" s="144"/>
      <c r="BM2" s="145"/>
      <c r="BN2" s="14"/>
    </row>
    <row r="3" spans="1:66" ht="20.100000000000001" customHeight="1" x14ac:dyDescent="0.45">
      <c r="A3" s="8"/>
      <c r="B3" s="159" t="s">
        <v>474</v>
      </c>
      <c r="C3" s="147"/>
      <c r="D3" s="147"/>
      <c r="E3" s="147"/>
      <c r="F3" s="147"/>
      <c r="G3" s="147"/>
      <c r="H3" s="147" t="str">
        <f ca="1">LEFT($X$3,FIND("_",$X$3)-1)</f>
        <v>SU0300</v>
      </c>
      <c r="I3" s="147"/>
      <c r="J3" s="147"/>
      <c r="K3" s="147"/>
      <c r="L3" s="147" t="s">
        <v>471</v>
      </c>
      <c r="M3" s="147"/>
      <c r="N3" s="147"/>
      <c r="O3" s="147"/>
      <c r="P3" s="147"/>
      <c r="Q3" s="147"/>
      <c r="R3" s="160" t="str">
        <f ca="1">MID($X$3,FIND("_",$X$3,FIND("_",$X$3)+1)+1,LEN($X$3)-FIND("_",$X$3,FIND("_",$X$3)+1))</f>
        <v>帳票設計書</v>
      </c>
      <c r="S3" s="147"/>
      <c r="T3" s="147"/>
      <c r="U3" s="147"/>
      <c r="V3" s="147"/>
      <c r="W3" s="147"/>
      <c r="X3" s="150" t="str">
        <f ca="1">REPLACE(LEFT(CELL("filename",$B$2),FIND(".x",CELL("filename",$B$2))-1),1,FIND("[",CELL("filename",$B$2)),)</f>
        <v>SU0300_売掛金元帳_帳票設計書</v>
      </c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2"/>
      <c r="AK3" s="150" t="str">
        <f ca="1">MID($X$3,FIND("_",$X$3)+1,FIND("_",$X$3,FIND("_",$X$3)+1)-FIND("_",$X$3)-1)</f>
        <v>売掛金元帳</v>
      </c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2"/>
      <c r="AX3" s="146">
        <v>45583</v>
      </c>
      <c r="AY3" s="147"/>
      <c r="AZ3" s="147"/>
      <c r="BA3" s="147"/>
      <c r="BB3" s="147" t="s">
        <v>473</v>
      </c>
      <c r="BC3" s="147"/>
      <c r="BD3" s="147"/>
      <c r="BE3" s="147"/>
      <c r="BF3" s="146">
        <v>45583</v>
      </c>
      <c r="BG3" s="147"/>
      <c r="BH3" s="147"/>
      <c r="BI3" s="147"/>
      <c r="BJ3" s="147" t="s">
        <v>473</v>
      </c>
      <c r="BK3" s="147"/>
      <c r="BL3" s="147"/>
      <c r="BM3" s="149"/>
      <c r="BN3" s="14"/>
    </row>
    <row r="4" spans="1:66" ht="20.100000000000001" customHeight="1" thickBot="1" x14ac:dyDescent="0.5">
      <c r="A4" s="8"/>
      <c r="B4" s="152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53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5"/>
      <c r="AK4" s="153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5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50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3" t="s">
        <v>8</v>
      </c>
      <c r="D8" s="143"/>
      <c r="E8" s="143"/>
      <c r="F8" s="143"/>
      <c r="G8" s="143" t="s">
        <v>9</v>
      </c>
      <c r="H8" s="143"/>
      <c r="I8" s="143"/>
      <c r="J8" s="143"/>
      <c r="K8" s="143" t="s">
        <v>10</v>
      </c>
      <c r="L8" s="143"/>
      <c r="M8" s="143"/>
      <c r="N8" s="143"/>
      <c r="O8" s="143" t="s">
        <v>11</v>
      </c>
      <c r="P8" s="143"/>
      <c r="Q8" s="143"/>
      <c r="R8" s="143"/>
      <c r="S8" s="143"/>
      <c r="T8" s="143"/>
      <c r="U8" s="143"/>
      <c r="V8" s="143"/>
      <c r="W8" s="143"/>
      <c r="X8" s="143"/>
      <c r="Y8" s="143" t="s">
        <v>12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7"/>
      <c r="BN8" s="14"/>
    </row>
    <row r="9" spans="1:66" ht="20.100000000000001" customHeight="1" x14ac:dyDescent="0.45">
      <c r="A9" s="8"/>
      <c r="B9" s="7"/>
      <c r="C9" s="142">
        <v>45583</v>
      </c>
      <c r="D9" s="140"/>
      <c r="E9" s="140"/>
      <c r="F9" s="141"/>
      <c r="G9" s="136" t="s">
        <v>16</v>
      </c>
      <c r="H9" s="137"/>
      <c r="I9" s="137"/>
      <c r="J9" s="138"/>
      <c r="K9" s="139" t="s">
        <v>473</v>
      </c>
      <c r="L9" s="140"/>
      <c r="M9" s="140"/>
      <c r="N9" s="14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2"/>
      <c r="D10" s="140"/>
      <c r="E10" s="140"/>
      <c r="F10" s="141"/>
      <c r="G10" s="136"/>
      <c r="H10" s="137"/>
      <c r="I10" s="137"/>
      <c r="J10" s="138"/>
      <c r="K10" s="139"/>
      <c r="L10" s="140"/>
      <c r="M10" s="140"/>
      <c r="N10" s="14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2"/>
      <c r="D11" s="140"/>
      <c r="E11" s="140"/>
      <c r="F11" s="141"/>
      <c r="G11" s="136"/>
      <c r="H11" s="137"/>
      <c r="I11" s="137"/>
      <c r="J11" s="138"/>
      <c r="K11" s="139"/>
      <c r="L11" s="140"/>
      <c r="M11" s="140"/>
      <c r="N11" s="14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2"/>
      <c r="D36" s="140"/>
      <c r="E36" s="140"/>
      <c r="F36" s="141"/>
      <c r="G36" s="136"/>
      <c r="H36" s="137"/>
      <c r="I36" s="137"/>
      <c r="J36" s="138"/>
      <c r="K36" s="139"/>
      <c r="L36" s="140"/>
      <c r="M36" s="140"/>
      <c r="N36" s="14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2"/>
      <c r="D37" s="140"/>
      <c r="E37" s="140"/>
      <c r="F37" s="141"/>
      <c r="G37" s="136"/>
      <c r="H37" s="137"/>
      <c r="I37" s="137"/>
      <c r="J37" s="138"/>
      <c r="K37" s="139"/>
      <c r="L37" s="140"/>
      <c r="M37" s="140"/>
      <c r="N37" s="14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2"/>
      <c r="D38" s="140"/>
      <c r="E38" s="140"/>
      <c r="F38" s="141"/>
      <c r="G38" s="136"/>
      <c r="H38" s="137"/>
      <c r="I38" s="137"/>
      <c r="J38" s="138"/>
      <c r="K38" s="139"/>
      <c r="L38" s="140"/>
      <c r="M38" s="140"/>
      <c r="N38" s="14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2"/>
      <c r="D39" s="140"/>
      <c r="E39" s="140"/>
      <c r="F39" s="141"/>
      <c r="G39" s="136"/>
      <c r="H39" s="137"/>
      <c r="I39" s="137"/>
      <c r="J39" s="138"/>
      <c r="K39" s="139"/>
      <c r="L39" s="140"/>
      <c r="M39" s="140"/>
      <c r="N39" s="14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2"/>
      <c r="D40" s="140"/>
      <c r="E40" s="140"/>
      <c r="F40" s="141"/>
      <c r="G40" s="136"/>
      <c r="H40" s="137"/>
      <c r="I40" s="137"/>
      <c r="J40" s="138"/>
      <c r="K40" s="139"/>
      <c r="L40" s="140"/>
      <c r="M40" s="140"/>
      <c r="N40" s="14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2"/>
      <c r="D41" s="140"/>
      <c r="E41" s="140"/>
      <c r="F41" s="141"/>
      <c r="G41" s="136"/>
      <c r="H41" s="137"/>
      <c r="I41" s="137"/>
      <c r="J41" s="138"/>
      <c r="K41" s="139"/>
      <c r="L41" s="140"/>
      <c r="M41" s="140"/>
      <c r="N41" s="14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2"/>
      <c r="D42" s="140"/>
      <c r="E42" s="140"/>
      <c r="F42" s="141"/>
      <c r="G42" s="136"/>
      <c r="H42" s="137"/>
      <c r="I42" s="137"/>
      <c r="J42" s="138"/>
      <c r="K42" s="139"/>
      <c r="L42" s="140"/>
      <c r="M42" s="140"/>
      <c r="N42" s="14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2"/>
      <c r="D43" s="140"/>
      <c r="E43" s="140"/>
      <c r="F43" s="141"/>
      <c r="G43" s="136"/>
      <c r="H43" s="137"/>
      <c r="I43" s="137"/>
      <c r="J43" s="138"/>
      <c r="K43" s="139"/>
      <c r="L43" s="140"/>
      <c r="M43" s="140"/>
      <c r="N43" s="14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2"/>
      <c r="D44" s="140"/>
      <c r="E44" s="140"/>
      <c r="F44" s="141"/>
      <c r="G44" s="136"/>
      <c r="H44" s="137"/>
      <c r="I44" s="137"/>
      <c r="J44" s="138"/>
      <c r="K44" s="139"/>
      <c r="L44" s="140"/>
      <c r="M44" s="140"/>
      <c r="N44" s="14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2"/>
      <c r="D45" s="140"/>
      <c r="E45" s="140"/>
      <c r="F45" s="141"/>
      <c r="G45" s="136"/>
      <c r="H45" s="137"/>
      <c r="I45" s="137"/>
      <c r="J45" s="138"/>
      <c r="K45" s="139"/>
      <c r="L45" s="140"/>
      <c r="M45" s="140"/>
      <c r="N45" s="14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2"/>
      <c r="D46" s="140"/>
      <c r="E46" s="140"/>
      <c r="F46" s="141"/>
      <c r="G46" s="136"/>
      <c r="H46" s="137"/>
      <c r="I46" s="137"/>
      <c r="J46" s="138"/>
      <c r="K46" s="139"/>
      <c r="L46" s="140"/>
      <c r="M46" s="140"/>
      <c r="N46" s="14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2"/>
      <c r="D47" s="140"/>
      <c r="E47" s="140"/>
      <c r="F47" s="141"/>
      <c r="G47" s="136"/>
      <c r="H47" s="137"/>
      <c r="I47" s="137"/>
      <c r="J47" s="138"/>
      <c r="K47" s="139"/>
      <c r="L47" s="140"/>
      <c r="M47" s="140"/>
      <c r="N47" s="14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1" t="s">
        <v>0</v>
      </c>
      <c r="C2" s="144"/>
      <c r="D2" s="144"/>
      <c r="E2" s="144"/>
      <c r="F2" s="144"/>
      <c r="G2" s="144"/>
      <c r="H2" s="144" t="s">
        <v>17</v>
      </c>
      <c r="I2" s="144"/>
      <c r="J2" s="144"/>
      <c r="K2" s="144"/>
      <c r="L2" s="144" t="s">
        <v>472</v>
      </c>
      <c r="M2" s="144"/>
      <c r="N2" s="144"/>
      <c r="O2" s="144"/>
      <c r="P2" s="144"/>
      <c r="Q2" s="144"/>
      <c r="R2" s="144" t="s">
        <v>2</v>
      </c>
      <c r="S2" s="144"/>
      <c r="T2" s="144"/>
      <c r="U2" s="144"/>
      <c r="V2" s="144"/>
      <c r="W2" s="144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44" t="s">
        <v>5</v>
      </c>
      <c r="AY2" s="144"/>
      <c r="AZ2" s="144"/>
      <c r="BA2" s="144"/>
      <c r="BB2" s="144" t="s">
        <v>4</v>
      </c>
      <c r="BC2" s="144"/>
      <c r="BD2" s="144"/>
      <c r="BE2" s="144"/>
      <c r="BF2" s="144" t="s">
        <v>6</v>
      </c>
      <c r="BG2" s="144"/>
      <c r="BH2" s="144"/>
      <c r="BI2" s="144"/>
      <c r="BJ2" s="144" t="s">
        <v>7</v>
      </c>
      <c r="BK2" s="144"/>
      <c r="BL2" s="144"/>
      <c r="BM2" s="145"/>
      <c r="BN2" s="35"/>
    </row>
    <row r="3" spans="1:66" ht="20.100000000000001" customHeight="1" x14ac:dyDescent="0.45">
      <c r="A3" s="32"/>
      <c r="B3" s="159" t="str">
        <f>変更履歴!B3</f>
        <v>受発注システム</v>
      </c>
      <c r="C3" s="147"/>
      <c r="D3" s="147"/>
      <c r="E3" s="147"/>
      <c r="F3" s="147"/>
      <c r="G3" s="147"/>
      <c r="H3" s="147" t="str">
        <f ca="1">変更履歴!H3</f>
        <v>SU0300</v>
      </c>
      <c r="I3" s="147"/>
      <c r="J3" s="147"/>
      <c r="K3" s="147"/>
      <c r="L3" s="147" t="str">
        <f>変更履歴!L3</f>
        <v>受発注</v>
      </c>
      <c r="M3" s="147"/>
      <c r="N3" s="147"/>
      <c r="O3" s="147"/>
      <c r="P3" s="147"/>
      <c r="Q3" s="147"/>
      <c r="R3" s="147" t="str">
        <f ca="1">変更履歴!R3</f>
        <v>帳票設計書</v>
      </c>
      <c r="S3" s="147"/>
      <c r="T3" s="147"/>
      <c r="U3" s="147"/>
      <c r="V3" s="147"/>
      <c r="W3" s="147"/>
      <c r="X3" s="150" t="str">
        <f ca="1">変更履歴!X3</f>
        <v>SU0300_売掛金元帳_帳票設計書</v>
      </c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2"/>
      <c r="AK3" s="150" t="str">
        <f ca="1">変更履歴!AK3</f>
        <v>売掛金元帳</v>
      </c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2"/>
      <c r="AX3" s="146">
        <f>変更履歴!AX3</f>
        <v>45583</v>
      </c>
      <c r="AY3" s="146"/>
      <c r="AZ3" s="146"/>
      <c r="BA3" s="146"/>
      <c r="BB3" s="147" t="str">
        <f>変更履歴!BB3</f>
        <v>大谷</v>
      </c>
      <c r="BC3" s="147"/>
      <c r="BD3" s="147"/>
      <c r="BE3" s="147"/>
      <c r="BF3" s="146">
        <f>変更履歴!BF3</f>
        <v>45583</v>
      </c>
      <c r="BG3" s="146"/>
      <c r="BH3" s="146"/>
      <c r="BI3" s="146"/>
      <c r="BJ3" s="147" t="str">
        <f>変更履歴!BJ3</f>
        <v>大谷</v>
      </c>
      <c r="BK3" s="147"/>
      <c r="BL3" s="147"/>
      <c r="BM3" s="149"/>
      <c r="BN3" s="35"/>
    </row>
    <row r="4" spans="1:66" ht="20.100000000000001" customHeight="1" thickBot="1" x14ac:dyDescent="0.5">
      <c r="A4" s="32"/>
      <c r="B4" s="152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53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5"/>
      <c r="AK4" s="153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5"/>
      <c r="AX4" s="162"/>
      <c r="AY4" s="162"/>
      <c r="AZ4" s="162"/>
      <c r="BA4" s="162"/>
      <c r="BB4" s="148"/>
      <c r="BC4" s="148"/>
      <c r="BD4" s="148"/>
      <c r="BE4" s="148"/>
      <c r="BF4" s="162"/>
      <c r="BG4" s="162"/>
      <c r="BH4" s="162"/>
      <c r="BI4" s="162"/>
      <c r="BJ4" s="148"/>
      <c r="BK4" s="148"/>
      <c r="BL4" s="148"/>
      <c r="BM4" s="150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売掛金元帳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470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59"/>
  <sheetViews>
    <sheetView showGridLines="0" view="pageBreakPreview" topLeftCell="A8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1" t="s">
        <v>0</v>
      </c>
      <c r="C2" s="144"/>
      <c r="D2" s="144"/>
      <c r="E2" s="144"/>
      <c r="F2" s="144"/>
      <c r="G2" s="144"/>
      <c r="H2" s="144" t="s">
        <v>17</v>
      </c>
      <c r="I2" s="144"/>
      <c r="J2" s="144"/>
      <c r="K2" s="144"/>
      <c r="L2" s="144" t="s">
        <v>472</v>
      </c>
      <c r="M2" s="144"/>
      <c r="N2" s="144"/>
      <c r="O2" s="144"/>
      <c r="P2" s="144"/>
      <c r="Q2" s="144"/>
      <c r="R2" s="144" t="s">
        <v>2</v>
      </c>
      <c r="S2" s="144"/>
      <c r="T2" s="144"/>
      <c r="U2" s="144"/>
      <c r="V2" s="144"/>
      <c r="W2" s="144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44" t="s">
        <v>5</v>
      </c>
      <c r="AY2" s="144"/>
      <c r="AZ2" s="144"/>
      <c r="BA2" s="144"/>
      <c r="BB2" s="144" t="s">
        <v>4</v>
      </c>
      <c r="BC2" s="144"/>
      <c r="BD2" s="144"/>
      <c r="BE2" s="144"/>
      <c r="BF2" s="144" t="s">
        <v>6</v>
      </c>
      <c r="BG2" s="144"/>
      <c r="BH2" s="144"/>
      <c r="BI2" s="144"/>
      <c r="BJ2" s="144" t="s">
        <v>7</v>
      </c>
      <c r="BK2" s="144"/>
      <c r="BL2" s="144"/>
      <c r="BM2" s="145"/>
      <c r="BN2" s="15"/>
    </row>
    <row r="3" spans="1:66" ht="20.100000000000001" customHeight="1" x14ac:dyDescent="0.45">
      <c r="A3" s="9"/>
      <c r="B3" s="159" t="str">
        <f>変更履歴!B3</f>
        <v>受発注システム</v>
      </c>
      <c r="C3" s="147"/>
      <c r="D3" s="147"/>
      <c r="E3" s="147"/>
      <c r="F3" s="147"/>
      <c r="G3" s="147"/>
      <c r="H3" s="147" t="str">
        <f ca="1">変更履歴!H3</f>
        <v>SU0300</v>
      </c>
      <c r="I3" s="147"/>
      <c r="J3" s="147"/>
      <c r="K3" s="147"/>
      <c r="L3" s="147" t="str">
        <f>変更履歴!L3</f>
        <v>受発注</v>
      </c>
      <c r="M3" s="147"/>
      <c r="N3" s="147"/>
      <c r="O3" s="147"/>
      <c r="P3" s="147"/>
      <c r="Q3" s="147"/>
      <c r="R3" s="147" t="str">
        <f ca="1">変更履歴!R3</f>
        <v>帳票設計書</v>
      </c>
      <c r="S3" s="147"/>
      <c r="T3" s="147"/>
      <c r="U3" s="147"/>
      <c r="V3" s="147"/>
      <c r="W3" s="147"/>
      <c r="X3" s="150" t="str">
        <f ca="1">変更履歴!X3</f>
        <v>SU0300_売掛金元帳_帳票設計書</v>
      </c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2"/>
      <c r="AK3" s="150" t="str">
        <f ca="1">変更履歴!AK3</f>
        <v>売掛金元帳</v>
      </c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2"/>
      <c r="AX3" s="146">
        <f>変更履歴!AX3</f>
        <v>45583</v>
      </c>
      <c r="AY3" s="146"/>
      <c r="AZ3" s="146"/>
      <c r="BA3" s="146"/>
      <c r="BB3" s="147" t="str">
        <f>変更履歴!BB3</f>
        <v>大谷</v>
      </c>
      <c r="BC3" s="147"/>
      <c r="BD3" s="147"/>
      <c r="BE3" s="147"/>
      <c r="BF3" s="146">
        <f>変更履歴!BF3</f>
        <v>45583</v>
      </c>
      <c r="BG3" s="146"/>
      <c r="BH3" s="146"/>
      <c r="BI3" s="146"/>
      <c r="BJ3" s="147" t="str">
        <f>変更履歴!BJ3</f>
        <v>大谷</v>
      </c>
      <c r="BK3" s="147"/>
      <c r="BL3" s="147"/>
      <c r="BM3" s="149"/>
      <c r="BN3" s="15"/>
    </row>
    <row r="4" spans="1:66" ht="20.100000000000001" customHeight="1" thickBot="1" x14ac:dyDescent="0.5">
      <c r="A4" s="9"/>
      <c r="B4" s="152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53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5"/>
      <c r="AK4" s="153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5"/>
      <c r="AX4" s="162"/>
      <c r="AY4" s="162"/>
      <c r="AZ4" s="162"/>
      <c r="BA4" s="162"/>
      <c r="BB4" s="148"/>
      <c r="BC4" s="148"/>
      <c r="BD4" s="148"/>
      <c r="BE4" s="148"/>
      <c r="BF4" s="162"/>
      <c r="BG4" s="162"/>
      <c r="BH4" s="162"/>
      <c r="BI4" s="162"/>
      <c r="BJ4" s="148"/>
      <c r="BK4" s="148"/>
      <c r="BL4" s="148"/>
      <c r="BM4" s="150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x14ac:dyDescent="0.45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5"/>
    </row>
    <row r="48" spans="1:66" ht="20.100000000000001" customHeight="1" x14ac:dyDescent="0.45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5"/>
    </row>
    <row r="49" spans="1:66" ht="20.100000000000001" customHeight="1" x14ac:dyDescent="0.45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5"/>
    </row>
    <row r="50" spans="1:66" ht="20.100000000000001" customHeight="1" x14ac:dyDescent="0.45">
      <c r="B50" s="3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2"/>
    </row>
    <row r="51" spans="1:66" ht="20.100000000000001" customHeight="1" x14ac:dyDescent="0.45">
      <c r="B51" s="3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2"/>
    </row>
    <row r="52" spans="1:66" ht="20.100000000000001" customHeight="1" x14ac:dyDescent="0.45">
      <c r="B52" s="3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2"/>
    </row>
    <row r="53" spans="1:66" ht="20.100000000000001" customHeight="1" x14ac:dyDescent="0.45">
      <c r="B53" s="35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2"/>
    </row>
    <row r="54" spans="1:66" ht="20.100000000000001" customHeight="1" x14ac:dyDescent="0.45">
      <c r="B54" s="35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2"/>
    </row>
    <row r="55" spans="1:66" ht="20.100000000000001" customHeight="1" x14ac:dyDescent="0.45">
      <c r="B55" s="35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2"/>
    </row>
    <row r="56" spans="1:66" ht="20.100000000000001" customHeight="1" x14ac:dyDescent="0.45">
      <c r="B56" s="35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2"/>
    </row>
    <row r="57" spans="1:66" ht="20.100000000000001" customHeight="1" x14ac:dyDescent="0.45">
      <c r="B57" s="35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2"/>
    </row>
    <row r="58" spans="1:66" ht="20.100000000000001" customHeight="1" thickBot="1" x14ac:dyDescent="0.5">
      <c r="B58" s="2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28"/>
    </row>
    <row r="59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71"/>
  <sheetViews>
    <sheetView showGridLines="0" tabSelected="1" view="pageBreakPreview" topLeftCell="A25" zoomScaleNormal="100" zoomScaleSheetLayoutView="100" workbookViewId="0">
      <selection activeCell="E12" sqref="E12:AA18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1" t="s">
        <v>0</v>
      </c>
      <c r="C2" s="144"/>
      <c r="D2" s="144"/>
      <c r="E2" s="144"/>
      <c r="F2" s="144"/>
      <c r="G2" s="144"/>
      <c r="H2" s="144" t="s">
        <v>17</v>
      </c>
      <c r="I2" s="144"/>
      <c r="J2" s="144"/>
      <c r="K2" s="144"/>
      <c r="L2" s="144" t="s">
        <v>472</v>
      </c>
      <c r="M2" s="144"/>
      <c r="N2" s="144"/>
      <c r="O2" s="144"/>
      <c r="P2" s="144"/>
      <c r="Q2" s="144"/>
      <c r="R2" s="144" t="s">
        <v>2</v>
      </c>
      <c r="S2" s="144"/>
      <c r="T2" s="144"/>
      <c r="U2" s="144"/>
      <c r="V2" s="144"/>
      <c r="W2" s="144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44" t="s">
        <v>5</v>
      </c>
      <c r="AY2" s="144"/>
      <c r="AZ2" s="144"/>
      <c r="BA2" s="144"/>
      <c r="BB2" s="144" t="s">
        <v>4</v>
      </c>
      <c r="BC2" s="144"/>
      <c r="BD2" s="144"/>
      <c r="BE2" s="144"/>
      <c r="BF2" s="144" t="s">
        <v>6</v>
      </c>
      <c r="BG2" s="144"/>
      <c r="BH2" s="144"/>
      <c r="BI2" s="144"/>
      <c r="BJ2" s="144" t="s">
        <v>7</v>
      </c>
      <c r="BK2" s="144"/>
      <c r="BL2" s="144"/>
      <c r="BM2" s="145"/>
      <c r="BN2" s="15"/>
    </row>
    <row r="3" spans="1:85" ht="20.100000000000001" customHeight="1" x14ac:dyDescent="0.45">
      <c r="A3" s="9"/>
      <c r="B3" s="159" t="str">
        <f>変更履歴!B3</f>
        <v>受発注システム</v>
      </c>
      <c r="C3" s="147"/>
      <c r="D3" s="147"/>
      <c r="E3" s="147"/>
      <c r="F3" s="147"/>
      <c r="G3" s="147"/>
      <c r="H3" s="147" t="str">
        <f ca="1">変更履歴!H3</f>
        <v>SU0300</v>
      </c>
      <c r="I3" s="147"/>
      <c r="J3" s="147"/>
      <c r="K3" s="147"/>
      <c r="L3" s="147" t="str">
        <f>変更履歴!L3</f>
        <v>受発注</v>
      </c>
      <c r="M3" s="147"/>
      <c r="N3" s="147"/>
      <c r="O3" s="147"/>
      <c r="P3" s="147"/>
      <c r="Q3" s="147"/>
      <c r="R3" s="147" t="str">
        <f ca="1">変更履歴!R3</f>
        <v>帳票設計書</v>
      </c>
      <c r="S3" s="147"/>
      <c r="T3" s="147"/>
      <c r="U3" s="147"/>
      <c r="V3" s="147"/>
      <c r="W3" s="147"/>
      <c r="X3" s="150" t="str">
        <f ca="1">変更履歴!X3</f>
        <v>SU0300_売掛金元帳_帳票設計書</v>
      </c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2"/>
      <c r="AK3" s="150" t="str">
        <f ca="1">変更履歴!AK3</f>
        <v>売掛金元帳</v>
      </c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2"/>
      <c r="AX3" s="146">
        <f>変更履歴!AX3</f>
        <v>45583</v>
      </c>
      <c r="AY3" s="146"/>
      <c r="AZ3" s="146"/>
      <c r="BA3" s="146"/>
      <c r="BB3" s="147" t="str">
        <f>変更履歴!BB3</f>
        <v>大谷</v>
      </c>
      <c r="BC3" s="147"/>
      <c r="BD3" s="147"/>
      <c r="BE3" s="147"/>
      <c r="BF3" s="146">
        <f>変更履歴!BF3</f>
        <v>45583</v>
      </c>
      <c r="BG3" s="146"/>
      <c r="BH3" s="146"/>
      <c r="BI3" s="146"/>
      <c r="BJ3" s="147" t="str">
        <f>変更履歴!BJ3</f>
        <v>大谷</v>
      </c>
      <c r="BK3" s="147"/>
      <c r="BL3" s="147"/>
      <c r="BM3" s="149"/>
      <c r="BN3" s="15"/>
    </row>
    <row r="4" spans="1:85" ht="20.100000000000001" customHeight="1" thickBot="1" x14ac:dyDescent="0.5">
      <c r="A4" s="9"/>
      <c r="B4" s="152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53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5"/>
      <c r="AK4" s="153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5"/>
      <c r="AX4" s="162"/>
      <c r="AY4" s="162"/>
      <c r="AZ4" s="162"/>
      <c r="BA4" s="162"/>
      <c r="BB4" s="148"/>
      <c r="BC4" s="148"/>
      <c r="BD4" s="148"/>
      <c r="BE4" s="148"/>
      <c r="BF4" s="162"/>
      <c r="BG4" s="162"/>
      <c r="BH4" s="162"/>
      <c r="BI4" s="162"/>
      <c r="BJ4" s="148"/>
      <c r="BK4" s="148"/>
      <c r="BL4" s="148"/>
      <c r="BM4" s="150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69" t="s">
        <v>20</v>
      </c>
      <c r="F10" s="170"/>
      <c r="G10" s="170"/>
      <c r="H10" s="170"/>
      <c r="I10" s="170"/>
      <c r="J10" s="170"/>
      <c r="K10" s="170"/>
      <c r="L10" s="171"/>
      <c r="M10" s="175" t="s">
        <v>24</v>
      </c>
      <c r="N10" s="176"/>
      <c r="O10" s="176"/>
      <c r="P10" s="175" t="s">
        <v>33</v>
      </c>
      <c r="Q10" s="176"/>
      <c r="R10" s="176"/>
      <c r="S10" s="175" t="s">
        <v>34</v>
      </c>
      <c r="T10" s="176"/>
      <c r="U10" s="176"/>
      <c r="V10" s="175" t="s">
        <v>36</v>
      </c>
      <c r="W10" s="176"/>
      <c r="X10" s="176"/>
      <c r="Y10" s="176"/>
      <c r="Z10" s="176"/>
      <c r="AA10" s="187"/>
      <c r="AB10" s="175" t="s">
        <v>35</v>
      </c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87"/>
      <c r="AR10" s="175" t="s">
        <v>42</v>
      </c>
      <c r="AS10" s="176"/>
      <c r="AT10" s="176"/>
      <c r="AU10" s="176"/>
      <c r="AV10" s="176"/>
      <c r="AW10" s="187"/>
      <c r="AX10" s="175" t="s">
        <v>43</v>
      </c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85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66" t="s">
        <v>109</v>
      </c>
      <c r="F11" s="167"/>
      <c r="G11" s="167"/>
      <c r="H11" s="167"/>
      <c r="I11" s="167"/>
      <c r="J11" s="167"/>
      <c r="K11" s="167"/>
      <c r="L11" s="168"/>
      <c r="M11" s="139" t="s">
        <v>8</v>
      </c>
      <c r="N11" s="140"/>
      <c r="O11" s="140"/>
      <c r="P11" s="139" t="s">
        <v>427</v>
      </c>
      <c r="Q11" s="140"/>
      <c r="R11" s="140"/>
      <c r="S11" s="139"/>
      <c r="T11" s="140"/>
      <c r="U11" s="140"/>
      <c r="V11" s="179" t="s">
        <v>412</v>
      </c>
      <c r="W11" s="180"/>
      <c r="X11" s="180"/>
      <c r="Y11" s="180"/>
      <c r="Z11" s="180"/>
      <c r="AA11" s="181"/>
      <c r="AB11" s="191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3"/>
      <c r="AR11" s="139" t="s">
        <v>456</v>
      </c>
      <c r="AS11" s="140"/>
      <c r="AT11" s="140"/>
      <c r="AU11" s="140"/>
      <c r="AV11" s="140"/>
      <c r="AW11" s="141"/>
      <c r="AX11" s="179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6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66" t="s">
        <v>110</v>
      </c>
      <c r="F12" s="167"/>
      <c r="G12" s="167"/>
      <c r="H12" s="167"/>
      <c r="I12" s="167"/>
      <c r="J12" s="167"/>
      <c r="K12" s="167"/>
      <c r="L12" s="168"/>
      <c r="M12" s="139" t="s">
        <v>47</v>
      </c>
      <c r="N12" s="140"/>
      <c r="O12" s="140"/>
      <c r="P12" s="139" t="s">
        <v>427</v>
      </c>
      <c r="Q12" s="140"/>
      <c r="R12" s="140"/>
      <c r="S12" s="139"/>
      <c r="T12" s="140"/>
      <c r="U12" s="140"/>
      <c r="V12" s="179" t="s">
        <v>405</v>
      </c>
      <c r="W12" s="180"/>
      <c r="X12" s="180"/>
      <c r="Y12" s="180"/>
      <c r="Z12" s="180"/>
      <c r="AA12" s="181"/>
      <c r="AB12" s="191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3"/>
      <c r="AR12" s="139" t="s">
        <v>457</v>
      </c>
      <c r="AS12" s="140"/>
      <c r="AT12" s="140"/>
      <c r="AU12" s="140"/>
      <c r="AV12" s="140"/>
      <c r="AW12" s="141"/>
      <c r="AX12" s="179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6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66" t="s">
        <v>111</v>
      </c>
      <c r="F13" s="167"/>
      <c r="G13" s="167"/>
      <c r="H13" s="167"/>
      <c r="I13" s="167"/>
      <c r="J13" s="167"/>
      <c r="K13" s="167"/>
      <c r="L13" s="168"/>
      <c r="M13" s="139" t="s">
        <v>38</v>
      </c>
      <c r="N13" s="140"/>
      <c r="O13" s="140"/>
      <c r="P13" s="139" t="s">
        <v>428</v>
      </c>
      <c r="Q13" s="140"/>
      <c r="R13" s="140"/>
      <c r="S13" s="139"/>
      <c r="T13" s="140"/>
      <c r="U13" s="140"/>
      <c r="V13" s="179" t="s">
        <v>406</v>
      </c>
      <c r="W13" s="180"/>
      <c r="X13" s="180"/>
      <c r="Y13" s="180"/>
      <c r="Z13" s="180"/>
      <c r="AA13" s="181"/>
      <c r="AB13" s="191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3"/>
      <c r="AR13" s="139"/>
      <c r="AS13" s="140"/>
      <c r="AT13" s="140"/>
      <c r="AU13" s="140"/>
      <c r="AV13" s="140"/>
      <c r="AW13" s="141"/>
      <c r="AX13" s="179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6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66" t="s">
        <v>112</v>
      </c>
      <c r="F14" s="167"/>
      <c r="G14" s="167"/>
      <c r="H14" s="167"/>
      <c r="I14" s="167"/>
      <c r="J14" s="167"/>
      <c r="K14" s="167"/>
      <c r="L14" s="168"/>
      <c r="M14" s="139" t="s">
        <v>38</v>
      </c>
      <c r="N14" s="140"/>
      <c r="O14" s="140"/>
      <c r="P14" s="139" t="s">
        <v>428</v>
      </c>
      <c r="Q14" s="140"/>
      <c r="R14" s="140"/>
      <c r="S14" s="139"/>
      <c r="T14" s="140"/>
      <c r="U14" s="140"/>
      <c r="V14" s="179" t="s">
        <v>407</v>
      </c>
      <c r="W14" s="180"/>
      <c r="X14" s="180"/>
      <c r="Y14" s="180"/>
      <c r="Z14" s="180"/>
      <c r="AA14" s="181"/>
      <c r="AB14" s="191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3"/>
      <c r="AR14" s="139"/>
      <c r="AS14" s="140"/>
      <c r="AT14" s="140"/>
      <c r="AU14" s="140"/>
      <c r="AV14" s="140"/>
      <c r="AW14" s="141"/>
      <c r="AX14" s="179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6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66" t="s">
        <v>113</v>
      </c>
      <c r="F15" s="167"/>
      <c r="G15" s="167"/>
      <c r="H15" s="167"/>
      <c r="I15" s="167"/>
      <c r="J15" s="167"/>
      <c r="K15" s="167"/>
      <c r="L15" s="168"/>
      <c r="M15" s="139" t="s">
        <v>38</v>
      </c>
      <c r="N15" s="140"/>
      <c r="O15" s="140"/>
      <c r="P15" s="139" t="s">
        <v>428</v>
      </c>
      <c r="Q15" s="140"/>
      <c r="R15" s="140"/>
      <c r="S15" s="139"/>
      <c r="T15" s="140"/>
      <c r="U15" s="140"/>
      <c r="V15" s="179" t="s">
        <v>409</v>
      </c>
      <c r="W15" s="180"/>
      <c r="X15" s="180"/>
      <c r="Y15" s="180"/>
      <c r="Z15" s="180"/>
      <c r="AA15" s="181"/>
      <c r="AB15" s="191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3"/>
      <c r="AR15" s="139"/>
      <c r="AS15" s="140"/>
      <c r="AT15" s="140"/>
      <c r="AU15" s="140"/>
      <c r="AV15" s="140"/>
      <c r="AW15" s="141"/>
      <c r="AX15" s="179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6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66" t="s">
        <v>114</v>
      </c>
      <c r="F16" s="167"/>
      <c r="G16" s="167"/>
      <c r="H16" s="167"/>
      <c r="I16" s="167"/>
      <c r="J16" s="167"/>
      <c r="K16" s="167"/>
      <c r="L16" s="168"/>
      <c r="M16" s="139" t="s">
        <v>38</v>
      </c>
      <c r="N16" s="140"/>
      <c r="O16" s="140"/>
      <c r="P16" s="139" t="s">
        <v>428</v>
      </c>
      <c r="Q16" s="140"/>
      <c r="R16" s="140"/>
      <c r="S16" s="139"/>
      <c r="T16" s="140"/>
      <c r="U16" s="140"/>
      <c r="V16" s="179" t="s">
        <v>408</v>
      </c>
      <c r="W16" s="180"/>
      <c r="X16" s="180"/>
      <c r="Y16" s="180"/>
      <c r="Z16" s="180"/>
      <c r="AA16" s="181"/>
      <c r="AB16" s="191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3"/>
      <c r="AR16" s="139"/>
      <c r="AS16" s="140"/>
      <c r="AT16" s="140"/>
      <c r="AU16" s="140"/>
      <c r="AV16" s="140"/>
      <c r="AW16" s="141"/>
      <c r="AX16" s="179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6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66" t="s">
        <v>115</v>
      </c>
      <c r="F17" s="167"/>
      <c r="G17" s="167"/>
      <c r="H17" s="167"/>
      <c r="I17" s="167"/>
      <c r="J17" s="167"/>
      <c r="K17" s="167"/>
      <c r="L17" s="168"/>
      <c r="M17" s="139" t="s">
        <v>47</v>
      </c>
      <c r="N17" s="140"/>
      <c r="O17" s="140"/>
      <c r="P17" s="139" t="s">
        <v>427</v>
      </c>
      <c r="Q17" s="140"/>
      <c r="R17" s="140"/>
      <c r="S17" s="139"/>
      <c r="T17" s="140"/>
      <c r="U17" s="140"/>
      <c r="V17" s="179" t="s">
        <v>410</v>
      </c>
      <c r="W17" s="180"/>
      <c r="X17" s="180"/>
      <c r="Y17" s="180"/>
      <c r="Z17" s="180"/>
      <c r="AA17" s="181"/>
      <c r="AB17" s="191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3"/>
      <c r="AR17" s="139"/>
      <c r="AS17" s="140"/>
      <c r="AT17" s="140"/>
      <c r="AU17" s="140"/>
      <c r="AV17" s="140"/>
      <c r="AW17" s="141"/>
      <c r="AX17" s="179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6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66" t="s">
        <v>116</v>
      </c>
      <c r="F18" s="167"/>
      <c r="G18" s="167"/>
      <c r="H18" s="167"/>
      <c r="I18" s="167"/>
      <c r="J18" s="167"/>
      <c r="K18" s="167"/>
      <c r="L18" s="168"/>
      <c r="M18" s="139" t="s">
        <v>47</v>
      </c>
      <c r="N18" s="140"/>
      <c r="O18" s="140"/>
      <c r="P18" s="139" t="s">
        <v>427</v>
      </c>
      <c r="Q18" s="140"/>
      <c r="R18" s="140"/>
      <c r="S18" s="139"/>
      <c r="T18" s="140"/>
      <c r="U18" s="140"/>
      <c r="V18" s="179" t="s">
        <v>411</v>
      </c>
      <c r="W18" s="180"/>
      <c r="X18" s="180"/>
      <c r="Y18" s="180"/>
      <c r="Z18" s="180"/>
      <c r="AA18" s="181"/>
      <c r="AB18" s="191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3"/>
      <c r="AR18" s="139" t="s">
        <v>458</v>
      </c>
      <c r="AS18" s="140"/>
      <c r="AT18" s="140"/>
      <c r="AU18" s="140"/>
      <c r="AV18" s="140"/>
      <c r="AW18" s="141"/>
      <c r="AX18" s="179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6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135">
        <v>9</v>
      </c>
      <c r="E19" s="172" t="s">
        <v>117</v>
      </c>
      <c r="F19" s="173"/>
      <c r="G19" s="173"/>
      <c r="H19" s="173"/>
      <c r="I19" s="173"/>
      <c r="J19" s="173"/>
      <c r="K19" s="173"/>
      <c r="L19" s="174"/>
      <c r="M19" s="177" t="s">
        <v>8</v>
      </c>
      <c r="N19" s="178"/>
      <c r="O19" s="178"/>
      <c r="P19" s="177" t="s">
        <v>427</v>
      </c>
      <c r="Q19" s="178"/>
      <c r="R19" s="178"/>
      <c r="S19" s="177"/>
      <c r="T19" s="178"/>
      <c r="U19" s="178"/>
      <c r="V19" s="182" t="s">
        <v>414</v>
      </c>
      <c r="W19" s="183"/>
      <c r="X19" s="183"/>
      <c r="Y19" s="183"/>
      <c r="Z19" s="183"/>
      <c r="AA19" s="184"/>
      <c r="AB19" s="182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4"/>
      <c r="AR19" s="177"/>
      <c r="AS19" s="178"/>
      <c r="AT19" s="178"/>
      <c r="AU19" s="178"/>
      <c r="AV19" s="178"/>
      <c r="AW19" s="201"/>
      <c r="AX19" s="182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3"/>
      <c r="BR19" s="183"/>
      <c r="BS19" s="183"/>
      <c r="BT19" s="190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135">
        <v>10</v>
      </c>
      <c r="E20" s="172" t="s">
        <v>118</v>
      </c>
      <c r="F20" s="173"/>
      <c r="G20" s="173"/>
      <c r="H20" s="173"/>
      <c r="I20" s="173"/>
      <c r="J20" s="173"/>
      <c r="K20" s="173"/>
      <c r="L20" s="174"/>
      <c r="M20" s="177" t="s">
        <v>8</v>
      </c>
      <c r="N20" s="178"/>
      <c r="O20" s="178"/>
      <c r="P20" s="177" t="s">
        <v>427</v>
      </c>
      <c r="Q20" s="178"/>
      <c r="R20" s="178"/>
      <c r="S20" s="177"/>
      <c r="T20" s="178"/>
      <c r="U20" s="178"/>
      <c r="V20" s="182" t="s">
        <v>414</v>
      </c>
      <c r="W20" s="183"/>
      <c r="X20" s="183"/>
      <c r="Y20" s="183"/>
      <c r="Z20" s="183"/>
      <c r="AA20" s="184"/>
      <c r="AB20" s="182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4"/>
      <c r="AR20" s="177"/>
      <c r="AS20" s="178"/>
      <c r="AT20" s="178"/>
      <c r="AU20" s="178"/>
      <c r="AV20" s="178"/>
      <c r="AW20" s="201"/>
      <c r="AX20" s="182"/>
      <c r="AY20" s="183"/>
      <c r="AZ20" s="183"/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3"/>
      <c r="BR20" s="183"/>
      <c r="BS20" s="183"/>
      <c r="BT20" s="190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66" t="s">
        <v>119</v>
      </c>
      <c r="F21" s="167"/>
      <c r="G21" s="167"/>
      <c r="H21" s="167"/>
      <c r="I21" s="167"/>
      <c r="J21" s="167"/>
      <c r="K21" s="167"/>
      <c r="L21" s="168"/>
      <c r="M21" s="139" t="s">
        <v>47</v>
      </c>
      <c r="N21" s="140"/>
      <c r="O21" s="140"/>
      <c r="P21" s="139" t="s">
        <v>427</v>
      </c>
      <c r="Q21" s="140"/>
      <c r="R21" s="140"/>
      <c r="S21" s="139"/>
      <c r="T21" s="140"/>
      <c r="U21" s="140"/>
      <c r="V21" s="179" t="s">
        <v>415</v>
      </c>
      <c r="W21" s="180"/>
      <c r="X21" s="180"/>
      <c r="Y21" s="180"/>
      <c r="Z21" s="180"/>
      <c r="AA21" s="181"/>
      <c r="AB21" s="191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3"/>
      <c r="AR21" s="200">
        <v>9999</v>
      </c>
      <c r="AS21" s="140"/>
      <c r="AT21" s="140"/>
      <c r="AU21" s="140"/>
      <c r="AV21" s="140"/>
      <c r="AW21" s="141"/>
      <c r="AX21" s="179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6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66" t="s">
        <v>120</v>
      </c>
      <c r="F22" s="167"/>
      <c r="G22" s="167"/>
      <c r="H22" s="167"/>
      <c r="I22" s="167"/>
      <c r="J22" s="167"/>
      <c r="K22" s="167"/>
      <c r="L22" s="168"/>
      <c r="M22" s="139" t="s">
        <v>47</v>
      </c>
      <c r="N22" s="140"/>
      <c r="O22" s="140"/>
      <c r="P22" s="139" t="s">
        <v>427</v>
      </c>
      <c r="Q22" s="140"/>
      <c r="R22" s="140"/>
      <c r="S22" s="139"/>
      <c r="T22" s="140"/>
      <c r="U22" s="140"/>
      <c r="V22" s="179" t="s">
        <v>416</v>
      </c>
      <c r="W22" s="180"/>
      <c r="X22" s="180"/>
      <c r="Y22" s="180"/>
      <c r="Z22" s="180"/>
      <c r="AA22" s="181"/>
      <c r="AB22" s="191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3"/>
      <c r="AR22" s="200">
        <v>9999</v>
      </c>
      <c r="AS22" s="140"/>
      <c r="AT22" s="140"/>
      <c r="AU22" s="140"/>
      <c r="AV22" s="140"/>
      <c r="AW22" s="141"/>
      <c r="AX22" s="179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6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66" t="s">
        <v>121</v>
      </c>
      <c r="F23" s="167"/>
      <c r="G23" s="167"/>
      <c r="H23" s="167"/>
      <c r="I23" s="167"/>
      <c r="J23" s="167"/>
      <c r="K23" s="167"/>
      <c r="L23" s="168"/>
      <c r="M23" s="139" t="s">
        <v>47</v>
      </c>
      <c r="N23" s="140"/>
      <c r="O23" s="140"/>
      <c r="P23" s="139" t="s">
        <v>427</v>
      </c>
      <c r="Q23" s="140"/>
      <c r="R23" s="140"/>
      <c r="S23" s="139"/>
      <c r="T23" s="140"/>
      <c r="U23" s="140"/>
      <c r="V23" s="179" t="s">
        <v>417</v>
      </c>
      <c r="W23" s="180"/>
      <c r="X23" s="180"/>
      <c r="Y23" s="180"/>
      <c r="Z23" s="180"/>
      <c r="AA23" s="181"/>
      <c r="AB23" s="191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3"/>
      <c r="AR23" s="200">
        <v>9999</v>
      </c>
      <c r="AS23" s="140"/>
      <c r="AT23" s="140"/>
      <c r="AU23" s="140"/>
      <c r="AV23" s="140"/>
      <c r="AW23" s="141"/>
      <c r="AX23" s="179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6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66" t="s">
        <v>122</v>
      </c>
      <c r="F24" s="167"/>
      <c r="G24" s="167"/>
      <c r="H24" s="167"/>
      <c r="I24" s="167"/>
      <c r="J24" s="167"/>
      <c r="K24" s="167"/>
      <c r="L24" s="168"/>
      <c r="M24" s="139" t="s">
        <v>47</v>
      </c>
      <c r="N24" s="140"/>
      <c r="O24" s="140"/>
      <c r="P24" s="139" t="s">
        <v>427</v>
      </c>
      <c r="Q24" s="140"/>
      <c r="R24" s="140"/>
      <c r="S24" s="139"/>
      <c r="T24" s="140"/>
      <c r="U24" s="140"/>
      <c r="V24" s="179" t="s">
        <v>424</v>
      </c>
      <c r="W24" s="180"/>
      <c r="X24" s="180"/>
      <c r="Y24" s="180"/>
      <c r="Z24" s="180"/>
      <c r="AA24" s="181"/>
      <c r="AB24" s="191" t="s">
        <v>423</v>
      </c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3"/>
      <c r="AR24" s="200">
        <v>9999</v>
      </c>
      <c r="AS24" s="140"/>
      <c r="AT24" s="140"/>
      <c r="AU24" s="140"/>
      <c r="AV24" s="140"/>
      <c r="AW24" s="141"/>
      <c r="AX24" s="179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6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66" t="s">
        <v>123</v>
      </c>
      <c r="F25" s="167"/>
      <c r="G25" s="167"/>
      <c r="H25" s="167"/>
      <c r="I25" s="167"/>
      <c r="J25" s="167"/>
      <c r="K25" s="167"/>
      <c r="L25" s="168"/>
      <c r="M25" s="139" t="s">
        <v>47</v>
      </c>
      <c r="N25" s="140"/>
      <c r="O25" s="140"/>
      <c r="P25" s="139" t="s">
        <v>427</v>
      </c>
      <c r="Q25" s="140"/>
      <c r="R25" s="140"/>
      <c r="S25" s="139"/>
      <c r="T25" s="140"/>
      <c r="U25" s="140"/>
      <c r="V25" s="179" t="s">
        <v>418</v>
      </c>
      <c r="W25" s="180"/>
      <c r="X25" s="180"/>
      <c r="Y25" s="180"/>
      <c r="Z25" s="180"/>
      <c r="AA25" s="181"/>
      <c r="AB25" s="191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3"/>
      <c r="AR25" s="200">
        <v>9999</v>
      </c>
      <c r="AS25" s="140"/>
      <c r="AT25" s="140"/>
      <c r="AU25" s="140"/>
      <c r="AV25" s="140"/>
      <c r="AW25" s="141"/>
      <c r="AX25" s="179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6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66" t="s">
        <v>124</v>
      </c>
      <c r="F26" s="167"/>
      <c r="G26" s="167"/>
      <c r="H26" s="167"/>
      <c r="I26" s="167"/>
      <c r="J26" s="167"/>
      <c r="K26" s="167"/>
      <c r="L26" s="168"/>
      <c r="M26" s="139" t="s">
        <v>47</v>
      </c>
      <c r="N26" s="140"/>
      <c r="O26" s="140"/>
      <c r="P26" s="139" t="s">
        <v>427</v>
      </c>
      <c r="Q26" s="140"/>
      <c r="R26" s="140"/>
      <c r="S26" s="139"/>
      <c r="T26" s="140"/>
      <c r="U26" s="140"/>
      <c r="V26" s="179" t="s">
        <v>419</v>
      </c>
      <c r="W26" s="180"/>
      <c r="X26" s="180"/>
      <c r="Y26" s="180"/>
      <c r="Z26" s="180"/>
      <c r="AA26" s="181"/>
      <c r="AB26" s="191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3"/>
      <c r="AR26" s="200">
        <v>9999</v>
      </c>
      <c r="AS26" s="140"/>
      <c r="AT26" s="140"/>
      <c r="AU26" s="140"/>
      <c r="AV26" s="140"/>
      <c r="AW26" s="141"/>
      <c r="AX26" s="179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  <c r="BQ26" s="180"/>
      <c r="BR26" s="180"/>
      <c r="BS26" s="180"/>
      <c r="BT26" s="186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66" t="s">
        <v>125</v>
      </c>
      <c r="F27" s="167"/>
      <c r="G27" s="167"/>
      <c r="H27" s="167"/>
      <c r="I27" s="167"/>
      <c r="J27" s="167"/>
      <c r="K27" s="167"/>
      <c r="L27" s="168"/>
      <c r="M27" s="139" t="s">
        <v>47</v>
      </c>
      <c r="N27" s="140"/>
      <c r="O27" s="140"/>
      <c r="P27" s="139" t="s">
        <v>427</v>
      </c>
      <c r="Q27" s="140"/>
      <c r="R27" s="140"/>
      <c r="S27" s="139"/>
      <c r="T27" s="140"/>
      <c r="U27" s="140"/>
      <c r="V27" s="179" t="s">
        <v>420</v>
      </c>
      <c r="W27" s="180"/>
      <c r="X27" s="180"/>
      <c r="Y27" s="180"/>
      <c r="Z27" s="180"/>
      <c r="AA27" s="181"/>
      <c r="AB27" s="191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3"/>
      <c r="AR27" s="200">
        <v>9999</v>
      </c>
      <c r="AS27" s="140"/>
      <c r="AT27" s="140"/>
      <c r="AU27" s="140"/>
      <c r="AV27" s="140"/>
      <c r="AW27" s="141"/>
      <c r="AX27" s="179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0"/>
      <c r="BT27" s="186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66" t="s">
        <v>126</v>
      </c>
      <c r="F28" s="167"/>
      <c r="G28" s="167"/>
      <c r="H28" s="167"/>
      <c r="I28" s="167"/>
      <c r="J28" s="167"/>
      <c r="K28" s="167"/>
      <c r="L28" s="168"/>
      <c r="M28" s="139" t="s">
        <v>47</v>
      </c>
      <c r="N28" s="140"/>
      <c r="O28" s="140"/>
      <c r="P28" s="139" t="s">
        <v>427</v>
      </c>
      <c r="Q28" s="140"/>
      <c r="R28" s="140"/>
      <c r="S28" s="139"/>
      <c r="T28" s="140"/>
      <c r="U28" s="140"/>
      <c r="V28" s="179" t="s">
        <v>421</v>
      </c>
      <c r="W28" s="180"/>
      <c r="X28" s="180"/>
      <c r="Y28" s="180"/>
      <c r="Z28" s="180"/>
      <c r="AA28" s="181"/>
      <c r="AB28" s="191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3"/>
      <c r="AR28" s="200">
        <v>9999</v>
      </c>
      <c r="AS28" s="140"/>
      <c r="AT28" s="140"/>
      <c r="AU28" s="140"/>
      <c r="AV28" s="140"/>
      <c r="AW28" s="141"/>
      <c r="AX28" s="179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6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66" t="s">
        <v>127</v>
      </c>
      <c r="F29" s="167"/>
      <c r="G29" s="167"/>
      <c r="H29" s="167"/>
      <c r="I29" s="167"/>
      <c r="J29" s="167"/>
      <c r="K29" s="167"/>
      <c r="L29" s="168"/>
      <c r="M29" s="139" t="s">
        <v>47</v>
      </c>
      <c r="N29" s="140"/>
      <c r="O29" s="140"/>
      <c r="P29" s="139" t="s">
        <v>427</v>
      </c>
      <c r="Q29" s="140"/>
      <c r="R29" s="140"/>
      <c r="S29" s="139"/>
      <c r="T29" s="140"/>
      <c r="U29" s="140"/>
      <c r="V29" s="179" t="s">
        <v>426</v>
      </c>
      <c r="W29" s="180"/>
      <c r="X29" s="180"/>
      <c r="Y29" s="180"/>
      <c r="Z29" s="180"/>
      <c r="AA29" s="181"/>
      <c r="AB29" s="191" t="s">
        <v>425</v>
      </c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3"/>
      <c r="AR29" s="200">
        <v>9999</v>
      </c>
      <c r="AS29" s="140"/>
      <c r="AT29" s="140"/>
      <c r="AU29" s="140"/>
      <c r="AV29" s="140"/>
      <c r="AW29" s="141"/>
      <c r="AX29" s="179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6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163" t="s">
        <v>128</v>
      </c>
      <c r="F30" s="164"/>
      <c r="G30" s="164"/>
      <c r="H30" s="164"/>
      <c r="I30" s="164"/>
      <c r="J30" s="164"/>
      <c r="K30" s="164"/>
      <c r="L30" s="165"/>
      <c r="M30" s="139" t="s">
        <v>47</v>
      </c>
      <c r="N30" s="140"/>
      <c r="O30" s="140"/>
      <c r="P30" s="139" t="s">
        <v>427</v>
      </c>
      <c r="Q30" s="140"/>
      <c r="R30" s="140"/>
      <c r="S30" s="188"/>
      <c r="T30" s="189"/>
      <c r="U30" s="189"/>
      <c r="V30" s="179" t="s">
        <v>422</v>
      </c>
      <c r="W30" s="180"/>
      <c r="X30" s="180"/>
      <c r="Y30" s="180"/>
      <c r="Z30" s="180"/>
      <c r="AA30" s="181"/>
      <c r="AB30" s="194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6"/>
      <c r="AR30" s="200">
        <v>9999</v>
      </c>
      <c r="AS30" s="140"/>
      <c r="AT30" s="140"/>
      <c r="AU30" s="140"/>
      <c r="AV30" s="140"/>
      <c r="AW30" s="141"/>
      <c r="AX30" s="197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9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30"/>
      <c r="B31" s="44"/>
      <c r="C31" s="30"/>
      <c r="D31" s="37">
        <v>21</v>
      </c>
      <c r="E31" s="166" t="s">
        <v>129</v>
      </c>
      <c r="F31" s="167"/>
      <c r="G31" s="167"/>
      <c r="H31" s="167"/>
      <c r="I31" s="167"/>
      <c r="J31" s="167"/>
      <c r="K31" s="167"/>
      <c r="L31" s="168"/>
      <c r="M31" s="139" t="s">
        <v>8</v>
      </c>
      <c r="N31" s="140"/>
      <c r="O31" s="140"/>
      <c r="P31" s="139" t="s">
        <v>427</v>
      </c>
      <c r="Q31" s="140"/>
      <c r="R31" s="140"/>
      <c r="S31" s="139"/>
      <c r="T31" s="140"/>
      <c r="U31" s="140"/>
      <c r="V31" s="179" t="s">
        <v>430</v>
      </c>
      <c r="W31" s="180"/>
      <c r="X31" s="180"/>
      <c r="Y31" s="180"/>
      <c r="Z31" s="180"/>
      <c r="AA31" s="181"/>
      <c r="AB31" s="191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3"/>
      <c r="AR31" s="139" t="s">
        <v>459</v>
      </c>
      <c r="AS31" s="140"/>
      <c r="AT31" s="140"/>
      <c r="AU31" s="140"/>
      <c r="AV31" s="140"/>
      <c r="AW31" s="141"/>
      <c r="AX31" s="179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6"/>
      <c r="BU31" s="41"/>
      <c r="BV31" s="40"/>
      <c r="BW31" s="41"/>
      <c r="BX31" s="41"/>
      <c r="BY31" s="41"/>
      <c r="BZ31" s="41"/>
      <c r="CA31" s="41"/>
      <c r="CB31" s="41"/>
      <c r="CC31" s="30"/>
      <c r="CD31" s="30"/>
      <c r="CE31" s="30"/>
      <c r="CF31" s="30"/>
      <c r="CG31" s="30"/>
    </row>
    <row r="32" spans="1:85" s="5" customFormat="1" ht="20.100000000000001" customHeight="1" x14ac:dyDescent="0.45">
      <c r="A32" s="30"/>
      <c r="B32" s="44"/>
      <c r="C32" s="29"/>
      <c r="D32" s="37">
        <v>22</v>
      </c>
      <c r="E32" s="166" t="s">
        <v>130</v>
      </c>
      <c r="F32" s="167"/>
      <c r="G32" s="167"/>
      <c r="H32" s="167"/>
      <c r="I32" s="167"/>
      <c r="J32" s="167"/>
      <c r="K32" s="167"/>
      <c r="L32" s="168"/>
      <c r="M32" s="139" t="s">
        <v>47</v>
      </c>
      <c r="N32" s="140"/>
      <c r="O32" s="140"/>
      <c r="P32" s="139" t="s">
        <v>427</v>
      </c>
      <c r="Q32" s="140"/>
      <c r="R32" s="140"/>
      <c r="S32" s="139"/>
      <c r="T32" s="140"/>
      <c r="U32" s="140"/>
      <c r="V32" s="179" t="s">
        <v>431</v>
      </c>
      <c r="W32" s="180"/>
      <c r="X32" s="180"/>
      <c r="Y32" s="180"/>
      <c r="Z32" s="180"/>
      <c r="AA32" s="181"/>
      <c r="AB32" s="191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3"/>
      <c r="AR32" s="139"/>
      <c r="AS32" s="140"/>
      <c r="AT32" s="140"/>
      <c r="AU32" s="140"/>
      <c r="AV32" s="140"/>
      <c r="AW32" s="141"/>
      <c r="AX32" s="179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6"/>
      <c r="BU32" s="41"/>
      <c r="BV32" s="40"/>
      <c r="BW32" s="41"/>
      <c r="BX32" s="41"/>
      <c r="BY32" s="41"/>
      <c r="BZ32" s="41"/>
      <c r="CA32" s="41"/>
      <c r="CB32" s="41"/>
      <c r="CC32" s="30"/>
      <c r="CD32" s="30"/>
      <c r="CE32" s="30"/>
      <c r="CF32" s="30"/>
      <c r="CG32" s="30"/>
    </row>
    <row r="33" spans="1:85" s="5" customFormat="1" ht="20.100000000000001" customHeight="1" x14ac:dyDescent="0.45">
      <c r="A33" s="29"/>
      <c r="B33" s="35"/>
      <c r="C33" s="29"/>
      <c r="D33" s="37">
        <v>23</v>
      </c>
      <c r="E33" s="166" t="s">
        <v>141</v>
      </c>
      <c r="F33" s="167"/>
      <c r="G33" s="167"/>
      <c r="H33" s="167"/>
      <c r="I33" s="167"/>
      <c r="J33" s="167"/>
      <c r="K33" s="167"/>
      <c r="L33" s="168"/>
      <c r="M33" s="139" t="s">
        <v>38</v>
      </c>
      <c r="N33" s="140"/>
      <c r="O33" s="140"/>
      <c r="P33" s="139" t="s">
        <v>429</v>
      </c>
      <c r="Q33" s="140"/>
      <c r="R33" s="140"/>
      <c r="S33" s="139"/>
      <c r="T33" s="140"/>
      <c r="U33" s="140"/>
      <c r="V33" s="179" t="s">
        <v>441</v>
      </c>
      <c r="W33" s="180"/>
      <c r="X33" s="180"/>
      <c r="Y33" s="180"/>
      <c r="Z33" s="180"/>
      <c r="AA33" s="181"/>
      <c r="AB33" s="191" t="s">
        <v>455</v>
      </c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3"/>
      <c r="AR33" s="139"/>
      <c r="AS33" s="140"/>
      <c r="AT33" s="140"/>
      <c r="AU33" s="140"/>
      <c r="AV33" s="140"/>
      <c r="AW33" s="141"/>
      <c r="AX33" s="179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  <c r="BP33" s="180"/>
      <c r="BQ33" s="180"/>
      <c r="BR33" s="180"/>
      <c r="BS33" s="180"/>
      <c r="BT33" s="186"/>
      <c r="BU33" s="29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31"/>
      <c r="CG33" s="31"/>
    </row>
    <row r="34" spans="1:85" s="5" customFormat="1" ht="20.100000000000001" customHeight="1" x14ac:dyDescent="0.45">
      <c r="A34" s="29"/>
      <c r="B34" s="35"/>
      <c r="C34" s="29"/>
      <c r="D34" s="135">
        <v>24</v>
      </c>
      <c r="E34" s="172" t="s">
        <v>131</v>
      </c>
      <c r="F34" s="173"/>
      <c r="G34" s="173"/>
      <c r="H34" s="173"/>
      <c r="I34" s="173"/>
      <c r="J34" s="173"/>
      <c r="K34" s="173"/>
      <c r="L34" s="174"/>
      <c r="M34" s="177" t="s">
        <v>38</v>
      </c>
      <c r="N34" s="178"/>
      <c r="O34" s="178"/>
      <c r="P34" s="177" t="s">
        <v>429</v>
      </c>
      <c r="Q34" s="178"/>
      <c r="R34" s="178"/>
      <c r="S34" s="177"/>
      <c r="T34" s="178"/>
      <c r="U34" s="178"/>
      <c r="V34" s="182" t="s">
        <v>434</v>
      </c>
      <c r="W34" s="183"/>
      <c r="X34" s="183"/>
      <c r="Y34" s="183"/>
      <c r="Z34" s="183"/>
      <c r="AA34" s="184"/>
      <c r="AB34" s="182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4"/>
      <c r="AR34" s="177"/>
      <c r="AS34" s="178"/>
      <c r="AT34" s="178"/>
      <c r="AU34" s="178"/>
      <c r="AV34" s="178"/>
      <c r="AW34" s="201"/>
      <c r="AX34" s="182"/>
      <c r="AY34" s="183"/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3"/>
      <c r="BR34" s="183"/>
      <c r="BS34" s="183"/>
      <c r="BT34" s="190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s="5" customFormat="1" ht="20.100000000000001" customHeight="1" x14ac:dyDescent="0.45">
      <c r="A35" s="29"/>
      <c r="B35" s="35"/>
      <c r="C35" s="29"/>
      <c r="D35" s="37">
        <v>25</v>
      </c>
      <c r="E35" s="166" t="s">
        <v>132</v>
      </c>
      <c r="F35" s="167"/>
      <c r="G35" s="167"/>
      <c r="H35" s="167"/>
      <c r="I35" s="167"/>
      <c r="J35" s="167"/>
      <c r="K35" s="167"/>
      <c r="L35" s="168"/>
      <c r="M35" s="139" t="s">
        <v>38</v>
      </c>
      <c r="N35" s="140"/>
      <c r="O35" s="140"/>
      <c r="P35" s="139" t="s">
        <v>429</v>
      </c>
      <c r="Q35" s="140"/>
      <c r="R35" s="140"/>
      <c r="S35" s="139"/>
      <c r="T35" s="140"/>
      <c r="U35" s="140"/>
      <c r="V35" s="179" t="s">
        <v>435</v>
      </c>
      <c r="W35" s="180"/>
      <c r="X35" s="180"/>
      <c r="Y35" s="180"/>
      <c r="Z35" s="180"/>
      <c r="AA35" s="181"/>
      <c r="AB35" s="191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3"/>
      <c r="AR35" s="139"/>
      <c r="AS35" s="140"/>
      <c r="AT35" s="140"/>
      <c r="AU35" s="140"/>
      <c r="AV35" s="140"/>
      <c r="AW35" s="141"/>
      <c r="AX35" s="179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6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166" t="s">
        <v>133</v>
      </c>
      <c r="F36" s="167"/>
      <c r="G36" s="167"/>
      <c r="H36" s="167"/>
      <c r="I36" s="167"/>
      <c r="J36" s="167"/>
      <c r="K36" s="167"/>
      <c r="L36" s="168"/>
      <c r="M36" s="139" t="s">
        <v>38</v>
      </c>
      <c r="N36" s="140"/>
      <c r="O36" s="140"/>
      <c r="P36" s="139" t="s">
        <v>429</v>
      </c>
      <c r="Q36" s="140"/>
      <c r="R36" s="140"/>
      <c r="S36" s="139"/>
      <c r="T36" s="140"/>
      <c r="U36" s="140"/>
      <c r="V36" s="179" t="s">
        <v>436</v>
      </c>
      <c r="W36" s="180"/>
      <c r="X36" s="180"/>
      <c r="Y36" s="180"/>
      <c r="Z36" s="180"/>
      <c r="AA36" s="181"/>
      <c r="AB36" s="191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3"/>
      <c r="AR36" s="139"/>
      <c r="AS36" s="140"/>
      <c r="AT36" s="140"/>
      <c r="AU36" s="140"/>
      <c r="AV36" s="140"/>
      <c r="AW36" s="141"/>
      <c r="AX36" s="179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  <c r="BP36" s="180"/>
      <c r="BQ36" s="180"/>
      <c r="BR36" s="180"/>
      <c r="BS36" s="180"/>
      <c r="BT36" s="186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s="5" customFormat="1" ht="20.100000000000001" customHeight="1" x14ac:dyDescent="0.45">
      <c r="A37" s="29"/>
      <c r="B37" s="35"/>
      <c r="C37" s="29"/>
      <c r="D37" s="37">
        <v>27</v>
      </c>
      <c r="E37" s="166" t="s">
        <v>134</v>
      </c>
      <c r="F37" s="167"/>
      <c r="G37" s="167"/>
      <c r="H37" s="167"/>
      <c r="I37" s="167"/>
      <c r="J37" s="167"/>
      <c r="K37" s="167"/>
      <c r="L37" s="168"/>
      <c r="M37" s="139" t="s">
        <v>38</v>
      </c>
      <c r="N37" s="140"/>
      <c r="O37" s="140"/>
      <c r="P37" s="139" t="s">
        <v>429</v>
      </c>
      <c r="Q37" s="140"/>
      <c r="R37" s="140"/>
      <c r="S37" s="139"/>
      <c r="T37" s="140"/>
      <c r="U37" s="140"/>
      <c r="V37" s="179" t="s">
        <v>432</v>
      </c>
      <c r="W37" s="180"/>
      <c r="X37" s="180"/>
      <c r="Y37" s="180"/>
      <c r="Z37" s="180"/>
      <c r="AA37" s="181"/>
      <c r="AB37" s="191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3"/>
      <c r="AR37" s="139"/>
      <c r="AS37" s="140"/>
      <c r="AT37" s="140"/>
      <c r="AU37" s="140"/>
      <c r="AV37" s="140"/>
      <c r="AW37" s="141"/>
      <c r="AX37" s="179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  <c r="BO37" s="180"/>
      <c r="BP37" s="180"/>
      <c r="BQ37" s="180"/>
      <c r="BR37" s="180"/>
      <c r="BS37" s="180"/>
      <c r="BT37" s="186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s="5" customFormat="1" ht="20.100000000000001" customHeight="1" x14ac:dyDescent="0.45">
      <c r="A38" s="29"/>
      <c r="B38" s="35"/>
      <c r="C38" s="29"/>
      <c r="D38" s="37">
        <v>28</v>
      </c>
      <c r="E38" s="166" t="s">
        <v>135</v>
      </c>
      <c r="F38" s="167"/>
      <c r="G38" s="167"/>
      <c r="H38" s="167"/>
      <c r="I38" s="167"/>
      <c r="J38" s="167"/>
      <c r="K38" s="167"/>
      <c r="L38" s="168"/>
      <c r="M38" s="139" t="s">
        <v>38</v>
      </c>
      <c r="N38" s="140"/>
      <c r="O38" s="140"/>
      <c r="P38" s="139" t="s">
        <v>429</v>
      </c>
      <c r="Q38" s="140"/>
      <c r="R38" s="140"/>
      <c r="S38" s="139"/>
      <c r="T38" s="140"/>
      <c r="U38" s="140"/>
      <c r="V38" s="179" t="s">
        <v>437</v>
      </c>
      <c r="W38" s="180"/>
      <c r="X38" s="180"/>
      <c r="Y38" s="180"/>
      <c r="Z38" s="180"/>
      <c r="AA38" s="181"/>
      <c r="AB38" s="191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3"/>
      <c r="AR38" s="139" t="s">
        <v>438</v>
      </c>
      <c r="AS38" s="140"/>
      <c r="AT38" s="140"/>
      <c r="AU38" s="140"/>
      <c r="AV38" s="140"/>
      <c r="AW38" s="141"/>
      <c r="AX38" s="179" t="s">
        <v>439</v>
      </c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  <c r="BP38" s="180"/>
      <c r="BQ38" s="180"/>
      <c r="BR38" s="180"/>
      <c r="BS38" s="180"/>
      <c r="BT38" s="186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s="5" customFormat="1" ht="20.100000000000001" customHeight="1" x14ac:dyDescent="0.45">
      <c r="A39" s="29"/>
      <c r="B39" s="35"/>
      <c r="C39" s="29"/>
      <c r="D39" s="37">
        <v>29</v>
      </c>
      <c r="E39" s="166" t="s">
        <v>136</v>
      </c>
      <c r="F39" s="167"/>
      <c r="G39" s="167"/>
      <c r="H39" s="167"/>
      <c r="I39" s="167"/>
      <c r="J39" s="167"/>
      <c r="K39" s="167"/>
      <c r="L39" s="168"/>
      <c r="M39" s="139" t="s">
        <v>47</v>
      </c>
      <c r="N39" s="140"/>
      <c r="O39" s="140"/>
      <c r="P39" s="139" t="s">
        <v>427</v>
      </c>
      <c r="Q39" s="140"/>
      <c r="R39" s="140"/>
      <c r="S39" s="139"/>
      <c r="T39" s="140"/>
      <c r="U39" s="140"/>
      <c r="V39" s="179" t="s">
        <v>440</v>
      </c>
      <c r="W39" s="180"/>
      <c r="X39" s="180"/>
      <c r="Y39" s="180"/>
      <c r="Z39" s="180"/>
      <c r="AA39" s="181"/>
      <c r="AB39" s="191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3"/>
      <c r="AR39" s="139"/>
      <c r="AS39" s="140"/>
      <c r="AT39" s="140"/>
      <c r="AU39" s="140"/>
      <c r="AV39" s="140"/>
      <c r="AW39" s="141"/>
      <c r="AX39" s="179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  <c r="BP39" s="180"/>
      <c r="BQ39" s="180"/>
      <c r="BR39" s="180"/>
      <c r="BS39" s="180"/>
      <c r="BT39" s="186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s="5" customFormat="1" ht="20.100000000000001" customHeight="1" x14ac:dyDescent="0.45">
      <c r="A40" s="29"/>
      <c r="B40" s="35"/>
      <c r="C40" s="29"/>
      <c r="D40" s="37">
        <v>30</v>
      </c>
      <c r="E40" s="166" t="s">
        <v>137</v>
      </c>
      <c r="F40" s="167"/>
      <c r="G40" s="167"/>
      <c r="H40" s="167"/>
      <c r="I40" s="167"/>
      <c r="J40" s="167"/>
      <c r="K40" s="167"/>
      <c r="L40" s="168"/>
      <c r="M40" s="139" t="s">
        <v>38</v>
      </c>
      <c r="N40" s="140"/>
      <c r="O40" s="140"/>
      <c r="P40" s="139" t="s">
        <v>429</v>
      </c>
      <c r="Q40" s="140"/>
      <c r="R40" s="140"/>
      <c r="S40" s="139"/>
      <c r="T40" s="140"/>
      <c r="U40" s="140"/>
      <c r="V40" s="179" t="s">
        <v>442</v>
      </c>
      <c r="W40" s="180"/>
      <c r="X40" s="180"/>
      <c r="Y40" s="180"/>
      <c r="Z40" s="180"/>
      <c r="AA40" s="181"/>
      <c r="AB40" s="191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3"/>
      <c r="AR40" s="200"/>
      <c r="AS40" s="140"/>
      <c r="AT40" s="140"/>
      <c r="AU40" s="140"/>
      <c r="AV40" s="140"/>
      <c r="AW40" s="141"/>
      <c r="AX40" s="179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6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166" t="s">
        <v>138</v>
      </c>
      <c r="F41" s="167"/>
      <c r="G41" s="167"/>
      <c r="H41" s="167"/>
      <c r="I41" s="167"/>
      <c r="J41" s="167"/>
      <c r="K41" s="167"/>
      <c r="L41" s="168"/>
      <c r="M41" s="139" t="s">
        <v>47</v>
      </c>
      <c r="N41" s="140"/>
      <c r="O41" s="140"/>
      <c r="P41" s="139" t="s">
        <v>427</v>
      </c>
      <c r="Q41" s="140"/>
      <c r="R41" s="140"/>
      <c r="S41" s="139"/>
      <c r="T41" s="140"/>
      <c r="U41" s="140"/>
      <c r="V41" s="179" t="s">
        <v>443</v>
      </c>
      <c r="W41" s="180"/>
      <c r="X41" s="180"/>
      <c r="Y41" s="180"/>
      <c r="Z41" s="180"/>
      <c r="AA41" s="181"/>
      <c r="AB41" s="191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3"/>
      <c r="AR41" s="200">
        <v>9999</v>
      </c>
      <c r="AS41" s="140"/>
      <c r="AT41" s="140"/>
      <c r="AU41" s="140"/>
      <c r="AV41" s="140"/>
      <c r="AW41" s="141"/>
      <c r="AX41" s="179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6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20.100000000000001" customHeight="1" x14ac:dyDescent="0.45">
      <c r="A42" s="29"/>
      <c r="B42" s="44"/>
      <c r="C42" s="29"/>
      <c r="D42" s="37">
        <v>32</v>
      </c>
      <c r="E42" s="166" t="s">
        <v>139</v>
      </c>
      <c r="F42" s="167"/>
      <c r="G42" s="167"/>
      <c r="H42" s="167"/>
      <c r="I42" s="167"/>
      <c r="J42" s="167"/>
      <c r="K42" s="167"/>
      <c r="L42" s="168"/>
      <c r="M42" s="139" t="s">
        <v>47</v>
      </c>
      <c r="N42" s="140"/>
      <c r="O42" s="140"/>
      <c r="P42" s="139" t="s">
        <v>427</v>
      </c>
      <c r="Q42" s="140"/>
      <c r="R42" s="140"/>
      <c r="S42" s="139"/>
      <c r="T42" s="140"/>
      <c r="U42" s="140"/>
      <c r="V42" s="179" t="s">
        <v>445</v>
      </c>
      <c r="W42" s="180"/>
      <c r="X42" s="180"/>
      <c r="Y42" s="180"/>
      <c r="Z42" s="180"/>
      <c r="AA42" s="181"/>
      <c r="AB42" s="191" t="s">
        <v>446</v>
      </c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3"/>
      <c r="AR42" s="200">
        <v>9999</v>
      </c>
      <c r="AS42" s="140"/>
      <c r="AT42" s="140"/>
      <c r="AU42" s="140"/>
      <c r="AV42" s="140"/>
      <c r="AW42" s="141"/>
      <c r="AX42" s="179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6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19.5" customHeight="1" x14ac:dyDescent="0.45">
      <c r="A43" s="29"/>
      <c r="B43" s="44"/>
      <c r="C43" s="29"/>
      <c r="D43" s="37">
        <v>33</v>
      </c>
      <c r="E43" s="166" t="s">
        <v>140</v>
      </c>
      <c r="F43" s="167"/>
      <c r="G43" s="167"/>
      <c r="H43" s="167"/>
      <c r="I43" s="167"/>
      <c r="J43" s="167"/>
      <c r="K43" s="167"/>
      <c r="L43" s="168"/>
      <c r="M43" s="139" t="s">
        <v>47</v>
      </c>
      <c r="N43" s="140"/>
      <c r="O43" s="140"/>
      <c r="P43" s="139" t="s">
        <v>427</v>
      </c>
      <c r="Q43" s="140"/>
      <c r="R43" s="140"/>
      <c r="S43" s="139"/>
      <c r="T43" s="140"/>
      <c r="U43" s="140"/>
      <c r="V43" s="179" t="s">
        <v>445</v>
      </c>
      <c r="W43" s="180"/>
      <c r="X43" s="180"/>
      <c r="Y43" s="180"/>
      <c r="Z43" s="180"/>
      <c r="AA43" s="181"/>
      <c r="AB43" s="191" t="s">
        <v>447</v>
      </c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3"/>
      <c r="AR43" s="200">
        <v>9999</v>
      </c>
      <c r="AS43" s="140"/>
      <c r="AT43" s="140"/>
      <c r="AU43" s="140"/>
      <c r="AV43" s="140"/>
      <c r="AW43" s="141"/>
      <c r="AX43" s="179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6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19.5" customHeight="1" x14ac:dyDescent="0.45">
      <c r="A44" s="29"/>
      <c r="B44" s="44"/>
      <c r="C44" s="29"/>
      <c r="D44" s="37">
        <v>34</v>
      </c>
      <c r="E44" s="166" t="s">
        <v>142</v>
      </c>
      <c r="F44" s="167"/>
      <c r="G44" s="167"/>
      <c r="H44" s="167"/>
      <c r="I44" s="167"/>
      <c r="J44" s="167"/>
      <c r="K44" s="167"/>
      <c r="L44" s="168"/>
      <c r="M44" s="139" t="s">
        <v>47</v>
      </c>
      <c r="N44" s="140"/>
      <c r="O44" s="140"/>
      <c r="P44" s="139" t="s">
        <v>427</v>
      </c>
      <c r="Q44" s="140"/>
      <c r="R44" s="140"/>
      <c r="S44" s="139"/>
      <c r="T44" s="140"/>
      <c r="U44" s="140"/>
      <c r="V44" s="179" t="s">
        <v>433</v>
      </c>
      <c r="W44" s="180"/>
      <c r="X44" s="180"/>
      <c r="Y44" s="180"/>
      <c r="Z44" s="180"/>
      <c r="AA44" s="181"/>
      <c r="AB44" s="191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3"/>
      <c r="AR44" s="200">
        <v>9999</v>
      </c>
      <c r="AS44" s="140"/>
      <c r="AT44" s="140"/>
      <c r="AU44" s="140"/>
      <c r="AV44" s="140"/>
      <c r="AW44" s="141"/>
      <c r="AX44" s="179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6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ht="19.5" customHeight="1" x14ac:dyDescent="0.45">
      <c r="A45" s="29"/>
      <c r="B45" s="44"/>
      <c r="C45" s="29"/>
      <c r="D45" s="37">
        <v>35</v>
      </c>
      <c r="E45" s="166" t="s">
        <v>143</v>
      </c>
      <c r="F45" s="167"/>
      <c r="G45" s="167"/>
      <c r="H45" s="167"/>
      <c r="I45" s="167"/>
      <c r="J45" s="167"/>
      <c r="K45" s="167"/>
      <c r="L45" s="168"/>
      <c r="M45" s="139" t="s">
        <v>47</v>
      </c>
      <c r="N45" s="140"/>
      <c r="O45" s="140"/>
      <c r="P45" s="139" t="s">
        <v>427</v>
      </c>
      <c r="Q45" s="140"/>
      <c r="R45" s="140"/>
      <c r="S45" s="139"/>
      <c r="T45" s="140"/>
      <c r="U45" s="140"/>
      <c r="V45" s="179" t="s">
        <v>454</v>
      </c>
      <c r="W45" s="180"/>
      <c r="X45" s="180"/>
      <c r="Y45" s="180"/>
      <c r="Z45" s="180"/>
      <c r="AA45" s="181"/>
      <c r="AB45" s="191" t="s">
        <v>453</v>
      </c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3"/>
      <c r="AR45" s="200">
        <v>9999</v>
      </c>
      <c r="AS45" s="140"/>
      <c r="AT45" s="140"/>
      <c r="AU45" s="140"/>
      <c r="AV45" s="140"/>
      <c r="AW45" s="141"/>
      <c r="AX45" s="179" t="s">
        <v>448</v>
      </c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6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19.8" customHeight="1" x14ac:dyDescent="0.45">
      <c r="A46" s="29"/>
      <c r="B46" s="44"/>
      <c r="C46" s="29"/>
      <c r="D46" s="37">
        <v>36</v>
      </c>
      <c r="E46" s="163" t="s">
        <v>144</v>
      </c>
      <c r="F46" s="164"/>
      <c r="G46" s="164"/>
      <c r="H46" s="164"/>
      <c r="I46" s="164"/>
      <c r="J46" s="164"/>
      <c r="K46" s="164"/>
      <c r="L46" s="165"/>
      <c r="M46" s="188" t="s">
        <v>38</v>
      </c>
      <c r="N46" s="189"/>
      <c r="O46" s="202"/>
      <c r="P46" s="188" t="s">
        <v>429</v>
      </c>
      <c r="Q46" s="189"/>
      <c r="R46" s="189"/>
      <c r="S46" s="188"/>
      <c r="T46" s="189"/>
      <c r="U46" s="189"/>
      <c r="V46" s="197" t="s">
        <v>444</v>
      </c>
      <c r="W46" s="198"/>
      <c r="X46" s="198"/>
      <c r="Y46" s="198"/>
      <c r="Z46" s="198"/>
      <c r="AA46" s="203"/>
      <c r="AB46" s="194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6"/>
      <c r="AR46" s="188"/>
      <c r="AS46" s="189"/>
      <c r="AT46" s="189"/>
      <c r="AU46" s="189"/>
      <c r="AV46" s="189"/>
      <c r="AW46" s="202"/>
      <c r="AX46" s="197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9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19.5" customHeight="1" x14ac:dyDescent="0.45">
      <c r="A47" s="29"/>
      <c r="B47" s="44"/>
      <c r="C47" s="29"/>
      <c r="D47" s="37">
        <v>37</v>
      </c>
      <c r="E47" s="166" t="s">
        <v>449</v>
      </c>
      <c r="F47" s="167"/>
      <c r="G47" s="167"/>
      <c r="H47" s="167"/>
      <c r="I47" s="167"/>
      <c r="J47" s="167"/>
      <c r="K47" s="167"/>
      <c r="L47" s="168"/>
      <c r="M47" s="139" t="s">
        <v>47</v>
      </c>
      <c r="N47" s="140"/>
      <c r="O47" s="140"/>
      <c r="P47" s="139" t="s">
        <v>427</v>
      </c>
      <c r="Q47" s="140"/>
      <c r="R47" s="140"/>
      <c r="S47" s="139"/>
      <c r="T47" s="140"/>
      <c r="U47" s="140"/>
      <c r="V47" s="179" t="s">
        <v>450</v>
      </c>
      <c r="W47" s="180"/>
      <c r="X47" s="180"/>
      <c r="Y47" s="180"/>
      <c r="Z47" s="180"/>
      <c r="AA47" s="181"/>
      <c r="AB47" s="191" t="s">
        <v>451</v>
      </c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3"/>
      <c r="AR47" s="200">
        <v>9999</v>
      </c>
      <c r="AS47" s="140"/>
      <c r="AT47" s="140"/>
      <c r="AU47" s="140"/>
      <c r="AV47" s="140"/>
      <c r="AW47" s="141"/>
      <c r="AX47" s="179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6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9.8" customHeight="1" thickBot="1" x14ac:dyDescent="0.5">
      <c r="A48" s="29"/>
      <c r="B48" s="44"/>
      <c r="C48" s="29"/>
      <c r="D48" s="37">
        <v>38</v>
      </c>
      <c r="E48" s="163" t="s">
        <v>154</v>
      </c>
      <c r="F48" s="164"/>
      <c r="G48" s="164"/>
      <c r="H48" s="164"/>
      <c r="I48" s="164"/>
      <c r="J48" s="164"/>
      <c r="K48" s="164"/>
      <c r="L48" s="165"/>
      <c r="M48" s="188" t="s">
        <v>38</v>
      </c>
      <c r="N48" s="189"/>
      <c r="O48" s="202"/>
      <c r="P48" s="188" t="s">
        <v>429</v>
      </c>
      <c r="Q48" s="189"/>
      <c r="R48" s="189"/>
      <c r="S48" s="188"/>
      <c r="T48" s="189"/>
      <c r="U48" s="189"/>
      <c r="V48" s="179" t="s">
        <v>450</v>
      </c>
      <c r="W48" s="180"/>
      <c r="X48" s="180"/>
      <c r="Y48" s="180"/>
      <c r="Z48" s="180"/>
      <c r="AA48" s="181"/>
      <c r="AB48" s="191" t="s">
        <v>452</v>
      </c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3"/>
      <c r="AR48" s="200">
        <v>9999</v>
      </c>
      <c r="AS48" s="140"/>
      <c r="AT48" s="140"/>
      <c r="AU48" s="140"/>
      <c r="AV48" s="140"/>
      <c r="AW48" s="141"/>
      <c r="AX48" s="197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9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73" ht="20.100000000000001" customHeight="1" thickTop="1" thickBot="1" x14ac:dyDescent="0.5">
      <c r="A49" s="29"/>
      <c r="B49" s="40"/>
      <c r="C49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46"/>
      <c r="BR49" s="46"/>
      <c r="BS49" s="46"/>
      <c r="BT49" s="46"/>
      <c r="BU49" s="28"/>
    </row>
    <row r="50" spans="1:73" ht="20.100000000000001" customHeight="1" thickTop="1" x14ac:dyDescent="0.45">
      <c r="A50" s="29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33"/>
      <c r="BD50" s="33"/>
      <c r="BE50" s="33"/>
      <c r="BF50" s="33"/>
      <c r="BG50" s="33"/>
      <c r="BH50" s="33"/>
      <c r="BI50" s="42"/>
      <c r="BJ50" s="42"/>
      <c r="BK50" s="42"/>
      <c r="BL50" s="42"/>
      <c r="BM50" s="42"/>
      <c r="BN50" s="42"/>
      <c r="BO50" s="42"/>
      <c r="BP50" s="41"/>
    </row>
    <row r="51" spans="1:73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</row>
    <row r="52" spans="1:73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73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73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73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73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73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73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73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73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73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73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73" ht="20.100000000000001" customHeight="1" x14ac:dyDescent="0.45">
      <c r="B63" s="3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73" ht="20.100000000000001" customHeight="1" x14ac:dyDescent="0.45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31"/>
      <c r="BP65" s="31"/>
    </row>
    <row r="66" spans="1:68" ht="20.100000000000001" customHeight="1" x14ac:dyDescent="0.4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31"/>
      <c r="BP66" s="31"/>
    </row>
    <row r="67" spans="1:68" ht="20.100000000000001" customHeight="1" x14ac:dyDescent="0.45">
      <c r="A67" s="29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31"/>
      <c r="BP67" s="31"/>
    </row>
    <row r="68" spans="1:68" ht="20.100000000000001" customHeight="1" x14ac:dyDescent="0.45">
      <c r="A68" s="29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31"/>
      <c r="BP68" s="31"/>
    </row>
    <row r="69" spans="1:68" ht="20.100000000000001" customHeight="1" x14ac:dyDescent="0.4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</row>
    <row r="70" spans="1:68" ht="20.100000000000001" customHeight="1" x14ac:dyDescent="0.4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</row>
    <row r="71" spans="1:68" ht="20.100000000000001" customHeight="1" x14ac:dyDescent="0.4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</row>
  </sheetData>
  <mergeCells count="332">
    <mergeCell ref="E47:L47"/>
    <mergeCell ref="M47:O47"/>
    <mergeCell ref="P47:R47"/>
    <mergeCell ref="S47:U47"/>
    <mergeCell ref="V47:AA47"/>
    <mergeCell ref="AB47:AQ47"/>
    <mergeCell ref="AR47:AW47"/>
    <mergeCell ref="AX47:BT47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46:L46"/>
    <mergeCell ref="M46:O46"/>
    <mergeCell ref="P46:R46"/>
    <mergeCell ref="S46:U46"/>
    <mergeCell ref="V46:AA46"/>
    <mergeCell ref="AB46:AQ46"/>
    <mergeCell ref="AR46:AW46"/>
    <mergeCell ref="AX46:BT46"/>
    <mergeCell ref="E45:L45"/>
    <mergeCell ref="M45:O45"/>
    <mergeCell ref="P45:R45"/>
    <mergeCell ref="S45:U45"/>
    <mergeCell ref="V45:AA45"/>
    <mergeCell ref="AB45:AQ45"/>
    <mergeCell ref="AR45:AW45"/>
    <mergeCell ref="AX45:BT45"/>
    <mergeCell ref="E43:L43"/>
    <mergeCell ref="M43:O43"/>
    <mergeCell ref="P43:R43"/>
    <mergeCell ref="S43:U43"/>
    <mergeCell ref="V43:AA43"/>
    <mergeCell ref="AB43:AQ43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  <mergeCell ref="E41:L41"/>
    <mergeCell ref="M41:O41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10"/>
  <sheetViews>
    <sheetView zoomScaleNormal="100" zoomScaleSheetLayoutView="100" workbookViewId="0">
      <selection activeCell="I23" sqref="I23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7" t="s">
        <v>0</v>
      </c>
      <c r="C2" s="208"/>
      <c r="D2" s="208"/>
      <c r="E2" s="208"/>
      <c r="F2" s="208"/>
      <c r="G2" s="208"/>
      <c r="H2" s="208" t="s">
        <v>17</v>
      </c>
      <c r="I2" s="208"/>
      <c r="J2" s="208"/>
      <c r="K2" s="208"/>
      <c r="L2" s="208" t="s">
        <v>472</v>
      </c>
      <c r="M2" s="208"/>
      <c r="N2" s="208"/>
      <c r="O2" s="208"/>
      <c r="P2" s="208"/>
      <c r="Q2" s="208"/>
      <c r="R2" s="208" t="s">
        <v>2</v>
      </c>
      <c r="S2" s="208"/>
      <c r="T2" s="208"/>
      <c r="U2" s="208"/>
      <c r="V2" s="208"/>
      <c r="W2" s="208"/>
      <c r="X2" s="209" t="s">
        <v>3</v>
      </c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1"/>
      <c r="AK2" s="209" t="s">
        <v>32</v>
      </c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1"/>
      <c r="AX2" s="208" t="s">
        <v>5</v>
      </c>
      <c r="AY2" s="208"/>
      <c r="AZ2" s="208"/>
      <c r="BA2" s="208"/>
      <c r="BB2" s="208" t="s">
        <v>4</v>
      </c>
      <c r="BC2" s="208"/>
      <c r="BD2" s="208"/>
      <c r="BE2" s="208"/>
      <c r="BF2" s="208" t="s">
        <v>6</v>
      </c>
      <c r="BG2" s="208"/>
      <c r="BH2" s="208"/>
      <c r="BI2" s="208"/>
      <c r="BJ2" s="208" t="s">
        <v>7</v>
      </c>
      <c r="BK2" s="208"/>
      <c r="BL2" s="208"/>
      <c r="BM2" s="218"/>
    </row>
    <row r="3" spans="2:65" ht="20.100000000000001" customHeight="1" x14ac:dyDescent="0.45">
      <c r="B3" s="212" t="str">
        <f>変更履歴!B3</f>
        <v>受発注システム</v>
      </c>
      <c r="C3" s="147"/>
      <c r="D3" s="147"/>
      <c r="E3" s="147"/>
      <c r="F3" s="147"/>
      <c r="G3" s="147"/>
      <c r="H3" s="147" t="str">
        <f ca="1">変更履歴!H3</f>
        <v>SU0300</v>
      </c>
      <c r="I3" s="147"/>
      <c r="J3" s="147"/>
      <c r="K3" s="147"/>
      <c r="L3" s="147" t="str">
        <f>変更履歴!L3</f>
        <v>受発注</v>
      </c>
      <c r="M3" s="147"/>
      <c r="N3" s="147"/>
      <c r="O3" s="147"/>
      <c r="P3" s="147"/>
      <c r="Q3" s="147"/>
      <c r="R3" s="147" t="str">
        <f ca="1">変更履歴!R3</f>
        <v>帳票設計書</v>
      </c>
      <c r="S3" s="147"/>
      <c r="T3" s="147"/>
      <c r="U3" s="147"/>
      <c r="V3" s="147"/>
      <c r="W3" s="147"/>
      <c r="X3" s="150" t="str">
        <f ca="1">変更履歴!X3</f>
        <v>SU0300_売掛金元帳_帳票設計書</v>
      </c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2"/>
      <c r="AK3" s="150" t="str">
        <f ca="1">変更履歴!AK3</f>
        <v>売掛金元帳</v>
      </c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2"/>
      <c r="AX3" s="146">
        <f>変更履歴!AX3</f>
        <v>45583</v>
      </c>
      <c r="AY3" s="146"/>
      <c r="AZ3" s="146"/>
      <c r="BA3" s="146"/>
      <c r="BB3" s="147" t="str">
        <f>変更履歴!BB3</f>
        <v>大谷</v>
      </c>
      <c r="BC3" s="147"/>
      <c r="BD3" s="147"/>
      <c r="BE3" s="147"/>
      <c r="BF3" s="146">
        <f>変更履歴!BF3</f>
        <v>45583</v>
      </c>
      <c r="BG3" s="146"/>
      <c r="BH3" s="146"/>
      <c r="BI3" s="146"/>
      <c r="BJ3" s="147" t="str">
        <f>変更履歴!BJ3</f>
        <v>大谷</v>
      </c>
      <c r="BK3" s="147"/>
      <c r="BL3" s="147"/>
      <c r="BM3" s="216"/>
    </row>
    <row r="4" spans="2:65" ht="20.100000000000001" customHeight="1" thickBot="1" x14ac:dyDescent="0.5"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04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6"/>
      <c r="AK4" s="204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6"/>
      <c r="AX4" s="215"/>
      <c r="AY4" s="215"/>
      <c r="AZ4" s="215"/>
      <c r="BA4" s="215"/>
      <c r="BB4" s="214"/>
      <c r="BC4" s="214"/>
      <c r="BD4" s="214"/>
      <c r="BE4" s="214"/>
      <c r="BF4" s="215"/>
      <c r="BG4" s="215"/>
      <c r="BH4" s="215"/>
      <c r="BI4" s="215"/>
      <c r="BJ4" s="214"/>
      <c r="BK4" s="214"/>
      <c r="BL4" s="214"/>
      <c r="BM4" s="217"/>
    </row>
    <row r="5" spans="2:65" ht="5.0999999999999996" customHeight="1" thickBot="1" x14ac:dyDescent="0.5"/>
    <row r="6" spans="2:65" ht="20.100000000000001" customHeight="1" x14ac:dyDescent="0.45">
      <c r="B6" s="89" t="s">
        <v>93</v>
      </c>
      <c r="C6" s="90"/>
      <c r="D6" s="90"/>
      <c r="E6" s="90"/>
      <c r="F6" s="90"/>
      <c r="G6" s="91"/>
      <c r="H6" s="92" t="s">
        <v>84</v>
      </c>
      <c r="I6" s="90"/>
      <c r="J6" s="120" t="s">
        <v>103</v>
      </c>
      <c r="K6" s="121"/>
      <c r="L6" s="121"/>
      <c r="M6" s="121"/>
      <c r="N6" s="121"/>
      <c r="O6" s="121"/>
      <c r="P6" s="121"/>
      <c r="Q6" s="122"/>
      <c r="R6" s="121" t="s">
        <v>145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104</v>
      </c>
      <c r="K7" s="52"/>
      <c r="L7" s="52"/>
      <c r="M7" s="52"/>
      <c r="N7" s="52"/>
      <c r="O7" s="52"/>
      <c r="P7" s="52"/>
      <c r="Q7" s="125"/>
      <c r="R7" s="52" t="s">
        <v>150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105</v>
      </c>
      <c r="K8" s="52"/>
      <c r="L8" s="52"/>
      <c r="M8" s="52"/>
      <c r="N8" s="52"/>
      <c r="O8" s="52"/>
      <c r="P8" s="52"/>
      <c r="Q8" s="125"/>
      <c r="R8" s="52" t="s">
        <v>146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106</v>
      </c>
      <c r="K9" s="52"/>
      <c r="L9" s="52"/>
      <c r="M9" s="52"/>
      <c r="N9" s="52"/>
      <c r="O9" s="52"/>
      <c r="P9" s="52"/>
      <c r="Q9" s="125"/>
      <c r="R9" s="52" t="s">
        <v>147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107</v>
      </c>
      <c r="K10" s="52"/>
      <c r="L10" s="52"/>
      <c r="M10" s="52"/>
      <c r="N10" s="52"/>
      <c r="O10" s="52"/>
      <c r="P10" s="52"/>
      <c r="Q10" s="125"/>
      <c r="R10" s="52" t="s">
        <v>148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108</v>
      </c>
      <c r="K11" s="52"/>
      <c r="L11" s="52"/>
      <c r="M11" s="52"/>
      <c r="N11" s="52"/>
      <c r="O11" s="52"/>
      <c r="P11" s="52"/>
      <c r="Q11" s="125"/>
      <c r="R11" s="52" t="s">
        <v>149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19.8" customHeight="1" x14ac:dyDescent="0.45">
      <c r="B12" s="123"/>
      <c r="C12" s="31"/>
      <c r="D12" s="31"/>
      <c r="E12" s="31"/>
      <c r="F12" s="31"/>
      <c r="G12" s="96"/>
      <c r="H12" s="100" t="s">
        <v>53</v>
      </c>
      <c r="I12" s="55"/>
      <c r="J12" s="100" t="s">
        <v>94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101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102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100" t="s">
        <v>54</v>
      </c>
      <c r="I13" s="55"/>
      <c r="J13" s="100" t="s">
        <v>95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101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102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97"/>
      <c r="I14" s="31"/>
      <c r="J14" s="97"/>
      <c r="K14" s="31" t="s">
        <v>97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97"/>
      <c r="K15" s="31" t="s">
        <v>96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31" t="s">
        <v>98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31" t="s">
        <v>99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95"/>
      <c r="C18" s="31"/>
      <c r="D18" s="31"/>
      <c r="E18" s="31"/>
      <c r="F18" s="31"/>
      <c r="G18" s="96"/>
      <c r="H18" s="103"/>
      <c r="I18" s="104"/>
      <c r="J18" s="103" t="s">
        <v>100</v>
      </c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5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6"/>
    </row>
    <row r="19" spans="2:61" ht="20.100000000000001" customHeight="1" x14ac:dyDescent="0.45">
      <c r="B19" s="95"/>
      <c r="C19" s="31"/>
      <c r="D19" s="31"/>
      <c r="E19" s="31"/>
      <c r="F19" s="31"/>
      <c r="G19" s="96"/>
      <c r="H19" s="97" t="s">
        <v>55</v>
      </c>
      <c r="I19" s="31"/>
      <c r="J19" s="97" t="s">
        <v>156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7" t="s">
        <v>151</v>
      </c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 t="s">
        <v>155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7" t="s">
        <v>152</v>
      </c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thickBot="1" x14ac:dyDescent="0.5">
      <c r="B21" s="95"/>
      <c r="C21" s="31"/>
      <c r="D21" s="31"/>
      <c r="E21" s="31"/>
      <c r="F21" s="31"/>
      <c r="G21" s="96"/>
      <c r="H21" s="128" t="s">
        <v>101</v>
      </c>
      <c r="I21" s="129"/>
      <c r="J21" s="128" t="s">
        <v>102</v>
      </c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8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30"/>
    </row>
    <row r="22" spans="2:61" ht="20.100000000000001" customHeight="1" x14ac:dyDescent="0.45">
      <c r="B22" s="89" t="s">
        <v>153</v>
      </c>
      <c r="C22" s="90"/>
      <c r="D22" s="90"/>
      <c r="E22" s="90"/>
      <c r="F22" s="90"/>
      <c r="G22" s="91"/>
      <c r="H22" s="92" t="s">
        <v>84</v>
      </c>
      <c r="I22" s="90"/>
      <c r="J22" s="120" t="s">
        <v>179</v>
      </c>
      <c r="K22" s="121"/>
      <c r="L22" s="121"/>
      <c r="M22" s="121"/>
      <c r="N22" s="121"/>
      <c r="O22" s="121"/>
      <c r="P22" s="121"/>
      <c r="Q22" s="122"/>
      <c r="R22" s="121" t="s">
        <v>193</v>
      </c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2"/>
      <c r="AK22" s="93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4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97"/>
      <c r="I23" s="31"/>
      <c r="J23" s="124" t="s">
        <v>180</v>
      </c>
      <c r="K23" s="52"/>
      <c r="L23" s="52"/>
      <c r="M23" s="52"/>
      <c r="N23" s="52"/>
      <c r="O23" s="52"/>
      <c r="P23" s="52"/>
      <c r="Q23" s="125"/>
      <c r="R23" s="52" t="s">
        <v>194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97"/>
      <c r="I24" s="31"/>
      <c r="J24" s="124" t="s">
        <v>181</v>
      </c>
      <c r="K24" s="52"/>
      <c r="L24" s="52"/>
      <c r="M24" s="52"/>
      <c r="N24" s="52"/>
      <c r="O24" s="52"/>
      <c r="P24" s="52"/>
      <c r="Q24" s="125"/>
      <c r="R24" s="52" t="s">
        <v>413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97"/>
      <c r="I25" s="31"/>
      <c r="J25" s="124" t="s">
        <v>182</v>
      </c>
      <c r="K25" s="52"/>
      <c r="L25" s="52"/>
      <c r="M25" s="52"/>
      <c r="N25" s="52"/>
      <c r="O25" s="52"/>
      <c r="P25" s="52"/>
      <c r="Q25" s="125"/>
      <c r="R25" s="52" t="s">
        <v>196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25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31"/>
      <c r="I26" s="31"/>
      <c r="J26" s="124" t="s">
        <v>183</v>
      </c>
      <c r="K26" s="52"/>
      <c r="L26" s="52"/>
      <c r="M26" s="52"/>
      <c r="N26" s="52"/>
      <c r="O26" s="52"/>
      <c r="P26" s="52"/>
      <c r="Q26" s="125"/>
      <c r="R26" s="52" t="s">
        <v>205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25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31"/>
      <c r="I27" s="31"/>
      <c r="J27" s="124" t="s">
        <v>184</v>
      </c>
      <c r="K27" s="52"/>
      <c r="L27" s="52"/>
      <c r="M27" s="52"/>
      <c r="N27" s="52"/>
      <c r="O27" s="52"/>
      <c r="P27" s="52"/>
      <c r="Q27" s="125"/>
      <c r="R27" s="52" t="s">
        <v>206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97"/>
      <c r="I28" s="31"/>
      <c r="J28" s="124" t="s">
        <v>157</v>
      </c>
      <c r="K28" s="52"/>
      <c r="L28" s="52"/>
      <c r="M28" s="52"/>
      <c r="N28" s="52"/>
      <c r="O28" s="52"/>
      <c r="P28" s="52"/>
      <c r="Q28" s="125"/>
      <c r="R28" s="52" t="s">
        <v>207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97"/>
      <c r="I29" s="31"/>
      <c r="J29" s="124" t="s">
        <v>158</v>
      </c>
      <c r="K29" s="52"/>
      <c r="L29" s="52"/>
      <c r="M29" s="52"/>
      <c r="N29" s="52"/>
      <c r="O29" s="52"/>
      <c r="P29" s="52"/>
      <c r="Q29" s="125"/>
      <c r="R29" s="52" t="s">
        <v>208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97"/>
      <c r="I30" s="31"/>
      <c r="J30" s="124" t="s">
        <v>159</v>
      </c>
      <c r="K30" s="52"/>
      <c r="L30" s="52"/>
      <c r="M30" s="52"/>
      <c r="N30" s="52"/>
      <c r="O30" s="52"/>
      <c r="P30" s="52"/>
      <c r="Q30" s="125"/>
      <c r="R30" s="52" t="s">
        <v>209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31"/>
      <c r="I31" s="31"/>
      <c r="J31" s="124" t="s">
        <v>160</v>
      </c>
      <c r="K31" s="52"/>
      <c r="L31" s="52"/>
      <c r="M31" s="52"/>
      <c r="N31" s="52"/>
      <c r="O31" s="52"/>
      <c r="P31" s="52"/>
      <c r="Q31" s="125"/>
      <c r="R31" s="52" t="s">
        <v>210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25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123"/>
      <c r="C32" s="31"/>
      <c r="D32" s="31"/>
      <c r="E32" s="31"/>
      <c r="F32" s="31"/>
      <c r="G32" s="96"/>
      <c r="H32" s="31"/>
      <c r="I32" s="31"/>
      <c r="J32" s="124" t="s">
        <v>181</v>
      </c>
      <c r="K32" s="52"/>
      <c r="L32" s="52"/>
      <c r="M32" s="52"/>
      <c r="N32" s="52"/>
      <c r="O32" s="52"/>
      <c r="P32" s="52"/>
      <c r="Q32" s="125"/>
      <c r="R32" s="52" t="s">
        <v>195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25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123"/>
      <c r="C33" s="31"/>
      <c r="D33" s="31"/>
      <c r="E33" s="31"/>
      <c r="F33" s="31"/>
      <c r="G33" s="96"/>
      <c r="H33" s="97"/>
      <c r="I33" s="31"/>
      <c r="J33" s="124" t="s">
        <v>182</v>
      </c>
      <c r="K33" s="52"/>
      <c r="L33" s="52"/>
      <c r="M33" s="52"/>
      <c r="N33" s="52"/>
      <c r="O33" s="52"/>
      <c r="P33" s="52"/>
      <c r="Q33" s="125"/>
      <c r="R33" s="52" t="s">
        <v>196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25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123"/>
      <c r="C34" s="31"/>
      <c r="D34" s="31"/>
      <c r="E34" s="31"/>
      <c r="F34" s="31"/>
      <c r="G34" s="96"/>
      <c r="H34" s="97"/>
      <c r="I34" s="31"/>
      <c r="J34" s="124" t="s">
        <v>185</v>
      </c>
      <c r="K34" s="52"/>
      <c r="L34" s="52"/>
      <c r="M34" s="52"/>
      <c r="N34" s="52"/>
      <c r="O34" s="52"/>
      <c r="P34" s="52"/>
      <c r="Q34" s="125"/>
      <c r="R34" s="52" t="s">
        <v>197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25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123"/>
      <c r="C35" s="31"/>
      <c r="D35" s="31"/>
      <c r="E35" s="31"/>
      <c r="F35" s="31"/>
      <c r="G35" s="96"/>
      <c r="H35" s="97"/>
      <c r="I35" s="31"/>
      <c r="J35" s="124" t="s">
        <v>186</v>
      </c>
      <c r="K35" s="52"/>
      <c r="L35" s="52"/>
      <c r="M35" s="52"/>
      <c r="N35" s="52"/>
      <c r="O35" s="52"/>
      <c r="P35" s="52"/>
      <c r="Q35" s="125"/>
      <c r="R35" s="52" t="s">
        <v>198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25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123"/>
      <c r="C36" s="31"/>
      <c r="D36" s="31"/>
      <c r="E36" s="31"/>
      <c r="F36" s="31"/>
      <c r="G36" s="96"/>
      <c r="H36" s="31"/>
      <c r="I36" s="31"/>
      <c r="J36" s="124" t="s">
        <v>187</v>
      </c>
      <c r="K36" s="52"/>
      <c r="L36" s="52"/>
      <c r="M36" s="52"/>
      <c r="N36" s="52"/>
      <c r="O36" s="52"/>
      <c r="P36" s="52"/>
      <c r="Q36" s="125"/>
      <c r="R36" s="52" t="s">
        <v>199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25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123"/>
      <c r="C37" s="31"/>
      <c r="D37" s="31"/>
      <c r="E37" s="31"/>
      <c r="F37" s="31"/>
      <c r="G37" s="96"/>
      <c r="H37" s="31"/>
      <c r="I37" s="31"/>
      <c r="J37" s="124" t="s">
        <v>188</v>
      </c>
      <c r="K37" s="52"/>
      <c r="L37" s="52"/>
      <c r="M37" s="52"/>
      <c r="N37" s="52"/>
      <c r="O37" s="52"/>
      <c r="P37" s="52"/>
      <c r="Q37" s="125"/>
      <c r="R37" s="52" t="s">
        <v>200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25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123"/>
      <c r="C38" s="31"/>
      <c r="D38" s="31"/>
      <c r="E38" s="31"/>
      <c r="F38" s="31"/>
      <c r="G38" s="96"/>
      <c r="H38" s="97"/>
      <c r="I38" s="31"/>
      <c r="J38" s="124" t="s">
        <v>189</v>
      </c>
      <c r="K38" s="52"/>
      <c r="L38" s="52"/>
      <c r="M38" s="52"/>
      <c r="N38" s="52"/>
      <c r="O38" s="52"/>
      <c r="P38" s="52"/>
      <c r="Q38" s="125"/>
      <c r="R38" s="52" t="s">
        <v>201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25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123"/>
      <c r="C39" s="31"/>
      <c r="D39" s="31"/>
      <c r="E39" s="31"/>
      <c r="F39" s="31"/>
      <c r="G39" s="96"/>
      <c r="H39" s="97"/>
      <c r="I39" s="31"/>
      <c r="J39" s="124" t="s">
        <v>190</v>
      </c>
      <c r="K39" s="52"/>
      <c r="L39" s="52"/>
      <c r="M39" s="52"/>
      <c r="N39" s="52"/>
      <c r="O39" s="52"/>
      <c r="P39" s="52"/>
      <c r="Q39" s="125"/>
      <c r="R39" s="52" t="s">
        <v>202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25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123"/>
      <c r="C40" s="31"/>
      <c r="D40" s="31"/>
      <c r="E40" s="31"/>
      <c r="F40" s="31"/>
      <c r="G40" s="96"/>
      <c r="H40" s="97"/>
      <c r="I40" s="31"/>
      <c r="J40" s="124" t="s">
        <v>191</v>
      </c>
      <c r="K40" s="52"/>
      <c r="L40" s="52"/>
      <c r="M40" s="52"/>
      <c r="N40" s="52"/>
      <c r="O40" s="52"/>
      <c r="P40" s="52"/>
      <c r="Q40" s="125"/>
      <c r="R40" s="52" t="s">
        <v>203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25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123"/>
      <c r="C41" s="31"/>
      <c r="D41" s="31"/>
      <c r="E41" s="31"/>
      <c r="F41" s="31"/>
      <c r="G41" s="96"/>
      <c r="H41" s="31"/>
      <c r="I41" s="31"/>
      <c r="J41" s="124" t="s">
        <v>192</v>
      </c>
      <c r="K41" s="52"/>
      <c r="L41" s="52"/>
      <c r="M41" s="52"/>
      <c r="N41" s="52"/>
      <c r="O41" s="52"/>
      <c r="P41" s="52"/>
      <c r="Q41" s="125"/>
      <c r="R41" s="52" t="s">
        <v>204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25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19.8" customHeight="1" x14ac:dyDescent="0.45">
      <c r="B42" s="123"/>
      <c r="C42" s="31"/>
      <c r="D42" s="31"/>
      <c r="E42" s="31"/>
      <c r="F42" s="31"/>
      <c r="G42" s="96"/>
      <c r="H42" s="100" t="s">
        <v>53</v>
      </c>
      <c r="I42" s="55"/>
      <c r="J42" s="100" t="s">
        <v>161</v>
      </c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101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102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100" t="s">
        <v>54</v>
      </c>
      <c r="I43" s="55"/>
      <c r="J43" s="100" t="s">
        <v>162</v>
      </c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101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102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97"/>
      <c r="I44" s="31"/>
      <c r="J44" s="97"/>
      <c r="K44" s="31" t="s">
        <v>163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97"/>
      <c r="I45" s="31"/>
      <c r="J45" s="97"/>
      <c r="K45" s="31"/>
      <c r="L45" s="31" t="s">
        <v>218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98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95"/>
      <c r="C46" s="31"/>
      <c r="D46" s="31"/>
      <c r="E46" s="31"/>
      <c r="F46" s="31"/>
      <c r="G46" s="96"/>
      <c r="H46" s="97"/>
      <c r="I46" s="31"/>
      <c r="J46" s="97"/>
      <c r="K46" s="31" t="s">
        <v>165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98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95"/>
      <c r="C47" s="31"/>
      <c r="D47" s="31"/>
      <c r="E47" s="31"/>
      <c r="F47" s="31"/>
      <c r="G47" s="96"/>
      <c r="H47" s="97"/>
      <c r="I47" s="31"/>
      <c r="J47" s="97"/>
      <c r="K47" s="31" t="s">
        <v>166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98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95"/>
      <c r="C48" s="31"/>
      <c r="D48" s="31"/>
      <c r="E48" s="31"/>
      <c r="F48" s="31"/>
      <c r="G48" s="96"/>
      <c r="H48" s="100" t="s">
        <v>55</v>
      </c>
      <c r="I48" s="55"/>
      <c r="J48" s="100" t="s">
        <v>167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131"/>
      <c r="AK48" s="100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102"/>
    </row>
    <row r="49" spans="2:61" ht="20.100000000000001" customHeight="1" x14ac:dyDescent="0.45">
      <c r="B49" s="95"/>
      <c r="C49" s="31"/>
      <c r="D49" s="31"/>
      <c r="E49" s="31"/>
      <c r="F49" s="31"/>
      <c r="G49" s="96"/>
      <c r="H49" s="97"/>
      <c r="I49" s="31"/>
      <c r="J49" s="97"/>
      <c r="K49" s="31" t="s">
        <v>211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97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95"/>
      <c r="C50" s="31"/>
      <c r="D50" s="31"/>
      <c r="E50" s="31"/>
      <c r="F50" s="31"/>
      <c r="G50" s="96"/>
      <c r="H50" s="97"/>
      <c r="I50" s="31"/>
      <c r="J50" s="97"/>
      <c r="K50" s="31" t="s">
        <v>212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97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95"/>
      <c r="C51" s="31"/>
      <c r="D51" s="31"/>
      <c r="E51" s="31"/>
      <c r="F51" s="31"/>
      <c r="G51" s="96"/>
      <c r="H51" s="97"/>
      <c r="I51" s="31"/>
      <c r="J51" s="97"/>
      <c r="K51" s="31" t="s">
        <v>213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97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95"/>
      <c r="C52" s="31"/>
      <c r="D52" s="31"/>
      <c r="E52" s="31"/>
      <c r="F52" s="31"/>
      <c r="G52" s="96"/>
      <c r="H52" s="97"/>
      <c r="I52" s="31"/>
      <c r="J52" s="97"/>
      <c r="K52" s="31" t="s">
        <v>168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97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95"/>
      <c r="C53" s="31"/>
      <c r="D53" s="31"/>
      <c r="E53" s="31"/>
      <c r="F53" s="31"/>
      <c r="G53" s="96"/>
      <c r="H53" s="97"/>
      <c r="I53" s="31"/>
      <c r="J53" s="97"/>
      <c r="K53" s="31"/>
      <c r="L53" s="31" t="s">
        <v>169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97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95"/>
      <c r="C54" s="31"/>
      <c r="D54" s="31"/>
      <c r="E54" s="31"/>
      <c r="F54" s="31"/>
      <c r="G54" s="96"/>
      <c r="H54" s="97"/>
      <c r="I54" s="31"/>
      <c r="J54" s="97"/>
      <c r="K54" s="31"/>
      <c r="L54" s="31" t="s">
        <v>170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97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95"/>
      <c r="C55" s="31"/>
      <c r="D55" s="31"/>
      <c r="E55" s="31"/>
      <c r="F55" s="31"/>
      <c r="G55" s="96"/>
      <c r="H55" s="97"/>
      <c r="I55" s="31"/>
      <c r="J55" s="97"/>
      <c r="K55" s="31"/>
      <c r="L55" s="31" t="s">
        <v>171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97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9"/>
    </row>
    <row r="56" spans="2:61" ht="20.100000000000001" customHeight="1" x14ac:dyDescent="0.45">
      <c r="B56" s="95"/>
      <c r="C56" s="31"/>
      <c r="D56" s="31"/>
      <c r="E56" s="31"/>
      <c r="F56" s="31"/>
      <c r="G56" s="96"/>
      <c r="H56" s="97"/>
      <c r="I56" s="31"/>
      <c r="J56" s="97"/>
      <c r="K56" s="31"/>
      <c r="L56" s="31" t="s">
        <v>172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97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 x14ac:dyDescent="0.45">
      <c r="B57" s="95"/>
      <c r="C57" s="31"/>
      <c r="D57" s="31"/>
      <c r="E57" s="31"/>
      <c r="F57" s="31"/>
      <c r="G57" s="96"/>
      <c r="H57" s="97"/>
      <c r="I57" s="31"/>
      <c r="J57" s="97"/>
      <c r="K57" s="31"/>
      <c r="L57" s="31" t="s">
        <v>173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97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95"/>
      <c r="C58" s="31"/>
      <c r="D58" s="31"/>
      <c r="E58" s="31"/>
      <c r="F58" s="31"/>
      <c r="G58" s="96"/>
      <c r="H58" s="97"/>
      <c r="I58" s="31"/>
      <c r="J58" s="97"/>
      <c r="K58" s="31"/>
      <c r="L58" s="31" t="s">
        <v>174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97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95"/>
      <c r="C59" s="31"/>
      <c r="D59" s="31"/>
      <c r="E59" s="31"/>
      <c r="F59" s="31"/>
      <c r="G59" s="96"/>
      <c r="H59" s="97"/>
      <c r="I59" s="31"/>
      <c r="J59" s="97"/>
      <c r="K59" s="31"/>
      <c r="L59" s="31" t="s">
        <v>175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97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95"/>
      <c r="C60" s="31"/>
      <c r="D60" s="31"/>
      <c r="E60" s="31"/>
      <c r="F60" s="31"/>
      <c r="G60" s="96"/>
      <c r="H60" s="97"/>
      <c r="I60" s="31"/>
      <c r="J60" s="97"/>
      <c r="K60" s="31"/>
      <c r="L60" s="31" t="s">
        <v>176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97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thickBot="1" x14ac:dyDescent="0.5">
      <c r="B61" s="95"/>
      <c r="C61" s="31"/>
      <c r="D61" s="31"/>
      <c r="E61" s="31"/>
      <c r="F61" s="31"/>
      <c r="G61" s="96"/>
      <c r="H61" s="128" t="s">
        <v>101</v>
      </c>
      <c r="I61" s="129"/>
      <c r="J61" s="128" t="s">
        <v>177</v>
      </c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8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30"/>
    </row>
    <row r="62" spans="2:61" ht="20.100000000000001" customHeight="1" x14ac:dyDescent="0.45">
      <c r="B62" s="89" t="s">
        <v>214</v>
      </c>
      <c r="C62" s="90"/>
      <c r="D62" s="90"/>
      <c r="E62" s="90"/>
      <c r="F62" s="90"/>
      <c r="G62" s="91"/>
      <c r="H62" s="92" t="s">
        <v>84</v>
      </c>
      <c r="I62" s="90"/>
      <c r="J62" s="120" t="s">
        <v>179</v>
      </c>
      <c r="K62" s="121"/>
      <c r="L62" s="121"/>
      <c r="M62" s="121"/>
      <c r="N62" s="121"/>
      <c r="O62" s="121"/>
      <c r="P62" s="121"/>
      <c r="Q62" s="122"/>
      <c r="R62" s="121" t="s">
        <v>215</v>
      </c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2"/>
      <c r="AK62" s="93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4"/>
    </row>
    <row r="63" spans="2:61" ht="20.100000000000001" customHeight="1" x14ac:dyDescent="0.45">
      <c r="B63" s="123"/>
      <c r="C63" s="31"/>
      <c r="D63" s="31"/>
      <c r="E63" s="31"/>
      <c r="F63" s="31"/>
      <c r="G63" s="96"/>
      <c r="H63" s="97"/>
      <c r="I63" s="31"/>
      <c r="J63" s="124" t="s">
        <v>183</v>
      </c>
      <c r="K63" s="52"/>
      <c r="L63" s="52"/>
      <c r="M63" s="52"/>
      <c r="N63" s="52"/>
      <c r="O63" s="52"/>
      <c r="P63" s="52"/>
      <c r="Q63" s="125"/>
      <c r="R63" s="52" t="s">
        <v>216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25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x14ac:dyDescent="0.45">
      <c r="B64" s="123"/>
      <c r="C64" s="31"/>
      <c r="D64" s="31"/>
      <c r="E64" s="31"/>
      <c r="F64" s="31"/>
      <c r="G64" s="96"/>
      <c r="H64" s="97"/>
      <c r="I64" s="31"/>
      <c r="J64" s="124" t="s">
        <v>184</v>
      </c>
      <c r="K64" s="52"/>
      <c r="L64" s="52"/>
      <c r="M64" s="52"/>
      <c r="N64" s="52"/>
      <c r="O64" s="52"/>
      <c r="P64" s="52"/>
      <c r="Q64" s="125"/>
      <c r="R64" s="52" t="s">
        <v>217</v>
      </c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125"/>
      <c r="AK64" s="9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99"/>
    </row>
    <row r="65" spans="2:61" ht="20.100000000000001" customHeight="1" x14ac:dyDescent="0.45">
      <c r="B65" s="123"/>
      <c r="C65" s="31"/>
      <c r="D65" s="31"/>
      <c r="E65" s="31"/>
      <c r="F65" s="31"/>
      <c r="G65" s="96"/>
      <c r="H65" s="97"/>
      <c r="I65" s="31"/>
      <c r="J65" s="124" t="s">
        <v>157</v>
      </c>
      <c r="K65" s="52"/>
      <c r="L65" s="52"/>
      <c r="M65" s="52"/>
      <c r="N65" s="52"/>
      <c r="O65" s="52"/>
      <c r="P65" s="52"/>
      <c r="Q65" s="125"/>
      <c r="R65" s="52" t="s">
        <v>207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125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123"/>
      <c r="C66" s="31"/>
      <c r="D66" s="31"/>
      <c r="E66" s="31"/>
      <c r="F66" s="31"/>
      <c r="G66" s="96"/>
      <c r="H66" s="31"/>
      <c r="I66" s="31"/>
      <c r="J66" s="124" t="s">
        <v>158</v>
      </c>
      <c r="K66" s="52"/>
      <c r="L66" s="52"/>
      <c r="M66" s="52"/>
      <c r="N66" s="52"/>
      <c r="O66" s="52"/>
      <c r="P66" s="52"/>
      <c r="Q66" s="125"/>
      <c r="R66" s="52" t="s">
        <v>208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25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23"/>
      <c r="C67" s="31"/>
      <c r="D67" s="31"/>
      <c r="E67" s="31"/>
      <c r="F67" s="31"/>
      <c r="G67" s="96"/>
      <c r="H67" s="31"/>
      <c r="I67" s="31"/>
      <c r="J67" s="124" t="s">
        <v>159</v>
      </c>
      <c r="K67" s="52"/>
      <c r="L67" s="52"/>
      <c r="M67" s="52"/>
      <c r="N67" s="52"/>
      <c r="O67" s="52"/>
      <c r="P67" s="52"/>
      <c r="Q67" s="125"/>
      <c r="R67" s="52" t="s">
        <v>209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25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 x14ac:dyDescent="0.45">
      <c r="B68" s="123"/>
      <c r="C68" s="31"/>
      <c r="D68" s="31"/>
      <c r="E68" s="31"/>
      <c r="F68" s="31"/>
      <c r="G68" s="96"/>
      <c r="H68" s="97"/>
      <c r="I68" s="31"/>
      <c r="J68" s="124" t="s">
        <v>160</v>
      </c>
      <c r="K68" s="52"/>
      <c r="L68" s="52"/>
      <c r="M68" s="52"/>
      <c r="N68" s="52"/>
      <c r="O68" s="52"/>
      <c r="P68" s="52"/>
      <c r="Q68" s="125"/>
      <c r="R68" s="52" t="s">
        <v>210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25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19.8" customHeight="1" thickBot="1" x14ac:dyDescent="0.5">
      <c r="B69" s="123"/>
      <c r="C69" s="31"/>
      <c r="D69" s="31"/>
      <c r="E69" s="31"/>
      <c r="F69" s="31"/>
      <c r="G69" s="96"/>
      <c r="H69" s="100" t="s">
        <v>53</v>
      </c>
      <c r="I69" s="55"/>
      <c r="J69" s="100" t="s">
        <v>164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101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102"/>
    </row>
    <row r="70" spans="2:61" ht="20.100000000000001" customHeight="1" x14ac:dyDescent="0.45">
      <c r="B70" s="89" t="s">
        <v>219</v>
      </c>
      <c r="C70" s="90"/>
      <c r="D70" s="90"/>
      <c r="E70" s="90"/>
      <c r="F70" s="90"/>
      <c r="G70" s="91"/>
      <c r="H70" s="92" t="s">
        <v>220</v>
      </c>
      <c r="I70" s="90"/>
      <c r="J70" s="120" t="s">
        <v>179</v>
      </c>
      <c r="K70" s="121"/>
      <c r="L70" s="121"/>
      <c r="M70" s="121"/>
      <c r="N70" s="121"/>
      <c r="O70" s="121"/>
      <c r="P70" s="121"/>
      <c r="Q70" s="122"/>
      <c r="R70" s="121" t="s">
        <v>276</v>
      </c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2"/>
      <c r="AK70" s="93" t="s">
        <v>300</v>
      </c>
      <c r="AL70" s="90"/>
      <c r="AM70" s="90"/>
      <c r="AN70" s="90"/>
      <c r="AO70" s="90"/>
      <c r="AP70" s="90"/>
      <c r="AQ70" s="90"/>
      <c r="AR70" s="90" t="s">
        <v>299</v>
      </c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4"/>
    </row>
    <row r="71" spans="2:61" ht="20.100000000000001" customHeight="1" x14ac:dyDescent="0.45">
      <c r="B71" s="123"/>
      <c r="C71" s="31"/>
      <c r="D71" s="31"/>
      <c r="E71" s="31"/>
      <c r="F71" s="31"/>
      <c r="G71" s="96"/>
      <c r="H71" s="97"/>
      <c r="I71" s="31"/>
      <c r="J71" s="124" t="s">
        <v>222</v>
      </c>
      <c r="K71" s="52"/>
      <c r="L71" s="52"/>
      <c r="M71" s="52"/>
      <c r="N71" s="52"/>
      <c r="O71" s="52"/>
      <c r="P71" s="52"/>
      <c r="Q71" s="125"/>
      <c r="R71" s="52" t="s">
        <v>274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25"/>
      <c r="AK71" s="9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99"/>
    </row>
    <row r="72" spans="2:61" ht="20.100000000000001" customHeight="1" x14ac:dyDescent="0.45">
      <c r="B72" s="123"/>
      <c r="C72" s="31"/>
      <c r="D72" s="31"/>
      <c r="E72" s="31"/>
      <c r="F72" s="31"/>
      <c r="G72" s="96"/>
      <c r="H72" s="97"/>
      <c r="I72" s="31"/>
      <c r="J72" s="124" t="s">
        <v>224</v>
      </c>
      <c r="K72" s="52"/>
      <c r="L72" s="52"/>
      <c r="M72" s="52"/>
      <c r="N72" s="52"/>
      <c r="O72" s="52"/>
      <c r="P72" s="52"/>
      <c r="Q72" s="125"/>
      <c r="R72" s="52" t="s">
        <v>264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25"/>
      <c r="AK72" s="9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99"/>
    </row>
    <row r="73" spans="2:61" ht="20.100000000000001" customHeight="1" x14ac:dyDescent="0.45">
      <c r="B73" s="123"/>
      <c r="C73" s="31"/>
      <c r="D73" s="31"/>
      <c r="E73" s="31"/>
      <c r="F73" s="31"/>
      <c r="G73" s="96"/>
      <c r="H73" s="97"/>
      <c r="I73" s="31"/>
      <c r="J73" s="124" t="s">
        <v>226</v>
      </c>
      <c r="K73" s="52"/>
      <c r="L73" s="52"/>
      <c r="M73" s="52"/>
      <c r="N73" s="52"/>
      <c r="O73" s="52"/>
      <c r="P73" s="52"/>
      <c r="Q73" s="125"/>
      <c r="R73" s="52" t="s">
        <v>275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25"/>
      <c r="AK73" s="9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99"/>
    </row>
    <row r="74" spans="2:61" ht="20.100000000000001" customHeight="1" x14ac:dyDescent="0.45">
      <c r="B74" s="123"/>
      <c r="C74" s="31"/>
      <c r="D74" s="31"/>
      <c r="E74" s="31"/>
      <c r="F74" s="31"/>
      <c r="G74" s="96"/>
      <c r="H74" s="31"/>
      <c r="I74" s="31"/>
      <c r="J74" s="124" t="s">
        <v>228</v>
      </c>
      <c r="K74" s="52"/>
      <c r="L74" s="52"/>
      <c r="M74" s="52"/>
      <c r="N74" s="52"/>
      <c r="O74" s="52"/>
      <c r="P74" s="52"/>
      <c r="Q74" s="125"/>
      <c r="R74" s="52" t="s">
        <v>278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25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3"/>
      <c r="C75" s="31"/>
      <c r="D75" s="31"/>
      <c r="E75" s="31"/>
      <c r="F75" s="31"/>
      <c r="G75" s="96"/>
      <c r="H75" s="31"/>
      <c r="I75" s="31"/>
      <c r="J75" s="124" t="s">
        <v>230</v>
      </c>
      <c r="K75" s="52"/>
      <c r="L75" s="52"/>
      <c r="M75" s="52"/>
      <c r="N75" s="52"/>
      <c r="O75" s="52"/>
      <c r="P75" s="52"/>
      <c r="Q75" s="125"/>
      <c r="R75" s="52" t="s">
        <v>295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25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23"/>
      <c r="C76" s="31"/>
      <c r="D76" s="31"/>
      <c r="E76" s="31"/>
      <c r="F76" s="31"/>
      <c r="G76" s="96"/>
      <c r="H76" s="97"/>
      <c r="I76" s="31"/>
      <c r="J76" s="124" t="s">
        <v>232</v>
      </c>
      <c r="K76" s="52"/>
      <c r="L76" s="52"/>
      <c r="M76" s="52"/>
      <c r="N76" s="52"/>
      <c r="O76" s="52"/>
      <c r="P76" s="52"/>
      <c r="Q76" s="125"/>
      <c r="R76" s="52" t="s">
        <v>279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25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123"/>
      <c r="C77" s="31"/>
      <c r="D77" s="31"/>
      <c r="E77" s="31"/>
      <c r="F77" s="31"/>
      <c r="G77" s="96"/>
      <c r="H77" s="97"/>
      <c r="I77" s="31"/>
      <c r="J77" s="124" t="s">
        <v>234</v>
      </c>
      <c r="K77" s="52"/>
      <c r="L77" s="52"/>
      <c r="M77" s="52"/>
      <c r="N77" s="52"/>
      <c r="O77" s="52"/>
      <c r="P77" s="52"/>
      <c r="Q77" s="125"/>
      <c r="R77" s="52" t="s">
        <v>280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25"/>
      <c r="AK77" s="98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 x14ac:dyDescent="0.45">
      <c r="B78" s="123"/>
      <c r="C78" s="31"/>
      <c r="D78" s="31"/>
      <c r="E78" s="31"/>
      <c r="F78" s="31"/>
      <c r="G78" s="96"/>
      <c r="H78" s="97"/>
      <c r="I78" s="31"/>
      <c r="J78" s="124" t="s">
        <v>236</v>
      </c>
      <c r="K78" s="52"/>
      <c r="L78" s="52"/>
      <c r="M78" s="52"/>
      <c r="N78" s="52"/>
      <c r="O78" s="52"/>
      <c r="P78" s="52"/>
      <c r="Q78" s="125"/>
      <c r="R78" s="52" t="s">
        <v>281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25"/>
      <c r="AK78" s="98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99"/>
    </row>
    <row r="79" spans="2:61" ht="20.100000000000001" customHeight="1" x14ac:dyDescent="0.45">
      <c r="B79" s="123"/>
      <c r="C79" s="31"/>
      <c r="D79" s="31"/>
      <c r="E79" s="31"/>
      <c r="F79" s="31"/>
      <c r="G79" s="96"/>
      <c r="H79" s="31"/>
      <c r="I79" s="31"/>
      <c r="J79" s="124" t="s">
        <v>238</v>
      </c>
      <c r="K79" s="52"/>
      <c r="L79" s="52"/>
      <c r="M79" s="52"/>
      <c r="N79" s="52"/>
      <c r="O79" s="52"/>
      <c r="P79" s="52"/>
      <c r="Q79" s="125"/>
      <c r="R79" s="52" t="s">
        <v>282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25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123"/>
      <c r="C80" s="31"/>
      <c r="D80" s="31"/>
      <c r="E80" s="31"/>
      <c r="F80" s="31"/>
      <c r="G80" s="96"/>
      <c r="H80" s="31"/>
      <c r="I80" s="31"/>
      <c r="J80" s="124" t="s">
        <v>240</v>
      </c>
      <c r="K80" s="52"/>
      <c r="L80" s="52"/>
      <c r="M80" s="52"/>
      <c r="N80" s="52"/>
      <c r="O80" s="52"/>
      <c r="P80" s="52"/>
      <c r="Q80" s="125"/>
      <c r="R80" s="52" t="s">
        <v>283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25"/>
      <c r="AK80" s="98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 x14ac:dyDescent="0.45">
      <c r="B81" s="123"/>
      <c r="C81" s="31"/>
      <c r="D81" s="31"/>
      <c r="E81" s="31"/>
      <c r="F81" s="31"/>
      <c r="G81" s="96"/>
      <c r="H81" s="97"/>
      <c r="I81" s="31"/>
      <c r="J81" s="124" t="s">
        <v>242</v>
      </c>
      <c r="K81" s="52"/>
      <c r="L81" s="52"/>
      <c r="M81" s="52"/>
      <c r="N81" s="52"/>
      <c r="O81" s="52"/>
      <c r="P81" s="52"/>
      <c r="Q81" s="125"/>
      <c r="R81" s="52" t="s">
        <v>284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25"/>
      <c r="AK81" s="98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123"/>
      <c r="C82" s="31"/>
      <c r="D82" s="31"/>
      <c r="E82" s="31"/>
      <c r="F82" s="31"/>
      <c r="G82" s="96"/>
      <c r="H82" s="97"/>
      <c r="I82" s="31"/>
      <c r="J82" s="124" t="s">
        <v>244</v>
      </c>
      <c r="K82" s="52"/>
      <c r="L82" s="52"/>
      <c r="M82" s="52"/>
      <c r="N82" s="52"/>
      <c r="O82" s="52"/>
      <c r="P82" s="52"/>
      <c r="Q82" s="125"/>
      <c r="R82" s="52" t="s">
        <v>285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25"/>
      <c r="AK82" s="98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 x14ac:dyDescent="0.45">
      <c r="B83" s="123"/>
      <c r="C83" s="31"/>
      <c r="D83" s="31"/>
      <c r="E83" s="31"/>
      <c r="F83" s="31"/>
      <c r="G83" s="96"/>
      <c r="H83" s="97"/>
      <c r="I83" s="31"/>
      <c r="J83" s="124" t="s">
        <v>246</v>
      </c>
      <c r="K83" s="52"/>
      <c r="L83" s="52"/>
      <c r="M83" s="52"/>
      <c r="N83" s="52"/>
      <c r="O83" s="52"/>
      <c r="P83" s="52"/>
      <c r="Q83" s="125"/>
      <c r="R83" s="52" t="s">
        <v>286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25"/>
      <c r="AK83" s="98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 x14ac:dyDescent="0.45">
      <c r="B84" s="123"/>
      <c r="C84" s="31"/>
      <c r="D84" s="31"/>
      <c r="E84" s="31"/>
      <c r="F84" s="31"/>
      <c r="G84" s="96"/>
      <c r="H84" s="31"/>
      <c r="I84" s="31"/>
      <c r="J84" s="124" t="s">
        <v>248</v>
      </c>
      <c r="K84" s="52"/>
      <c r="L84" s="52"/>
      <c r="M84" s="52"/>
      <c r="N84" s="52"/>
      <c r="O84" s="52"/>
      <c r="P84" s="52"/>
      <c r="Q84" s="125"/>
      <c r="R84" s="52" t="s">
        <v>287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25"/>
      <c r="AK84" s="98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 x14ac:dyDescent="0.45">
      <c r="B85" s="123"/>
      <c r="C85" s="31"/>
      <c r="D85" s="31"/>
      <c r="E85" s="31"/>
      <c r="F85" s="31"/>
      <c r="G85" s="96"/>
      <c r="H85" s="31"/>
      <c r="I85" s="31"/>
      <c r="J85" s="124" t="s">
        <v>250</v>
      </c>
      <c r="K85" s="52"/>
      <c r="L85" s="52"/>
      <c r="M85" s="52"/>
      <c r="N85" s="52"/>
      <c r="O85" s="52"/>
      <c r="P85" s="52"/>
      <c r="Q85" s="125"/>
      <c r="R85" s="52" t="s">
        <v>288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25"/>
      <c r="AK85" s="98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 x14ac:dyDescent="0.45">
      <c r="B86" s="123"/>
      <c r="C86" s="31"/>
      <c r="D86" s="31"/>
      <c r="E86" s="31"/>
      <c r="F86" s="31"/>
      <c r="G86" s="96"/>
      <c r="H86" s="97"/>
      <c r="I86" s="31"/>
      <c r="J86" s="124" t="s">
        <v>252</v>
      </c>
      <c r="K86" s="52"/>
      <c r="L86" s="52"/>
      <c r="M86" s="52"/>
      <c r="N86" s="52"/>
      <c r="O86" s="52"/>
      <c r="P86" s="52"/>
      <c r="Q86" s="125"/>
      <c r="R86" s="52" t="s">
        <v>289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25"/>
      <c r="AK86" s="98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20.100000000000001" customHeight="1" x14ac:dyDescent="0.45">
      <c r="B87" s="123"/>
      <c r="C87" s="31"/>
      <c r="D87" s="31"/>
      <c r="E87" s="31"/>
      <c r="F87" s="31"/>
      <c r="G87" s="96"/>
      <c r="H87" s="97"/>
      <c r="I87" s="31"/>
      <c r="J87" s="124" t="s">
        <v>254</v>
      </c>
      <c r="K87" s="52"/>
      <c r="L87" s="52"/>
      <c r="M87" s="52"/>
      <c r="N87" s="52"/>
      <c r="O87" s="52"/>
      <c r="P87" s="52"/>
      <c r="Q87" s="125"/>
      <c r="R87" s="52" t="s">
        <v>290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25"/>
      <c r="AK87" s="98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99"/>
    </row>
    <row r="88" spans="2:61" ht="20.100000000000001" customHeight="1" x14ac:dyDescent="0.45">
      <c r="B88" s="123"/>
      <c r="C88" s="31"/>
      <c r="D88" s="31"/>
      <c r="E88" s="31"/>
      <c r="F88" s="31"/>
      <c r="G88" s="96"/>
      <c r="H88" s="97"/>
      <c r="I88" s="31"/>
      <c r="J88" s="124" t="s">
        <v>256</v>
      </c>
      <c r="K88" s="52"/>
      <c r="L88" s="52"/>
      <c r="M88" s="52"/>
      <c r="N88" s="52"/>
      <c r="O88" s="52"/>
      <c r="P88" s="52"/>
      <c r="Q88" s="125"/>
      <c r="R88" s="52" t="s">
        <v>291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25"/>
      <c r="AK88" s="98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x14ac:dyDescent="0.45">
      <c r="B89" s="123"/>
      <c r="C89" s="31"/>
      <c r="D89" s="31"/>
      <c r="E89" s="31"/>
      <c r="F89" s="31"/>
      <c r="G89" s="96"/>
      <c r="H89" s="97"/>
      <c r="I89" s="31"/>
      <c r="J89" s="124" t="s">
        <v>257</v>
      </c>
      <c r="K89" s="52"/>
      <c r="L89" s="52"/>
      <c r="M89" s="52"/>
      <c r="N89" s="52"/>
      <c r="O89" s="52"/>
      <c r="P89" s="52"/>
      <c r="Q89" s="125"/>
      <c r="R89" s="52" t="s">
        <v>292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25"/>
      <c r="AK89" s="98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 x14ac:dyDescent="0.45">
      <c r="B90" s="123"/>
      <c r="C90" s="31"/>
      <c r="D90" s="31"/>
      <c r="E90" s="31"/>
      <c r="F90" s="31"/>
      <c r="G90" s="96"/>
      <c r="H90" s="97"/>
      <c r="I90" s="31"/>
      <c r="J90" s="124" t="s">
        <v>259</v>
      </c>
      <c r="K90" s="52"/>
      <c r="L90" s="52"/>
      <c r="M90" s="52"/>
      <c r="N90" s="52"/>
      <c r="O90" s="52"/>
      <c r="P90" s="52"/>
      <c r="Q90" s="125"/>
      <c r="R90" s="52" t="s">
        <v>293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25"/>
      <c r="AK90" s="98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 x14ac:dyDescent="0.45">
      <c r="B91" s="123"/>
      <c r="C91" s="31"/>
      <c r="D91" s="31"/>
      <c r="E91" s="31"/>
      <c r="F91" s="31"/>
      <c r="G91" s="96"/>
      <c r="H91" s="31"/>
      <c r="I91" s="31"/>
      <c r="J91" s="124" t="s">
        <v>261</v>
      </c>
      <c r="K91" s="52"/>
      <c r="L91" s="52"/>
      <c r="M91" s="52"/>
      <c r="N91" s="52"/>
      <c r="O91" s="52"/>
      <c r="P91" s="52"/>
      <c r="Q91" s="125"/>
      <c r="R91" s="52" t="s">
        <v>294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25"/>
      <c r="AK91" s="98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 x14ac:dyDescent="0.45">
      <c r="B92" s="123"/>
      <c r="C92" s="31"/>
      <c r="D92" s="31"/>
      <c r="E92" s="31"/>
      <c r="F92" s="31"/>
      <c r="G92" s="96"/>
      <c r="H92" s="31"/>
      <c r="I92" s="31"/>
      <c r="J92" s="124" t="s">
        <v>263</v>
      </c>
      <c r="K92" s="52"/>
      <c r="L92" s="52"/>
      <c r="M92" s="52"/>
      <c r="N92" s="52"/>
      <c r="O92" s="52"/>
      <c r="P92" s="52"/>
      <c r="Q92" s="125"/>
      <c r="R92" s="52" t="s">
        <v>277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25"/>
      <c r="AK92" s="98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19.8" customHeight="1" x14ac:dyDescent="0.45">
      <c r="B93" s="123"/>
      <c r="C93" s="31"/>
      <c r="D93" s="31"/>
      <c r="E93" s="31"/>
      <c r="F93" s="31"/>
      <c r="G93" s="96"/>
      <c r="H93" s="100" t="s">
        <v>53</v>
      </c>
      <c r="I93" s="55"/>
      <c r="J93" s="100" t="s">
        <v>265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101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102"/>
    </row>
    <row r="94" spans="2:61" ht="20.100000000000001" customHeight="1" x14ac:dyDescent="0.45">
      <c r="B94" s="95"/>
      <c r="C94" s="31"/>
      <c r="D94" s="31"/>
      <c r="E94" s="31"/>
      <c r="F94" s="31"/>
      <c r="G94" s="96"/>
      <c r="H94" s="100" t="s">
        <v>54</v>
      </c>
      <c r="I94" s="55"/>
      <c r="J94" s="100" t="s">
        <v>266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101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102"/>
    </row>
    <row r="95" spans="2:61" ht="20.100000000000001" customHeight="1" x14ac:dyDescent="0.45">
      <c r="B95" s="95"/>
      <c r="C95" s="31"/>
      <c r="D95" s="31"/>
      <c r="E95" s="31"/>
      <c r="F95" s="31"/>
      <c r="G95" s="96"/>
      <c r="H95" s="97"/>
      <c r="I95" s="31"/>
      <c r="J95" s="97"/>
      <c r="K95" s="31" t="s">
        <v>267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98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x14ac:dyDescent="0.45">
      <c r="B96" s="95"/>
      <c r="C96" s="31"/>
      <c r="D96" s="31"/>
      <c r="E96" s="31"/>
      <c r="F96" s="31"/>
      <c r="G96" s="96"/>
      <c r="H96" s="97"/>
      <c r="I96" s="31"/>
      <c r="J96" s="97" t="s">
        <v>268</v>
      </c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98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99"/>
    </row>
    <row r="97" spans="2:61" ht="20.100000000000001" customHeight="1" x14ac:dyDescent="0.45">
      <c r="B97" s="95"/>
      <c r="C97" s="31"/>
      <c r="D97" s="31"/>
      <c r="E97" s="31"/>
      <c r="F97" s="31"/>
      <c r="G97" s="96"/>
      <c r="H97" s="97"/>
      <c r="I97" s="31"/>
      <c r="J97" s="97"/>
      <c r="K97" s="31" t="s">
        <v>269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98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99"/>
    </row>
    <row r="98" spans="2:61" ht="20.100000000000001" customHeight="1" x14ac:dyDescent="0.45">
      <c r="B98" s="95"/>
      <c r="C98" s="31"/>
      <c r="D98" s="31"/>
      <c r="E98" s="31"/>
      <c r="F98" s="31"/>
      <c r="G98" s="96"/>
      <c r="H98" s="97"/>
      <c r="I98" s="31"/>
      <c r="J98" s="97" t="s">
        <v>272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98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99"/>
    </row>
    <row r="99" spans="2:61" ht="20.100000000000001" customHeight="1" x14ac:dyDescent="0.45">
      <c r="B99" s="95"/>
      <c r="C99" s="31"/>
      <c r="D99" s="31"/>
      <c r="E99" s="31"/>
      <c r="F99" s="31"/>
      <c r="G99" s="96"/>
      <c r="H99" s="97"/>
      <c r="I99" s="31"/>
      <c r="J99" s="97"/>
      <c r="K99" s="31" t="s">
        <v>270</v>
      </c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98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99"/>
    </row>
    <row r="100" spans="2:61" ht="20.100000000000001" customHeight="1" x14ac:dyDescent="0.45">
      <c r="B100" s="95"/>
      <c r="C100" s="31"/>
      <c r="D100" s="31"/>
      <c r="E100" s="31"/>
      <c r="F100" s="31"/>
      <c r="G100" s="96"/>
      <c r="H100" s="97"/>
      <c r="I100" s="31"/>
      <c r="J100" s="97" t="s">
        <v>273</v>
      </c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98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99"/>
    </row>
    <row r="101" spans="2:61" ht="20.100000000000001" customHeight="1" x14ac:dyDescent="0.45">
      <c r="B101" s="95"/>
      <c r="C101" s="31"/>
      <c r="D101" s="31"/>
      <c r="E101" s="31"/>
      <c r="F101" s="31"/>
      <c r="G101" s="96"/>
      <c r="H101" s="97"/>
      <c r="I101" s="31"/>
      <c r="J101" s="97"/>
      <c r="K101" s="31" t="s">
        <v>271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98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99"/>
    </row>
    <row r="102" spans="2:61" ht="20.100000000000001" customHeight="1" x14ac:dyDescent="0.45">
      <c r="B102" s="95"/>
      <c r="C102" s="31"/>
      <c r="D102" s="31"/>
      <c r="E102" s="31"/>
      <c r="F102" s="31"/>
      <c r="G102" s="96"/>
      <c r="H102" s="100" t="s">
        <v>55</v>
      </c>
      <c r="I102" s="55"/>
      <c r="J102" s="100" t="s">
        <v>296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131"/>
      <c r="AK102" s="100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102"/>
    </row>
    <row r="103" spans="2:61" ht="20.100000000000001" customHeight="1" x14ac:dyDescent="0.45">
      <c r="B103" s="95"/>
      <c r="C103" s="31"/>
      <c r="D103" s="31"/>
      <c r="E103" s="31"/>
      <c r="F103" s="31"/>
      <c r="G103" s="96"/>
      <c r="H103" s="97"/>
      <c r="I103" s="31"/>
      <c r="J103" s="97"/>
      <c r="K103" s="31" t="s">
        <v>297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97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99"/>
    </row>
    <row r="104" spans="2:61" ht="20.100000000000001" customHeight="1" thickBot="1" x14ac:dyDescent="0.5">
      <c r="B104" s="95"/>
      <c r="C104" s="31"/>
      <c r="D104" s="31"/>
      <c r="E104" s="31"/>
      <c r="F104" s="31"/>
      <c r="G104" s="96"/>
      <c r="H104" s="97"/>
      <c r="I104" s="31"/>
      <c r="J104" s="97"/>
      <c r="K104" s="31" t="s">
        <v>298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97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99"/>
    </row>
    <row r="105" spans="2:61" ht="20.100000000000001" customHeight="1" x14ac:dyDescent="0.45">
      <c r="B105" s="89" t="s">
        <v>219</v>
      </c>
      <c r="C105" s="90"/>
      <c r="D105" s="90"/>
      <c r="E105" s="90"/>
      <c r="F105" s="90"/>
      <c r="G105" s="91"/>
      <c r="H105" s="92" t="s">
        <v>220</v>
      </c>
      <c r="I105" s="90"/>
      <c r="J105" s="120" t="s">
        <v>179</v>
      </c>
      <c r="K105" s="121"/>
      <c r="L105" s="121"/>
      <c r="M105" s="121"/>
      <c r="N105" s="121"/>
      <c r="O105" s="121"/>
      <c r="P105" s="121"/>
      <c r="Q105" s="122"/>
      <c r="R105" s="121" t="s">
        <v>307</v>
      </c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2"/>
      <c r="AK105" s="93" t="s">
        <v>300</v>
      </c>
      <c r="AL105" s="90"/>
      <c r="AM105" s="90"/>
      <c r="AN105" s="90"/>
      <c r="AO105" s="90"/>
      <c r="AP105" s="90"/>
      <c r="AQ105" s="90"/>
      <c r="AR105" s="90" t="s">
        <v>301</v>
      </c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4"/>
    </row>
    <row r="106" spans="2:61" ht="20.100000000000001" customHeight="1" x14ac:dyDescent="0.45">
      <c r="B106" s="123"/>
      <c r="C106" s="31"/>
      <c r="D106" s="31"/>
      <c r="E106" s="31"/>
      <c r="F106" s="31"/>
      <c r="G106" s="96"/>
      <c r="H106" s="97"/>
      <c r="I106" s="31"/>
      <c r="J106" s="124" t="s">
        <v>222</v>
      </c>
      <c r="K106" s="52"/>
      <c r="L106" s="52"/>
      <c r="M106" s="52"/>
      <c r="N106" s="52"/>
      <c r="O106" s="52"/>
      <c r="P106" s="52"/>
      <c r="Q106" s="125"/>
      <c r="R106" s="52" t="s">
        <v>308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125"/>
      <c r="AK106" s="98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99"/>
    </row>
    <row r="107" spans="2:61" ht="20.100000000000001" customHeight="1" x14ac:dyDescent="0.45">
      <c r="B107" s="123"/>
      <c r="C107" s="31"/>
      <c r="D107" s="31"/>
      <c r="E107" s="31"/>
      <c r="F107" s="31"/>
      <c r="G107" s="96"/>
      <c r="H107" s="97"/>
      <c r="I107" s="31"/>
      <c r="J107" s="124" t="s">
        <v>224</v>
      </c>
      <c r="K107" s="52"/>
      <c r="L107" s="52"/>
      <c r="M107" s="52"/>
      <c r="N107" s="52"/>
      <c r="O107" s="52"/>
      <c r="P107" s="52"/>
      <c r="Q107" s="125"/>
      <c r="R107" s="52" t="s">
        <v>302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125"/>
      <c r="AK107" s="98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99"/>
    </row>
    <row r="108" spans="2:61" ht="20.100000000000001" customHeight="1" x14ac:dyDescent="0.45">
      <c r="B108" s="123"/>
      <c r="C108" s="31"/>
      <c r="D108" s="31"/>
      <c r="E108" s="31"/>
      <c r="F108" s="31"/>
      <c r="G108" s="96"/>
      <c r="H108" s="97"/>
      <c r="I108" s="31"/>
      <c r="J108" s="124" t="s">
        <v>226</v>
      </c>
      <c r="K108" s="52"/>
      <c r="L108" s="52"/>
      <c r="M108" s="52"/>
      <c r="N108" s="52"/>
      <c r="O108" s="52"/>
      <c r="P108" s="52"/>
      <c r="Q108" s="125"/>
      <c r="R108" s="52" t="s">
        <v>309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125"/>
      <c r="AK108" s="98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99"/>
    </row>
    <row r="109" spans="2:61" ht="20.100000000000001" customHeight="1" x14ac:dyDescent="0.45">
      <c r="B109" s="123"/>
      <c r="C109" s="31"/>
      <c r="D109" s="31"/>
      <c r="E109" s="31"/>
      <c r="F109" s="31"/>
      <c r="G109" s="96"/>
      <c r="H109" s="31"/>
      <c r="I109" s="31"/>
      <c r="J109" s="124" t="s">
        <v>228</v>
      </c>
      <c r="K109" s="52"/>
      <c r="L109" s="52"/>
      <c r="M109" s="52"/>
      <c r="N109" s="52"/>
      <c r="O109" s="52"/>
      <c r="P109" s="52"/>
      <c r="Q109" s="125"/>
      <c r="R109" s="132" t="s">
        <v>303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125"/>
      <c r="AK109" s="98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99"/>
    </row>
    <row r="110" spans="2:61" ht="20.100000000000001" customHeight="1" x14ac:dyDescent="0.45">
      <c r="B110" s="123"/>
      <c r="C110" s="31"/>
      <c r="D110" s="31"/>
      <c r="E110" s="31"/>
      <c r="F110" s="31"/>
      <c r="G110" s="96"/>
      <c r="H110" s="31"/>
      <c r="I110" s="31"/>
      <c r="J110" s="124" t="s">
        <v>230</v>
      </c>
      <c r="K110" s="52"/>
      <c r="L110" s="52"/>
      <c r="M110" s="52"/>
      <c r="N110" s="52"/>
      <c r="O110" s="52"/>
      <c r="P110" s="52"/>
      <c r="Q110" s="125"/>
      <c r="R110" s="52" t="s">
        <v>304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25"/>
      <c r="AK110" s="98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99"/>
    </row>
    <row r="111" spans="2:61" ht="20.100000000000001" customHeight="1" x14ac:dyDescent="0.45">
      <c r="B111" s="123"/>
      <c r="C111" s="31"/>
      <c r="D111" s="31"/>
      <c r="E111" s="31"/>
      <c r="F111" s="31"/>
      <c r="G111" s="96"/>
      <c r="H111" s="97"/>
      <c r="I111" s="31"/>
      <c r="J111" s="124" t="s">
        <v>232</v>
      </c>
      <c r="K111" s="52"/>
      <c r="L111" s="52"/>
      <c r="M111" s="52"/>
      <c r="N111" s="52"/>
      <c r="O111" s="52"/>
      <c r="P111" s="52"/>
      <c r="Q111" s="125"/>
      <c r="R111" s="52" t="s">
        <v>305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25"/>
      <c r="AK111" s="98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99"/>
    </row>
    <row r="112" spans="2:61" ht="20.100000000000001" customHeight="1" x14ac:dyDescent="0.45">
      <c r="B112" s="123"/>
      <c r="C112" s="31"/>
      <c r="D112" s="31"/>
      <c r="E112" s="31"/>
      <c r="F112" s="31"/>
      <c r="G112" s="96"/>
      <c r="H112" s="97"/>
      <c r="I112" s="31"/>
      <c r="J112" s="124" t="s">
        <v>234</v>
      </c>
      <c r="K112" s="52"/>
      <c r="L112" s="52"/>
      <c r="M112" s="52"/>
      <c r="N112" s="52"/>
      <c r="O112" s="52"/>
      <c r="P112" s="52"/>
      <c r="Q112" s="125"/>
      <c r="R112" s="52" t="s">
        <v>305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25"/>
      <c r="AK112" s="98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99"/>
    </row>
    <row r="113" spans="2:61" ht="20.100000000000001" customHeight="1" x14ac:dyDescent="0.45">
      <c r="B113" s="123"/>
      <c r="C113" s="31"/>
      <c r="D113" s="31"/>
      <c r="E113" s="31"/>
      <c r="F113" s="31"/>
      <c r="G113" s="96"/>
      <c r="H113" s="97"/>
      <c r="I113" s="31"/>
      <c r="J113" s="124" t="s">
        <v>236</v>
      </c>
      <c r="K113" s="52"/>
      <c r="L113" s="52"/>
      <c r="M113" s="52"/>
      <c r="N113" s="52"/>
      <c r="O113" s="52"/>
      <c r="P113" s="52"/>
      <c r="Q113" s="125"/>
      <c r="R113" s="52" t="s">
        <v>305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125"/>
      <c r="AK113" s="98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99"/>
    </row>
    <row r="114" spans="2:61" ht="20.100000000000001" customHeight="1" x14ac:dyDescent="0.45">
      <c r="B114" s="123"/>
      <c r="C114" s="31"/>
      <c r="D114" s="31"/>
      <c r="E114" s="31"/>
      <c r="F114" s="31"/>
      <c r="G114" s="96"/>
      <c r="H114" s="31"/>
      <c r="I114" s="31"/>
      <c r="J114" s="124" t="s">
        <v>238</v>
      </c>
      <c r="K114" s="52"/>
      <c r="L114" s="52"/>
      <c r="M114" s="52"/>
      <c r="N114" s="52"/>
      <c r="O114" s="52"/>
      <c r="P114" s="52"/>
      <c r="Q114" s="125"/>
      <c r="R114" s="52" t="s">
        <v>305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25"/>
      <c r="AK114" s="98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99"/>
    </row>
    <row r="115" spans="2:61" ht="20.100000000000001" customHeight="1" x14ac:dyDescent="0.45">
      <c r="B115" s="123"/>
      <c r="C115" s="31"/>
      <c r="D115" s="31"/>
      <c r="E115" s="31"/>
      <c r="F115" s="31"/>
      <c r="G115" s="96"/>
      <c r="H115" s="31"/>
      <c r="I115" s="31"/>
      <c r="J115" s="124" t="s">
        <v>240</v>
      </c>
      <c r="K115" s="52"/>
      <c r="L115" s="52"/>
      <c r="M115" s="52"/>
      <c r="N115" s="52"/>
      <c r="O115" s="52"/>
      <c r="P115" s="52"/>
      <c r="Q115" s="125"/>
      <c r="R115" s="52" t="s">
        <v>306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25"/>
      <c r="AK115" s="98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99"/>
    </row>
    <row r="116" spans="2:61" ht="20.100000000000001" customHeight="1" x14ac:dyDescent="0.45">
      <c r="B116" s="123"/>
      <c r="C116" s="31"/>
      <c r="D116" s="31"/>
      <c r="E116" s="31"/>
      <c r="F116" s="31"/>
      <c r="G116" s="96"/>
      <c r="H116" s="97"/>
      <c r="I116" s="31"/>
      <c r="J116" s="124" t="s">
        <v>242</v>
      </c>
      <c r="K116" s="52"/>
      <c r="L116" s="52"/>
      <c r="M116" s="52"/>
      <c r="N116" s="52"/>
      <c r="O116" s="52"/>
      <c r="P116" s="52"/>
      <c r="Q116" s="125"/>
      <c r="R116" s="52" t="s">
        <v>305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125"/>
      <c r="AK116" s="98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99"/>
    </row>
    <row r="117" spans="2:61" ht="20.100000000000001" customHeight="1" x14ac:dyDescent="0.45">
      <c r="B117" s="123"/>
      <c r="C117" s="31"/>
      <c r="D117" s="31"/>
      <c r="E117" s="31"/>
      <c r="F117" s="31"/>
      <c r="G117" s="96"/>
      <c r="H117" s="97"/>
      <c r="I117" s="31"/>
      <c r="J117" s="124" t="s">
        <v>244</v>
      </c>
      <c r="K117" s="52"/>
      <c r="L117" s="52"/>
      <c r="M117" s="52"/>
      <c r="N117" s="52"/>
      <c r="O117" s="52"/>
      <c r="P117" s="52"/>
      <c r="Q117" s="125"/>
      <c r="R117" s="52" t="s">
        <v>305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125"/>
      <c r="AK117" s="98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99"/>
    </row>
    <row r="118" spans="2:61" ht="20.100000000000001" customHeight="1" x14ac:dyDescent="0.45">
      <c r="B118" s="123"/>
      <c r="C118" s="31"/>
      <c r="D118" s="31"/>
      <c r="E118" s="31"/>
      <c r="F118" s="31"/>
      <c r="G118" s="96"/>
      <c r="H118" s="97"/>
      <c r="I118" s="31"/>
      <c r="J118" s="124" t="s">
        <v>246</v>
      </c>
      <c r="K118" s="52"/>
      <c r="L118" s="52"/>
      <c r="M118" s="52"/>
      <c r="N118" s="52"/>
      <c r="O118" s="52"/>
      <c r="P118" s="52"/>
      <c r="Q118" s="125"/>
      <c r="R118" s="52" t="s">
        <v>305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125"/>
      <c r="AK118" s="98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99"/>
    </row>
    <row r="119" spans="2:61" ht="20.100000000000001" customHeight="1" x14ac:dyDescent="0.45">
      <c r="B119" s="123"/>
      <c r="C119" s="31"/>
      <c r="D119" s="31"/>
      <c r="E119" s="31"/>
      <c r="F119" s="31"/>
      <c r="G119" s="96"/>
      <c r="H119" s="31"/>
      <c r="I119" s="31"/>
      <c r="J119" s="124" t="s">
        <v>248</v>
      </c>
      <c r="K119" s="52"/>
      <c r="L119" s="52"/>
      <c r="M119" s="52"/>
      <c r="N119" s="52"/>
      <c r="O119" s="52"/>
      <c r="P119" s="52"/>
      <c r="Q119" s="125"/>
      <c r="R119" s="52" t="s">
        <v>305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125"/>
      <c r="AK119" s="98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99"/>
    </row>
    <row r="120" spans="2:61" ht="20.100000000000001" customHeight="1" x14ac:dyDescent="0.45">
      <c r="B120" s="123"/>
      <c r="C120" s="31"/>
      <c r="D120" s="31"/>
      <c r="E120" s="31"/>
      <c r="F120" s="31"/>
      <c r="G120" s="96"/>
      <c r="H120" s="31"/>
      <c r="I120" s="31"/>
      <c r="J120" s="124" t="s">
        <v>250</v>
      </c>
      <c r="K120" s="52"/>
      <c r="L120" s="52"/>
      <c r="M120" s="52"/>
      <c r="N120" s="52"/>
      <c r="O120" s="52"/>
      <c r="P120" s="52"/>
      <c r="Q120" s="125"/>
      <c r="R120" s="52" t="s">
        <v>305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125"/>
      <c r="AK120" s="98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99"/>
    </row>
    <row r="121" spans="2:61" ht="20.100000000000001" customHeight="1" x14ac:dyDescent="0.45">
      <c r="B121" s="123"/>
      <c r="C121" s="31"/>
      <c r="D121" s="31"/>
      <c r="E121" s="31"/>
      <c r="F121" s="31"/>
      <c r="G121" s="96"/>
      <c r="H121" s="97"/>
      <c r="I121" s="31"/>
      <c r="J121" s="124" t="s">
        <v>252</v>
      </c>
      <c r="K121" s="52"/>
      <c r="L121" s="52"/>
      <c r="M121" s="52"/>
      <c r="N121" s="52"/>
      <c r="O121" s="52"/>
      <c r="P121" s="52"/>
      <c r="Q121" s="125"/>
      <c r="R121" s="52" t="s">
        <v>305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125"/>
      <c r="AK121" s="98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99"/>
    </row>
    <row r="122" spans="2:61" ht="20.100000000000001" customHeight="1" x14ac:dyDescent="0.45">
      <c r="B122" s="123"/>
      <c r="C122" s="31"/>
      <c r="D122" s="31"/>
      <c r="E122" s="31"/>
      <c r="F122" s="31"/>
      <c r="G122" s="96"/>
      <c r="H122" s="97"/>
      <c r="I122" s="31"/>
      <c r="J122" s="124" t="s">
        <v>254</v>
      </c>
      <c r="K122" s="52"/>
      <c r="L122" s="52"/>
      <c r="M122" s="52"/>
      <c r="N122" s="52"/>
      <c r="O122" s="52"/>
      <c r="P122" s="52"/>
      <c r="Q122" s="125"/>
      <c r="R122" s="52" t="s">
        <v>305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125"/>
      <c r="AK122" s="98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99"/>
    </row>
    <row r="123" spans="2:61" ht="20.100000000000001" customHeight="1" x14ac:dyDescent="0.45">
      <c r="B123" s="123"/>
      <c r="C123" s="31"/>
      <c r="D123" s="31"/>
      <c r="E123" s="31"/>
      <c r="F123" s="31"/>
      <c r="G123" s="96"/>
      <c r="H123" s="97"/>
      <c r="I123" s="31"/>
      <c r="J123" s="124" t="s">
        <v>256</v>
      </c>
      <c r="K123" s="52"/>
      <c r="L123" s="52"/>
      <c r="M123" s="52"/>
      <c r="N123" s="52"/>
      <c r="O123" s="52"/>
      <c r="P123" s="52"/>
      <c r="Q123" s="125"/>
      <c r="R123" s="52" t="s">
        <v>305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25"/>
      <c r="AK123" s="98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99"/>
    </row>
    <row r="124" spans="2:61" ht="20.100000000000001" customHeight="1" x14ac:dyDescent="0.45">
      <c r="B124" s="123"/>
      <c r="C124" s="31"/>
      <c r="D124" s="31"/>
      <c r="E124" s="31"/>
      <c r="F124" s="31"/>
      <c r="G124" s="96"/>
      <c r="H124" s="97"/>
      <c r="I124" s="31"/>
      <c r="J124" s="124" t="s">
        <v>257</v>
      </c>
      <c r="K124" s="52"/>
      <c r="L124" s="52"/>
      <c r="M124" s="52"/>
      <c r="N124" s="52"/>
      <c r="O124" s="52"/>
      <c r="P124" s="52"/>
      <c r="Q124" s="125"/>
      <c r="R124" s="52" t="s">
        <v>305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25"/>
      <c r="AK124" s="98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99"/>
    </row>
    <row r="125" spans="2:61" ht="20.100000000000001" customHeight="1" x14ac:dyDescent="0.45">
      <c r="B125" s="123"/>
      <c r="C125" s="31"/>
      <c r="D125" s="31"/>
      <c r="E125" s="31"/>
      <c r="F125" s="31"/>
      <c r="G125" s="96"/>
      <c r="H125" s="97"/>
      <c r="I125" s="31"/>
      <c r="J125" s="124" t="s">
        <v>259</v>
      </c>
      <c r="K125" s="52"/>
      <c r="L125" s="52"/>
      <c r="M125" s="52"/>
      <c r="N125" s="52"/>
      <c r="O125" s="52"/>
      <c r="P125" s="52"/>
      <c r="Q125" s="125"/>
      <c r="R125" s="52" t="s">
        <v>305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25"/>
      <c r="AK125" s="98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99"/>
    </row>
    <row r="126" spans="2:61" ht="20.100000000000001" customHeight="1" x14ac:dyDescent="0.45">
      <c r="B126" s="123"/>
      <c r="C126" s="31"/>
      <c r="D126" s="31"/>
      <c r="E126" s="31"/>
      <c r="F126" s="31"/>
      <c r="G126" s="96"/>
      <c r="H126" s="31"/>
      <c r="I126" s="31"/>
      <c r="J126" s="124" t="s">
        <v>261</v>
      </c>
      <c r="K126" s="52"/>
      <c r="L126" s="52"/>
      <c r="M126" s="52"/>
      <c r="N126" s="52"/>
      <c r="O126" s="52"/>
      <c r="P126" s="52"/>
      <c r="Q126" s="125"/>
      <c r="R126" s="52" t="s">
        <v>310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25"/>
      <c r="AK126" s="98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99"/>
    </row>
    <row r="127" spans="2:61" ht="20.100000000000001" customHeight="1" x14ac:dyDescent="0.45">
      <c r="B127" s="123"/>
      <c r="C127" s="31"/>
      <c r="D127" s="31"/>
      <c r="E127" s="31"/>
      <c r="F127" s="31"/>
      <c r="G127" s="96"/>
      <c r="H127" s="31"/>
      <c r="I127" s="31"/>
      <c r="J127" s="124" t="s">
        <v>263</v>
      </c>
      <c r="K127" s="52"/>
      <c r="L127" s="52"/>
      <c r="M127" s="52"/>
      <c r="N127" s="52"/>
      <c r="O127" s="52"/>
      <c r="P127" s="52"/>
      <c r="Q127" s="125"/>
      <c r="R127" s="52" t="s">
        <v>305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25"/>
      <c r="AK127" s="98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99"/>
    </row>
    <row r="128" spans="2:61" ht="19.8" customHeight="1" x14ac:dyDescent="0.45">
      <c r="B128" s="123"/>
      <c r="C128" s="31"/>
      <c r="D128" s="31"/>
      <c r="E128" s="31"/>
      <c r="F128" s="31"/>
      <c r="G128" s="96"/>
      <c r="H128" s="100" t="s">
        <v>53</v>
      </c>
      <c r="I128" s="55"/>
      <c r="J128" s="100" t="s">
        <v>265</v>
      </c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101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102"/>
    </row>
    <row r="129" spans="2:61" ht="20.100000000000001" customHeight="1" x14ac:dyDescent="0.45">
      <c r="B129" s="95"/>
      <c r="C129" s="31"/>
      <c r="D129" s="31"/>
      <c r="E129" s="31"/>
      <c r="F129" s="31"/>
      <c r="G129" s="96"/>
      <c r="H129" s="100" t="s">
        <v>54</v>
      </c>
      <c r="I129" s="55"/>
      <c r="J129" s="100" t="s">
        <v>266</v>
      </c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101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102"/>
    </row>
    <row r="130" spans="2:61" ht="20.100000000000001" customHeight="1" x14ac:dyDescent="0.45">
      <c r="B130" s="95"/>
      <c r="C130" s="31"/>
      <c r="D130" s="31"/>
      <c r="E130" s="31"/>
      <c r="F130" s="31"/>
      <c r="G130" s="96"/>
      <c r="H130" s="97"/>
      <c r="I130" s="31"/>
      <c r="J130" s="97"/>
      <c r="K130" s="31" t="s">
        <v>267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98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99"/>
    </row>
    <row r="131" spans="2:61" ht="20.100000000000001" customHeight="1" x14ac:dyDescent="0.45">
      <c r="B131" s="95"/>
      <c r="C131" s="31"/>
      <c r="D131" s="31"/>
      <c r="E131" s="31"/>
      <c r="F131" s="31"/>
      <c r="G131" s="96"/>
      <c r="H131" s="100" t="s">
        <v>55</v>
      </c>
      <c r="I131" s="55"/>
      <c r="J131" s="100" t="s">
        <v>313</v>
      </c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131"/>
      <c r="AK131" s="100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102"/>
    </row>
    <row r="132" spans="2:61" ht="20.100000000000001" customHeight="1" x14ac:dyDescent="0.45">
      <c r="B132" s="95"/>
      <c r="C132" s="31"/>
      <c r="D132" s="31"/>
      <c r="E132" s="31"/>
      <c r="F132" s="31"/>
      <c r="G132" s="96"/>
      <c r="H132" s="97"/>
      <c r="I132" s="31"/>
      <c r="J132" s="97"/>
      <c r="K132" s="31" t="s">
        <v>314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97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99"/>
    </row>
    <row r="133" spans="2:61" ht="20.100000000000001" customHeight="1" x14ac:dyDescent="0.45">
      <c r="B133" s="95"/>
      <c r="C133" s="31"/>
      <c r="D133" s="31"/>
      <c r="E133" s="31"/>
      <c r="F133" s="31"/>
      <c r="G133" s="96"/>
      <c r="H133" s="97"/>
      <c r="I133" s="31"/>
      <c r="J133" s="97"/>
      <c r="K133" s="31" t="s">
        <v>315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97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99"/>
    </row>
    <row r="134" spans="2:61" ht="20.100000000000001" customHeight="1" x14ac:dyDescent="0.45">
      <c r="B134" s="95"/>
      <c r="C134" s="31"/>
      <c r="D134" s="31"/>
      <c r="E134" s="31"/>
      <c r="F134" s="31"/>
      <c r="G134" s="96"/>
      <c r="H134" s="97"/>
      <c r="I134" s="31"/>
      <c r="J134" s="97"/>
      <c r="K134" s="31" t="s">
        <v>311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97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99"/>
    </row>
    <row r="135" spans="2:61" ht="20.100000000000001" customHeight="1" thickBot="1" x14ac:dyDescent="0.5">
      <c r="B135" s="95"/>
      <c r="C135" s="31"/>
      <c r="D135" s="31"/>
      <c r="E135" s="31"/>
      <c r="F135" s="31"/>
      <c r="G135" s="96"/>
      <c r="H135" s="97"/>
      <c r="I135" s="31"/>
      <c r="J135" s="97"/>
      <c r="K135" s="31" t="s">
        <v>312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97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99"/>
    </row>
    <row r="136" spans="2:61" ht="20.100000000000001" customHeight="1" x14ac:dyDescent="0.45">
      <c r="B136" s="89" t="s">
        <v>316</v>
      </c>
      <c r="C136" s="90"/>
      <c r="D136" s="90"/>
      <c r="E136" s="90"/>
      <c r="F136" s="90"/>
      <c r="G136" s="91"/>
      <c r="H136" s="92" t="s">
        <v>220</v>
      </c>
      <c r="I136" s="90"/>
      <c r="J136" s="120" t="s">
        <v>179</v>
      </c>
      <c r="K136" s="121"/>
      <c r="L136" s="121"/>
      <c r="M136" s="121"/>
      <c r="N136" s="121"/>
      <c r="O136" s="121"/>
      <c r="P136" s="121"/>
      <c r="Q136" s="122"/>
      <c r="R136" s="121" t="s">
        <v>307</v>
      </c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2"/>
      <c r="AK136" s="93" t="s">
        <v>300</v>
      </c>
      <c r="AL136" s="90"/>
      <c r="AM136" s="90"/>
      <c r="AN136" s="90"/>
      <c r="AO136" s="90"/>
      <c r="AP136" s="90"/>
      <c r="AQ136" s="90"/>
      <c r="AR136" s="90" t="s">
        <v>317</v>
      </c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4"/>
    </row>
    <row r="137" spans="2:61" ht="20.100000000000001" customHeight="1" x14ac:dyDescent="0.45">
      <c r="B137" s="123"/>
      <c r="C137" s="31"/>
      <c r="D137" s="31"/>
      <c r="E137" s="31"/>
      <c r="F137" s="31"/>
      <c r="G137" s="96"/>
      <c r="H137" s="97"/>
      <c r="I137" s="31"/>
      <c r="J137" s="124" t="s">
        <v>222</v>
      </c>
      <c r="K137" s="52"/>
      <c r="L137" s="52"/>
      <c r="M137" s="52"/>
      <c r="N137" s="52"/>
      <c r="O137" s="52"/>
      <c r="P137" s="52"/>
      <c r="Q137" s="125"/>
      <c r="R137" s="52" t="s">
        <v>308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25"/>
      <c r="AK137" s="98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99"/>
    </row>
    <row r="138" spans="2:61" ht="20.100000000000001" customHeight="1" x14ac:dyDescent="0.45">
      <c r="B138" s="123"/>
      <c r="C138" s="31"/>
      <c r="D138" s="31"/>
      <c r="E138" s="31"/>
      <c r="F138" s="31"/>
      <c r="G138" s="96"/>
      <c r="H138" s="97"/>
      <c r="I138" s="31"/>
      <c r="J138" s="124" t="s">
        <v>224</v>
      </c>
      <c r="K138" s="52"/>
      <c r="L138" s="52"/>
      <c r="M138" s="52"/>
      <c r="N138" s="52"/>
      <c r="O138" s="52"/>
      <c r="P138" s="52"/>
      <c r="Q138" s="125"/>
      <c r="R138" s="52" t="s">
        <v>302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25"/>
      <c r="AK138" s="98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99"/>
    </row>
    <row r="139" spans="2:61" ht="20.100000000000001" customHeight="1" x14ac:dyDescent="0.45">
      <c r="B139" s="123"/>
      <c r="C139" s="31"/>
      <c r="D139" s="31"/>
      <c r="E139" s="31"/>
      <c r="F139" s="31"/>
      <c r="G139" s="96"/>
      <c r="H139" s="97"/>
      <c r="I139" s="31"/>
      <c r="J139" s="124" t="s">
        <v>226</v>
      </c>
      <c r="K139" s="52"/>
      <c r="L139" s="52"/>
      <c r="M139" s="52"/>
      <c r="N139" s="52"/>
      <c r="O139" s="52"/>
      <c r="P139" s="52"/>
      <c r="Q139" s="125"/>
      <c r="R139" s="52" t="s">
        <v>309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25"/>
      <c r="AK139" s="98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99"/>
    </row>
    <row r="140" spans="2:61" ht="20.100000000000001" customHeight="1" x14ac:dyDescent="0.45">
      <c r="B140" s="123"/>
      <c r="C140" s="31"/>
      <c r="D140" s="31"/>
      <c r="E140" s="31"/>
      <c r="F140" s="31"/>
      <c r="G140" s="96"/>
      <c r="H140" s="31"/>
      <c r="I140" s="31"/>
      <c r="J140" s="124" t="s">
        <v>228</v>
      </c>
      <c r="K140" s="52"/>
      <c r="L140" s="52"/>
      <c r="M140" s="52"/>
      <c r="N140" s="52"/>
      <c r="O140" s="52"/>
      <c r="P140" s="52"/>
      <c r="Q140" s="125"/>
      <c r="R140" s="132" t="s">
        <v>303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25"/>
      <c r="AK140" s="98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99"/>
    </row>
    <row r="141" spans="2:61" ht="20.100000000000001" customHeight="1" x14ac:dyDescent="0.45">
      <c r="B141" s="123"/>
      <c r="C141" s="31"/>
      <c r="D141" s="31"/>
      <c r="E141" s="31"/>
      <c r="F141" s="31"/>
      <c r="G141" s="96"/>
      <c r="H141" s="31"/>
      <c r="I141" s="31"/>
      <c r="J141" s="124" t="s">
        <v>230</v>
      </c>
      <c r="K141" s="52"/>
      <c r="L141" s="52"/>
      <c r="M141" s="52"/>
      <c r="N141" s="52"/>
      <c r="O141" s="52"/>
      <c r="P141" s="52"/>
      <c r="Q141" s="125"/>
      <c r="R141" s="52" t="s">
        <v>318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25"/>
      <c r="AK141" s="98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99"/>
    </row>
    <row r="142" spans="2:61" ht="20.100000000000001" customHeight="1" x14ac:dyDescent="0.45">
      <c r="B142" s="123"/>
      <c r="C142" s="31"/>
      <c r="D142" s="31"/>
      <c r="E142" s="31"/>
      <c r="F142" s="31"/>
      <c r="G142" s="96"/>
      <c r="H142" s="97"/>
      <c r="I142" s="31"/>
      <c r="J142" s="124" t="s">
        <v>232</v>
      </c>
      <c r="K142" s="52"/>
      <c r="L142" s="52"/>
      <c r="M142" s="52"/>
      <c r="N142" s="52"/>
      <c r="O142" s="52"/>
      <c r="P142" s="52"/>
      <c r="Q142" s="125"/>
      <c r="R142" s="52" t="s">
        <v>305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25"/>
      <c r="AK142" s="98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99"/>
    </row>
    <row r="143" spans="2:61" ht="20.100000000000001" customHeight="1" x14ac:dyDescent="0.45">
      <c r="B143" s="123"/>
      <c r="C143" s="31"/>
      <c r="D143" s="31"/>
      <c r="E143" s="31"/>
      <c r="F143" s="31"/>
      <c r="G143" s="96"/>
      <c r="H143" s="97"/>
      <c r="I143" s="31"/>
      <c r="J143" s="124" t="s">
        <v>234</v>
      </c>
      <c r="K143" s="52"/>
      <c r="L143" s="52"/>
      <c r="M143" s="52"/>
      <c r="N143" s="52"/>
      <c r="O143" s="52"/>
      <c r="P143" s="52"/>
      <c r="Q143" s="125"/>
      <c r="R143" s="52" t="s">
        <v>305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25"/>
      <c r="AK143" s="98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99"/>
    </row>
    <row r="144" spans="2:61" ht="20.100000000000001" customHeight="1" x14ac:dyDescent="0.45">
      <c r="B144" s="123"/>
      <c r="C144" s="31"/>
      <c r="D144" s="31"/>
      <c r="E144" s="31"/>
      <c r="F144" s="31"/>
      <c r="G144" s="96"/>
      <c r="H144" s="97"/>
      <c r="I144" s="31"/>
      <c r="J144" s="124" t="s">
        <v>236</v>
      </c>
      <c r="K144" s="52"/>
      <c r="L144" s="52"/>
      <c r="M144" s="52"/>
      <c r="N144" s="52"/>
      <c r="O144" s="52"/>
      <c r="P144" s="52"/>
      <c r="Q144" s="125"/>
      <c r="R144" s="52" t="s">
        <v>305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25"/>
      <c r="AK144" s="98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99"/>
    </row>
    <row r="145" spans="2:61" ht="20.100000000000001" customHeight="1" x14ac:dyDescent="0.45">
      <c r="B145" s="123"/>
      <c r="C145" s="31"/>
      <c r="D145" s="31"/>
      <c r="E145" s="31"/>
      <c r="F145" s="31"/>
      <c r="G145" s="96"/>
      <c r="H145" s="31"/>
      <c r="I145" s="31"/>
      <c r="J145" s="124" t="s">
        <v>238</v>
      </c>
      <c r="K145" s="52"/>
      <c r="L145" s="52"/>
      <c r="M145" s="52"/>
      <c r="N145" s="52"/>
      <c r="O145" s="52"/>
      <c r="P145" s="52"/>
      <c r="Q145" s="125"/>
      <c r="R145" s="52" t="s">
        <v>305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25"/>
      <c r="AK145" s="98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99"/>
    </row>
    <row r="146" spans="2:61" ht="20.100000000000001" customHeight="1" x14ac:dyDescent="0.45">
      <c r="B146" s="123"/>
      <c r="C146" s="31"/>
      <c r="D146" s="31"/>
      <c r="E146" s="31"/>
      <c r="F146" s="31"/>
      <c r="G146" s="96"/>
      <c r="H146" s="31"/>
      <c r="I146" s="31"/>
      <c r="J146" s="124" t="s">
        <v>240</v>
      </c>
      <c r="K146" s="52"/>
      <c r="L146" s="52"/>
      <c r="M146" s="52"/>
      <c r="N146" s="52"/>
      <c r="O146" s="52"/>
      <c r="P146" s="52"/>
      <c r="Q146" s="125"/>
      <c r="R146" s="52" t="s">
        <v>319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25"/>
      <c r="AK146" s="98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99"/>
    </row>
    <row r="147" spans="2:61" ht="20.100000000000001" customHeight="1" x14ac:dyDescent="0.45">
      <c r="B147" s="123"/>
      <c r="C147" s="31"/>
      <c r="D147" s="31"/>
      <c r="E147" s="31"/>
      <c r="F147" s="31"/>
      <c r="G147" s="96"/>
      <c r="H147" s="97"/>
      <c r="I147" s="31"/>
      <c r="J147" s="124" t="s">
        <v>242</v>
      </c>
      <c r="K147" s="52"/>
      <c r="L147" s="52"/>
      <c r="M147" s="52"/>
      <c r="N147" s="52"/>
      <c r="O147" s="52"/>
      <c r="P147" s="52"/>
      <c r="Q147" s="125"/>
      <c r="R147" s="52" t="s">
        <v>305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25"/>
      <c r="AK147" s="98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99"/>
    </row>
    <row r="148" spans="2:61" ht="20.100000000000001" customHeight="1" x14ac:dyDescent="0.45">
      <c r="B148" s="123"/>
      <c r="C148" s="31"/>
      <c r="D148" s="31"/>
      <c r="E148" s="31"/>
      <c r="F148" s="31"/>
      <c r="G148" s="96"/>
      <c r="H148" s="97"/>
      <c r="I148" s="31"/>
      <c r="J148" s="124" t="s">
        <v>244</v>
      </c>
      <c r="K148" s="52"/>
      <c r="L148" s="52"/>
      <c r="M148" s="52"/>
      <c r="N148" s="52"/>
      <c r="O148" s="52"/>
      <c r="P148" s="52"/>
      <c r="Q148" s="125"/>
      <c r="R148" s="52" t="s">
        <v>305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25"/>
      <c r="AK148" s="98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99"/>
    </row>
    <row r="149" spans="2:61" ht="20.100000000000001" customHeight="1" x14ac:dyDescent="0.45">
      <c r="B149" s="123"/>
      <c r="C149" s="31"/>
      <c r="D149" s="31"/>
      <c r="E149" s="31"/>
      <c r="F149" s="31"/>
      <c r="G149" s="96"/>
      <c r="H149" s="97"/>
      <c r="I149" s="31"/>
      <c r="J149" s="124" t="s">
        <v>246</v>
      </c>
      <c r="K149" s="52"/>
      <c r="L149" s="52"/>
      <c r="M149" s="52"/>
      <c r="N149" s="52"/>
      <c r="O149" s="52"/>
      <c r="P149" s="52"/>
      <c r="Q149" s="125"/>
      <c r="R149" s="52" t="s">
        <v>305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25"/>
      <c r="AK149" s="98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99"/>
    </row>
    <row r="150" spans="2:61" ht="20.100000000000001" customHeight="1" x14ac:dyDescent="0.45">
      <c r="B150" s="123"/>
      <c r="C150" s="31"/>
      <c r="D150" s="31"/>
      <c r="E150" s="31"/>
      <c r="F150" s="31"/>
      <c r="G150" s="96"/>
      <c r="H150" s="31"/>
      <c r="I150" s="31"/>
      <c r="J150" s="124" t="s">
        <v>248</v>
      </c>
      <c r="K150" s="52"/>
      <c r="L150" s="52"/>
      <c r="M150" s="52"/>
      <c r="N150" s="52"/>
      <c r="O150" s="52"/>
      <c r="P150" s="52"/>
      <c r="Q150" s="125"/>
      <c r="R150" s="52" t="s">
        <v>305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25"/>
      <c r="AK150" s="98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99"/>
    </row>
    <row r="151" spans="2:61" ht="20.100000000000001" customHeight="1" x14ac:dyDescent="0.45">
      <c r="B151" s="123"/>
      <c r="C151" s="31"/>
      <c r="D151" s="31"/>
      <c r="E151" s="31"/>
      <c r="F151" s="31"/>
      <c r="G151" s="96"/>
      <c r="H151" s="31"/>
      <c r="I151" s="31"/>
      <c r="J151" s="124" t="s">
        <v>250</v>
      </c>
      <c r="K151" s="52"/>
      <c r="L151" s="52"/>
      <c r="M151" s="52"/>
      <c r="N151" s="52"/>
      <c r="O151" s="52"/>
      <c r="P151" s="52"/>
      <c r="Q151" s="125"/>
      <c r="R151" s="52" t="s">
        <v>305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25"/>
      <c r="AK151" s="98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99"/>
    </row>
    <row r="152" spans="2:61" ht="20.100000000000001" customHeight="1" x14ac:dyDescent="0.45">
      <c r="B152" s="123"/>
      <c r="C152" s="31"/>
      <c r="D152" s="31"/>
      <c r="E152" s="31"/>
      <c r="F152" s="31"/>
      <c r="G152" s="96"/>
      <c r="H152" s="97"/>
      <c r="I152" s="31"/>
      <c r="J152" s="124" t="s">
        <v>252</v>
      </c>
      <c r="K152" s="52"/>
      <c r="L152" s="52"/>
      <c r="M152" s="52"/>
      <c r="N152" s="52"/>
      <c r="O152" s="52"/>
      <c r="P152" s="52"/>
      <c r="Q152" s="125"/>
      <c r="R152" s="52" t="s">
        <v>305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25"/>
      <c r="AK152" s="98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99"/>
    </row>
    <row r="153" spans="2:61" ht="20.100000000000001" customHeight="1" x14ac:dyDescent="0.45">
      <c r="B153" s="123"/>
      <c r="C153" s="31"/>
      <c r="D153" s="31"/>
      <c r="E153" s="31"/>
      <c r="F153" s="31"/>
      <c r="G153" s="96"/>
      <c r="H153" s="97"/>
      <c r="I153" s="31"/>
      <c r="J153" s="124" t="s">
        <v>254</v>
      </c>
      <c r="K153" s="52"/>
      <c r="L153" s="52"/>
      <c r="M153" s="52"/>
      <c r="N153" s="52"/>
      <c r="O153" s="52"/>
      <c r="P153" s="52"/>
      <c r="Q153" s="125"/>
      <c r="R153" s="52" t="s">
        <v>305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25"/>
      <c r="AK153" s="98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99"/>
    </row>
    <row r="154" spans="2:61" ht="20.100000000000001" customHeight="1" x14ac:dyDescent="0.45">
      <c r="B154" s="123"/>
      <c r="C154" s="31"/>
      <c r="D154" s="31"/>
      <c r="E154" s="31"/>
      <c r="F154" s="31"/>
      <c r="G154" s="96"/>
      <c r="H154" s="97"/>
      <c r="I154" s="31"/>
      <c r="J154" s="124" t="s">
        <v>256</v>
      </c>
      <c r="K154" s="52"/>
      <c r="L154" s="52"/>
      <c r="M154" s="52"/>
      <c r="N154" s="52"/>
      <c r="O154" s="52"/>
      <c r="P154" s="52"/>
      <c r="Q154" s="125"/>
      <c r="R154" s="52" t="s">
        <v>305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125"/>
      <c r="AK154" s="98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99"/>
    </row>
    <row r="155" spans="2:61" ht="20.100000000000001" customHeight="1" x14ac:dyDescent="0.45">
      <c r="B155" s="123"/>
      <c r="C155" s="31"/>
      <c r="D155" s="31"/>
      <c r="E155" s="31"/>
      <c r="F155" s="31"/>
      <c r="G155" s="96"/>
      <c r="H155" s="97"/>
      <c r="I155" s="31"/>
      <c r="J155" s="124" t="s">
        <v>257</v>
      </c>
      <c r="K155" s="52"/>
      <c r="L155" s="52"/>
      <c r="M155" s="52"/>
      <c r="N155" s="52"/>
      <c r="O155" s="52"/>
      <c r="P155" s="52"/>
      <c r="Q155" s="125"/>
      <c r="R155" s="52" t="s">
        <v>305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125"/>
      <c r="AK155" s="98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99"/>
    </row>
    <row r="156" spans="2:61" ht="20.100000000000001" customHeight="1" x14ac:dyDescent="0.45">
      <c r="B156" s="123"/>
      <c r="C156" s="31"/>
      <c r="D156" s="31"/>
      <c r="E156" s="31"/>
      <c r="F156" s="31"/>
      <c r="G156" s="96"/>
      <c r="H156" s="97"/>
      <c r="I156" s="31"/>
      <c r="J156" s="124" t="s">
        <v>259</v>
      </c>
      <c r="K156" s="52"/>
      <c r="L156" s="52"/>
      <c r="M156" s="52"/>
      <c r="N156" s="52"/>
      <c r="O156" s="52"/>
      <c r="P156" s="52"/>
      <c r="Q156" s="125"/>
      <c r="R156" s="52" t="s">
        <v>305</v>
      </c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125"/>
      <c r="AK156" s="98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99"/>
    </row>
    <row r="157" spans="2:61" ht="20.100000000000001" customHeight="1" x14ac:dyDescent="0.45">
      <c r="B157" s="123"/>
      <c r="C157" s="31"/>
      <c r="D157" s="31"/>
      <c r="E157" s="31"/>
      <c r="F157" s="31"/>
      <c r="G157" s="96"/>
      <c r="H157" s="31"/>
      <c r="I157" s="31"/>
      <c r="J157" s="124" t="s">
        <v>261</v>
      </c>
      <c r="K157" s="52"/>
      <c r="L157" s="52"/>
      <c r="M157" s="52"/>
      <c r="N157" s="52"/>
      <c r="O157" s="52"/>
      <c r="P157" s="52"/>
      <c r="Q157" s="125"/>
      <c r="R157" s="52" t="s">
        <v>320</v>
      </c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125"/>
      <c r="AK157" s="98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99"/>
    </row>
    <row r="158" spans="2:61" ht="20.100000000000001" customHeight="1" x14ac:dyDescent="0.45">
      <c r="B158" s="123"/>
      <c r="C158" s="31"/>
      <c r="D158" s="31"/>
      <c r="E158" s="31"/>
      <c r="F158" s="31"/>
      <c r="G158" s="96"/>
      <c r="H158" s="31"/>
      <c r="I158" s="31"/>
      <c r="J158" s="124" t="s">
        <v>263</v>
      </c>
      <c r="K158" s="52"/>
      <c r="L158" s="52"/>
      <c r="M158" s="52"/>
      <c r="N158" s="52"/>
      <c r="O158" s="52"/>
      <c r="P158" s="52"/>
      <c r="Q158" s="125"/>
      <c r="R158" s="52" t="s">
        <v>305</v>
      </c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125"/>
      <c r="AK158" s="98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99"/>
    </row>
    <row r="159" spans="2:61" ht="19.8" customHeight="1" x14ac:dyDescent="0.45">
      <c r="B159" s="123"/>
      <c r="C159" s="31"/>
      <c r="D159" s="31"/>
      <c r="E159" s="31"/>
      <c r="F159" s="31"/>
      <c r="G159" s="96"/>
      <c r="H159" s="100" t="s">
        <v>53</v>
      </c>
      <c r="I159" s="55"/>
      <c r="J159" s="100" t="s">
        <v>265</v>
      </c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101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102"/>
    </row>
    <row r="160" spans="2:61" ht="20.100000000000001" customHeight="1" x14ac:dyDescent="0.45">
      <c r="B160" s="95"/>
      <c r="C160" s="31"/>
      <c r="D160" s="31"/>
      <c r="E160" s="31"/>
      <c r="F160" s="31"/>
      <c r="G160" s="96"/>
      <c r="H160" s="100" t="s">
        <v>54</v>
      </c>
      <c r="I160" s="55"/>
      <c r="J160" s="100" t="s">
        <v>266</v>
      </c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101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102"/>
    </row>
    <row r="161" spans="2:61" ht="20.100000000000001" customHeight="1" x14ac:dyDescent="0.45">
      <c r="B161" s="95"/>
      <c r="C161" s="31"/>
      <c r="D161" s="31"/>
      <c r="E161" s="31"/>
      <c r="F161" s="31"/>
      <c r="G161" s="96"/>
      <c r="H161" s="97"/>
      <c r="I161" s="31"/>
      <c r="J161" s="97"/>
      <c r="K161" s="31" t="s">
        <v>267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98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99"/>
    </row>
    <row r="162" spans="2:61" ht="20.100000000000001" customHeight="1" x14ac:dyDescent="0.45">
      <c r="B162" s="95"/>
      <c r="C162" s="31"/>
      <c r="D162" s="31"/>
      <c r="E162" s="31"/>
      <c r="F162" s="31"/>
      <c r="G162" s="96"/>
      <c r="H162" s="100" t="s">
        <v>55</v>
      </c>
      <c r="I162" s="55"/>
      <c r="J162" s="100" t="s">
        <v>313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131"/>
      <c r="AK162" s="100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102"/>
    </row>
    <row r="163" spans="2:61" ht="20.100000000000001" customHeight="1" x14ac:dyDescent="0.45">
      <c r="B163" s="95"/>
      <c r="C163" s="31"/>
      <c r="D163" s="31"/>
      <c r="E163" s="31"/>
      <c r="F163" s="31"/>
      <c r="G163" s="96"/>
      <c r="H163" s="97"/>
      <c r="I163" s="31"/>
      <c r="J163" s="97"/>
      <c r="K163" s="31" t="s">
        <v>314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97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99"/>
    </row>
    <row r="164" spans="2:61" ht="20.100000000000001" customHeight="1" thickBot="1" x14ac:dyDescent="0.5">
      <c r="B164" s="95"/>
      <c r="C164" s="31"/>
      <c r="D164" s="31"/>
      <c r="E164" s="31"/>
      <c r="F164" s="31"/>
      <c r="G164" s="96"/>
      <c r="H164" s="97"/>
      <c r="I164" s="31"/>
      <c r="J164" s="97"/>
      <c r="K164" s="31" t="s">
        <v>321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97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99"/>
    </row>
    <row r="165" spans="2:61" ht="20.100000000000001" customHeight="1" x14ac:dyDescent="0.45">
      <c r="B165" s="89" t="s">
        <v>322</v>
      </c>
      <c r="C165" s="90"/>
      <c r="D165" s="90"/>
      <c r="E165" s="90"/>
      <c r="F165" s="90"/>
      <c r="G165" s="91"/>
      <c r="H165" s="92" t="s">
        <v>220</v>
      </c>
      <c r="I165" s="90"/>
      <c r="J165" s="120" t="s">
        <v>179</v>
      </c>
      <c r="K165" s="121"/>
      <c r="L165" s="121"/>
      <c r="M165" s="121"/>
      <c r="N165" s="121"/>
      <c r="O165" s="121"/>
      <c r="P165" s="121"/>
      <c r="Q165" s="122"/>
      <c r="R165" s="121" t="s">
        <v>326</v>
      </c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2"/>
      <c r="AK165" s="93" t="s">
        <v>300</v>
      </c>
      <c r="AL165" s="90"/>
      <c r="AM165" s="90"/>
      <c r="AN165" s="90"/>
      <c r="AO165" s="90"/>
      <c r="AP165" s="90"/>
      <c r="AQ165" s="90"/>
      <c r="AR165" s="90" t="s">
        <v>323</v>
      </c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4"/>
    </row>
    <row r="166" spans="2:61" ht="20.100000000000001" customHeight="1" x14ac:dyDescent="0.45">
      <c r="B166" s="123"/>
      <c r="C166" s="31"/>
      <c r="D166" s="31"/>
      <c r="E166" s="31"/>
      <c r="F166" s="31"/>
      <c r="G166" s="96"/>
      <c r="H166" s="97"/>
      <c r="I166" s="31"/>
      <c r="J166" s="124" t="s">
        <v>222</v>
      </c>
      <c r="K166" s="52"/>
      <c r="L166" s="52"/>
      <c r="M166" s="52"/>
      <c r="N166" s="52"/>
      <c r="O166" s="52"/>
      <c r="P166" s="52"/>
      <c r="Q166" s="125"/>
      <c r="R166" s="52" t="s">
        <v>327</v>
      </c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125"/>
      <c r="AK166" s="98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99"/>
    </row>
    <row r="167" spans="2:61" ht="20.100000000000001" customHeight="1" x14ac:dyDescent="0.45">
      <c r="B167" s="123"/>
      <c r="C167" s="31"/>
      <c r="D167" s="31"/>
      <c r="E167" s="31"/>
      <c r="F167" s="31"/>
      <c r="G167" s="96"/>
      <c r="H167" s="97"/>
      <c r="I167" s="31"/>
      <c r="J167" s="124" t="s">
        <v>224</v>
      </c>
      <c r="K167" s="52"/>
      <c r="L167" s="52"/>
      <c r="M167" s="52"/>
      <c r="N167" s="52"/>
      <c r="O167" s="52"/>
      <c r="P167" s="52"/>
      <c r="Q167" s="125"/>
      <c r="R167" s="52" t="s">
        <v>324</v>
      </c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125"/>
      <c r="AK167" s="98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99"/>
    </row>
    <row r="168" spans="2:61" ht="20.100000000000001" customHeight="1" x14ac:dyDescent="0.45">
      <c r="B168" s="123"/>
      <c r="C168" s="31"/>
      <c r="D168" s="31"/>
      <c r="E168" s="31"/>
      <c r="F168" s="31"/>
      <c r="G168" s="96"/>
      <c r="H168" s="97"/>
      <c r="I168" s="31"/>
      <c r="J168" s="124" t="s">
        <v>226</v>
      </c>
      <c r="K168" s="52"/>
      <c r="L168" s="52"/>
      <c r="M168" s="52"/>
      <c r="N168" s="52"/>
      <c r="O168" s="52"/>
      <c r="P168" s="52"/>
      <c r="Q168" s="125"/>
      <c r="R168" s="52" t="s">
        <v>328</v>
      </c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125"/>
      <c r="AK168" s="98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99"/>
    </row>
    <row r="169" spans="2:61" ht="20.100000000000001" customHeight="1" x14ac:dyDescent="0.45">
      <c r="B169" s="123"/>
      <c r="C169" s="31"/>
      <c r="D169" s="31"/>
      <c r="E169" s="31"/>
      <c r="F169" s="31"/>
      <c r="G169" s="96"/>
      <c r="H169" s="31"/>
      <c r="I169" s="31"/>
      <c r="J169" s="124" t="s">
        <v>228</v>
      </c>
      <c r="K169" s="52"/>
      <c r="L169" s="52"/>
      <c r="M169" s="52"/>
      <c r="N169" s="52"/>
      <c r="O169" s="52"/>
      <c r="P169" s="52"/>
      <c r="Q169" s="125"/>
      <c r="R169" s="132" t="s">
        <v>305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125"/>
      <c r="AK169" s="98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99"/>
    </row>
    <row r="170" spans="2:61" ht="20.100000000000001" customHeight="1" x14ac:dyDescent="0.45">
      <c r="B170" s="123"/>
      <c r="C170" s="31"/>
      <c r="D170" s="31"/>
      <c r="E170" s="31"/>
      <c r="F170" s="31"/>
      <c r="G170" s="96"/>
      <c r="H170" s="31"/>
      <c r="I170" s="31"/>
      <c r="J170" s="124" t="s">
        <v>230</v>
      </c>
      <c r="K170" s="52"/>
      <c r="L170" s="52"/>
      <c r="M170" s="52"/>
      <c r="N170" s="52"/>
      <c r="O170" s="52"/>
      <c r="P170" s="52"/>
      <c r="Q170" s="125"/>
      <c r="R170" s="132" t="s">
        <v>329</v>
      </c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125"/>
      <c r="AK170" s="98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99"/>
    </row>
    <row r="171" spans="2:61" ht="20.100000000000001" customHeight="1" x14ac:dyDescent="0.45">
      <c r="B171" s="123"/>
      <c r="C171" s="31"/>
      <c r="D171" s="31"/>
      <c r="E171" s="31"/>
      <c r="F171" s="31"/>
      <c r="G171" s="96"/>
      <c r="H171" s="97"/>
      <c r="I171" s="31"/>
      <c r="J171" s="124" t="s">
        <v>232</v>
      </c>
      <c r="K171" s="52"/>
      <c r="L171" s="52"/>
      <c r="M171" s="52"/>
      <c r="N171" s="52"/>
      <c r="O171" s="52"/>
      <c r="P171" s="52"/>
      <c r="Q171" s="125"/>
      <c r="R171" s="132" t="s">
        <v>305</v>
      </c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125"/>
      <c r="AK171" s="98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99"/>
    </row>
    <row r="172" spans="2:61" ht="20.100000000000001" customHeight="1" x14ac:dyDescent="0.45">
      <c r="B172" s="123"/>
      <c r="C172" s="31"/>
      <c r="D172" s="31"/>
      <c r="E172" s="31"/>
      <c r="F172" s="31"/>
      <c r="G172" s="96"/>
      <c r="H172" s="97"/>
      <c r="I172" s="31"/>
      <c r="J172" s="124" t="s">
        <v>234</v>
      </c>
      <c r="K172" s="52"/>
      <c r="L172" s="52"/>
      <c r="M172" s="52"/>
      <c r="N172" s="52"/>
      <c r="O172" s="52"/>
      <c r="P172" s="52"/>
      <c r="Q172" s="125"/>
      <c r="R172" s="132" t="s">
        <v>305</v>
      </c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125"/>
      <c r="AK172" s="98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99"/>
    </row>
    <row r="173" spans="2:61" ht="20.100000000000001" customHeight="1" x14ac:dyDescent="0.45">
      <c r="B173" s="123"/>
      <c r="C173" s="31"/>
      <c r="D173" s="31"/>
      <c r="E173" s="31"/>
      <c r="F173" s="31"/>
      <c r="G173" s="96"/>
      <c r="H173" s="97"/>
      <c r="I173" s="31"/>
      <c r="J173" s="124" t="s">
        <v>236</v>
      </c>
      <c r="K173" s="52"/>
      <c r="L173" s="52"/>
      <c r="M173" s="52"/>
      <c r="N173" s="52"/>
      <c r="O173" s="52"/>
      <c r="P173" s="52"/>
      <c r="Q173" s="125"/>
      <c r="R173" s="132" t="s">
        <v>305</v>
      </c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125"/>
      <c r="AK173" s="98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99"/>
    </row>
    <row r="174" spans="2:61" ht="20.100000000000001" customHeight="1" x14ac:dyDescent="0.45">
      <c r="B174" s="123"/>
      <c r="C174" s="31"/>
      <c r="D174" s="31"/>
      <c r="E174" s="31"/>
      <c r="F174" s="31"/>
      <c r="G174" s="96"/>
      <c r="H174" s="31"/>
      <c r="I174" s="31"/>
      <c r="J174" s="124" t="s">
        <v>238</v>
      </c>
      <c r="K174" s="52"/>
      <c r="L174" s="52"/>
      <c r="M174" s="52"/>
      <c r="N174" s="52"/>
      <c r="O174" s="52"/>
      <c r="P174" s="52"/>
      <c r="Q174" s="125"/>
      <c r="R174" s="132" t="s">
        <v>305</v>
      </c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125"/>
      <c r="AK174" s="98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99"/>
    </row>
    <row r="175" spans="2:61" ht="20.100000000000001" customHeight="1" x14ac:dyDescent="0.45">
      <c r="B175" s="123"/>
      <c r="C175" s="31"/>
      <c r="D175" s="31"/>
      <c r="E175" s="31"/>
      <c r="F175" s="31"/>
      <c r="G175" s="96"/>
      <c r="H175" s="31"/>
      <c r="I175" s="31"/>
      <c r="J175" s="124" t="s">
        <v>240</v>
      </c>
      <c r="K175" s="52"/>
      <c r="L175" s="52"/>
      <c r="M175" s="52"/>
      <c r="N175" s="52"/>
      <c r="O175" s="52"/>
      <c r="P175" s="52"/>
      <c r="Q175" s="125"/>
      <c r="R175" s="132" t="s">
        <v>305</v>
      </c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125"/>
      <c r="AK175" s="98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99"/>
    </row>
    <row r="176" spans="2:61" ht="20.100000000000001" customHeight="1" x14ac:dyDescent="0.45">
      <c r="B176" s="123"/>
      <c r="C176" s="31"/>
      <c r="D176" s="31"/>
      <c r="E176" s="31"/>
      <c r="F176" s="31"/>
      <c r="G176" s="96"/>
      <c r="H176" s="97"/>
      <c r="I176" s="31"/>
      <c r="J176" s="124" t="s">
        <v>242</v>
      </c>
      <c r="K176" s="52"/>
      <c r="L176" s="52"/>
      <c r="M176" s="52"/>
      <c r="N176" s="52"/>
      <c r="O176" s="52"/>
      <c r="P176" s="52"/>
      <c r="Q176" s="125"/>
      <c r="R176" s="132" t="s">
        <v>305</v>
      </c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125"/>
      <c r="AK176" s="98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99"/>
    </row>
    <row r="177" spans="2:61" ht="20.100000000000001" customHeight="1" x14ac:dyDescent="0.45">
      <c r="B177" s="123"/>
      <c r="C177" s="31"/>
      <c r="D177" s="31"/>
      <c r="E177" s="31"/>
      <c r="F177" s="31"/>
      <c r="G177" s="96"/>
      <c r="H177" s="97"/>
      <c r="I177" s="31"/>
      <c r="J177" s="124" t="s">
        <v>244</v>
      </c>
      <c r="K177" s="52"/>
      <c r="L177" s="52"/>
      <c r="M177" s="52"/>
      <c r="N177" s="52"/>
      <c r="O177" s="52"/>
      <c r="P177" s="52"/>
      <c r="Q177" s="125"/>
      <c r="R177" s="132" t="s">
        <v>305</v>
      </c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125"/>
      <c r="AK177" s="98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99"/>
    </row>
    <row r="178" spans="2:61" ht="20.100000000000001" customHeight="1" x14ac:dyDescent="0.45">
      <c r="B178" s="123"/>
      <c r="C178" s="31"/>
      <c r="D178" s="31"/>
      <c r="E178" s="31"/>
      <c r="F178" s="31"/>
      <c r="G178" s="96"/>
      <c r="H178" s="97"/>
      <c r="I178" s="31"/>
      <c r="J178" s="124" t="s">
        <v>246</v>
      </c>
      <c r="K178" s="52"/>
      <c r="L178" s="52"/>
      <c r="M178" s="52"/>
      <c r="N178" s="52"/>
      <c r="O178" s="52"/>
      <c r="P178" s="52"/>
      <c r="Q178" s="125"/>
      <c r="R178" s="132" t="s">
        <v>305</v>
      </c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125"/>
      <c r="AK178" s="98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99"/>
    </row>
    <row r="179" spans="2:61" ht="20.100000000000001" customHeight="1" x14ac:dyDescent="0.45">
      <c r="B179" s="123"/>
      <c r="C179" s="31"/>
      <c r="D179" s="31"/>
      <c r="E179" s="31"/>
      <c r="F179" s="31"/>
      <c r="G179" s="96"/>
      <c r="H179" s="31"/>
      <c r="I179" s="31"/>
      <c r="J179" s="124" t="s">
        <v>248</v>
      </c>
      <c r="K179" s="52"/>
      <c r="L179" s="52"/>
      <c r="M179" s="52"/>
      <c r="N179" s="52"/>
      <c r="O179" s="52"/>
      <c r="P179" s="52"/>
      <c r="Q179" s="125"/>
      <c r="R179" s="132" t="s">
        <v>305</v>
      </c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125"/>
      <c r="AK179" s="98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99"/>
    </row>
    <row r="180" spans="2:61" ht="20.100000000000001" customHeight="1" x14ac:dyDescent="0.45">
      <c r="B180" s="123"/>
      <c r="C180" s="31"/>
      <c r="D180" s="31"/>
      <c r="E180" s="31"/>
      <c r="F180" s="31"/>
      <c r="G180" s="96"/>
      <c r="H180" s="31"/>
      <c r="I180" s="31"/>
      <c r="J180" s="124" t="s">
        <v>250</v>
      </c>
      <c r="K180" s="52"/>
      <c r="L180" s="52"/>
      <c r="M180" s="52"/>
      <c r="N180" s="52"/>
      <c r="O180" s="52"/>
      <c r="P180" s="52"/>
      <c r="Q180" s="125"/>
      <c r="R180" s="132" t="s">
        <v>305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25"/>
      <c r="AK180" s="98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99"/>
    </row>
    <row r="181" spans="2:61" ht="20.100000000000001" customHeight="1" x14ac:dyDescent="0.45">
      <c r="B181" s="123"/>
      <c r="C181" s="31"/>
      <c r="D181" s="31"/>
      <c r="E181" s="31"/>
      <c r="F181" s="31"/>
      <c r="G181" s="96"/>
      <c r="H181" s="97"/>
      <c r="I181" s="31"/>
      <c r="J181" s="124" t="s">
        <v>252</v>
      </c>
      <c r="K181" s="52"/>
      <c r="L181" s="52"/>
      <c r="M181" s="52"/>
      <c r="N181" s="52"/>
      <c r="O181" s="52"/>
      <c r="P181" s="52"/>
      <c r="Q181" s="125"/>
      <c r="R181" s="132" t="s">
        <v>305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25"/>
      <c r="AK181" s="98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99"/>
    </row>
    <row r="182" spans="2:61" ht="20.100000000000001" customHeight="1" x14ac:dyDescent="0.45">
      <c r="B182" s="123"/>
      <c r="C182" s="31"/>
      <c r="D182" s="31"/>
      <c r="E182" s="31"/>
      <c r="F182" s="31"/>
      <c r="G182" s="96"/>
      <c r="H182" s="97"/>
      <c r="I182" s="31"/>
      <c r="J182" s="124" t="s">
        <v>254</v>
      </c>
      <c r="K182" s="52"/>
      <c r="L182" s="52"/>
      <c r="M182" s="52"/>
      <c r="N182" s="52"/>
      <c r="O182" s="52"/>
      <c r="P182" s="52"/>
      <c r="Q182" s="125"/>
      <c r="R182" s="132" t="s">
        <v>305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25"/>
      <c r="AK182" s="98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99"/>
    </row>
    <row r="183" spans="2:61" ht="20.100000000000001" customHeight="1" x14ac:dyDescent="0.45">
      <c r="B183" s="123"/>
      <c r="C183" s="31"/>
      <c r="D183" s="31"/>
      <c r="E183" s="31"/>
      <c r="F183" s="31"/>
      <c r="G183" s="96"/>
      <c r="H183" s="97"/>
      <c r="I183" s="31"/>
      <c r="J183" s="124" t="s">
        <v>256</v>
      </c>
      <c r="K183" s="52"/>
      <c r="L183" s="52"/>
      <c r="M183" s="52"/>
      <c r="N183" s="52"/>
      <c r="O183" s="52"/>
      <c r="P183" s="52"/>
      <c r="Q183" s="125"/>
      <c r="R183" s="132" t="s">
        <v>305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25"/>
      <c r="AK183" s="98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99"/>
    </row>
    <row r="184" spans="2:61" ht="20.100000000000001" customHeight="1" x14ac:dyDescent="0.45">
      <c r="B184" s="123"/>
      <c r="C184" s="31"/>
      <c r="D184" s="31"/>
      <c r="E184" s="31"/>
      <c r="F184" s="31"/>
      <c r="G184" s="96"/>
      <c r="H184" s="97"/>
      <c r="I184" s="31"/>
      <c r="J184" s="124" t="s">
        <v>257</v>
      </c>
      <c r="K184" s="52"/>
      <c r="L184" s="52"/>
      <c r="M184" s="52"/>
      <c r="N184" s="52"/>
      <c r="O184" s="52"/>
      <c r="P184" s="52"/>
      <c r="Q184" s="125"/>
      <c r="R184" s="132" t="s">
        <v>305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25"/>
      <c r="AK184" s="98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99"/>
    </row>
    <row r="185" spans="2:61" ht="20.100000000000001" customHeight="1" x14ac:dyDescent="0.45">
      <c r="B185" s="123"/>
      <c r="C185" s="31"/>
      <c r="D185" s="31"/>
      <c r="E185" s="31"/>
      <c r="F185" s="31"/>
      <c r="G185" s="96"/>
      <c r="H185" s="97"/>
      <c r="I185" s="31"/>
      <c r="J185" s="124" t="s">
        <v>259</v>
      </c>
      <c r="K185" s="52"/>
      <c r="L185" s="52"/>
      <c r="M185" s="52"/>
      <c r="N185" s="52"/>
      <c r="O185" s="52"/>
      <c r="P185" s="52"/>
      <c r="Q185" s="125"/>
      <c r="R185" s="132" t="s">
        <v>305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125"/>
      <c r="AK185" s="98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99"/>
    </row>
    <row r="186" spans="2:61" ht="20.100000000000001" customHeight="1" x14ac:dyDescent="0.45">
      <c r="B186" s="123"/>
      <c r="C186" s="31"/>
      <c r="D186" s="31"/>
      <c r="E186" s="31"/>
      <c r="F186" s="31"/>
      <c r="G186" s="96"/>
      <c r="H186" s="31"/>
      <c r="I186" s="31"/>
      <c r="J186" s="124" t="s">
        <v>261</v>
      </c>
      <c r="K186" s="52"/>
      <c r="L186" s="52"/>
      <c r="M186" s="52"/>
      <c r="N186" s="52"/>
      <c r="O186" s="52"/>
      <c r="P186" s="52"/>
      <c r="Q186" s="125"/>
      <c r="R186" s="52" t="s">
        <v>330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125"/>
      <c r="AK186" s="98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99"/>
    </row>
    <row r="187" spans="2:61" ht="20.100000000000001" customHeight="1" x14ac:dyDescent="0.45">
      <c r="B187" s="123"/>
      <c r="C187" s="31"/>
      <c r="D187" s="31"/>
      <c r="E187" s="31"/>
      <c r="F187" s="31"/>
      <c r="G187" s="96"/>
      <c r="H187" s="31"/>
      <c r="I187" s="31"/>
      <c r="J187" s="124" t="s">
        <v>263</v>
      </c>
      <c r="K187" s="52"/>
      <c r="L187" s="52"/>
      <c r="M187" s="52"/>
      <c r="N187" s="52"/>
      <c r="O187" s="52"/>
      <c r="P187" s="52"/>
      <c r="Q187" s="125"/>
      <c r="R187" s="52" t="s">
        <v>305</v>
      </c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125"/>
      <c r="AK187" s="98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99"/>
    </row>
    <row r="188" spans="2:61" ht="19.8" customHeight="1" x14ac:dyDescent="0.45">
      <c r="B188" s="123"/>
      <c r="C188" s="31"/>
      <c r="D188" s="31"/>
      <c r="E188" s="31"/>
      <c r="F188" s="31"/>
      <c r="G188" s="96"/>
      <c r="H188" s="100" t="s">
        <v>53</v>
      </c>
      <c r="I188" s="55"/>
      <c r="J188" s="100" t="s">
        <v>325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101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102"/>
    </row>
    <row r="189" spans="2:61" ht="20.100000000000001" customHeight="1" x14ac:dyDescent="0.45">
      <c r="B189" s="95"/>
      <c r="C189" s="31"/>
      <c r="D189" s="31"/>
      <c r="E189" s="31"/>
      <c r="F189" s="31"/>
      <c r="G189" s="96"/>
      <c r="H189" s="100" t="s">
        <v>55</v>
      </c>
      <c r="I189" s="55"/>
      <c r="J189" s="100" t="s">
        <v>331</v>
      </c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131"/>
      <c r="AK189" s="100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102"/>
    </row>
    <row r="190" spans="2:61" ht="20.100000000000001" customHeight="1" x14ac:dyDescent="0.45">
      <c r="B190" s="95"/>
      <c r="C190" s="31"/>
      <c r="D190" s="31"/>
      <c r="E190" s="31"/>
      <c r="F190" s="31"/>
      <c r="G190" s="96"/>
      <c r="H190" s="97"/>
      <c r="I190" s="31"/>
      <c r="J190" s="97"/>
      <c r="K190" s="31" t="s">
        <v>332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97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99"/>
    </row>
    <row r="191" spans="2:61" ht="20.100000000000001" customHeight="1" thickBot="1" x14ac:dyDescent="0.5">
      <c r="B191" s="95"/>
      <c r="C191" s="31"/>
      <c r="D191" s="31"/>
      <c r="E191" s="31"/>
      <c r="F191" s="31"/>
      <c r="G191" s="96"/>
      <c r="H191" s="97"/>
      <c r="I191" s="31"/>
      <c r="J191" s="97"/>
      <c r="K191" s="31" t="s">
        <v>333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97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99"/>
    </row>
    <row r="192" spans="2:61" ht="20.100000000000001" customHeight="1" x14ac:dyDescent="0.45">
      <c r="B192" s="89" t="s">
        <v>334</v>
      </c>
      <c r="C192" s="90"/>
      <c r="D192" s="90"/>
      <c r="E192" s="90"/>
      <c r="F192" s="90"/>
      <c r="G192" s="91"/>
      <c r="H192" s="92" t="s">
        <v>220</v>
      </c>
      <c r="I192" s="90"/>
      <c r="J192" s="120" t="s">
        <v>179</v>
      </c>
      <c r="K192" s="121"/>
      <c r="L192" s="121"/>
      <c r="M192" s="121"/>
      <c r="N192" s="121"/>
      <c r="O192" s="121"/>
      <c r="P192" s="121"/>
      <c r="Q192" s="122"/>
      <c r="R192" s="121" t="s">
        <v>348</v>
      </c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2"/>
      <c r="AK192" s="93" t="s">
        <v>300</v>
      </c>
      <c r="AL192" s="90"/>
      <c r="AM192" s="90"/>
      <c r="AN192" s="90"/>
      <c r="AO192" s="90"/>
      <c r="AP192" s="90"/>
      <c r="AQ192" s="90"/>
      <c r="AR192" s="90" t="s">
        <v>335</v>
      </c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4"/>
    </row>
    <row r="193" spans="2:61" ht="20.100000000000001" customHeight="1" x14ac:dyDescent="0.45">
      <c r="B193" s="123"/>
      <c r="C193" s="31"/>
      <c r="D193" s="31"/>
      <c r="E193" s="31"/>
      <c r="F193" s="31"/>
      <c r="G193" s="96"/>
      <c r="H193" s="97"/>
      <c r="I193" s="31"/>
      <c r="J193" s="124" t="s">
        <v>222</v>
      </c>
      <c r="K193" s="52"/>
      <c r="L193" s="52"/>
      <c r="M193" s="52"/>
      <c r="N193" s="52"/>
      <c r="O193" s="52"/>
      <c r="P193" s="52"/>
      <c r="Q193" s="125"/>
      <c r="R193" s="132" t="s">
        <v>351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25"/>
      <c r="AK193" s="98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99"/>
    </row>
    <row r="194" spans="2:61" ht="20.100000000000001" customHeight="1" x14ac:dyDescent="0.45">
      <c r="B194" s="123"/>
      <c r="C194" s="31"/>
      <c r="D194" s="31"/>
      <c r="E194" s="31"/>
      <c r="F194" s="31"/>
      <c r="G194" s="96"/>
      <c r="H194" s="97"/>
      <c r="I194" s="31"/>
      <c r="J194" s="124" t="s">
        <v>224</v>
      </c>
      <c r="K194" s="52"/>
      <c r="L194" s="52"/>
      <c r="M194" s="52"/>
      <c r="N194" s="52"/>
      <c r="O194" s="52"/>
      <c r="P194" s="52"/>
      <c r="Q194" s="125"/>
      <c r="R194" s="52" t="s">
        <v>336</v>
      </c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125"/>
      <c r="AK194" s="98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99"/>
    </row>
    <row r="195" spans="2:61" ht="20.100000000000001" customHeight="1" x14ac:dyDescent="0.45">
      <c r="B195" s="123"/>
      <c r="C195" s="31"/>
      <c r="D195" s="31"/>
      <c r="E195" s="31"/>
      <c r="F195" s="31"/>
      <c r="G195" s="96"/>
      <c r="H195" s="97"/>
      <c r="I195" s="31"/>
      <c r="J195" s="124" t="s">
        <v>226</v>
      </c>
      <c r="K195" s="52"/>
      <c r="L195" s="52"/>
      <c r="M195" s="52"/>
      <c r="N195" s="52"/>
      <c r="O195" s="52"/>
      <c r="P195" s="52"/>
      <c r="Q195" s="125"/>
      <c r="R195" s="52" t="s">
        <v>337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125"/>
      <c r="AK195" s="98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99"/>
    </row>
    <row r="196" spans="2:61" ht="20.100000000000001" customHeight="1" x14ac:dyDescent="0.45">
      <c r="B196" s="123"/>
      <c r="C196" s="31"/>
      <c r="D196" s="31"/>
      <c r="E196" s="31"/>
      <c r="F196" s="31"/>
      <c r="G196" s="96"/>
      <c r="H196" s="31"/>
      <c r="I196" s="31"/>
      <c r="J196" s="124" t="s">
        <v>228</v>
      </c>
      <c r="K196" s="52"/>
      <c r="L196" s="52"/>
      <c r="M196" s="52"/>
      <c r="N196" s="52"/>
      <c r="O196" s="52"/>
      <c r="P196" s="52"/>
      <c r="Q196" s="125"/>
      <c r="R196" s="132" t="s">
        <v>303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125"/>
      <c r="AK196" s="98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99"/>
    </row>
    <row r="197" spans="2:61" ht="20.100000000000001" customHeight="1" x14ac:dyDescent="0.45">
      <c r="B197" s="123"/>
      <c r="C197" s="31"/>
      <c r="D197" s="31"/>
      <c r="E197" s="31"/>
      <c r="F197" s="31"/>
      <c r="G197" s="96"/>
      <c r="H197" s="31"/>
      <c r="I197" s="31"/>
      <c r="J197" s="124" t="s">
        <v>230</v>
      </c>
      <c r="K197" s="52"/>
      <c r="L197" s="52"/>
      <c r="M197" s="52"/>
      <c r="N197" s="52"/>
      <c r="O197" s="52"/>
      <c r="P197" s="52"/>
      <c r="Q197" s="125"/>
      <c r="R197" s="132" t="s">
        <v>304</v>
      </c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125"/>
      <c r="AK197" s="98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99"/>
    </row>
    <row r="198" spans="2:61" ht="20.100000000000001" customHeight="1" x14ac:dyDescent="0.45">
      <c r="B198" s="123"/>
      <c r="C198" s="31"/>
      <c r="D198" s="31"/>
      <c r="E198" s="31"/>
      <c r="F198" s="31"/>
      <c r="G198" s="96"/>
      <c r="H198" s="97"/>
      <c r="I198" s="31"/>
      <c r="J198" s="124" t="s">
        <v>232</v>
      </c>
      <c r="K198" s="52"/>
      <c r="L198" s="52"/>
      <c r="M198" s="52"/>
      <c r="N198" s="52"/>
      <c r="O198" s="52"/>
      <c r="P198" s="52"/>
      <c r="Q198" s="125"/>
      <c r="R198" s="132" t="s">
        <v>305</v>
      </c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125"/>
      <c r="AK198" s="98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99"/>
    </row>
    <row r="199" spans="2:61" ht="20.100000000000001" customHeight="1" x14ac:dyDescent="0.45">
      <c r="B199" s="123"/>
      <c r="C199" s="31"/>
      <c r="D199" s="31"/>
      <c r="E199" s="31"/>
      <c r="F199" s="31"/>
      <c r="G199" s="96"/>
      <c r="H199" s="97"/>
      <c r="I199" s="31"/>
      <c r="J199" s="124" t="s">
        <v>234</v>
      </c>
      <c r="K199" s="52"/>
      <c r="L199" s="52"/>
      <c r="M199" s="52"/>
      <c r="N199" s="52"/>
      <c r="O199" s="52"/>
      <c r="P199" s="52"/>
      <c r="Q199" s="125"/>
      <c r="R199" s="132" t="s">
        <v>305</v>
      </c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125"/>
      <c r="AK199" s="98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99"/>
    </row>
    <row r="200" spans="2:61" ht="20.100000000000001" customHeight="1" x14ac:dyDescent="0.45">
      <c r="B200" s="123"/>
      <c r="C200" s="31"/>
      <c r="D200" s="31"/>
      <c r="E200" s="31"/>
      <c r="F200" s="31"/>
      <c r="G200" s="96"/>
      <c r="H200" s="97"/>
      <c r="I200" s="31"/>
      <c r="J200" s="124" t="s">
        <v>236</v>
      </c>
      <c r="K200" s="52"/>
      <c r="L200" s="52"/>
      <c r="M200" s="52"/>
      <c r="N200" s="52"/>
      <c r="O200" s="52"/>
      <c r="P200" s="52"/>
      <c r="Q200" s="125"/>
      <c r="R200" s="132" t="s">
        <v>305</v>
      </c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125"/>
      <c r="AK200" s="98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99"/>
    </row>
    <row r="201" spans="2:61" ht="20.100000000000001" customHeight="1" x14ac:dyDescent="0.45">
      <c r="B201" s="123"/>
      <c r="C201" s="31"/>
      <c r="D201" s="31"/>
      <c r="E201" s="31"/>
      <c r="F201" s="31"/>
      <c r="G201" s="96"/>
      <c r="H201" s="31"/>
      <c r="I201" s="31"/>
      <c r="J201" s="124" t="s">
        <v>238</v>
      </c>
      <c r="K201" s="52"/>
      <c r="L201" s="52"/>
      <c r="M201" s="52"/>
      <c r="N201" s="52"/>
      <c r="O201" s="52"/>
      <c r="P201" s="52"/>
      <c r="Q201" s="125"/>
      <c r="R201" s="132" t="s">
        <v>305</v>
      </c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125"/>
      <c r="AK201" s="98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99"/>
    </row>
    <row r="202" spans="2:61" ht="20.100000000000001" customHeight="1" x14ac:dyDescent="0.45">
      <c r="B202" s="123"/>
      <c r="C202" s="31"/>
      <c r="D202" s="31"/>
      <c r="E202" s="31"/>
      <c r="F202" s="31"/>
      <c r="G202" s="96"/>
      <c r="H202" s="31"/>
      <c r="I202" s="31"/>
      <c r="J202" s="124" t="s">
        <v>240</v>
      </c>
      <c r="K202" s="52"/>
      <c r="L202" s="52"/>
      <c r="M202" s="52"/>
      <c r="N202" s="52"/>
      <c r="O202" s="52"/>
      <c r="P202" s="52"/>
      <c r="Q202" s="125"/>
      <c r="R202" s="132" t="s">
        <v>306</v>
      </c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125"/>
      <c r="AK202" s="98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99"/>
    </row>
    <row r="203" spans="2:61" ht="20.100000000000001" customHeight="1" x14ac:dyDescent="0.45">
      <c r="B203" s="123"/>
      <c r="C203" s="31"/>
      <c r="D203" s="31"/>
      <c r="E203" s="31"/>
      <c r="F203" s="31"/>
      <c r="G203" s="96"/>
      <c r="H203" s="97"/>
      <c r="I203" s="31"/>
      <c r="J203" s="124" t="s">
        <v>242</v>
      </c>
      <c r="K203" s="52"/>
      <c r="L203" s="52"/>
      <c r="M203" s="52"/>
      <c r="N203" s="52"/>
      <c r="O203" s="52"/>
      <c r="P203" s="52"/>
      <c r="Q203" s="125"/>
      <c r="R203" s="132" t="s">
        <v>305</v>
      </c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125"/>
      <c r="AK203" s="98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99"/>
    </row>
    <row r="204" spans="2:61" ht="20.100000000000001" customHeight="1" x14ac:dyDescent="0.45">
      <c r="B204" s="123"/>
      <c r="C204" s="31"/>
      <c r="D204" s="31"/>
      <c r="E204" s="31"/>
      <c r="F204" s="31"/>
      <c r="G204" s="96"/>
      <c r="H204" s="97"/>
      <c r="I204" s="31"/>
      <c r="J204" s="124" t="s">
        <v>244</v>
      </c>
      <c r="K204" s="52"/>
      <c r="L204" s="52"/>
      <c r="M204" s="52"/>
      <c r="N204" s="52"/>
      <c r="O204" s="52"/>
      <c r="P204" s="52"/>
      <c r="Q204" s="125"/>
      <c r="R204" s="132" t="s">
        <v>305</v>
      </c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125"/>
      <c r="AK204" s="98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99"/>
    </row>
    <row r="205" spans="2:61" ht="20.100000000000001" customHeight="1" x14ac:dyDescent="0.45">
      <c r="B205" s="123"/>
      <c r="C205" s="31"/>
      <c r="D205" s="31"/>
      <c r="E205" s="31"/>
      <c r="F205" s="31"/>
      <c r="G205" s="96"/>
      <c r="H205" s="97"/>
      <c r="I205" s="31"/>
      <c r="J205" s="124" t="s">
        <v>246</v>
      </c>
      <c r="K205" s="52"/>
      <c r="L205" s="52"/>
      <c r="M205" s="52"/>
      <c r="N205" s="52"/>
      <c r="O205" s="52"/>
      <c r="P205" s="52"/>
      <c r="Q205" s="125"/>
      <c r="R205" s="132" t="s">
        <v>305</v>
      </c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125"/>
      <c r="AK205" s="98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99"/>
    </row>
    <row r="206" spans="2:61" ht="20.100000000000001" customHeight="1" x14ac:dyDescent="0.45">
      <c r="B206" s="123"/>
      <c r="C206" s="31"/>
      <c r="D206" s="31"/>
      <c r="E206" s="31"/>
      <c r="F206" s="31"/>
      <c r="G206" s="96"/>
      <c r="H206" s="31"/>
      <c r="I206" s="31"/>
      <c r="J206" s="124" t="s">
        <v>248</v>
      </c>
      <c r="K206" s="52"/>
      <c r="L206" s="52"/>
      <c r="M206" s="52"/>
      <c r="N206" s="52"/>
      <c r="O206" s="52"/>
      <c r="P206" s="52"/>
      <c r="Q206" s="125"/>
      <c r="R206" s="132" t="s">
        <v>305</v>
      </c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125"/>
      <c r="AK206" s="98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99"/>
    </row>
    <row r="207" spans="2:61" ht="20.100000000000001" customHeight="1" x14ac:dyDescent="0.45">
      <c r="B207" s="123"/>
      <c r="C207" s="31"/>
      <c r="D207" s="31"/>
      <c r="E207" s="31"/>
      <c r="F207" s="31"/>
      <c r="G207" s="96"/>
      <c r="H207" s="31"/>
      <c r="I207" s="31"/>
      <c r="J207" s="124" t="s">
        <v>250</v>
      </c>
      <c r="K207" s="52"/>
      <c r="L207" s="52"/>
      <c r="M207" s="52"/>
      <c r="N207" s="52"/>
      <c r="O207" s="52"/>
      <c r="P207" s="52"/>
      <c r="Q207" s="125"/>
      <c r="R207" s="132" t="s">
        <v>305</v>
      </c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125"/>
      <c r="AK207" s="98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99"/>
    </row>
    <row r="208" spans="2:61" ht="20.100000000000001" customHeight="1" x14ac:dyDescent="0.45">
      <c r="B208" s="123"/>
      <c r="C208" s="31"/>
      <c r="D208" s="31"/>
      <c r="E208" s="31"/>
      <c r="F208" s="31"/>
      <c r="G208" s="96"/>
      <c r="H208" s="97"/>
      <c r="I208" s="31"/>
      <c r="J208" s="124" t="s">
        <v>252</v>
      </c>
      <c r="K208" s="52"/>
      <c r="L208" s="52"/>
      <c r="M208" s="52"/>
      <c r="N208" s="52"/>
      <c r="O208" s="52"/>
      <c r="P208" s="52"/>
      <c r="Q208" s="125"/>
      <c r="R208" s="132" t="s">
        <v>305</v>
      </c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125"/>
      <c r="AK208" s="98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99"/>
    </row>
    <row r="209" spans="2:61" ht="20.100000000000001" customHeight="1" x14ac:dyDescent="0.45">
      <c r="B209" s="123"/>
      <c r="C209" s="31"/>
      <c r="D209" s="31"/>
      <c r="E209" s="31"/>
      <c r="F209" s="31"/>
      <c r="G209" s="96"/>
      <c r="H209" s="97"/>
      <c r="I209" s="31"/>
      <c r="J209" s="124" t="s">
        <v>254</v>
      </c>
      <c r="K209" s="52"/>
      <c r="L209" s="52"/>
      <c r="M209" s="52"/>
      <c r="N209" s="52"/>
      <c r="O209" s="52"/>
      <c r="P209" s="52"/>
      <c r="Q209" s="125"/>
      <c r="R209" s="132" t="s">
        <v>305</v>
      </c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125"/>
      <c r="AK209" s="98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99"/>
    </row>
    <row r="210" spans="2:61" ht="20.100000000000001" customHeight="1" x14ac:dyDescent="0.45">
      <c r="B210" s="123"/>
      <c r="C210" s="31"/>
      <c r="D210" s="31"/>
      <c r="E210" s="31"/>
      <c r="F210" s="31"/>
      <c r="G210" s="96"/>
      <c r="H210" s="97"/>
      <c r="I210" s="31"/>
      <c r="J210" s="124" t="s">
        <v>256</v>
      </c>
      <c r="K210" s="52"/>
      <c r="L210" s="52"/>
      <c r="M210" s="52"/>
      <c r="N210" s="52"/>
      <c r="O210" s="52"/>
      <c r="P210" s="52"/>
      <c r="Q210" s="125"/>
      <c r="R210" s="132" t="s">
        <v>305</v>
      </c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125"/>
      <c r="AK210" s="98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99"/>
    </row>
    <row r="211" spans="2:61" ht="20.100000000000001" customHeight="1" x14ac:dyDescent="0.45">
      <c r="B211" s="123"/>
      <c r="C211" s="31"/>
      <c r="D211" s="31"/>
      <c r="E211" s="31"/>
      <c r="F211" s="31"/>
      <c r="G211" s="96"/>
      <c r="H211" s="97"/>
      <c r="I211" s="31"/>
      <c r="J211" s="124" t="s">
        <v>257</v>
      </c>
      <c r="K211" s="52"/>
      <c r="L211" s="52"/>
      <c r="M211" s="52"/>
      <c r="N211" s="52"/>
      <c r="O211" s="52"/>
      <c r="P211" s="52"/>
      <c r="Q211" s="125"/>
      <c r="R211" s="132" t="s">
        <v>305</v>
      </c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125"/>
      <c r="AK211" s="98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99"/>
    </row>
    <row r="212" spans="2:61" ht="20.100000000000001" customHeight="1" x14ac:dyDescent="0.45">
      <c r="B212" s="123"/>
      <c r="C212" s="31"/>
      <c r="D212" s="31"/>
      <c r="E212" s="31"/>
      <c r="F212" s="31"/>
      <c r="G212" s="96"/>
      <c r="H212" s="97"/>
      <c r="I212" s="31"/>
      <c r="J212" s="124" t="s">
        <v>259</v>
      </c>
      <c r="K212" s="52"/>
      <c r="L212" s="52"/>
      <c r="M212" s="52"/>
      <c r="N212" s="52"/>
      <c r="O212" s="52"/>
      <c r="P212" s="52"/>
      <c r="Q212" s="125"/>
      <c r="R212" s="132" t="s">
        <v>305</v>
      </c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125"/>
      <c r="AK212" s="98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99"/>
    </row>
    <row r="213" spans="2:61" ht="20.100000000000001" customHeight="1" x14ac:dyDescent="0.45">
      <c r="B213" s="123"/>
      <c r="C213" s="31"/>
      <c r="D213" s="31"/>
      <c r="E213" s="31"/>
      <c r="F213" s="31"/>
      <c r="G213" s="96"/>
      <c r="H213" s="31"/>
      <c r="I213" s="31"/>
      <c r="J213" s="124" t="s">
        <v>261</v>
      </c>
      <c r="K213" s="52"/>
      <c r="L213" s="52"/>
      <c r="M213" s="52"/>
      <c r="N213" s="52"/>
      <c r="O213" s="52"/>
      <c r="P213" s="52"/>
      <c r="Q213" s="125"/>
      <c r="R213" s="52" t="s">
        <v>349</v>
      </c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125"/>
      <c r="AK213" s="98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99"/>
    </row>
    <row r="214" spans="2:61" ht="20.100000000000001" customHeight="1" x14ac:dyDescent="0.45">
      <c r="B214" s="123"/>
      <c r="C214" s="31"/>
      <c r="D214" s="31"/>
      <c r="E214" s="31"/>
      <c r="F214" s="31"/>
      <c r="G214" s="96"/>
      <c r="H214" s="31"/>
      <c r="I214" s="31"/>
      <c r="J214" s="124" t="s">
        <v>263</v>
      </c>
      <c r="K214" s="52"/>
      <c r="L214" s="52"/>
      <c r="M214" s="52"/>
      <c r="N214" s="52"/>
      <c r="O214" s="52"/>
      <c r="P214" s="52"/>
      <c r="Q214" s="125"/>
      <c r="R214" s="52" t="s">
        <v>305</v>
      </c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125"/>
      <c r="AK214" s="98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99"/>
    </row>
    <row r="215" spans="2:61" ht="19.8" customHeight="1" x14ac:dyDescent="0.45">
      <c r="B215" s="123"/>
      <c r="C215" s="31"/>
      <c r="D215" s="31"/>
      <c r="E215" s="31"/>
      <c r="F215" s="31"/>
      <c r="G215" s="96"/>
      <c r="H215" s="100" t="s">
        <v>53</v>
      </c>
      <c r="I215" s="55"/>
      <c r="J215" s="100" t="s">
        <v>338</v>
      </c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101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102"/>
    </row>
    <row r="216" spans="2:61" ht="19.8" customHeight="1" x14ac:dyDescent="0.45">
      <c r="B216" s="123"/>
      <c r="C216" s="31"/>
      <c r="D216" s="31"/>
      <c r="E216" s="31"/>
      <c r="F216" s="31"/>
      <c r="G216" s="96"/>
      <c r="H216" s="97"/>
      <c r="I216" s="31"/>
      <c r="J216" s="97"/>
      <c r="K216" s="31"/>
      <c r="L216" s="31" t="s">
        <v>339</v>
      </c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96"/>
      <c r="AK216" s="98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99"/>
    </row>
    <row r="217" spans="2:61" ht="19.8" customHeight="1" x14ac:dyDescent="0.45">
      <c r="B217" s="123"/>
      <c r="C217" s="31"/>
      <c r="D217" s="31"/>
      <c r="E217" s="31"/>
      <c r="F217" s="31"/>
      <c r="G217" s="96"/>
      <c r="H217" s="103"/>
      <c r="I217" s="104"/>
      <c r="J217" s="103"/>
      <c r="K217" s="104" t="s">
        <v>340</v>
      </c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27"/>
      <c r="AK217" s="98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99"/>
    </row>
    <row r="218" spans="2:61" ht="20.100000000000001" customHeight="1" x14ac:dyDescent="0.45">
      <c r="B218" s="95"/>
      <c r="C218" s="31"/>
      <c r="D218" s="31"/>
      <c r="E218" s="31"/>
      <c r="F218" s="31"/>
      <c r="G218" s="96"/>
      <c r="H218" s="100" t="s">
        <v>54</v>
      </c>
      <c r="I218" s="55"/>
      <c r="J218" s="100" t="s">
        <v>162</v>
      </c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131"/>
      <c r="AK218" s="100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102"/>
    </row>
    <row r="219" spans="2:61" ht="20.100000000000001" customHeight="1" x14ac:dyDescent="0.45">
      <c r="B219" s="95"/>
      <c r="C219" s="31"/>
      <c r="D219" s="31"/>
      <c r="E219" s="31"/>
      <c r="F219" s="31"/>
      <c r="G219" s="96"/>
      <c r="H219" s="97"/>
      <c r="I219" s="31"/>
      <c r="J219" s="97"/>
      <c r="K219" s="31" t="s">
        <v>163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97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99"/>
    </row>
    <row r="220" spans="2:61" ht="20.100000000000001" customHeight="1" x14ac:dyDescent="0.45">
      <c r="B220" s="95"/>
      <c r="C220" s="31"/>
      <c r="D220" s="31"/>
      <c r="E220" s="31"/>
      <c r="F220" s="31"/>
      <c r="G220" s="96"/>
      <c r="H220" s="97"/>
      <c r="I220" s="31"/>
      <c r="J220" s="97"/>
      <c r="K220" s="31" t="s">
        <v>341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97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99"/>
    </row>
    <row r="221" spans="2:61" ht="20.100000000000001" customHeight="1" x14ac:dyDescent="0.45">
      <c r="B221" s="95"/>
      <c r="C221" s="31"/>
      <c r="D221" s="31"/>
      <c r="E221" s="31"/>
      <c r="F221" s="31"/>
      <c r="G221" s="96"/>
      <c r="H221" s="97"/>
      <c r="I221" s="31"/>
      <c r="J221" s="97"/>
      <c r="K221" s="31" t="s">
        <v>342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97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99"/>
    </row>
    <row r="222" spans="2:61" ht="20.100000000000001" customHeight="1" x14ac:dyDescent="0.45">
      <c r="B222" s="95"/>
      <c r="C222" s="31"/>
      <c r="D222" s="31"/>
      <c r="E222" s="31"/>
      <c r="F222" s="31"/>
      <c r="G222" s="96"/>
      <c r="H222" s="97"/>
      <c r="I222" s="31"/>
      <c r="J222" s="97"/>
      <c r="K222" s="31" t="s">
        <v>343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97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99"/>
    </row>
    <row r="223" spans="2:61" ht="20.100000000000001" customHeight="1" x14ac:dyDescent="0.45">
      <c r="B223" s="95"/>
      <c r="C223" s="31"/>
      <c r="D223" s="31"/>
      <c r="E223" s="31"/>
      <c r="F223" s="31"/>
      <c r="G223" s="96"/>
      <c r="H223" s="97"/>
      <c r="I223" s="31"/>
      <c r="J223" s="97" t="s">
        <v>162</v>
      </c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97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99"/>
    </row>
    <row r="224" spans="2:61" ht="20.100000000000001" customHeight="1" x14ac:dyDescent="0.45">
      <c r="B224" s="95"/>
      <c r="C224" s="31"/>
      <c r="D224" s="31"/>
      <c r="E224" s="31"/>
      <c r="F224" s="31"/>
      <c r="G224" s="96"/>
      <c r="H224" s="97"/>
      <c r="I224" s="31"/>
      <c r="J224" s="97"/>
      <c r="K224" s="31" t="s">
        <v>163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97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99"/>
    </row>
    <row r="225" spans="2:61" ht="20.100000000000001" customHeight="1" x14ac:dyDescent="0.45">
      <c r="B225" s="95"/>
      <c r="C225" s="31"/>
      <c r="D225" s="31"/>
      <c r="E225" s="31"/>
      <c r="F225" s="31"/>
      <c r="G225" s="96"/>
      <c r="H225" s="97"/>
      <c r="I225" s="31"/>
      <c r="J225" s="97"/>
      <c r="K225" s="31" t="s">
        <v>344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97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99"/>
    </row>
    <row r="226" spans="2:61" ht="20.100000000000001" customHeight="1" x14ac:dyDescent="0.45">
      <c r="B226" s="95"/>
      <c r="C226" s="31"/>
      <c r="D226" s="31"/>
      <c r="E226" s="31"/>
      <c r="F226" s="31"/>
      <c r="G226" s="96"/>
      <c r="H226" s="97"/>
      <c r="I226" s="31"/>
      <c r="J226" s="97"/>
      <c r="K226" s="31" t="s">
        <v>345</v>
      </c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97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99"/>
    </row>
    <row r="227" spans="2:61" ht="20.100000000000001" customHeight="1" x14ac:dyDescent="0.45">
      <c r="B227" s="95"/>
      <c r="C227" s="31"/>
      <c r="D227" s="31"/>
      <c r="E227" s="31"/>
      <c r="F227" s="31"/>
      <c r="G227" s="96"/>
      <c r="H227" s="97"/>
      <c r="I227" s="31"/>
      <c r="J227" s="97"/>
      <c r="K227" s="31" t="s">
        <v>346</v>
      </c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97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99"/>
    </row>
    <row r="228" spans="2:61" ht="19.8" customHeight="1" x14ac:dyDescent="0.45">
      <c r="B228" s="123"/>
      <c r="C228" s="31"/>
      <c r="D228" s="31"/>
      <c r="E228" s="31"/>
      <c r="F228" s="31"/>
      <c r="G228" s="96"/>
      <c r="H228" s="100" t="s">
        <v>55</v>
      </c>
      <c r="I228" s="55"/>
      <c r="J228" s="100" t="s">
        <v>350</v>
      </c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101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102"/>
    </row>
    <row r="229" spans="2:61" ht="19.8" customHeight="1" thickBot="1" x14ac:dyDescent="0.5">
      <c r="B229" s="123"/>
      <c r="C229" s="31"/>
      <c r="D229" s="31"/>
      <c r="E229" s="31"/>
      <c r="F229" s="31"/>
      <c r="G229" s="96"/>
      <c r="H229" s="97"/>
      <c r="I229" s="31"/>
      <c r="J229" s="97"/>
      <c r="K229" s="31" t="s">
        <v>347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96"/>
      <c r="AK229" s="98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99"/>
    </row>
    <row r="230" spans="2:61" ht="20.100000000000001" customHeight="1" x14ac:dyDescent="0.45">
      <c r="B230" s="89" t="s">
        <v>352</v>
      </c>
      <c r="C230" s="90"/>
      <c r="D230" s="90"/>
      <c r="E230" s="90"/>
      <c r="F230" s="90"/>
      <c r="G230" s="91"/>
      <c r="H230" s="92" t="s">
        <v>84</v>
      </c>
      <c r="I230" s="90"/>
      <c r="J230" s="120" t="s">
        <v>179</v>
      </c>
      <c r="K230" s="121"/>
      <c r="L230" s="121"/>
      <c r="M230" s="121"/>
      <c r="N230" s="121"/>
      <c r="O230" s="121"/>
      <c r="P230" s="121"/>
      <c r="Q230" s="122"/>
      <c r="R230" s="121" t="s">
        <v>307</v>
      </c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2"/>
      <c r="AK230" s="93" t="s">
        <v>353</v>
      </c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4"/>
    </row>
    <row r="231" spans="2:61" ht="19.8" customHeight="1" x14ac:dyDescent="0.45">
      <c r="B231" s="123"/>
      <c r="C231" s="31"/>
      <c r="D231" s="31"/>
      <c r="E231" s="31"/>
      <c r="F231" s="31"/>
      <c r="G231" s="96"/>
      <c r="H231" s="100" t="s">
        <v>53</v>
      </c>
      <c r="I231" s="55"/>
      <c r="J231" s="100" t="s">
        <v>354</v>
      </c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101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102"/>
    </row>
    <row r="232" spans="2:61" ht="20.100000000000001" customHeight="1" x14ac:dyDescent="0.45">
      <c r="B232" s="95"/>
      <c r="C232" s="31"/>
      <c r="D232" s="31"/>
      <c r="E232" s="31"/>
      <c r="F232" s="31"/>
      <c r="G232" s="96"/>
      <c r="H232" s="100" t="s">
        <v>54</v>
      </c>
      <c r="I232" s="55"/>
      <c r="J232" s="100" t="s">
        <v>266</v>
      </c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131"/>
      <c r="AK232" s="100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102"/>
    </row>
    <row r="233" spans="2:61" ht="20.100000000000001" customHeight="1" x14ac:dyDescent="0.45">
      <c r="B233" s="95"/>
      <c r="C233" s="31"/>
      <c r="D233" s="31"/>
      <c r="E233" s="31"/>
      <c r="F233" s="31"/>
      <c r="G233" s="96"/>
      <c r="H233" s="97"/>
      <c r="I233" s="31"/>
      <c r="J233" s="97"/>
      <c r="K233" s="31" t="s">
        <v>267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97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99"/>
    </row>
    <row r="234" spans="2:61" ht="19.8" customHeight="1" x14ac:dyDescent="0.45">
      <c r="B234" s="123"/>
      <c r="C234" s="31"/>
      <c r="D234" s="31"/>
      <c r="E234" s="31"/>
      <c r="F234" s="31"/>
      <c r="G234" s="96"/>
      <c r="H234" s="100" t="s">
        <v>55</v>
      </c>
      <c r="I234" s="55"/>
      <c r="J234" s="100" t="s">
        <v>313</v>
      </c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101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102"/>
    </row>
    <row r="235" spans="2:61" ht="19.8" customHeight="1" x14ac:dyDescent="0.45">
      <c r="B235" s="123"/>
      <c r="C235" s="31"/>
      <c r="D235" s="31"/>
      <c r="E235" s="31"/>
      <c r="F235" s="31"/>
      <c r="G235" s="96"/>
      <c r="H235" s="97"/>
      <c r="I235" s="31"/>
      <c r="J235" s="97"/>
      <c r="K235" s="31" t="s">
        <v>314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96"/>
      <c r="AK235" s="98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99"/>
    </row>
    <row r="236" spans="2:61" ht="19.8" customHeight="1" x14ac:dyDescent="0.45">
      <c r="B236" s="123"/>
      <c r="C236" s="31"/>
      <c r="D236" s="31"/>
      <c r="E236" s="31"/>
      <c r="F236" s="31"/>
      <c r="G236" s="96"/>
      <c r="H236" s="97"/>
      <c r="I236" s="31"/>
      <c r="J236" s="97"/>
      <c r="K236" s="31" t="s">
        <v>358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96"/>
      <c r="AK236" s="98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99"/>
    </row>
    <row r="237" spans="2:61" ht="19.8" customHeight="1" x14ac:dyDescent="0.45">
      <c r="B237" s="123"/>
      <c r="C237" s="31"/>
      <c r="D237" s="31"/>
      <c r="E237" s="31"/>
      <c r="F237" s="31"/>
      <c r="G237" s="96"/>
      <c r="H237" s="97"/>
      <c r="I237" s="31"/>
      <c r="J237" s="97"/>
      <c r="K237" s="31" t="s">
        <v>355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96"/>
      <c r="AK237" s="98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99"/>
    </row>
    <row r="238" spans="2:61" ht="20.100000000000001" customHeight="1" thickBot="1" x14ac:dyDescent="0.5">
      <c r="B238" s="95"/>
      <c r="C238" s="31"/>
      <c r="D238" s="31"/>
      <c r="E238" s="31"/>
      <c r="F238" s="31"/>
      <c r="G238" s="96"/>
      <c r="H238" s="128" t="s">
        <v>356</v>
      </c>
      <c r="I238" s="129"/>
      <c r="J238" s="128" t="s">
        <v>357</v>
      </c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8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30"/>
    </row>
    <row r="239" spans="2:61" ht="20.100000000000001" customHeight="1" x14ac:dyDescent="0.45">
      <c r="B239" s="89" t="s">
        <v>359</v>
      </c>
      <c r="C239" s="90"/>
      <c r="D239" s="90"/>
      <c r="E239" s="90"/>
      <c r="F239" s="90"/>
      <c r="G239" s="91"/>
      <c r="H239" s="92" t="s">
        <v>84</v>
      </c>
      <c r="I239" s="90"/>
      <c r="J239" s="120" t="s">
        <v>178</v>
      </c>
      <c r="K239" s="121"/>
      <c r="L239" s="121"/>
      <c r="M239" s="121"/>
      <c r="N239" s="121"/>
      <c r="O239" s="121"/>
      <c r="P239" s="121"/>
      <c r="Q239" s="122"/>
      <c r="R239" s="121" t="s">
        <v>361</v>
      </c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2"/>
      <c r="AK239" s="93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4"/>
    </row>
    <row r="240" spans="2:61" ht="20.100000000000001" customHeight="1" x14ac:dyDescent="0.45">
      <c r="B240" s="123"/>
      <c r="C240" s="31"/>
      <c r="D240" s="31"/>
      <c r="E240" s="31"/>
      <c r="F240" s="31"/>
      <c r="G240" s="96"/>
      <c r="H240" s="97"/>
      <c r="I240" s="31"/>
      <c r="J240" s="103" t="s">
        <v>191</v>
      </c>
      <c r="K240" s="104"/>
      <c r="L240" s="104"/>
      <c r="M240" s="104"/>
      <c r="N240" s="104"/>
      <c r="O240" s="104"/>
      <c r="P240" s="104"/>
      <c r="Q240" s="127"/>
      <c r="R240" s="104" t="s">
        <v>361</v>
      </c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27"/>
      <c r="AK240" s="98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99"/>
    </row>
    <row r="241" spans="2:61" ht="19.8" customHeight="1" x14ac:dyDescent="0.45">
      <c r="B241" s="123"/>
      <c r="C241" s="31"/>
      <c r="D241" s="31"/>
      <c r="E241" s="31"/>
      <c r="F241" s="31"/>
      <c r="G241" s="96"/>
      <c r="H241" s="100" t="s">
        <v>53</v>
      </c>
      <c r="I241" s="55"/>
      <c r="J241" s="100" t="s">
        <v>360</v>
      </c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101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102"/>
    </row>
    <row r="242" spans="2:61" ht="20.100000000000001" customHeight="1" x14ac:dyDescent="0.45">
      <c r="B242" s="95"/>
      <c r="C242" s="31"/>
      <c r="D242" s="31"/>
      <c r="E242" s="31"/>
      <c r="F242" s="31"/>
      <c r="G242" s="96"/>
      <c r="H242" s="100" t="s">
        <v>54</v>
      </c>
      <c r="I242" s="55"/>
      <c r="J242" s="100" t="s">
        <v>266</v>
      </c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131"/>
      <c r="AK242" s="100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102"/>
    </row>
    <row r="243" spans="2:61" ht="20.100000000000001" customHeight="1" x14ac:dyDescent="0.45">
      <c r="B243" s="95"/>
      <c r="C243" s="31"/>
      <c r="D243" s="31"/>
      <c r="E243" s="31"/>
      <c r="F243" s="31"/>
      <c r="G243" s="96"/>
      <c r="H243" s="97"/>
      <c r="I243" s="31"/>
      <c r="J243" s="97"/>
      <c r="K243" s="31" t="s">
        <v>267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97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99"/>
    </row>
    <row r="244" spans="2:61" ht="19.8" customHeight="1" x14ac:dyDescent="0.45">
      <c r="B244" s="123"/>
      <c r="C244" s="31"/>
      <c r="D244" s="31"/>
      <c r="E244" s="31"/>
      <c r="F244" s="31"/>
      <c r="G244" s="96"/>
      <c r="H244" s="100" t="s">
        <v>55</v>
      </c>
      <c r="I244" s="55"/>
      <c r="J244" s="100" t="s">
        <v>362</v>
      </c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101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102"/>
    </row>
    <row r="245" spans="2:61" ht="19.8" customHeight="1" x14ac:dyDescent="0.45">
      <c r="B245" s="123"/>
      <c r="C245" s="31"/>
      <c r="D245" s="31"/>
      <c r="E245" s="31"/>
      <c r="F245" s="31"/>
      <c r="G245" s="96"/>
      <c r="H245" s="97"/>
      <c r="I245" s="31"/>
      <c r="J245" s="97"/>
      <c r="K245" s="31" t="s">
        <v>363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96"/>
      <c r="AK245" s="98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99"/>
    </row>
    <row r="246" spans="2:61" ht="19.8" customHeight="1" thickBot="1" x14ac:dyDescent="0.5">
      <c r="B246" s="123"/>
      <c r="C246" s="31"/>
      <c r="D246" s="31"/>
      <c r="E246" s="31"/>
      <c r="F246" s="31"/>
      <c r="G246" s="96"/>
      <c r="H246" s="97"/>
      <c r="I246" s="31"/>
      <c r="J246" s="97"/>
      <c r="K246" s="31" t="s">
        <v>364</v>
      </c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96"/>
      <c r="AK246" s="98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99"/>
    </row>
    <row r="247" spans="2:61" ht="20.100000000000001" customHeight="1" x14ac:dyDescent="0.45">
      <c r="B247" s="89" t="s">
        <v>365</v>
      </c>
      <c r="C247" s="90"/>
      <c r="D247" s="90"/>
      <c r="E247" s="90"/>
      <c r="F247" s="90"/>
      <c r="G247" s="91"/>
      <c r="H247" s="92" t="s">
        <v>84</v>
      </c>
      <c r="I247" s="90"/>
      <c r="J247" s="120" t="s">
        <v>179</v>
      </c>
      <c r="K247" s="121"/>
      <c r="L247" s="121"/>
      <c r="M247" s="121"/>
      <c r="N247" s="121"/>
      <c r="O247" s="121"/>
      <c r="P247" s="121"/>
      <c r="Q247" s="122"/>
      <c r="R247" s="121" t="s">
        <v>307</v>
      </c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2"/>
      <c r="AK247" s="93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4"/>
    </row>
    <row r="248" spans="2:61" ht="20.100000000000001" customHeight="1" x14ac:dyDescent="0.45">
      <c r="B248" s="123"/>
      <c r="C248" s="31"/>
      <c r="D248" s="31"/>
      <c r="E248" s="31"/>
      <c r="F248" s="31"/>
      <c r="G248" s="96"/>
      <c r="H248" s="97"/>
      <c r="I248" s="31"/>
      <c r="J248" s="103" t="s">
        <v>367</v>
      </c>
      <c r="K248" s="104"/>
      <c r="L248" s="104"/>
      <c r="M248" s="104"/>
      <c r="N248" s="104"/>
      <c r="O248" s="104"/>
      <c r="P248" s="104"/>
      <c r="Q248" s="127"/>
      <c r="R248" s="104" t="s">
        <v>366</v>
      </c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27"/>
      <c r="AK248" s="98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99"/>
    </row>
    <row r="249" spans="2:61" ht="19.8" customHeight="1" x14ac:dyDescent="0.45">
      <c r="B249" s="123"/>
      <c r="C249" s="31"/>
      <c r="D249" s="31"/>
      <c r="E249" s="31"/>
      <c r="F249" s="31"/>
      <c r="G249" s="96"/>
      <c r="H249" s="100" t="s">
        <v>53</v>
      </c>
      <c r="I249" s="55"/>
      <c r="J249" s="100" t="s">
        <v>354</v>
      </c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101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102"/>
    </row>
    <row r="250" spans="2:61" ht="20.100000000000001" customHeight="1" x14ac:dyDescent="0.45">
      <c r="B250" s="95"/>
      <c r="C250" s="31"/>
      <c r="D250" s="31"/>
      <c r="E250" s="31"/>
      <c r="F250" s="31"/>
      <c r="G250" s="96"/>
      <c r="H250" s="100" t="s">
        <v>54</v>
      </c>
      <c r="I250" s="55"/>
      <c r="J250" s="100" t="s">
        <v>266</v>
      </c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131"/>
      <c r="AK250" s="100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102"/>
    </row>
    <row r="251" spans="2:61" ht="20.100000000000001" customHeight="1" x14ac:dyDescent="0.45">
      <c r="B251" s="95"/>
      <c r="C251" s="31"/>
      <c r="D251" s="31"/>
      <c r="E251" s="31"/>
      <c r="F251" s="31"/>
      <c r="G251" s="96"/>
      <c r="H251" s="97"/>
      <c r="I251" s="31"/>
      <c r="J251" s="97"/>
      <c r="K251" s="31" t="s">
        <v>267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97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99"/>
    </row>
    <row r="252" spans="2:61" ht="19.8" customHeight="1" x14ac:dyDescent="0.45">
      <c r="B252" s="123"/>
      <c r="C252" s="31"/>
      <c r="D252" s="31"/>
      <c r="E252" s="31"/>
      <c r="F252" s="31"/>
      <c r="G252" s="96"/>
      <c r="H252" s="100" t="s">
        <v>55</v>
      </c>
      <c r="I252" s="55"/>
      <c r="J252" s="100" t="s">
        <v>313</v>
      </c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101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102"/>
    </row>
    <row r="253" spans="2:61" ht="19.8" customHeight="1" x14ac:dyDescent="0.45">
      <c r="B253" s="123"/>
      <c r="C253" s="31"/>
      <c r="D253" s="31"/>
      <c r="E253" s="31"/>
      <c r="F253" s="31"/>
      <c r="G253" s="96"/>
      <c r="H253" s="97"/>
      <c r="I253" s="31"/>
      <c r="J253" s="97"/>
      <c r="K253" s="31" t="s">
        <v>314</v>
      </c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96"/>
      <c r="AK253" s="98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99"/>
    </row>
    <row r="254" spans="2:61" ht="19.8" customHeight="1" x14ac:dyDescent="0.45">
      <c r="B254" s="123"/>
      <c r="C254" s="31"/>
      <c r="D254" s="31"/>
      <c r="E254" s="31"/>
      <c r="F254" s="31"/>
      <c r="G254" s="96"/>
      <c r="H254" s="97"/>
      <c r="I254" s="31"/>
      <c r="J254" s="97"/>
      <c r="K254" s="31" t="s">
        <v>321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96"/>
      <c r="AK254" s="98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99"/>
    </row>
    <row r="255" spans="2:61" ht="19.8" customHeight="1" x14ac:dyDescent="0.45">
      <c r="B255" s="123"/>
      <c r="C255" s="31"/>
      <c r="D255" s="31"/>
      <c r="E255" s="31"/>
      <c r="F255" s="31"/>
      <c r="G255" s="96"/>
      <c r="H255" s="97"/>
      <c r="I255" s="31"/>
      <c r="J255" s="97"/>
      <c r="K255" s="31" t="s">
        <v>311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96"/>
      <c r="AK255" s="98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99"/>
    </row>
    <row r="256" spans="2:61" ht="19.8" customHeight="1" thickBot="1" x14ac:dyDescent="0.5">
      <c r="B256" s="123"/>
      <c r="C256" s="31"/>
      <c r="D256" s="31"/>
      <c r="E256" s="31"/>
      <c r="F256" s="31"/>
      <c r="G256" s="96"/>
      <c r="H256" s="97"/>
      <c r="I256" s="31"/>
      <c r="J256" s="97"/>
      <c r="K256" s="31" t="s">
        <v>312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96"/>
      <c r="AK256" s="98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99"/>
    </row>
    <row r="257" spans="2:61" ht="20.100000000000001" customHeight="1" x14ac:dyDescent="0.45">
      <c r="B257" s="89" t="s">
        <v>368</v>
      </c>
      <c r="C257" s="90"/>
      <c r="D257" s="90"/>
      <c r="E257" s="90"/>
      <c r="F257" s="90"/>
      <c r="G257" s="91"/>
      <c r="H257" s="92" t="s">
        <v>84</v>
      </c>
      <c r="I257" s="90"/>
      <c r="J257" s="120" t="s">
        <v>179</v>
      </c>
      <c r="K257" s="121"/>
      <c r="L257" s="121"/>
      <c r="M257" s="121"/>
      <c r="N257" s="121"/>
      <c r="O257" s="121"/>
      <c r="P257" s="121"/>
      <c r="Q257" s="122"/>
      <c r="R257" s="121" t="s">
        <v>179</v>
      </c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2"/>
      <c r="AK257" s="93" t="s">
        <v>373</v>
      </c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 t="s">
        <v>370</v>
      </c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4"/>
    </row>
    <row r="258" spans="2:61" ht="19.8" customHeight="1" x14ac:dyDescent="0.45">
      <c r="B258" s="123"/>
      <c r="C258" s="31"/>
      <c r="D258" s="31"/>
      <c r="E258" s="31"/>
      <c r="F258" s="31"/>
      <c r="G258" s="96"/>
      <c r="H258" s="100" t="s">
        <v>53</v>
      </c>
      <c r="I258" s="55"/>
      <c r="J258" s="100" t="s">
        <v>369</v>
      </c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101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  <c r="BI258" s="102"/>
    </row>
    <row r="259" spans="2:61" ht="19.8" customHeight="1" x14ac:dyDescent="0.45">
      <c r="B259" s="123"/>
      <c r="C259" s="31"/>
      <c r="D259" s="31"/>
      <c r="E259" s="31"/>
      <c r="F259" s="31"/>
      <c r="G259" s="96"/>
      <c r="H259" s="100" t="s">
        <v>55</v>
      </c>
      <c r="I259" s="55"/>
      <c r="J259" s="100" t="s">
        <v>371</v>
      </c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101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102"/>
    </row>
    <row r="260" spans="2:61" ht="19.8" customHeight="1" x14ac:dyDescent="0.45">
      <c r="B260" s="123"/>
      <c r="C260" s="31"/>
      <c r="D260" s="31"/>
      <c r="E260" s="31"/>
      <c r="F260" s="31"/>
      <c r="G260" s="96"/>
      <c r="H260" s="97"/>
      <c r="I260" s="31"/>
      <c r="J260" s="97"/>
      <c r="K260" s="31" t="s">
        <v>363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96"/>
      <c r="AK260" s="98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99"/>
    </row>
    <row r="261" spans="2:61" ht="19.8" customHeight="1" thickBot="1" x14ac:dyDescent="0.5">
      <c r="B261" s="123"/>
      <c r="C261" s="31"/>
      <c r="D261" s="31"/>
      <c r="E261" s="31"/>
      <c r="F261" s="31"/>
      <c r="G261" s="96"/>
      <c r="H261" s="97"/>
      <c r="I261" s="31"/>
      <c r="J261" s="97"/>
      <c r="K261" s="31" t="s">
        <v>372</v>
      </c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96"/>
      <c r="AK261" s="98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99"/>
    </row>
    <row r="262" spans="2:61" ht="20.100000000000001" customHeight="1" x14ac:dyDescent="0.45">
      <c r="B262" s="89" t="s">
        <v>374</v>
      </c>
      <c r="C262" s="90"/>
      <c r="D262" s="90"/>
      <c r="E262" s="90"/>
      <c r="F262" s="90"/>
      <c r="G262" s="91"/>
      <c r="H262" s="92" t="s">
        <v>220</v>
      </c>
      <c r="I262" s="91"/>
      <c r="J262" s="120" t="s">
        <v>178</v>
      </c>
      <c r="K262" s="121"/>
      <c r="L262" s="121"/>
      <c r="M262" s="121"/>
      <c r="N262" s="121"/>
      <c r="O262" s="121"/>
      <c r="P262" s="121"/>
      <c r="Q262" s="122"/>
      <c r="R262" s="121" t="s">
        <v>376</v>
      </c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2"/>
      <c r="AK262" s="93" t="s">
        <v>375</v>
      </c>
      <c r="AL262" s="90"/>
      <c r="AM262" s="90"/>
      <c r="AN262" s="90"/>
      <c r="AO262" s="90"/>
      <c r="AP262" s="90"/>
      <c r="AQ262" s="90"/>
      <c r="AR262" s="90"/>
      <c r="AS262" s="90"/>
      <c r="AT262" s="90" t="s">
        <v>370</v>
      </c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4"/>
    </row>
    <row r="263" spans="2:61" ht="19.8" customHeight="1" x14ac:dyDescent="0.45">
      <c r="B263" s="123"/>
      <c r="C263" s="31"/>
      <c r="D263" s="31"/>
      <c r="E263" s="31"/>
      <c r="F263" s="31"/>
      <c r="G263" s="96"/>
      <c r="H263" s="97"/>
      <c r="I263" s="31"/>
      <c r="J263" s="100" t="s">
        <v>221</v>
      </c>
      <c r="K263" s="55"/>
      <c r="L263" s="55"/>
      <c r="M263" s="55"/>
      <c r="N263" s="55"/>
      <c r="O263" s="55"/>
      <c r="P263" s="55"/>
      <c r="Q263" s="55"/>
      <c r="R263" s="124" t="s">
        <v>305</v>
      </c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98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99"/>
    </row>
    <row r="264" spans="2:61" ht="19.8" customHeight="1" x14ac:dyDescent="0.45">
      <c r="B264" s="123"/>
      <c r="C264" s="31"/>
      <c r="D264" s="31"/>
      <c r="E264" s="31"/>
      <c r="F264" s="31"/>
      <c r="G264" s="96"/>
      <c r="H264" s="97"/>
      <c r="I264" s="31"/>
      <c r="J264" s="100" t="s">
        <v>223</v>
      </c>
      <c r="K264" s="55"/>
      <c r="L264" s="55"/>
      <c r="M264" s="55"/>
      <c r="N264" s="55"/>
      <c r="O264" s="55"/>
      <c r="P264" s="55"/>
      <c r="Q264" s="55"/>
      <c r="R264" s="124">
        <v>3</v>
      </c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98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99"/>
    </row>
    <row r="265" spans="2:61" ht="19.8" customHeight="1" x14ac:dyDescent="0.45">
      <c r="B265" s="123"/>
      <c r="C265" s="31"/>
      <c r="D265" s="31"/>
      <c r="E265" s="31"/>
      <c r="F265" s="31"/>
      <c r="G265" s="96"/>
      <c r="H265" s="97"/>
      <c r="I265" s="31"/>
      <c r="J265" s="100" t="s">
        <v>225</v>
      </c>
      <c r="K265" s="55"/>
      <c r="L265" s="55"/>
      <c r="M265" s="55"/>
      <c r="N265" s="55"/>
      <c r="O265" s="55"/>
      <c r="P265" s="55"/>
      <c r="Q265" s="55"/>
      <c r="R265" s="124">
        <v>0</v>
      </c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98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99"/>
    </row>
    <row r="266" spans="2:61" ht="19.8" customHeight="1" x14ac:dyDescent="0.45">
      <c r="B266" s="123"/>
      <c r="C266" s="31"/>
      <c r="D266" s="31"/>
      <c r="E266" s="31"/>
      <c r="F266" s="31"/>
      <c r="G266" s="96"/>
      <c r="H266" s="97"/>
      <c r="I266" s="31"/>
      <c r="J266" s="100" t="s">
        <v>227</v>
      </c>
      <c r="K266" s="55"/>
      <c r="L266" s="55"/>
      <c r="M266" s="55"/>
      <c r="N266" s="55"/>
      <c r="O266" s="55"/>
      <c r="P266" s="55"/>
      <c r="Q266" s="55"/>
      <c r="R266" s="133" t="s">
        <v>377</v>
      </c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98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99"/>
    </row>
    <row r="267" spans="2:61" ht="19.8" customHeight="1" x14ac:dyDescent="0.45">
      <c r="B267" s="123"/>
      <c r="C267" s="31"/>
      <c r="D267" s="31"/>
      <c r="E267" s="31"/>
      <c r="F267" s="31"/>
      <c r="G267" s="96"/>
      <c r="H267" s="97"/>
      <c r="I267" s="31"/>
      <c r="J267" s="100" t="s">
        <v>229</v>
      </c>
      <c r="K267" s="55"/>
      <c r="L267" s="55"/>
      <c r="M267" s="55"/>
      <c r="N267" s="55"/>
      <c r="O267" s="55"/>
      <c r="P267" s="55"/>
      <c r="Q267" s="55"/>
      <c r="R267" s="124" t="s">
        <v>305</v>
      </c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98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99"/>
    </row>
    <row r="268" spans="2:61" ht="19.8" customHeight="1" x14ac:dyDescent="0.45">
      <c r="B268" s="123"/>
      <c r="C268" s="31"/>
      <c r="D268" s="31"/>
      <c r="E268" s="31"/>
      <c r="F268" s="31"/>
      <c r="G268" s="96"/>
      <c r="H268" s="97"/>
      <c r="I268" s="31"/>
      <c r="J268" s="100" t="s">
        <v>231</v>
      </c>
      <c r="K268" s="55"/>
      <c r="L268" s="55"/>
      <c r="M268" s="55"/>
      <c r="N268" s="55"/>
      <c r="O268" s="55"/>
      <c r="P268" s="55"/>
      <c r="Q268" s="55"/>
      <c r="R268" s="124" t="s">
        <v>305</v>
      </c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98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99"/>
    </row>
    <row r="269" spans="2:61" ht="19.8" customHeight="1" x14ac:dyDescent="0.45">
      <c r="B269" s="123"/>
      <c r="C269" s="31"/>
      <c r="D269" s="31"/>
      <c r="E269" s="31"/>
      <c r="F269" s="31"/>
      <c r="G269" s="96"/>
      <c r="H269" s="97"/>
      <c r="I269" s="31"/>
      <c r="J269" s="100" t="s">
        <v>233</v>
      </c>
      <c r="K269" s="55"/>
      <c r="L269" s="55"/>
      <c r="M269" s="55"/>
      <c r="N269" s="55"/>
      <c r="O269" s="55"/>
      <c r="P269" s="55"/>
      <c r="Q269" s="55"/>
      <c r="R269" s="124" t="s">
        <v>305</v>
      </c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98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99"/>
    </row>
    <row r="270" spans="2:61" ht="19.8" customHeight="1" x14ac:dyDescent="0.45">
      <c r="B270" s="123"/>
      <c r="C270" s="31"/>
      <c r="D270" s="31"/>
      <c r="E270" s="31"/>
      <c r="F270" s="31"/>
      <c r="G270" s="96"/>
      <c r="H270" s="97"/>
      <c r="I270" s="31"/>
      <c r="J270" s="100" t="s">
        <v>235</v>
      </c>
      <c r="K270" s="55"/>
      <c r="L270" s="55"/>
      <c r="M270" s="55"/>
      <c r="N270" s="55"/>
      <c r="O270" s="55"/>
      <c r="P270" s="55"/>
      <c r="Q270" s="55"/>
      <c r="R270" s="124" t="s">
        <v>305</v>
      </c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98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99"/>
    </row>
    <row r="271" spans="2:61" ht="19.8" customHeight="1" x14ac:dyDescent="0.45">
      <c r="B271" s="123"/>
      <c r="C271" s="31"/>
      <c r="D271" s="31"/>
      <c r="E271" s="31"/>
      <c r="F271" s="31"/>
      <c r="G271" s="96"/>
      <c r="H271" s="97"/>
      <c r="I271" s="31"/>
      <c r="J271" s="100" t="s">
        <v>237</v>
      </c>
      <c r="K271" s="55"/>
      <c r="L271" s="55"/>
      <c r="M271" s="55"/>
      <c r="N271" s="55"/>
      <c r="O271" s="55"/>
      <c r="P271" s="55"/>
      <c r="Q271" s="55"/>
      <c r="R271" s="124" t="s">
        <v>305</v>
      </c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98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99"/>
    </row>
    <row r="272" spans="2:61" ht="19.8" customHeight="1" x14ac:dyDescent="0.45">
      <c r="B272" s="123"/>
      <c r="C272" s="31"/>
      <c r="D272" s="31"/>
      <c r="E272" s="31"/>
      <c r="F272" s="31"/>
      <c r="G272" s="96"/>
      <c r="H272" s="97"/>
      <c r="I272" s="31"/>
      <c r="J272" s="100" t="s">
        <v>239</v>
      </c>
      <c r="K272" s="55"/>
      <c r="L272" s="55"/>
      <c r="M272" s="55"/>
      <c r="N272" s="55"/>
      <c r="O272" s="55"/>
      <c r="P272" s="55"/>
      <c r="Q272" s="55"/>
      <c r="R272" s="124" t="s">
        <v>305</v>
      </c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98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99"/>
    </row>
    <row r="273" spans="2:61" ht="19.8" customHeight="1" x14ac:dyDescent="0.45">
      <c r="B273" s="123"/>
      <c r="C273" s="31"/>
      <c r="D273" s="31"/>
      <c r="E273" s="31"/>
      <c r="F273" s="31"/>
      <c r="G273" s="96"/>
      <c r="H273" s="97"/>
      <c r="I273" s="31"/>
      <c r="J273" s="100" t="s">
        <v>241</v>
      </c>
      <c r="K273" s="55"/>
      <c r="L273" s="55"/>
      <c r="M273" s="55"/>
      <c r="N273" s="55"/>
      <c r="O273" s="55"/>
      <c r="P273" s="55"/>
      <c r="Q273" s="55"/>
      <c r="R273" s="124" t="s">
        <v>305</v>
      </c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98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99"/>
    </row>
    <row r="274" spans="2:61" ht="19.8" customHeight="1" x14ac:dyDescent="0.45">
      <c r="B274" s="123"/>
      <c r="C274" s="31"/>
      <c r="D274" s="31"/>
      <c r="E274" s="31"/>
      <c r="F274" s="31"/>
      <c r="G274" s="96"/>
      <c r="H274" s="97"/>
      <c r="I274" s="31"/>
      <c r="J274" s="100" t="s">
        <v>243</v>
      </c>
      <c r="K274" s="55"/>
      <c r="L274" s="55"/>
      <c r="M274" s="55"/>
      <c r="N274" s="55"/>
      <c r="O274" s="55"/>
      <c r="P274" s="55"/>
      <c r="Q274" s="55"/>
      <c r="R274" s="124" t="s">
        <v>305</v>
      </c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98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99"/>
    </row>
    <row r="275" spans="2:61" ht="19.8" customHeight="1" x14ac:dyDescent="0.45">
      <c r="B275" s="123"/>
      <c r="C275" s="31"/>
      <c r="D275" s="31"/>
      <c r="E275" s="31"/>
      <c r="F275" s="31"/>
      <c r="G275" s="96"/>
      <c r="H275" s="97"/>
      <c r="I275" s="31"/>
      <c r="J275" s="100" t="s">
        <v>245</v>
      </c>
      <c r="K275" s="55"/>
      <c r="L275" s="55"/>
      <c r="M275" s="55"/>
      <c r="N275" s="55"/>
      <c r="O275" s="55"/>
      <c r="P275" s="55"/>
      <c r="Q275" s="55"/>
      <c r="R275" s="124" t="s">
        <v>305</v>
      </c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98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99"/>
    </row>
    <row r="276" spans="2:61" ht="19.8" customHeight="1" x14ac:dyDescent="0.45">
      <c r="B276" s="123"/>
      <c r="C276" s="31"/>
      <c r="D276" s="31"/>
      <c r="E276" s="31"/>
      <c r="F276" s="31"/>
      <c r="G276" s="96"/>
      <c r="H276" s="97"/>
      <c r="I276" s="31"/>
      <c r="J276" s="100" t="s">
        <v>247</v>
      </c>
      <c r="K276" s="55"/>
      <c r="L276" s="55"/>
      <c r="M276" s="55"/>
      <c r="N276" s="55"/>
      <c r="O276" s="55"/>
      <c r="P276" s="55"/>
      <c r="Q276" s="55"/>
      <c r="R276" s="124" t="s">
        <v>305</v>
      </c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98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99"/>
    </row>
    <row r="277" spans="2:61" ht="19.8" customHeight="1" x14ac:dyDescent="0.45">
      <c r="B277" s="123"/>
      <c r="C277" s="31"/>
      <c r="D277" s="31"/>
      <c r="E277" s="31"/>
      <c r="F277" s="31"/>
      <c r="G277" s="96"/>
      <c r="H277" s="97"/>
      <c r="I277" s="31"/>
      <c r="J277" s="100" t="s">
        <v>249</v>
      </c>
      <c r="K277" s="55"/>
      <c r="L277" s="55"/>
      <c r="M277" s="55"/>
      <c r="N277" s="55"/>
      <c r="O277" s="55"/>
      <c r="P277" s="55"/>
      <c r="Q277" s="55"/>
      <c r="R277" s="124" t="s">
        <v>305</v>
      </c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98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99"/>
    </row>
    <row r="278" spans="2:61" ht="19.8" customHeight="1" x14ac:dyDescent="0.45">
      <c r="B278" s="123"/>
      <c r="C278" s="31"/>
      <c r="D278" s="31"/>
      <c r="E278" s="31"/>
      <c r="F278" s="31"/>
      <c r="G278" s="96"/>
      <c r="H278" s="97"/>
      <c r="I278" s="31"/>
      <c r="J278" s="100" t="s">
        <v>251</v>
      </c>
      <c r="K278" s="55"/>
      <c r="L278" s="55"/>
      <c r="M278" s="55"/>
      <c r="N278" s="55"/>
      <c r="O278" s="55"/>
      <c r="P278" s="55"/>
      <c r="Q278" s="55"/>
      <c r="R278" s="124" t="s">
        <v>305</v>
      </c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98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99"/>
    </row>
    <row r="279" spans="2:61" ht="19.8" customHeight="1" x14ac:dyDescent="0.45">
      <c r="B279" s="123"/>
      <c r="C279" s="31"/>
      <c r="D279" s="31"/>
      <c r="E279" s="31"/>
      <c r="F279" s="31"/>
      <c r="G279" s="96"/>
      <c r="H279" s="97"/>
      <c r="I279" s="31"/>
      <c r="J279" s="100" t="s">
        <v>253</v>
      </c>
      <c r="K279" s="55"/>
      <c r="L279" s="55"/>
      <c r="M279" s="55"/>
      <c r="N279" s="55"/>
      <c r="O279" s="55"/>
      <c r="P279" s="55"/>
      <c r="Q279" s="55"/>
      <c r="R279" s="124" t="s">
        <v>305</v>
      </c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98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99"/>
    </row>
    <row r="280" spans="2:61" ht="19.8" customHeight="1" x14ac:dyDescent="0.45">
      <c r="B280" s="123"/>
      <c r="C280" s="31"/>
      <c r="D280" s="31"/>
      <c r="E280" s="31"/>
      <c r="F280" s="31"/>
      <c r="G280" s="96"/>
      <c r="H280" s="97"/>
      <c r="I280" s="31"/>
      <c r="J280" s="100" t="s">
        <v>255</v>
      </c>
      <c r="K280" s="55"/>
      <c r="L280" s="55"/>
      <c r="M280" s="55"/>
      <c r="N280" s="55"/>
      <c r="O280" s="55"/>
      <c r="P280" s="55"/>
      <c r="Q280" s="55"/>
      <c r="R280" s="124" t="s">
        <v>305</v>
      </c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98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99"/>
    </row>
    <row r="281" spans="2:61" ht="19.8" customHeight="1" x14ac:dyDescent="0.45">
      <c r="B281" s="123"/>
      <c r="C281" s="31"/>
      <c r="D281" s="31"/>
      <c r="E281" s="31"/>
      <c r="F281" s="31"/>
      <c r="G281" s="96"/>
      <c r="H281" s="97"/>
      <c r="I281" s="31"/>
      <c r="J281" s="100" t="s">
        <v>257</v>
      </c>
      <c r="K281" s="55"/>
      <c r="L281" s="55"/>
      <c r="M281" s="55"/>
      <c r="N281" s="55"/>
      <c r="O281" s="55"/>
      <c r="P281" s="55"/>
      <c r="Q281" s="55"/>
      <c r="R281" s="124" t="s">
        <v>305</v>
      </c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98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99"/>
    </row>
    <row r="282" spans="2:61" ht="19.8" customHeight="1" x14ac:dyDescent="0.45">
      <c r="B282" s="123"/>
      <c r="C282" s="31"/>
      <c r="D282" s="31"/>
      <c r="E282" s="31"/>
      <c r="F282" s="31"/>
      <c r="G282" s="96"/>
      <c r="H282" s="97"/>
      <c r="I282" s="31"/>
      <c r="J282" s="100" t="s">
        <v>258</v>
      </c>
      <c r="K282" s="55"/>
      <c r="L282" s="55"/>
      <c r="M282" s="55"/>
      <c r="N282" s="55"/>
      <c r="O282" s="55"/>
      <c r="P282" s="55"/>
      <c r="Q282" s="55"/>
      <c r="R282" s="124" t="s">
        <v>305</v>
      </c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98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99"/>
    </row>
    <row r="283" spans="2:61" ht="19.8" customHeight="1" x14ac:dyDescent="0.45">
      <c r="B283" s="123"/>
      <c r="C283" s="31"/>
      <c r="D283" s="31"/>
      <c r="E283" s="31"/>
      <c r="F283" s="31"/>
      <c r="G283" s="96"/>
      <c r="H283" s="97"/>
      <c r="I283" s="31"/>
      <c r="J283" s="100" t="s">
        <v>260</v>
      </c>
      <c r="K283" s="55"/>
      <c r="L283" s="55"/>
      <c r="M283" s="55"/>
      <c r="N283" s="55"/>
      <c r="O283" s="55"/>
      <c r="P283" s="55"/>
      <c r="Q283" s="55"/>
      <c r="R283" s="124" t="s">
        <v>305</v>
      </c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98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99"/>
    </row>
    <row r="284" spans="2:61" ht="19.8" customHeight="1" thickBot="1" x14ac:dyDescent="0.5">
      <c r="B284" s="123"/>
      <c r="C284" s="31"/>
      <c r="D284" s="31"/>
      <c r="E284" s="31"/>
      <c r="F284" s="31"/>
      <c r="G284" s="96"/>
      <c r="H284" s="97"/>
      <c r="I284" s="31"/>
      <c r="J284" s="100" t="s">
        <v>262</v>
      </c>
      <c r="K284" s="55"/>
      <c r="L284" s="55"/>
      <c r="M284" s="55"/>
      <c r="N284" s="55"/>
      <c r="O284" s="55"/>
      <c r="P284" s="55"/>
      <c r="Q284" s="55"/>
      <c r="R284" s="124" t="s">
        <v>305</v>
      </c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98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99"/>
    </row>
    <row r="285" spans="2:61" ht="20.100000000000001" customHeight="1" x14ac:dyDescent="0.45">
      <c r="B285" s="89" t="s">
        <v>378</v>
      </c>
      <c r="C285" s="90"/>
      <c r="D285" s="90"/>
      <c r="E285" s="90"/>
      <c r="F285" s="90"/>
      <c r="G285" s="91"/>
      <c r="H285" s="92" t="s">
        <v>84</v>
      </c>
      <c r="I285" s="91"/>
      <c r="J285" s="120" t="s">
        <v>179</v>
      </c>
      <c r="K285" s="121"/>
      <c r="L285" s="121"/>
      <c r="M285" s="121"/>
      <c r="N285" s="121"/>
      <c r="O285" s="121"/>
      <c r="P285" s="121"/>
      <c r="Q285" s="122"/>
      <c r="R285" s="121" t="s">
        <v>379</v>
      </c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2"/>
      <c r="AK285" s="93" t="s">
        <v>396</v>
      </c>
      <c r="AL285" s="90"/>
      <c r="AM285" s="90"/>
      <c r="AN285" s="90" t="s">
        <v>462</v>
      </c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4"/>
    </row>
    <row r="286" spans="2:61" ht="19.8" customHeight="1" x14ac:dyDescent="0.45">
      <c r="B286" s="123"/>
      <c r="C286" s="31"/>
      <c r="D286" s="31"/>
      <c r="E286" s="31"/>
      <c r="F286" s="31"/>
      <c r="G286" s="96"/>
      <c r="H286" s="97"/>
      <c r="I286" s="31"/>
      <c r="J286" s="100" t="s">
        <v>221</v>
      </c>
      <c r="K286" s="55"/>
      <c r="L286" s="55"/>
      <c r="M286" s="55"/>
      <c r="N286" s="55"/>
      <c r="O286" s="55"/>
      <c r="P286" s="55"/>
      <c r="Q286" s="55"/>
      <c r="R286" s="124" t="s">
        <v>380</v>
      </c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98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99"/>
    </row>
    <row r="287" spans="2:61" ht="19.8" customHeight="1" x14ac:dyDescent="0.45">
      <c r="B287" s="123"/>
      <c r="C287" s="31"/>
      <c r="D287" s="31"/>
      <c r="E287" s="31"/>
      <c r="F287" s="31"/>
      <c r="G287" s="96"/>
      <c r="H287" s="97"/>
      <c r="I287" s="31"/>
      <c r="J287" s="100" t="s">
        <v>223</v>
      </c>
      <c r="K287" s="55"/>
      <c r="L287" s="55"/>
      <c r="M287" s="55"/>
      <c r="N287" s="55"/>
      <c r="O287" s="55"/>
      <c r="P287" s="55"/>
      <c r="Q287" s="55"/>
      <c r="R287" s="124" t="s">
        <v>381</v>
      </c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98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99"/>
    </row>
    <row r="288" spans="2:61" ht="19.8" customHeight="1" x14ac:dyDescent="0.45">
      <c r="B288" s="123"/>
      <c r="C288" s="31"/>
      <c r="D288" s="31"/>
      <c r="E288" s="31"/>
      <c r="F288" s="31"/>
      <c r="G288" s="96"/>
      <c r="H288" s="97"/>
      <c r="I288" s="31"/>
      <c r="J288" s="100" t="s">
        <v>225</v>
      </c>
      <c r="K288" s="55"/>
      <c r="L288" s="55"/>
      <c r="M288" s="55"/>
      <c r="N288" s="55"/>
      <c r="O288" s="55"/>
      <c r="P288" s="55"/>
      <c r="Q288" s="55"/>
      <c r="R288" s="124" t="s">
        <v>382</v>
      </c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98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99"/>
    </row>
    <row r="289" spans="2:61" ht="19.8" customHeight="1" x14ac:dyDescent="0.45">
      <c r="B289" s="123"/>
      <c r="C289" s="31"/>
      <c r="D289" s="31"/>
      <c r="E289" s="31"/>
      <c r="F289" s="31"/>
      <c r="G289" s="96"/>
      <c r="H289" s="97"/>
      <c r="I289" s="31"/>
      <c r="J289" s="100" t="s">
        <v>227</v>
      </c>
      <c r="K289" s="55"/>
      <c r="L289" s="55"/>
      <c r="M289" s="55"/>
      <c r="N289" s="55"/>
      <c r="O289" s="55"/>
      <c r="P289" s="55"/>
      <c r="Q289" s="55"/>
      <c r="R289" s="133" t="s">
        <v>383</v>
      </c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98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99"/>
    </row>
    <row r="290" spans="2:61" ht="19.8" customHeight="1" x14ac:dyDescent="0.45">
      <c r="B290" s="123"/>
      <c r="C290" s="31"/>
      <c r="D290" s="31"/>
      <c r="E290" s="31"/>
      <c r="F290" s="31"/>
      <c r="G290" s="96"/>
      <c r="H290" s="97"/>
      <c r="I290" s="31"/>
      <c r="J290" s="100" t="s">
        <v>229</v>
      </c>
      <c r="K290" s="55"/>
      <c r="L290" s="55"/>
      <c r="M290" s="55"/>
      <c r="N290" s="55"/>
      <c r="O290" s="55"/>
      <c r="P290" s="55"/>
      <c r="Q290" s="55"/>
      <c r="R290" s="124" t="s">
        <v>384</v>
      </c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98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99"/>
    </row>
    <row r="291" spans="2:61" ht="19.8" customHeight="1" x14ac:dyDescent="0.45">
      <c r="B291" s="123"/>
      <c r="C291" s="31"/>
      <c r="D291" s="31"/>
      <c r="E291" s="31"/>
      <c r="F291" s="31"/>
      <c r="G291" s="96"/>
      <c r="H291" s="97"/>
      <c r="I291" s="31"/>
      <c r="J291" s="100" t="s">
        <v>231</v>
      </c>
      <c r="K291" s="55"/>
      <c r="L291" s="55"/>
      <c r="M291" s="55"/>
      <c r="N291" s="55"/>
      <c r="O291" s="55"/>
      <c r="P291" s="55"/>
      <c r="Q291" s="55"/>
      <c r="R291" s="124" t="s">
        <v>385</v>
      </c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98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99"/>
    </row>
    <row r="292" spans="2:61" ht="19.8" customHeight="1" x14ac:dyDescent="0.45">
      <c r="B292" s="123"/>
      <c r="C292" s="31"/>
      <c r="D292" s="31"/>
      <c r="E292" s="31"/>
      <c r="F292" s="31"/>
      <c r="G292" s="96"/>
      <c r="H292" s="97"/>
      <c r="I292" s="31"/>
      <c r="J292" s="100" t="s">
        <v>233</v>
      </c>
      <c r="K292" s="55"/>
      <c r="L292" s="55"/>
      <c r="M292" s="55"/>
      <c r="N292" s="55"/>
      <c r="O292" s="55"/>
      <c r="P292" s="55"/>
      <c r="Q292" s="55"/>
      <c r="R292" s="124" t="s">
        <v>386</v>
      </c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98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99"/>
    </row>
    <row r="293" spans="2:61" ht="19.8" customHeight="1" x14ac:dyDescent="0.45">
      <c r="B293" s="123"/>
      <c r="C293" s="31"/>
      <c r="D293" s="31"/>
      <c r="E293" s="31"/>
      <c r="F293" s="31"/>
      <c r="G293" s="96"/>
      <c r="H293" s="97"/>
      <c r="I293" s="31"/>
      <c r="J293" s="100" t="s">
        <v>235</v>
      </c>
      <c r="K293" s="55"/>
      <c r="L293" s="55"/>
      <c r="M293" s="55"/>
      <c r="N293" s="55"/>
      <c r="O293" s="55"/>
      <c r="P293" s="55"/>
      <c r="Q293" s="55"/>
      <c r="R293" s="124" t="s">
        <v>387</v>
      </c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98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99"/>
    </row>
    <row r="294" spans="2:61" ht="19.8" customHeight="1" x14ac:dyDescent="0.45">
      <c r="B294" s="123"/>
      <c r="C294" s="31"/>
      <c r="D294" s="31"/>
      <c r="E294" s="31"/>
      <c r="F294" s="31"/>
      <c r="G294" s="96"/>
      <c r="H294" s="97"/>
      <c r="I294" s="31"/>
      <c r="J294" s="100" t="s">
        <v>237</v>
      </c>
      <c r="K294" s="55"/>
      <c r="L294" s="55"/>
      <c r="M294" s="55"/>
      <c r="N294" s="55"/>
      <c r="O294" s="55"/>
      <c r="P294" s="55"/>
      <c r="Q294" s="55"/>
      <c r="R294" s="124" t="s">
        <v>388</v>
      </c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98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99"/>
    </row>
    <row r="295" spans="2:61" ht="19.8" customHeight="1" x14ac:dyDescent="0.45">
      <c r="B295" s="123"/>
      <c r="C295" s="31"/>
      <c r="D295" s="31"/>
      <c r="E295" s="31"/>
      <c r="F295" s="31"/>
      <c r="G295" s="96"/>
      <c r="H295" s="97"/>
      <c r="I295" s="31"/>
      <c r="J295" s="100" t="s">
        <v>239</v>
      </c>
      <c r="K295" s="55"/>
      <c r="L295" s="55"/>
      <c r="M295" s="55"/>
      <c r="N295" s="55"/>
      <c r="O295" s="55"/>
      <c r="P295" s="55"/>
      <c r="Q295" s="55"/>
      <c r="R295" s="124" t="s">
        <v>389</v>
      </c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98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99"/>
    </row>
    <row r="296" spans="2:61" ht="19.8" customHeight="1" x14ac:dyDescent="0.45">
      <c r="B296" s="123"/>
      <c r="C296" s="31"/>
      <c r="D296" s="31"/>
      <c r="E296" s="31"/>
      <c r="F296" s="31"/>
      <c r="G296" s="96"/>
      <c r="H296" s="97"/>
      <c r="I296" s="31"/>
      <c r="J296" s="100" t="s">
        <v>241</v>
      </c>
      <c r="K296" s="55"/>
      <c r="L296" s="55"/>
      <c r="M296" s="55"/>
      <c r="N296" s="55"/>
      <c r="O296" s="55"/>
      <c r="P296" s="55"/>
      <c r="Q296" s="55"/>
      <c r="R296" s="124" t="s">
        <v>390</v>
      </c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98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99"/>
    </row>
    <row r="297" spans="2:61" ht="19.8" customHeight="1" x14ac:dyDescent="0.45">
      <c r="B297" s="123"/>
      <c r="C297" s="31"/>
      <c r="D297" s="31"/>
      <c r="E297" s="31"/>
      <c r="F297" s="31"/>
      <c r="G297" s="96"/>
      <c r="H297" s="97"/>
      <c r="I297" s="31"/>
      <c r="J297" s="100" t="s">
        <v>243</v>
      </c>
      <c r="K297" s="55"/>
      <c r="L297" s="55"/>
      <c r="M297" s="55"/>
      <c r="N297" s="55"/>
      <c r="O297" s="55"/>
      <c r="P297" s="55"/>
      <c r="Q297" s="55"/>
      <c r="R297" s="124" t="s">
        <v>391</v>
      </c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98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99"/>
    </row>
    <row r="298" spans="2:61" ht="19.8" customHeight="1" x14ac:dyDescent="0.45">
      <c r="B298" s="123"/>
      <c r="C298" s="31"/>
      <c r="D298" s="31"/>
      <c r="E298" s="31"/>
      <c r="F298" s="31"/>
      <c r="G298" s="96"/>
      <c r="H298" s="97"/>
      <c r="I298" s="31"/>
      <c r="J298" s="100" t="s">
        <v>245</v>
      </c>
      <c r="K298" s="55"/>
      <c r="L298" s="55"/>
      <c r="M298" s="55"/>
      <c r="N298" s="55"/>
      <c r="O298" s="55"/>
      <c r="P298" s="55"/>
      <c r="Q298" s="55"/>
      <c r="R298" s="124" t="s">
        <v>392</v>
      </c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98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99"/>
    </row>
    <row r="299" spans="2:61" ht="19.8" customHeight="1" x14ac:dyDescent="0.45">
      <c r="B299" s="123"/>
      <c r="C299" s="31"/>
      <c r="D299" s="31"/>
      <c r="E299" s="31"/>
      <c r="F299" s="31"/>
      <c r="G299" s="96"/>
      <c r="H299" s="97"/>
      <c r="I299" s="31"/>
      <c r="J299" s="100" t="s">
        <v>247</v>
      </c>
      <c r="K299" s="55"/>
      <c r="L299" s="55"/>
      <c r="M299" s="55"/>
      <c r="N299" s="55"/>
      <c r="O299" s="55"/>
      <c r="P299" s="55"/>
      <c r="Q299" s="55"/>
      <c r="R299" s="124" t="s">
        <v>393</v>
      </c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98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99"/>
    </row>
    <row r="300" spans="2:61" ht="19.8" customHeight="1" x14ac:dyDescent="0.45">
      <c r="B300" s="123"/>
      <c r="C300" s="31"/>
      <c r="D300" s="31"/>
      <c r="E300" s="31"/>
      <c r="F300" s="31"/>
      <c r="G300" s="96"/>
      <c r="H300" s="97"/>
      <c r="I300" s="31"/>
      <c r="J300" s="100" t="s">
        <v>249</v>
      </c>
      <c r="K300" s="55"/>
      <c r="L300" s="55"/>
      <c r="M300" s="55"/>
      <c r="N300" s="55"/>
      <c r="O300" s="55"/>
      <c r="P300" s="55"/>
      <c r="Q300" s="55"/>
      <c r="R300" s="124" t="s">
        <v>394</v>
      </c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98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99"/>
    </row>
    <row r="301" spans="2:61" ht="19.8" customHeight="1" x14ac:dyDescent="0.45">
      <c r="B301" s="123"/>
      <c r="C301" s="31"/>
      <c r="D301" s="31"/>
      <c r="E301" s="31"/>
      <c r="F301" s="31"/>
      <c r="G301" s="96"/>
      <c r="H301" s="97"/>
      <c r="I301" s="31"/>
      <c r="J301" s="100" t="s">
        <v>251</v>
      </c>
      <c r="K301" s="55"/>
      <c r="L301" s="55"/>
      <c r="M301" s="55"/>
      <c r="N301" s="55"/>
      <c r="O301" s="55"/>
      <c r="P301" s="55"/>
      <c r="Q301" s="55"/>
      <c r="R301" s="124" t="s">
        <v>395</v>
      </c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98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99"/>
    </row>
    <row r="302" spans="2:61" ht="19.8" customHeight="1" x14ac:dyDescent="0.45">
      <c r="B302" s="123"/>
      <c r="C302" s="31"/>
      <c r="D302" s="31"/>
      <c r="E302" s="31"/>
      <c r="F302" s="31"/>
      <c r="G302" s="96"/>
      <c r="H302" s="97"/>
      <c r="I302" s="31"/>
      <c r="J302" s="100" t="s">
        <v>253</v>
      </c>
      <c r="K302" s="55"/>
      <c r="L302" s="55"/>
      <c r="M302" s="55"/>
      <c r="N302" s="55"/>
      <c r="O302" s="55"/>
      <c r="P302" s="55"/>
      <c r="Q302" s="55"/>
      <c r="R302" s="124" t="s">
        <v>397</v>
      </c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98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99"/>
    </row>
    <row r="303" spans="2:61" ht="19.8" customHeight="1" x14ac:dyDescent="0.45">
      <c r="B303" s="123"/>
      <c r="C303" s="31"/>
      <c r="D303" s="31"/>
      <c r="E303" s="31"/>
      <c r="F303" s="31"/>
      <c r="G303" s="96"/>
      <c r="H303" s="97"/>
      <c r="I303" s="31"/>
      <c r="J303" s="100" t="s">
        <v>255</v>
      </c>
      <c r="K303" s="55"/>
      <c r="L303" s="55"/>
      <c r="M303" s="55"/>
      <c r="N303" s="55"/>
      <c r="O303" s="55"/>
      <c r="P303" s="55"/>
      <c r="Q303" s="55"/>
      <c r="R303" s="124" t="s">
        <v>398</v>
      </c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98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99"/>
    </row>
    <row r="304" spans="2:61" ht="19.8" customHeight="1" x14ac:dyDescent="0.45">
      <c r="B304" s="123"/>
      <c r="C304" s="31"/>
      <c r="D304" s="31"/>
      <c r="E304" s="31"/>
      <c r="F304" s="31"/>
      <c r="G304" s="96"/>
      <c r="H304" s="97"/>
      <c r="I304" s="31"/>
      <c r="J304" s="100" t="s">
        <v>257</v>
      </c>
      <c r="K304" s="55"/>
      <c r="L304" s="55"/>
      <c r="M304" s="55"/>
      <c r="N304" s="55"/>
      <c r="O304" s="55"/>
      <c r="P304" s="55"/>
      <c r="Q304" s="55"/>
      <c r="R304" s="124" t="s">
        <v>399</v>
      </c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98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99"/>
    </row>
    <row r="305" spans="2:61" ht="19.8" customHeight="1" x14ac:dyDescent="0.45">
      <c r="B305" s="123"/>
      <c r="C305" s="31"/>
      <c r="D305" s="31"/>
      <c r="E305" s="31"/>
      <c r="F305" s="31"/>
      <c r="G305" s="96"/>
      <c r="H305" s="97"/>
      <c r="I305" s="31"/>
      <c r="J305" s="100" t="s">
        <v>258</v>
      </c>
      <c r="K305" s="55"/>
      <c r="L305" s="55"/>
      <c r="M305" s="55"/>
      <c r="N305" s="55"/>
      <c r="O305" s="55"/>
      <c r="P305" s="55"/>
      <c r="Q305" s="55"/>
      <c r="R305" s="124" t="s">
        <v>400</v>
      </c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98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99"/>
    </row>
    <row r="306" spans="2:61" ht="19.8" customHeight="1" x14ac:dyDescent="0.45">
      <c r="B306" s="123"/>
      <c r="C306" s="31"/>
      <c r="D306" s="31"/>
      <c r="E306" s="31"/>
      <c r="F306" s="31"/>
      <c r="G306" s="96"/>
      <c r="H306" s="97"/>
      <c r="I306" s="31"/>
      <c r="J306" s="100" t="s">
        <v>260</v>
      </c>
      <c r="K306" s="55"/>
      <c r="L306" s="55"/>
      <c r="M306" s="55"/>
      <c r="N306" s="55"/>
      <c r="O306" s="55"/>
      <c r="P306" s="55"/>
      <c r="Q306" s="55"/>
      <c r="R306" s="124" t="s">
        <v>401</v>
      </c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98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99"/>
    </row>
    <row r="307" spans="2:61" ht="19.8" customHeight="1" x14ac:dyDescent="0.45">
      <c r="B307" s="123"/>
      <c r="C307" s="31"/>
      <c r="D307" s="31"/>
      <c r="E307" s="31"/>
      <c r="F307" s="31"/>
      <c r="G307" s="96"/>
      <c r="H307" s="97"/>
      <c r="I307" s="31"/>
      <c r="J307" s="100" t="s">
        <v>262</v>
      </c>
      <c r="K307" s="55"/>
      <c r="L307" s="55"/>
      <c r="M307" s="55"/>
      <c r="N307" s="55"/>
      <c r="O307" s="55"/>
      <c r="P307" s="55"/>
      <c r="Q307" s="55"/>
      <c r="R307" s="124" t="s">
        <v>402</v>
      </c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98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99"/>
    </row>
    <row r="308" spans="2:61" ht="19.8" customHeight="1" x14ac:dyDescent="0.45">
      <c r="B308" s="123"/>
      <c r="C308" s="31"/>
      <c r="D308" s="31"/>
      <c r="E308" s="31"/>
      <c r="F308" s="31"/>
      <c r="G308" s="96"/>
      <c r="H308" s="100" t="s">
        <v>53</v>
      </c>
      <c r="I308" s="55"/>
      <c r="J308" s="100" t="s">
        <v>403</v>
      </c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101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102"/>
    </row>
    <row r="309" spans="2:61" ht="19.8" customHeight="1" thickBot="1" x14ac:dyDescent="0.5">
      <c r="B309" s="123"/>
      <c r="C309" s="31"/>
      <c r="D309" s="31"/>
      <c r="E309" s="31"/>
      <c r="F309" s="31"/>
      <c r="G309" s="96"/>
      <c r="H309" s="100" t="s">
        <v>101</v>
      </c>
      <c r="I309" s="55"/>
      <c r="J309" s="100" t="s">
        <v>404</v>
      </c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101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  <c r="BI309" s="102"/>
    </row>
    <row r="310" spans="2:61" ht="5.0999999999999996" customHeight="1" x14ac:dyDescent="0.45"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7" t="s">
        <v>0</v>
      </c>
      <c r="C2" s="208"/>
      <c r="D2" s="208"/>
      <c r="E2" s="208"/>
      <c r="F2" s="208"/>
      <c r="G2" s="208"/>
      <c r="H2" s="208" t="s">
        <v>17</v>
      </c>
      <c r="I2" s="208"/>
      <c r="J2" s="208"/>
      <c r="K2" s="208"/>
      <c r="L2" s="208" t="s">
        <v>1</v>
      </c>
      <c r="M2" s="208"/>
      <c r="N2" s="208"/>
      <c r="O2" s="208"/>
      <c r="P2" s="208"/>
      <c r="Q2" s="208"/>
      <c r="R2" s="208" t="s">
        <v>2</v>
      </c>
      <c r="S2" s="208"/>
      <c r="T2" s="208"/>
      <c r="U2" s="208"/>
      <c r="V2" s="208"/>
      <c r="W2" s="208"/>
      <c r="X2" s="209" t="s">
        <v>3</v>
      </c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1"/>
      <c r="AK2" s="209" t="s">
        <v>32</v>
      </c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1"/>
      <c r="AX2" s="208" t="s">
        <v>5</v>
      </c>
      <c r="AY2" s="208"/>
      <c r="AZ2" s="208"/>
      <c r="BA2" s="208"/>
      <c r="BB2" s="208" t="s">
        <v>4</v>
      </c>
      <c r="BC2" s="208"/>
      <c r="BD2" s="208"/>
      <c r="BE2" s="208"/>
      <c r="BF2" s="208" t="s">
        <v>6</v>
      </c>
      <c r="BG2" s="208"/>
      <c r="BH2" s="208"/>
      <c r="BI2" s="208"/>
      <c r="BJ2" s="208" t="s">
        <v>7</v>
      </c>
      <c r="BK2" s="208"/>
      <c r="BL2" s="208"/>
      <c r="BM2" s="218"/>
    </row>
    <row r="3" spans="2:65" ht="20.100000000000001" customHeight="1" x14ac:dyDescent="0.45">
      <c r="B3" s="212" t="str">
        <f>変更履歴!B3</f>
        <v>受発注システム</v>
      </c>
      <c r="C3" s="147"/>
      <c r="D3" s="147"/>
      <c r="E3" s="147"/>
      <c r="F3" s="147"/>
      <c r="G3" s="147"/>
      <c r="H3" s="147" t="str">
        <f ca="1">変更履歴!H3</f>
        <v>SU0300</v>
      </c>
      <c r="I3" s="147"/>
      <c r="J3" s="147"/>
      <c r="K3" s="147"/>
      <c r="L3" s="147" t="str">
        <f>変更履歴!L3</f>
        <v>受発注</v>
      </c>
      <c r="M3" s="147"/>
      <c r="N3" s="147"/>
      <c r="O3" s="147"/>
      <c r="P3" s="147"/>
      <c r="Q3" s="147"/>
      <c r="R3" s="147" t="str">
        <f ca="1">変更履歴!R3</f>
        <v>帳票設計書</v>
      </c>
      <c r="S3" s="147"/>
      <c r="T3" s="147"/>
      <c r="U3" s="147"/>
      <c r="V3" s="147"/>
      <c r="W3" s="147"/>
      <c r="X3" s="150" t="str">
        <f ca="1">変更履歴!X3</f>
        <v>SU0300_売掛金元帳_帳票設計書</v>
      </c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2"/>
      <c r="AK3" s="150" t="str">
        <f ca="1">変更履歴!AK3</f>
        <v>売掛金元帳</v>
      </c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2"/>
      <c r="AX3" s="146">
        <f>変更履歴!AX3</f>
        <v>45583</v>
      </c>
      <c r="AY3" s="146"/>
      <c r="AZ3" s="146"/>
      <c r="BA3" s="146"/>
      <c r="BB3" s="147" t="str">
        <f>変更履歴!BB3</f>
        <v>大谷</v>
      </c>
      <c r="BC3" s="147"/>
      <c r="BD3" s="147"/>
      <c r="BE3" s="147"/>
      <c r="BF3" s="146">
        <f>変更履歴!BF3</f>
        <v>45583</v>
      </c>
      <c r="BG3" s="146"/>
      <c r="BH3" s="146"/>
      <c r="BI3" s="146"/>
      <c r="BJ3" s="147" t="str">
        <f>変更履歴!BJ3</f>
        <v>大谷</v>
      </c>
      <c r="BK3" s="147"/>
      <c r="BL3" s="147"/>
      <c r="BM3" s="216"/>
    </row>
    <row r="4" spans="2:65" ht="20.100000000000001" customHeight="1" thickBot="1" x14ac:dyDescent="0.5"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04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6"/>
      <c r="AK4" s="204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6"/>
      <c r="AX4" s="215"/>
      <c r="AY4" s="215"/>
      <c r="AZ4" s="215"/>
      <c r="BA4" s="215"/>
      <c r="BB4" s="214"/>
      <c r="BC4" s="214"/>
      <c r="BD4" s="214"/>
      <c r="BE4" s="214"/>
      <c r="BF4" s="215"/>
      <c r="BG4" s="215"/>
      <c r="BH4" s="215"/>
      <c r="BI4" s="215"/>
      <c r="BJ4" s="214"/>
      <c r="BK4" s="214"/>
      <c r="BL4" s="214"/>
      <c r="BM4" s="217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8.59765625" style="29" bestFit="1" customWidth="1"/>
    <col min="4" max="4" width="22.8984375" style="29" bestFit="1" customWidth="1"/>
    <col min="5" max="5" width="106.8984375" style="29" customWidth="1"/>
    <col min="6" max="6" width="4.3984375" style="29" bestFit="1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34" t="s">
        <v>464</v>
      </c>
      <c r="G3" s="78" t="s">
        <v>51</v>
      </c>
    </row>
    <row r="4" spans="2:7" x14ac:dyDescent="0.45">
      <c r="B4" s="37">
        <v>1</v>
      </c>
      <c r="C4" s="79" t="s">
        <v>460</v>
      </c>
      <c r="D4" s="79" t="s">
        <v>468</v>
      </c>
      <c r="E4" s="80" t="s">
        <v>461</v>
      </c>
      <c r="F4" s="80" t="s">
        <v>465</v>
      </c>
      <c r="G4" s="81" t="s">
        <v>466</v>
      </c>
    </row>
    <row r="5" spans="2:7" x14ac:dyDescent="0.45">
      <c r="B5" s="37">
        <v>2</v>
      </c>
      <c r="C5" s="79" t="s">
        <v>460</v>
      </c>
      <c r="D5" s="79" t="s">
        <v>469</v>
      </c>
      <c r="E5" s="80" t="s">
        <v>461</v>
      </c>
      <c r="F5" s="80" t="s">
        <v>465</v>
      </c>
      <c r="G5" s="81" t="s">
        <v>467</v>
      </c>
    </row>
    <row r="6" spans="2:7" x14ac:dyDescent="0.45">
      <c r="B6" s="37">
        <v>3</v>
      </c>
      <c r="C6" s="79" t="s">
        <v>460</v>
      </c>
      <c r="D6" s="79" t="s">
        <v>463</v>
      </c>
      <c r="E6" s="80" t="s">
        <v>461</v>
      </c>
      <c r="F6" s="80" t="s">
        <v>465</v>
      </c>
      <c r="G6" s="81" t="s">
        <v>467</v>
      </c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A14" sqref="A14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2025-05-24T05:33:04Z</dcterms:modified>
</cp:coreProperties>
</file>