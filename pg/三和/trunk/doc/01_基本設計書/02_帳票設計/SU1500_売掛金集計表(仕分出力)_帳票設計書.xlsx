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svn\三和商研\doc\01_基本設計書\02_帳票設計\"/>
    </mc:Choice>
  </mc:AlternateContent>
  <bookViews>
    <workbookView xWindow="0" yWindow="0" windowWidth="27288" windowHeight="10728" firstSheet="1" activeTab="1"/>
  </bookViews>
  <sheets>
    <sheet name="変更履歴" sheetId="1" r:id="rId1"/>
    <sheet name="概要" sheetId="14" r:id="rId2"/>
    <sheet name="帳票レイアウト" sheetId="2" r:id="rId3"/>
    <sheet name="項目一覧" sheetId="3" r:id="rId4"/>
    <sheet name="処理詳細" sheetId="18" r:id="rId5"/>
    <sheet name="処理詳細_書き方" sheetId="19" state="hidden" r:id="rId6"/>
    <sheet name="確認事項" sheetId="15" r:id="rId7"/>
    <sheet name="参照" sheetId="12" state="hidden" r:id="rId8"/>
  </sheets>
  <definedNames>
    <definedName name="_xlnm.Print_Area" localSheetId="1">概要!$A$1:$BN$31</definedName>
    <definedName name="_xlnm.Print_Area" localSheetId="3">項目一覧!$A$1:$BX$61</definedName>
    <definedName name="_xlnm.Print_Area" localSheetId="4">処理詳細!$A$1:$BR$277</definedName>
    <definedName name="_xlnm.Print_Area" localSheetId="5">処理詳細_書き方!$A$1:$BR$33</definedName>
    <definedName name="_xlnm.Print_Area" localSheetId="2">帳票レイアウト!$A$1:$BN$48</definedName>
    <definedName name="_xlnm.Print_Area" localSheetId="0">変更履歴!$A$1:$BN$49</definedName>
    <definedName name="_xlnm.Print_Titles" localSheetId="1">概要!$1:$5</definedName>
    <definedName name="_xlnm.Print_Titles" localSheetId="3">項目一覧!$1:$5</definedName>
    <definedName name="_xlnm.Print_Titles" localSheetId="4">処理詳細!$1:$5</definedName>
    <definedName name="_xlnm.Print_Titles" localSheetId="5">処理詳細_書き方!$1:$5</definedName>
    <definedName name="_xlnm.Print_Titles" localSheetId="2">帳票レイアウト!$1:$5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J3" i="19" l="1"/>
  <c r="BF3" i="19"/>
  <c r="BB3" i="19"/>
  <c r="AX3" i="19"/>
  <c r="L3" i="19"/>
  <c r="B3" i="19"/>
  <c r="BJ3" i="18"/>
  <c r="BF3" i="18"/>
  <c r="BB3" i="18"/>
  <c r="AX3" i="18"/>
  <c r="L3" i="18"/>
  <c r="B3" i="18"/>
  <c r="BJ3" i="14" l="1"/>
  <c r="BF3" i="14"/>
  <c r="BB3" i="14"/>
  <c r="AX3" i="14"/>
  <c r="L3" i="14"/>
  <c r="B3" i="14"/>
  <c r="X3" i="1" l="1"/>
  <c r="X3" i="18" l="1"/>
  <c r="X3" i="19"/>
  <c r="X3" i="14"/>
  <c r="H3" i="1"/>
  <c r="R3" i="1"/>
  <c r="AK3" i="1"/>
  <c r="AK3" i="18" l="1"/>
  <c r="AK3" i="19"/>
  <c r="R3" i="18"/>
  <c r="R3" i="19"/>
  <c r="H3" i="18"/>
  <c r="H3" i="19"/>
  <c r="AK3" i="14"/>
  <c r="H7" i="14" s="1"/>
  <c r="R3" i="14"/>
  <c r="H3" i="14"/>
  <c r="R3" i="3"/>
  <c r="BJ3" i="3"/>
  <c r="BF3" i="3"/>
  <c r="BB3" i="3"/>
  <c r="AX3" i="3"/>
  <c r="AK3" i="3"/>
  <c r="L3" i="3"/>
  <c r="H3" i="3"/>
  <c r="B3" i="3"/>
  <c r="B3" i="2"/>
  <c r="H3" i="2"/>
  <c r="L3" i="2"/>
  <c r="R3" i="2"/>
  <c r="AK3" i="2"/>
  <c r="BJ3" i="2"/>
  <c r="BF3" i="2"/>
  <c r="BB3" i="2"/>
  <c r="AX3" i="2"/>
  <c r="X3" i="2" l="1"/>
  <c r="X3" i="3"/>
</calcChain>
</file>

<file path=xl/sharedStrings.xml><?xml version="1.0" encoding="utf-8"?>
<sst xmlns="http://schemas.openxmlformats.org/spreadsheetml/2006/main" count="780" uniqueCount="281">
  <si>
    <t>システム名</t>
    <rPh sb="4" eb="5">
      <t>メイ</t>
    </rPh>
    <phoneticPr fontId="2"/>
  </si>
  <si>
    <t>業務分類</t>
    <rPh sb="0" eb="2">
      <t>ギョウム</t>
    </rPh>
    <rPh sb="2" eb="4">
      <t>ブンルイ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</si>
  <si>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</si>
  <si>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</si>
  <si>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</si>
  <si>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</si>
  <si>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</si>
  <si>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</si>
  <si>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</si>
  <si>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</si>
  <si>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</si>
  <si>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</si>
  <si>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</si>
  <si>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新規作成</t>
    <rPh sb="0" eb="2">
      <t>シンキ</t>
    </rPh>
    <rPh sb="2" eb="4">
      <t>サクセイ</t>
    </rPh>
    <phoneticPr fontId="2"/>
  </si>
  <si>
    <t>-</t>
    <phoneticPr fontId="2"/>
  </si>
  <si>
    <t>変更履歴</t>
    <rPh sb="0" eb="4">
      <t>ヘンコウリレキ</t>
    </rPh>
    <phoneticPr fontId="2"/>
  </si>
  <si>
    <t>1.0.0</t>
    <phoneticPr fontId="2"/>
  </si>
  <si>
    <t>画面ID</t>
    <rPh sb="0" eb="2">
      <t>ガメン</t>
    </rPh>
    <phoneticPr fontId="2"/>
  </si>
  <si>
    <t>項目一覧</t>
    <rPh sb="0" eb="2">
      <t>コウモク</t>
    </rPh>
    <rPh sb="2" eb="4">
      <t>イチラン</t>
    </rPh>
    <phoneticPr fontId="2"/>
  </si>
  <si>
    <t>No.</t>
  </si>
  <si>
    <t>項目名</t>
    <rPh sb="0" eb="2">
      <t>コウモク</t>
    </rPh>
    <rPh sb="2" eb="3">
      <t>メイ</t>
    </rPh>
    <phoneticPr fontId="2"/>
  </si>
  <si>
    <t>概要</t>
    <rPh sb="0" eb="2">
      <t>ガイヨウ</t>
    </rPh>
    <phoneticPr fontId="2"/>
  </si>
  <si>
    <t>帳票の名称</t>
    <rPh sb="0" eb="2">
      <t>チョウヒョウ</t>
    </rPh>
    <rPh sb="3" eb="5">
      <t>メイショウ</t>
    </rPh>
    <phoneticPr fontId="2"/>
  </si>
  <si>
    <t>ファイル種類</t>
    <rPh sb="4" eb="6">
      <t>シュルイ</t>
    </rPh>
    <phoneticPr fontId="2"/>
  </si>
  <si>
    <t>データ型</t>
    <rPh sb="3" eb="4">
      <t>カタ</t>
    </rPh>
    <phoneticPr fontId="1"/>
  </si>
  <si>
    <t>帳票テンプレート名</t>
    <rPh sb="0" eb="2">
      <t>チョウヒョウ</t>
    </rPh>
    <rPh sb="8" eb="9">
      <t>メイ</t>
    </rPh>
    <phoneticPr fontId="2"/>
  </si>
  <si>
    <t>ファイル拡張子</t>
    <rPh sb="4" eb="7">
      <t>カクチョウシ</t>
    </rPh>
    <phoneticPr fontId="2"/>
  </si>
  <si>
    <t>文字コード</t>
    <rPh sb="0" eb="2">
      <t>モジ</t>
    </rPh>
    <phoneticPr fontId="2"/>
  </si>
  <si>
    <t>コーテーション</t>
    <phoneticPr fontId="2"/>
  </si>
  <si>
    <t>固定長/可変長</t>
    <rPh sb="0" eb="3">
      <t>コテイチョウ</t>
    </rPh>
    <rPh sb="4" eb="7">
      <t>カヘンチョウ</t>
    </rPh>
    <phoneticPr fontId="2"/>
  </si>
  <si>
    <t>区切り文字</t>
    <rPh sb="0" eb="2">
      <t>クギ</t>
    </rPh>
    <rPh sb="3" eb="5">
      <t>モジ</t>
    </rPh>
    <phoneticPr fontId="2"/>
  </si>
  <si>
    <t>帳票名</t>
    <rPh sb="0" eb="2">
      <t>チョウヒョウ</t>
    </rPh>
    <rPh sb="2" eb="3">
      <t>メイ</t>
    </rPh>
    <phoneticPr fontId="2"/>
  </si>
  <si>
    <t>帳票名</t>
    <rPh sb="0" eb="2">
      <t>チョウヒョウ</t>
    </rPh>
    <phoneticPr fontId="2"/>
  </si>
  <si>
    <t>全角/半角</t>
    <rPh sb="0" eb="2">
      <t>ゼンカク</t>
    </rPh>
    <rPh sb="3" eb="5">
      <t>ハンカク</t>
    </rPh>
    <phoneticPr fontId="1"/>
  </si>
  <si>
    <t>文字数/桁数</t>
    <rPh sb="0" eb="3">
      <t>モジスウ</t>
    </rPh>
    <rPh sb="4" eb="6">
      <t>ケタスウ</t>
    </rPh>
    <phoneticPr fontId="1"/>
  </si>
  <si>
    <t>データ整形方法</t>
    <rPh sb="3" eb="7">
      <t>セイケイホウホウ</t>
    </rPh>
    <phoneticPr fontId="1"/>
  </si>
  <si>
    <t>データ取得元</t>
    <rPh sb="3" eb="6">
      <t>シュトクモト</t>
    </rPh>
    <phoneticPr fontId="1"/>
  </si>
  <si>
    <t>ブール値</t>
    <rPh sb="2" eb="3">
      <t>チ</t>
    </rPh>
    <phoneticPr fontId="2"/>
  </si>
  <si>
    <t>文字列</t>
    <rPh sb="0" eb="3">
      <t>モジレツ</t>
    </rPh>
    <phoneticPr fontId="2"/>
  </si>
  <si>
    <t>リスト</t>
    <phoneticPr fontId="2"/>
  </si>
  <si>
    <t>辞書配列</t>
    <rPh sb="0" eb="2">
      <t>ジショ</t>
    </rPh>
    <rPh sb="2" eb="4">
      <t>ハイレツ</t>
    </rPh>
    <phoneticPr fontId="2"/>
  </si>
  <si>
    <t>日付</t>
    <rPh sb="0" eb="2">
      <t>ヒヅケ</t>
    </rPh>
    <phoneticPr fontId="2"/>
  </si>
  <si>
    <t>整形後フォーマット</t>
    <rPh sb="0" eb="3">
      <t>セイケイゴ</t>
    </rPh>
    <phoneticPr fontId="1"/>
  </si>
  <si>
    <t>備考</t>
    <rPh sb="0" eb="2">
      <t>ビコウ</t>
    </rPh>
    <phoneticPr fontId="1"/>
  </si>
  <si>
    <t>用紙サイズ</t>
    <rPh sb="0" eb="2">
      <t>ヨウシ</t>
    </rPh>
    <phoneticPr fontId="2"/>
  </si>
  <si>
    <t>ページ１</t>
    <phoneticPr fontId="2"/>
  </si>
  <si>
    <t>項目</t>
    <rPh sb="0" eb="2">
      <t>コウモク</t>
    </rPh>
    <phoneticPr fontId="2"/>
  </si>
  <si>
    <t>数値</t>
    <rPh sb="0" eb="2">
      <t>スウチ</t>
    </rPh>
    <phoneticPr fontId="2"/>
  </si>
  <si>
    <t>確認事項</t>
    <rPh sb="0" eb="4">
      <t>カクニンジコウ</t>
    </rPh>
    <phoneticPr fontId="2"/>
  </si>
  <si>
    <t>シート名</t>
    <rPh sb="3" eb="4">
      <t>メイ</t>
    </rPh>
    <phoneticPr fontId="2"/>
  </si>
  <si>
    <t>タイトル</t>
    <phoneticPr fontId="2"/>
  </si>
  <si>
    <t>確認済</t>
    <rPh sb="0" eb="3">
      <t>カクニ</t>
    </rPh>
    <phoneticPr fontId="2"/>
  </si>
  <si>
    <t>フォントや文字サイズ、セル条件などは「別紙_テンプレート」準拠</t>
    <rPh sb="13" eb="15">
      <t>ジョウケン</t>
    </rPh>
    <rPh sb="19" eb="21">
      <t>ベッシ</t>
    </rPh>
    <phoneticPr fontId="1"/>
  </si>
  <si>
    <r>
      <t>1.</t>
    </r>
    <r>
      <rPr>
        <b/>
        <sz val="9"/>
        <color rgb="FFFF0000"/>
        <rFont val="Meiryo UI"/>
        <family val="3"/>
        <charset val="128"/>
      </rPr>
      <t>タイトルを記載</t>
    </r>
    <rPh sb="7" eb="9">
      <t>キサイ</t>
    </rPh>
    <phoneticPr fontId="2"/>
  </si>
  <si>
    <t>from</t>
  </si>
  <si>
    <t>使用するテーブル名を記載</t>
    <rPh sb="0" eb="2">
      <t>シヨウ</t>
    </rPh>
    <rPh sb="8" eb="9">
      <t>メイ</t>
    </rPh>
    <rPh sb="10" eb="12">
      <t>キサイ</t>
    </rPh>
    <phoneticPr fontId="2"/>
  </si>
  <si>
    <t>TD売上請求H</t>
  </si>
  <si>
    <t>TD見積</t>
    <rPh sb="2" eb="4">
      <t>ミツモリ</t>
    </rPh>
    <phoneticPr fontId="2"/>
  </si>
  <si>
    <t>TM納入先</t>
    <rPh sb="2" eb="5">
      <t>ノウニュウサキ</t>
    </rPh>
    <phoneticPr fontId="2"/>
  </si>
  <si>
    <t>join</t>
  </si>
  <si>
    <t>結合方式</t>
    <rPh sb="0" eb="2">
      <t>ケツゴウ</t>
    </rPh>
    <rPh sb="2" eb="4">
      <t>ホウシキ</t>
    </rPh>
    <phoneticPr fontId="2"/>
  </si>
  <si>
    <t>結合テーブル名</t>
  </si>
  <si>
    <t>結合条件</t>
    <rPh sb="0" eb="2">
      <t>ケツゴウ</t>
    </rPh>
    <rPh sb="2" eb="4">
      <t>ジョウケン</t>
    </rPh>
    <phoneticPr fontId="2"/>
  </si>
  <si>
    <t>and</t>
  </si>
  <si>
    <t>or</t>
  </si>
  <si>
    <t>INNER JOIN</t>
  </si>
  <si>
    <t>TM納入先</t>
  </si>
  <si>
    <t>[TD見積.納入得意先CD] = [TM納入先.得意先CD]</t>
    <rPh sb="6" eb="8">
      <t>ノウニュウ</t>
    </rPh>
    <rPh sb="8" eb="11">
      <t>トクイサキ</t>
    </rPh>
    <rPh sb="20" eb="23">
      <t>ノウニュウサキ</t>
    </rPh>
    <rPh sb="24" eb="27">
      <t>トクイサキ</t>
    </rPh>
    <phoneticPr fontId="2"/>
  </si>
  <si>
    <t>[TD見積.納入先CD] = [TM納入先.納入先CD]</t>
    <rPh sb="3" eb="5">
      <t>ミツモリ</t>
    </rPh>
    <rPh sb="6" eb="9">
      <t>ノウニュウサキ</t>
    </rPh>
    <rPh sb="18" eb="21">
      <t>ノウニュウサキ</t>
    </rPh>
    <rPh sb="22" eb="25">
      <t>ノウニュウサキ</t>
    </rPh>
    <phoneticPr fontId="2"/>
  </si>
  <si>
    <t>where</t>
  </si>
  <si>
    <t>取得条件</t>
  </si>
  <si>
    <t>パラメータの意味が分かる場合は記載する</t>
    <rPh sb="5" eb="7">
      <t>イミ</t>
    </rPh>
    <rPh sb="8" eb="9">
      <t>ワ</t>
    </rPh>
    <rPh sb="11" eb="13">
      <t>バアイ</t>
    </rPh>
    <rPh sb="14" eb="16">
      <t>キサイ</t>
    </rPh>
    <phoneticPr fontId="2"/>
  </si>
  <si>
    <t>取得条件</t>
    <rPh sb="0" eb="2">
      <t>シュトク</t>
    </rPh>
    <rPh sb="2" eb="4">
      <t>ジョウケン</t>
    </rPh>
    <phoneticPr fontId="2"/>
  </si>
  <si>
    <t>※可能な限り日本語化する</t>
    <rPh sb="1" eb="3">
      <t>カノウ</t>
    </rPh>
    <rPh sb="4" eb="5">
      <t>カギ</t>
    </rPh>
    <rPh sb="6" eb="10">
      <t>ニホンゴカ</t>
    </rPh>
    <phoneticPr fontId="2"/>
  </si>
  <si>
    <t>[TD見積.得意先CD] = '8001'</t>
  </si>
  <si>
    <t>8001'はヤオコーの得意先CD</t>
    <rPh sb="11" eb="14">
      <t>トクイサキ</t>
    </rPh>
    <phoneticPr fontId="2"/>
  </si>
  <si>
    <t>[TD売上請求H.請求日付]が[画面.請求期間From]以降</t>
    <rPh sb="28" eb="30">
      <t>イコウ</t>
    </rPh>
    <phoneticPr fontId="2"/>
  </si>
  <si>
    <t>order by</t>
  </si>
  <si>
    <t>ソート条件を記載</t>
    <rPh sb="3" eb="5">
      <t>ジョウケン</t>
    </rPh>
    <rPh sb="6" eb="8">
      <t>キサイ</t>
    </rPh>
    <phoneticPr fontId="2"/>
  </si>
  <si>
    <t>[画面.iYK物件区分]が1の場合は[TD見積.納入得意先CD],[TD見積.納入先CD],[TD売上請求H.見積番号]を昇順でソート</t>
    <rPh sb="1" eb="3">
      <t>ガメン</t>
    </rPh>
    <rPh sb="7" eb="9">
      <t>ブッケン</t>
    </rPh>
    <rPh sb="9" eb="11">
      <t>クブン</t>
    </rPh>
    <rPh sb="15" eb="17">
      <t>バアイ</t>
    </rPh>
    <rPh sb="21" eb="23">
      <t>ミツモリ</t>
    </rPh>
    <rPh sb="24" eb="26">
      <t>ノウニュウ</t>
    </rPh>
    <rPh sb="26" eb="29">
      <t>トクイサキ</t>
    </rPh>
    <rPh sb="61" eb="63">
      <t>ショウジュン</t>
    </rPh>
    <phoneticPr fontId="2"/>
  </si>
  <si>
    <t>group byなどほかの条件がある場合は行を追加して記載</t>
    <rPh sb="13" eb="15">
      <t>ジョウケン</t>
    </rPh>
    <rPh sb="18" eb="20">
      <t>バアイ</t>
    </rPh>
    <rPh sb="21" eb="22">
      <t>ギョウ</t>
    </rPh>
    <rPh sb="23" eb="25">
      <t>ツイカ</t>
    </rPh>
    <rPh sb="27" eb="29">
      <t>キサイ</t>
    </rPh>
    <phoneticPr fontId="2"/>
  </si>
  <si>
    <t>select</t>
    <phoneticPr fontId="2"/>
  </si>
  <si>
    <t>格納テーブル</t>
    <rPh sb="0" eb="2">
      <t>カクノウ</t>
    </rPh>
    <phoneticPr fontId="2"/>
  </si>
  <si>
    <t>仕入先CD</t>
    <rPh sb="0" eb="2">
      <t>シイレ</t>
    </rPh>
    <rPh sb="2" eb="3">
      <t>サキ</t>
    </rPh>
    <phoneticPr fontId="2"/>
  </si>
  <si>
    <t>VM支払予定情報.仕入先CD</t>
    <rPh sb="2" eb="4">
      <t>シハライ</t>
    </rPh>
    <rPh sb="4" eb="6">
      <t>ヨテイ</t>
    </rPh>
    <rPh sb="6" eb="8">
      <t>ジョウホウ</t>
    </rPh>
    <rPh sb="9" eb="11">
      <t>シイレ</t>
    </rPh>
    <rPh sb="11" eb="12">
      <t>サキ</t>
    </rPh>
    <phoneticPr fontId="2"/>
  </si>
  <si>
    <t>仕入先名1</t>
    <rPh sb="0" eb="2">
      <t>シイレ</t>
    </rPh>
    <rPh sb="2" eb="3">
      <t>サキ</t>
    </rPh>
    <rPh sb="3" eb="4">
      <t>メイ</t>
    </rPh>
    <phoneticPr fontId="2"/>
  </si>
  <si>
    <t>VM支払予定情報.仕入先名1</t>
    <rPh sb="2" eb="4">
      <t>シハライ</t>
    </rPh>
    <rPh sb="4" eb="6">
      <t>ヨテイ</t>
    </rPh>
    <rPh sb="6" eb="8">
      <t>ジョウホウ</t>
    </rPh>
    <rPh sb="9" eb="11">
      <t>シイレ</t>
    </rPh>
    <rPh sb="11" eb="12">
      <t>サキ</t>
    </rPh>
    <rPh sb="12" eb="13">
      <t>メイ</t>
    </rPh>
    <phoneticPr fontId="2"/>
  </si>
  <si>
    <t>SQL1</t>
    <phoneticPr fontId="2"/>
  </si>
  <si>
    <t>-</t>
  </si>
  <si>
    <t>CSV</t>
    <phoneticPr fontId="2"/>
  </si>
  <si>
    <t>csv</t>
    <phoneticPr fontId="2"/>
  </si>
  <si>
    <t>年</t>
    <rPh sb="0" eb="1">
      <t>ネン</t>
    </rPh>
    <phoneticPr fontId="1"/>
  </si>
  <si>
    <t>月</t>
    <rPh sb="0" eb="1">
      <t>ツキ</t>
    </rPh>
    <phoneticPr fontId="1"/>
  </si>
  <si>
    <t>日</t>
    <rPh sb="0" eb="1">
      <t>ヒ</t>
    </rPh>
    <phoneticPr fontId="1"/>
  </si>
  <si>
    <t>伝票番号</t>
    <rPh sb="0" eb="4">
      <t>デンピョウバンゴウ</t>
    </rPh>
    <phoneticPr fontId="1"/>
  </si>
  <si>
    <t>借方金額</t>
    <rPh sb="0" eb="1">
      <t>カ</t>
    </rPh>
    <rPh sb="1" eb="2">
      <t>カタ</t>
    </rPh>
    <rPh sb="2" eb="4">
      <t>キンガク</t>
    </rPh>
    <phoneticPr fontId="1"/>
  </si>
  <si>
    <t>借方勘定科目CD</t>
    <rPh sb="0" eb="2">
      <t>カリカタ</t>
    </rPh>
    <rPh sb="2" eb="4">
      <t>カンジョウ</t>
    </rPh>
    <rPh sb="4" eb="6">
      <t>カモク</t>
    </rPh>
    <phoneticPr fontId="1"/>
  </si>
  <si>
    <t>借方勘定科目名</t>
    <rPh sb="0" eb="2">
      <t>カリカタ</t>
    </rPh>
    <rPh sb="2" eb="4">
      <t>カンジョウ</t>
    </rPh>
    <rPh sb="4" eb="6">
      <t>カモク</t>
    </rPh>
    <rPh sb="6" eb="7">
      <t>メイ</t>
    </rPh>
    <phoneticPr fontId="1"/>
  </si>
  <si>
    <t>借方消費税CD</t>
    <rPh sb="0" eb="5">
      <t>カリカタショウヒゼイ</t>
    </rPh>
    <phoneticPr fontId="1"/>
  </si>
  <si>
    <t>借方消費税率</t>
    <rPh sb="0" eb="5">
      <t>カリカタショウヒゼイ</t>
    </rPh>
    <rPh sb="5" eb="6">
      <t>リツ</t>
    </rPh>
    <phoneticPr fontId="1"/>
  </si>
  <si>
    <t>借方業種</t>
    <rPh sb="0" eb="4">
      <t>カリカタギョウシュ</t>
    </rPh>
    <phoneticPr fontId="1"/>
  </si>
  <si>
    <t>借方補助科目CD</t>
    <rPh sb="0" eb="2">
      <t>カリカタ</t>
    </rPh>
    <rPh sb="2" eb="6">
      <t>ホジョカモク</t>
    </rPh>
    <phoneticPr fontId="1"/>
  </si>
  <si>
    <t>借方補助科目名</t>
    <rPh sb="0" eb="2">
      <t>カリカタ</t>
    </rPh>
    <rPh sb="2" eb="6">
      <t>ホジョカモク</t>
    </rPh>
    <rPh sb="6" eb="7">
      <t>メイ</t>
    </rPh>
    <phoneticPr fontId="1"/>
  </si>
  <si>
    <t>借方部門CD</t>
    <rPh sb="0" eb="4">
      <t>カリカタブモン</t>
    </rPh>
    <phoneticPr fontId="1"/>
  </si>
  <si>
    <t>借方部門名</t>
    <rPh sb="0" eb="2">
      <t>カリカタ</t>
    </rPh>
    <rPh sb="2" eb="4">
      <t>ブモン</t>
    </rPh>
    <rPh sb="4" eb="5">
      <t>メイ</t>
    </rPh>
    <phoneticPr fontId="1"/>
  </si>
  <si>
    <t>貸方勘定科目CD</t>
    <rPh sb="0" eb="2">
      <t>カシカタ</t>
    </rPh>
    <rPh sb="2" eb="6">
      <t>カンジョウカモク</t>
    </rPh>
    <phoneticPr fontId="1"/>
  </si>
  <si>
    <t>貸方勘定科目名</t>
  </si>
  <si>
    <t>貸方勘定科目名</t>
    <rPh sb="0" eb="7">
      <t>カシカタカンジョウカモクメイ</t>
    </rPh>
    <phoneticPr fontId="1"/>
  </si>
  <si>
    <t>貸方消費税CD</t>
    <rPh sb="0" eb="5">
      <t>カシカタショウヒゼイ</t>
    </rPh>
    <phoneticPr fontId="1"/>
  </si>
  <si>
    <t>貸方消費税率</t>
    <rPh sb="0" eb="6">
      <t>カシカタショウヒゼイリツ</t>
    </rPh>
    <phoneticPr fontId="1"/>
  </si>
  <si>
    <t>貸方業種</t>
    <phoneticPr fontId="1"/>
  </si>
  <si>
    <t>貸方補助科目CD</t>
    <phoneticPr fontId="1"/>
  </si>
  <si>
    <t>貸方補助科目名</t>
    <phoneticPr fontId="1"/>
  </si>
  <si>
    <t>貸方部門CD</t>
    <phoneticPr fontId="1"/>
  </si>
  <si>
    <t>貸方部門名</t>
    <phoneticPr fontId="1"/>
  </si>
  <si>
    <t>貸方金額</t>
    <phoneticPr fontId="1"/>
  </si>
  <si>
    <t>摘要</t>
    <phoneticPr fontId="1"/>
  </si>
  <si>
    <t>期日_年</t>
    <phoneticPr fontId="1"/>
  </si>
  <si>
    <t>期日_月</t>
    <phoneticPr fontId="1"/>
  </si>
  <si>
    <t>期日_日</t>
    <phoneticPr fontId="1"/>
  </si>
  <si>
    <t>手形番号</t>
    <phoneticPr fontId="1"/>
  </si>
  <si>
    <t>半角</t>
    <rPh sb="0" eb="2">
      <t>ハンカク</t>
    </rPh>
    <phoneticPr fontId="1"/>
  </si>
  <si>
    <t>全角</t>
    <rPh sb="0" eb="2">
      <t>ゼンカク</t>
    </rPh>
    <phoneticPr fontId="1"/>
  </si>
  <si>
    <t>yyyy</t>
    <phoneticPr fontId="1"/>
  </si>
  <si>
    <t>mm</t>
    <phoneticPr fontId="1"/>
  </si>
  <si>
    <t>dd</t>
    <phoneticPr fontId="1"/>
  </si>
  <si>
    <t>insert</t>
    <phoneticPr fontId="2"/>
  </si>
  <si>
    <t>区分</t>
    <rPh sb="0" eb="2">
      <t>クブン</t>
    </rPh>
    <phoneticPr fontId="2"/>
  </si>
  <si>
    <t>得意先CD</t>
    <rPh sb="0" eb="3">
      <t>トクイサキ</t>
    </rPh>
    <phoneticPr fontId="2"/>
  </si>
  <si>
    <t>年</t>
    <rPh sb="0" eb="1">
      <t>ネン</t>
    </rPh>
    <phoneticPr fontId="2"/>
  </si>
  <si>
    <t>月</t>
    <rPh sb="0" eb="1">
      <t>ツキ</t>
    </rPh>
    <phoneticPr fontId="2"/>
  </si>
  <si>
    <t>日</t>
    <rPh sb="0" eb="1">
      <t>ヒ</t>
    </rPh>
    <phoneticPr fontId="2"/>
  </si>
  <si>
    <t>伝票番号</t>
    <rPh sb="0" eb="4">
      <t>デンピョウバンゴウ</t>
    </rPh>
    <phoneticPr fontId="2"/>
  </si>
  <si>
    <t>借方金額</t>
    <rPh sb="0" eb="4">
      <t>カリカタキンガク</t>
    </rPh>
    <phoneticPr fontId="2"/>
  </si>
  <si>
    <t>借方勘定科目名CD</t>
    <rPh sb="0" eb="6">
      <t>カリカタカンジョウカモク</t>
    </rPh>
    <rPh sb="6" eb="7">
      <t>メイ</t>
    </rPh>
    <phoneticPr fontId="2"/>
  </si>
  <si>
    <t>借方勘定科目名</t>
    <phoneticPr fontId="2"/>
  </si>
  <si>
    <t>借方消費税CD</t>
    <phoneticPr fontId="2"/>
  </si>
  <si>
    <t>借方消費税率</t>
    <phoneticPr fontId="2"/>
  </si>
  <si>
    <t>借方業種</t>
    <phoneticPr fontId="2"/>
  </si>
  <si>
    <t>借方補助科目CD</t>
    <phoneticPr fontId="2"/>
  </si>
  <si>
    <t>借方補助科目名</t>
    <phoneticPr fontId="2"/>
  </si>
  <si>
    <t>借方部門CD</t>
    <phoneticPr fontId="2"/>
  </si>
  <si>
    <t>借方部門名</t>
    <phoneticPr fontId="2"/>
  </si>
  <si>
    <t>貸方勘定科目CD</t>
    <phoneticPr fontId="2"/>
  </si>
  <si>
    <t>貸方消費税CD</t>
    <phoneticPr fontId="2"/>
  </si>
  <si>
    <t>貸方消費税率</t>
    <phoneticPr fontId="2"/>
  </si>
  <si>
    <t>貸方業種</t>
    <phoneticPr fontId="2"/>
  </si>
  <si>
    <t>貸方補助科目CD</t>
    <phoneticPr fontId="2"/>
  </si>
  <si>
    <t>貸方補助科目名</t>
    <phoneticPr fontId="2"/>
  </si>
  <si>
    <t>貸方部門CD</t>
    <phoneticPr fontId="2"/>
  </si>
  <si>
    <t>貸方部門名</t>
    <phoneticPr fontId="2"/>
  </si>
  <si>
    <t>貸方金額</t>
    <phoneticPr fontId="2"/>
  </si>
  <si>
    <t>摘要</t>
    <phoneticPr fontId="2"/>
  </si>
  <si>
    <t>期日_年</t>
    <phoneticPr fontId="2"/>
  </si>
  <si>
    <t>期日_月</t>
    <phoneticPr fontId="2"/>
  </si>
  <si>
    <t>期日_日</t>
    <phoneticPr fontId="2"/>
  </si>
  <si>
    <t>手形番号</t>
    <phoneticPr fontId="2"/>
  </si>
  <si>
    <t>YEAR(画面.仕訳日付)</t>
    <rPh sb="5" eb="7">
      <t>ガメン</t>
    </rPh>
    <phoneticPr fontId="2"/>
  </si>
  <si>
    <t>MONTH(画面.仕訳日付)</t>
    <rPh sb="6" eb="8">
      <t>ガメン</t>
    </rPh>
    <phoneticPr fontId="2"/>
  </si>
  <si>
    <t>DAY(画面.仕訳日付)</t>
    <rPh sb="4" eb="6">
      <t>ガメン</t>
    </rPh>
    <phoneticPr fontId="2"/>
  </si>
  <si>
    <t>NULL</t>
  </si>
  <si>
    <t>NULL</t>
    <phoneticPr fontId="2"/>
  </si>
  <si>
    <t>from</t>
    <phoneticPr fontId="2"/>
  </si>
  <si>
    <t>FROM  TM売掛金額 AS SK</t>
    <phoneticPr fontId="2"/>
  </si>
  <si>
    <t>join</t>
    <phoneticPr fontId="2"/>
  </si>
  <si>
    <t>LEFT JOIN TM得意先 AS TK</t>
    <phoneticPr fontId="2"/>
  </si>
  <si>
    <t>ON SK.得意先CD = TK.得意先CD</t>
    <phoneticPr fontId="2"/>
  </si>
  <si>
    <t>where</t>
    <phoneticPr fontId="2"/>
  </si>
  <si>
    <t>AND ISNULL(SK.売上金額,0)+ISNULL(SK.返品金額,0)+ISNULL(SK.訂正金額,0)-ISNULL(SK.非課税金額,0) &lt;&gt; 0</t>
    <phoneticPr fontId="2"/>
  </si>
  <si>
    <t>AND ISNULL(SK.売上金額,0)+ISNULL(SK.返品金額,0)+ISNULL(SK.訂正金額,0)-ISNULL(SK.非課税金額,0) &gt; 0</t>
    <phoneticPr fontId="2"/>
  </si>
  <si>
    <t>order by</t>
    <phoneticPr fontId="2"/>
  </si>
  <si>
    <t>CONVERT(VARCHAR(96), TM得意先.得意先名1)</t>
  </si>
  <si>
    <t>CONVERT(INT,TM売掛金額.得意先CD)</t>
  </si>
  <si>
    <t>ABS(CONVERT(INT,ISNULL(TM売掛金額.売上金額,0)+ISNULL(TM売掛金額.返品金額,0)+ISNULL(TM売掛金額.訂正金額,0)-ISNULL(TM売掛金額.非課税金額,0)))</t>
  </si>
  <si>
    <t>AND SK.得意先CD  &gt;= COALESCE(CONVERT(VARCHAR(4),画面.開始得意先),SK.得意先CD)</t>
    <rPh sb="45" eb="47">
      <t>ガメン</t>
    </rPh>
    <phoneticPr fontId="2"/>
  </si>
  <si>
    <t>AND SK.得意先CD  &lt;= COALESCE(CONVERT(VARCHAR(4),画面.終了得意先),SK.得意先CD)</t>
    <rPh sb="45" eb="47">
      <t>ガメン</t>
    </rPh>
    <phoneticPr fontId="2"/>
  </si>
  <si>
    <t>WHERE  SK.売掛日付  = CONVERT(VARCHAR(10),画面.仕分日付,111)</t>
    <rPh sb="38" eb="40">
      <t>ガメン</t>
    </rPh>
    <rPh sb="41" eb="45">
      <t>シワケヒヅケ</t>
    </rPh>
    <phoneticPr fontId="2"/>
  </si>
  <si>
    <t>ORDER BY SK.得意先CD　の昇順でソート</t>
    <rPh sb="19" eb="21">
      <t>ショウジュン</t>
    </rPh>
    <phoneticPr fontId="2"/>
  </si>
  <si>
    <t>画面.仕分日付時点の税率</t>
    <rPh sb="0" eb="1">
      <t>ガメン</t>
    </rPh>
    <rPh sb="2" eb="4">
      <t>シワケ</t>
    </rPh>
    <rPh sb="4" eb="6">
      <t>ヒヅケ</t>
    </rPh>
    <rPh sb="6" eb="8">
      <t>ジテン</t>
    </rPh>
    <rPh sb="9" eb="11">
      <t>ゼイリツ</t>
    </rPh>
    <phoneticPr fontId="2"/>
  </si>
  <si>
    <t>SQL2</t>
    <phoneticPr fontId="2"/>
  </si>
  <si>
    <t>画面.仕分日付時点の税率</t>
    <phoneticPr fontId="2"/>
  </si>
  <si>
    <t>NULL</t>
    <phoneticPr fontId="2"/>
  </si>
  <si>
    <t>CONVERT(INT,SK.得意先CD)</t>
    <phoneticPr fontId="2"/>
  </si>
  <si>
    <t>AND ISNULL(SK.売上金額,0)+ISNULL(SK.返品金額,0)+ISNULL(SK.訂正金額,0)-ISNULL(SK.非課税金額,0) &lt; 0</t>
    <phoneticPr fontId="2"/>
  </si>
  <si>
    <t>データ抽出（税抜き分）</t>
    <phoneticPr fontId="2"/>
  </si>
  <si>
    <t>SQL3</t>
    <phoneticPr fontId="2"/>
  </si>
  <si>
    <t>ABS(CONVERT(INT,ISNULL(TM売掛金額.消費税額,0)))</t>
    <phoneticPr fontId="2"/>
  </si>
  <si>
    <t>CONVERT(INT,TM売掛金額.得意先CD)</t>
    <rPh sb="14" eb="18">
      <t>ウリカケキンガク</t>
    </rPh>
    <phoneticPr fontId="2"/>
  </si>
  <si>
    <t>ABS(CONVERT(INT,ISNULL(TM売掛金額.消費税額,0)))</t>
    <rPh sb="25" eb="29">
      <t>ウリカケキンガク</t>
    </rPh>
    <phoneticPr fontId="2"/>
  </si>
  <si>
    <t>AND ISNULL(SK.消費税額,0) &lt;&gt; 0</t>
    <phoneticPr fontId="2"/>
  </si>
  <si>
    <t>AND ISNULL(SK.消費税額,0) &gt; 0</t>
    <phoneticPr fontId="2"/>
  </si>
  <si>
    <t>データ抽出(消費税分)</t>
    <phoneticPr fontId="2"/>
  </si>
  <si>
    <t>データ抽出（税抜き分・通常仕訳）</t>
    <phoneticPr fontId="2"/>
  </si>
  <si>
    <t>逆仕訳</t>
    <phoneticPr fontId="2"/>
  </si>
  <si>
    <t>SQL4</t>
    <phoneticPr fontId="2"/>
  </si>
  <si>
    <t>CONVERT(INT,TM売掛金額.得意先CD)</t>
    <rPh sb="14" eb="17">
      <t>ウリカケキン</t>
    </rPh>
    <rPh sb="17" eb="18">
      <t>ガク</t>
    </rPh>
    <phoneticPr fontId="2"/>
  </si>
  <si>
    <t>AND ISNULL(SK.消費税額,0) &lt; 0</t>
    <phoneticPr fontId="2"/>
  </si>
  <si>
    <t>SQL5</t>
    <phoneticPr fontId="2"/>
  </si>
  <si>
    <t>データ抽出（非課税分）</t>
    <phoneticPr fontId="2"/>
  </si>
  <si>
    <t>ABS(CONVERT(INT,ABS(ISNULL(TM売掛金額.非課税金額,0))))</t>
    <rPh sb="29" eb="33">
      <t>ウリカケキンガク</t>
    </rPh>
    <phoneticPr fontId="2"/>
  </si>
  <si>
    <t>AND ISNULL(SK.非課税金額,0) &lt;&gt; 0</t>
    <phoneticPr fontId="2"/>
  </si>
  <si>
    <t>AND ISNULL(SK.非課税金額,0) &gt; 0</t>
    <phoneticPr fontId="2"/>
  </si>
  <si>
    <t>SQL6</t>
    <phoneticPr fontId="2"/>
  </si>
  <si>
    <t>CONVERT(INT,TMうり.得意先CD)</t>
    <phoneticPr fontId="2"/>
  </si>
  <si>
    <t>AND ISNULL(SK.非課税金額,0) &lt; 0</t>
    <phoneticPr fontId="2"/>
  </si>
  <si>
    <t>FROM  #TMP_HK0301</t>
    <phoneticPr fontId="2"/>
  </si>
  <si>
    <t>ORDER BY 得意先CD,区分　の昇順でソート</t>
    <rPh sb="19" eb="21">
      <t>ショウジュン</t>
    </rPh>
    <phoneticPr fontId="2"/>
  </si>
  <si>
    <t>#TMP_HK0301.年</t>
    <rPh sb="12" eb="13">
      <t>ネン</t>
    </rPh>
    <phoneticPr fontId="2"/>
  </si>
  <si>
    <t>#TMP_HK0301.月</t>
    <rPh sb="12" eb="13">
      <t>ツキ</t>
    </rPh>
    <phoneticPr fontId="2"/>
  </si>
  <si>
    <t>#TMP_HK0301.日</t>
    <rPh sb="12" eb="13">
      <t>ヒ</t>
    </rPh>
    <phoneticPr fontId="2"/>
  </si>
  <si>
    <t>#TMP_HK0301.伝票番号</t>
    <rPh sb="12" eb="16">
      <t>デンピョウバンゴウ</t>
    </rPh>
    <phoneticPr fontId="2"/>
  </si>
  <si>
    <t>#TMP_HK0301.借方金額</t>
    <rPh sb="12" eb="16">
      <t>カリカタキンガク</t>
    </rPh>
    <phoneticPr fontId="2"/>
  </si>
  <si>
    <t>#TMP_HK0301.借方勘定科目名CD</t>
    <rPh sb="12" eb="18">
      <t>カリカタカンジョウカモク</t>
    </rPh>
    <rPh sb="18" eb="19">
      <t>メイ</t>
    </rPh>
    <phoneticPr fontId="2"/>
  </si>
  <si>
    <t>#TMP_HK0301.借方勘定科目名</t>
    <phoneticPr fontId="2"/>
  </si>
  <si>
    <t>#TMP_HK0301.借方消費税CD</t>
    <phoneticPr fontId="2"/>
  </si>
  <si>
    <t>#TMP_HK0301.借方消費税率</t>
    <phoneticPr fontId="2"/>
  </si>
  <si>
    <t>#TMP_HK0301.借方業種</t>
    <phoneticPr fontId="2"/>
  </si>
  <si>
    <t>#TMP_HK0301.借方補助科目CD</t>
    <phoneticPr fontId="2"/>
  </si>
  <si>
    <t>#TMP_HK0301.借方補助科目名</t>
    <phoneticPr fontId="2"/>
  </si>
  <si>
    <t>#TMP_HK0301.借方部門CD</t>
    <phoneticPr fontId="2"/>
  </si>
  <si>
    <t>#TMP_HK0301.借方部門名</t>
    <phoneticPr fontId="2"/>
  </si>
  <si>
    <t>#TMP_HK0301.貸方勘定科目CD</t>
    <phoneticPr fontId="2"/>
  </si>
  <si>
    <t>#TMP_HK0301.貸方勘定科目名</t>
    <phoneticPr fontId="2"/>
  </si>
  <si>
    <t>#TMP_HK0301.貸方消費税CD</t>
    <phoneticPr fontId="2"/>
  </si>
  <si>
    <t>#TMP_HK0301.貸方消費税率</t>
    <phoneticPr fontId="2"/>
  </si>
  <si>
    <t>#TMP_HK0301.貸方補助科目CD</t>
    <phoneticPr fontId="2"/>
  </si>
  <si>
    <t>#TMP_HK0301.貸方補助科目名</t>
    <phoneticPr fontId="2"/>
  </si>
  <si>
    <t>#TMP_HK0301.貸方部門CD</t>
    <phoneticPr fontId="2"/>
  </si>
  <si>
    <t>#TMP_HK0301.貸方部門名</t>
    <phoneticPr fontId="2"/>
  </si>
  <si>
    <t>#TMP_HK0301.貸方金額</t>
    <phoneticPr fontId="2"/>
  </si>
  <si>
    <t>#TMP_HK0301.摘要</t>
    <phoneticPr fontId="2"/>
  </si>
  <si>
    <t>#TMP_HK0301.期日_年</t>
    <phoneticPr fontId="2"/>
  </si>
  <si>
    <t>#TMP_HK0301.期日_月</t>
    <phoneticPr fontId="2"/>
  </si>
  <si>
    <t>#TMP_HK0301.期日_日</t>
    <phoneticPr fontId="2"/>
  </si>
  <si>
    <t>#TMP_HK0301.手形番号</t>
    <phoneticPr fontId="2"/>
  </si>
  <si>
    <t>#TMP_HK0301.貸方業種</t>
    <phoneticPr fontId="2"/>
  </si>
  <si>
    <t>SQL7</t>
    <phoneticPr fontId="2"/>
  </si>
  <si>
    <t>select</t>
    <phoneticPr fontId="2"/>
  </si>
  <si>
    <t>データ出力</t>
    <phoneticPr fontId="2"/>
  </si>
  <si>
    <t>SQL7.年</t>
    <rPh sb="5" eb="6">
      <t>ネン</t>
    </rPh>
    <phoneticPr fontId="1"/>
  </si>
  <si>
    <t>SQL7.貸方勘定科目名</t>
    <phoneticPr fontId="1"/>
  </si>
  <si>
    <t>SQL7.貸方消費税CD</t>
    <phoneticPr fontId="1"/>
  </si>
  <si>
    <t>SQL7.貸方消費税率</t>
    <phoneticPr fontId="1"/>
  </si>
  <si>
    <t>SQL7.貸方業種</t>
    <phoneticPr fontId="1"/>
  </si>
  <si>
    <t>SQL7.貸方補助科目CD</t>
    <phoneticPr fontId="1"/>
  </si>
  <si>
    <t>SQL7.貸方補助科目名</t>
    <phoneticPr fontId="1"/>
  </si>
  <si>
    <t>SQL7.貸方部門CD</t>
    <phoneticPr fontId="1"/>
  </si>
  <si>
    <t>SQL7.貸方部門名</t>
    <phoneticPr fontId="1"/>
  </si>
  <si>
    <t>SQL7.貸方金額</t>
    <phoneticPr fontId="1"/>
  </si>
  <si>
    <t>SQL7.摘要</t>
    <phoneticPr fontId="1"/>
  </si>
  <si>
    <t>SQL7.期日_年</t>
    <phoneticPr fontId="1"/>
  </si>
  <si>
    <t>SQL7.期日_月</t>
    <phoneticPr fontId="1"/>
  </si>
  <si>
    <t>SQL7.期日_日</t>
    <phoneticPr fontId="1"/>
  </si>
  <si>
    <t>SQL7.手形番号</t>
    <phoneticPr fontId="1"/>
  </si>
  <si>
    <t>SQL7.月</t>
    <phoneticPr fontId="1"/>
  </si>
  <si>
    <t>SQL7.日</t>
    <phoneticPr fontId="1"/>
  </si>
  <si>
    <t>SQL7.伝票番号</t>
    <rPh sb="5" eb="9">
      <t>デンピョウバンゴウ</t>
    </rPh>
    <phoneticPr fontId="1"/>
  </si>
  <si>
    <t>SQL7.借方金額</t>
    <phoneticPr fontId="1"/>
  </si>
  <si>
    <t>SQL7.借方勘定科目CD</t>
    <phoneticPr fontId="1"/>
  </si>
  <si>
    <t>SQL7.借方勘定科目名</t>
    <phoneticPr fontId="1"/>
  </si>
  <si>
    <t>SQL7.借方消費税CD</t>
    <phoneticPr fontId="1"/>
  </si>
  <si>
    <t>SQL7.借方消費税率</t>
    <phoneticPr fontId="1"/>
  </si>
  <si>
    <t>SQL7.借方業種</t>
    <phoneticPr fontId="1"/>
  </si>
  <si>
    <t>SQL7.借方補助科目CD</t>
    <phoneticPr fontId="1"/>
  </si>
  <si>
    <t>SQL7.借方補助科目名</t>
    <phoneticPr fontId="1"/>
  </si>
  <si>
    <t>SQL7.借方部門CD</t>
    <phoneticPr fontId="1"/>
  </si>
  <si>
    <t>SQL7.借方部門名</t>
    <phoneticPr fontId="1"/>
  </si>
  <si>
    <t>SQL7.貸方勘定科目CD</t>
    <phoneticPr fontId="1"/>
  </si>
  <si>
    <t>カンマ</t>
    <phoneticPr fontId="2"/>
  </si>
  <si>
    <t>ダブルコーテーション</t>
    <phoneticPr fontId="2"/>
  </si>
  <si>
    <t>可変長</t>
    <rPh sb="0" eb="3">
      <t>カヘンチョウ</t>
    </rPh>
    <phoneticPr fontId="2"/>
  </si>
  <si>
    <t>項目一覧</t>
    <rPh sb="0" eb="4">
      <t>コウモクイチラン</t>
    </rPh>
    <phoneticPr fontId="2"/>
  </si>
  <si>
    <t>囲み文字に関して</t>
    <rPh sb="0" eb="1">
      <t>カコ</t>
    </rPh>
    <rPh sb="2" eb="4">
      <t>モジ</t>
    </rPh>
    <rPh sb="5" eb="6">
      <t>カン</t>
    </rPh>
    <phoneticPr fontId="2"/>
  </si>
  <si>
    <t>コーテーションで囲まれている項目はどのような判断基準で囲んでいるのか。文字列項目の中でも囲まれているものとそうでないものがある</t>
    <rPh sb="8" eb="9">
      <t>カコ</t>
    </rPh>
    <rPh sb="14" eb="16">
      <t>コウモク</t>
    </rPh>
    <rPh sb="22" eb="26">
      <t>ハンダンキジュン</t>
    </rPh>
    <rPh sb="27" eb="28">
      <t>カコ</t>
    </rPh>
    <rPh sb="35" eb="40">
      <t>モジレツコウモク</t>
    </rPh>
    <rPh sb="41" eb="42">
      <t>ナカ</t>
    </rPh>
    <rPh sb="44" eb="45">
      <t>カコ</t>
    </rPh>
    <phoneticPr fontId="2"/>
  </si>
  <si>
    <t>SJIS</t>
    <phoneticPr fontId="2"/>
  </si>
  <si>
    <t>ダブルコーテーションで囲う</t>
    <rPh sb="11" eb="12">
      <t>カコ</t>
    </rPh>
    <phoneticPr fontId="1"/>
  </si>
  <si>
    <t>〇</t>
    <phoneticPr fontId="2"/>
  </si>
  <si>
    <t>受発注システム</t>
    <phoneticPr fontId="2"/>
  </si>
  <si>
    <t>受発注</t>
    <phoneticPr fontId="2"/>
  </si>
  <si>
    <t>システム分類</t>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</si>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</sst>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 "/>
  </numFmts>
  <fonts count="11"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b/>
      <sz val="18"/>
      <color theme="1"/>
      <name val="Meiryo UI"/>
      <family val="3"/>
      <charset val="128"/>
    </font>
    <font>
      <sz val="9"/>
      <color rgb="FFFF0000"/>
      <name val="Meiryo UI"/>
      <family val="3"/>
      <charset val="128"/>
    </font>
    <font>
      <b/>
      <sz val="9"/>
      <color rgb="FFFF0000"/>
      <name val="Meiryo UI"/>
      <family val="3"/>
      <charset val="128"/>
    </font>
    <font>
      <b/>
      <i/>
      <sz val="9"/>
      <color rgb="FFFF000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style="thin">
        <color auto="1"/>
      </left>
      <right/>
      <top/>
      <bottom style="thick">
        <color auto="1"/>
      </bottom>
      <diagonal/>
    </border>
    <border>
      <left/>
      <right style="thin">
        <color auto="1"/>
      </right>
      <top/>
      <bottom style="thick">
        <color auto="1"/>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style="thin">
        <color auto="1"/>
      </top>
      <bottom style="thin">
        <color auto="1"/>
      </bottom>
      <diagonal/>
    </border>
    <border>
      <left style="thick">
        <color auto="1"/>
      </left>
      <right/>
      <top style="thin">
        <color auto="1"/>
      </top>
      <bottom/>
      <diagonal/>
    </border>
    <border>
      <left/>
      <right style="thick">
        <color auto="1"/>
      </right>
      <top style="thin">
        <color auto="1"/>
      </top>
      <bottom/>
      <diagonal/>
    </border>
    <border>
      <left style="thick">
        <color auto="1"/>
      </left>
      <right/>
      <top style="thick">
        <color auto="1"/>
      </top>
      <bottom style="thin">
        <color auto="1"/>
      </bottom>
      <diagonal/>
    </border>
    <border>
      <left/>
      <right style="thick">
        <color auto="1"/>
      </right>
      <top style="thick">
        <color auto="1"/>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n">
        <color auto="1"/>
      </left>
      <right style="thick">
        <color auto="1"/>
      </right>
      <top style="thin">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right style="medium">
        <color indexed="64"/>
      </right>
      <top style="thin">
        <color indexed="64"/>
      </top>
      <bottom/>
      <diagonal/>
    </border>
    <border>
      <left/>
      <right/>
      <top/>
      <bottom style="thin">
        <color auto="1"/>
      </bottom>
      <diagonal/>
    </border>
    <border>
      <left/>
      <right style="medium">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alignment vertical="center"/>
    </xf>
    <xf numFmtId="0" fontId="4" fillId="0" borderId="0"/>
  </cellStyleXfs>
  <cellXfs count="205">
    <xf numFmtId="0" fontId="0" fillId="0" borderId="0" xfId="0">
      <alignment vertical="center"/>
    </xf>
    <xf numFmtId="0" fontId="1" fillId="2" borderId="0" xfId="0" applyFont="1" applyFill="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0" xfId="0" applyFont="1" applyFill="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27" xfId="0" applyFont="1" applyFill="1" applyBorder="1">
      <alignment vertical="center"/>
    </xf>
    <xf numFmtId="0" fontId="3" fillId="2" borderId="28" xfId="0" applyFont="1" applyFill="1" applyBorder="1">
      <alignment vertical="center"/>
    </xf>
    <xf numFmtId="0" fontId="0" fillId="0" borderId="0" xfId="0">
      <alignment vertical="center"/>
    </xf>
    <xf numFmtId="0" fontId="3" fillId="0" borderId="0" xfId="0" applyFont="1" applyFill="1" applyBorder="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0" borderId="12" xfId="0" applyFont="1" applyFill="1" applyBorder="1">
      <alignment vertical="center"/>
    </xf>
    <xf numFmtId="0" fontId="3" fillId="2" borderId="20" xfId="0" applyFont="1" applyFill="1" applyBorder="1" applyAlignment="1">
      <alignment horizontal="center"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0" fontId="0" fillId="0" borderId="15" xfId="0" applyBorder="1">
      <alignment vertical="center"/>
    </xf>
    <xf numFmtId="0" fontId="0" fillId="0" borderId="0" xfId="0" applyBorder="1">
      <alignment vertical="center"/>
    </xf>
    <xf numFmtId="0" fontId="0" fillId="0" borderId="13" xfId="0" applyBorder="1">
      <alignment vertical="center"/>
    </xf>
    <xf numFmtId="0" fontId="3" fillId="2" borderId="24" xfId="0" applyFont="1" applyFill="1" applyBorder="1">
      <alignment vertical="center"/>
    </xf>
    <xf numFmtId="0" fontId="3" fillId="0" borderId="15" xfId="0" applyFont="1" applyFill="1" applyBorder="1">
      <alignment vertical="center"/>
    </xf>
    <xf numFmtId="0" fontId="7" fillId="2" borderId="14" xfId="0" applyFont="1" applyFill="1" applyBorder="1">
      <alignment vertical="center"/>
    </xf>
    <xf numFmtId="0" fontId="3" fillId="2" borderId="16" xfId="0" applyFont="1" applyFill="1" applyBorder="1">
      <alignment vertical="center"/>
    </xf>
    <xf numFmtId="0" fontId="3" fillId="5" borderId="18" xfId="0" applyFont="1" applyFill="1" applyBorder="1" applyAlignment="1">
      <alignment vertical="center"/>
    </xf>
    <xf numFmtId="0" fontId="3" fillId="2" borderId="18" xfId="0" applyFont="1" applyFill="1" applyBorder="1" applyAlignment="1">
      <alignment vertical="center"/>
    </xf>
    <xf numFmtId="0" fontId="3" fillId="2" borderId="18" xfId="0" applyFont="1" applyFill="1" applyBorder="1">
      <alignment vertical="center"/>
    </xf>
    <xf numFmtId="0" fontId="3" fillId="5" borderId="6" xfId="0" applyFont="1" applyFill="1" applyBorder="1" applyAlignment="1">
      <alignment vertical="center"/>
    </xf>
    <xf numFmtId="0" fontId="3" fillId="2" borderId="6" xfId="0" applyFont="1" applyFill="1" applyBorder="1" applyAlignment="1">
      <alignment vertical="center"/>
    </xf>
    <xf numFmtId="0" fontId="3" fillId="2" borderId="6" xfId="0" applyFont="1" applyFill="1" applyBorder="1">
      <alignment vertical="center"/>
    </xf>
    <xf numFmtId="0" fontId="3" fillId="5" borderId="3" xfId="0" applyFont="1" applyFill="1" applyBorder="1" applyAlignment="1">
      <alignment vertical="center"/>
    </xf>
    <xf numFmtId="0" fontId="3" fillId="2" borderId="3" xfId="0" applyFont="1" applyFill="1" applyBorder="1" applyAlignment="1">
      <alignment vertical="center"/>
    </xf>
    <xf numFmtId="0" fontId="3" fillId="2" borderId="3" xfId="0" applyFont="1" applyFill="1" applyBorder="1">
      <alignment vertical="center"/>
    </xf>
    <xf numFmtId="0" fontId="3" fillId="5" borderId="7" xfId="0" applyFont="1" applyFill="1" applyBorder="1" applyAlignment="1">
      <alignment vertical="center"/>
    </xf>
    <xf numFmtId="0" fontId="3" fillId="5" borderId="27" xfId="0" applyFont="1" applyFill="1" applyBorder="1" applyAlignment="1">
      <alignment vertical="center"/>
    </xf>
    <xf numFmtId="0" fontId="3" fillId="5" borderId="14" xfId="0" applyFont="1" applyFill="1" applyBorder="1" applyAlignment="1">
      <alignment vertical="center"/>
    </xf>
    <xf numFmtId="0" fontId="3" fillId="5" borderId="29" xfId="0" applyFont="1" applyFill="1" applyBorder="1" applyAlignment="1">
      <alignment vertical="center"/>
    </xf>
    <xf numFmtId="0" fontId="3" fillId="2" borderId="23" xfId="0" applyFont="1" applyFill="1" applyBorder="1">
      <alignment vertical="center"/>
    </xf>
    <xf numFmtId="0" fontId="3" fillId="5" borderId="30" xfId="0" applyFont="1" applyFill="1" applyBorder="1" applyAlignment="1">
      <alignment vertical="center"/>
    </xf>
    <xf numFmtId="0" fontId="3" fillId="0" borderId="6" xfId="0" applyFont="1" applyFill="1" applyBorder="1" applyAlignment="1">
      <alignment vertical="center"/>
    </xf>
    <xf numFmtId="0" fontId="3" fillId="0" borderId="3" xfId="0" applyFont="1" applyFill="1" applyBorder="1" applyAlignment="1">
      <alignment vertical="center"/>
    </xf>
    <xf numFmtId="0" fontId="3" fillId="0" borderId="3" xfId="0" applyFont="1" applyFill="1" applyBorder="1">
      <alignment vertical="center"/>
    </xf>
    <xf numFmtId="0" fontId="3" fillId="2" borderId="31" xfId="0" applyFont="1" applyFill="1" applyBorder="1">
      <alignment vertical="center"/>
    </xf>
    <xf numFmtId="0" fontId="3" fillId="5" borderId="32" xfId="0" applyFont="1" applyFill="1" applyBorder="1" applyAlignment="1">
      <alignment vertical="center"/>
    </xf>
    <xf numFmtId="0" fontId="3" fillId="5" borderId="21" xfId="0" applyFont="1" applyFill="1" applyBorder="1" applyAlignment="1">
      <alignment vertical="center"/>
    </xf>
    <xf numFmtId="0" fontId="3" fillId="5" borderId="4" xfId="0" applyFont="1" applyFill="1" applyBorder="1" applyAlignment="1">
      <alignment vertical="center"/>
    </xf>
    <xf numFmtId="0" fontId="3" fillId="5" borderId="26" xfId="0" applyFont="1" applyFill="1" applyBorder="1" applyAlignment="1">
      <alignment vertical="center"/>
    </xf>
    <xf numFmtId="0" fontId="0" fillId="0" borderId="0" xfId="0" applyAlignment="1">
      <alignment vertical="center"/>
    </xf>
    <xf numFmtId="0" fontId="0" fillId="0" borderId="0" xfId="0" quotePrefix="1" applyAlignment="1">
      <alignment vertical="center"/>
    </xf>
    <xf numFmtId="0" fontId="3" fillId="2" borderId="33" xfId="0" applyFont="1" applyFill="1" applyBorder="1">
      <alignment vertical="center"/>
    </xf>
    <xf numFmtId="0" fontId="0" fillId="0" borderId="16" xfId="0" applyBorder="1">
      <alignment vertical="center"/>
    </xf>
    <xf numFmtId="0" fontId="3" fillId="5" borderId="17" xfId="0" applyFont="1" applyFill="1" applyBorder="1" applyAlignment="1">
      <alignment horizontal="center" vertical="center"/>
    </xf>
    <xf numFmtId="0" fontId="3" fillId="2" borderId="25" xfId="0" applyFont="1" applyFill="1" applyBorder="1" applyAlignment="1">
      <alignment vertical="center"/>
    </xf>
    <xf numFmtId="0" fontId="3" fillId="2" borderId="14" xfId="0" applyFont="1" applyFill="1" applyBorder="1" applyAlignment="1">
      <alignment vertical="center"/>
    </xf>
    <xf numFmtId="0" fontId="3" fillId="5" borderId="34" xfId="0" applyFont="1" applyFill="1" applyBorder="1" applyAlignment="1">
      <alignment horizontal="center" vertical="center"/>
    </xf>
    <xf numFmtId="0" fontId="3" fillId="5" borderId="35" xfId="0" applyFont="1" applyFill="1" applyBorder="1" applyAlignment="1">
      <alignment horizontal="center" vertical="center"/>
    </xf>
    <xf numFmtId="0" fontId="0" fillId="0" borderId="1" xfId="0" applyBorder="1">
      <alignment vertical="center"/>
    </xf>
    <xf numFmtId="0" fontId="0" fillId="0" borderId="5" xfId="0" applyBorder="1" applyAlignment="1">
      <alignment vertical="center" wrapText="1"/>
    </xf>
    <xf numFmtId="0" fontId="3" fillId="2" borderId="36" xfId="0" applyFont="1" applyFill="1" applyBorder="1" applyAlignment="1">
      <alignment horizontal="center" vertical="center"/>
    </xf>
    <xf numFmtId="0" fontId="0" fillId="0" borderId="5" xfId="0" applyBorder="1">
      <alignment vertical="center"/>
    </xf>
    <xf numFmtId="0" fontId="3" fillId="2" borderId="37" xfId="0" applyFont="1" applyFill="1" applyBorder="1" applyAlignment="1">
      <alignment horizontal="center" vertical="center"/>
    </xf>
    <xf numFmtId="0" fontId="0" fillId="0" borderId="38" xfId="0" applyBorder="1">
      <alignment vertical="center"/>
    </xf>
    <xf numFmtId="0" fontId="0" fillId="0" borderId="39" xfId="0" applyBorder="1">
      <alignment vertical="center"/>
    </xf>
    <xf numFmtId="0" fontId="3" fillId="2" borderId="40" xfId="0" applyFont="1" applyFill="1" applyBorder="1" applyAlignment="1">
      <alignment horizontal="center" vertical="center"/>
    </xf>
    <xf numFmtId="0" fontId="6" fillId="0" borderId="0" xfId="0" applyFont="1" applyFill="1" applyBorder="1">
      <alignment vertical="center"/>
    </xf>
    <xf numFmtId="0" fontId="8" fillId="2" borderId="14" xfId="0" applyFont="1" applyFill="1" applyBorder="1">
      <alignment vertical="center"/>
    </xf>
    <xf numFmtId="0" fontId="3" fillId="2" borderId="55" xfId="0" applyFont="1" applyFill="1" applyBorder="1" applyAlignment="1">
      <alignment horizontal="left" vertical="center"/>
    </xf>
    <xf numFmtId="0" fontId="3" fillId="2" borderId="56" xfId="0" applyFont="1" applyFill="1" applyBorder="1">
      <alignment vertical="center"/>
    </xf>
    <xf numFmtId="0" fontId="3" fillId="2" borderId="57" xfId="0" applyFont="1" applyFill="1" applyBorder="1">
      <alignment vertical="center"/>
    </xf>
    <xf numFmtId="0" fontId="3" fillId="2" borderId="58" xfId="0" applyFont="1" applyFill="1" applyBorder="1">
      <alignment vertical="center"/>
    </xf>
    <xf numFmtId="0" fontId="3" fillId="2" borderId="58" xfId="0" quotePrefix="1" applyFont="1" applyFill="1" applyBorder="1">
      <alignment vertical="center"/>
    </xf>
    <xf numFmtId="0" fontId="3" fillId="2" borderId="59" xfId="0" applyFont="1" applyFill="1" applyBorder="1">
      <alignment vertical="center"/>
    </xf>
    <xf numFmtId="0" fontId="3" fillId="2" borderId="60" xfId="0" applyFont="1" applyFill="1" applyBorder="1">
      <alignment vertical="center"/>
    </xf>
    <xf numFmtId="0" fontId="3" fillId="2" borderId="61" xfId="0" applyFont="1" applyFill="1" applyBorder="1">
      <alignment vertical="center"/>
    </xf>
    <xf numFmtId="0" fontId="3" fillId="2" borderId="62" xfId="0" applyFont="1" applyFill="1" applyBorder="1">
      <alignment vertical="center"/>
    </xf>
    <xf numFmtId="0" fontId="3" fillId="2" borderId="62" xfId="0" quotePrefix="1" applyFont="1" applyFill="1" applyBorder="1">
      <alignment vertical="center"/>
    </xf>
    <xf numFmtId="0" fontId="3" fillId="2" borderId="63" xfId="0" applyFont="1" applyFill="1" applyBorder="1">
      <alignment vertical="center"/>
    </xf>
    <xf numFmtId="0" fontId="3" fillId="2" borderId="2" xfId="0" applyFont="1" applyFill="1" applyBorder="1">
      <alignment vertical="center"/>
    </xf>
    <xf numFmtId="0" fontId="3" fillId="2" borderId="2" xfId="0" quotePrefix="1" applyFont="1" applyFill="1" applyBorder="1">
      <alignment vertical="center"/>
    </xf>
    <xf numFmtId="0" fontId="3" fillId="2" borderId="64" xfId="0" applyFont="1" applyFill="1" applyBorder="1">
      <alignment vertical="center"/>
    </xf>
    <xf numFmtId="0" fontId="3" fillId="2" borderId="10" xfId="0" applyFont="1" applyFill="1" applyBorder="1">
      <alignment vertical="center"/>
    </xf>
    <xf numFmtId="0" fontId="3" fillId="2" borderId="65" xfId="0" applyFont="1" applyFill="1" applyBorder="1">
      <alignment vertical="center"/>
    </xf>
    <xf numFmtId="0" fontId="3" fillId="2" borderId="10" xfId="0" quotePrefix="1" applyFont="1" applyFill="1" applyBorder="1">
      <alignment vertical="center"/>
    </xf>
    <xf numFmtId="0" fontId="3" fillId="2" borderId="66" xfId="0" applyFont="1" applyFill="1" applyBorder="1">
      <alignment vertical="center"/>
    </xf>
    <xf numFmtId="0" fontId="10" fillId="2" borderId="2" xfId="0" applyFont="1" applyFill="1" applyBorder="1">
      <alignment vertical="center"/>
    </xf>
    <xf numFmtId="0" fontId="10" fillId="2" borderId="62" xfId="0" applyFont="1" applyFill="1" applyBorder="1">
      <alignment vertical="center"/>
    </xf>
    <xf numFmtId="0" fontId="9" fillId="2" borderId="0" xfId="0" applyFont="1" applyFill="1" applyBorder="1">
      <alignment vertical="center"/>
    </xf>
    <xf numFmtId="0" fontId="9" fillId="2" borderId="0" xfId="0" applyFont="1" applyFill="1" applyBorder="1" applyAlignment="1">
      <alignment horizontal="center" vertical="center"/>
    </xf>
    <xf numFmtId="0" fontId="9" fillId="2" borderId="62" xfId="0" applyFont="1" applyFill="1" applyBorder="1">
      <alignment vertical="center"/>
    </xf>
    <xf numFmtId="0" fontId="9" fillId="2" borderId="62" xfId="0" quotePrefix="1" applyFont="1" applyFill="1" applyBorder="1">
      <alignment vertical="center"/>
    </xf>
    <xf numFmtId="0" fontId="3" fillId="2" borderId="62" xfId="0" quotePrefix="1" applyFont="1" applyFill="1" applyBorder="1" applyAlignment="1">
      <alignment vertical="center"/>
    </xf>
    <xf numFmtId="0" fontId="3" fillId="2" borderId="67" xfId="0" applyFont="1" applyFill="1" applyBorder="1">
      <alignment vertical="center"/>
    </xf>
    <xf numFmtId="0" fontId="3" fillId="2" borderId="52" xfId="0" applyFont="1" applyFill="1" applyBorder="1">
      <alignment vertical="center"/>
    </xf>
    <xf numFmtId="0" fontId="3" fillId="2" borderId="53" xfId="0" applyFont="1" applyFill="1" applyBorder="1">
      <alignment vertical="center"/>
    </xf>
    <xf numFmtId="0" fontId="3" fillId="2" borderId="51" xfId="0" applyFont="1" applyFill="1" applyBorder="1">
      <alignment vertical="center"/>
    </xf>
    <xf numFmtId="0" fontId="3" fillId="2" borderId="68" xfId="0" applyFont="1" applyFill="1" applyBorder="1">
      <alignment vertical="center"/>
    </xf>
    <xf numFmtId="0" fontId="9" fillId="2" borderId="0" xfId="0" applyFont="1" applyFill="1">
      <alignment vertical="center"/>
    </xf>
    <xf numFmtId="0" fontId="3" fillId="2" borderId="43" xfId="0" applyFont="1" applyFill="1" applyBorder="1">
      <alignment vertical="center"/>
    </xf>
    <xf numFmtId="0" fontId="3" fillId="2" borderId="44" xfId="0" applyFont="1" applyFill="1" applyBorder="1">
      <alignment vertical="center"/>
    </xf>
    <xf numFmtId="0" fontId="3" fillId="2" borderId="45" xfId="0" applyFont="1" applyFill="1" applyBorder="1">
      <alignment vertical="center"/>
    </xf>
    <xf numFmtId="0" fontId="3" fillId="2" borderId="60" xfId="0" applyFont="1" applyFill="1" applyBorder="1" applyAlignment="1">
      <alignment horizontal="left" vertical="center"/>
    </xf>
    <xf numFmtId="0" fontId="3" fillId="2" borderId="5" xfId="0" applyFont="1" applyFill="1" applyBorder="1">
      <alignment vertical="center"/>
    </xf>
    <xf numFmtId="0" fontId="3" fillId="2" borderId="7" xfId="0" applyFont="1" applyFill="1" applyBorder="1">
      <alignment vertical="center"/>
    </xf>
    <xf numFmtId="0" fontId="9" fillId="2" borderId="43" xfId="0" applyFont="1" applyFill="1" applyBorder="1">
      <alignment vertical="center"/>
    </xf>
    <xf numFmtId="0" fontId="3" fillId="2" borderId="8" xfId="0" applyFont="1" applyFill="1" applyBorder="1">
      <alignment vertical="center"/>
    </xf>
    <xf numFmtId="0" fontId="3" fillId="2" borderId="4" xfId="0" applyFont="1" applyFill="1" applyBorder="1">
      <alignment vertical="center"/>
    </xf>
    <xf numFmtId="0" fontId="3" fillId="2" borderId="69" xfId="0" applyFont="1" applyFill="1" applyBorder="1">
      <alignment vertical="center"/>
    </xf>
    <xf numFmtId="0" fontId="3" fillId="2" borderId="70" xfId="0" applyFont="1" applyFill="1" applyBorder="1">
      <alignment vertical="center"/>
    </xf>
    <xf numFmtId="0" fontId="3" fillId="2" borderId="69" xfId="0" quotePrefix="1" applyFont="1" applyFill="1" applyBorder="1">
      <alignment vertical="center"/>
    </xf>
    <xf numFmtId="0" fontId="3" fillId="2" borderId="71" xfId="0" applyFont="1" applyFill="1" applyBorder="1">
      <alignment vertical="center"/>
    </xf>
    <xf numFmtId="0" fontId="3" fillId="2" borderId="6" xfId="0" quotePrefix="1"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5"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1"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3" fillId="0" borderId="5" xfId="0" applyFont="1" applyFill="1" applyBorder="1" applyAlignment="1">
      <alignment horizontal="left" vertical="center"/>
    </xf>
    <xf numFmtId="0" fontId="3" fillId="0" borderId="6" xfId="0" applyFont="1" applyFill="1" applyBorder="1" applyAlignment="1">
      <alignment horizontal="left" vertical="center"/>
    </xf>
    <xf numFmtId="0" fontId="3" fillId="0" borderId="7" xfId="0" applyFont="1" applyFill="1" applyBorder="1" applyAlignment="1">
      <alignment horizontal="left" vertical="center"/>
    </xf>
    <xf numFmtId="3" fontId="3" fillId="2" borderId="5" xfId="0" applyNumberFormat="1" applyFont="1" applyFill="1" applyBorder="1" applyAlignment="1">
      <alignment horizontal="center" vertical="center"/>
    </xf>
    <xf numFmtId="0" fontId="3" fillId="2" borderId="23"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0" borderId="2" xfId="0" applyFont="1" applyFill="1" applyBorder="1" applyAlignment="1">
      <alignment horizontal="left" vertical="center"/>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31" xfId="0" applyFont="1" applyFill="1" applyBorder="1" applyAlignment="1">
      <alignment horizontal="left" vertical="center"/>
    </xf>
    <xf numFmtId="0" fontId="3" fillId="5" borderId="17"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3" fillId="2" borderId="51" xfId="0" applyFont="1" applyFill="1" applyBorder="1" applyAlignment="1">
      <alignment horizontal="center" vertical="center" shrinkToFit="1"/>
    </xf>
    <xf numFmtId="0" fontId="3" fillId="2" borderId="52" xfId="0" applyFont="1" applyFill="1" applyBorder="1" applyAlignment="1">
      <alignment horizontal="center" vertical="center" shrinkToFit="1"/>
    </xf>
    <xf numFmtId="0" fontId="3" fillId="2" borderId="53" xfId="0" applyFont="1" applyFill="1" applyBorder="1" applyAlignment="1">
      <alignment horizontal="center" vertical="center" shrinkToFit="1"/>
    </xf>
    <xf numFmtId="0" fontId="3" fillId="3" borderId="41" xfId="0" applyFont="1" applyFill="1" applyBorder="1" applyAlignment="1">
      <alignment horizontal="center" vertical="center"/>
    </xf>
    <xf numFmtId="0" fontId="3" fillId="3" borderId="42" xfId="0" applyFont="1" applyFill="1" applyBorder="1" applyAlignment="1">
      <alignment horizontal="center" vertical="center"/>
    </xf>
    <xf numFmtId="0" fontId="3" fillId="3" borderId="43" xfId="0" applyFont="1" applyFill="1" applyBorder="1" applyAlignment="1">
      <alignment horizontal="center" vertical="center"/>
    </xf>
    <xf numFmtId="0" fontId="3" fillId="3" borderId="44" xfId="0" applyFont="1" applyFill="1" applyBorder="1" applyAlignment="1">
      <alignment horizontal="center" vertical="center"/>
    </xf>
    <xf numFmtId="0" fontId="3" fillId="3" borderId="45" xfId="0" applyFont="1" applyFill="1" applyBorder="1" applyAlignment="1">
      <alignment horizontal="center" vertical="center"/>
    </xf>
    <xf numFmtId="0" fontId="3" fillId="2" borderId="47" xfId="0" applyFont="1" applyFill="1" applyBorder="1" applyAlignment="1">
      <alignment horizontal="center" vertical="center" shrinkToFit="1"/>
    </xf>
    <xf numFmtId="0" fontId="3" fillId="2" borderId="49" xfId="0" applyFont="1" applyFill="1" applyBorder="1" applyAlignment="1">
      <alignment horizontal="center" vertical="center" shrinkToFit="1"/>
    </xf>
    <xf numFmtId="0" fontId="3" fillId="2" borderId="50" xfId="0" applyFont="1" applyFill="1" applyBorder="1" applyAlignment="1">
      <alignment horizontal="center" vertical="center" shrinkToFit="1"/>
    </xf>
    <xf numFmtId="14" fontId="3" fillId="2" borderId="50" xfId="0" applyNumberFormat="1" applyFont="1" applyFill="1" applyBorder="1" applyAlignment="1">
      <alignment horizontal="center" vertical="center" shrinkToFit="1"/>
    </xf>
    <xf numFmtId="0" fontId="3" fillId="2" borderId="48" xfId="0" applyFont="1" applyFill="1" applyBorder="1" applyAlignment="1">
      <alignment horizontal="center" vertical="center" shrinkToFit="1"/>
    </xf>
    <xf numFmtId="0" fontId="3" fillId="2" borderId="54" xfId="0" applyFont="1" applyFill="1" applyBorder="1" applyAlignment="1">
      <alignment horizontal="center" vertical="center" shrinkToFit="1"/>
    </xf>
    <xf numFmtId="0" fontId="3" fillId="3" borderId="46" xfId="0" applyFont="1" applyFill="1" applyBorder="1" applyAlignment="1">
      <alignment horizontal="center" vertical="center"/>
    </xf>
  </cellXfs>
  <cellStyles count="2">
    <cellStyle name="標準" xfId="0" builtinId="0"/>
    <cellStyle name="標準 2 2" xfId="1"/>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254214</xdr:colOff>
      <xdr:row>12</xdr:row>
      <xdr:rowOff>124225</xdr:rowOff>
    </xdr:from>
    <xdr:to>
      <xdr:col>5</xdr:col>
      <xdr:colOff>33937</xdr:colOff>
      <xdr:row>13</xdr:row>
      <xdr:rowOff>195304</xdr:rowOff>
    </xdr:to>
    <xdr:sp macro="" textlink="">
      <xdr:nvSpPr>
        <xdr:cNvPr id="12" name="正方形/長方形 11"/>
        <xdr:cNvSpPr/>
      </xdr:nvSpPr>
      <xdr:spPr>
        <a:xfrm>
          <a:off x="907357" y="2758568"/>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217714</xdr:colOff>
      <xdr:row>12</xdr:row>
      <xdr:rowOff>130627</xdr:rowOff>
    </xdr:from>
    <xdr:to>
      <xdr:col>8</xdr:col>
      <xdr:colOff>280465</xdr:colOff>
      <xdr:row>13</xdr:row>
      <xdr:rowOff>201706</xdr:rowOff>
    </xdr:to>
    <xdr:sp macro="" textlink="">
      <xdr:nvSpPr>
        <xdr:cNvPr id="37" name="正方形/長方形 36"/>
        <xdr:cNvSpPr/>
      </xdr:nvSpPr>
      <xdr:spPr>
        <a:xfrm>
          <a:off x="2002971" y="276497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10</xdr:col>
      <xdr:colOff>185057</xdr:colOff>
      <xdr:row>12</xdr:row>
      <xdr:rowOff>152400</xdr:rowOff>
    </xdr:from>
    <xdr:to>
      <xdr:col>11</xdr:col>
      <xdr:colOff>247809</xdr:colOff>
      <xdr:row>13</xdr:row>
      <xdr:rowOff>223479</xdr:rowOff>
    </xdr:to>
    <xdr:sp macro="" textlink="">
      <xdr:nvSpPr>
        <xdr:cNvPr id="38" name="正方形/長方形 37"/>
        <xdr:cNvSpPr/>
      </xdr:nvSpPr>
      <xdr:spPr>
        <a:xfrm>
          <a:off x="2819400" y="2786743"/>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87086</xdr:colOff>
      <xdr:row>12</xdr:row>
      <xdr:rowOff>152400</xdr:rowOff>
    </xdr:from>
    <xdr:to>
      <xdr:col>13</xdr:col>
      <xdr:colOff>149837</xdr:colOff>
      <xdr:row>13</xdr:row>
      <xdr:rowOff>223479</xdr:rowOff>
    </xdr:to>
    <xdr:sp macro="" textlink="">
      <xdr:nvSpPr>
        <xdr:cNvPr id="39" name="正方形/長方形 38"/>
        <xdr:cNvSpPr/>
      </xdr:nvSpPr>
      <xdr:spPr>
        <a:xfrm>
          <a:off x="3287486" y="2786743"/>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0</xdr:colOff>
      <xdr:row>12</xdr:row>
      <xdr:rowOff>141514</xdr:rowOff>
    </xdr:from>
    <xdr:to>
      <xdr:col>17</xdr:col>
      <xdr:colOff>62751</xdr:colOff>
      <xdr:row>13</xdr:row>
      <xdr:rowOff>212593</xdr:rowOff>
    </xdr:to>
    <xdr:sp macro="" textlink="">
      <xdr:nvSpPr>
        <xdr:cNvPr id="40" name="正方形/長方形 39"/>
        <xdr:cNvSpPr/>
      </xdr:nvSpPr>
      <xdr:spPr>
        <a:xfrm>
          <a:off x="4332514" y="2775857"/>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20</xdr:col>
      <xdr:colOff>163285</xdr:colOff>
      <xdr:row>12</xdr:row>
      <xdr:rowOff>119743</xdr:rowOff>
    </xdr:from>
    <xdr:to>
      <xdr:col>21</xdr:col>
      <xdr:colOff>226037</xdr:colOff>
      <xdr:row>13</xdr:row>
      <xdr:rowOff>190822</xdr:rowOff>
    </xdr:to>
    <xdr:sp macro="" textlink="">
      <xdr:nvSpPr>
        <xdr:cNvPr id="41" name="正方形/長方形 40"/>
        <xdr:cNvSpPr/>
      </xdr:nvSpPr>
      <xdr:spPr>
        <a:xfrm>
          <a:off x="5627914" y="2754086"/>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185057</xdr:colOff>
      <xdr:row>12</xdr:row>
      <xdr:rowOff>119743</xdr:rowOff>
    </xdr:from>
    <xdr:to>
      <xdr:col>23</xdr:col>
      <xdr:colOff>247809</xdr:colOff>
      <xdr:row>13</xdr:row>
      <xdr:rowOff>190822</xdr:rowOff>
    </xdr:to>
    <xdr:sp macro="" textlink="">
      <xdr:nvSpPr>
        <xdr:cNvPr id="42" name="正方形/長方形 41"/>
        <xdr:cNvSpPr/>
      </xdr:nvSpPr>
      <xdr:spPr>
        <a:xfrm>
          <a:off x="6215743" y="2754086"/>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24</xdr:col>
      <xdr:colOff>54429</xdr:colOff>
      <xdr:row>12</xdr:row>
      <xdr:rowOff>130628</xdr:rowOff>
    </xdr:from>
    <xdr:to>
      <xdr:col>25</xdr:col>
      <xdr:colOff>117181</xdr:colOff>
      <xdr:row>13</xdr:row>
      <xdr:rowOff>201707</xdr:rowOff>
    </xdr:to>
    <xdr:sp macro="" textlink="">
      <xdr:nvSpPr>
        <xdr:cNvPr id="43" name="正方形/長方形 42"/>
        <xdr:cNvSpPr/>
      </xdr:nvSpPr>
      <xdr:spPr>
        <a:xfrm>
          <a:off x="6651172" y="2764971"/>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10886</xdr:colOff>
      <xdr:row>12</xdr:row>
      <xdr:rowOff>108857</xdr:rowOff>
    </xdr:from>
    <xdr:to>
      <xdr:col>27</xdr:col>
      <xdr:colOff>73637</xdr:colOff>
      <xdr:row>13</xdr:row>
      <xdr:rowOff>179936</xdr:rowOff>
    </xdr:to>
    <xdr:sp macro="" textlink="">
      <xdr:nvSpPr>
        <xdr:cNvPr id="44" name="正方形/長方形 43"/>
        <xdr:cNvSpPr/>
      </xdr:nvSpPr>
      <xdr:spPr>
        <a:xfrm>
          <a:off x="7173686" y="274320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119743</xdr:colOff>
      <xdr:row>12</xdr:row>
      <xdr:rowOff>119743</xdr:rowOff>
    </xdr:from>
    <xdr:to>
      <xdr:col>28</xdr:col>
      <xdr:colOff>182495</xdr:colOff>
      <xdr:row>13</xdr:row>
      <xdr:rowOff>190822</xdr:rowOff>
    </xdr:to>
    <xdr:sp macro="" textlink="">
      <xdr:nvSpPr>
        <xdr:cNvPr id="45" name="正方形/長方形 44"/>
        <xdr:cNvSpPr/>
      </xdr:nvSpPr>
      <xdr:spPr>
        <a:xfrm>
          <a:off x="7565572" y="2754086"/>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54429</xdr:colOff>
      <xdr:row>12</xdr:row>
      <xdr:rowOff>119743</xdr:rowOff>
    </xdr:from>
    <xdr:to>
      <xdr:col>31</xdr:col>
      <xdr:colOff>117180</xdr:colOff>
      <xdr:row>13</xdr:row>
      <xdr:rowOff>190822</xdr:rowOff>
    </xdr:to>
    <xdr:sp macro="" textlink="">
      <xdr:nvSpPr>
        <xdr:cNvPr id="46" name="正方形/長方形 45"/>
        <xdr:cNvSpPr/>
      </xdr:nvSpPr>
      <xdr:spPr>
        <a:xfrm>
          <a:off x="8349343" y="2754086"/>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32</xdr:col>
      <xdr:colOff>261257</xdr:colOff>
      <xdr:row>12</xdr:row>
      <xdr:rowOff>108858</xdr:rowOff>
    </xdr:from>
    <xdr:to>
      <xdr:col>34</xdr:col>
      <xdr:colOff>40979</xdr:colOff>
      <xdr:row>13</xdr:row>
      <xdr:rowOff>179937</xdr:rowOff>
    </xdr:to>
    <xdr:sp macro="" textlink="">
      <xdr:nvSpPr>
        <xdr:cNvPr id="47" name="正方形/長方形 46"/>
        <xdr:cNvSpPr/>
      </xdr:nvSpPr>
      <xdr:spPr>
        <a:xfrm>
          <a:off x="9122228" y="2743201"/>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33</xdr:col>
      <xdr:colOff>250371</xdr:colOff>
      <xdr:row>12</xdr:row>
      <xdr:rowOff>108857</xdr:rowOff>
    </xdr:from>
    <xdr:to>
      <xdr:col>35</xdr:col>
      <xdr:colOff>30094</xdr:colOff>
      <xdr:row>13</xdr:row>
      <xdr:rowOff>179936</xdr:rowOff>
    </xdr:to>
    <xdr:sp macro="" textlink="">
      <xdr:nvSpPr>
        <xdr:cNvPr id="48" name="正方形/長方形 47"/>
        <xdr:cNvSpPr/>
      </xdr:nvSpPr>
      <xdr:spPr>
        <a:xfrm>
          <a:off x="9394371" y="274320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34</xdr:col>
      <xdr:colOff>239485</xdr:colOff>
      <xdr:row>12</xdr:row>
      <xdr:rowOff>97971</xdr:rowOff>
    </xdr:from>
    <xdr:to>
      <xdr:col>36</xdr:col>
      <xdr:colOff>19208</xdr:colOff>
      <xdr:row>13</xdr:row>
      <xdr:rowOff>169050</xdr:rowOff>
    </xdr:to>
    <xdr:sp macro="" textlink="">
      <xdr:nvSpPr>
        <xdr:cNvPr id="49" name="正方形/長方形 48"/>
        <xdr:cNvSpPr/>
      </xdr:nvSpPr>
      <xdr:spPr>
        <a:xfrm>
          <a:off x="9666514" y="2732314"/>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37</xdr:col>
      <xdr:colOff>152400</xdr:colOff>
      <xdr:row>12</xdr:row>
      <xdr:rowOff>119743</xdr:rowOff>
    </xdr:from>
    <xdr:to>
      <xdr:col>38</xdr:col>
      <xdr:colOff>215151</xdr:colOff>
      <xdr:row>13</xdr:row>
      <xdr:rowOff>190822</xdr:rowOff>
    </xdr:to>
    <xdr:sp macro="" textlink="">
      <xdr:nvSpPr>
        <xdr:cNvPr id="50" name="正方形/長方形 49"/>
        <xdr:cNvSpPr/>
      </xdr:nvSpPr>
      <xdr:spPr>
        <a:xfrm>
          <a:off x="10428514" y="2754086"/>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39</xdr:col>
      <xdr:colOff>163287</xdr:colOff>
      <xdr:row>12</xdr:row>
      <xdr:rowOff>97971</xdr:rowOff>
    </xdr:from>
    <xdr:to>
      <xdr:col>40</xdr:col>
      <xdr:colOff>226038</xdr:colOff>
      <xdr:row>13</xdr:row>
      <xdr:rowOff>169050</xdr:rowOff>
    </xdr:to>
    <xdr:sp macro="" textlink="">
      <xdr:nvSpPr>
        <xdr:cNvPr id="51" name="正方形/長方形 50"/>
        <xdr:cNvSpPr/>
      </xdr:nvSpPr>
      <xdr:spPr>
        <a:xfrm>
          <a:off x="11005458" y="2732314"/>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21771</xdr:colOff>
      <xdr:row>12</xdr:row>
      <xdr:rowOff>97971</xdr:rowOff>
    </xdr:from>
    <xdr:to>
      <xdr:col>42</xdr:col>
      <xdr:colOff>84523</xdr:colOff>
      <xdr:row>13</xdr:row>
      <xdr:rowOff>169050</xdr:rowOff>
    </xdr:to>
    <xdr:sp macro="" textlink="">
      <xdr:nvSpPr>
        <xdr:cNvPr id="52" name="正方形/長方形 51"/>
        <xdr:cNvSpPr/>
      </xdr:nvSpPr>
      <xdr:spPr>
        <a:xfrm>
          <a:off x="11430000" y="2732314"/>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250371</xdr:colOff>
      <xdr:row>12</xdr:row>
      <xdr:rowOff>108857</xdr:rowOff>
    </xdr:from>
    <xdr:to>
      <xdr:col>44</xdr:col>
      <xdr:colOff>30094</xdr:colOff>
      <xdr:row>13</xdr:row>
      <xdr:rowOff>179936</xdr:rowOff>
    </xdr:to>
    <xdr:sp macro="" textlink="">
      <xdr:nvSpPr>
        <xdr:cNvPr id="53" name="正方形/長方形 52"/>
        <xdr:cNvSpPr/>
      </xdr:nvSpPr>
      <xdr:spPr>
        <a:xfrm>
          <a:off x="11941628" y="274320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44</xdr:col>
      <xdr:colOff>65314</xdr:colOff>
      <xdr:row>12</xdr:row>
      <xdr:rowOff>108857</xdr:rowOff>
    </xdr:from>
    <xdr:to>
      <xdr:col>45</xdr:col>
      <xdr:colOff>128065</xdr:colOff>
      <xdr:row>13</xdr:row>
      <xdr:rowOff>179936</xdr:rowOff>
    </xdr:to>
    <xdr:sp macro="" textlink="">
      <xdr:nvSpPr>
        <xdr:cNvPr id="54" name="正方形/長方形 53"/>
        <xdr:cNvSpPr/>
      </xdr:nvSpPr>
      <xdr:spPr>
        <a:xfrm>
          <a:off x="12322628" y="274320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45</xdr:col>
      <xdr:colOff>43542</xdr:colOff>
      <xdr:row>12</xdr:row>
      <xdr:rowOff>108857</xdr:rowOff>
    </xdr:from>
    <xdr:to>
      <xdr:col>46</xdr:col>
      <xdr:colOff>106294</xdr:colOff>
      <xdr:row>13</xdr:row>
      <xdr:rowOff>179936</xdr:rowOff>
    </xdr:to>
    <xdr:sp macro="" textlink="">
      <xdr:nvSpPr>
        <xdr:cNvPr id="55" name="正方形/長方形 54"/>
        <xdr:cNvSpPr/>
      </xdr:nvSpPr>
      <xdr:spPr>
        <a:xfrm>
          <a:off x="12583885" y="274320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46</xdr:col>
      <xdr:colOff>10886</xdr:colOff>
      <xdr:row>12</xdr:row>
      <xdr:rowOff>108856</xdr:rowOff>
    </xdr:from>
    <xdr:to>
      <xdr:col>47</xdr:col>
      <xdr:colOff>73637</xdr:colOff>
      <xdr:row>13</xdr:row>
      <xdr:rowOff>179935</xdr:rowOff>
    </xdr:to>
    <xdr:sp macro="" textlink="">
      <xdr:nvSpPr>
        <xdr:cNvPr id="56" name="正方形/長方形 55"/>
        <xdr:cNvSpPr/>
      </xdr:nvSpPr>
      <xdr:spPr>
        <a:xfrm>
          <a:off x="12834257" y="2743199"/>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47</xdr:col>
      <xdr:colOff>0</xdr:colOff>
      <xdr:row>12</xdr:row>
      <xdr:rowOff>108857</xdr:rowOff>
    </xdr:from>
    <xdr:to>
      <xdr:col>48</xdr:col>
      <xdr:colOff>62751</xdr:colOff>
      <xdr:row>13</xdr:row>
      <xdr:rowOff>179936</xdr:rowOff>
    </xdr:to>
    <xdr:sp macro="" textlink="">
      <xdr:nvSpPr>
        <xdr:cNvPr id="57" name="正方形/長方形 56"/>
        <xdr:cNvSpPr/>
      </xdr:nvSpPr>
      <xdr:spPr>
        <a:xfrm>
          <a:off x="13106400" y="274320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47</xdr:col>
      <xdr:colOff>261257</xdr:colOff>
      <xdr:row>12</xdr:row>
      <xdr:rowOff>108857</xdr:rowOff>
    </xdr:from>
    <xdr:to>
      <xdr:col>49</xdr:col>
      <xdr:colOff>40980</xdr:colOff>
      <xdr:row>13</xdr:row>
      <xdr:rowOff>179936</xdr:rowOff>
    </xdr:to>
    <xdr:sp macro="" textlink="">
      <xdr:nvSpPr>
        <xdr:cNvPr id="58" name="正方形/長方形 57"/>
        <xdr:cNvSpPr/>
      </xdr:nvSpPr>
      <xdr:spPr>
        <a:xfrm>
          <a:off x="13367657" y="274320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51</xdr:col>
      <xdr:colOff>206829</xdr:colOff>
      <xdr:row>12</xdr:row>
      <xdr:rowOff>130629</xdr:rowOff>
    </xdr:from>
    <xdr:to>
      <xdr:col>52</xdr:col>
      <xdr:colOff>269580</xdr:colOff>
      <xdr:row>13</xdr:row>
      <xdr:rowOff>201708</xdr:rowOff>
    </xdr:to>
    <xdr:sp macro="" textlink="">
      <xdr:nvSpPr>
        <xdr:cNvPr id="59" name="正方形/長方形 58"/>
        <xdr:cNvSpPr/>
      </xdr:nvSpPr>
      <xdr:spPr>
        <a:xfrm>
          <a:off x="14445343" y="2764972"/>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55</xdr:col>
      <xdr:colOff>261256</xdr:colOff>
      <xdr:row>12</xdr:row>
      <xdr:rowOff>152400</xdr:rowOff>
    </xdr:from>
    <xdr:to>
      <xdr:col>57</xdr:col>
      <xdr:colOff>40979</xdr:colOff>
      <xdr:row>13</xdr:row>
      <xdr:rowOff>223479</xdr:rowOff>
    </xdr:to>
    <xdr:sp macro="" textlink="">
      <xdr:nvSpPr>
        <xdr:cNvPr id="60" name="正方形/長方形 59"/>
        <xdr:cNvSpPr/>
      </xdr:nvSpPr>
      <xdr:spPr>
        <a:xfrm>
          <a:off x="15631885" y="2786743"/>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57</xdr:col>
      <xdr:colOff>119743</xdr:colOff>
      <xdr:row>12</xdr:row>
      <xdr:rowOff>108857</xdr:rowOff>
    </xdr:from>
    <xdr:to>
      <xdr:col>58</xdr:col>
      <xdr:colOff>182495</xdr:colOff>
      <xdr:row>13</xdr:row>
      <xdr:rowOff>179936</xdr:rowOff>
    </xdr:to>
    <xdr:sp macro="" textlink="">
      <xdr:nvSpPr>
        <xdr:cNvPr id="61" name="正方形/長方形 60"/>
        <xdr:cNvSpPr/>
      </xdr:nvSpPr>
      <xdr:spPr>
        <a:xfrm>
          <a:off x="16056429" y="2743200"/>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58</xdr:col>
      <xdr:colOff>119743</xdr:colOff>
      <xdr:row>12</xdr:row>
      <xdr:rowOff>108858</xdr:rowOff>
    </xdr:from>
    <xdr:to>
      <xdr:col>59</xdr:col>
      <xdr:colOff>182494</xdr:colOff>
      <xdr:row>13</xdr:row>
      <xdr:rowOff>179937</xdr:rowOff>
    </xdr:to>
    <xdr:sp macro="" textlink="">
      <xdr:nvSpPr>
        <xdr:cNvPr id="62" name="正方形/長方形 61"/>
        <xdr:cNvSpPr/>
      </xdr:nvSpPr>
      <xdr:spPr>
        <a:xfrm>
          <a:off x="16339457" y="2743201"/>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59</xdr:col>
      <xdr:colOff>97971</xdr:colOff>
      <xdr:row>12</xdr:row>
      <xdr:rowOff>119743</xdr:rowOff>
    </xdr:from>
    <xdr:to>
      <xdr:col>60</xdr:col>
      <xdr:colOff>160723</xdr:colOff>
      <xdr:row>13</xdr:row>
      <xdr:rowOff>190822</xdr:rowOff>
    </xdr:to>
    <xdr:sp macro="" textlink="">
      <xdr:nvSpPr>
        <xdr:cNvPr id="63" name="正方形/長方形 62"/>
        <xdr:cNvSpPr/>
      </xdr:nvSpPr>
      <xdr:spPr>
        <a:xfrm>
          <a:off x="16600714" y="2754086"/>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60</xdr:col>
      <xdr:colOff>174171</xdr:colOff>
      <xdr:row>12</xdr:row>
      <xdr:rowOff>130629</xdr:rowOff>
    </xdr:from>
    <xdr:to>
      <xdr:col>61</xdr:col>
      <xdr:colOff>236922</xdr:colOff>
      <xdr:row>13</xdr:row>
      <xdr:rowOff>201708</xdr:rowOff>
    </xdr:to>
    <xdr:sp macro="" textlink="">
      <xdr:nvSpPr>
        <xdr:cNvPr id="64" name="正方形/長方形 63"/>
        <xdr:cNvSpPr/>
      </xdr:nvSpPr>
      <xdr:spPr>
        <a:xfrm>
          <a:off x="16959942" y="2764972"/>
          <a:ext cx="345780" cy="32145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2</xdr:col>
      <xdr:colOff>195942</xdr:colOff>
      <xdr:row>11</xdr:row>
      <xdr:rowOff>141515</xdr:rowOff>
    </xdr:from>
    <xdr:to>
      <xdr:col>62</xdr:col>
      <xdr:colOff>260415</xdr:colOff>
      <xdr:row>16</xdr:row>
      <xdr:rowOff>10886</xdr:rowOff>
    </xdr:to>
    <xdr:pic>
      <xdr:nvPicPr>
        <xdr:cNvPr id="4" name="図 3"/>
        <xdr:cNvPicPr>
          <a:picLocks noChangeAspect="1"/>
        </xdr:cNvPicPr>
      </xdr:nvPicPr>
      <xdr:blipFill>
        <a:blip xmlns:r="http://schemas.openxmlformats.org/officeDocument/2006/relationships" r:embed="rId1"/>
        <a:stretch>
          <a:fillRect/>
        </a:stretch>
      </xdr:blipFill>
      <xdr:spPr>
        <a:xfrm>
          <a:off x="566056" y="2525486"/>
          <a:ext cx="17046188" cy="112122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N49"/>
  <sheetViews>
    <sheetView showGridLines="0"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spans="1:66" ht="20.100000000000001" customHeight="1" thickTop="1" x14ac:dyDescent="0.45">
      <c r="A2" s="8"/>
      <c r="B2" s="159" t="s">
        <v>0</v>
      </c>
      <c r="C2" s="142"/>
      <c r="D2" s="142"/>
      <c r="E2" s="142"/>
      <c r="F2" s="142"/>
      <c r="G2" s="142"/>
      <c r="H2" s="142" t="s">
        <v>17</v>
      </c>
      <c r="I2" s="142"/>
      <c r="J2" s="142"/>
      <c r="K2" s="142"/>
      <c r="L2" s="142" t="s">
        <v>279</v>
      </c>
      <c r="M2" s="142"/>
      <c r="N2" s="142"/>
      <c r="O2" s="142"/>
      <c r="P2" s="142"/>
      <c r="Q2" s="142"/>
      <c r="R2" s="142" t="s">
        <v>2</v>
      </c>
      <c r="S2" s="142"/>
      <c r="T2" s="142"/>
      <c r="U2" s="142"/>
      <c r="V2" s="142"/>
      <c r="W2" s="142"/>
      <c r="X2" s="154" t="s">
        <v>3</v>
      </c>
      <c r="Y2" s="155"/>
      <c r="Z2" s="155"/>
      <c r="AA2" s="155"/>
      <c r="AB2" s="155"/>
      <c r="AC2" s="155"/>
      <c r="AD2" s="155"/>
      <c r="AE2" s="155"/>
      <c r="AF2" s="155"/>
      <c r="AG2" s="155"/>
      <c r="AH2" s="155"/>
      <c r="AI2" s="155"/>
      <c r="AJ2" s="156"/>
      <c r="AK2" s="154" t="s">
        <v>31</v>
      </c>
      <c r="AL2" s="155"/>
      <c r="AM2" s="155"/>
      <c r="AN2" s="155"/>
      <c r="AO2" s="155"/>
      <c r="AP2" s="155"/>
      <c r="AQ2" s="155"/>
      <c r="AR2" s="155"/>
      <c r="AS2" s="155"/>
      <c r="AT2" s="155"/>
      <c r="AU2" s="155"/>
      <c r="AV2" s="155"/>
      <c r="AW2" s="156"/>
      <c r="AX2" s="142" t="s">
        <v>5</v>
      </c>
      <c r="AY2" s="142"/>
      <c r="AZ2" s="142"/>
      <c r="BA2" s="142"/>
      <c r="BB2" s="142" t="s">
        <v>4</v>
      </c>
      <c r="BC2" s="142"/>
      <c r="BD2" s="142"/>
      <c r="BE2" s="142"/>
      <c r="BF2" s="142" t="s">
        <v>6</v>
      </c>
      <c r="BG2" s="142"/>
      <c r="BH2" s="142"/>
      <c r="BI2" s="142"/>
      <c r="BJ2" s="142" t="s">
        <v>7</v>
      </c>
      <c r="BK2" s="142"/>
      <c r="BL2" s="142"/>
      <c r="BM2" s="143"/>
      <c r="BN2" s="14"/>
    </row>
    <row r="3" spans="1:66" ht="20.100000000000001" customHeight="1" x14ac:dyDescent="0.45">
      <c r="A3" s="8"/>
      <c r="B3" s="157" t="s">
        <v>277</v>
      </c>
      <c r="C3" s="145"/>
      <c r="D3" s="145"/>
      <c r="E3" s="145"/>
      <c r="F3" s="145"/>
      <c r="G3" s="145"/>
      <c r="H3" s="145" t="str">
        <f ca="1">LEFT($X$3,FIND("_",$X$3)-1)</f>
        <v>SU1500</v>
      </c>
      <c r="I3" s="145"/>
      <c r="J3" s="145"/>
      <c r="K3" s="145"/>
      <c r="L3" s="145" t="s">
        <v>278</v>
      </c>
      <c r="M3" s="145"/>
      <c r="N3" s="145"/>
      <c r="O3" s="145"/>
      <c r="P3" s="145"/>
      <c r="Q3" s="145"/>
      <c r="R3" s="158" t="str">
        <f ca="1">MID($X$3,FIND("_",$X$3,FIND("_",$X$3)+1)+1,LEN($X$3)-FIND("_",$X$3,FIND("_",$X$3)+1))</f>
        <v>帳票設計書</v>
      </c>
      <c r="S3" s="145"/>
      <c r="T3" s="145"/>
      <c r="U3" s="145"/>
      <c r="V3" s="145"/>
      <c r="W3" s="145"/>
      <c r="X3" s="148" t="str">
        <f ca="1">REPLACE(LEFT(CELL("filename",$B$2),FIND(".x",CELL("filename",$B$2))-1),1,FIND("[",CELL("filename",$B$2)),)</f>
        <v>SU1500_売掛金集計表(仕分出力)_帳票設計書</v>
      </c>
      <c r="Y3" s="149"/>
      <c r="Z3" s="149"/>
      <c r="AA3" s="149"/>
      <c r="AB3" s="149"/>
      <c r="AC3" s="149"/>
      <c r="AD3" s="149"/>
      <c r="AE3" s="149"/>
      <c r="AF3" s="149"/>
      <c r="AG3" s="149"/>
      <c r="AH3" s="149"/>
      <c r="AI3" s="149"/>
      <c r="AJ3" s="150"/>
      <c r="AK3" s="148" t="str">
        <f ca="1">MID($X$3,FIND("_",$X$3)+1,FIND("_",$X$3,FIND("_",$X$3)+1)-FIND("_",$X$3)-1)</f>
        <v>売掛金集計表(仕分出力)</v>
      </c>
      <c r="AL3" s="149"/>
      <c r="AM3" s="149"/>
      <c r="AN3" s="149"/>
      <c r="AO3" s="149"/>
      <c r="AP3" s="149"/>
      <c r="AQ3" s="149"/>
      <c r="AR3" s="149"/>
      <c r="AS3" s="149"/>
      <c r="AT3" s="149"/>
      <c r="AU3" s="149"/>
      <c r="AV3" s="149"/>
      <c r="AW3" s="150"/>
      <c r="AX3" s="144">
        <v>45538</v>
      </c>
      <c r="AY3" s="145"/>
      <c r="AZ3" s="145"/>
      <c r="BA3" s="145"/>
      <c r="BB3" s="145" t="s">
        <v>280</v>
      </c>
      <c r="BC3" s="145"/>
      <c r="BD3" s="145"/>
      <c r="BE3" s="145"/>
      <c r="BF3" s="144">
        <v>45538</v>
      </c>
      <c r="BG3" s="145"/>
      <c r="BH3" s="145"/>
      <c r="BI3" s="145"/>
      <c r="BJ3" s="145" t="s">
        <v>280</v>
      </c>
      <c r="BK3" s="145"/>
      <c r="BL3" s="145"/>
      <c r="BM3" s="147"/>
      <c r="BN3" s="14"/>
    </row>
    <row r="4" spans="1:66" ht="20.100000000000001" customHeight="1" thickBot="1" x14ac:dyDescent="0.5">
      <c r="A4" s="8"/>
      <c r="B4" s="150"/>
      <c r="C4" s="146"/>
      <c r="D4" s="146"/>
      <c r="E4" s="146"/>
      <c r="F4" s="146"/>
      <c r="G4" s="146"/>
      <c r="H4" s="146"/>
      <c r="I4" s="146"/>
      <c r="J4" s="146"/>
      <c r="K4" s="146"/>
      <c r="L4" s="146"/>
      <c r="M4" s="146"/>
      <c r="N4" s="146"/>
      <c r="O4" s="146"/>
      <c r="P4" s="146"/>
      <c r="Q4" s="146"/>
      <c r="R4" s="146"/>
      <c r="S4" s="146"/>
      <c r="T4" s="146"/>
      <c r="U4" s="146"/>
      <c r="V4" s="146"/>
      <c r="W4" s="146"/>
      <c r="X4" s="151"/>
      <c r="Y4" s="152"/>
      <c r="Z4" s="152"/>
      <c r="AA4" s="152"/>
      <c r="AB4" s="152"/>
      <c r="AC4" s="152"/>
      <c r="AD4" s="152"/>
      <c r="AE4" s="152"/>
      <c r="AF4" s="152"/>
      <c r="AG4" s="152"/>
      <c r="AH4" s="152"/>
      <c r="AI4" s="152"/>
      <c r="AJ4" s="153"/>
      <c r="AK4" s="151"/>
      <c r="AL4" s="152"/>
      <c r="AM4" s="152"/>
      <c r="AN4" s="152"/>
      <c r="AO4" s="152"/>
      <c r="AP4" s="152"/>
      <c r="AQ4" s="152"/>
      <c r="AR4" s="152"/>
      <c r="AS4" s="152"/>
      <c r="AT4" s="152"/>
      <c r="AU4" s="152"/>
      <c r="AV4" s="152"/>
      <c r="AW4" s="153"/>
      <c r="AX4" s="146"/>
      <c r="AY4" s="146"/>
      <c r="AZ4" s="146"/>
      <c r="BA4" s="146"/>
      <c r="BB4" s="146"/>
      <c r="BC4" s="146"/>
      <c r="BD4" s="146"/>
      <c r="BE4" s="146"/>
      <c r="BF4" s="146"/>
      <c r="BG4" s="146"/>
      <c r="BH4" s="146"/>
      <c r="BI4" s="146"/>
      <c r="BJ4" s="146"/>
      <c r="BK4" s="146"/>
      <c r="BL4" s="146"/>
      <c r="BM4" s="148"/>
      <c r="BN4" s="14"/>
    </row>
    <row r="5" spans="1:66" ht="5.25" customHeight="1" thickTop="1" thickBot="1" x14ac:dyDescent="0.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row>
    <row r="6" spans="1:66" ht="20.100000000000001" customHeight="1" thickTop="1" x14ac:dyDescent="0.45">
      <c r="A6" s="8"/>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14"/>
    </row>
    <row r="7" spans="1:66" ht="20.100000000000001" customHeight="1" x14ac:dyDescent="0.45">
      <c r="A7" s="8"/>
      <c r="B7" s="7"/>
      <c r="C7" s="17" t="s">
        <v>15</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4"/>
    </row>
    <row r="8" spans="1:66" ht="20.100000000000001" customHeight="1" x14ac:dyDescent="0.45">
      <c r="A8" s="8"/>
      <c r="B8" s="7"/>
      <c r="C8" s="141" t="s">
        <v>8</v>
      </c>
      <c r="D8" s="141"/>
      <c r="E8" s="141"/>
      <c r="F8" s="141"/>
      <c r="G8" s="141" t="s">
        <v>9</v>
      </c>
      <c r="H8" s="141"/>
      <c r="I8" s="141"/>
      <c r="J8" s="141"/>
      <c r="K8" s="141" t="s">
        <v>10</v>
      </c>
      <c r="L8" s="141"/>
      <c r="M8" s="141"/>
      <c r="N8" s="141"/>
      <c r="O8" s="141" t="s">
        <v>11</v>
      </c>
      <c r="P8" s="141"/>
      <c r="Q8" s="141"/>
      <c r="R8" s="141"/>
      <c r="S8" s="141"/>
      <c r="T8" s="141"/>
      <c r="U8" s="141"/>
      <c r="V8" s="141"/>
      <c r="W8" s="141"/>
      <c r="X8" s="141"/>
      <c r="Y8" s="141" t="s">
        <v>12</v>
      </c>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7"/>
      <c r="BN8" s="14"/>
    </row>
    <row r="9" spans="1:66" ht="20.100000000000001" customHeight="1" x14ac:dyDescent="0.45">
      <c r="A9" s="8"/>
      <c r="B9" s="7"/>
      <c r="C9" s="140">
        <v>45538</v>
      </c>
      <c r="D9" s="138"/>
      <c r="E9" s="138"/>
      <c r="F9" s="139"/>
      <c r="G9" s="134" t="s">
        <v>16</v>
      </c>
      <c r="H9" s="135"/>
      <c r="I9" s="135"/>
      <c r="J9" s="136"/>
      <c r="K9" s="137" t="s">
        <v>280</v>
      </c>
      <c r="L9" s="138"/>
      <c r="M9" s="138"/>
      <c r="N9" s="139"/>
      <c r="O9" s="3" t="s">
        <v>14</v>
      </c>
      <c r="P9" s="4"/>
      <c r="Q9" s="4"/>
      <c r="R9" s="4"/>
      <c r="S9" s="4"/>
      <c r="T9" s="4"/>
      <c r="U9" s="4"/>
      <c r="V9" s="4"/>
      <c r="W9" s="4"/>
      <c r="X9" s="2"/>
      <c r="Y9" s="3" t="s">
        <v>13</v>
      </c>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2"/>
      <c r="BM9" s="7"/>
      <c r="BN9" s="14"/>
    </row>
    <row r="10" spans="1:66" ht="20.100000000000001" customHeight="1" x14ac:dyDescent="0.45">
      <c r="A10" s="8"/>
      <c r="B10" s="7"/>
      <c r="C10" s="140"/>
      <c r="D10" s="138"/>
      <c r="E10" s="138"/>
      <c r="F10" s="139"/>
      <c r="G10" s="134"/>
      <c r="H10" s="135"/>
      <c r="I10" s="135"/>
      <c r="J10" s="136"/>
      <c r="K10" s="137"/>
      <c r="L10" s="138"/>
      <c r="M10" s="138"/>
      <c r="N10" s="139"/>
      <c r="O10" s="3"/>
      <c r="P10" s="4"/>
      <c r="Q10" s="4"/>
      <c r="R10" s="4"/>
      <c r="S10" s="4"/>
      <c r="T10" s="4"/>
      <c r="U10" s="4"/>
      <c r="V10" s="4"/>
      <c r="W10" s="4"/>
      <c r="X10" s="2"/>
      <c r="Y10" s="3"/>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2"/>
      <c r="BM10" s="7"/>
      <c r="BN10" s="14"/>
    </row>
    <row r="11" spans="1:66" ht="20.100000000000001" customHeight="1" x14ac:dyDescent="0.45">
      <c r="A11" s="8"/>
      <c r="B11" s="7"/>
      <c r="C11" s="140"/>
      <c r="D11" s="138"/>
      <c r="E11" s="138"/>
      <c r="F11" s="139"/>
      <c r="G11" s="134"/>
      <c r="H11" s="135"/>
      <c r="I11" s="135"/>
      <c r="J11" s="136"/>
      <c r="K11" s="137"/>
      <c r="L11" s="138"/>
      <c r="M11" s="138"/>
      <c r="N11" s="139"/>
      <c r="O11" s="3"/>
      <c r="P11" s="4"/>
      <c r="Q11" s="4"/>
      <c r="R11" s="4"/>
      <c r="S11" s="4"/>
      <c r="T11" s="4"/>
      <c r="U11" s="4"/>
      <c r="V11" s="4"/>
      <c r="W11" s="4"/>
      <c r="X11" s="2"/>
      <c r="Y11" s="3"/>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2"/>
      <c r="BM11" s="7"/>
      <c r="BN11" s="14"/>
    </row>
    <row r="12" spans="1:66" ht="20.100000000000001" customHeight="1" x14ac:dyDescent="0.45">
      <c r="A12" s="8"/>
      <c r="B12" s="7"/>
      <c r="C12" s="24"/>
      <c r="D12" s="22"/>
      <c r="E12" s="22"/>
      <c r="F12" s="23"/>
      <c r="G12" s="18"/>
      <c r="H12" s="19"/>
      <c r="I12" s="19"/>
      <c r="J12" s="20"/>
      <c r="K12" s="21"/>
      <c r="L12" s="22"/>
      <c r="M12" s="22"/>
      <c r="N12" s="23"/>
      <c r="O12" s="25"/>
      <c r="P12" s="4"/>
      <c r="Q12" s="4"/>
      <c r="R12" s="4"/>
      <c r="S12" s="4"/>
      <c r="T12" s="4"/>
      <c r="U12" s="4"/>
      <c r="V12" s="4"/>
      <c r="W12" s="4"/>
      <c r="X12" s="26"/>
      <c r="Y12" s="25"/>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26"/>
      <c r="BM12" s="7"/>
      <c r="BN12" s="14"/>
    </row>
    <row r="13" spans="1:66" ht="20.100000000000001" customHeight="1" x14ac:dyDescent="0.45">
      <c r="A13" s="8"/>
      <c r="B13" s="7"/>
      <c r="C13" s="24"/>
      <c r="D13" s="22"/>
      <c r="E13" s="22"/>
      <c r="F13" s="23"/>
      <c r="G13" s="18"/>
      <c r="H13" s="19"/>
      <c r="I13" s="19"/>
      <c r="J13" s="20"/>
      <c r="K13" s="21"/>
      <c r="L13" s="22"/>
      <c r="M13" s="22"/>
      <c r="N13" s="23"/>
      <c r="O13" s="25"/>
      <c r="P13" s="4"/>
      <c r="Q13" s="4"/>
      <c r="R13" s="4"/>
      <c r="S13" s="4"/>
      <c r="T13" s="4"/>
      <c r="U13" s="4"/>
      <c r="V13" s="4"/>
      <c r="W13" s="4"/>
      <c r="X13" s="26"/>
      <c r="Y13" s="25"/>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26"/>
      <c r="BM13" s="7"/>
      <c r="BN13" s="14"/>
    </row>
    <row r="14" spans="1:66" ht="20.100000000000001" customHeight="1" x14ac:dyDescent="0.45">
      <c r="A14" s="8"/>
      <c r="B14" s="7"/>
      <c r="C14" s="24"/>
      <c r="D14" s="22"/>
      <c r="E14" s="22"/>
      <c r="F14" s="23"/>
      <c r="G14" s="18"/>
      <c r="H14" s="19"/>
      <c r="I14" s="19"/>
      <c r="J14" s="20"/>
      <c r="K14" s="21"/>
      <c r="L14" s="22"/>
      <c r="M14" s="22"/>
      <c r="N14" s="23"/>
      <c r="O14" s="25"/>
      <c r="P14" s="4"/>
      <c r="Q14" s="4"/>
      <c r="R14" s="4"/>
      <c r="S14" s="4"/>
      <c r="T14" s="4"/>
      <c r="U14" s="4"/>
      <c r="V14" s="4"/>
      <c r="W14" s="4"/>
      <c r="X14" s="26"/>
      <c r="Y14" s="25"/>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26"/>
      <c r="BM14" s="7"/>
      <c r="BN14" s="14"/>
    </row>
    <row r="15" spans="1:66" ht="20.100000000000001" customHeight="1" x14ac:dyDescent="0.45">
      <c r="A15" s="8"/>
      <c r="B15" s="7"/>
      <c r="C15" s="24"/>
      <c r="D15" s="22"/>
      <c r="E15" s="22"/>
      <c r="F15" s="23"/>
      <c r="G15" s="18"/>
      <c r="H15" s="19"/>
      <c r="I15" s="19"/>
      <c r="J15" s="20"/>
      <c r="K15" s="21"/>
      <c r="L15" s="22"/>
      <c r="M15" s="22"/>
      <c r="N15" s="23"/>
      <c r="O15" s="25"/>
      <c r="P15" s="4"/>
      <c r="Q15" s="4"/>
      <c r="R15" s="4"/>
      <c r="S15" s="4"/>
      <c r="T15" s="4"/>
      <c r="U15" s="4"/>
      <c r="V15" s="4"/>
      <c r="W15" s="4"/>
      <c r="X15" s="26"/>
      <c r="Y15" s="25"/>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26"/>
      <c r="BM15" s="7"/>
      <c r="BN15" s="14"/>
    </row>
    <row r="16" spans="1:66" ht="20.100000000000001" customHeight="1" x14ac:dyDescent="0.45">
      <c r="A16" s="8"/>
      <c r="B16" s="7"/>
      <c r="C16" s="24"/>
      <c r="D16" s="22"/>
      <c r="E16" s="22"/>
      <c r="F16" s="23"/>
      <c r="G16" s="18"/>
      <c r="H16" s="19"/>
      <c r="I16" s="19"/>
      <c r="J16" s="20"/>
      <c r="K16" s="21"/>
      <c r="L16" s="22"/>
      <c r="M16" s="22"/>
      <c r="N16" s="23"/>
      <c r="O16" s="25"/>
      <c r="P16" s="4"/>
      <c r="Q16" s="4"/>
      <c r="R16" s="4"/>
      <c r="S16" s="4"/>
      <c r="T16" s="4"/>
      <c r="U16" s="4"/>
      <c r="V16" s="4"/>
      <c r="W16" s="4"/>
      <c r="X16" s="26"/>
      <c r="Y16" s="25"/>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26"/>
      <c r="BM16" s="7"/>
      <c r="BN16" s="14"/>
    </row>
    <row r="17" spans="1:66" ht="20.100000000000001" customHeight="1" x14ac:dyDescent="0.45">
      <c r="A17" s="8"/>
      <c r="B17" s="7"/>
      <c r="C17" s="24"/>
      <c r="D17" s="22"/>
      <c r="E17" s="22"/>
      <c r="F17" s="23"/>
      <c r="G17" s="18"/>
      <c r="H17" s="19"/>
      <c r="I17" s="19"/>
      <c r="J17" s="20"/>
      <c r="K17" s="21"/>
      <c r="L17" s="22"/>
      <c r="M17" s="22"/>
      <c r="N17" s="23"/>
      <c r="O17" s="25"/>
      <c r="P17" s="4"/>
      <c r="Q17" s="4"/>
      <c r="R17" s="4"/>
      <c r="S17" s="4"/>
      <c r="T17" s="4"/>
      <c r="U17" s="4"/>
      <c r="V17" s="4"/>
      <c r="W17" s="4"/>
      <c r="X17" s="26"/>
      <c r="Y17" s="25"/>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26"/>
      <c r="BM17" s="7"/>
      <c r="BN17" s="14"/>
    </row>
    <row r="18" spans="1:66" ht="20.100000000000001" customHeight="1" x14ac:dyDescent="0.45">
      <c r="A18" s="8"/>
      <c r="B18" s="7"/>
      <c r="C18" s="24"/>
      <c r="D18" s="22"/>
      <c r="E18" s="22"/>
      <c r="F18" s="23"/>
      <c r="G18" s="18"/>
      <c r="H18" s="19"/>
      <c r="I18" s="19"/>
      <c r="J18" s="20"/>
      <c r="K18" s="21"/>
      <c r="L18" s="22"/>
      <c r="M18" s="22"/>
      <c r="N18" s="23"/>
      <c r="O18" s="25"/>
      <c r="P18" s="4"/>
      <c r="Q18" s="4"/>
      <c r="R18" s="4"/>
      <c r="S18" s="4"/>
      <c r="T18" s="4"/>
      <c r="U18" s="4"/>
      <c r="V18" s="4"/>
      <c r="W18" s="4"/>
      <c r="X18" s="26"/>
      <c r="Y18" s="25"/>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26"/>
      <c r="BM18" s="7"/>
      <c r="BN18" s="14"/>
    </row>
    <row r="19" spans="1:66" ht="20.100000000000001" customHeight="1" x14ac:dyDescent="0.45">
      <c r="A19" s="8"/>
      <c r="B19" s="7"/>
      <c r="C19" s="24"/>
      <c r="D19" s="22"/>
      <c r="E19" s="22"/>
      <c r="F19" s="23"/>
      <c r="G19" s="18"/>
      <c r="H19" s="19"/>
      <c r="I19" s="19"/>
      <c r="J19" s="20"/>
      <c r="K19" s="21"/>
      <c r="L19" s="22"/>
      <c r="M19" s="22"/>
      <c r="N19" s="23"/>
      <c r="O19" s="25"/>
      <c r="P19" s="4"/>
      <c r="Q19" s="4"/>
      <c r="R19" s="4"/>
      <c r="S19" s="4"/>
      <c r="T19" s="4"/>
      <c r="U19" s="4"/>
      <c r="V19" s="4"/>
      <c r="W19" s="4"/>
      <c r="X19" s="26"/>
      <c r="Y19" s="25"/>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26"/>
      <c r="BM19" s="7"/>
      <c r="BN19" s="14"/>
    </row>
    <row r="20" spans="1:66" ht="20.100000000000001" customHeight="1" x14ac:dyDescent="0.45">
      <c r="A20" s="8"/>
      <c r="B20" s="7"/>
      <c r="C20" s="24"/>
      <c r="D20" s="22"/>
      <c r="E20" s="22"/>
      <c r="F20" s="23"/>
      <c r="G20" s="18"/>
      <c r="H20" s="19"/>
      <c r="I20" s="19"/>
      <c r="J20" s="20"/>
      <c r="K20" s="21"/>
      <c r="L20" s="22"/>
      <c r="M20" s="22"/>
      <c r="N20" s="23"/>
      <c r="O20" s="25"/>
      <c r="P20" s="4"/>
      <c r="Q20" s="4"/>
      <c r="R20" s="4"/>
      <c r="S20" s="4"/>
      <c r="T20" s="4"/>
      <c r="U20" s="4"/>
      <c r="V20" s="4"/>
      <c r="W20" s="4"/>
      <c r="X20" s="26"/>
      <c r="Y20" s="25"/>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26"/>
      <c r="BM20" s="7"/>
      <c r="BN20" s="14"/>
    </row>
    <row r="21" spans="1:66" ht="20.100000000000001" customHeight="1" x14ac:dyDescent="0.45">
      <c r="A21" s="8"/>
      <c r="B21" s="7"/>
      <c r="C21" s="24"/>
      <c r="D21" s="22"/>
      <c r="E21" s="22"/>
      <c r="F21" s="23"/>
      <c r="G21" s="18"/>
      <c r="H21" s="19"/>
      <c r="I21" s="19"/>
      <c r="J21" s="20"/>
      <c r="K21" s="21"/>
      <c r="L21" s="22"/>
      <c r="M21" s="22"/>
      <c r="N21" s="23"/>
      <c r="O21" s="25"/>
      <c r="P21" s="4"/>
      <c r="Q21" s="4"/>
      <c r="R21" s="4"/>
      <c r="S21" s="4"/>
      <c r="T21" s="4"/>
      <c r="U21" s="4"/>
      <c r="V21" s="4"/>
      <c r="W21" s="4"/>
      <c r="X21" s="26"/>
      <c r="Y21" s="25"/>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26"/>
      <c r="BM21" s="7"/>
      <c r="BN21" s="14"/>
    </row>
    <row r="22" spans="1:66" ht="20.100000000000001" customHeight="1" x14ac:dyDescent="0.45">
      <c r="A22" s="8"/>
      <c r="B22" s="7"/>
      <c r="C22" s="24"/>
      <c r="D22" s="22"/>
      <c r="E22" s="22"/>
      <c r="F22" s="23"/>
      <c r="G22" s="18"/>
      <c r="H22" s="19"/>
      <c r="I22" s="19"/>
      <c r="J22" s="20"/>
      <c r="K22" s="21"/>
      <c r="L22" s="22"/>
      <c r="M22" s="22"/>
      <c r="N22" s="23"/>
      <c r="O22" s="25"/>
      <c r="P22" s="4"/>
      <c r="Q22" s="4"/>
      <c r="R22" s="4"/>
      <c r="S22" s="4"/>
      <c r="T22" s="4"/>
      <c r="U22" s="4"/>
      <c r="V22" s="4"/>
      <c r="W22" s="4"/>
      <c r="X22" s="26"/>
      <c r="Y22" s="25"/>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26"/>
      <c r="BM22" s="7"/>
      <c r="BN22" s="14"/>
    </row>
    <row r="23" spans="1:66" ht="20.100000000000001" customHeight="1" x14ac:dyDescent="0.45">
      <c r="A23" s="8"/>
      <c r="B23" s="7"/>
      <c r="C23" s="24"/>
      <c r="D23" s="22"/>
      <c r="E23" s="22"/>
      <c r="F23" s="23"/>
      <c r="G23" s="18"/>
      <c r="H23" s="19"/>
      <c r="I23" s="19"/>
      <c r="J23" s="20"/>
      <c r="K23" s="21"/>
      <c r="L23" s="22"/>
      <c r="M23" s="22"/>
      <c r="N23" s="23"/>
      <c r="O23" s="25"/>
      <c r="P23" s="4"/>
      <c r="Q23" s="4"/>
      <c r="R23" s="4"/>
      <c r="S23" s="4"/>
      <c r="T23" s="4"/>
      <c r="U23" s="4"/>
      <c r="V23" s="4"/>
      <c r="W23" s="4"/>
      <c r="X23" s="26"/>
      <c r="Y23" s="25"/>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26"/>
      <c r="BM23" s="7"/>
      <c r="BN23" s="14"/>
    </row>
    <row r="24" spans="1:66" ht="20.100000000000001" customHeight="1" x14ac:dyDescent="0.45">
      <c r="A24" s="8"/>
      <c r="B24" s="7"/>
      <c r="C24" s="24"/>
      <c r="D24" s="22"/>
      <c r="E24" s="22"/>
      <c r="F24" s="23"/>
      <c r="G24" s="18"/>
      <c r="H24" s="19"/>
      <c r="I24" s="19"/>
      <c r="J24" s="20"/>
      <c r="K24" s="21"/>
      <c r="L24" s="22"/>
      <c r="M24" s="22"/>
      <c r="N24" s="23"/>
      <c r="O24" s="25"/>
      <c r="P24" s="4"/>
      <c r="Q24" s="4"/>
      <c r="R24" s="4"/>
      <c r="S24" s="4"/>
      <c r="T24" s="4"/>
      <c r="U24" s="4"/>
      <c r="V24" s="4"/>
      <c r="W24" s="4"/>
      <c r="X24" s="26"/>
      <c r="Y24" s="25"/>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26"/>
      <c r="BM24" s="7"/>
      <c r="BN24" s="14"/>
    </row>
    <row r="25" spans="1:66" ht="20.100000000000001" customHeight="1" x14ac:dyDescent="0.45">
      <c r="A25" s="8"/>
      <c r="B25" s="7"/>
      <c r="C25" s="24"/>
      <c r="D25" s="22"/>
      <c r="E25" s="22"/>
      <c r="F25" s="23"/>
      <c r="G25" s="18"/>
      <c r="H25" s="19"/>
      <c r="I25" s="19"/>
      <c r="J25" s="20"/>
      <c r="K25" s="21"/>
      <c r="L25" s="22"/>
      <c r="M25" s="22"/>
      <c r="N25" s="23"/>
      <c r="O25" s="25"/>
      <c r="P25" s="4"/>
      <c r="Q25" s="4"/>
      <c r="R25" s="4"/>
      <c r="S25" s="4"/>
      <c r="T25" s="4"/>
      <c r="U25" s="4"/>
      <c r="V25" s="4"/>
      <c r="W25" s="4"/>
      <c r="X25" s="26"/>
      <c r="Y25" s="25"/>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26"/>
      <c r="BM25" s="7"/>
      <c r="BN25" s="14"/>
    </row>
    <row r="26" spans="1:66" ht="20.100000000000001" customHeight="1" x14ac:dyDescent="0.45">
      <c r="A26" s="8"/>
      <c r="B26" s="7"/>
      <c r="C26" s="24"/>
      <c r="D26" s="22"/>
      <c r="E26" s="22"/>
      <c r="F26" s="23"/>
      <c r="G26" s="18"/>
      <c r="H26" s="19"/>
      <c r="I26" s="19"/>
      <c r="J26" s="20"/>
      <c r="K26" s="21"/>
      <c r="L26" s="22"/>
      <c r="M26" s="22"/>
      <c r="N26" s="23"/>
      <c r="O26" s="25"/>
      <c r="P26" s="4"/>
      <c r="Q26" s="4"/>
      <c r="R26" s="4"/>
      <c r="S26" s="4"/>
      <c r="T26" s="4"/>
      <c r="U26" s="4"/>
      <c r="V26" s="4"/>
      <c r="W26" s="4"/>
      <c r="X26" s="26"/>
      <c r="Y26" s="25"/>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26"/>
      <c r="BM26" s="7"/>
      <c r="BN26" s="14"/>
    </row>
    <row r="27" spans="1:66" ht="20.100000000000001" customHeight="1" x14ac:dyDescent="0.45">
      <c r="A27" s="8"/>
      <c r="B27" s="7"/>
      <c r="C27" s="24"/>
      <c r="D27" s="22"/>
      <c r="E27" s="22"/>
      <c r="F27" s="23"/>
      <c r="G27" s="18"/>
      <c r="H27" s="19"/>
      <c r="I27" s="19"/>
      <c r="J27" s="20"/>
      <c r="K27" s="21"/>
      <c r="L27" s="22"/>
      <c r="M27" s="22"/>
      <c r="N27" s="23"/>
      <c r="O27" s="25"/>
      <c r="P27" s="4"/>
      <c r="Q27" s="4"/>
      <c r="R27" s="4"/>
      <c r="S27" s="4"/>
      <c r="T27" s="4"/>
      <c r="U27" s="4"/>
      <c r="V27" s="4"/>
      <c r="W27" s="4"/>
      <c r="X27" s="26"/>
      <c r="Y27" s="25"/>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26"/>
      <c r="BM27" s="7"/>
      <c r="BN27" s="14"/>
    </row>
    <row r="28" spans="1:66" ht="20.100000000000001" customHeight="1" x14ac:dyDescent="0.45">
      <c r="A28" s="8"/>
      <c r="B28" s="7"/>
      <c r="C28" s="24"/>
      <c r="D28" s="22"/>
      <c r="E28" s="22"/>
      <c r="F28" s="23"/>
      <c r="G28" s="18"/>
      <c r="H28" s="19"/>
      <c r="I28" s="19"/>
      <c r="J28" s="20"/>
      <c r="K28" s="21"/>
      <c r="L28" s="22"/>
      <c r="M28" s="22"/>
      <c r="N28" s="23"/>
      <c r="O28" s="25"/>
      <c r="P28" s="4"/>
      <c r="Q28" s="4"/>
      <c r="R28" s="4"/>
      <c r="S28" s="4"/>
      <c r="T28" s="4"/>
      <c r="U28" s="4"/>
      <c r="V28" s="4"/>
      <c r="W28" s="4"/>
      <c r="X28" s="26"/>
      <c r="Y28" s="25"/>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26"/>
      <c r="BM28" s="7"/>
      <c r="BN28" s="14"/>
    </row>
    <row r="29" spans="1:66" ht="20.100000000000001" customHeight="1" x14ac:dyDescent="0.45">
      <c r="A29" s="8"/>
      <c r="B29" s="7"/>
      <c r="C29" s="24"/>
      <c r="D29" s="22"/>
      <c r="E29" s="22"/>
      <c r="F29" s="23"/>
      <c r="G29" s="18"/>
      <c r="H29" s="19"/>
      <c r="I29" s="19"/>
      <c r="J29" s="20"/>
      <c r="K29" s="21"/>
      <c r="L29" s="22"/>
      <c r="M29" s="22"/>
      <c r="N29" s="23"/>
      <c r="O29" s="25"/>
      <c r="P29" s="4"/>
      <c r="Q29" s="4"/>
      <c r="R29" s="4"/>
      <c r="S29" s="4"/>
      <c r="T29" s="4"/>
      <c r="U29" s="4"/>
      <c r="V29" s="4"/>
      <c r="W29" s="4"/>
      <c r="X29" s="26"/>
      <c r="Y29" s="25"/>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26"/>
      <c r="BM29" s="7"/>
      <c r="BN29" s="14"/>
    </row>
    <row r="30" spans="1:66" ht="20.100000000000001" customHeight="1" x14ac:dyDescent="0.45">
      <c r="A30" s="8"/>
      <c r="B30" s="7"/>
      <c r="C30" s="24"/>
      <c r="D30" s="22"/>
      <c r="E30" s="22"/>
      <c r="F30" s="23"/>
      <c r="G30" s="18"/>
      <c r="H30" s="19"/>
      <c r="I30" s="19"/>
      <c r="J30" s="20"/>
      <c r="K30" s="21"/>
      <c r="L30" s="22"/>
      <c r="M30" s="22"/>
      <c r="N30" s="23"/>
      <c r="O30" s="25"/>
      <c r="P30" s="4"/>
      <c r="Q30" s="4"/>
      <c r="R30" s="4"/>
      <c r="S30" s="4"/>
      <c r="T30" s="4"/>
      <c r="U30" s="4"/>
      <c r="V30" s="4"/>
      <c r="W30" s="4"/>
      <c r="X30" s="26"/>
      <c r="Y30" s="25"/>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26"/>
      <c r="BM30" s="7"/>
      <c r="BN30" s="14"/>
    </row>
    <row r="31" spans="1:66" ht="20.100000000000001" customHeight="1" x14ac:dyDescent="0.45">
      <c r="A31" s="8"/>
      <c r="B31" s="7"/>
      <c r="C31" s="24"/>
      <c r="D31" s="22"/>
      <c r="E31" s="22"/>
      <c r="F31" s="23"/>
      <c r="G31" s="18"/>
      <c r="H31" s="19"/>
      <c r="I31" s="19"/>
      <c r="J31" s="20"/>
      <c r="K31" s="21"/>
      <c r="L31" s="22"/>
      <c r="M31" s="22"/>
      <c r="N31" s="23"/>
      <c r="O31" s="25"/>
      <c r="P31" s="4"/>
      <c r="Q31" s="4"/>
      <c r="R31" s="4"/>
      <c r="S31" s="4"/>
      <c r="T31" s="4"/>
      <c r="U31" s="4"/>
      <c r="V31" s="4"/>
      <c r="W31" s="4"/>
      <c r="X31" s="26"/>
      <c r="Y31" s="25"/>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26"/>
      <c r="BM31" s="7"/>
      <c r="BN31" s="14"/>
    </row>
    <row r="32" spans="1:66" ht="20.100000000000001" customHeight="1" x14ac:dyDescent="0.45">
      <c r="A32" s="8"/>
      <c r="B32" s="7"/>
      <c r="C32" s="24"/>
      <c r="D32" s="22"/>
      <c r="E32" s="22"/>
      <c r="F32" s="23"/>
      <c r="G32" s="18"/>
      <c r="H32" s="19"/>
      <c r="I32" s="19"/>
      <c r="J32" s="20"/>
      <c r="K32" s="21"/>
      <c r="L32" s="22"/>
      <c r="M32" s="22"/>
      <c r="N32" s="23"/>
      <c r="O32" s="25"/>
      <c r="P32" s="4"/>
      <c r="Q32" s="4"/>
      <c r="R32" s="4"/>
      <c r="S32" s="4"/>
      <c r="T32" s="4"/>
      <c r="U32" s="4"/>
      <c r="V32" s="4"/>
      <c r="W32" s="4"/>
      <c r="X32" s="26"/>
      <c r="Y32" s="25"/>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26"/>
      <c r="BM32" s="7"/>
      <c r="BN32" s="14"/>
    </row>
    <row r="33" spans="1:66" ht="20.100000000000001" customHeight="1" x14ac:dyDescent="0.45">
      <c r="A33" s="8"/>
      <c r="B33" s="7"/>
      <c r="C33" s="24"/>
      <c r="D33" s="22"/>
      <c r="E33" s="22"/>
      <c r="F33" s="23"/>
      <c r="G33" s="18"/>
      <c r="H33" s="19"/>
      <c r="I33" s="19"/>
      <c r="J33" s="20"/>
      <c r="K33" s="21"/>
      <c r="L33" s="22"/>
      <c r="M33" s="22"/>
      <c r="N33" s="23"/>
      <c r="O33" s="25"/>
      <c r="P33" s="4"/>
      <c r="Q33" s="4"/>
      <c r="R33" s="4"/>
      <c r="S33" s="4"/>
      <c r="T33" s="4"/>
      <c r="U33" s="4"/>
      <c r="V33" s="4"/>
      <c r="W33" s="4"/>
      <c r="X33" s="26"/>
      <c r="Y33" s="25"/>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26"/>
      <c r="BM33" s="7"/>
      <c r="BN33" s="14"/>
    </row>
    <row r="34" spans="1:66" ht="20.100000000000001" customHeight="1" x14ac:dyDescent="0.45">
      <c r="A34" s="8"/>
      <c r="B34" s="7"/>
      <c r="C34" s="24"/>
      <c r="D34" s="22"/>
      <c r="E34" s="22"/>
      <c r="F34" s="23"/>
      <c r="G34" s="18"/>
      <c r="H34" s="19"/>
      <c r="I34" s="19"/>
      <c r="J34" s="20"/>
      <c r="K34" s="21"/>
      <c r="L34" s="22"/>
      <c r="M34" s="22"/>
      <c r="N34" s="23"/>
      <c r="O34" s="25"/>
      <c r="P34" s="4"/>
      <c r="Q34" s="4"/>
      <c r="R34" s="4"/>
      <c r="S34" s="4"/>
      <c r="T34" s="4"/>
      <c r="U34" s="4"/>
      <c r="V34" s="4"/>
      <c r="W34" s="4"/>
      <c r="X34" s="26"/>
      <c r="Y34" s="25"/>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26"/>
      <c r="BM34" s="7"/>
      <c r="BN34" s="14"/>
    </row>
    <row r="35" spans="1:66" ht="20.100000000000001" customHeight="1" x14ac:dyDescent="0.45">
      <c r="A35" s="8"/>
      <c r="B35" s="7"/>
      <c r="C35" s="24"/>
      <c r="D35" s="22"/>
      <c r="E35" s="22"/>
      <c r="F35" s="23"/>
      <c r="G35" s="18"/>
      <c r="H35" s="19"/>
      <c r="I35" s="19"/>
      <c r="J35" s="20"/>
      <c r="K35" s="21"/>
      <c r="L35" s="22"/>
      <c r="M35" s="22"/>
      <c r="N35" s="23"/>
      <c r="O35" s="25"/>
      <c r="P35" s="4"/>
      <c r="Q35" s="4"/>
      <c r="R35" s="4"/>
      <c r="S35" s="4"/>
      <c r="T35" s="4"/>
      <c r="U35" s="4"/>
      <c r="V35" s="4"/>
      <c r="W35" s="4"/>
      <c r="X35" s="26"/>
      <c r="Y35" s="25"/>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26"/>
      <c r="BM35" s="7"/>
      <c r="BN35" s="14"/>
    </row>
    <row r="36" spans="1:66" ht="20.100000000000001" customHeight="1" x14ac:dyDescent="0.45">
      <c r="A36" s="8"/>
      <c r="B36" s="7"/>
      <c r="C36" s="140"/>
      <c r="D36" s="138"/>
      <c r="E36" s="138"/>
      <c r="F36" s="139"/>
      <c r="G36" s="134"/>
      <c r="H36" s="135"/>
      <c r="I36" s="135"/>
      <c r="J36" s="136"/>
      <c r="K36" s="137"/>
      <c r="L36" s="138"/>
      <c r="M36" s="138"/>
      <c r="N36" s="139"/>
      <c r="O36" s="3"/>
      <c r="P36" s="4"/>
      <c r="Q36" s="4"/>
      <c r="R36" s="4"/>
      <c r="S36" s="4"/>
      <c r="T36" s="4"/>
      <c r="U36" s="4"/>
      <c r="V36" s="4"/>
      <c r="W36" s="4"/>
      <c r="X36" s="2"/>
      <c r="Y36" s="3"/>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2"/>
      <c r="BM36" s="7"/>
      <c r="BN36" s="14"/>
    </row>
    <row r="37" spans="1:66" ht="20.100000000000001" customHeight="1" x14ac:dyDescent="0.45">
      <c r="A37" s="8"/>
      <c r="B37" s="7"/>
      <c r="C37" s="140"/>
      <c r="D37" s="138"/>
      <c r="E37" s="138"/>
      <c r="F37" s="139"/>
      <c r="G37" s="134"/>
      <c r="H37" s="135"/>
      <c r="I37" s="135"/>
      <c r="J37" s="136"/>
      <c r="K37" s="137"/>
      <c r="L37" s="138"/>
      <c r="M37" s="138"/>
      <c r="N37" s="139"/>
      <c r="O37" s="3"/>
      <c r="P37" s="4"/>
      <c r="Q37" s="4"/>
      <c r="R37" s="4"/>
      <c r="S37" s="4"/>
      <c r="T37" s="4"/>
      <c r="U37" s="4"/>
      <c r="V37" s="4"/>
      <c r="W37" s="4"/>
      <c r="X37" s="2"/>
      <c r="Y37" s="3"/>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2"/>
      <c r="BM37" s="7"/>
      <c r="BN37" s="14"/>
    </row>
    <row r="38" spans="1:66" ht="20.100000000000001" customHeight="1" x14ac:dyDescent="0.45">
      <c r="A38" s="8"/>
      <c r="B38" s="7"/>
      <c r="C38" s="140"/>
      <c r="D38" s="138"/>
      <c r="E38" s="138"/>
      <c r="F38" s="139"/>
      <c r="G38" s="134"/>
      <c r="H38" s="135"/>
      <c r="I38" s="135"/>
      <c r="J38" s="136"/>
      <c r="K38" s="137"/>
      <c r="L38" s="138"/>
      <c r="M38" s="138"/>
      <c r="N38" s="139"/>
      <c r="O38" s="3"/>
      <c r="P38" s="4"/>
      <c r="Q38" s="4"/>
      <c r="R38" s="4"/>
      <c r="S38" s="4"/>
      <c r="T38" s="4"/>
      <c r="U38" s="4"/>
      <c r="V38" s="4"/>
      <c r="W38" s="4"/>
      <c r="X38" s="2"/>
      <c r="Y38" s="3"/>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2"/>
      <c r="BM38" s="7"/>
      <c r="BN38" s="14"/>
    </row>
    <row r="39" spans="1:66" ht="20.100000000000001" customHeight="1" x14ac:dyDescent="0.45">
      <c r="A39" s="8"/>
      <c r="B39" s="7"/>
      <c r="C39" s="140"/>
      <c r="D39" s="138"/>
      <c r="E39" s="138"/>
      <c r="F39" s="139"/>
      <c r="G39" s="134"/>
      <c r="H39" s="135"/>
      <c r="I39" s="135"/>
      <c r="J39" s="136"/>
      <c r="K39" s="137"/>
      <c r="L39" s="138"/>
      <c r="M39" s="138"/>
      <c r="N39" s="139"/>
      <c r="O39" s="3"/>
      <c r="P39" s="4"/>
      <c r="Q39" s="4"/>
      <c r="R39" s="4"/>
      <c r="S39" s="4"/>
      <c r="T39" s="4"/>
      <c r="U39" s="4"/>
      <c r="V39" s="4"/>
      <c r="W39" s="4"/>
      <c r="X39" s="2"/>
      <c r="Y39" s="3"/>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2"/>
      <c r="BM39" s="7"/>
      <c r="BN39" s="14"/>
    </row>
    <row r="40" spans="1:66" ht="20.100000000000001" customHeight="1" x14ac:dyDescent="0.45">
      <c r="A40" s="8"/>
      <c r="B40" s="7"/>
      <c r="C40" s="140"/>
      <c r="D40" s="138"/>
      <c r="E40" s="138"/>
      <c r="F40" s="139"/>
      <c r="G40" s="134"/>
      <c r="H40" s="135"/>
      <c r="I40" s="135"/>
      <c r="J40" s="136"/>
      <c r="K40" s="137"/>
      <c r="L40" s="138"/>
      <c r="M40" s="138"/>
      <c r="N40" s="139"/>
      <c r="O40" s="3"/>
      <c r="P40" s="4"/>
      <c r="Q40" s="4"/>
      <c r="R40" s="4"/>
      <c r="S40" s="4"/>
      <c r="T40" s="4"/>
      <c r="U40" s="4"/>
      <c r="V40" s="4"/>
      <c r="W40" s="4"/>
      <c r="X40" s="2"/>
      <c r="Y40" s="3"/>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2"/>
      <c r="BM40" s="7"/>
      <c r="BN40" s="14"/>
    </row>
    <row r="41" spans="1:66" ht="20.100000000000001" customHeight="1" x14ac:dyDescent="0.45">
      <c r="A41" s="8"/>
      <c r="B41" s="7"/>
      <c r="C41" s="140"/>
      <c r="D41" s="138"/>
      <c r="E41" s="138"/>
      <c r="F41" s="139"/>
      <c r="G41" s="134"/>
      <c r="H41" s="135"/>
      <c r="I41" s="135"/>
      <c r="J41" s="136"/>
      <c r="K41" s="137"/>
      <c r="L41" s="138"/>
      <c r="M41" s="138"/>
      <c r="N41" s="139"/>
      <c r="O41" s="3"/>
      <c r="P41" s="4"/>
      <c r="Q41" s="4"/>
      <c r="R41" s="4"/>
      <c r="S41" s="4"/>
      <c r="T41" s="4"/>
      <c r="U41" s="4"/>
      <c r="V41" s="4"/>
      <c r="W41" s="4"/>
      <c r="X41" s="2"/>
      <c r="Y41" s="3"/>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2"/>
      <c r="BM41" s="7"/>
      <c r="BN41" s="14"/>
    </row>
    <row r="42" spans="1:66" ht="20.100000000000001" customHeight="1" x14ac:dyDescent="0.45">
      <c r="A42" s="8"/>
      <c r="B42" s="7"/>
      <c r="C42" s="140"/>
      <c r="D42" s="138"/>
      <c r="E42" s="138"/>
      <c r="F42" s="139"/>
      <c r="G42" s="134"/>
      <c r="H42" s="135"/>
      <c r="I42" s="135"/>
      <c r="J42" s="136"/>
      <c r="K42" s="137"/>
      <c r="L42" s="138"/>
      <c r="M42" s="138"/>
      <c r="N42" s="139"/>
      <c r="O42" s="3"/>
      <c r="P42" s="4"/>
      <c r="Q42" s="4"/>
      <c r="R42" s="4"/>
      <c r="S42" s="4"/>
      <c r="T42" s="4"/>
      <c r="U42" s="4"/>
      <c r="V42" s="4"/>
      <c r="W42" s="4"/>
      <c r="X42" s="2"/>
      <c r="Y42" s="3"/>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2"/>
      <c r="BM42" s="7"/>
      <c r="BN42" s="14"/>
    </row>
    <row r="43" spans="1:66" ht="20.100000000000001" customHeight="1" x14ac:dyDescent="0.45">
      <c r="A43" s="8"/>
      <c r="B43" s="7"/>
      <c r="C43" s="140"/>
      <c r="D43" s="138"/>
      <c r="E43" s="138"/>
      <c r="F43" s="139"/>
      <c r="G43" s="134"/>
      <c r="H43" s="135"/>
      <c r="I43" s="135"/>
      <c r="J43" s="136"/>
      <c r="K43" s="137"/>
      <c r="L43" s="138"/>
      <c r="M43" s="138"/>
      <c r="N43" s="139"/>
      <c r="O43" s="3"/>
      <c r="P43" s="4"/>
      <c r="Q43" s="4"/>
      <c r="R43" s="4"/>
      <c r="S43" s="4"/>
      <c r="T43" s="4"/>
      <c r="U43" s="4"/>
      <c r="V43" s="4"/>
      <c r="W43" s="4"/>
      <c r="X43" s="2"/>
      <c r="Y43" s="3"/>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2"/>
      <c r="BM43" s="7"/>
      <c r="BN43" s="14"/>
    </row>
    <row r="44" spans="1:66" ht="20.100000000000001" customHeight="1" x14ac:dyDescent="0.45">
      <c r="A44" s="8"/>
      <c r="B44" s="7"/>
      <c r="C44" s="140"/>
      <c r="D44" s="138"/>
      <c r="E44" s="138"/>
      <c r="F44" s="139"/>
      <c r="G44" s="134"/>
      <c r="H44" s="135"/>
      <c r="I44" s="135"/>
      <c r="J44" s="136"/>
      <c r="K44" s="137"/>
      <c r="L44" s="138"/>
      <c r="M44" s="138"/>
      <c r="N44" s="139"/>
      <c r="O44" s="3"/>
      <c r="P44" s="4"/>
      <c r="Q44" s="4"/>
      <c r="R44" s="4"/>
      <c r="S44" s="4"/>
      <c r="T44" s="4"/>
      <c r="U44" s="4"/>
      <c r="V44" s="4"/>
      <c r="W44" s="4"/>
      <c r="X44" s="2"/>
      <c r="Y44" s="3"/>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2"/>
      <c r="BM44" s="7"/>
      <c r="BN44" s="14"/>
    </row>
    <row r="45" spans="1:66" ht="20.100000000000001" customHeight="1" x14ac:dyDescent="0.45">
      <c r="A45" s="8"/>
      <c r="B45" s="7"/>
      <c r="C45" s="140"/>
      <c r="D45" s="138"/>
      <c r="E45" s="138"/>
      <c r="F45" s="139"/>
      <c r="G45" s="134"/>
      <c r="H45" s="135"/>
      <c r="I45" s="135"/>
      <c r="J45" s="136"/>
      <c r="K45" s="137"/>
      <c r="L45" s="138"/>
      <c r="M45" s="138"/>
      <c r="N45" s="139"/>
      <c r="O45" s="3"/>
      <c r="P45" s="4"/>
      <c r="Q45" s="4"/>
      <c r="R45" s="4"/>
      <c r="S45" s="4"/>
      <c r="T45" s="4"/>
      <c r="U45" s="4"/>
      <c r="V45" s="4"/>
      <c r="W45" s="4"/>
      <c r="X45" s="2"/>
      <c r="Y45" s="3"/>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2"/>
      <c r="BM45" s="7"/>
      <c r="BN45" s="14"/>
    </row>
    <row r="46" spans="1:66" ht="20.100000000000001" customHeight="1" x14ac:dyDescent="0.45">
      <c r="A46" s="8"/>
      <c r="B46" s="7"/>
      <c r="C46" s="140"/>
      <c r="D46" s="138"/>
      <c r="E46" s="138"/>
      <c r="F46" s="139"/>
      <c r="G46" s="134"/>
      <c r="H46" s="135"/>
      <c r="I46" s="135"/>
      <c r="J46" s="136"/>
      <c r="K46" s="137"/>
      <c r="L46" s="138"/>
      <c r="M46" s="138"/>
      <c r="N46" s="139"/>
      <c r="O46" s="3"/>
      <c r="P46" s="4"/>
      <c r="Q46" s="4"/>
      <c r="R46" s="4"/>
      <c r="S46" s="4"/>
      <c r="T46" s="4"/>
      <c r="U46" s="4"/>
      <c r="V46" s="4"/>
      <c r="W46" s="4"/>
      <c r="X46" s="2"/>
      <c r="Y46" s="3"/>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2"/>
      <c r="BM46" s="7"/>
      <c r="BN46" s="14"/>
    </row>
    <row r="47" spans="1:66" ht="20.100000000000001" customHeight="1" x14ac:dyDescent="0.45">
      <c r="A47" s="8"/>
      <c r="B47" s="7"/>
      <c r="C47" s="140"/>
      <c r="D47" s="138"/>
      <c r="E47" s="138"/>
      <c r="F47" s="139"/>
      <c r="G47" s="134"/>
      <c r="H47" s="135"/>
      <c r="I47" s="135"/>
      <c r="J47" s="136"/>
      <c r="K47" s="137"/>
      <c r="L47" s="138"/>
      <c r="M47" s="138"/>
      <c r="N47" s="139"/>
      <c r="O47" s="3"/>
      <c r="P47" s="4"/>
      <c r="Q47" s="4"/>
      <c r="R47" s="4"/>
      <c r="S47" s="4"/>
      <c r="T47" s="4"/>
      <c r="U47" s="4"/>
      <c r="V47" s="4"/>
      <c r="W47" s="4"/>
      <c r="X47" s="2"/>
      <c r="Y47" s="3"/>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2"/>
      <c r="BM47" s="7"/>
      <c r="BN47" s="14"/>
    </row>
    <row r="48" spans="1:66" ht="20.100000000000001" customHeight="1" thickBot="1" x14ac:dyDescent="0.5">
      <c r="A48" s="8"/>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14"/>
    </row>
    <row r="49" spans="2:65" ht="5.25" customHeight="1" thickTop="1" x14ac:dyDescent="0.45">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N32"/>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row>
    <row r="2" spans="1:66" ht="20.100000000000001" customHeight="1" thickTop="1" x14ac:dyDescent="0.45">
      <c r="A2" s="32"/>
      <c r="B2" s="159" t="s">
        <v>0</v>
      </c>
      <c r="C2" s="142"/>
      <c r="D2" s="142"/>
      <c r="E2" s="142"/>
      <c r="F2" s="142"/>
      <c r="G2" s="142"/>
      <c r="H2" s="142" t="s">
        <v>17</v>
      </c>
      <c r="I2" s="142"/>
      <c r="J2" s="142"/>
      <c r="K2" s="142"/>
      <c r="L2" s="142" t="s">
        <v>279</v>
      </c>
      <c r="M2" s="142"/>
      <c r="N2" s="142"/>
      <c r="O2" s="142"/>
      <c r="P2" s="142"/>
      <c r="Q2" s="142"/>
      <c r="R2" s="142" t="s">
        <v>2</v>
      </c>
      <c r="S2" s="142"/>
      <c r="T2" s="142"/>
      <c r="U2" s="142"/>
      <c r="V2" s="142"/>
      <c r="W2" s="142"/>
      <c r="X2" s="154" t="s">
        <v>3</v>
      </c>
      <c r="Y2" s="155"/>
      <c r="Z2" s="155"/>
      <c r="AA2" s="155"/>
      <c r="AB2" s="155"/>
      <c r="AC2" s="155"/>
      <c r="AD2" s="155"/>
      <c r="AE2" s="155"/>
      <c r="AF2" s="155"/>
      <c r="AG2" s="155"/>
      <c r="AH2" s="155"/>
      <c r="AI2" s="155"/>
      <c r="AJ2" s="156"/>
      <c r="AK2" s="154" t="s">
        <v>32</v>
      </c>
      <c r="AL2" s="155"/>
      <c r="AM2" s="155"/>
      <c r="AN2" s="155"/>
      <c r="AO2" s="155"/>
      <c r="AP2" s="155"/>
      <c r="AQ2" s="155"/>
      <c r="AR2" s="155"/>
      <c r="AS2" s="155"/>
      <c r="AT2" s="155"/>
      <c r="AU2" s="155"/>
      <c r="AV2" s="155"/>
      <c r="AW2" s="156"/>
      <c r="AX2" s="142" t="s">
        <v>5</v>
      </c>
      <c r="AY2" s="142"/>
      <c r="AZ2" s="142"/>
      <c r="BA2" s="142"/>
      <c r="BB2" s="142" t="s">
        <v>4</v>
      </c>
      <c r="BC2" s="142"/>
      <c r="BD2" s="142"/>
      <c r="BE2" s="142"/>
      <c r="BF2" s="142" t="s">
        <v>6</v>
      </c>
      <c r="BG2" s="142"/>
      <c r="BH2" s="142"/>
      <c r="BI2" s="142"/>
      <c r="BJ2" s="142" t="s">
        <v>7</v>
      </c>
      <c r="BK2" s="142"/>
      <c r="BL2" s="142"/>
      <c r="BM2" s="143"/>
      <c r="BN2" s="35"/>
    </row>
    <row r="3" spans="1:66" ht="20.100000000000001" customHeight="1" x14ac:dyDescent="0.45">
      <c r="A3" s="32"/>
      <c r="B3" s="157" t="str">
        <f>変更履歴!B3</f>
        <v>受発注システム</v>
      </c>
      <c r="C3" s="145"/>
      <c r="D3" s="145"/>
      <c r="E3" s="145"/>
      <c r="F3" s="145"/>
      <c r="G3" s="145"/>
      <c r="H3" s="145" t="str">
        <f ca="1">変更履歴!H3</f>
        <v>SU1500</v>
      </c>
      <c r="I3" s="145"/>
      <c r="J3" s="145"/>
      <c r="K3" s="145"/>
      <c r="L3" s="145" t="str">
        <f>変更履歴!L3</f>
        <v>受発注</v>
      </c>
      <c r="M3" s="145"/>
      <c r="N3" s="145"/>
      <c r="O3" s="145"/>
      <c r="P3" s="145"/>
      <c r="Q3" s="145"/>
      <c r="R3" s="145" t="str">
        <f ca="1">変更履歴!R3</f>
        <v>帳票設計書</v>
      </c>
      <c r="S3" s="145"/>
      <c r="T3" s="145"/>
      <c r="U3" s="145"/>
      <c r="V3" s="145"/>
      <c r="W3" s="145"/>
      <c r="X3" s="148" t="str">
        <f ca="1">変更履歴!X3</f>
        <v>SU1500_売掛金集計表(仕分出力)_帳票設計書</v>
      </c>
      <c r="Y3" s="149"/>
      <c r="Z3" s="149"/>
      <c r="AA3" s="149"/>
      <c r="AB3" s="149"/>
      <c r="AC3" s="149"/>
      <c r="AD3" s="149"/>
      <c r="AE3" s="149"/>
      <c r="AF3" s="149"/>
      <c r="AG3" s="149"/>
      <c r="AH3" s="149"/>
      <c r="AI3" s="149"/>
      <c r="AJ3" s="150"/>
      <c r="AK3" s="148" t="str">
        <f ca="1">変更履歴!AK3</f>
        <v>売掛金集計表(仕分出力)</v>
      </c>
      <c r="AL3" s="149"/>
      <c r="AM3" s="149"/>
      <c r="AN3" s="149"/>
      <c r="AO3" s="149"/>
      <c r="AP3" s="149"/>
      <c r="AQ3" s="149"/>
      <c r="AR3" s="149"/>
      <c r="AS3" s="149"/>
      <c r="AT3" s="149"/>
      <c r="AU3" s="149"/>
      <c r="AV3" s="149"/>
      <c r="AW3" s="150"/>
      <c r="AX3" s="144">
        <f>変更履歴!AX3</f>
        <v>45538</v>
      </c>
      <c r="AY3" s="144"/>
      <c r="AZ3" s="144"/>
      <c r="BA3" s="144"/>
      <c r="BB3" s="145" t="str">
        <f>変更履歴!BB3</f>
        <v>大谷</v>
      </c>
      <c r="BC3" s="145"/>
      <c r="BD3" s="145"/>
      <c r="BE3" s="145"/>
      <c r="BF3" s="144">
        <f>変更履歴!BF3</f>
        <v>45538</v>
      </c>
      <c r="BG3" s="144"/>
      <c r="BH3" s="144"/>
      <c r="BI3" s="144"/>
      <c r="BJ3" s="145" t="str">
        <f>変更履歴!BJ3</f>
        <v>大谷</v>
      </c>
      <c r="BK3" s="145"/>
      <c r="BL3" s="145"/>
      <c r="BM3" s="147"/>
      <c r="BN3" s="35"/>
    </row>
    <row r="4" spans="1:66" ht="20.100000000000001" customHeight="1" thickBot="1" x14ac:dyDescent="0.5">
      <c r="A4" s="32"/>
      <c r="B4" s="150"/>
      <c r="C4" s="146"/>
      <c r="D4" s="146"/>
      <c r="E4" s="146"/>
      <c r="F4" s="146"/>
      <c r="G4" s="146"/>
      <c r="H4" s="146"/>
      <c r="I4" s="146"/>
      <c r="J4" s="146"/>
      <c r="K4" s="146"/>
      <c r="L4" s="146"/>
      <c r="M4" s="146"/>
      <c r="N4" s="146"/>
      <c r="O4" s="146"/>
      <c r="P4" s="146"/>
      <c r="Q4" s="146"/>
      <c r="R4" s="146"/>
      <c r="S4" s="146"/>
      <c r="T4" s="146"/>
      <c r="U4" s="146"/>
      <c r="V4" s="146"/>
      <c r="W4" s="146"/>
      <c r="X4" s="151"/>
      <c r="Y4" s="152"/>
      <c r="Z4" s="152"/>
      <c r="AA4" s="152"/>
      <c r="AB4" s="152"/>
      <c r="AC4" s="152"/>
      <c r="AD4" s="152"/>
      <c r="AE4" s="152"/>
      <c r="AF4" s="152"/>
      <c r="AG4" s="152"/>
      <c r="AH4" s="152"/>
      <c r="AI4" s="152"/>
      <c r="AJ4" s="153"/>
      <c r="AK4" s="151"/>
      <c r="AL4" s="152"/>
      <c r="AM4" s="152"/>
      <c r="AN4" s="152"/>
      <c r="AO4" s="152"/>
      <c r="AP4" s="152"/>
      <c r="AQ4" s="152"/>
      <c r="AR4" s="152"/>
      <c r="AS4" s="152"/>
      <c r="AT4" s="152"/>
      <c r="AU4" s="152"/>
      <c r="AV4" s="152"/>
      <c r="AW4" s="153"/>
      <c r="AX4" s="160"/>
      <c r="AY4" s="160"/>
      <c r="AZ4" s="160"/>
      <c r="BA4" s="160"/>
      <c r="BB4" s="146"/>
      <c r="BC4" s="146"/>
      <c r="BD4" s="146"/>
      <c r="BE4" s="146"/>
      <c r="BF4" s="160"/>
      <c r="BG4" s="160"/>
      <c r="BH4" s="160"/>
      <c r="BI4" s="160"/>
      <c r="BJ4" s="146"/>
      <c r="BK4" s="146"/>
      <c r="BL4" s="146"/>
      <c r="BM4" s="148"/>
      <c r="BN4" s="35"/>
    </row>
    <row r="5" spans="1:66" ht="5.25" customHeight="1" thickTop="1" thickBot="1" x14ac:dyDescent="0.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row>
    <row r="6" spans="1:66" ht="20.100000000000001" customHeight="1" thickTop="1" thickBot="1" x14ac:dyDescent="0.5">
      <c r="A6" s="32"/>
      <c r="B6" s="31"/>
      <c r="C6" s="31"/>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31"/>
      <c r="BK6" s="31"/>
      <c r="BL6" s="31"/>
      <c r="BM6" s="31"/>
      <c r="BN6" s="35"/>
    </row>
    <row r="7" spans="1:66" ht="20.100000000000001" customHeight="1" thickTop="1" x14ac:dyDescent="0.45">
      <c r="A7" s="32"/>
      <c r="B7" s="31"/>
      <c r="C7" s="32"/>
      <c r="D7" s="66" t="s">
        <v>22</v>
      </c>
      <c r="E7" s="47"/>
      <c r="F7" s="47"/>
      <c r="G7" s="67"/>
      <c r="H7" s="48" t="str">
        <f ca="1">AK3</f>
        <v>売掛金集計表(仕分出力)</v>
      </c>
      <c r="I7" s="48"/>
      <c r="J7" s="48"/>
      <c r="K7" s="48"/>
      <c r="L7" s="48"/>
      <c r="M7" s="48"/>
      <c r="N7" s="48"/>
      <c r="O7" s="48"/>
      <c r="P7" s="48"/>
      <c r="Q7" s="48"/>
      <c r="R7" s="48"/>
      <c r="S7" s="48"/>
      <c r="T7" s="48"/>
      <c r="U7" s="48"/>
      <c r="V7" s="48"/>
      <c r="W7" s="48"/>
      <c r="X7" s="48"/>
      <c r="Y7" s="48"/>
      <c r="Z7" s="48"/>
      <c r="AA7" s="48"/>
      <c r="AB7" s="48"/>
      <c r="AC7" s="48"/>
      <c r="AD7" s="48"/>
      <c r="AE7" s="48"/>
      <c r="AF7" s="48"/>
      <c r="AG7" s="48"/>
      <c r="AH7" s="48"/>
      <c r="AI7" s="51"/>
      <c r="AJ7" s="51"/>
      <c r="AK7" s="51"/>
      <c r="AL7" s="51"/>
      <c r="AM7" s="51"/>
      <c r="AN7" s="48"/>
      <c r="AO7" s="48"/>
      <c r="AP7" s="48"/>
      <c r="AQ7" s="48"/>
      <c r="AR7" s="48"/>
      <c r="AS7" s="48"/>
      <c r="AT7" s="48"/>
      <c r="AU7" s="48"/>
      <c r="AV7" s="48"/>
      <c r="AW7" s="48"/>
      <c r="AX7" s="48"/>
      <c r="AY7" s="48"/>
      <c r="AZ7" s="48"/>
      <c r="BA7" s="48"/>
      <c r="BB7" s="48"/>
      <c r="BC7" s="48"/>
      <c r="BD7" s="48"/>
      <c r="BE7" s="49"/>
      <c r="BF7" s="49"/>
      <c r="BG7" s="49"/>
      <c r="BH7" s="49"/>
      <c r="BI7" s="49"/>
      <c r="BJ7" s="35"/>
      <c r="BK7" s="31"/>
      <c r="BL7" s="31"/>
      <c r="BM7" s="31"/>
      <c r="BN7" s="35"/>
    </row>
    <row r="8" spans="1:66" ht="20.100000000000001" customHeight="1" x14ac:dyDescent="0.45">
      <c r="A8" s="32"/>
      <c r="B8" s="31"/>
      <c r="C8" s="32"/>
      <c r="D8" s="59" t="s">
        <v>25</v>
      </c>
      <c r="E8" s="50"/>
      <c r="F8" s="50"/>
      <c r="G8" s="56"/>
      <c r="H8" s="51" t="s">
        <v>88</v>
      </c>
      <c r="I8" s="51"/>
      <c r="J8" s="51"/>
      <c r="K8" s="51"/>
      <c r="L8" s="51"/>
      <c r="M8" s="51"/>
      <c r="N8" s="51"/>
      <c r="O8" s="51"/>
      <c r="P8" s="64"/>
      <c r="Q8" s="62"/>
      <c r="R8" s="64"/>
      <c r="S8" s="62"/>
      <c r="T8" s="62"/>
      <c r="U8" s="62"/>
      <c r="V8" s="62"/>
      <c r="W8" s="62"/>
      <c r="X8" s="62"/>
      <c r="Y8" s="62"/>
      <c r="Z8" s="62"/>
      <c r="AA8" s="62"/>
      <c r="AB8" s="62"/>
      <c r="AC8" s="62"/>
      <c r="AD8" s="62"/>
      <c r="AE8" s="62"/>
      <c r="AF8" s="62"/>
      <c r="AG8" s="62"/>
      <c r="AH8" s="62"/>
      <c r="AI8" s="62"/>
      <c r="AJ8" s="62"/>
      <c r="AK8" s="62"/>
      <c r="AL8" s="62"/>
      <c r="AM8" s="62"/>
      <c r="AN8" s="62"/>
      <c r="AO8" s="62"/>
      <c r="AP8" s="62"/>
      <c r="AQ8" s="62"/>
      <c r="AR8" s="51"/>
      <c r="AS8" s="51"/>
      <c r="AT8" s="51"/>
      <c r="AU8" s="51"/>
      <c r="AV8" s="51"/>
      <c r="AW8" s="51"/>
      <c r="AX8" s="51"/>
      <c r="AY8" s="51"/>
      <c r="AZ8" s="51"/>
      <c r="BA8" s="51"/>
      <c r="BB8" s="51"/>
      <c r="BC8" s="51"/>
      <c r="BD8" s="51"/>
      <c r="BE8" s="52"/>
      <c r="BF8" s="52"/>
      <c r="BG8" s="52"/>
      <c r="BH8" s="52"/>
      <c r="BI8" s="52"/>
      <c r="BJ8" s="35"/>
      <c r="BK8" s="31"/>
      <c r="BL8" s="31"/>
      <c r="BM8" s="31"/>
      <c r="BN8" s="35"/>
    </row>
    <row r="9" spans="1:66" ht="20.100000000000001" customHeight="1" x14ac:dyDescent="0.45">
      <c r="A9" s="32"/>
      <c r="B9" s="31"/>
      <c r="C9" s="32"/>
      <c r="D9" s="59" t="s">
        <v>23</v>
      </c>
      <c r="E9" s="50"/>
      <c r="F9" s="50"/>
      <c r="G9" s="56"/>
      <c r="H9" s="51" t="s">
        <v>89</v>
      </c>
      <c r="I9" s="51"/>
      <c r="J9" s="51"/>
      <c r="K9" s="51"/>
      <c r="M9" s="51"/>
      <c r="N9" s="51"/>
      <c r="O9" s="51"/>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51"/>
      <c r="AS9" s="51"/>
      <c r="AT9" s="51"/>
      <c r="AU9" s="51"/>
      <c r="AV9" s="51"/>
      <c r="AW9" s="51"/>
      <c r="AX9" s="51"/>
      <c r="AY9" s="51"/>
      <c r="AZ9" s="51"/>
      <c r="BA9" s="51"/>
      <c r="BB9" s="51"/>
      <c r="BC9" s="51"/>
      <c r="BD9" s="51"/>
      <c r="BE9" s="52"/>
      <c r="BF9" s="52"/>
      <c r="BG9" s="52"/>
      <c r="BH9" s="52"/>
      <c r="BI9" s="52"/>
      <c r="BJ9" s="35"/>
      <c r="BK9" s="31"/>
      <c r="BL9" s="31"/>
      <c r="BM9" s="31"/>
      <c r="BN9" s="35"/>
    </row>
    <row r="10" spans="1:66" ht="20.100000000000001" customHeight="1" x14ac:dyDescent="0.45">
      <c r="A10" s="32"/>
      <c r="B10" s="31"/>
      <c r="C10" s="32"/>
      <c r="D10" s="59" t="s">
        <v>26</v>
      </c>
      <c r="E10" s="50"/>
      <c r="F10" s="50"/>
      <c r="G10" s="56"/>
      <c r="H10" s="54" t="s">
        <v>90</v>
      </c>
      <c r="I10" s="54"/>
      <c r="J10" s="54"/>
      <c r="K10" s="54"/>
      <c r="L10" s="54"/>
      <c r="M10" s="54"/>
      <c r="N10" s="54"/>
      <c r="O10" s="54"/>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54"/>
      <c r="AS10" s="54"/>
      <c r="AT10" s="54"/>
      <c r="AU10" s="54"/>
      <c r="AV10" s="54"/>
      <c r="AW10" s="54"/>
      <c r="AX10" s="54"/>
      <c r="AY10" s="54"/>
      <c r="AZ10" s="54"/>
      <c r="BA10" s="54"/>
      <c r="BB10" s="54"/>
      <c r="BC10" s="54"/>
      <c r="BD10" s="54"/>
      <c r="BE10" s="55"/>
      <c r="BF10" s="55"/>
      <c r="BG10" s="55"/>
      <c r="BH10" s="55"/>
      <c r="BI10" s="55"/>
      <c r="BJ10" s="35"/>
      <c r="BK10" s="31"/>
      <c r="BL10" s="31"/>
      <c r="BM10" s="31"/>
      <c r="BN10" s="35"/>
    </row>
    <row r="11" spans="1:66" ht="20.100000000000001" customHeight="1" x14ac:dyDescent="0.45">
      <c r="A11" s="32"/>
      <c r="B11" s="31"/>
      <c r="C11" s="31"/>
      <c r="D11" s="59" t="s">
        <v>27</v>
      </c>
      <c r="E11" s="50"/>
      <c r="F11" s="50"/>
      <c r="G11" s="56"/>
      <c r="H11" s="54" t="s">
        <v>274</v>
      </c>
      <c r="I11" s="54"/>
      <c r="J11" s="54"/>
      <c r="K11" s="54"/>
      <c r="L11" s="54"/>
      <c r="M11" s="54"/>
      <c r="N11" s="54"/>
      <c r="O11" s="54"/>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54"/>
      <c r="AS11" s="54"/>
      <c r="AT11" s="54"/>
      <c r="AU11" s="54"/>
      <c r="AV11" s="54"/>
      <c r="AW11" s="54"/>
      <c r="AX11" s="54"/>
      <c r="AY11" s="54"/>
      <c r="AZ11" s="54"/>
      <c r="BA11" s="54"/>
      <c r="BB11" s="54"/>
      <c r="BC11" s="54"/>
      <c r="BD11" s="54"/>
      <c r="BE11" s="55"/>
      <c r="BF11" s="55"/>
      <c r="BG11" s="55"/>
      <c r="BH11" s="55"/>
      <c r="BI11" s="65"/>
      <c r="BJ11" s="31"/>
      <c r="BK11" s="31"/>
      <c r="BL11" s="31"/>
      <c r="BM11" s="31"/>
      <c r="BN11" s="35"/>
    </row>
    <row r="12" spans="1:66" ht="20.100000000000001" customHeight="1" x14ac:dyDescent="0.45">
      <c r="A12" s="32"/>
      <c r="B12" s="31"/>
      <c r="C12" s="31"/>
      <c r="D12" s="59" t="s">
        <v>28</v>
      </c>
      <c r="E12" s="50"/>
      <c r="F12" s="50"/>
      <c r="G12" s="56"/>
      <c r="H12" s="54" t="s">
        <v>269</v>
      </c>
      <c r="I12" s="54"/>
      <c r="J12" s="54"/>
      <c r="K12" s="54"/>
      <c r="L12" s="54"/>
      <c r="M12" s="54"/>
      <c r="N12" s="54"/>
      <c r="O12" s="54"/>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54"/>
      <c r="AS12" s="54"/>
      <c r="AT12" s="54"/>
      <c r="AU12" s="54"/>
      <c r="AV12" s="54"/>
      <c r="AW12" s="54"/>
      <c r="AX12" s="54"/>
      <c r="AY12" s="54"/>
      <c r="AZ12" s="54"/>
      <c r="BA12" s="54"/>
      <c r="BB12" s="54"/>
      <c r="BC12" s="54"/>
      <c r="BD12" s="54"/>
      <c r="BE12" s="55"/>
      <c r="BF12" s="55"/>
      <c r="BG12" s="55"/>
      <c r="BH12" s="55"/>
      <c r="BI12" s="65"/>
      <c r="BJ12" s="31"/>
      <c r="BK12" s="31"/>
      <c r="BL12" s="31"/>
      <c r="BM12" s="31"/>
      <c r="BN12" s="35"/>
    </row>
    <row r="13" spans="1:66" ht="20.100000000000001" customHeight="1" x14ac:dyDescent="0.45">
      <c r="A13" s="32"/>
      <c r="B13" s="31"/>
      <c r="C13" s="31"/>
      <c r="D13" s="59" t="s">
        <v>29</v>
      </c>
      <c r="E13" s="50"/>
      <c r="F13" s="50"/>
      <c r="G13" s="56"/>
      <c r="H13" s="54" t="s">
        <v>270</v>
      </c>
      <c r="I13" s="54"/>
      <c r="J13" s="54"/>
      <c r="K13" s="54"/>
      <c r="L13" s="54"/>
      <c r="M13" s="54"/>
      <c r="N13" s="54"/>
      <c r="O13" s="54"/>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54"/>
      <c r="AS13" s="54"/>
      <c r="AT13" s="54"/>
      <c r="AU13" s="54"/>
      <c r="AV13" s="54"/>
      <c r="AW13" s="54"/>
      <c r="AX13" s="54"/>
      <c r="AY13" s="54"/>
      <c r="AZ13" s="54"/>
      <c r="BA13" s="54"/>
      <c r="BB13" s="54"/>
      <c r="BC13" s="54"/>
      <c r="BD13" s="54"/>
      <c r="BE13" s="55"/>
      <c r="BF13" s="55"/>
      <c r="BG13" s="55"/>
      <c r="BH13" s="52"/>
      <c r="BI13" s="60"/>
      <c r="BJ13" s="31"/>
      <c r="BK13" s="31"/>
      <c r="BL13" s="31"/>
      <c r="BM13" s="31"/>
      <c r="BN13" s="35"/>
    </row>
    <row r="14" spans="1:66" ht="20.100000000000001" customHeight="1" x14ac:dyDescent="0.45">
      <c r="A14" s="32"/>
      <c r="B14" s="31"/>
      <c r="C14" s="31"/>
      <c r="D14" s="59" t="s">
        <v>30</v>
      </c>
      <c r="E14" s="50"/>
      <c r="F14" s="50"/>
      <c r="G14" s="56"/>
      <c r="H14" s="51" t="s">
        <v>268</v>
      </c>
      <c r="I14" s="51"/>
      <c r="J14" s="51"/>
      <c r="K14" s="51"/>
      <c r="L14" s="51"/>
      <c r="M14" s="51"/>
      <c r="N14" s="51"/>
      <c r="O14" s="51"/>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51"/>
      <c r="AS14" s="51"/>
      <c r="AT14" s="51"/>
      <c r="AU14" s="51"/>
      <c r="AV14" s="51"/>
      <c r="AW14" s="51"/>
      <c r="AX14" s="51"/>
      <c r="AY14" s="51"/>
      <c r="AZ14" s="51"/>
      <c r="BA14" s="51"/>
      <c r="BB14" s="51"/>
      <c r="BC14" s="51"/>
      <c r="BD14" s="51"/>
      <c r="BE14" s="52"/>
      <c r="BF14" s="52"/>
      <c r="BG14" s="52"/>
      <c r="BH14" s="52"/>
      <c r="BI14" s="60"/>
      <c r="BJ14" s="31"/>
      <c r="BK14" s="31"/>
      <c r="BL14" s="31"/>
      <c r="BM14" s="31"/>
      <c r="BN14" s="35"/>
    </row>
    <row r="15" spans="1:66" ht="20.100000000000001" customHeight="1" x14ac:dyDescent="0.45">
      <c r="A15" s="32"/>
      <c r="B15" s="31"/>
      <c r="C15" s="31"/>
      <c r="D15" s="59" t="s">
        <v>44</v>
      </c>
      <c r="E15" s="50"/>
      <c r="F15" s="50"/>
      <c r="G15" s="56"/>
      <c r="H15" s="54"/>
      <c r="I15" s="54"/>
      <c r="J15" s="54"/>
      <c r="K15" s="54"/>
      <c r="L15" s="54"/>
      <c r="M15" s="54"/>
      <c r="N15" s="54"/>
      <c r="O15" s="54"/>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54"/>
      <c r="AS15" s="54"/>
      <c r="AT15" s="54"/>
      <c r="AU15" s="54"/>
      <c r="AV15" s="54"/>
      <c r="AW15" s="54"/>
      <c r="AX15" s="54"/>
      <c r="AY15" s="54"/>
      <c r="AZ15" s="54"/>
      <c r="BA15" s="54"/>
      <c r="BB15" s="54"/>
      <c r="BC15" s="54"/>
      <c r="BD15" s="54"/>
      <c r="BE15" s="55"/>
      <c r="BF15" s="55"/>
      <c r="BG15" s="55"/>
      <c r="BH15" s="55"/>
      <c r="BI15" s="65"/>
      <c r="BJ15" s="31"/>
      <c r="BK15" s="31"/>
      <c r="BL15" s="31"/>
      <c r="BM15" s="31"/>
      <c r="BN15" s="35"/>
    </row>
    <row r="16" spans="1:66" ht="20.100000000000001" customHeight="1" x14ac:dyDescent="0.45">
      <c r="A16" s="32"/>
      <c r="B16" s="31"/>
      <c r="C16" s="31"/>
      <c r="D16" s="61" t="s">
        <v>21</v>
      </c>
      <c r="E16" s="53"/>
      <c r="F16" s="53"/>
      <c r="G16" s="68"/>
      <c r="H16" s="54"/>
      <c r="I16" s="54"/>
      <c r="J16" s="54"/>
      <c r="K16" s="54"/>
      <c r="L16" s="54"/>
      <c r="M16" s="54"/>
      <c r="N16" s="54"/>
      <c r="O16" s="54"/>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54"/>
      <c r="AS16" s="54"/>
      <c r="AT16" s="54"/>
      <c r="AU16" s="54"/>
      <c r="AV16" s="54"/>
      <c r="AW16" s="54"/>
      <c r="AX16" s="54"/>
      <c r="AY16" s="54"/>
      <c r="AZ16" s="54"/>
      <c r="BA16" s="54"/>
      <c r="BB16" s="54"/>
      <c r="BC16" s="54"/>
      <c r="BD16" s="54"/>
      <c r="BE16" s="55"/>
      <c r="BF16" s="55"/>
      <c r="BG16" s="55"/>
      <c r="BH16" s="55"/>
      <c r="BI16" s="65"/>
      <c r="BJ16" s="31"/>
      <c r="BK16" s="31"/>
      <c r="BL16" s="31"/>
      <c r="BM16" s="31"/>
      <c r="BN16" s="35"/>
    </row>
    <row r="17" spans="1:66" ht="20.100000000000001" customHeight="1" thickBot="1" x14ac:dyDescent="0.5">
      <c r="A17" s="32"/>
      <c r="B17" s="31"/>
      <c r="C17" s="31"/>
      <c r="D17" s="57"/>
      <c r="E17" s="58"/>
      <c r="F17" s="58"/>
      <c r="G17" s="69"/>
      <c r="H17" s="75"/>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34"/>
      <c r="BF17" s="34"/>
      <c r="BG17" s="34"/>
      <c r="BH17" s="34"/>
      <c r="BI17" s="28"/>
      <c r="BJ17" s="31"/>
      <c r="BK17" s="31"/>
      <c r="BL17" s="31"/>
      <c r="BM17" s="31"/>
      <c r="BN17" s="35"/>
    </row>
    <row r="18" spans="1:66" ht="20.100000000000001" customHeight="1" thickTop="1" x14ac:dyDescent="0.45">
      <c r="A18" s="32"/>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5"/>
    </row>
    <row r="19" spans="1:66" ht="20.100000000000001" customHeight="1" x14ac:dyDescent="0.45">
      <c r="A19" s="32"/>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5"/>
    </row>
    <row r="20" spans="1:66" ht="20.100000000000001" customHeight="1" x14ac:dyDescent="0.45">
      <c r="A20" s="32"/>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5"/>
    </row>
    <row r="21" spans="1:66" ht="20.100000000000001" customHeight="1" x14ac:dyDescent="0.45">
      <c r="A21" s="32"/>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5"/>
    </row>
    <row r="22" spans="1:66" ht="20.100000000000001" customHeight="1" x14ac:dyDescent="0.45">
      <c r="A22" s="32"/>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5"/>
    </row>
    <row r="23" spans="1:66" ht="20.100000000000001" customHeight="1" x14ac:dyDescent="0.45">
      <c r="A23" s="32"/>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5"/>
    </row>
    <row r="24" spans="1:66" ht="20.100000000000001" customHeight="1" x14ac:dyDescent="0.45">
      <c r="A24" s="32"/>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5"/>
    </row>
    <row r="25" spans="1:66" ht="20.100000000000001" customHeight="1" x14ac:dyDescent="0.45">
      <c r="A25" s="32"/>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5"/>
    </row>
    <row r="26" spans="1:66" ht="20.100000000000001" customHeight="1" thickBot="1" x14ac:dyDescent="0.5">
      <c r="A26" s="32"/>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5"/>
    </row>
    <row r="27" spans="1:66" ht="20.100000000000001" customHeight="1" thickTop="1" x14ac:dyDescent="0.45">
      <c r="A27" s="31"/>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1"/>
    </row>
    <row r="28" spans="1:66" ht="20.100000000000001" customHeight="1" x14ac:dyDescent="0.4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row>
    <row r="29" spans="1:66" ht="20.100000000000001" customHeight="1" x14ac:dyDescent="0.4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row>
    <row r="30" spans="1:66" ht="20.100000000000001" customHeight="1" x14ac:dyDescent="0.4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row>
    <row r="31" spans="1:66" ht="5.0999999999999996" customHeight="1" x14ac:dyDescent="0.45">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row>
    <row r="32" spans="1:66" ht="20.100000000000001" customHeight="1" x14ac:dyDescent="0.45">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row>
  </sheetData>
  <mergeCells count="20">
    <mergeCell ref="AK3:AW4"/>
    <mergeCell ref="B2:G2"/>
    <mergeCell ref="H2:K2"/>
    <mergeCell ref="L2:Q2"/>
    <mergeCell ref="R2:W2"/>
    <mergeCell ref="X2:AJ2"/>
    <mergeCell ref="AK2:AW2"/>
    <mergeCell ref="B3:G4"/>
    <mergeCell ref="H3:K4"/>
    <mergeCell ref="L3:Q4"/>
    <mergeCell ref="R3:W4"/>
    <mergeCell ref="X3:AJ4"/>
    <mergeCell ref="AX3:BA4"/>
    <mergeCell ref="BB3:BE4"/>
    <mergeCell ref="BF3:BI4"/>
    <mergeCell ref="BJ3:BM4"/>
    <mergeCell ref="AX2:BA2"/>
    <mergeCell ref="BB2:BE2"/>
    <mergeCell ref="BF2:BI2"/>
    <mergeCell ref="BJ2:BM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showGridLines="0" view="pageBreakPreview" zoomScale="70" zoomScaleNormal="100" zoomScaleSheetLayoutView="70"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59" t="s">
        <v>0</v>
      </c>
      <c r="C2" s="142"/>
      <c r="D2" s="142"/>
      <c r="E2" s="142"/>
      <c r="F2" s="142"/>
      <c r="G2" s="142"/>
      <c r="H2" s="142" t="s">
        <v>17</v>
      </c>
      <c r="I2" s="142"/>
      <c r="J2" s="142"/>
      <c r="K2" s="142"/>
      <c r="L2" s="142" t="s">
        <v>279</v>
      </c>
      <c r="M2" s="142"/>
      <c r="N2" s="142"/>
      <c r="O2" s="142"/>
      <c r="P2" s="142"/>
      <c r="Q2" s="142"/>
      <c r="R2" s="142" t="s">
        <v>2</v>
      </c>
      <c r="S2" s="142"/>
      <c r="T2" s="142"/>
      <c r="U2" s="142"/>
      <c r="V2" s="142"/>
      <c r="W2" s="142"/>
      <c r="X2" s="154" t="s">
        <v>3</v>
      </c>
      <c r="Y2" s="155"/>
      <c r="Z2" s="155"/>
      <c r="AA2" s="155"/>
      <c r="AB2" s="155"/>
      <c r="AC2" s="155"/>
      <c r="AD2" s="155"/>
      <c r="AE2" s="155"/>
      <c r="AF2" s="155"/>
      <c r="AG2" s="155"/>
      <c r="AH2" s="155"/>
      <c r="AI2" s="155"/>
      <c r="AJ2" s="156"/>
      <c r="AK2" s="154" t="s">
        <v>32</v>
      </c>
      <c r="AL2" s="155"/>
      <c r="AM2" s="155"/>
      <c r="AN2" s="155"/>
      <c r="AO2" s="155"/>
      <c r="AP2" s="155"/>
      <c r="AQ2" s="155"/>
      <c r="AR2" s="155"/>
      <c r="AS2" s="155"/>
      <c r="AT2" s="155"/>
      <c r="AU2" s="155"/>
      <c r="AV2" s="155"/>
      <c r="AW2" s="156"/>
      <c r="AX2" s="142" t="s">
        <v>5</v>
      </c>
      <c r="AY2" s="142"/>
      <c r="AZ2" s="142"/>
      <c r="BA2" s="142"/>
      <c r="BB2" s="142" t="s">
        <v>4</v>
      </c>
      <c r="BC2" s="142"/>
      <c r="BD2" s="142"/>
      <c r="BE2" s="142"/>
      <c r="BF2" s="142" t="s">
        <v>6</v>
      </c>
      <c r="BG2" s="142"/>
      <c r="BH2" s="142"/>
      <c r="BI2" s="142"/>
      <c r="BJ2" s="142" t="s">
        <v>7</v>
      </c>
      <c r="BK2" s="142"/>
      <c r="BL2" s="142"/>
      <c r="BM2" s="143"/>
      <c r="BN2" s="15"/>
    </row>
    <row r="3" spans="1:66" ht="20.100000000000001" customHeight="1" x14ac:dyDescent="0.45">
      <c r="A3" s="9"/>
      <c r="B3" s="157" t="str">
        <f>変更履歴!B3</f>
        <v>受発注システム</v>
      </c>
      <c r="C3" s="145"/>
      <c r="D3" s="145"/>
      <c r="E3" s="145"/>
      <c r="F3" s="145"/>
      <c r="G3" s="145"/>
      <c r="H3" s="145" t="str">
        <f ca="1">変更履歴!H3</f>
        <v>SU1500</v>
      </c>
      <c r="I3" s="145"/>
      <c r="J3" s="145"/>
      <c r="K3" s="145"/>
      <c r="L3" s="145" t="str">
        <f>変更履歴!L3</f>
        <v>受発注</v>
      </c>
      <c r="M3" s="145"/>
      <c r="N3" s="145"/>
      <c r="O3" s="145"/>
      <c r="P3" s="145"/>
      <c r="Q3" s="145"/>
      <c r="R3" s="145" t="str">
        <f ca="1">変更履歴!R3</f>
        <v>帳票設計書</v>
      </c>
      <c r="S3" s="145"/>
      <c r="T3" s="145"/>
      <c r="U3" s="145"/>
      <c r="V3" s="145"/>
      <c r="W3" s="145"/>
      <c r="X3" s="148" t="str">
        <f ca="1">変更履歴!X3</f>
        <v>SU1500_売掛金集計表(仕分出力)_帳票設計書</v>
      </c>
      <c r="Y3" s="149"/>
      <c r="Z3" s="149"/>
      <c r="AA3" s="149"/>
      <c r="AB3" s="149"/>
      <c r="AC3" s="149"/>
      <c r="AD3" s="149"/>
      <c r="AE3" s="149"/>
      <c r="AF3" s="149"/>
      <c r="AG3" s="149"/>
      <c r="AH3" s="149"/>
      <c r="AI3" s="149"/>
      <c r="AJ3" s="150"/>
      <c r="AK3" s="148" t="str">
        <f ca="1">変更履歴!AK3</f>
        <v>売掛金集計表(仕分出力)</v>
      </c>
      <c r="AL3" s="149"/>
      <c r="AM3" s="149"/>
      <c r="AN3" s="149"/>
      <c r="AO3" s="149"/>
      <c r="AP3" s="149"/>
      <c r="AQ3" s="149"/>
      <c r="AR3" s="149"/>
      <c r="AS3" s="149"/>
      <c r="AT3" s="149"/>
      <c r="AU3" s="149"/>
      <c r="AV3" s="149"/>
      <c r="AW3" s="150"/>
      <c r="AX3" s="144">
        <f>変更履歴!AX3</f>
        <v>45538</v>
      </c>
      <c r="AY3" s="144"/>
      <c r="AZ3" s="144"/>
      <c r="BA3" s="144"/>
      <c r="BB3" s="145" t="str">
        <f>変更履歴!BB3</f>
        <v>大谷</v>
      </c>
      <c r="BC3" s="145"/>
      <c r="BD3" s="145"/>
      <c r="BE3" s="145"/>
      <c r="BF3" s="144">
        <f>変更履歴!BF3</f>
        <v>45538</v>
      </c>
      <c r="BG3" s="144"/>
      <c r="BH3" s="144"/>
      <c r="BI3" s="144"/>
      <c r="BJ3" s="145" t="str">
        <f>変更履歴!BJ3</f>
        <v>大谷</v>
      </c>
      <c r="BK3" s="145"/>
      <c r="BL3" s="145"/>
      <c r="BM3" s="147"/>
      <c r="BN3" s="15"/>
    </row>
    <row r="4" spans="1:66" ht="20.100000000000001" customHeight="1" thickBot="1" x14ac:dyDescent="0.5">
      <c r="A4" s="9"/>
      <c r="B4" s="150"/>
      <c r="C4" s="146"/>
      <c r="D4" s="146"/>
      <c r="E4" s="146"/>
      <c r="F4" s="146"/>
      <c r="G4" s="146"/>
      <c r="H4" s="146"/>
      <c r="I4" s="146"/>
      <c r="J4" s="146"/>
      <c r="K4" s="146"/>
      <c r="L4" s="146"/>
      <c r="M4" s="146"/>
      <c r="N4" s="146"/>
      <c r="O4" s="146"/>
      <c r="P4" s="146"/>
      <c r="Q4" s="146"/>
      <c r="R4" s="146"/>
      <c r="S4" s="146"/>
      <c r="T4" s="146"/>
      <c r="U4" s="146"/>
      <c r="V4" s="146"/>
      <c r="W4" s="146"/>
      <c r="X4" s="151"/>
      <c r="Y4" s="152"/>
      <c r="Z4" s="152"/>
      <c r="AA4" s="152"/>
      <c r="AB4" s="152"/>
      <c r="AC4" s="152"/>
      <c r="AD4" s="152"/>
      <c r="AE4" s="152"/>
      <c r="AF4" s="152"/>
      <c r="AG4" s="152"/>
      <c r="AH4" s="152"/>
      <c r="AI4" s="152"/>
      <c r="AJ4" s="153"/>
      <c r="AK4" s="151"/>
      <c r="AL4" s="152"/>
      <c r="AM4" s="152"/>
      <c r="AN4" s="152"/>
      <c r="AO4" s="152"/>
      <c r="AP4" s="152"/>
      <c r="AQ4" s="152"/>
      <c r="AR4" s="152"/>
      <c r="AS4" s="152"/>
      <c r="AT4" s="152"/>
      <c r="AU4" s="152"/>
      <c r="AV4" s="152"/>
      <c r="AW4" s="153"/>
      <c r="AX4" s="160"/>
      <c r="AY4" s="160"/>
      <c r="AZ4" s="160"/>
      <c r="BA4" s="160"/>
      <c r="BB4" s="146"/>
      <c r="BC4" s="146"/>
      <c r="BD4" s="146"/>
      <c r="BE4" s="146"/>
      <c r="BF4" s="160"/>
      <c r="BG4" s="160"/>
      <c r="BH4" s="160"/>
      <c r="BI4" s="160"/>
      <c r="BJ4" s="146"/>
      <c r="BK4" s="146"/>
      <c r="BL4" s="146"/>
      <c r="BM4" s="148"/>
      <c r="BN4" s="15"/>
    </row>
    <row r="5" spans="1:66" ht="5.25" customHeight="1" thickTop="1" x14ac:dyDescent="0.45">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spans="1:66" ht="20.100000000000001" customHeight="1" thickBot="1" x14ac:dyDescent="0.5">
      <c r="A6" s="31"/>
      <c r="B6" s="45" t="s">
        <v>45</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1"/>
    </row>
    <row r="7" spans="1:66" ht="20.100000000000001" customHeight="1" thickTop="1" x14ac:dyDescent="0.45">
      <c r="A7" s="9"/>
      <c r="B7" s="7"/>
      <c r="C7" s="1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5"/>
    </row>
    <row r="8" spans="1:66" ht="20.100000000000001" customHeight="1" x14ac:dyDescent="0.45">
      <c r="A8" s="9"/>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c r="BH8"/>
      <c r="BI8"/>
      <c r="BJ8"/>
      <c r="BK8" s="7"/>
      <c r="BL8" s="7"/>
      <c r="BM8" s="7"/>
      <c r="BN8" s="15"/>
    </row>
    <row r="9" spans="1:66" ht="20.100000000000001" customHeight="1" x14ac:dyDescent="0.45">
      <c r="A9" s="9"/>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c r="BH9"/>
      <c r="BI9"/>
      <c r="BJ9"/>
      <c r="BK9" s="7"/>
      <c r="BL9" s="7"/>
      <c r="BM9" s="7"/>
      <c r="BN9" s="15"/>
    </row>
    <row r="10" spans="1:66" ht="20.100000000000001" customHeight="1" x14ac:dyDescent="0.45">
      <c r="A10" s="9"/>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c r="BH10"/>
      <c r="BI10"/>
      <c r="BJ10"/>
      <c r="BK10" s="7"/>
      <c r="BL10" s="7"/>
      <c r="BM10" s="7"/>
      <c r="BN10" s="15"/>
    </row>
    <row r="11" spans="1:66" ht="20.100000000000001" customHeight="1" x14ac:dyDescent="0.45">
      <c r="A11" s="9"/>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c r="BH11"/>
      <c r="BI11"/>
      <c r="BJ11"/>
      <c r="BK11" s="7"/>
      <c r="BL11" s="7"/>
      <c r="BM11" s="7"/>
      <c r="BN11" s="15"/>
    </row>
    <row r="12" spans="1:66" ht="20.100000000000001" customHeight="1" x14ac:dyDescent="0.45">
      <c r="A12" s="9"/>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c r="BH12"/>
      <c r="BI12"/>
      <c r="BJ12"/>
      <c r="BK12" s="7"/>
      <c r="BL12" s="7"/>
      <c r="BM12" s="7"/>
      <c r="BN12" s="15"/>
    </row>
    <row r="13" spans="1:66" ht="20.100000000000001" customHeight="1" x14ac:dyDescent="0.45">
      <c r="A13" s="9"/>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c r="BH13"/>
      <c r="BI13"/>
      <c r="BJ13"/>
      <c r="BK13" s="7"/>
      <c r="BL13" s="7"/>
      <c r="BM13" s="7"/>
      <c r="BN13" s="15"/>
    </row>
    <row r="14" spans="1:66" ht="20.100000000000001" customHeight="1" x14ac:dyDescent="0.45">
      <c r="A14" s="9"/>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c r="BH14"/>
      <c r="BI14"/>
      <c r="BJ14"/>
      <c r="BK14" s="7"/>
      <c r="BL14" s="7"/>
      <c r="BM14" s="7"/>
      <c r="BN14" s="15"/>
    </row>
    <row r="15" spans="1:66" ht="20.100000000000001" customHeight="1" x14ac:dyDescent="0.45">
      <c r="A15" s="9"/>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c r="BH15"/>
      <c r="BI15"/>
      <c r="BJ15"/>
      <c r="BK15" s="7"/>
      <c r="BL15" s="7"/>
      <c r="BM15" s="7"/>
      <c r="BN15" s="15"/>
    </row>
    <row r="16" spans="1:66" ht="20.100000000000001" customHeight="1" x14ac:dyDescent="0.45">
      <c r="A16" s="9"/>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c r="BH16"/>
      <c r="BI16"/>
      <c r="BJ16"/>
      <c r="BK16" s="7"/>
      <c r="BL16" s="7"/>
      <c r="BM16" s="7"/>
      <c r="BN16" s="15"/>
    </row>
    <row r="17" spans="1:66" ht="20.100000000000001" customHeight="1" x14ac:dyDescent="0.45">
      <c r="A17" s="9"/>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c r="BH17"/>
      <c r="BI17"/>
      <c r="BJ17"/>
      <c r="BK17" s="7"/>
      <c r="BL17" s="7"/>
      <c r="BM17" s="7"/>
      <c r="BN17" s="15"/>
    </row>
    <row r="18" spans="1:66" ht="20.100000000000001" customHeight="1" x14ac:dyDescent="0.45">
      <c r="A18" s="9"/>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c r="BH18"/>
      <c r="BI18"/>
      <c r="BJ18"/>
      <c r="BK18" s="7"/>
      <c r="BL18" s="7"/>
      <c r="BM18" s="7"/>
      <c r="BN18" s="15"/>
    </row>
    <row r="19" spans="1:66" ht="20.100000000000001" customHeight="1" x14ac:dyDescent="0.45">
      <c r="A19" s="9"/>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c r="BH19"/>
      <c r="BI19"/>
      <c r="BJ19"/>
      <c r="BK19" s="7"/>
      <c r="BL19" s="7"/>
      <c r="BM19" s="7"/>
      <c r="BN19" s="15"/>
    </row>
    <row r="20" spans="1:66" ht="20.100000000000001" customHeight="1" x14ac:dyDescent="0.45">
      <c r="A20" s="9"/>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c r="BH20"/>
      <c r="BI20"/>
      <c r="BJ20"/>
      <c r="BK20" s="7"/>
      <c r="BL20" s="7"/>
      <c r="BM20" s="7"/>
      <c r="BN20" s="15"/>
    </row>
    <row r="21" spans="1:66" ht="20.100000000000001" customHeight="1" x14ac:dyDescent="0.45">
      <c r="A21" s="9"/>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c r="BH21"/>
      <c r="BI21"/>
      <c r="BJ21"/>
      <c r="BK21" s="7"/>
      <c r="BL21" s="7"/>
      <c r="BM21" s="7"/>
      <c r="BN21" s="15"/>
    </row>
    <row r="22" spans="1:66" ht="20.100000000000001" customHeight="1" x14ac:dyDescent="0.45">
      <c r="A22" s="9"/>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c r="BH22"/>
      <c r="BI22"/>
      <c r="BJ22"/>
      <c r="BK22" s="7"/>
      <c r="BL22" s="7"/>
      <c r="BM22" s="7"/>
      <c r="BN22" s="15"/>
    </row>
    <row r="23" spans="1:66" ht="20.100000000000001" customHeight="1" x14ac:dyDescent="0.45">
      <c r="A23" s="9"/>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c r="BH23"/>
      <c r="BI23"/>
      <c r="BJ23"/>
      <c r="BK23" s="7"/>
      <c r="BL23" s="7"/>
      <c r="BM23" s="7"/>
      <c r="BN23" s="15"/>
    </row>
    <row r="24" spans="1:66" ht="20.100000000000001" customHeight="1" x14ac:dyDescent="0.45">
      <c r="A24" s="9"/>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c r="BH24"/>
      <c r="BI24"/>
      <c r="BJ24"/>
      <c r="BK24" s="7"/>
      <c r="BL24" s="7"/>
      <c r="BM24" s="7"/>
      <c r="BN24" s="15"/>
    </row>
    <row r="25" spans="1:66" ht="20.100000000000001" customHeight="1" x14ac:dyDescent="0.45">
      <c r="A25" s="9"/>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c r="BH25"/>
      <c r="BI25"/>
      <c r="BJ25"/>
      <c r="BK25" s="7"/>
      <c r="BL25" s="7"/>
      <c r="BM25" s="7"/>
      <c r="BN25" s="15"/>
    </row>
    <row r="26" spans="1:66" ht="20.100000000000001" customHeight="1" x14ac:dyDescent="0.45">
      <c r="A26" s="9"/>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c r="BH26"/>
      <c r="BI26"/>
      <c r="BJ26"/>
      <c r="BK26" s="7"/>
      <c r="BL26" s="7"/>
      <c r="BM26" s="7"/>
      <c r="BN26" s="15"/>
    </row>
    <row r="27" spans="1:66" ht="20.100000000000001" customHeight="1" x14ac:dyDescent="0.45">
      <c r="A27" s="9"/>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c r="BH27"/>
      <c r="BI27"/>
      <c r="BJ27"/>
      <c r="BK27" s="7"/>
      <c r="BL27" s="7"/>
      <c r="BM27" s="7"/>
      <c r="BN27" s="15"/>
    </row>
    <row r="28" spans="1:66" ht="20.100000000000001" customHeight="1" x14ac:dyDescent="0.45">
      <c r="A28" s="9"/>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c r="BH28"/>
      <c r="BI28"/>
      <c r="BJ28"/>
      <c r="BK28" s="7"/>
      <c r="BL28" s="7"/>
      <c r="BM28" s="7"/>
      <c r="BN28" s="15"/>
    </row>
    <row r="29" spans="1:66" ht="20.100000000000001" customHeight="1" x14ac:dyDescent="0.45">
      <c r="A29" s="9"/>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c r="BH29"/>
      <c r="BI29"/>
      <c r="BJ29"/>
      <c r="BK29" s="7"/>
      <c r="BL29" s="7"/>
      <c r="BM29" s="7"/>
      <c r="BN29" s="15"/>
    </row>
    <row r="30" spans="1:66" ht="20.100000000000001" customHeight="1" x14ac:dyDescent="0.45">
      <c r="A30" s="9"/>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c r="BH30"/>
      <c r="BI30"/>
      <c r="BJ30"/>
      <c r="BK30" s="7"/>
      <c r="BL30" s="7"/>
      <c r="BM30" s="7"/>
      <c r="BN30" s="15"/>
    </row>
    <row r="31" spans="1:66" ht="20.100000000000001" customHeight="1" x14ac:dyDescent="0.45">
      <c r="A31" s="9"/>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c r="BH31"/>
      <c r="BI31"/>
      <c r="BJ31"/>
      <c r="BK31" s="7"/>
      <c r="BL31" s="7"/>
      <c r="BM31" s="7"/>
      <c r="BN31" s="15"/>
    </row>
    <row r="32" spans="1:66" ht="20.100000000000001" customHeight="1" x14ac:dyDescent="0.45">
      <c r="A32" s="9"/>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c r="BH32"/>
      <c r="BI32"/>
      <c r="BJ32"/>
      <c r="BK32" s="7"/>
      <c r="BL32" s="7"/>
      <c r="BM32" s="7"/>
      <c r="BN32" s="15"/>
    </row>
    <row r="33" spans="1:66" ht="20.100000000000001" customHeight="1" x14ac:dyDescent="0.45">
      <c r="A33" s="9"/>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c r="BH33"/>
      <c r="BI33"/>
      <c r="BJ33"/>
      <c r="BK33" s="7"/>
      <c r="BL33" s="7"/>
      <c r="BM33" s="7"/>
      <c r="BN33" s="15"/>
    </row>
    <row r="34" spans="1:66" ht="20.100000000000001" customHeight="1" x14ac:dyDescent="0.45">
      <c r="A34" s="9"/>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15"/>
    </row>
    <row r="35" spans="1:66" ht="20.100000000000001" customHeight="1" x14ac:dyDescent="0.45">
      <c r="A35" s="9"/>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15"/>
    </row>
    <row r="36" spans="1:66" ht="20.100000000000001" customHeight="1" x14ac:dyDescent="0.45">
      <c r="A36" s="9"/>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15"/>
    </row>
    <row r="37" spans="1:66" ht="20.100000000000001" customHeight="1" x14ac:dyDescent="0.45">
      <c r="A37" s="9"/>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15"/>
    </row>
    <row r="38" spans="1:66" ht="20.100000000000001" customHeight="1" x14ac:dyDescent="0.45">
      <c r="A38" s="9"/>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15"/>
    </row>
    <row r="39" spans="1:66" ht="20.100000000000001" customHeight="1" x14ac:dyDescent="0.45">
      <c r="B39" s="15"/>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9"/>
    </row>
    <row r="40" spans="1:66" ht="20.100000000000001" customHeight="1" x14ac:dyDescent="0.45">
      <c r="B40" s="15"/>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9"/>
    </row>
    <row r="41" spans="1:66" ht="20.100000000000001" customHeight="1" x14ac:dyDescent="0.45">
      <c r="B41" s="15"/>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9"/>
    </row>
    <row r="42" spans="1:66" ht="20.100000000000001" customHeight="1" x14ac:dyDescent="0.45">
      <c r="B42" s="15"/>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9"/>
    </row>
    <row r="43" spans="1:66" ht="20.100000000000001" customHeight="1" x14ac:dyDescent="0.45">
      <c r="B43" s="15"/>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9"/>
    </row>
    <row r="44" spans="1:66" ht="20.100000000000001" customHeight="1" x14ac:dyDescent="0.45">
      <c r="B44" s="15"/>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9"/>
    </row>
    <row r="45" spans="1:66" ht="20.100000000000001" customHeight="1" x14ac:dyDescent="0.45">
      <c r="B45" s="15"/>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9"/>
    </row>
    <row r="46" spans="1:66" ht="20.100000000000001" customHeight="1" x14ac:dyDescent="0.45">
      <c r="B46" s="1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9"/>
    </row>
    <row r="47" spans="1:66" ht="20.100000000000001" customHeight="1" thickBot="1" x14ac:dyDescent="0.5">
      <c r="B47" s="27"/>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28"/>
    </row>
    <row r="48" spans="1:66" ht="20.100000000000001" customHeight="1" thickTop="1" x14ac:dyDescent="0.45"/>
  </sheetData>
  <mergeCells count="20">
    <mergeCell ref="BB2:BE2"/>
    <mergeCell ref="BF2:BI2"/>
    <mergeCell ref="BJ2:BM2"/>
    <mergeCell ref="AX2:BA2"/>
    <mergeCell ref="X2:AJ2"/>
    <mergeCell ref="AK2:AW2"/>
    <mergeCell ref="B2:G2"/>
    <mergeCell ref="B3:G4"/>
    <mergeCell ref="H2:K2"/>
    <mergeCell ref="L2:Q2"/>
    <mergeCell ref="R2:W2"/>
    <mergeCell ref="L3:Q4"/>
    <mergeCell ref="H3:K4"/>
    <mergeCell ref="BJ3:BM4"/>
    <mergeCell ref="BF3:BI4"/>
    <mergeCell ref="BB3:BE4"/>
    <mergeCell ref="AX3:BA4"/>
    <mergeCell ref="R3:W4"/>
    <mergeCell ref="X3:AJ4"/>
    <mergeCell ref="AK3:AW4"/>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G62"/>
  <sheetViews>
    <sheetView showGridLines="0" view="pageBreakPreview" zoomScaleNormal="100" zoomScaleSheetLayoutView="100" workbookViewId="0"/>
  </sheetViews>
  <sheetFormatPr defaultColWidth="3.59765625" defaultRowHeight="20.100000000000001" customHeight="1" x14ac:dyDescent="0.45"/>
  <cols>
    <col min="1" max="1" width="1.09765625" style="6" customWidth="1"/>
    <col min="2" max="65" width="3.69921875" style="6" customWidth="1"/>
    <col min="66" max="66" width="3.59765625" style="6" customWidth="1"/>
    <col min="67" max="16384" width="3.59765625" style="6"/>
  </cols>
  <sheetData>
    <row r="1" spans="1:85"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85" ht="20.100000000000001" customHeight="1" thickTop="1" x14ac:dyDescent="0.45">
      <c r="A2" s="9"/>
      <c r="B2" s="159" t="s">
        <v>0</v>
      </c>
      <c r="C2" s="142"/>
      <c r="D2" s="142"/>
      <c r="E2" s="142"/>
      <c r="F2" s="142"/>
      <c r="G2" s="142"/>
      <c r="H2" s="142" t="s">
        <v>17</v>
      </c>
      <c r="I2" s="142"/>
      <c r="J2" s="142"/>
      <c r="K2" s="142"/>
      <c r="L2" s="142" t="s">
        <v>279</v>
      </c>
      <c r="M2" s="142"/>
      <c r="N2" s="142"/>
      <c r="O2" s="142"/>
      <c r="P2" s="142"/>
      <c r="Q2" s="142"/>
      <c r="R2" s="142" t="s">
        <v>2</v>
      </c>
      <c r="S2" s="142"/>
      <c r="T2" s="142"/>
      <c r="U2" s="142"/>
      <c r="V2" s="142"/>
      <c r="W2" s="142"/>
      <c r="X2" s="154" t="s">
        <v>3</v>
      </c>
      <c r="Y2" s="155"/>
      <c r="Z2" s="155"/>
      <c r="AA2" s="155"/>
      <c r="AB2" s="155"/>
      <c r="AC2" s="155"/>
      <c r="AD2" s="155"/>
      <c r="AE2" s="155"/>
      <c r="AF2" s="155"/>
      <c r="AG2" s="155"/>
      <c r="AH2" s="155"/>
      <c r="AI2" s="155"/>
      <c r="AJ2" s="156"/>
      <c r="AK2" s="154" t="s">
        <v>32</v>
      </c>
      <c r="AL2" s="155"/>
      <c r="AM2" s="155"/>
      <c r="AN2" s="155"/>
      <c r="AO2" s="155"/>
      <c r="AP2" s="155"/>
      <c r="AQ2" s="155"/>
      <c r="AR2" s="155"/>
      <c r="AS2" s="155"/>
      <c r="AT2" s="155"/>
      <c r="AU2" s="155"/>
      <c r="AV2" s="155"/>
      <c r="AW2" s="156"/>
      <c r="AX2" s="142" t="s">
        <v>5</v>
      </c>
      <c r="AY2" s="142"/>
      <c r="AZ2" s="142"/>
      <c r="BA2" s="142"/>
      <c r="BB2" s="142" t="s">
        <v>4</v>
      </c>
      <c r="BC2" s="142"/>
      <c r="BD2" s="142"/>
      <c r="BE2" s="142"/>
      <c r="BF2" s="142" t="s">
        <v>6</v>
      </c>
      <c r="BG2" s="142"/>
      <c r="BH2" s="142"/>
      <c r="BI2" s="142"/>
      <c r="BJ2" s="142" t="s">
        <v>7</v>
      </c>
      <c r="BK2" s="142"/>
      <c r="BL2" s="142"/>
      <c r="BM2" s="143"/>
      <c r="BN2" s="15"/>
    </row>
    <row r="3" spans="1:85" ht="20.100000000000001" customHeight="1" x14ac:dyDescent="0.45">
      <c r="A3" s="9"/>
      <c r="B3" s="157" t="str">
        <f>変更履歴!B3</f>
        <v>受発注システム</v>
      </c>
      <c r="C3" s="145"/>
      <c r="D3" s="145"/>
      <c r="E3" s="145"/>
      <c r="F3" s="145"/>
      <c r="G3" s="145"/>
      <c r="H3" s="145" t="str">
        <f ca="1">変更履歴!H3</f>
        <v>SU1500</v>
      </c>
      <c r="I3" s="145"/>
      <c r="J3" s="145"/>
      <c r="K3" s="145"/>
      <c r="L3" s="145" t="str">
        <f>変更履歴!L3</f>
        <v>受発注</v>
      </c>
      <c r="M3" s="145"/>
      <c r="N3" s="145"/>
      <c r="O3" s="145"/>
      <c r="P3" s="145"/>
      <c r="Q3" s="145"/>
      <c r="R3" s="145" t="str">
        <f ca="1">変更履歴!R3</f>
        <v>帳票設計書</v>
      </c>
      <c r="S3" s="145"/>
      <c r="T3" s="145"/>
      <c r="U3" s="145"/>
      <c r="V3" s="145"/>
      <c r="W3" s="145"/>
      <c r="X3" s="148" t="str">
        <f ca="1">変更履歴!X3</f>
        <v>SU1500_売掛金集計表(仕分出力)_帳票設計書</v>
      </c>
      <c r="Y3" s="149"/>
      <c r="Z3" s="149"/>
      <c r="AA3" s="149"/>
      <c r="AB3" s="149"/>
      <c r="AC3" s="149"/>
      <c r="AD3" s="149"/>
      <c r="AE3" s="149"/>
      <c r="AF3" s="149"/>
      <c r="AG3" s="149"/>
      <c r="AH3" s="149"/>
      <c r="AI3" s="149"/>
      <c r="AJ3" s="150"/>
      <c r="AK3" s="148" t="str">
        <f ca="1">変更履歴!AK3</f>
        <v>売掛金集計表(仕分出力)</v>
      </c>
      <c r="AL3" s="149"/>
      <c r="AM3" s="149"/>
      <c r="AN3" s="149"/>
      <c r="AO3" s="149"/>
      <c r="AP3" s="149"/>
      <c r="AQ3" s="149"/>
      <c r="AR3" s="149"/>
      <c r="AS3" s="149"/>
      <c r="AT3" s="149"/>
      <c r="AU3" s="149"/>
      <c r="AV3" s="149"/>
      <c r="AW3" s="150"/>
      <c r="AX3" s="144">
        <f>変更履歴!AX3</f>
        <v>45538</v>
      </c>
      <c r="AY3" s="144"/>
      <c r="AZ3" s="144"/>
      <c r="BA3" s="144"/>
      <c r="BB3" s="145" t="str">
        <f>変更履歴!BB3</f>
        <v>大谷</v>
      </c>
      <c r="BC3" s="145"/>
      <c r="BD3" s="145"/>
      <c r="BE3" s="145"/>
      <c r="BF3" s="144">
        <f>変更履歴!BF3</f>
        <v>45538</v>
      </c>
      <c r="BG3" s="144"/>
      <c r="BH3" s="144"/>
      <c r="BI3" s="144"/>
      <c r="BJ3" s="145" t="str">
        <f>変更履歴!BJ3</f>
        <v>大谷</v>
      </c>
      <c r="BK3" s="145"/>
      <c r="BL3" s="145"/>
      <c r="BM3" s="147"/>
      <c r="BN3" s="15"/>
    </row>
    <row r="4" spans="1:85" ht="20.100000000000001" customHeight="1" thickBot="1" x14ac:dyDescent="0.5">
      <c r="A4" s="9"/>
      <c r="B4" s="150"/>
      <c r="C4" s="146"/>
      <c r="D4" s="146"/>
      <c r="E4" s="146"/>
      <c r="F4" s="146"/>
      <c r="G4" s="146"/>
      <c r="H4" s="146"/>
      <c r="I4" s="146"/>
      <c r="J4" s="146"/>
      <c r="K4" s="146"/>
      <c r="L4" s="146"/>
      <c r="M4" s="146"/>
      <c r="N4" s="146"/>
      <c r="O4" s="146"/>
      <c r="P4" s="146"/>
      <c r="Q4" s="146"/>
      <c r="R4" s="146"/>
      <c r="S4" s="146"/>
      <c r="T4" s="146"/>
      <c r="U4" s="146"/>
      <c r="V4" s="146"/>
      <c r="W4" s="146"/>
      <c r="X4" s="151"/>
      <c r="Y4" s="152"/>
      <c r="Z4" s="152"/>
      <c r="AA4" s="152"/>
      <c r="AB4" s="152"/>
      <c r="AC4" s="152"/>
      <c r="AD4" s="152"/>
      <c r="AE4" s="152"/>
      <c r="AF4" s="152"/>
      <c r="AG4" s="152"/>
      <c r="AH4" s="152"/>
      <c r="AI4" s="152"/>
      <c r="AJ4" s="153"/>
      <c r="AK4" s="151"/>
      <c r="AL4" s="152"/>
      <c r="AM4" s="152"/>
      <c r="AN4" s="152"/>
      <c r="AO4" s="152"/>
      <c r="AP4" s="152"/>
      <c r="AQ4" s="152"/>
      <c r="AR4" s="152"/>
      <c r="AS4" s="152"/>
      <c r="AT4" s="152"/>
      <c r="AU4" s="152"/>
      <c r="AV4" s="152"/>
      <c r="AW4" s="153"/>
      <c r="AX4" s="160"/>
      <c r="AY4" s="160"/>
      <c r="AZ4" s="160"/>
      <c r="BA4" s="160"/>
      <c r="BB4" s="146"/>
      <c r="BC4" s="146"/>
      <c r="BD4" s="146"/>
      <c r="BE4" s="146"/>
      <c r="BF4" s="160"/>
      <c r="BG4" s="160"/>
      <c r="BH4" s="160"/>
      <c r="BI4" s="160"/>
      <c r="BJ4" s="146"/>
      <c r="BK4" s="146"/>
      <c r="BL4" s="146"/>
      <c r="BM4" s="148"/>
      <c r="BN4" s="15"/>
    </row>
    <row r="5" spans="1:85" ht="5.25" customHeight="1" thickTop="1" x14ac:dyDescent="0.4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row>
    <row r="6" spans="1:85" ht="19.5" customHeight="1" x14ac:dyDescent="0.45">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row>
    <row r="7" spans="1:85" ht="20.100000000000001" customHeight="1" thickBot="1" x14ac:dyDescent="0.5">
      <c r="A7" s="31"/>
      <c r="B7" s="45" t="s">
        <v>18</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row>
    <row r="8" spans="1:85" ht="20.100000000000001" customHeight="1" thickTop="1" x14ac:dyDescent="0.45">
      <c r="A8" s="31"/>
      <c r="B8" s="4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72"/>
    </row>
    <row r="9" spans="1:85" ht="20.100000000000001" customHeight="1" thickBot="1" x14ac:dyDescent="0.5">
      <c r="A9" s="30"/>
      <c r="B9" s="35"/>
      <c r="C9" s="39" t="s">
        <v>46</v>
      </c>
      <c r="D9" s="34"/>
      <c r="E9" s="34"/>
      <c r="F9" s="88" t="s">
        <v>52</v>
      </c>
      <c r="G9" s="34"/>
      <c r="H9" s="34"/>
      <c r="I9" s="34"/>
      <c r="J9" s="34"/>
      <c r="K9" s="34"/>
      <c r="L9" s="34"/>
      <c r="M9" s="34"/>
      <c r="N9" s="34"/>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29"/>
      <c r="AU9" s="29"/>
      <c r="AV9" s="41"/>
      <c r="AW9" s="41"/>
      <c r="AX9" s="41"/>
      <c r="AY9" s="41"/>
      <c r="AZ9" s="41"/>
      <c r="BA9" s="41"/>
      <c r="BB9" s="41"/>
      <c r="BC9" s="41"/>
      <c r="BD9" s="41"/>
      <c r="BE9" s="41"/>
      <c r="BF9" s="41"/>
      <c r="BG9" s="41"/>
      <c r="BH9" s="41"/>
      <c r="BI9" s="41"/>
      <c r="BJ9" s="41"/>
      <c r="BK9" s="41"/>
      <c r="BL9" s="41"/>
      <c r="BM9" s="41"/>
      <c r="BN9" s="41"/>
      <c r="BO9" s="31"/>
      <c r="BP9" s="31"/>
      <c r="BQ9" s="31"/>
      <c r="BR9" s="31"/>
      <c r="BS9" s="31"/>
      <c r="BT9" s="31"/>
      <c r="BU9" s="32"/>
    </row>
    <row r="10" spans="1:85" s="5" customFormat="1" ht="18.600000000000001" customHeight="1" thickTop="1" x14ac:dyDescent="0.45">
      <c r="A10" s="30"/>
      <c r="B10" s="44"/>
      <c r="C10" s="32"/>
      <c r="D10" s="38" t="s">
        <v>19</v>
      </c>
      <c r="E10" s="183" t="s">
        <v>20</v>
      </c>
      <c r="F10" s="184"/>
      <c r="G10" s="184"/>
      <c r="H10" s="184"/>
      <c r="I10" s="184"/>
      <c r="J10" s="184"/>
      <c r="K10" s="184"/>
      <c r="L10" s="185"/>
      <c r="M10" s="186" t="s">
        <v>24</v>
      </c>
      <c r="N10" s="187"/>
      <c r="O10" s="187"/>
      <c r="P10" s="186" t="s">
        <v>33</v>
      </c>
      <c r="Q10" s="187"/>
      <c r="R10" s="187"/>
      <c r="S10" s="186" t="s">
        <v>34</v>
      </c>
      <c r="T10" s="187"/>
      <c r="U10" s="187"/>
      <c r="V10" s="186" t="s">
        <v>36</v>
      </c>
      <c r="W10" s="187"/>
      <c r="X10" s="187"/>
      <c r="Y10" s="187"/>
      <c r="Z10" s="187"/>
      <c r="AA10" s="189"/>
      <c r="AB10" s="186" t="s">
        <v>35</v>
      </c>
      <c r="AC10" s="187"/>
      <c r="AD10" s="187"/>
      <c r="AE10" s="187"/>
      <c r="AF10" s="187"/>
      <c r="AG10" s="187"/>
      <c r="AH10" s="187"/>
      <c r="AI10" s="187"/>
      <c r="AJ10" s="187"/>
      <c r="AK10" s="187"/>
      <c r="AL10" s="187"/>
      <c r="AM10" s="187"/>
      <c r="AN10" s="187"/>
      <c r="AO10" s="187"/>
      <c r="AP10" s="187"/>
      <c r="AQ10" s="189"/>
      <c r="AR10" s="186" t="s">
        <v>42</v>
      </c>
      <c r="AS10" s="187"/>
      <c r="AT10" s="187"/>
      <c r="AU10" s="187"/>
      <c r="AV10" s="187"/>
      <c r="AW10" s="189"/>
      <c r="AX10" s="186" t="s">
        <v>43</v>
      </c>
      <c r="AY10" s="187"/>
      <c r="AZ10" s="187"/>
      <c r="BA10" s="187"/>
      <c r="BB10" s="187"/>
      <c r="BC10" s="187"/>
      <c r="BD10" s="187"/>
      <c r="BE10" s="187"/>
      <c r="BF10" s="187"/>
      <c r="BG10" s="187"/>
      <c r="BH10" s="187"/>
      <c r="BI10" s="187"/>
      <c r="BJ10" s="187"/>
      <c r="BK10" s="187"/>
      <c r="BL10" s="187"/>
      <c r="BM10" s="187"/>
      <c r="BN10" s="187"/>
      <c r="BO10" s="187"/>
      <c r="BP10" s="187"/>
      <c r="BQ10" s="187"/>
      <c r="BR10" s="187"/>
      <c r="BS10" s="187"/>
      <c r="BT10" s="188"/>
      <c r="BU10" s="41"/>
      <c r="BV10" s="40"/>
      <c r="BW10" s="41"/>
      <c r="BX10" s="41"/>
      <c r="BY10" s="41"/>
      <c r="BZ10" s="41"/>
      <c r="CA10" s="41"/>
      <c r="CB10" s="30"/>
      <c r="CC10" s="30"/>
      <c r="CD10" s="30"/>
      <c r="CE10" s="30"/>
      <c r="CF10" s="30"/>
      <c r="CG10" s="30"/>
    </row>
    <row r="11" spans="1:85" s="5" customFormat="1" ht="20.100000000000001" customHeight="1" x14ac:dyDescent="0.45">
      <c r="A11" s="30"/>
      <c r="B11" s="44"/>
      <c r="C11" s="32"/>
      <c r="D11" s="37">
        <v>1</v>
      </c>
      <c r="E11" s="161" t="s">
        <v>91</v>
      </c>
      <c r="F11" s="162"/>
      <c r="G11" s="162"/>
      <c r="H11" s="162"/>
      <c r="I11" s="162"/>
      <c r="J11" s="162"/>
      <c r="K11" s="162"/>
      <c r="L11" s="163"/>
      <c r="M11" s="137" t="s">
        <v>8</v>
      </c>
      <c r="N11" s="138"/>
      <c r="O11" s="138"/>
      <c r="P11" s="137" t="s">
        <v>121</v>
      </c>
      <c r="Q11" s="138"/>
      <c r="R11" s="138"/>
      <c r="S11" s="137"/>
      <c r="T11" s="138"/>
      <c r="U11" s="138"/>
      <c r="V11" s="164" t="s">
        <v>239</v>
      </c>
      <c r="W11" s="165"/>
      <c r="X11" s="165"/>
      <c r="Y11" s="165"/>
      <c r="Z11" s="165"/>
      <c r="AA11" s="166"/>
      <c r="AB11" s="167"/>
      <c r="AC11" s="168"/>
      <c r="AD11" s="168"/>
      <c r="AE11" s="168"/>
      <c r="AF11" s="168"/>
      <c r="AG11" s="168"/>
      <c r="AH11" s="168"/>
      <c r="AI11" s="168"/>
      <c r="AJ11" s="168"/>
      <c r="AK11" s="168"/>
      <c r="AL11" s="168"/>
      <c r="AM11" s="168"/>
      <c r="AN11" s="168"/>
      <c r="AO11" s="168"/>
      <c r="AP11" s="168"/>
      <c r="AQ11" s="169"/>
      <c r="AR11" s="137" t="s">
        <v>123</v>
      </c>
      <c r="AS11" s="138"/>
      <c r="AT11" s="138"/>
      <c r="AU11" s="138"/>
      <c r="AV11" s="138"/>
      <c r="AW11" s="139"/>
      <c r="AX11" s="164"/>
      <c r="AY11" s="165"/>
      <c r="AZ11" s="165"/>
      <c r="BA11" s="165"/>
      <c r="BB11" s="165"/>
      <c r="BC11" s="165"/>
      <c r="BD11" s="165"/>
      <c r="BE11" s="165"/>
      <c r="BF11" s="165"/>
      <c r="BG11" s="165"/>
      <c r="BH11" s="165"/>
      <c r="BI11" s="165"/>
      <c r="BJ11" s="165"/>
      <c r="BK11" s="165"/>
      <c r="BL11" s="165"/>
      <c r="BM11" s="165"/>
      <c r="BN11" s="165"/>
      <c r="BO11" s="165"/>
      <c r="BP11" s="165"/>
      <c r="BQ11" s="165"/>
      <c r="BR11" s="165"/>
      <c r="BS11" s="165"/>
      <c r="BT11" s="171"/>
      <c r="BU11" s="41"/>
      <c r="BV11" s="40"/>
      <c r="BW11" s="41"/>
      <c r="BX11" s="41"/>
      <c r="BY11" s="41"/>
      <c r="BZ11" s="41"/>
      <c r="CA11" s="41"/>
      <c r="CB11" s="30"/>
      <c r="CC11" s="30"/>
      <c r="CD11" s="30"/>
      <c r="CE11" s="30"/>
      <c r="CF11" s="30"/>
      <c r="CG11" s="30"/>
    </row>
    <row r="12" spans="1:85" s="5" customFormat="1" ht="20.100000000000001" customHeight="1" x14ac:dyDescent="0.45">
      <c r="A12" s="30"/>
      <c r="B12" s="44"/>
      <c r="C12" s="32"/>
      <c r="D12" s="37">
        <v>2</v>
      </c>
      <c r="E12" s="161" t="s">
        <v>92</v>
      </c>
      <c r="F12" s="162"/>
      <c r="G12" s="162"/>
      <c r="H12" s="162"/>
      <c r="I12" s="162"/>
      <c r="J12" s="162"/>
      <c r="K12" s="162"/>
      <c r="L12" s="163"/>
      <c r="M12" s="137" t="s">
        <v>8</v>
      </c>
      <c r="N12" s="138"/>
      <c r="O12" s="138"/>
      <c r="P12" s="137" t="s">
        <v>121</v>
      </c>
      <c r="Q12" s="138"/>
      <c r="R12" s="138"/>
      <c r="S12" s="137"/>
      <c r="T12" s="138"/>
      <c r="U12" s="138"/>
      <c r="V12" s="164" t="s">
        <v>254</v>
      </c>
      <c r="W12" s="165"/>
      <c r="X12" s="165"/>
      <c r="Y12" s="165"/>
      <c r="Z12" s="165"/>
      <c r="AA12" s="166"/>
      <c r="AB12" s="167"/>
      <c r="AC12" s="168"/>
      <c r="AD12" s="168"/>
      <c r="AE12" s="168"/>
      <c r="AF12" s="168"/>
      <c r="AG12" s="168"/>
      <c r="AH12" s="168"/>
      <c r="AI12" s="168"/>
      <c r="AJ12" s="168"/>
      <c r="AK12" s="168"/>
      <c r="AL12" s="168"/>
      <c r="AM12" s="168"/>
      <c r="AN12" s="168"/>
      <c r="AO12" s="168"/>
      <c r="AP12" s="168"/>
      <c r="AQ12" s="169"/>
      <c r="AR12" s="137" t="s">
        <v>124</v>
      </c>
      <c r="AS12" s="138"/>
      <c r="AT12" s="138"/>
      <c r="AU12" s="138"/>
      <c r="AV12" s="138"/>
      <c r="AW12" s="139"/>
      <c r="AX12" s="164"/>
      <c r="AY12" s="165"/>
      <c r="AZ12" s="165"/>
      <c r="BA12" s="165"/>
      <c r="BB12" s="165"/>
      <c r="BC12" s="165"/>
      <c r="BD12" s="165"/>
      <c r="BE12" s="165"/>
      <c r="BF12" s="165"/>
      <c r="BG12" s="165"/>
      <c r="BH12" s="165"/>
      <c r="BI12" s="165"/>
      <c r="BJ12" s="165"/>
      <c r="BK12" s="165"/>
      <c r="BL12" s="165"/>
      <c r="BM12" s="165"/>
      <c r="BN12" s="165"/>
      <c r="BO12" s="165"/>
      <c r="BP12" s="165"/>
      <c r="BQ12" s="165"/>
      <c r="BR12" s="165"/>
      <c r="BS12" s="165"/>
      <c r="BT12" s="171"/>
      <c r="BU12" s="41"/>
      <c r="BV12" s="40"/>
      <c r="BW12" s="41"/>
      <c r="BX12" s="41"/>
      <c r="BY12" s="41"/>
      <c r="BZ12" s="41"/>
      <c r="CA12" s="41"/>
      <c r="CB12" s="30"/>
      <c r="CC12" s="30"/>
      <c r="CD12" s="30"/>
      <c r="CE12" s="30"/>
      <c r="CF12" s="30"/>
      <c r="CG12" s="30"/>
    </row>
    <row r="13" spans="1:85" s="5" customFormat="1" ht="20.100000000000001" customHeight="1" x14ac:dyDescent="0.45">
      <c r="A13" s="30"/>
      <c r="B13" s="44"/>
      <c r="C13" s="36"/>
      <c r="D13" s="37">
        <v>3</v>
      </c>
      <c r="E13" s="161" t="s">
        <v>93</v>
      </c>
      <c r="F13" s="162"/>
      <c r="G13" s="162"/>
      <c r="H13" s="162"/>
      <c r="I13" s="162"/>
      <c r="J13" s="162"/>
      <c r="K13" s="162"/>
      <c r="L13" s="163"/>
      <c r="M13" s="137" t="s">
        <v>8</v>
      </c>
      <c r="N13" s="138"/>
      <c r="O13" s="138"/>
      <c r="P13" s="137" t="s">
        <v>121</v>
      </c>
      <c r="Q13" s="138"/>
      <c r="R13" s="138"/>
      <c r="S13" s="137"/>
      <c r="T13" s="138"/>
      <c r="U13" s="138"/>
      <c r="V13" s="164" t="s">
        <v>255</v>
      </c>
      <c r="W13" s="165"/>
      <c r="X13" s="165"/>
      <c r="Y13" s="165"/>
      <c r="Z13" s="165"/>
      <c r="AA13" s="166"/>
      <c r="AB13" s="167"/>
      <c r="AC13" s="168"/>
      <c r="AD13" s="168"/>
      <c r="AE13" s="168"/>
      <c r="AF13" s="168"/>
      <c r="AG13" s="168"/>
      <c r="AH13" s="168"/>
      <c r="AI13" s="168"/>
      <c r="AJ13" s="168"/>
      <c r="AK13" s="168"/>
      <c r="AL13" s="168"/>
      <c r="AM13" s="168"/>
      <c r="AN13" s="168"/>
      <c r="AO13" s="168"/>
      <c r="AP13" s="168"/>
      <c r="AQ13" s="169"/>
      <c r="AR13" s="137" t="s">
        <v>125</v>
      </c>
      <c r="AS13" s="138"/>
      <c r="AT13" s="138"/>
      <c r="AU13" s="138"/>
      <c r="AV13" s="138"/>
      <c r="AW13" s="139"/>
      <c r="AX13" s="164"/>
      <c r="AY13" s="165"/>
      <c r="AZ13" s="165"/>
      <c r="BA13" s="165"/>
      <c r="BB13" s="165"/>
      <c r="BC13" s="165"/>
      <c r="BD13" s="165"/>
      <c r="BE13" s="165"/>
      <c r="BF13" s="165"/>
      <c r="BG13" s="165"/>
      <c r="BH13" s="165"/>
      <c r="BI13" s="165"/>
      <c r="BJ13" s="165"/>
      <c r="BK13" s="165"/>
      <c r="BL13" s="165"/>
      <c r="BM13" s="165"/>
      <c r="BN13" s="165"/>
      <c r="BO13" s="165"/>
      <c r="BP13" s="165"/>
      <c r="BQ13" s="165"/>
      <c r="BR13" s="165"/>
      <c r="BS13" s="165"/>
      <c r="BT13" s="171"/>
      <c r="BU13" s="41"/>
      <c r="BV13" s="40"/>
      <c r="BW13" s="41"/>
      <c r="BX13" s="41"/>
      <c r="BY13" s="41"/>
      <c r="BZ13" s="41"/>
      <c r="CA13" s="41"/>
      <c r="CB13" s="41"/>
      <c r="CC13" s="30"/>
      <c r="CD13" s="30"/>
      <c r="CE13" s="30"/>
      <c r="CF13" s="30"/>
      <c r="CG13" s="30"/>
    </row>
    <row r="14" spans="1:85" s="5" customFormat="1" ht="20.100000000000001" customHeight="1" x14ac:dyDescent="0.45">
      <c r="A14" s="30"/>
      <c r="B14" s="44"/>
      <c r="C14" s="36"/>
      <c r="D14" s="37">
        <v>4</v>
      </c>
      <c r="E14" s="161" t="s">
        <v>94</v>
      </c>
      <c r="F14" s="162"/>
      <c r="G14" s="162"/>
      <c r="H14" s="162"/>
      <c r="I14" s="162"/>
      <c r="J14" s="162"/>
      <c r="K14" s="162"/>
      <c r="L14" s="163"/>
      <c r="M14" s="137" t="s">
        <v>47</v>
      </c>
      <c r="N14" s="138"/>
      <c r="O14" s="138"/>
      <c r="P14" s="137" t="s">
        <v>121</v>
      </c>
      <c r="Q14" s="138"/>
      <c r="R14" s="138"/>
      <c r="S14" s="137"/>
      <c r="T14" s="138"/>
      <c r="U14" s="138"/>
      <c r="V14" s="164" t="s">
        <v>256</v>
      </c>
      <c r="W14" s="165"/>
      <c r="X14" s="165"/>
      <c r="Y14" s="165"/>
      <c r="Z14" s="165"/>
      <c r="AA14" s="166"/>
      <c r="AB14" s="167"/>
      <c r="AC14" s="168"/>
      <c r="AD14" s="168"/>
      <c r="AE14" s="168"/>
      <c r="AF14" s="168"/>
      <c r="AG14" s="168"/>
      <c r="AH14" s="168"/>
      <c r="AI14" s="168"/>
      <c r="AJ14" s="168"/>
      <c r="AK14" s="168"/>
      <c r="AL14" s="168"/>
      <c r="AM14" s="168"/>
      <c r="AN14" s="168"/>
      <c r="AO14" s="168"/>
      <c r="AP14" s="168"/>
      <c r="AQ14" s="169"/>
      <c r="AR14" s="140"/>
      <c r="AS14" s="138"/>
      <c r="AT14" s="138"/>
      <c r="AU14" s="138"/>
      <c r="AV14" s="138"/>
      <c r="AW14" s="139"/>
      <c r="AX14" s="164"/>
      <c r="AY14" s="165"/>
      <c r="AZ14" s="165"/>
      <c r="BA14" s="165"/>
      <c r="BB14" s="165"/>
      <c r="BC14" s="165"/>
      <c r="BD14" s="165"/>
      <c r="BE14" s="165"/>
      <c r="BF14" s="165"/>
      <c r="BG14" s="165"/>
      <c r="BH14" s="165"/>
      <c r="BI14" s="165"/>
      <c r="BJ14" s="165"/>
      <c r="BK14" s="165"/>
      <c r="BL14" s="165"/>
      <c r="BM14" s="165"/>
      <c r="BN14" s="165"/>
      <c r="BO14" s="165"/>
      <c r="BP14" s="165"/>
      <c r="BQ14" s="165"/>
      <c r="BR14" s="165"/>
      <c r="BS14" s="165"/>
      <c r="BT14" s="171"/>
      <c r="BU14" s="41"/>
      <c r="BV14" s="40"/>
      <c r="BW14" s="41"/>
      <c r="BX14" s="41"/>
      <c r="BY14" s="41"/>
      <c r="BZ14" s="41"/>
      <c r="CA14" s="41"/>
      <c r="CB14" s="41"/>
      <c r="CC14" s="30"/>
      <c r="CD14" s="30"/>
      <c r="CE14" s="30"/>
      <c r="CF14" s="30"/>
      <c r="CG14" s="30"/>
    </row>
    <row r="15" spans="1:85" s="5" customFormat="1" ht="20.100000000000001" customHeight="1" x14ac:dyDescent="0.45">
      <c r="A15" s="30"/>
      <c r="B15" s="44"/>
      <c r="C15" s="36"/>
      <c r="D15" s="37">
        <v>5</v>
      </c>
      <c r="E15" s="161" t="s">
        <v>95</v>
      </c>
      <c r="F15" s="162"/>
      <c r="G15" s="162"/>
      <c r="H15" s="162"/>
      <c r="I15" s="162"/>
      <c r="J15" s="162"/>
      <c r="K15" s="162"/>
      <c r="L15" s="163"/>
      <c r="M15" s="137" t="s">
        <v>47</v>
      </c>
      <c r="N15" s="138"/>
      <c r="O15" s="138"/>
      <c r="P15" s="137" t="s">
        <v>121</v>
      </c>
      <c r="Q15" s="138"/>
      <c r="R15" s="138"/>
      <c r="S15" s="137"/>
      <c r="T15" s="138"/>
      <c r="U15" s="138"/>
      <c r="V15" s="164" t="s">
        <v>257</v>
      </c>
      <c r="W15" s="165"/>
      <c r="X15" s="165"/>
      <c r="Y15" s="165"/>
      <c r="Z15" s="165"/>
      <c r="AA15" s="166"/>
      <c r="AB15" s="167"/>
      <c r="AC15" s="168"/>
      <c r="AD15" s="168"/>
      <c r="AE15" s="168"/>
      <c r="AF15" s="168"/>
      <c r="AG15" s="168"/>
      <c r="AH15" s="168"/>
      <c r="AI15" s="168"/>
      <c r="AJ15" s="168"/>
      <c r="AK15" s="168"/>
      <c r="AL15" s="168"/>
      <c r="AM15" s="168"/>
      <c r="AN15" s="168"/>
      <c r="AO15" s="168"/>
      <c r="AP15" s="168"/>
      <c r="AQ15" s="169"/>
      <c r="AR15" s="137">
        <v>9999</v>
      </c>
      <c r="AS15" s="138"/>
      <c r="AT15" s="138"/>
      <c r="AU15" s="138"/>
      <c r="AV15" s="138"/>
      <c r="AW15" s="139"/>
      <c r="AX15" s="164"/>
      <c r="AY15" s="165"/>
      <c r="AZ15" s="165"/>
      <c r="BA15" s="165"/>
      <c r="BB15" s="165"/>
      <c r="BC15" s="165"/>
      <c r="BD15" s="165"/>
      <c r="BE15" s="165"/>
      <c r="BF15" s="165"/>
      <c r="BG15" s="165"/>
      <c r="BH15" s="165"/>
      <c r="BI15" s="165"/>
      <c r="BJ15" s="165"/>
      <c r="BK15" s="165"/>
      <c r="BL15" s="165"/>
      <c r="BM15" s="165"/>
      <c r="BN15" s="165"/>
      <c r="BO15" s="165"/>
      <c r="BP15" s="165"/>
      <c r="BQ15" s="165"/>
      <c r="BR15" s="165"/>
      <c r="BS15" s="165"/>
      <c r="BT15" s="171"/>
      <c r="BU15" s="41"/>
      <c r="BV15" s="40"/>
      <c r="BW15" s="41"/>
      <c r="BX15" s="41"/>
      <c r="BY15" s="41"/>
      <c r="BZ15" s="41"/>
      <c r="CA15" s="41"/>
      <c r="CB15" s="41"/>
      <c r="CC15" s="30"/>
      <c r="CD15" s="30"/>
      <c r="CE15" s="30"/>
      <c r="CF15" s="30"/>
      <c r="CG15" s="30"/>
    </row>
    <row r="16" spans="1:85" s="5" customFormat="1" ht="20.100000000000001" customHeight="1" x14ac:dyDescent="0.45">
      <c r="A16" s="30"/>
      <c r="B16" s="44"/>
      <c r="C16" s="30"/>
      <c r="D16" s="37">
        <v>6</v>
      </c>
      <c r="E16" s="161" t="s">
        <v>96</v>
      </c>
      <c r="F16" s="162"/>
      <c r="G16" s="162"/>
      <c r="H16" s="162"/>
      <c r="I16" s="162"/>
      <c r="J16" s="162"/>
      <c r="K16" s="162"/>
      <c r="L16" s="163"/>
      <c r="M16" s="137" t="s">
        <v>47</v>
      </c>
      <c r="N16" s="138"/>
      <c r="O16" s="138"/>
      <c r="P16" s="137" t="s">
        <v>121</v>
      </c>
      <c r="Q16" s="138"/>
      <c r="R16" s="138"/>
      <c r="S16" s="137"/>
      <c r="T16" s="138"/>
      <c r="U16" s="138"/>
      <c r="V16" s="164" t="s">
        <v>258</v>
      </c>
      <c r="W16" s="165"/>
      <c r="X16" s="165"/>
      <c r="Y16" s="165"/>
      <c r="Z16" s="165"/>
      <c r="AA16" s="166"/>
      <c r="AB16" s="167"/>
      <c r="AC16" s="168"/>
      <c r="AD16" s="168"/>
      <c r="AE16" s="168"/>
      <c r="AF16" s="168"/>
      <c r="AG16" s="168"/>
      <c r="AH16" s="168"/>
      <c r="AI16" s="168"/>
      <c r="AJ16" s="168"/>
      <c r="AK16" s="168"/>
      <c r="AL16" s="168"/>
      <c r="AM16" s="168"/>
      <c r="AN16" s="168"/>
      <c r="AO16" s="168"/>
      <c r="AP16" s="168"/>
      <c r="AQ16" s="169"/>
      <c r="AR16" s="137"/>
      <c r="AS16" s="138"/>
      <c r="AT16" s="138"/>
      <c r="AU16" s="138"/>
      <c r="AV16" s="138"/>
      <c r="AW16" s="139"/>
      <c r="AX16" s="164"/>
      <c r="AY16" s="165"/>
      <c r="AZ16" s="165"/>
      <c r="BA16" s="165"/>
      <c r="BB16" s="165"/>
      <c r="BC16" s="165"/>
      <c r="BD16" s="165"/>
      <c r="BE16" s="165"/>
      <c r="BF16" s="165"/>
      <c r="BG16" s="165"/>
      <c r="BH16" s="165"/>
      <c r="BI16" s="165"/>
      <c r="BJ16" s="165"/>
      <c r="BK16" s="165"/>
      <c r="BL16" s="165"/>
      <c r="BM16" s="165"/>
      <c r="BN16" s="165"/>
      <c r="BO16" s="165"/>
      <c r="BP16" s="165"/>
      <c r="BQ16" s="165"/>
      <c r="BR16" s="165"/>
      <c r="BS16" s="165"/>
      <c r="BT16" s="171"/>
      <c r="BU16" s="41"/>
      <c r="BV16" s="40"/>
      <c r="BW16" s="41"/>
      <c r="BX16" s="41"/>
      <c r="BY16" s="41"/>
      <c r="BZ16" s="41"/>
      <c r="CA16" s="41"/>
      <c r="CB16" s="41"/>
      <c r="CC16" s="30"/>
      <c r="CD16" s="30"/>
      <c r="CE16" s="30"/>
      <c r="CF16" s="30"/>
      <c r="CG16" s="30"/>
    </row>
    <row r="17" spans="1:85" s="5" customFormat="1" ht="20.100000000000001" customHeight="1" x14ac:dyDescent="0.45">
      <c r="A17" s="30"/>
      <c r="B17" s="44"/>
      <c r="C17"/>
      <c r="D17" s="37">
        <v>7</v>
      </c>
      <c r="E17" s="161" t="s">
        <v>97</v>
      </c>
      <c r="F17" s="162"/>
      <c r="G17" s="162"/>
      <c r="H17" s="162"/>
      <c r="I17" s="162"/>
      <c r="J17" s="162"/>
      <c r="K17" s="162"/>
      <c r="L17" s="163"/>
      <c r="M17" s="137" t="s">
        <v>38</v>
      </c>
      <c r="N17" s="138"/>
      <c r="O17" s="138"/>
      <c r="P17" s="137" t="s">
        <v>122</v>
      </c>
      <c r="Q17" s="138"/>
      <c r="R17" s="138"/>
      <c r="S17" s="137"/>
      <c r="T17" s="138"/>
      <c r="U17" s="138"/>
      <c r="V17" s="164" t="s">
        <v>259</v>
      </c>
      <c r="W17" s="165"/>
      <c r="X17" s="165"/>
      <c r="Y17" s="165"/>
      <c r="Z17" s="165"/>
      <c r="AA17" s="166"/>
      <c r="AB17" s="167"/>
      <c r="AC17" s="168"/>
      <c r="AD17" s="168"/>
      <c r="AE17" s="168"/>
      <c r="AF17" s="168"/>
      <c r="AG17" s="168"/>
      <c r="AH17" s="168"/>
      <c r="AI17" s="168"/>
      <c r="AJ17" s="168"/>
      <c r="AK17" s="168"/>
      <c r="AL17" s="168"/>
      <c r="AM17" s="168"/>
      <c r="AN17" s="168"/>
      <c r="AO17" s="168"/>
      <c r="AP17" s="168"/>
      <c r="AQ17" s="169"/>
      <c r="AR17" s="137"/>
      <c r="AS17" s="138"/>
      <c r="AT17" s="138"/>
      <c r="AU17" s="138"/>
      <c r="AV17" s="138"/>
      <c r="AW17" s="139"/>
      <c r="AX17" s="164"/>
      <c r="AY17" s="165"/>
      <c r="AZ17" s="165"/>
      <c r="BA17" s="165"/>
      <c r="BB17" s="165"/>
      <c r="BC17" s="165"/>
      <c r="BD17" s="165"/>
      <c r="BE17" s="165"/>
      <c r="BF17" s="165"/>
      <c r="BG17" s="165"/>
      <c r="BH17" s="165"/>
      <c r="BI17" s="165"/>
      <c r="BJ17" s="165"/>
      <c r="BK17" s="165"/>
      <c r="BL17" s="165"/>
      <c r="BM17" s="165"/>
      <c r="BN17" s="165"/>
      <c r="BO17" s="165"/>
      <c r="BP17" s="165"/>
      <c r="BQ17" s="165"/>
      <c r="BR17" s="165"/>
      <c r="BS17" s="165"/>
      <c r="BT17" s="171"/>
      <c r="BU17" s="41"/>
      <c r="BV17" s="40"/>
      <c r="BW17" s="41"/>
      <c r="BX17" s="41"/>
      <c r="BY17" s="41"/>
      <c r="BZ17" s="41"/>
      <c r="CA17" s="41"/>
      <c r="CB17" s="41"/>
      <c r="CC17" s="30"/>
      <c r="CD17" s="30"/>
      <c r="CE17" s="30"/>
      <c r="CF17" s="30"/>
      <c r="CG17" s="30"/>
    </row>
    <row r="18" spans="1:85" s="5" customFormat="1" ht="20.100000000000001" customHeight="1" x14ac:dyDescent="0.45">
      <c r="A18" s="29"/>
      <c r="B18" s="35"/>
      <c r="C18"/>
      <c r="D18" s="37">
        <v>8</v>
      </c>
      <c r="E18" s="161" t="s">
        <v>98</v>
      </c>
      <c r="F18" s="162"/>
      <c r="G18" s="162"/>
      <c r="H18" s="162"/>
      <c r="I18" s="162"/>
      <c r="J18" s="162"/>
      <c r="K18" s="162"/>
      <c r="L18" s="163"/>
      <c r="M18" s="137" t="s">
        <v>47</v>
      </c>
      <c r="N18" s="138"/>
      <c r="O18" s="138"/>
      <c r="P18" s="137" t="s">
        <v>121</v>
      </c>
      <c r="Q18" s="138"/>
      <c r="R18" s="138"/>
      <c r="S18" s="137"/>
      <c r="T18" s="138"/>
      <c r="U18" s="138"/>
      <c r="V18" s="164" t="s">
        <v>260</v>
      </c>
      <c r="W18" s="165"/>
      <c r="X18" s="165"/>
      <c r="Y18" s="165"/>
      <c r="Z18" s="165"/>
      <c r="AA18" s="166"/>
      <c r="AB18" s="167"/>
      <c r="AC18" s="168"/>
      <c r="AD18" s="168"/>
      <c r="AE18" s="168"/>
      <c r="AF18" s="168"/>
      <c r="AG18" s="168"/>
      <c r="AH18" s="168"/>
      <c r="AI18" s="168"/>
      <c r="AJ18" s="168"/>
      <c r="AK18" s="168"/>
      <c r="AL18" s="168"/>
      <c r="AM18" s="168"/>
      <c r="AN18" s="168"/>
      <c r="AO18" s="168"/>
      <c r="AP18" s="168"/>
      <c r="AQ18" s="169"/>
      <c r="AR18" s="170"/>
      <c r="AS18" s="138"/>
      <c r="AT18" s="138"/>
      <c r="AU18" s="138"/>
      <c r="AV18" s="138"/>
      <c r="AW18" s="139"/>
      <c r="AX18" s="164"/>
      <c r="AY18" s="165"/>
      <c r="AZ18" s="165"/>
      <c r="BA18" s="165"/>
      <c r="BB18" s="165"/>
      <c r="BC18" s="165"/>
      <c r="BD18" s="165"/>
      <c r="BE18" s="165"/>
      <c r="BF18" s="165"/>
      <c r="BG18" s="165"/>
      <c r="BH18" s="165"/>
      <c r="BI18" s="165"/>
      <c r="BJ18" s="165"/>
      <c r="BK18" s="165"/>
      <c r="BL18" s="165"/>
      <c r="BM18" s="165"/>
      <c r="BN18" s="165"/>
      <c r="BO18" s="165"/>
      <c r="BP18" s="165"/>
      <c r="BQ18" s="165"/>
      <c r="BR18" s="165"/>
      <c r="BS18" s="165"/>
      <c r="BT18" s="171"/>
      <c r="BU18" s="29"/>
      <c r="BV18" s="40"/>
      <c r="BW18" s="41"/>
      <c r="BX18" s="41"/>
      <c r="BY18" s="41"/>
      <c r="BZ18" s="41"/>
      <c r="CA18" s="41"/>
      <c r="CB18" s="41"/>
      <c r="CC18" s="41"/>
      <c r="CD18" s="41"/>
      <c r="CE18" s="41"/>
      <c r="CF18" s="31"/>
      <c r="CG18" s="31"/>
    </row>
    <row r="19" spans="1:85" s="5" customFormat="1" ht="20.100000000000001" customHeight="1" x14ac:dyDescent="0.45">
      <c r="A19" s="29"/>
      <c r="B19" s="35"/>
      <c r="C19"/>
      <c r="D19" s="37">
        <v>9</v>
      </c>
      <c r="E19" s="161" t="s">
        <v>99</v>
      </c>
      <c r="F19" s="162"/>
      <c r="G19" s="162"/>
      <c r="H19" s="162"/>
      <c r="I19" s="162"/>
      <c r="J19" s="162"/>
      <c r="K19" s="162"/>
      <c r="L19" s="163"/>
      <c r="M19" s="137" t="s">
        <v>47</v>
      </c>
      <c r="N19" s="138"/>
      <c r="O19" s="138"/>
      <c r="P19" s="137" t="s">
        <v>121</v>
      </c>
      <c r="Q19" s="138"/>
      <c r="R19" s="138"/>
      <c r="S19" s="137"/>
      <c r="T19" s="138"/>
      <c r="U19" s="138"/>
      <c r="V19" s="164" t="s">
        <v>261</v>
      </c>
      <c r="W19" s="165"/>
      <c r="X19" s="165"/>
      <c r="Y19" s="165"/>
      <c r="Z19" s="165"/>
      <c r="AA19" s="166"/>
      <c r="AB19" s="167"/>
      <c r="AC19" s="168"/>
      <c r="AD19" s="168"/>
      <c r="AE19" s="168"/>
      <c r="AF19" s="168"/>
      <c r="AG19" s="168"/>
      <c r="AH19" s="168"/>
      <c r="AI19" s="168"/>
      <c r="AJ19" s="168"/>
      <c r="AK19" s="168"/>
      <c r="AL19" s="168"/>
      <c r="AM19" s="168"/>
      <c r="AN19" s="168"/>
      <c r="AO19" s="168"/>
      <c r="AP19" s="168"/>
      <c r="AQ19" s="169"/>
      <c r="AR19" s="170"/>
      <c r="AS19" s="138"/>
      <c r="AT19" s="138"/>
      <c r="AU19" s="138"/>
      <c r="AV19" s="138"/>
      <c r="AW19" s="139"/>
      <c r="AX19" s="164"/>
      <c r="AY19" s="165"/>
      <c r="AZ19" s="165"/>
      <c r="BA19" s="165"/>
      <c r="BB19" s="165"/>
      <c r="BC19" s="165"/>
      <c r="BD19" s="165"/>
      <c r="BE19" s="165"/>
      <c r="BF19" s="165"/>
      <c r="BG19" s="165"/>
      <c r="BH19" s="165"/>
      <c r="BI19" s="165"/>
      <c r="BJ19" s="165"/>
      <c r="BK19" s="165"/>
      <c r="BL19" s="165"/>
      <c r="BM19" s="165"/>
      <c r="BN19" s="165"/>
      <c r="BO19" s="165"/>
      <c r="BP19" s="165"/>
      <c r="BQ19" s="165"/>
      <c r="BR19" s="165"/>
      <c r="BS19" s="165"/>
      <c r="BT19" s="171"/>
      <c r="BU19" s="41"/>
      <c r="BV19" s="40"/>
      <c r="BW19" s="41"/>
      <c r="BX19" s="41"/>
      <c r="BY19" s="41"/>
      <c r="BZ19" s="41"/>
      <c r="CA19" s="41"/>
      <c r="CB19" s="41"/>
      <c r="CC19" s="41"/>
      <c r="CD19" s="41"/>
      <c r="CE19" s="41"/>
      <c r="CF19" s="41"/>
      <c r="CG19" s="41"/>
    </row>
    <row r="20" spans="1:85" s="5" customFormat="1" ht="20.100000000000001" customHeight="1" x14ac:dyDescent="0.45">
      <c r="A20" s="29"/>
      <c r="B20" s="35"/>
      <c r="C20"/>
      <c r="D20" s="37">
        <v>10</v>
      </c>
      <c r="E20" s="161" t="s">
        <v>100</v>
      </c>
      <c r="F20" s="162"/>
      <c r="G20" s="162"/>
      <c r="H20" s="162"/>
      <c r="I20" s="162"/>
      <c r="J20" s="162"/>
      <c r="K20" s="162"/>
      <c r="L20" s="163"/>
      <c r="M20" s="137" t="s">
        <v>47</v>
      </c>
      <c r="N20" s="138"/>
      <c r="O20" s="138"/>
      <c r="P20" s="137" t="s">
        <v>121</v>
      </c>
      <c r="Q20" s="138"/>
      <c r="R20" s="138"/>
      <c r="S20" s="137"/>
      <c r="T20" s="138"/>
      <c r="U20" s="138"/>
      <c r="V20" s="164" t="s">
        <v>262</v>
      </c>
      <c r="W20" s="165"/>
      <c r="X20" s="165"/>
      <c r="Y20" s="165"/>
      <c r="Z20" s="165"/>
      <c r="AA20" s="166"/>
      <c r="AB20" s="167"/>
      <c r="AC20" s="168"/>
      <c r="AD20" s="168"/>
      <c r="AE20" s="168"/>
      <c r="AF20" s="168"/>
      <c r="AG20" s="168"/>
      <c r="AH20" s="168"/>
      <c r="AI20" s="168"/>
      <c r="AJ20" s="168"/>
      <c r="AK20" s="168"/>
      <c r="AL20" s="168"/>
      <c r="AM20" s="168"/>
      <c r="AN20" s="168"/>
      <c r="AO20" s="168"/>
      <c r="AP20" s="168"/>
      <c r="AQ20" s="169"/>
      <c r="AR20" s="170"/>
      <c r="AS20" s="138"/>
      <c r="AT20" s="138"/>
      <c r="AU20" s="138"/>
      <c r="AV20" s="138"/>
      <c r="AW20" s="139"/>
      <c r="AX20" s="164"/>
      <c r="AY20" s="165"/>
      <c r="AZ20" s="165"/>
      <c r="BA20" s="165"/>
      <c r="BB20" s="165"/>
      <c r="BC20" s="165"/>
      <c r="BD20" s="165"/>
      <c r="BE20" s="165"/>
      <c r="BF20" s="165"/>
      <c r="BG20" s="165"/>
      <c r="BH20" s="165"/>
      <c r="BI20" s="165"/>
      <c r="BJ20" s="165"/>
      <c r="BK20" s="165"/>
      <c r="BL20" s="165"/>
      <c r="BM20" s="165"/>
      <c r="BN20" s="165"/>
      <c r="BO20" s="165"/>
      <c r="BP20" s="165"/>
      <c r="BQ20" s="165"/>
      <c r="BR20" s="165"/>
      <c r="BS20" s="165"/>
      <c r="BT20" s="171"/>
      <c r="BU20" s="41"/>
      <c r="BV20" s="40"/>
      <c r="BW20" s="41"/>
      <c r="BX20" s="41"/>
      <c r="BY20" s="41"/>
      <c r="BZ20" s="41"/>
      <c r="CA20" s="41"/>
      <c r="CB20" s="41"/>
      <c r="CC20" s="41"/>
      <c r="CD20" s="41"/>
      <c r="CE20" s="41"/>
      <c r="CF20" s="41"/>
      <c r="CG20" s="41"/>
    </row>
    <row r="21" spans="1:85" s="5" customFormat="1" ht="20.100000000000001" customHeight="1" x14ac:dyDescent="0.45">
      <c r="A21" s="29"/>
      <c r="B21" s="35"/>
      <c r="C21"/>
      <c r="D21" s="37">
        <v>11</v>
      </c>
      <c r="E21" s="161" t="s">
        <v>101</v>
      </c>
      <c r="F21" s="162"/>
      <c r="G21" s="162"/>
      <c r="H21" s="162"/>
      <c r="I21" s="162"/>
      <c r="J21" s="162"/>
      <c r="K21" s="162"/>
      <c r="L21" s="163"/>
      <c r="M21" s="137" t="s">
        <v>47</v>
      </c>
      <c r="N21" s="138"/>
      <c r="O21" s="138"/>
      <c r="P21" s="137" t="s">
        <v>121</v>
      </c>
      <c r="Q21" s="138"/>
      <c r="R21" s="138"/>
      <c r="S21" s="137"/>
      <c r="T21" s="138"/>
      <c r="U21" s="138"/>
      <c r="V21" s="164" t="s">
        <v>263</v>
      </c>
      <c r="W21" s="165"/>
      <c r="X21" s="165"/>
      <c r="Y21" s="165"/>
      <c r="Z21" s="165"/>
      <c r="AA21" s="166"/>
      <c r="AB21" s="167"/>
      <c r="AC21" s="168"/>
      <c r="AD21" s="168"/>
      <c r="AE21" s="168"/>
      <c r="AF21" s="168"/>
      <c r="AG21" s="168"/>
      <c r="AH21" s="168"/>
      <c r="AI21" s="168"/>
      <c r="AJ21" s="168"/>
      <c r="AK21" s="168"/>
      <c r="AL21" s="168"/>
      <c r="AM21" s="168"/>
      <c r="AN21" s="168"/>
      <c r="AO21" s="168"/>
      <c r="AP21" s="168"/>
      <c r="AQ21" s="169"/>
      <c r="AR21" s="170"/>
      <c r="AS21" s="138"/>
      <c r="AT21" s="138"/>
      <c r="AU21" s="138"/>
      <c r="AV21" s="138"/>
      <c r="AW21" s="139"/>
      <c r="AX21" s="164"/>
      <c r="AY21" s="165"/>
      <c r="AZ21" s="165"/>
      <c r="BA21" s="165"/>
      <c r="BB21" s="165"/>
      <c r="BC21" s="165"/>
      <c r="BD21" s="165"/>
      <c r="BE21" s="165"/>
      <c r="BF21" s="165"/>
      <c r="BG21" s="165"/>
      <c r="BH21" s="165"/>
      <c r="BI21" s="165"/>
      <c r="BJ21" s="165"/>
      <c r="BK21" s="165"/>
      <c r="BL21" s="165"/>
      <c r="BM21" s="165"/>
      <c r="BN21" s="165"/>
      <c r="BO21" s="165"/>
      <c r="BP21" s="165"/>
      <c r="BQ21" s="165"/>
      <c r="BR21" s="165"/>
      <c r="BS21" s="165"/>
      <c r="BT21" s="171"/>
      <c r="BU21" s="41"/>
      <c r="BV21" s="40"/>
      <c r="BW21" s="41"/>
      <c r="BX21" s="41"/>
      <c r="BY21" s="41"/>
      <c r="BZ21" s="41"/>
      <c r="CA21" s="41"/>
      <c r="CB21" s="41"/>
      <c r="CC21" s="41"/>
      <c r="CD21" s="41"/>
      <c r="CE21" s="41"/>
      <c r="CF21" s="41"/>
      <c r="CG21" s="41"/>
    </row>
    <row r="22" spans="1:85" s="5" customFormat="1" ht="20.100000000000001" customHeight="1" x14ac:dyDescent="0.45">
      <c r="A22" s="29"/>
      <c r="B22" s="35"/>
      <c r="C22"/>
      <c r="D22" s="37">
        <v>12</v>
      </c>
      <c r="E22" s="161" t="s">
        <v>102</v>
      </c>
      <c r="F22" s="162"/>
      <c r="G22" s="162"/>
      <c r="H22" s="162"/>
      <c r="I22" s="162"/>
      <c r="J22" s="162"/>
      <c r="K22" s="162"/>
      <c r="L22" s="163"/>
      <c r="M22" s="137" t="s">
        <v>38</v>
      </c>
      <c r="N22" s="138"/>
      <c r="O22" s="138"/>
      <c r="P22" s="137" t="s">
        <v>122</v>
      </c>
      <c r="Q22" s="138"/>
      <c r="R22" s="138"/>
      <c r="S22" s="137"/>
      <c r="T22" s="138"/>
      <c r="U22" s="138"/>
      <c r="V22" s="164" t="s">
        <v>264</v>
      </c>
      <c r="W22" s="165"/>
      <c r="X22" s="165"/>
      <c r="Y22" s="165"/>
      <c r="Z22" s="165"/>
      <c r="AA22" s="166"/>
      <c r="AB22" s="167"/>
      <c r="AC22" s="168"/>
      <c r="AD22" s="168"/>
      <c r="AE22" s="168"/>
      <c r="AF22" s="168"/>
      <c r="AG22" s="168"/>
      <c r="AH22" s="168"/>
      <c r="AI22" s="168"/>
      <c r="AJ22" s="168"/>
      <c r="AK22" s="168"/>
      <c r="AL22" s="168"/>
      <c r="AM22" s="168"/>
      <c r="AN22" s="168"/>
      <c r="AO22" s="168"/>
      <c r="AP22" s="168"/>
      <c r="AQ22" s="169"/>
      <c r="AR22" s="170"/>
      <c r="AS22" s="138"/>
      <c r="AT22" s="138"/>
      <c r="AU22" s="138"/>
      <c r="AV22" s="138"/>
      <c r="AW22" s="139"/>
      <c r="AX22" s="164"/>
      <c r="AY22" s="165"/>
      <c r="AZ22" s="165"/>
      <c r="BA22" s="165"/>
      <c r="BB22" s="165"/>
      <c r="BC22" s="165"/>
      <c r="BD22" s="165"/>
      <c r="BE22" s="165"/>
      <c r="BF22" s="165"/>
      <c r="BG22" s="165"/>
      <c r="BH22" s="165"/>
      <c r="BI22" s="165"/>
      <c r="BJ22" s="165"/>
      <c r="BK22" s="165"/>
      <c r="BL22" s="165"/>
      <c r="BM22" s="165"/>
      <c r="BN22" s="165"/>
      <c r="BO22" s="165"/>
      <c r="BP22" s="165"/>
      <c r="BQ22" s="165"/>
      <c r="BR22" s="165"/>
      <c r="BS22" s="165"/>
      <c r="BT22" s="171"/>
      <c r="BU22" s="41"/>
      <c r="BV22" s="40"/>
      <c r="BW22" s="41"/>
      <c r="BX22" s="41"/>
      <c r="BY22" s="41"/>
      <c r="BZ22" s="41"/>
      <c r="CA22" s="41"/>
      <c r="CB22" s="41"/>
      <c r="CC22" s="41"/>
      <c r="CD22" s="41"/>
      <c r="CE22" s="41"/>
      <c r="CF22" s="41"/>
      <c r="CG22" s="41"/>
    </row>
    <row r="23" spans="1:85" s="5" customFormat="1" ht="20.100000000000001" customHeight="1" x14ac:dyDescent="0.45">
      <c r="A23" s="29"/>
      <c r="B23" s="35"/>
      <c r="C23"/>
      <c r="D23" s="37">
        <v>13</v>
      </c>
      <c r="E23" s="161" t="s">
        <v>103</v>
      </c>
      <c r="F23" s="162"/>
      <c r="G23" s="162"/>
      <c r="H23" s="162"/>
      <c r="I23" s="162"/>
      <c r="J23" s="162"/>
      <c r="K23" s="162"/>
      <c r="L23" s="163"/>
      <c r="M23" s="137" t="s">
        <v>47</v>
      </c>
      <c r="N23" s="138"/>
      <c r="O23" s="138"/>
      <c r="P23" s="137" t="s">
        <v>121</v>
      </c>
      <c r="Q23" s="138"/>
      <c r="R23" s="138"/>
      <c r="S23" s="137"/>
      <c r="T23" s="138"/>
      <c r="U23" s="138"/>
      <c r="V23" s="164" t="s">
        <v>265</v>
      </c>
      <c r="W23" s="165"/>
      <c r="X23" s="165"/>
      <c r="Y23" s="165"/>
      <c r="Z23" s="165"/>
      <c r="AA23" s="166"/>
      <c r="AB23" s="167"/>
      <c r="AC23" s="168"/>
      <c r="AD23" s="168"/>
      <c r="AE23" s="168"/>
      <c r="AF23" s="168"/>
      <c r="AG23" s="168"/>
      <c r="AH23" s="168"/>
      <c r="AI23" s="168"/>
      <c r="AJ23" s="168"/>
      <c r="AK23" s="168"/>
      <c r="AL23" s="168"/>
      <c r="AM23" s="168"/>
      <c r="AN23" s="168"/>
      <c r="AO23" s="168"/>
      <c r="AP23" s="168"/>
      <c r="AQ23" s="169"/>
      <c r="AR23" s="170"/>
      <c r="AS23" s="138"/>
      <c r="AT23" s="138"/>
      <c r="AU23" s="138"/>
      <c r="AV23" s="138"/>
      <c r="AW23" s="139"/>
      <c r="AX23" s="164"/>
      <c r="AY23" s="165"/>
      <c r="AZ23" s="165"/>
      <c r="BA23" s="165"/>
      <c r="BB23" s="165"/>
      <c r="BC23" s="165"/>
      <c r="BD23" s="165"/>
      <c r="BE23" s="165"/>
      <c r="BF23" s="165"/>
      <c r="BG23" s="165"/>
      <c r="BH23" s="165"/>
      <c r="BI23" s="165"/>
      <c r="BJ23" s="165"/>
      <c r="BK23" s="165"/>
      <c r="BL23" s="165"/>
      <c r="BM23" s="165"/>
      <c r="BN23" s="165"/>
      <c r="BO23" s="165"/>
      <c r="BP23" s="165"/>
      <c r="BQ23" s="165"/>
      <c r="BR23" s="165"/>
      <c r="BS23" s="165"/>
      <c r="BT23" s="171"/>
      <c r="BU23" s="41"/>
      <c r="BV23" s="40"/>
      <c r="BW23" s="41"/>
      <c r="BX23" s="41"/>
      <c r="BY23" s="41"/>
      <c r="BZ23" s="41"/>
      <c r="CA23" s="41"/>
      <c r="CB23" s="41"/>
      <c r="CC23" s="41"/>
      <c r="CD23" s="41"/>
      <c r="CE23" s="41"/>
      <c r="CF23" s="41"/>
      <c r="CG23" s="41"/>
    </row>
    <row r="24" spans="1:85" s="5" customFormat="1" ht="20.100000000000001" customHeight="1" x14ac:dyDescent="0.45">
      <c r="A24" s="29"/>
      <c r="B24" s="35"/>
      <c r="C24"/>
      <c r="D24" s="37">
        <v>14</v>
      </c>
      <c r="E24" s="161" t="s">
        <v>104</v>
      </c>
      <c r="F24" s="162"/>
      <c r="G24" s="162"/>
      <c r="H24" s="162"/>
      <c r="I24" s="162"/>
      <c r="J24" s="162"/>
      <c r="K24" s="162"/>
      <c r="L24" s="163"/>
      <c r="M24" s="137" t="s">
        <v>38</v>
      </c>
      <c r="N24" s="138"/>
      <c r="O24" s="138"/>
      <c r="P24" s="137" t="s">
        <v>122</v>
      </c>
      <c r="Q24" s="138"/>
      <c r="R24" s="138"/>
      <c r="S24" s="137"/>
      <c r="T24" s="138"/>
      <c r="U24" s="138"/>
      <c r="V24" s="164" t="s">
        <v>266</v>
      </c>
      <c r="W24" s="165"/>
      <c r="X24" s="165"/>
      <c r="Y24" s="165"/>
      <c r="Z24" s="165"/>
      <c r="AA24" s="166"/>
      <c r="AB24" s="167"/>
      <c r="AC24" s="168"/>
      <c r="AD24" s="168"/>
      <c r="AE24" s="168"/>
      <c r="AF24" s="168"/>
      <c r="AG24" s="168"/>
      <c r="AH24" s="168"/>
      <c r="AI24" s="168"/>
      <c r="AJ24" s="168"/>
      <c r="AK24" s="168"/>
      <c r="AL24" s="168"/>
      <c r="AM24" s="168"/>
      <c r="AN24" s="168"/>
      <c r="AO24" s="168"/>
      <c r="AP24" s="168"/>
      <c r="AQ24" s="169"/>
      <c r="AR24" s="170"/>
      <c r="AS24" s="138"/>
      <c r="AT24" s="138"/>
      <c r="AU24" s="138"/>
      <c r="AV24" s="138"/>
      <c r="AW24" s="139"/>
      <c r="AX24" s="164"/>
      <c r="AY24" s="165"/>
      <c r="AZ24" s="165"/>
      <c r="BA24" s="165"/>
      <c r="BB24" s="165"/>
      <c r="BC24" s="165"/>
      <c r="BD24" s="165"/>
      <c r="BE24" s="165"/>
      <c r="BF24" s="165"/>
      <c r="BG24" s="165"/>
      <c r="BH24" s="165"/>
      <c r="BI24" s="165"/>
      <c r="BJ24" s="165"/>
      <c r="BK24" s="165"/>
      <c r="BL24" s="165"/>
      <c r="BM24" s="165"/>
      <c r="BN24" s="165"/>
      <c r="BO24" s="165"/>
      <c r="BP24" s="165"/>
      <c r="BQ24" s="165"/>
      <c r="BR24" s="165"/>
      <c r="BS24" s="165"/>
      <c r="BT24" s="171"/>
      <c r="BU24" s="41"/>
      <c r="BV24" s="40"/>
      <c r="BW24" s="41"/>
      <c r="BX24" s="41"/>
      <c r="BY24" s="41"/>
      <c r="BZ24" s="41"/>
      <c r="CA24" s="41"/>
      <c r="CB24" s="41"/>
      <c r="CC24" s="41"/>
      <c r="CD24" s="41"/>
      <c r="CE24" s="41"/>
      <c r="CF24" s="41"/>
      <c r="CG24" s="41"/>
    </row>
    <row r="25" spans="1:85" s="5" customFormat="1" ht="20.100000000000001" customHeight="1" x14ac:dyDescent="0.45">
      <c r="A25" s="29"/>
      <c r="B25" s="35"/>
      <c r="C25"/>
      <c r="D25" s="37">
        <v>15</v>
      </c>
      <c r="E25" s="161" t="s">
        <v>105</v>
      </c>
      <c r="F25" s="162"/>
      <c r="G25" s="162"/>
      <c r="H25" s="162"/>
      <c r="I25" s="162"/>
      <c r="J25" s="162"/>
      <c r="K25" s="162"/>
      <c r="L25" s="163"/>
      <c r="M25" s="137" t="s">
        <v>47</v>
      </c>
      <c r="N25" s="138"/>
      <c r="O25" s="138"/>
      <c r="P25" s="137" t="s">
        <v>121</v>
      </c>
      <c r="Q25" s="138"/>
      <c r="R25" s="138"/>
      <c r="S25" s="137"/>
      <c r="T25" s="138"/>
      <c r="U25" s="138"/>
      <c r="V25" s="164" t="s">
        <v>267</v>
      </c>
      <c r="W25" s="165"/>
      <c r="X25" s="165"/>
      <c r="Y25" s="165"/>
      <c r="Z25" s="165"/>
      <c r="AA25" s="166"/>
      <c r="AB25" s="167"/>
      <c r="AC25" s="168"/>
      <c r="AD25" s="168"/>
      <c r="AE25" s="168"/>
      <c r="AF25" s="168"/>
      <c r="AG25" s="168"/>
      <c r="AH25" s="168"/>
      <c r="AI25" s="168"/>
      <c r="AJ25" s="168"/>
      <c r="AK25" s="168"/>
      <c r="AL25" s="168"/>
      <c r="AM25" s="168"/>
      <c r="AN25" s="168"/>
      <c r="AO25" s="168"/>
      <c r="AP25" s="168"/>
      <c r="AQ25" s="169"/>
      <c r="AR25" s="170"/>
      <c r="AS25" s="138"/>
      <c r="AT25" s="138"/>
      <c r="AU25" s="138"/>
      <c r="AV25" s="138"/>
      <c r="AW25" s="139"/>
      <c r="AX25" s="164"/>
      <c r="AY25" s="165"/>
      <c r="AZ25" s="165"/>
      <c r="BA25" s="165"/>
      <c r="BB25" s="165"/>
      <c r="BC25" s="165"/>
      <c r="BD25" s="165"/>
      <c r="BE25" s="165"/>
      <c r="BF25" s="165"/>
      <c r="BG25" s="165"/>
      <c r="BH25" s="165"/>
      <c r="BI25" s="165"/>
      <c r="BJ25" s="165"/>
      <c r="BK25" s="165"/>
      <c r="BL25" s="165"/>
      <c r="BM25" s="165"/>
      <c r="BN25" s="165"/>
      <c r="BO25" s="165"/>
      <c r="BP25" s="165"/>
      <c r="BQ25" s="165"/>
      <c r="BR25" s="165"/>
      <c r="BS25" s="165"/>
      <c r="BT25" s="171"/>
      <c r="BU25" s="41"/>
      <c r="BV25" s="40"/>
      <c r="BW25" s="41"/>
      <c r="BX25" s="41"/>
      <c r="BY25" s="41"/>
      <c r="BZ25" s="41"/>
      <c r="CA25" s="41"/>
      <c r="CB25" s="41"/>
      <c r="CC25" s="41"/>
      <c r="CD25" s="41"/>
      <c r="CE25" s="41"/>
      <c r="CF25" s="41"/>
      <c r="CG25" s="41"/>
    </row>
    <row r="26" spans="1:85" s="5" customFormat="1" ht="20.100000000000001" customHeight="1" x14ac:dyDescent="0.45">
      <c r="A26" s="29"/>
      <c r="B26" s="35"/>
      <c r="C26"/>
      <c r="D26" s="37">
        <v>16</v>
      </c>
      <c r="E26" s="161" t="s">
        <v>107</v>
      </c>
      <c r="F26" s="162"/>
      <c r="G26" s="162"/>
      <c r="H26" s="162"/>
      <c r="I26" s="162"/>
      <c r="J26" s="162"/>
      <c r="K26" s="162"/>
      <c r="L26" s="163"/>
      <c r="M26" s="137" t="s">
        <v>38</v>
      </c>
      <c r="N26" s="138"/>
      <c r="O26" s="138"/>
      <c r="P26" s="137" t="s">
        <v>122</v>
      </c>
      <c r="Q26" s="138"/>
      <c r="R26" s="138"/>
      <c r="S26" s="137"/>
      <c r="T26" s="138"/>
      <c r="U26" s="138"/>
      <c r="V26" s="164" t="s">
        <v>240</v>
      </c>
      <c r="W26" s="165"/>
      <c r="X26" s="165"/>
      <c r="Y26" s="165"/>
      <c r="Z26" s="165"/>
      <c r="AA26" s="166"/>
      <c r="AB26" s="167"/>
      <c r="AC26" s="168"/>
      <c r="AD26" s="168"/>
      <c r="AE26" s="168"/>
      <c r="AF26" s="168"/>
      <c r="AG26" s="168"/>
      <c r="AH26" s="168"/>
      <c r="AI26" s="168"/>
      <c r="AJ26" s="168"/>
      <c r="AK26" s="168"/>
      <c r="AL26" s="168"/>
      <c r="AM26" s="168"/>
      <c r="AN26" s="168"/>
      <c r="AO26" s="168"/>
      <c r="AP26" s="168"/>
      <c r="AQ26" s="169"/>
      <c r="AR26" s="170"/>
      <c r="AS26" s="138"/>
      <c r="AT26" s="138"/>
      <c r="AU26" s="138"/>
      <c r="AV26" s="138"/>
      <c r="AW26" s="139"/>
      <c r="AX26" s="164"/>
      <c r="AY26" s="165"/>
      <c r="AZ26" s="165"/>
      <c r="BA26" s="165"/>
      <c r="BB26" s="165"/>
      <c r="BC26" s="165"/>
      <c r="BD26" s="165"/>
      <c r="BE26" s="165"/>
      <c r="BF26" s="165"/>
      <c r="BG26" s="165"/>
      <c r="BH26" s="165"/>
      <c r="BI26" s="165"/>
      <c r="BJ26" s="165"/>
      <c r="BK26" s="165"/>
      <c r="BL26" s="165"/>
      <c r="BM26" s="165"/>
      <c r="BN26" s="165"/>
      <c r="BO26" s="165"/>
      <c r="BP26" s="165"/>
      <c r="BQ26" s="165"/>
      <c r="BR26" s="165"/>
      <c r="BS26" s="165"/>
      <c r="BT26" s="171"/>
      <c r="BU26" s="41"/>
      <c r="BV26" s="40"/>
      <c r="BW26" s="41"/>
      <c r="BX26" s="41"/>
      <c r="BY26" s="41"/>
      <c r="BZ26" s="41"/>
      <c r="CA26" s="41"/>
      <c r="CB26" s="41"/>
      <c r="CC26" s="41"/>
      <c r="CD26" s="41"/>
      <c r="CE26" s="41"/>
      <c r="CF26" s="41"/>
      <c r="CG26" s="41"/>
    </row>
    <row r="27" spans="1:85" ht="20.100000000000001" customHeight="1" x14ac:dyDescent="0.45">
      <c r="A27" s="29"/>
      <c r="B27" s="44"/>
      <c r="C27"/>
      <c r="D27" s="37">
        <v>17</v>
      </c>
      <c r="E27" s="161" t="s">
        <v>108</v>
      </c>
      <c r="F27" s="162"/>
      <c r="G27" s="162"/>
      <c r="H27" s="162"/>
      <c r="I27" s="162"/>
      <c r="J27" s="162"/>
      <c r="K27" s="162"/>
      <c r="L27" s="163"/>
      <c r="M27" s="137" t="s">
        <v>47</v>
      </c>
      <c r="N27" s="138"/>
      <c r="O27" s="138"/>
      <c r="P27" s="137" t="s">
        <v>121</v>
      </c>
      <c r="Q27" s="138"/>
      <c r="R27" s="138"/>
      <c r="S27" s="137"/>
      <c r="T27" s="138"/>
      <c r="U27" s="138"/>
      <c r="V27" s="164" t="s">
        <v>241</v>
      </c>
      <c r="W27" s="165"/>
      <c r="X27" s="165"/>
      <c r="Y27" s="165"/>
      <c r="Z27" s="165"/>
      <c r="AA27" s="166"/>
      <c r="AB27" s="167"/>
      <c r="AC27" s="168"/>
      <c r="AD27" s="168"/>
      <c r="AE27" s="168"/>
      <c r="AF27" s="168"/>
      <c r="AG27" s="168"/>
      <c r="AH27" s="168"/>
      <c r="AI27" s="168"/>
      <c r="AJ27" s="168"/>
      <c r="AK27" s="168"/>
      <c r="AL27" s="168"/>
      <c r="AM27" s="168"/>
      <c r="AN27" s="168"/>
      <c r="AO27" s="168"/>
      <c r="AP27" s="168"/>
      <c r="AQ27" s="169"/>
      <c r="AR27" s="170"/>
      <c r="AS27" s="138"/>
      <c r="AT27" s="138"/>
      <c r="AU27" s="138"/>
      <c r="AV27" s="138"/>
      <c r="AW27" s="139"/>
      <c r="AX27" s="164"/>
      <c r="AY27" s="165"/>
      <c r="AZ27" s="165"/>
      <c r="BA27" s="165"/>
      <c r="BB27" s="165"/>
      <c r="BC27" s="165"/>
      <c r="BD27" s="165"/>
      <c r="BE27" s="165"/>
      <c r="BF27" s="165"/>
      <c r="BG27" s="165"/>
      <c r="BH27" s="165"/>
      <c r="BI27" s="165"/>
      <c r="BJ27" s="165"/>
      <c r="BK27" s="165"/>
      <c r="BL27" s="165"/>
      <c r="BM27" s="165"/>
      <c r="BN27" s="165"/>
      <c r="BO27" s="165"/>
      <c r="BP27" s="165"/>
      <c r="BQ27" s="165"/>
      <c r="BR27" s="165"/>
      <c r="BS27" s="165"/>
      <c r="BT27" s="171"/>
      <c r="BU27" s="41"/>
      <c r="BV27" s="40"/>
      <c r="BW27" s="41"/>
      <c r="BX27" s="41"/>
      <c r="BY27" s="41"/>
      <c r="BZ27" s="41"/>
      <c r="CA27" s="41"/>
      <c r="CB27" s="41"/>
      <c r="CC27" s="41"/>
      <c r="CD27" s="41"/>
      <c r="CE27" s="41"/>
      <c r="CF27" s="41"/>
      <c r="CG27" s="41"/>
    </row>
    <row r="28" spans="1:85" ht="19.5" customHeight="1" x14ac:dyDescent="0.45">
      <c r="A28" s="29"/>
      <c r="B28" s="44"/>
      <c r="C28"/>
      <c r="D28" s="37">
        <v>18</v>
      </c>
      <c r="E28" s="161" t="s">
        <v>109</v>
      </c>
      <c r="F28" s="162"/>
      <c r="G28" s="162"/>
      <c r="H28" s="162"/>
      <c r="I28" s="162"/>
      <c r="J28" s="162"/>
      <c r="K28" s="162"/>
      <c r="L28" s="163"/>
      <c r="M28" s="137" t="s">
        <v>47</v>
      </c>
      <c r="N28" s="138"/>
      <c r="O28" s="138"/>
      <c r="P28" s="137" t="s">
        <v>121</v>
      </c>
      <c r="Q28" s="138"/>
      <c r="R28" s="138"/>
      <c r="S28" s="137"/>
      <c r="T28" s="138"/>
      <c r="U28" s="138"/>
      <c r="V28" s="164" t="s">
        <v>242</v>
      </c>
      <c r="W28" s="165"/>
      <c r="X28" s="165"/>
      <c r="Y28" s="165"/>
      <c r="Z28" s="165"/>
      <c r="AA28" s="166"/>
      <c r="AB28" s="167"/>
      <c r="AC28" s="168"/>
      <c r="AD28" s="168"/>
      <c r="AE28" s="168"/>
      <c r="AF28" s="168"/>
      <c r="AG28" s="168"/>
      <c r="AH28" s="168"/>
      <c r="AI28" s="168"/>
      <c r="AJ28" s="168"/>
      <c r="AK28" s="168"/>
      <c r="AL28" s="168"/>
      <c r="AM28" s="168"/>
      <c r="AN28" s="168"/>
      <c r="AO28" s="168"/>
      <c r="AP28" s="168"/>
      <c r="AQ28" s="169"/>
      <c r="AR28" s="170"/>
      <c r="AS28" s="138"/>
      <c r="AT28" s="138"/>
      <c r="AU28" s="138"/>
      <c r="AV28" s="138"/>
      <c r="AW28" s="139"/>
      <c r="AX28" s="164"/>
      <c r="AY28" s="165"/>
      <c r="AZ28" s="165"/>
      <c r="BA28" s="165"/>
      <c r="BB28" s="165"/>
      <c r="BC28" s="165"/>
      <c r="BD28" s="165"/>
      <c r="BE28" s="165"/>
      <c r="BF28" s="165"/>
      <c r="BG28" s="165"/>
      <c r="BH28" s="165"/>
      <c r="BI28" s="165"/>
      <c r="BJ28" s="165"/>
      <c r="BK28" s="165"/>
      <c r="BL28" s="165"/>
      <c r="BM28" s="165"/>
      <c r="BN28" s="165"/>
      <c r="BO28" s="165"/>
      <c r="BP28" s="165"/>
      <c r="BQ28" s="165"/>
      <c r="BR28" s="165"/>
      <c r="BS28" s="165"/>
      <c r="BT28" s="171"/>
      <c r="BU28" s="41"/>
      <c r="BV28" s="40"/>
      <c r="BW28" s="41"/>
      <c r="BX28" s="41"/>
      <c r="BY28" s="41"/>
      <c r="BZ28" s="41"/>
      <c r="CA28" s="41"/>
      <c r="CB28" s="41"/>
      <c r="CC28" s="41"/>
      <c r="CD28" s="41"/>
      <c r="CE28" s="41"/>
      <c r="CF28" s="41"/>
      <c r="CG28" s="41"/>
    </row>
    <row r="29" spans="1:85" ht="19.5" customHeight="1" x14ac:dyDescent="0.45">
      <c r="A29" s="29"/>
      <c r="B29" s="44"/>
      <c r="C29"/>
      <c r="D29" s="37">
        <v>19</v>
      </c>
      <c r="E29" s="161" t="s">
        <v>110</v>
      </c>
      <c r="F29" s="162"/>
      <c r="G29" s="162"/>
      <c r="H29" s="162"/>
      <c r="I29" s="162"/>
      <c r="J29" s="162"/>
      <c r="K29" s="162"/>
      <c r="L29" s="163"/>
      <c r="M29" s="137" t="s">
        <v>47</v>
      </c>
      <c r="N29" s="138"/>
      <c r="O29" s="138"/>
      <c r="P29" s="137" t="s">
        <v>121</v>
      </c>
      <c r="Q29" s="138"/>
      <c r="R29" s="138"/>
      <c r="S29" s="137"/>
      <c r="T29" s="138"/>
      <c r="U29" s="138"/>
      <c r="V29" s="164" t="s">
        <v>243</v>
      </c>
      <c r="W29" s="165"/>
      <c r="X29" s="165"/>
      <c r="Y29" s="165"/>
      <c r="Z29" s="165"/>
      <c r="AA29" s="166"/>
      <c r="AB29" s="167"/>
      <c r="AC29" s="168"/>
      <c r="AD29" s="168"/>
      <c r="AE29" s="168"/>
      <c r="AF29" s="168"/>
      <c r="AG29" s="168"/>
      <c r="AH29" s="168"/>
      <c r="AI29" s="168"/>
      <c r="AJ29" s="168"/>
      <c r="AK29" s="168"/>
      <c r="AL29" s="168"/>
      <c r="AM29" s="168"/>
      <c r="AN29" s="168"/>
      <c r="AO29" s="168"/>
      <c r="AP29" s="168"/>
      <c r="AQ29" s="169"/>
      <c r="AR29" s="170"/>
      <c r="AS29" s="138"/>
      <c r="AT29" s="138"/>
      <c r="AU29" s="138"/>
      <c r="AV29" s="138"/>
      <c r="AW29" s="139"/>
      <c r="AX29" s="164"/>
      <c r="AY29" s="165"/>
      <c r="AZ29" s="165"/>
      <c r="BA29" s="165"/>
      <c r="BB29" s="165"/>
      <c r="BC29" s="165"/>
      <c r="BD29" s="165"/>
      <c r="BE29" s="165"/>
      <c r="BF29" s="165"/>
      <c r="BG29" s="165"/>
      <c r="BH29" s="165"/>
      <c r="BI29" s="165"/>
      <c r="BJ29" s="165"/>
      <c r="BK29" s="165"/>
      <c r="BL29" s="165"/>
      <c r="BM29" s="165"/>
      <c r="BN29" s="165"/>
      <c r="BO29" s="165"/>
      <c r="BP29" s="165"/>
      <c r="BQ29" s="165"/>
      <c r="BR29" s="165"/>
      <c r="BS29" s="165"/>
      <c r="BT29" s="171"/>
      <c r="BU29" s="41"/>
      <c r="BV29" s="40"/>
      <c r="BW29" s="41"/>
      <c r="BX29" s="41"/>
      <c r="BY29" s="41"/>
      <c r="BZ29" s="41"/>
      <c r="CA29" s="41"/>
      <c r="CB29" s="41"/>
      <c r="CC29" s="41"/>
      <c r="CD29" s="41"/>
      <c r="CE29" s="41"/>
      <c r="CF29" s="41"/>
      <c r="CG29" s="41"/>
    </row>
    <row r="30" spans="1:85" ht="19.8" customHeight="1" x14ac:dyDescent="0.45">
      <c r="A30" s="29"/>
      <c r="B30" s="44"/>
      <c r="C30"/>
      <c r="D30" s="37">
        <v>20</v>
      </c>
      <c r="E30" s="172" t="s">
        <v>111</v>
      </c>
      <c r="F30" s="173"/>
      <c r="G30" s="173"/>
      <c r="H30" s="173"/>
      <c r="I30" s="173"/>
      <c r="J30" s="173"/>
      <c r="K30" s="173"/>
      <c r="L30" s="174"/>
      <c r="M30" s="137" t="s">
        <v>47</v>
      </c>
      <c r="N30" s="138"/>
      <c r="O30" s="138"/>
      <c r="P30" s="137" t="s">
        <v>121</v>
      </c>
      <c r="Q30" s="138"/>
      <c r="R30" s="138"/>
      <c r="S30" s="175"/>
      <c r="T30" s="176"/>
      <c r="U30" s="176"/>
      <c r="V30" s="164" t="s">
        <v>244</v>
      </c>
      <c r="W30" s="165"/>
      <c r="X30" s="165"/>
      <c r="Y30" s="165"/>
      <c r="Z30" s="165"/>
      <c r="AA30" s="166"/>
      <c r="AB30" s="177"/>
      <c r="AC30" s="178"/>
      <c r="AD30" s="178"/>
      <c r="AE30" s="178"/>
      <c r="AF30" s="178"/>
      <c r="AG30" s="178"/>
      <c r="AH30" s="178"/>
      <c r="AI30" s="178"/>
      <c r="AJ30" s="178"/>
      <c r="AK30" s="178"/>
      <c r="AL30" s="178"/>
      <c r="AM30" s="178"/>
      <c r="AN30" s="178"/>
      <c r="AO30" s="178"/>
      <c r="AP30" s="178"/>
      <c r="AQ30" s="179"/>
      <c r="AR30" s="170"/>
      <c r="AS30" s="138"/>
      <c r="AT30" s="138"/>
      <c r="AU30" s="138"/>
      <c r="AV30" s="138"/>
      <c r="AW30" s="139"/>
      <c r="AX30" s="180"/>
      <c r="AY30" s="181"/>
      <c r="AZ30" s="181"/>
      <c r="BA30" s="181"/>
      <c r="BB30" s="181"/>
      <c r="BC30" s="181"/>
      <c r="BD30" s="181"/>
      <c r="BE30" s="181"/>
      <c r="BF30" s="181"/>
      <c r="BG30" s="181"/>
      <c r="BH30" s="181"/>
      <c r="BI30" s="181"/>
      <c r="BJ30" s="181"/>
      <c r="BK30" s="181"/>
      <c r="BL30" s="181"/>
      <c r="BM30" s="181"/>
      <c r="BN30" s="181"/>
      <c r="BO30" s="181"/>
      <c r="BP30" s="181"/>
      <c r="BQ30" s="181"/>
      <c r="BR30" s="181"/>
      <c r="BS30" s="181"/>
      <c r="BT30" s="182"/>
      <c r="BU30" s="41"/>
      <c r="BV30" s="40"/>
      <c r="BW30" s="41"/>
      <c r="BX30" s="41"/>
      <c r="BY30" s="41"/>
      <c r="BZ30" s="41"/>
      <c r="CA30" s="41"/>
      <c r="CB30" s="41"/>
      <c r="CC30" s="41"/>
      <c r="CD30" s="41"/>
      <c r="CE30" s="41"/>
      <c r="CF30" s="41"/>
      <c r="CG30" s="41"/>
    </row>
    <row r="31" spans="1:85" s="5" customFormat="1" ht="20.100000000000001" customHeight="1" x14ac:dyDescent="0.45">
      <c r="A31" s="29"/>
      <c r="B31" s="35"/>
      <c r="C31" s="29"/>
      <c r="D31" s="37">
        <v>21</v>
      </c>
      <c r="E31" s="161" t="s">
        <v>112</v>
      </c>
      <c r="F31" s="162"/>
      <c r="G31" s="162"/>
      <c r="H31" s="162"/>
      <c r="I31" s="162"/>
      <c r="J31" s="162"/>
      <c r="K31" s="162"/>
      <c r="L31" s="163"/>
      <c r="M31" s="137" t="s">
        <v>38</v>
      </c>
      <c r="N31" s="138"/>
      <c r="O31" s="138"/>
      <c r="P31" s="137" t="s">
        <v>122</v>
      </c>
      <c r="Q31" s="138"/>
      <c r="R31" s="138"/>
      <c r="S31" s="137"/>
      <c r="T31" s="138"/>
      <c r="U31" s="138"/>
      <c r="V31" s="164" t="s">
        <v>245</v>
      </c>
      <c r="W31" s="165"/>
      <c r="X31" s="165"/>
      <c r="Y31" s="165"/>
      <c r="Z31" s="165"/>
      <c r="AA31" s="166"/>
      <c r="AB31" s="167"/>
      <c r="AC31" s="168"/>
      <c r="AD31" s="168"/>
      <c r="AE31" s="168"/>
      <c r="AF31" s="168"/>
      <c r="AG31" s="168"/>
      <c r="AH31" s="168"/>
      <c r="AI31" s="168"/>
      <c r="AJ31" s="168"/>
      <c r="AK31" s="168"/>
      <c r="AL31" s="168"/>
      <c r="AM31" s="168"/>
      <c r="AN31" s="168"/>
      <c r="AO31" s="168"/>
      <c r="AP31" s="168"/>
      <c r="AQ31" s="169"/>
      <c r="AR31" s="170"/>
      <c r="AS31" s="138"/>
      <c r="AT31" s="138"/>
      <c r="AU31" s="138"/>
      <c r="AV31" s="138"/>
      <c r="AW31" s="139"/>
      <c r="AX31" s="164"/>
      <c r="AY31" s="165"/>
      <c r="AZ31" s="165"/>
      <c r="BA31" s="165"/>
      <c r="BB31" s="165"/>
      <c r="BC31" s="165"/>
      <c r="BD31" s="165"/>
      <c r="BE31" s="165"/>
      <c r="BF31" s="165"/>
      <c r="BG31" s="165"/>
      <c r="BH31" s="165"/>
      <c r="BI31" s="165"/>
      <c r="BJ31" s="165"/>
      <c r="BK31" s="165"/>
      <c r="BL31" s="165"/>
      <c r="BM31" s="165"/>
      <c r="BN31" s="165"/>
      <c r="BO31" s="165"/>
      <c r="BP31" s="165"/>
      <c r="BQ31" s="165"/>
      <c r="BR31" s="165"/>
      <c r="BS31" s="165"/>
      <c r="BT31" s="171"/>
      <c r="BU31" s="41"/>
      <c r="BV31" s="40"/>
      <c r="BW31" s="41"/>
      <c r="BX31" s="41"/>
      <c r="BY31" s="41"/>
      <c r="BZ31" s="41"/>
      <c r="CA31" s="41"/>
      <c r="CB31" s="41"/>
      <c r="CC31" s="41"/>
      <c r="CD31" s="41"/>
      <c r="CE31" s="41"/>
      <c r="CF31" s="41"/>
      <c r="CG31" s="41"/>
    </row>
    <row r="32" spans="1:85" ht="20.100000000000001" customHeight="1" x14ac:dyDescent="0.45">
      <c r="A32" s="29"/>
      <c r="B32" s="44"/>
      <c r="C32" s="29"/>
      <c r="D32" s="37">
        <v>22</v>
      </c>
      <c r="E32" s="161" t="s">
        <v>113</v>
      </c>
      <c r="F32" s="162"/>
      <c r="G32" s="162"/>
      <c r="H32" s="162"/>
      <c r="I32" s="162"/>
      <c r="J32" s="162"/>
      <c r="K32" s="162"/>
      <c r="L32" s="163"/>
      <c r="M32" s="137" t="s">
        <v>47</v>
      </c>
      <c r="N32" s="138"/>
      <c r="O32" s="138"/>
      <c r="P32" s="137" t="s">
        <v>121</v>
      </c>
      <c r="Q32" s="138"/>
      <c r="R32" s="138"/>
      <c r="S32" s="137"/>
      <c r="T32" s="138"/>
      <c r="U32" s="138"/>
      <c r="V32" s="164" t="s">
        <v>246</v>
      </c>
      <c r="W32" s="165"/>
      <c r="X32" s="165"/>
      <c r="Y32" s="165"/>
      <c r="Z32" s="165"/>
      <c r="AA32" s="166"/>
      <c r="AB32" s="167"/>
      <c r="AC32" s="168"/>
      <c r="AD32" s="168"/>
      <c r="AE32" s="168"/>
      <c r="AF32" s="168"/>
      <c r="AG32" s="168"/>
      <c r="AH32" s="168"/>
      <c r="AI32" s="168"/>
      <c r="AJ32" s="168"/>
      <c r="AK32" s="168"/>
      <c r="AL32" s="168"/>
      <c r="AM32" s="168"/>
      <c r="AN32" s="168"/>
      <c r="AO32" s="168"/>
      <c r="AP32" s="168"/>
      <c r="AQ32" s="169"/>
      <c r="AR32" s="170"/>
      <c r="AS32" s="138"/>
      <c r="AT32" s="138"/>
      <c r="AU32" s="138"/>
      <c r="AV32" s="138"/>
      <c r="AW32" s="139"/>
      <c r="AX32" s="164"/>
      <c r="AY32" s="165"/>
      <c r="AZ32" s="165"/>
      <c r="BA32" s="165"/>
      <c r="BB32" s="165"/>
      <c r="BC32" s="165"/>
      <c r="BD32" s="165"/>
      <c r="BE32" s="165"/>
      <c r="BF32" s="165"/>
      <c r="BG32" s="165"/>
      <c r="BH32" s="165"/>
      <c r="BI32" s="165"/>
      <c r="BJ32" s="165"/>
      <c r="BK32" s="165"/>
      <c r="BL32" s="165"/>
      <c r="BM32" s="165"/>
      <c r="BN32" s="165"/>
      <c r="BO32" s="165"/>
      <c r="BP32" s="165"/>
      <c r="BQ32" s="165"/>
      <c r="BR32" s="165"/>
      <c r="BS32" s="165"/>
      <c r="BT32" s="171"/>
      <c r="BU32" s="41"/>
      <c r="BV32" s="40"/>
      <c r="BW32" s="41"/>
      <c r="BX32" s="41"/>
      <c r="BY32" s="41"/>
      <c r="BZ32" s="41"/>
      <c r="CA32" s="41"/>
      <c r="CB32" s="41"/>
      <c r="CC32" s="41"/>
      <c r="CD32" s="41"/>
      <c r="CE32" s="41"/>
      <c r="CF32" s="41"/>
      <c r="CG32" s="41"/>
    </row>
    <row r="33" spans="1:85" ht="19.5" customHeight="1" x14ac:dyDescent="0.45">
      <c r="A33" s="29"/>
      <c r="B33" s="44"/>
      <c r="C33" s="29"/>
      <c r="D33" s="37">
        <v>23</v>
      </c>
      <c r="E33" s="161" t="s">
        <v>114</v>
      </c>
      <c r="F33" s="162"/>
      <c r="G33" s="162"/>
      <c r="H33" s="162"/>
      <c r="I33" s="162"/>
      <c r="J33" s="162"/>
      <c r="K33" s="162"/>
      <c r="L33" s="163"/>
      <c r="M33" s="137" t="s">
        <v>38</v>
      </c>
      <c r="N33" s="138"/>
      <c r="O33" s="138"/>
      <c r="P33" s="137" t="s">
        <v>122</v>
      </c>
      <c r="Q33" s="138"/>
      <c r="R33" s="138"/>
      <c r="S33" s="137"/>
      <c r="T33" s="138"/>
      <c r="U33" s="138"/>
      <c r="V33" s="164" t="s">
        <v>247</v>
      </c>
      <c r="W33" s="165"/>
      <c r="X33" s="165"/>
      <c r="Y33" s="165"/>
      <c r="Z33" s="165"/>
      <c r="AA33" s="166"/>
      <c r="AB33" s="167"/>
      <c r="AC33" s="168"/>
      <c r="AD33" s="168"/>
      <c r="AE33" s="168"/>
      <c r="AF33" s="168"/>
      <c r="AG33" s="168"/>
      <c r="AH33" s="168"/>
      <c r="AI33" s="168"/>
      <c r="AJ33" s="168"/>
      <c r="AK33" s="168"/>
      <c r="AL33" s="168"/>
      <c r="AM33" s="168"/>
      <c r="AN33" s="168"/>
      <c r="AO33" s="168"/>
      <c r="AP33" s="168"/>
      <c r="AQ33" s="169"/>
      <c r="AR33" s="170"/>
      <c r="AS33" s="138"/>
      <c r="AT33" s="138"/>
      <c r="AU33" s="138"/>
      <c r="AV33" s="138"/>
      <c r="AW33" s="139"/>
      <c r="AX33" s="164"/>
      <c r="AY33" s="165"/>
      <c r="AZ33" s="165"/>
      <c r="BA33" s="165"/>
      <c r="BB33" s="165"/>
      <c r="BC33" s="165"/>
      <c r="BD33" s="165"/>
      <c r="BE33" s="165"/>
      <c r="BF33" s="165"/>
      <c r="BG33" s="165"/>
      <c r="BH33" s="165"/>
      <c r="BI33" s="165"/>
      <c r="BJ33" s="165"/>
      <c r="BK33" s="165"/>
      <c r="BL33" s="165"/>
      <c r="BM33" s="165"/>
      <c r="BN33" s="165"/>
      <c r="BO33" s="165"/>
      <c r="BP33" s="165"/>
      <c r="BQ33" s="165"/>
      <c r="BR33" s="165"/>
      <c r="BS33" s="165"/>
      <c r="BT33" s="171"/>
      <c r="BU33" s="41"/>
      <c r="BV33" s="40"/>
      <c r="BW33" s="41"/>
      <c r="BX33" s="41"/>
      <c r="BY33" s="41"/>
      <c r="BZ33" s="41"/>
      <c r="CA33" s="41"/>
      <c r="CB33" s="41"/>
      <c r="CC33" s="41"/>
      <c r="CD33" s="41"/>
      <c r="CE33" s="41"/>
      <c r="CF33" s="41"/>
      <c r="CG33" s="41"/>
    </row>
    <row r="34" spans="1:85" ht="19.5" customHeight="1" x14ac:dyDescent="0.45">
      <c r="A34" s="29"/>
      <c r="B34" s="44"/>
      <c r="C34" s="29"/>
      <c r="D34" s="37">
        <v>24</v>
      </c>
      <c r="E34" s="161" t="s">
        <v>115</v>
      </c>
      <c r="F34" s="162"/>
      <c r="G34" s="162"/>
      <c r="H34" s="162"/>
      <c r="I34" s="162"/>
      <c r="J34" s="162"/>
      <c r="K34" s="162"/>
      <c r="L34" s="163"/>
      <c r="M34" s="137" t="s">
        <v>47</v>
      </c>
      <c r="N34" s="138"/>
      <c r="O34" s="138"/>
      <c r="P34" s="137" t="s">
        <v>121</v>
      </c>
      <c r="Q34" s="138"/>
      <c r="R34" s="138"/>
      <c r="S34" s="137"/>
      <c r="T34" s="138"/>
      <c r="U34" s="138"/>
      <c r="V34" s="164" t="s">
        <v>248</v>
      </c>
      <c r="W34" s="165"/>
      <c r="X34" s="165"/>
      <c r="Y34" s="165"/>
      <c r="Z34" s="165"/>
      <c r="AA34" s="166"/>
      <c r="AB34" s="167"/>
      <c r="AC34" s="168"/>
      <c r="AD34" s="168"/>
      <c r="AE34" s="168"/>
      <c r="AF34" s="168"/>
      <c r="AG34" s="168"/>
      <c r="AH34" s="168"/>
      <c r="AI34" s="168"/>
      <c r="AJ34" s="168"/>
      <c r="AK34" s="168"/>
      <c r="AL34" s="168"/>
      <c r="AM34" s="168"/>
      <c r="AN34" s="168"/>
      <c r="AO34" s="168"/>
      <c r="AP34" s="168"/>
      <c r="AQ34" s="169"/>
      <c r="AR34" s="170">
        <v>9999</v>
      </c>
      <c r="AS34" s="138"/>
      <c r="AT34" s="138"/>
      <c r="AU34" s="138"/>
      <c r="AV34" s="138"/>
      <c r="AW34" s="139"/>
      <c r="AX34" s="164"/>
      <c r="AY34" s="165"/>
      <c r="AZ34" s="165"/>
      <c r="BA34" s="165"/>
      <c r="BB34" s="165"/>
      <c r="BC34" s="165"/>
      <c r="BD34" s="165"/>
      <c r="BE34" s="165"/>
      <c r="BF34" s="165"/>
      <c r="BG34" s="165"/>
      <c r="BH34" s="165"/>
      <c r="BI34" s="165"/>
      <c r="BJ34" s="165"/>
      <c r="BK34" s="165"/>
      <c r="BL34" s="165"/>
      <c r="BM34" s="165"/>
      <c r="BN34" s="165"/>
      <c r="BO34" s="165"/>
      <c r="BP34" s="165"/>
      <c r="BQ34" s="165"/>
      <c r="BR34" s="165"/>
      <c r="BS34" s="165"/>
      <c r="BT34" s="171"/>
      <c r="BU34" s="41"/>
      <c r="BV34" s="40"/>
      <c r="BW34" s="41"/>
      <c r="BX34" s="41"/>
      <c r="BY34" s="41"/>
      <c r="BZ34" s="41"/>
      <c r="CA34" s="41"/>
      <c r="CB34" s="41"/>
      <c r="CC34" s="41"/>
      <c r="CD34" s="41"/>
      <c r="CE34" s="41"/>
      <c r="CF34" s="41"/>
      <c r="CG34" s="41"/>
    </row>
    <row r="35" spans="1:85" ht="20.100000000000001" customHeight="1" x14ac:dyDescent="0.45">
      <c r="A35" s="29"/>
      <c r="B35" s="44"/>
      <c r="C35" s="29"/>
      <c r="D35" s="37">
        <v>25</v>
      </c>
      <c r="E35" s="172" t="s">
        <v>116</v>
      </c>
      <c r="F35" s="173"/>
      <c r="G35" s="173"/>
      <c r="H35" s="173"/>
      <c r="I35" s="173"/>
      <c r="J35" s="173"/>
      <c r="K35" s="173"/>
      <c r="L35" s="174"/>
      <c r="M35" s="137" t="s">
        <v>38</v>
      </c>
      <c r="N35" s="138"/>
      <c r="O35" s="138"/>
      <c r="P35" s="137" t="s">
        <v>122</v>
      </c>
      <c r="Q35" s="138"/>
      <c r="R35" s="138"/>
      <c r="S35" s="175"/>
      <c r="T35" s="176"/>
      <c r="U35" s="176"/>
      <c r="V35" s="164" t="s">
        <v>249</v>
      </c>
      <c r="W35" s="165"/>
      <c r="X35" s="165"/>
      <c r="Y35" s="165"/>
      <c r="Z35" s="165"/>
      <c r="AA35" s="166"/>
      <c r="AB35" s="177" t="s">
        <v>275</v>
      </c>
      <c r="AC35" s="178"/>
      <c r="AD35" s="178"/>
      <c r="AE35" s="178"/>
      <c r="AF35" s="178"/>
      <c r="AG35" s="178"/>
      <c r="AH35" s="178"/>
      <c r="AI35" s="178"/>
      <c r="AJ35" s="178"/>
      <c r="AK35" s="178"/>
      <c r="AL35" s="178"/>
      <c r="AM35" s="178"/>
      <c r="AN35" s="178"/>
      <c r="AO35" s="178"/>
      <c r="AP35" s="178"/>
      <c r="AQ35" s="179"/>
      <c r="AR35" s="170"/>
      <c r="AS35" s="138"/>
      <c r="AT35" s="138"/>
      <c r="AU35" s="138"/>
      <c r="AV35" s="138"/>
      <c r="AW35" s="139"/>
      <c r="AX35" s="180"/>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2"/>
      <c r="BU35" s="41"/>
      <c r="BV35" s="40"/>
      <c r="BW35" s="41"/>
      <c r="BX35" s="41"/>
      <c r="BY35" s="41"/>
      <c r="BZ35" s="41"/>
      <c r="CA35" s="41"/>
      <c r="CB35" s="41"/>
      <c r="CC35" s="41"/>
      <c r="CD35" s="41"/>
      <c r="CE35" s="41"/>
      <c r="CF35" s="41"/>
      <c r="CG35" s="41"/>
    </row>
    <row r="36" spans="1:85" s="5" customFormat="1" ht="20.100000000000001" customHeight="1" x14ac:dyDescent="0.45">
      <c r="A36" s="29"/>
      <c r="B36" s="35"/>
      <c r="C36" s="29"/>
      <c r="D36" s="37">
        <v>26</v>
      </c>
      <c r="E36" s="161" t="s">
        <v>117</v>
      </c>
      <c r="F36" s="162"/>
      <c r="G36" s="162"/>
      <c r="H36" s="162"/>
      <c r="I36" s="162"/>
      <c r="J36" s="162"/>
      <c r="K36" s="162"/>
      <c r="L36" s="163"/>
      <c r="M36" s="137" t="s">
        <v>8</v>
      </c>
      <c r="N36" s="138"/>
      <c r="O36" s="138"/>
      <c r="P36" s="137" t="s">
        <v>121</v>
      </c>
      <c r="Q36" s="138"/>
      <c r="R36" s="138"/>
      <c r="S36" s="137"/>
      <c r="T36" s="138"/>
      <c r="U36" s="138"/>
      <c r="V36" s="164" t="s">
        <v>250</v>
      </c>
      <c r="W36" s="165"/>
      <c r="X36" s="165"/>
      <c r="Y36" s="165"/>
      <c r="Z36" s="165"/>
      <c r="AA36" s="166"/>
      <c r="AB36" s="167"/>
      <c r="AC36" s="168"/>
      <c r="AD36" s="168"/>
      <c r="AE36" s="168"/>
      <c r="AF36" s="168"/>
      <c r="AG36" s="168"/>
      <c r="AH36" s="168"/>
      <c r="AI36" s="168"/>
      <c r="AJ36" s="168"/>
      <c r="AK36" s="168"/>
      <c r="AL36" s="168"/>
      <c r="AM36" s="168"/>
      <c r="AN36" s="168"/>
      <c r="AO36" s="168"/>
      <c r="AP36" s="168"/>
      <c r="AQ36" s="169"/>
      <c r="AR36" s="170"/>
      <c r="AS36" s="138"/>
      <c r="AT36" s="138"/>
      <c r="AU36" s="138"/>
      <c r="AV36" s="138"/>
      <c r="AW36" s="139"/>
      <c r="AX36" s="164"/>
      <c r="AY36" s="165"/>
      <c r="AZ36" s="165"/>
      <c r="BA36" s="165"/>
      <c r="BB36" s="165"/>
      <c r="BC36" s="165"/>
      <c r="BD36" s="165"/>
      <c r="BE36" s="165"/>
      <c r="BF36" s="165"/>
      <c r="BG36" s="165"/>
      <c r="BH36" s="165"/>
      <c r="BI36" s="165"/>
      <c r="BJ36" s="165"/>
      <c r="BK36" s="165"/>
      <c r="BL36" s="165"/>
      <c r="BM36" s="165"/>
      <c r="BN36" s="165"/>
      <c r="BO36" s="165"/>
      <c r="BP36" s="165"/>
      <c r="BQ36" s="165"/>
      <c r="BR36" s="165"/>
      <c r="BS36" s="165"/>
      <c r="BT36" s="171"/>
      <c r="BU36" s="41"/>
      <c r="BV36" s="40"/>
      <c r="BW36" s="41"/>
      <c r="BX36" s="41"/>
      <c r="BY36" s="41"/>
      <c r="BZ36" s="41"/>
      <c r="CA36" s="41"/>
      <c r="CB36" s="41"/>
      <c r="CC36" s="41"/>
      <c r="CD36" s="41"/>
      <c r="CE36" s="41"/>
      <c r="CF36" s="41"/>
      <c r="CG36" s="41"/>
    </row>
    <row r="37" spans="1:85" ht="20.100000000000001" customHeight="1" x14ac:dyDescent="0.45">
      <c r="A37" s="29"/>
      <c r="B37" s="44"/>
      <c r="C37" s="29"/>
      <c r="D37" s="37">
        <v>27</v>
      </c>
      <c r="E37" s="161" t="s">
        <v>118</v>
      </c>
      <c r="F37" s="162"/>
      <c r="G37" s="162"/>
      <c r="H37" s="162"/>
      <c r="I37" s="162"/>
      <c r="J37" s="162"/>
      <c r="K37" s="162"/>
      <c r="L37" s="163"/>
      <c r="M37" s="137" t="s">
        <v>8</v>
      </c>
      <c r="N37" s="138"/>
      <c r="O37" s="138"/>
      <c r="P37" s="137" t="s">
        <v>121</v>
      </c>
      <c r="Q37" s="138"/>
      <c r="R37" s="138"/>
      <c r="S37" s="137"/>
      <c r="T37" s="138"/>
      <c r="U37" s="138"/>
      <c r="V37" s="164" t="s">
        <v>251</v>
      </c>
      <c r="W37" s="165"/>
      <c r="X37" s="165"/>
      <c r="Y37" s="165"/>
      <c r="Z37" s="165"/>
      <c r="AA37" s="166"/>
      <c r="AB37" s="167"/>
      <c r="AC37" s="168"/>
      <c r="AD37" s="168"/>
      <c r="AE37" s="168"/>
      <c r="AF37" s="168"/>
      <c r="AG37" s="168"/>
      <c r="AH37" s="168"/>
      <c r="AI37" s="168"/>
      <c r="AJ37" s="168"/>
      <c r="AK37" s="168"/>
      <c r="AL37" s="168"/>
      <c r="AM37" s="168"/>
      <c r="AN37" s="168"/>
      <c r="AO37" s="168"/>
      <c r="AP37" s="168"/>
      <c r="AQ37" s="169"/>
      <c r="AR37" s="170"/>
      <c r="AS37" s="138"/>
      <c r="AT37" s="138"/>
      <c r="AU37" s="138"/>
      <c r="AV37" s="138"/>
      <c r="AW37" s="139"/>
      <c r="AX37" s="164"/>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71"/>
      <c r="BU37" s="41"/>
      <c r="BV37" s="40"/>
      <c r="BW37" s="41"/>
      <c r="BX37" s="41"/>
      <c r="BY37" s="41"/>
      <c r="BZ37" s="41"/>
      <c r="CA37" s="41"/>
      <c r="CB37" s="41"/>
      <c r="CC37" s="41"/>
      <c r="CD37" s="41"/>
      <c r="CE37" s="41"/>
      <c r="CF37" s="41"/>
      <c r="CG37" s="41"/>
    </row>
    <row r="38" spans="1:85" ht="19.5" customHeight="1" x14ac:dyDescent="0.45">
      <c r="A38" s="29"/>
      <c r="B38" s="44"/>
      <c r="C38" s="29"/>
      <c r="D38" s="37">
        <v>28</v>
      </c>
      <c r="E38" s="161" t="s">
        <v>119</v>
      </c>
      <c r="F38" s="162"/>
      <c r="G38" s="162"/>
      <c r="H38" s="162"/>
      <c r="I38" s="162"/>
      <c r="J38" s="162"/>
      <c r="K38" s="162"/>
      <c r="L38" s="163"/>
      <c r="M38" s="137" t="s">
        <v>8</v>
      </c>
      <c r="N38" s="138"/>
      <c r="O38" s="138"/>
      <c r="P38" s="137" t="s">
        <v>121</v>
      </c>
      <c r="Q38" s="138"/>
      <c r="R38" s="138"/>
      <c r="S38" s="137"/>
      <c r="T38" s="138"/>
      <c r="U38" s="138"/>
      <c r="V38" s="164" t="s">
        <v>252</v>
      </c>
      <c r="W38" s="165"/>
      <c r="X38" s="165"/>
      <c r="Y38" s="165"/>
      <c r="Z38" s="165"/>
      <c r="AA38" s="166"/>
      <c r="AB38" s="167"/>
      <c r="AC38" s="168"/>
      <c r="AD38" s="168"/>
      <c r="AE38" s="168"/>
      <c r="AF38" s="168"/>
      <c r="AG38" s="168"/>
      <c r="AH38" s="168"/>
      <c r="AI38" s="168"/>
      <c r="AJ38" s="168"/>
      <c r="AK38" s="168"/>
      <c r="AL38" s="168"/>
      <c r="AM38" s="168"/>
      <c r="AN38" s="168"/>
      <c r="AO38" s="168"/>
      <c r="AP38" s="168"/>
      <c r="AQ38" s="169"/>
      <c r="AR38" s="170"/>
      <c r="AS38" s="138"/>
      <c r="AT38" s="138"/>
      <c r="AU38" s="138"/>
      <c r="AV38" s="138"/>
      <c r="AW38" s="139"/>
      <c r="AX38" s="164"/>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71"/>
      <c r="BU38" s="41"/>
      <c r="BV38" s="40"/>
      <c r="BW38" s="41"/>
      <c r="BX38" s="41"/>
      <c r="BY38" s="41"/>
      <c r="BZ38" s="41"/>
      <c r="CA38" s="41"/>
      <c r="CB38" s="41"/>
      <c r="CC38" s="41"/>
      <c r="CD38" s="41"/>
      <c r="CE38" s="41"/>
      <c r="CF38" s="41"/>
      <c r="CG38" s="41"/>
    </row>
    <row r="39" spans="1:85" ht="19.5" customHeight="1" thickBot="1" x14ac:dyDescent="0.5">
      <c r="A39" s="29"/>
      <c r="B39" s="44"/>
      <c r="C39" s="29"/>
      <c r="D39" s="37">
        <v>29</v>
      </c>
      <c r="E39" s="161" t="s">
        <v>120</v>
      </c>
      <c r="F39" s="162"/>
      <c r="G39" s="162"/>
      <c r="H39" s="162"/>
      <c r="I39" s="162"/>
      <c r="J39" s="162"/>
      <c r="K39" s="162"/>
      <c r="L39" s="163"/>
      <c r="M39" s="137" t="s">
        <v>47</v>
      </c>
      <c r="N39" s="138"/>
      <c r="O39" s="138"/>
      <c r="P39" s="137" t="s">
        <v>121</v>
      </c>
      <c r="Q39" s="138"/>
      <c r="R39" s="138"/>
      <c r="S39" s="137"/>
      <c r="T39" s="138"/>
      <c r="U39" s="138"/>
      <c r="V39" s="164" t="s">
        <v>253</v>
      </c>
      <c r="W39" s="165"/>
      <c r="X39" s="165"/>
      <c r="Y39" s="165"/>
      <c r="Z39" s="165"/>
      <c r="AA39" s="166"/>
      <c r="AB39" s="167"/>
      <c r="AC39" s="168"/>
      <c r="AD39" s="168"/>
      <c r="AE39" s="168"/>
      <c r="AF39" s="168"/>
      <c r="AG39" s="168"/>
      <c r="AH39" s="168"/>
      <c r="AI39" s="168"/>
      <c r="AJ39" s="168"/>
      <c r="AK39" s="168"/>
      <c r="AL39" s="168"/>
      <c r="AM39" s="168"/>
      <c r="AN39" s="168"/>
      <c r="AO39" s="168"/>
      <c r="AP39" s="168"/>
      <c r="AQ39" s="169"/>
      <c r="AR39" s="170"/>
      <c r="AS39" s="138"/>
      <c r="AT39" s="138"/>
      <c r="AU39" s="138"/>
      <c r="AV39" s="138"/>
      <c r="AW39" s="139"/>
      <c r="AX39" s="164"/>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71"/>
      <c r="BU39" s="41"/>
      <c r="BV39" s="40"/>
      <c r="BW39" s="41"/>
      <c r="BX39" s="41"/>
      <c r="BY39" s="41"/>
      <c r="BZ39" s="41"/>
      <c r="CA39" s="41"/>
      <c r="CB39" s="41"/>
      <c r="CC39" s="41"/>
      <c r="CD39" s="41"/>
      <c r="CE39" s="41"/>
      <c r="CF39" s="41"/>
      <c r="CG39" s="41"/>
    </row>
    <row r="40" spans="1:85" ht="20.100000000000001" customHeight="1" thickTop="1" thickBot="1" x14ac:dyDescent="0.5">
      <c r="A40" s="29"/>
      <c r="B40" s="40"/>
      <c r="C40"/>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46"/>
      <c r="BR40" s="46"/>
      <c r="BS40" s="46"/>
      <c r="BT40" s="46"/>
      <c r="BU40" s="28"/>
    </row>
    <row r="41" spans="1:85" ht="20.100000000000001" customHeight="1" thickTop="1" x14ac:dyDescent="0.45">
      <c r="A41" s="29"/>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33"/>
      <c r="BD41" s="33"/>
      <c r="BE41" s="33"/>
      <c r="BF41" s="33"/>
      <c r="BG41" s="33"/>
      <c r="BH41" s="33"/>
      <c r="BI41" s="42"/>
      <c r="BJ41" s="42"/>
      <c r="BK41" s="42"/>
      <c r="BL41" s="42"/>
      <c r="BM41" s="42"/>
      <c r="BN41" s="42"/>
      <c r="BO41" s="42"/>
      <c r="BP41" s="41"/>
    </row>
    <row r="42" spans="1:85" ht="20.100000000000001" customHeight="1" x14ac:dyDescent="0.45">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row>
    <row r="43" spans="1:85" ht="20.100000000000001" customHeight="1" x14ac:dyDescent="0.45">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31"/>
      <c r="BH43" s="31"/>
      <c r="BI43" s="31"/>
      <c r="BJ43" s="31"/>
      <c r="BK43" s="31"/>
      <c r="BL43" s="31"/>
      <c r="BM43" s="31"/>
      <c r="BN43" s="31"/>
      <c r="BO43" s="31"/>
      <c r="BP43" s="31"/>
    </row>
    <row r="44" spans="1:85" ht="20.100000000000001" customHeight="1" x14ac:dyDescent="0.45">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31"/>
      <c r="BH44" s="31"/>
      <c r="BI44" s="31"/>
      <c r="BJ44" s="31"/>
      <c r="BK44" s="31"/>
      <c r="BL44" s="31"/>
      <c r="BM44" s="31"/>
      <c r="BN44" s="31"/>
      <c r="BO44" s="31"/>
      <c r="BP44" s="31"/>
    </row>
    <row r="45" spans="1:85" ht="20.100000000000001" customHeight="1" x14ac:dyDescent="0.45">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31"/>
      <c r="BH45" s="31"/>
      <c r="BI45" s="31"/>
      <c r="BJ45" s="31"/>
      <c r="BK45" s="31"/>
      <c r="BL45" s="31"/>
      <c r="BM45" s="31"/>
      <c r="BN45" s="31"/>
      <c r="BO45" s="31"/>
      <c r="BP45" s="31"/>
    </row>
    <row r="46" spans="1:85" ht="20.100000000000001" customHeight="1" x14ac:dyDescent="0.45">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31"/>
      <c r="BH46" s="31"/>
      <c r="BI46" s="31"/>
      <c r="BJ46" s="31"/>
      <c r="BK46" s="31"/>
      <c r="BL46" s="31"/>
      <c r="BM46" s="31"/>
      <c r="BN46" s="31"/>
      <c r="BO46" s="31"/>
      <c r="BP46" s="31"/>
    </row>
    <row r="47" spans="1:85" ht="20.100000000000001" customHeight="1" x14ac:dyDescent="0.45">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31"/>
      <c r="BH47" s="31"/>
      <c r="BI47" s="31"/>
      <c r="BJ47" s="31"/>
      <c r="BK47" s="31"/>
      <c r="BL47" s="31"/>
      <c r="BM47" s="31"/>
      <c r="BN47" s="31"/>
      <c r="BO47" s="31"/>
      <c r="BP47" s="31"/>
    </row>
    <row r="48" spans="1:85" ht="20.100000000000001" customHeight="1" x14ac:dyDescent="0.45">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31"/>
      <c r="BH48" s="31"/>
      <c r="BI48" s="31"/>
      <c r="BJ48" s="31"/>
      <c r="BK48" s="31"/>
      <c r="BL48" s="31"/>
      <c r="BM48" s="31"/>
      <c r="BN48" s="31"/>
      <c r="BO48" s="31"/>
      <c r="BP48" s="31"/>
    </row>
    <row r="49" spans="1:68" ht="20.100000000000001" customHeight="1" x14ac:dyDescent="0.45">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31"/>
      <c r="BH49" s="31"/>
      <c r="BI49" s="31"/>
      <c r="BJ49" s="31"/>
      <c r="BK49" s="31"/>
      <c r="BL49" s="31"/>
      <c r="BM49" s="31"/>
      <c r="BN49" s="31"/>
      <c r="BO49" s="31"/>
      <c r="BP49" s="31"/>
    </row>
    <row r="50" spans="1:68" ht="20.100000000000001" customHeight="1" x14ac:dyDescent="0.45">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31"/>
      <c r="BH50" s="31"/>
      <c r="BI50" s="31"/>
      <c r="BJ50" s="31"/>
      <c r="BK50" s="31"/>
      <c r="BL50" s="31"/>
      <c r="BM50" s="31"/>
      <c r="BN50" s="31"/>
      <c r="BO50" s="31"/>
      <c r="BP50" s="31"/>
    </row>
    <row r="51" spans="1:68" ht="20.100000000000001" customHeight="1" x14ac:dyDescent="0.45">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31"/>
      <c r="BH51" s="31"/>
      <c r="BI51" s="31"/>
      <c r="BJ51" s="31"/>
      <c r="BK51" s="31"/>
      <c r="BL51" s="31"/>
      <c r="BM51" s="31"/>
      <c r="BN51" s="31"/>
      <c r="BO51" s="31"/>
      <c r="BP51" s="31"/>
    </row>
    <row r="52" spans="1:68" ht="20.100000000000001" customHeight="1" x14ac:dyDescent="0.45">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31"/>
      <c r="BH52" s="31"/>
      <c r="BI52" s="31"/>
      <c r="BJ52" s="31"/>
      <c r="BK52" s="31"/>
      <c r="BL52" s="31"/>
      <c r="BM52" s="31"/>
      <c r="BN52" s="31"/>
      <c r="BO52" s="31"/>
      <c r="BP52" s="31"/>
    </row>
    <row r="53" spans="1:68" ht="20.100000000000001" customHeight="1" x14ac:dyDescent="0.45">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31"/>
      <c r="BD53" s="31"/>
      <c r="BE53" s="31"/>
      <c r="BF53" s="31"/>
      <c r="BG53" s="31"/>
      <c r="BH53" s="31"/>
      <c r="BI53" s="31"/>
      <c r="BJ53" s="31"/>
      <c r="BK53" s="31"/>
      <c r="BL53" s="31"/>
      <c r="BM53" s="31"/>
      <c r="BN53" s="31"/>
      <c r="BO53" s="31"/>
      <c r="BP53" s="31"/>
    </row>
    <row r="54" spans="1:68" ht="20.100000000000001" customHeight="1" x14ac:dyDescent="0.45">
      <c r="B54" s="3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row>
    <row r="55" spans="1:68" ht="20.100000000000001" customHeight="1" x14ac:dyDescent="0.45">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31"/>
      <c r="BP55" s="31"/>
    </row>
    <row r="56" spans="1:68" ht="20.100000000000001" customHeight="1" x14ac:dyDescent="0.45">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31"/>
      <c r="BP56" s="31"/>
    </row>
    <row r="57" spans="1:68" ht="20.100000000000001" customHeight="1" x14ac:dyDescent="0.45">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31"/>
      <c r="BP57" s="31"/>
    </row>
    <row r="58" spans="1:68" ht="20.100000000000001" customHeight="1" x14ac:dyDescent="0.45">
      <c r="A58" s="29"/>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31"/>
      <c r="BP58" s="31"/>
    </row>
    <row r="59" spans="1:68" ht="20.100000000000001" customHeight="1" x14ac:dyDescent="0.45">
      <c r="A59" s="29"/>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31"/>
      <c r="BP59" s="31"/>
    </row>
    <row r="60" spans="1:68" ht="20.100000000000001" customHeight="1" x14ac:dyDescent="0.4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row>
    <row r="61" spans="1:68" ht="20.100000000000001" customHeight="1" x14ac:dyDescent="0.4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row>
    <row r="62" spans="1:68" ht="20.100000000000001" customHeight="1" x14ac:dyDescent="0.45">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row>
  </sheetData>
  <mergeCells count="260">
    <mergeCell ref="AR30:AW30"/>
    <mergeCell ref="AR10:AW10"/>
    <mergeCell ref="AR11:AW11"/>
    <mergeCell ref="AR12:AW12"/>
    <mergeCell ref="AR13:AW13"/>
    <mergeCell ref="AR14:AW14"/>
    <mergeCell ref="AR15:AW15"/>
    <mergeCell ref="AR16:AW16"/>
    <mergeCell ref="AR17:AW17"/>
    <mergeCell ref="AR18:AW18"/>
    <mergeCell ref="AR19:AW19"/>
    <mergeCell ref="AR20:AW20"/>
    <mergeCell ref="AR21:AW21"/>
    <mergeCell ref="AR22:AW22"/>
    <mergeCell ref="AR23:AW23"/>
    <mergeCell ref="AR24:AW24"/>
    <mergeCell ref="AR25:AW25"/>
    <mergeCell ref="AR26:AW26"/>
    <mergeCell ref="AR27:AW27"/>
    <mergeCell ref="AR28:AW28"/>
    <mergeCell ref="AR29:AW29"/>
    <mergeCell ref="AB29:AQ29"/>
    <mergeCell ref="AB30:AQ30"/>
    <mergeCell ref="AB24:AQ24"/>
    <mergeCell ref="AB25:AQ25"/>
    <mergeCell ref="AB26:AQ26"/>
    <mergeCell ref="AB27:AQ27"/>
    <mergeCell ref="AB28:AQ28"/>
    <mergeCell ref="AX30:BT30"/>
    <mergeCell ref="AB10:AQ10"/>
    <mergeCell ref="AB11:AQ11"/>
    <mergeCell ref="AB12:AQ12"/>
    <mergeCell ref="AB13:AQ13"/>
    <mergeCell ref="AB14:AQ14"/>
    <mergeCell ref="AB15:AQ15"/>
    <mergeCell ref="AB16:AQ16"/>
    <mergeCell ref="AB17:AQ17"/>
    <mergeCell ref="AB18:AQ18"/>
    <mergeCell ref="AB19:AQ19"/>
    <mergeCell ref="AB20:AQ20"/>
    <mergeCell ref="AB21:AQ21"/>
    <mergeCell ref="AB22:AQ22"/>
    <mergeCell ref="AB23:AQ23"/>
    <mergeCell ref="AX25:BT25"/>
    <mergeCell ref="AX26:BT26"/>
    <mergeCell ref="AX27:BT27"/>
    <mergeCell ref="AX28:BT28"/>
    <mergeCell ref="AX29:BT29"/>
    <mergeCell ref="AX20:BT20"/>
    <mergeCell ref="AX21:BT21"/>
    <mergeCell ref="AX22:BT22"/>
    <mergeCell ref="AX23:BT23"/>
    <mergeCell ref="AX24:BT24"/>
    <mergeCell ref="AX15:BT15"/>
    <mergeCell ref="AX16:BT16"/>
    <mergeCell ref="AX17:BT17"/>
    <mergeCell ref="AX18:BT18"/>
    <mergeCell ref="AX19:BT19"/>
    <mergeCell ref="AX10:BT10"/>
    <mergeCell ref="AX11:BT11"/>
    <mergeCell ref="AX12:BT12"/>
    <mergeCell ref="AX13:BT13"/>
    <mergeCell ref="AX14:BT14"/>
    <mergeCell ref="V29:AA29"/>
    <mergeCell ref="V30:AA30"/>
    <mergeCell ref="S10:U10"/>
    <mergeCell ref="S24:U24"/>
    <mergeCell ref="S25:U25"/>
    <mergeCell ref="S26:U26"/>
    <mergeCell ref="S27:U27"/>
    <mergeCell ref="S28:U28"/>
    <mergeCell ref="S29:U29"/>
    <mergeCell ref="V10:AA10"/>
    <mergeCell ref="S30:U30"/>
    <mergeCell ref="V11:AA11"/>
    <mergeCell ref="V12:AA12"/>
    <mergeCell ref="V13:AA13"/>
    <mergeCell ref="V14:AA14"/>
    <mergeCell ref="V15:AA15"/>
    <mergeCell ref="V16:AA16"/>
    <mergeCell ref="V17:AA17"/>
    <mergeCell ref="V18:AA18"/>
    <mergeCell ref="P29:R29"/>
    <mergeCell ref="P30:R30"/>
    <mergeCell ref="S11:U11"/>
    <mergeCell ref="S12:U12"/>
    <mergeCell ref="S13:U13"/>
    <mergeCell ref="S14:U14"/>
    <mergeCell ref="S15:U15"/>
    <mergeCell ref="S16:U16"/>
    <mergeCell ref="S17:U17"/>
    <mergeCell ref="S18:U18"/>
    <mergeCell ref="S19:U19"/>
    <mergeCell ref="S20:U20"/>
    <mergeCell ref="S21:U21"/>
    <mergeCell ref="S22:U22"/>
    <mergeCell ref="S23:U23"/>
    <mergeCell ref="P24:R24"/>
    <mergeCell ref="P25:R25"/>
    <mergeCell ref="P26:R26"/>
    <mergeCell ref="P27:R27"/>
    <mergeCell ref="P28:R28"/>
    <mergeCell ref="V24:AA24"/>
    <mergeCell ref="V25:AA25"/>
    <mergeCell ref="V26:AA26"/>
    <mergeCell ref="V27:AA27"/>
    <mergeCell ref="V28:AA28"/>
    <mergeCell ref="P19:R19"/>
    <mergeCell ref="P20:R20"/>
    <mergeCell ref="P21:R21"/>
    <mergeCell ref="P22:R22"/>
    <mergeCell ref="P23:R23"/>
    <mergeCell ref="V23:AA23"/>
    <mergeCell ref="V19:AA19"/>
    <mergeCell ref="V20:AA20"/>
    <mergeCell ref="V21:AA21"/>
    <mergeCell ref="V22:AA22"/>
    <mergeCell ref="X2:AJ2"/>
    <mergeCell ref="X3:AJ4"/>
    <mergeCell ref="M20:O20"/>
    <mergeCell ref="M21:O21"/>
    <mergeCell ref="M22:O22"/>
    <mergeCell ref="M23:O23"/>
    <mergeCell ref="R3:W4"/>
    <mergeCell ref="P10:R10"/>
    <mergeCell ref="P11:R11"/>
    <mergeCell ref="P12:R12"/>
    <mergeCell ref="P13:R13"/>
    <mergeCell ref="P14:R14"/>
    <mergeCell ref="P15:R15"/>
    <mergeCell ref="P16:R16"/>
    <mergeCell ref="P17:R17"/>
    <mergeCell ref="P18:R18"/>
    <mergeCell ref="E20:L20"/>
    <mergeCell ref="E21:L21"/>
    <mergeCell ref="E22:L22"/>
    <mergeCell ref="E14:L14"/>
    <mergeCell ref="E15:L15"/>
    <mergeCell ref="M10:O10"/>
    <mergeCell ref="M11:O11"/>
    <mergeCell ref="M12:O12"/>
    <mergeCell ref="M13:O13"/>
    <mergeCell ref="M14:O14"/>
    <mergeCell ref="M19:O19"/>
    <mergeCell ref="E18:L18"/>
    <mergeCell ref="E19:L19"/>
    <mergeCell ref="M15:O15"/>
    <mergeCell ref="M16:O16"/>
    <mergeCell ref="M17:O17"/>
    <mergeCell ref="M18:O18"/>
    <mergeCell ref="E16:L16"/>
    <mergeCell ref="E17:L17"/>
    <mergeCell ref="B3:G4"/>
    <mergeCell ref="H3:K4"/>
    <mergeCell ref="L3:Q4"/>
    <mergeCell ref="E12:L12"/>
    <mergeCell ref="E13:L13"/>
    <mergeCell ref="B2:G2"/>
    <mergeCell ref="H2:K2"/>
    <mergeCell ref="L2:Q2"/>
    <mergeCell ref="R2:W2"/>
    <mergeCell ref="E10:L10"/>
    <mergeCell ref="E11:L11"/>
    <mergeCell ref="AK2:AW2"/>
    <mergeCell ref="BJ3:BM4"/>
    <mergeCell ref="AX2:BA2"/>
    <mergeCell ref="BB2:BE2"/>
    <mergeCell ref="BF2:BI2"/>
    <mergeCell ref="BJ2:BM2"/>
    <mergeCell ref="AX3:BA4"/>
    <mergeCell ref="BB3:BE4"/>
    <mergeCell ref="BF3:BI4"/>
    <mergeCell ref="AK3:AW4"/>
    <mergeCell ref="E30:L30"/>
    <mergeCell ref="M26:O26"/>
    <mergeCell ref="M27:O27"/>
    <mergeCell ref="M28:O28"/>
    <mergeCell ref="M29:O29"/>
    <mergeCell ref="M30:O30"/>
    <mergeCell ref="E23:L23"/>
    <mergeCell ref="E26:L26"/>
    <mergeCell ref="E27:L27"/>
    <mergeCell ref="E28:L28"/>
    <mergeCell ref="E29:L29"/>
    <mergeCell ref="E25:L25"/>
    <mergeCell ref="E24:L24"/>
    <mergeCell ref="M24:O24"/>
    <mergeCell ref="M25:O25"/>
    <mergeCell ref="E31:L31"/>
    <mergeCell ref="M31:O31"/>
    <mergeCell ref="P31:R31"/>
    <mergeCell ref="S31:U31"/>
    <mergeCell ref="V31:AA31"/>
    <mergeCell ref="AB31:AQ31"/>
    <mergeCell ref="AR31:AW31"/>
    <mergeCell ref="AX31:BT31"/>
    <mergeCell ref="E32:L32"/>
    <mergeCell ref="M32:O32"/>
    <mergeCell ref="P32:R32"/>
    <mergeCell ref="S32:U32"/>
    <mergeCell ref="V32:AA32"/>
    <mergeCell ref="AB32:AQ32"/>
    <mergeCell ref="AR32:AW32"/>
    <mergeCell ref="AX32:BT32"/>
    <mergeCell ref="E33:L33"/>
    <mergeCell ref="M33:O33"/>
    <mergeCell ref="P33:R33"/>
    <mergeCell ref="S33:U33"/>
    <mergeCell ref="V33:AA33"/>
    <mergeCell ref="AB33:AQ33"/>
    <mergeCell ref="AR33:AW33"/>
    <mergeCell ref="AX33:BT33"/>
    <mergeCell ref="E34:L34"/>
    <mergeCell ref="M34:O34"/>
    <mergeCell ref="P34:R34"/>
    <mergeCell ref="S34:U34"/>
    <mergeCell ref="V34:AA34"/>
    <mergeCell ref="AB34:AQ34"/>
    <mergeCell ref="AR34:AW34"/>
    <mergeCell ref="AX34:BT34"/>
    <mergeCell ref="E35:L35"/>
    <mergeCell ref="M35:O35"/>
    <mergeCell ref="P35:R35"/>
    <mergeCell ref="S35:U35"/>
    <mergeCell ref="V35:AA35"/>
    <mergeCell ref="AB35:AQ35"/>
    <mergeCell ref="AR35:AW35"/>
    <mergeCell ref="AX35:BT35"/>
    <mergeCell ref="E36:L36"/>
    <mergeCell ref="M36:O36"/>
    <mergeCell ref="P36:R36"/>
    <mergeCell ref="S36:U36"/>
    <mergeCell ref="V36:AA36"/>
    <mergeCell ref="AB36:AQ36"/>
    <mergeCell ref="AR36:AW36"/>
    <mergeCell ref="AX36:BT36"/>
    <mergeCell ref="E39:L39"/>
    <mergeCell ref="M39:O39"/>
    <mergeCell ref="P39:R39"/>
    <mergeCell ref="S39:U39"/>
    <mergeCell ref="V39:AA39"/>
    <mergeCell ref="AB39:AQ39"/>
    <mergeCell ref="AR39:AW39"/>
    <mergeCell ref="AX39:BT39"/>
    <mergeCell ref="E37:L37"/>
    <mergeCell ref="M37:O37"/>
    <mergeCell ref="P37:R37"/>
    <mergeCell ref="S37:U37"/>
    <mergeCell ref="V37:AA37"/>
    <mergeCell ref="AB37:AQ37"/>
    <mergeCell ref="AR37:AW37"/>
    <mergeCell ref="AX37:BT37"/>
    <mergeCell ref="E38:L38"/>
    <mergeCell ref="M38:O38"/>
    <mergeCell ref="P38:R38"/>
    <mergeCell ref="S38:U38"/>
    <mergeCell ref="V38:AA38"/>
    <mergeCell ref="AB38:AQ38"/>
    <mergeCell ref="AR38:AW38"/>
    <mergeCell ref="AX38:BT38"/>
  </mergeCells>
  <phoneticPr fontId="1"/>
  <pageMargins left="0.70866141732283472" right="0.70866141732283472" top="0.74803149606299213" bottom="0.74803149606299213" header="0.31496062992125984" footer="0.31496062992125984"/>
  <pageSetup paperSize="9" scale="43" fitToHeight="0" orientation="landscape" r:id="rId1"/>
  <headerFooter>
    <oddFooter>&amp;C&amp;P / &amp;N &amp;R©2024 SMS DataTech Corporation. All rights reserved.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参照!$A$1:$A$6</xm:f>
          </x14:formula1>
          <xm:sqref>M11:O39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B1:BM277"/>
  <sheetViews>
    <sheetView zoomScaleNormal="100" zoomScaleSheetLayoutView="100" workbookViewId="0"/>
  </sheetViews>
  <sheetFormatPr defaultColWidth="3.59765625" defaultRowHeight="20.100000000000001" customHeight="1" x14ac:dyDescent="0.45"/>
  <cols>
    <col min="1" max="1" width="0.8984375" style="6" customWidth="1"/>
    <col min="2" max="17" width="3.59765625" style="6"/>
    <col min="18" max="18" width="4.09765625" style="6" bestFit="1" customWidth="1"/>
    <col min="19"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193" t="s">
        <v>0</v>
      </c>
      <c r="C2" s="194"/>
      <c r="D2" s="194"/>
      <c r="E2" s="194"/>
      <c r="F2" s="194"/>
      <c r="G2" s="194"/>
      <c r="H2" s="194" t="s">
        <v>17</v>
      </c>
      <c r="I2" s="194"/>
      <c r="J2" s="194"/>
      <c r="K2" s="194"/>
      <c r="L2" s="194" t="s">
        <v>279</v>
      </c>
      <c r="M2" s="194"/>
      <c r="N2" s="194"/>
      <c r="O2" s="194"/>
      <c r="P2" s="194"/>
      <c r="Q2" s="194"/>
      <c r="R2" s="194" t="s">
        <v>2</v>
      </c>
      <c r="S2" s="194"/>
      <c r="T2" s="194"/>
      <c r="U2" s="194"/>
      <c r="V2" s="194"/>
      <c r="W2" s="194"/>
      <c r="X2" s="195" t="s">
        <v>3</v>
      </c>
      <c r="Y2" s="196"/>
      <c r="Z2" s="196"/>
      <c r="AA2" s="196"/>
      <c r="AB2" s="196"/>
      <c r="AC2" s="196"/>
      <c r="AD2" s="196"/>
      <c r="AE2" s="196"/>
      <c r="AF2" s="196"/>
      <c r="AG2" s="196"/>
      <c r="AH2" s="196"/>
      <c r="AI2" s="196"/>
      <c r="AJ2" s="197"/>
      <c r="AK2" s="195" t="s">
        <v>32</v>
      </c>
      <c r="AL2" s="196"/>
      <c r="AM2" s="196"/>
      <c r="AN2" s="196"/>
      <c r="AO2" s="196"/>
      <c r="AP2" s="196"/>
      <c r="AQ2" s="196"/>
      <c r="AR2" s="196"/>
      <c r="AS2" s="196"/>
      <c r="AT2" s="196"/>
      <c r="AU2" s="196"/>
      <c r="AV2" s="196"/>
      <c r="AW2" s="197"/>
      <c r="AX2" s="194" t="s">
        <v>5</v>
      </c>
      <c r="AY2" s="194"/>
      <c r="AZ2" s="194"/>
      <c r="BA2" s="194"/>
      <c r="BB2" s="194" t="s">
        <v>4</v>
      </c>
      <c r="BC2" s="194"/>
      <c r="BD2" s="194"/>
      <c r="BE2" s="194"/>
      <c r="BF2" s="194" t="s">
        <v>6</v>
      </c>
      <c r="BG2" s="194"/>
      <c r="BH2" s="194"/>
      <c r="BI2" s="194"/>
      <c r="BJ2" s="194" t="s">
        <v>7</v>
      </c>
      <c r="BK2" s="194"/>
      <c r="BL2" s="194"/>
      <c r="BM2" s="204"/>
    </row>
    <row r="3" spans="2:65" ht="20.100000000000001" customHeight="1" x14ac:dyDescent="0.45">
      <c r="B3" s="198" t="str">
        <f>変更履歴!B3</f>
        <v>受発注システム</v>
      </c>
      <c r="C3" s="145"/>
      <c r="D3" s="145"/>
      <c r="E3" s="145"/>
      <c r="F3" s="145"/>
      <c r="G3" s="145"/>
      <c r="H3" s="145" t="str">
        <f ca="1">変更履歴!H3</f>
        <v>SU1500</v>
      </c>
      <c r="I3" s="145"/>
      <c r="J3" s="145"/>
      <c r="K3" s="145"/>
      <c r="L3" s="145" t="str">
        <f>変更履歴!L3</f>
        <v>受発注</v>
      </c>
      <c r="M3" s="145"/>
      <c r="N3" s="145"/>
      <c r="O3" s="145"/>
      <c r="P3" s="145"/>
      <c r="Q3" s="145"/>
      <c r="R3" s="145" t="str">
        <f ca="1">変更履歴!R3</f>
        <v>帳票設計書</v>
      </c>
      <c r="S3" s="145"/>
      <c r="T3" s="145"/>
      <c r="U3" s="145"/>
      <c r="V3" s="145"/>
      <c r="W3" s="145"/>
      <c r="X3" s="148" t="str">
        <f ca="1">変更履歴!X3</f>
        <v>SU1500_売掛金集計表(仕分出力)_帳票設計書</v>
      </c>
      <c r="Y3" s="149"/>
      <c r="Z3" s="149"/>
      <c r="AA3" s="149"/>
      <c r="AB3" s="149"/>
      <c r="AC3" s="149"/>
      <c r="AD3" s="149"/>
      <c r="AE3" s="149"/>
      <c r="AF3" s="149"/>
      <c r="AG3" s="149"/>
      <c r="AH3" s="149"/>
      <c r="AI3" s="149"/>
      <c r="AJ3" s="150"/>
      <c r="AK3" s="148" t="str">
        <f ca="1">変更履歴!AK3</f>
        <v>売掛金集計表(仕分出力)</v>
      </c>
      <c r="AL3" s="149"/>
      <c r="AM3" s="149"/>
      <c r="AN3" s="149"/>
      <c r="AO3" s="149"/>
      <c r="AP3" s="149"/>
      <c r="AQ3" s="149"/>
      <c r="AR3" s="149"/>
      <c r="AS3" s="149"/>
      <c r="AT3" s="149"/>
      <c r="AU3" s="149"/>
      <c r="AV3" s="149"/>
      <c r="AW3" s="150"/>
      <c r="AX3" s="144">
        <f>変更履歴!AX3</f>
        <v>45538</v>
      </c>
      <c r="AY3" s="144"/>
      <c r="AZ3" s="144"/>
      <c r="BA3" s="144"/>
      <c r="BB3" s="145" t="str">
        <f>変更履歴!BB3</f>
        <v>大谷</v>
      </c>
      <c r="BC3" s="145"/>
      <c r="BD3" s="145"/>
      <c r="BE3" s="145"/>
      <c r="BF3" s="144">
        <f>変更履歴!BF3</f>
        <v>45538</v>
      </c>
      <c r="BG3" s="144"/>
      <c r="BH3" s="144"/>
      <c r="BI3" s="144"/>
      <c r="BJ3" s="145" t="str">
        <f>変更履歴!BJ3</f>
        <v>大谷</v>
      </c>
      <c r="BK3" s="145"/>
      <c r="BL3" s="145"/>
      <c r="BM3" s="202"/>
    </row>
    <row r="4" spans="2:65" ht="20.100000000000001" customHeight="1" thickBot="1" x14ac:dyDescent="0.5">
      <c r="B4" s="199"/>
      <c r="C4" s="200"/>
      <c r="D4" s="200"/>
      <c r="E4" s="200"/>
      <c r="F4" s="200"/>
      <c r="G4" s="200"/>
      <c r="H4" s="200"/>
      <c r="I4" s="200"/>
      <c r="J4" s="200"/>
      <c r="K4" s="200"/>
      <c r="L4" s="200"/>
      <c r="M4" s="200"/>
      <c r="N4" s="200"/>
      <c r="O4" s="200"/>
      <c r="P4" s="200"/>
      <c r="Q4" s="200"/>
      <c r="R4" s="200"/>
      <c r="S4" s="200"/>
      <c r="T4" s="200"/>
      <c r="U4" s="200"/>
      <c r="V4" s="200"/>
      <c r="W4" s="200"/>
      <c r="X4" s="190"/>
      <c r="Y4" s="191"/>
      <c r="Z4" s="191"/>
      <c r="AA4" s="191"/>
      <c r="AB4" s="191"/>
      <c r="AC4" s="191"/>
      <c r="AD4" s="191"/>
      <c r="AE4" s="191"/>
      <c r="AF4" s="191"/>
      <c r="AG4" s="191"/>
      <c r="AH4" s="191"/>
      <c r="AI4" s="191"/>
      <c r="AJ4" s="192"/>
      <c r="AK4" s="190"/>
      <c r="AL4" s="191"/>
      <c r="AM4" s="191"/>
      <c r="AN4" s="191"/>
      <c r="AO4" s="191"/>
      <c r="AP4" s="191"/>
      <c r="AQ4" s="191"/>
      <c r="AR4" s="191"/>
      <c r="AS4" s="191"/>
      <c r="AT4" s="191"/>
      <c r="AU4" s="191"/>
      <c r="AV4" s="191"/>
      <c r="AW4" s="192"/>
      <c r="AX4" s="201"/>
      <c r="AY4" s="201"/>
      <c r="AZ4" s="201"/>
      <c r="BA4" s="201"/>
      <c r="BB4" s="200"/>
      <c r="BC4" s="200"/>
      <c r="BD4" s="200"/>
      <c r="BE4" s="200"/>
      <c r="BF4" s="201"/>
      <c r="BG4" s="201"/>
      <c r="BH4" s="201"/>
      <c r="BI4" s="201"/>
      <c r="BJ4" s="200"/>
      <c r="BK4" s="200"/>
      <c r="BL4" s="200"/>
      <c r="BM4" s="203"/>
    </row>
    <row r="5" spans="2:65" ht="5.0999999999999996" customHeight="1" thickBot="1" x14ac:dyDescent="0.5"/>
    <row r="6" spans="2:65" ht="20.100000000000001" customHeight="1" x14ac:dyDescent="0.45">
      <c r="B6" s="89" t="s">
        <v>87</v>
      </c>
      <c r="C6" s="90"/>
      <c r="D6" s="90"/>
      <c r="E6" s="90"/>
      <c r="F6" s="90"/>
      <c r="G6" s="91"/>
      <c r="H6" s="92" t="s">
        <v>126</v>
      </c>
      <c r="I6" s="90"/>
      <c r="J6" s="120" t="s">
        <v>127</v>
      </c>
      <c r="K6" s="121"/>
      <c r="L6" s="121"/>
      <c r="M6" s="121"/>
      <c r="N6" s="121"/>
      <c r="O6" s="121"/>
      <c r="P6" s="121"/>
      <c r="Q6" s="122"/>
      <c r="R6" s="121">
        <v>0</v>
      </c>
      <c r="S6" s="121"/>
      <c r="T6" s="121"/>
      <c r="U6" s="121"/>
      <c r="V6" s="121"/>
      <c r="W6" s="121"/>
      <c r="X6" s="121"/>
      <c r="Y6" s="121"/>
      <c r="Z6" s="121"/>
      <c r="AA6" s="121"/>
      <c r="AB6" s="121"/>
      <c r="AC6" s="121"/>
      <c r="AD6" s="121"/>
      <c r="AE6" s="121"/>
      <c r="AF6" s="121"/>
      <c r="AG6" s="121"/>
      <c r="AH6" s="121"/>
      <c r="AI6" s="121"/>
      <c r="AJ6" s="122"/>
      <c r="AK6" s="93" t="s">
        <v>192</v>
      </c>
      <c r="AL6" s="90"/>
      <c r="AM6" s="90"/>
      <c r="AN6" s="90"/>
      <c r="AO6" s="90"/>
      <c r="AP6" s="90"/>
      <c r="AQ6" s="90"/>
      <c r="AR6" s="90"/>
      <c r="AS6" s="90"/>
      <c r="AT6" s="90"/>
      <c r="AU6" s="90"/>
      <c r="AV6" s="90"/>
      <c r="AW6" s="90"/>
      <c r="AX6" s="90"/>
      <c r="AY6" s="90"/>
      <c r="AZ6" s="90"/>
      <c r="BA6" s="90"/>
      <c r="BB6" s="90"/>
      <c r="BC6" s="90"/>
      <c r="BD6" s="90"/>
      <c r="BE6" s="90"/>
      <c r="BF6" s="90"/>
      <c r="BG6" s="90"/>
      <c r="BH6" s="90"/>
      <c r="BI6" s="94"/>
    </row>
    <row r="7" spans="2:65" ht="20.100000000000001" customHeight="1" x14ac:dyDescent="0.45">
      <c r="B7" s="123"/>
      <c r="C7" s="31"/>
      <c r="D7" s="31"/>
      <c r="E7" s="31"/>
      <c r="F7" s="31"/>
      <c r="G7" s="96"/>
      <c r="H7" s="97"/>
      <c r="I7" s="31"/>
      <c r="J7" s="124" t="s">
        <v>128</v>
      </c>
      <c r="K7" s="52"/>
      <c r="L7" s="52"/>
      <c r="M7" s="52"/>
      <c r="N7" s="52"/>
      <c r="O7" s="52"/>
      <c r="P7" s="52"/>
      <c r="Q7" s="125"/>
      <c r="R7" s="52" t="s">
        <v>172</v>
      </c>
      <c r="S7" s="52"/>
      <c r="T7" s="52"/>
      <c r="U7" s="52"/>
      <c r="V7" s="52"/>
      <c r="W7" s="52"/>
      <c r="X7" s="52"/>
      <c r="Y7" s="52"/>
      <c r="Z7" s="52"/>
      <c r="AA7" s="52"/>
      <c r="AB7" s="52"/>
      <c r="AC7" s="52"/>
      <c r="AD7" s="52"/>
      <c r="AE7" s="52"/>
      <c r="AF7" s="52"/>
      <c r="AG7" s="52"/>
      <c r="AH7" s="52"/>
      <c r="AI7" s="52"/>
      <c r="AJ7" s="125"/>
      <c r="AK7" s="98"/>
      <c r="AL7" s="31"/>
      <c r="AM7" s="31"/>
      <c r="AN7" s="31"/>
      <c r="AO7" s="31"/>
      <c r="AP7" s="31"/>
      <c r="AQ7" s="31"/>
      <c r="AR7" s="31"/>
      <c r="AS7" s="31"/>
      <c r="AT7" s="31"/>
      <c r="AU7" s="31"/>
      <c r="AV7" s="31"/>
      <c r="AW7" s="31"/>
      <c r="AX7" s="31"/>
      <c r="AY7" s="31"/>
      <c r="AZ7" s="31"/>
      <c r="BA7" s="31"/>
      <c r="BB7" s="31"/>
      <c r="BC7" s="31"/>
      <c r="BD7" s="31"/>
      <c r="BE7" s="31"/>
      <c r="BF7" s="31"/>
      <c r="BG7" s="31"/>
      <c r="BH7" s="31"/>
      <c r="BI7" s="99"/>
    </row>
    <row r="8" spans="2:65" ht="20.100000000000001" customHeight="1" x14ac:dyDescent="0.45">
      <c r="B8" s="123"/>
      <c r="C8" s="31"/>
      <c r="D8" s="31"/>
      <c r="E8" s="31"/>
      <c r="F8" s="31"/>
      <c r="G8" s="96"/>
      <c r="H8" s="97"/>
      <c r="I8" s="31"/>
      <c r="J8" s="124" t="s">
        <v>129</v>
      </c>
      <c r="K8" s="52"/>
      <c r="L8" s="52"/>
      <c r="M8" s="52"/>
      <c r="N8" s="52"/>
      <c r="O8" s="52"/>
      <c r="P8" s="52"/>
      <c r="Q8" s="125"/>
      <c r="R8" s="52" t="s">
        <v>157</v>
      </c>
      <c r="S8" s="52"/>
      <c r="T8" s="52"/>
      <c r="U8" s="52"/>
      <c r="V8" s="52"/>
      <c r="W8" s="52"/>
      <c r="X8" s="52"/>
      <c r="Y8" s="52"/>
      <c r="Z8" s="52"/>
      <c r="AA8" s="52"/>
      <c r="AB8" s="52"/>
      <c r="AC8" s="52"/>
      <c r="AD8" s="52"/>
      <c r="AE8" s="52"/>
      <c r="AF8" s="52"/>
      <c r="AG8" s="52"/>
      <c r="AH8" s="52"/>
      <c r="AI8" s="52"/>
      <c r="AJ8" s="125"/>
      <c r="AK8" s="98"/>
      <c r="AL8" s="31"/>
      <c r="AM8" s="31"/>
      <c r="AN8" s="31"/>
      <c r="AO8" s="31"/>
      <c r="AP8" s="31"/>
      <c r="AQ8" s="31"/>
      <c r="AR8" s="31"/>
      <c r="AS8" s="31"/>
      <c r="AT8" s="31"/>
      <c r="AU8" s="31"/>
      <c r="AV8" s="31"/>
      <c r="AW8" s="31"/>
      <c r="AX8" s="31"/>
      <c r="AY8" s="31"/>
      <c r="AZ8" s="31"/>
      <c r="BA8" s="31"/>
      <c r="BB8" s="31"/>
      <c r="BC8" s="31"/>
      <c r="BD8" s="31"/>
      <c r="BE8" s="31"/>
      <c r="BF8" s="31"/>
      <c r="BG8" s="31"/>
      <c r="BH8" s="31"/>
      <c r="BI8" s="99"/>
    </row>
    <row r="9" spans="2:65" ht="20.100000000000001" customHeight="1" x14ac:dyDescent="0.45">
      <c r="B9" s="123"/>
      <c r="C9" s="31"/>
      <c r="D9" s="31"/>
      <c r="E9" s="31"/>
      <c r="F9" s="31"/>
      <c r="G9" s="96"/>
      <c r="H9" s="97"/>
      <c r="I9" s="31"/>
      <c r="J9" s="124" t="s">
        <v>130</v>
      </c>
      <c r="K9" s="52"/>
      <c r="L9" s="52"/>
      <c r="M9" s="52"/>
      <c r="N9" s="52"/>
      <c r="O9" s="52"/>
      <c r="P9" s="52"/>
      <c r="Q9" s="125"/>
      <c r="R9" s="52" t="s">
        <v>158</v>
      </c>
      <c r="S9" s="52"/>
      <c r="T9" s="52"/>
      <c r="U9" s="52"/>
      <c r="V9" s="52"/>
      <c r="W9" s="52"/>
      <c r="X9" s="52"/>
      <c r="Y9" s="52"/>
      <c r="Z9" s="52"/>
      <c r="AA9" s="52"/>
      <c r="AB9" s="52"/>
      <c r="AC9" s="52"/>
      <c r="AD9" s="52"/>
      <c r="AE9" s="52"/>
      <c r="AF9" s="52"/>
      <c r="AG9" s="52"/>
      <c r="AH9" s="52"/>
      <c r="AI9" s="52"/>
      <c r="AJ9" s="125"/>
      <c r="AK9" s="98"/>
      <c r="AL9" s="31"/>
      <c r="AM9" s="31"/>
      <c r="AN9" s="31"/>
      <c r="AO9" s="31"/>
      <c r="AP9" s="31"/>
      <c r="AQ9" s="31"/>
      <c r="AR9" s="31"/>
      <c r="AS9" s="31"/>
      <c r="AT9" s="31"/>
      <c r="AU9" s="31"/>
      <c r="AV9" s="31"/>
      <c r="AW9" s="31"/>
      <c r="AX9" s="31"/>
      <c r="AY9" s="31"/>
      <c r="AZ9" s="31"/>
      <c r="BA9" s="31"/>
      <c r="BB9" s="31"/>
      <c r="BC9" s="31"/>
      <c r="BD9" s="31"/>
      <c r="BE9" s="31"/>
      <c r="BF9" s="31"/>
      <c r="BG9" s="31"/>
      <c r="BH9" s="31"/>
      <c r="BI9" s="99"/>
    </row>
    <row r="10" spans="2:65" ht="20.100000000000001" customHeight="1" x14ac:dyDescent="0.45">
      <c r="B10" s="123"/>
      <c r="C10" s="31"/>
      <c r="D10" s="31"/>
      <c r="E10" s="31"/>
      <c r="F10" s="31"/>
      <c r="G10" s="96"/>
      <c r="H10" s="31"/>
      <c r="I10" s="31"/>
      <c r="J10" s="124" t="s">
        <v>131</v>
      </c>
      <c r="K10" s="52"/>
      <c r="L10" s="52"/>
      <c r="M10" s="52"/>
      <c r="N10" s="52"/>
      <c r="O10" s="52"/>
      <c r="P10" s="52"/>
      <c r="Q10" s="125"/>
      <c r="R10" s="52" t="s">
        <v>159</v>
      </c>
      <c r="S10" s="52"/>
      <c r="T10" s="52"/>
      <c r="U10" s="52"/>
      <c r="V10" s="52"/>
      <c r="W10" s="52"/>
      <c r="X10" s="52"/>
      <c r="Y10" s="52"/>
      <c r="Z10" s="52"/>
      <c r="AA10" s="52"/>
      <c r="AB10" s="52"/>
      <c r="AC10" s="52"/>
      <c r="AD10" s="52"/>
      <c r="AE10" s="52"/>
      <c r="AF10" s="52"/>
      <c r="AG10" s="52"/>
      <c r="AH10" s="52"/>
      <c r="AI10" s="52"/>
      <c r="AJ10" s="125"/>
      <c r="AK10" s="98"/>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99"/>
    </row>
    <row r="11" spans="2:65" ht="20.100000000000001" customHeight="1" x14ac:dyDescent="0.45">
      <c r="B11" s="123"/>
      <c r="C11" s="31"/>
      <c r="D11" s="31"/>
      <c r="E11" s="31"/>
      <c r="F11" s="31"/>
      <c r="G11" s="96"/>
      <c r="H11" s="31"/>
      <c r="I11" s="31"/>
      <c r="J11" s="124" t="s">
        <v>132</v>
      </c>
      <c r="K11" s="52"/>
      <c r="L11" s="52"/>
      <c r="M11" s="52"/>
      <c r="N11" s="52"/>
      <c r="O11" s="52"/>
      <c r="P11" s="52"/>
      <c r="Q11" s="125"/>
      <c r="R11" s="52" t="s">
        <v>161</v>
      </c>
      <c r="S11" s="52"/>
      <c r="T11" s="52"/>
      <c r="U11" s="52"/>
      <c r="V11" s="52"/>
      <c r="W11" s="52"/>
      <c r="X11" s="52"/>
      <c r="Y11" s="52"/>
      <c r="Z11" s="52"/>
      <c r="AA11" s="52"/>
      <c r="AB11" s="52"/>
      <c r="AC11" s="52"/>
      <c r="AD11" s="52"/>
      <c r="AE11" s="52"/>
      <c r="AF11" s="52"/>
      <c r="AG11" s="52"/>
      <c r="AH11" s="52"/>
      <c r="AI11" s="52"/>
      <c r="AJ11" s="125"/>
      <c r="AK11" s="98"/>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99"/>
    </row>
    <row r="12" spans="2:65" ht="20.100000000000001" customHeight="1" x14ac:dyDescent="0.45">
      <c r="B12" s="123"/>
      <c r="C12" s="31"/>
      <c r="D12" s="31"/>
      <c r="E12" s="31"/>
      <c r="F12" s="31"/>
      <c r="G12" s="96"/>
      <c r="H12" s="31"/>
      <c r="I12" s="31"/>
      <c r="J12" s="124" t="s">
        <v>133</v>
      </c>
      <c r="K12" s="52"/>
      <c r="L12" s="52"/>
      <c r="M12" s="52"/>
      <c r="N12" s="52"/>
      <c r="O12" s="52"/>
      <c r="P12" s="52"/>
      <c r="Q12" s="125"/>
      <c r="R12" s="52" t="s">
        <v>173</v>
      </c>
      <c r="S12" s="52"/>
      <c r="T12" s="52"/>
      <c r="U12" s="52"/>
      <c r="V12" s="52"/>
      <c r="W12" s="52"/>
      <c r="X12" s="52"/>
      <c r="Y12" s="52"/>
      <c r="Z12" s="52"/>
      <c r="AA12" s="52"/>
      <c r="AB12" s="52"/>
      <c r="AC12" s="52"/>
      <c r="AD12" s="52"/>
      <c r="AE12" s="52"/>
      <c r="AF12" s="52"/>
      <c r="AG12" s="52"/>
      <c r="AH12" s="52"/>
      <c r="AI12" s="52"/>
      <c r="AJ12" s="125"/>
      <c r="AK12" s="98"/>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99"/>
    </row>
    <row r="13" spans="2:65" ht="20.100000000000001" customHeight="1" x14ac:dyDescent="0.45">
      <c r="B13" s="123"/>
      <c r="C13" s="31"/>
      <c r="D13" s="31"/>
      <c r="E13" s="31"/>
      <c r="F13" s="31"/>
      <c r="G13" s="96"/>
      <c r="H13" s="97"/>
      <c r="I13" s="31"/>
      <c r="J13" s="124" t="s">
        <v>134</v>
      </c>
      <c r="K13" s="52"/>
      <c r="L13" s="52"/>
      <c r="M13" s="52"/>
      <c r="N13" s="52"/>
      <c r="O13" s="52"/>
      <c r="P13" s="52"/>
      <c r="Q13" s="125"/>
      <c r="R13" s="52">
        <v>131</v>
      </c>
      <c r="S13" s="52"/>
      <c r="T13" s="52"/>
      <c r="U13" s="52"/>
      <c r="V13" s="52"/>
      <c r="W13" s="52"/>
      <c r="X13" s="52"/>
      <c r="Y13" s="52"/>
      <c r="Z13" s="52"/>
      <c r="AA13" s="52"/>
      <c r="AB13" s="52"/>
      <c r="AC13" s="52"/>
      <c r="AD13" s="52"/>
      <c r="AE13" s="52"/>
      <c r="AF13" s="52"/>
      <c r="AG13" s="52"/>
      <c r="AH13" s="52"/>
      <c r="AI13" s="52"/>
      <c r="AJ13" s="125"/>
      <c r="AK13" s="98"/>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99"/>
    </row>
    <row r="14" spans="2:65" ht="20.100000000000001" customHeight="1" x14ac:dyDescent="0.45">
      <c r="B14" s="123"/>
      <c r="C14" s="31"/>
      <c r="D14" s="31"/>
      <c r="E14" s="31"/>
      <c r="F14" s="31"/>
      <c r="G14" s="96"/>
      <c r="H14" s="97"/>
      <c r="I14" s="31"/>
      <c r="J14" s="124" t="s">
        <v>135</v>
      </c>
      <c r="K14" s="52"/>
      <c r="L14" s="52"/>
      <c r="M14" s="52"/>
      <c r="N14" s="52"/>
      <c r="O14" s="52"/>
      <c r="P14" s="52"/>
      <c r="Q14" s="125"/>
      <c r="R14" s="52" t="s">
        <v>161</v>
      </c>
      <c r="S14" s="52"/>
      <c r="T14" s="52"/>
      <c r="U14" s="52"/>
      <c r="V14" s="52"/>
      <c r="W14" s="52"/>
      <c r="X14" s="52"/>
      <c r="Y14" s="52"/>
      <c r="Z14" s="52"/>
      <c r="AA14" s="52"/>
      <c r="AB14" s="52"/>
      <c r="AC14" s="52"/>
      <c r="AD14" s="52"/>
      <c r="AE14" s="52"/>
      <c r="AF14" s="52"/>
      <c r="AG14" s="52"/>
      <c r="AH14" s="52"/>
      <c r="AI14" s="52"/>
      <c r="AJ14" s="125"/>
      <c r="AK14" s="98"/>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99"/>
    </row>
    <row r="15" spans="2:65" ht="20.100000000000001" customHeight="1" x14ac:dyDescent="0.45">
      <c r="B15" s="123"/>
      <c r="C15" s="31"/>
      <c r="D15" s="31"/>
      <c r="E15" s="31"/>
      <c r="F15" s="31"/>
      <c r="G15" s="96"/>
      <c r="H15" s="31"/>
      <c r="I15" s="31"/>
      <c r="J15" s="124" t="s">
        <v>136</v>
      </c>
      <c r="K15" s="52"/>
      <c r="L15" s="52"/>
      <c r="M15" s="52"/>
      <c r="N15" s="52"/>
      <c r="O15" s="52"/>
      <c r="P15" s="52"/>
      <c r="Q15" s="125"/>
      <c r="R15" s="52">
        <v>0</v>
      </c>
      <c r="S15" s="52"/>
      <c r="T15" s="52"/>
      <c r="U15" s="52"/>
      <c r="V15" s="52"/>
      <c r="W15" s="52"/>
      <c r="X15" s="52"/>
      <c r="Y15" s="52"/>
      <c r="Z15" s="52"/>
      <c r="AA15" s="52"/>
      <c r="AB15" s="52"/>
      <c r="AC15" s="52"/>
      <c r="AD15" s="52"/>
      <c r="AE15" s="52"/>
      <c r="AF15" s="52"/>
      <c r="AG15" s="52"/>
      <c r="AH15" s="52"/>
      <c r="AI15" s="52"/>
      <c r="AJ15" s="125"/>
      <c r="AK15" s="98"/>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99"/>
    </row>
    <row r="16" spans="2:65" ht="20.100000000000001" customHeight="1" x14ac:dyDescent="0.45">
      <c r="B16" s="123"/>
      <c r="C16" s="31"/>
      <c r="D16" s="31"/>
      <c r="E16" s="31"/>
      <c r="F16" s="31"/>
      <c r="G16" s="96"/>
      <c r="H16" s="31"/>
      <c r="I16" s="31"/>
      <c r="J16" s="124" t="s">
        <v>137</v>
      </c>
      <c r="K16" s="52"/>
      <c r="L16" s="52"/>
      <c r="M16" s="52"/>
      <c r="N16" s="52"/>
      <c r="O16" s="52"/>
      <c r="P16" s="52"/>
      <c r="Q16" s="125"/>
      <c r="R16" s="52">
        <v>0</v>
      </c>
      <c r="S16" s="52"/>
      <c r="T16" s="52"/>
      <c r="U16" s="52"/>
      <c r="V16" s="52"/>
      <c r="W16" s="52"/>
      <c r="X16" s="52"/>
      <c r="Y16" s="52"/>
      <c r="Z16" s="52"/>
      <c r="AA16" s="52"/>
      <c r="AB16" s="52"/>
      <c r="AC16" s="52"/>
      <c r="AD16" s="52"/>
      <c r="AE16" s="52"/>
      <c r="AF16" s="52"/>
      <c r="AG16" s="52"/>
      <c r="AH16" s="52"/>
      <c r="AI16" s="52"/>
      <c r="AJ16" s="125"/>
      <c r="AK16" s="98"/>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99"/>
    </row>
    <row r="17" spans="2:61" ht="20.100000000000001" customHeight="1" x14ac:dyDescent="0.45">
      <c r="B17" s="123"/>
      <c r="C17" s="31"/>
      <c r="D17" s="31"/>
      <c r="E17" s="31"/>
      <c r="F17" s="31"/>
      <c r="G17" s="96"/>
      <c r="H17" s="31"/>
      <c r="I17" s="31"/>
      <c r="J17" s="124" t="s">
        <v>138</v>
      </c>
      <c r="K17" s="52"/>
      <c r="L17" s="52"/>
      <c r="M17" s="52"/>
      <c r="N17" s="52"/>
      <c r="O17" s="52"/>
      <c r="P17" s="52"/>
      <c r="Q17" s="125"/>
      <c r="R17" s="52" t="s">
        <v>161</v>
      </c>
      <c r="S17" s="52"/>
      <c r="T17" s="52"/>
      <c r="U17" s="52"/>
      <c r="V17" s="52"/>
      <c r="W17" s="52"/>
      <c r="X17" s="52"/>
      <c r="Y17" s="52"/>
      <c r="Z17" s="52"/>
      <c r="AA17" s="52"/>
      <c r="AB17" s="52"/>
      <c r="AC17" s="52"/>
      <c r="AD17" s="52"/>
      <c r="AE17" s="52"/>
      <c r="AF17" s="52"/>
      <c r="AG17" s="52"/>
      <c r="AH17" s="52"/>
      <c r="AI17" s="52"/>
      <c r="AJ17" s="125"/>
      <c r="AK17" s="98"/>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99"/>
    </row>
    <row r="18" spans="2:61" ht="20.100000000000001" customHeight="1" x14ac:dyDescent="0.45">
      <c r="B18" s="123"/>
      <c r="C18" s="31"/>
      <c r="D18" s="31"/>
      <c r="E18" s="31"/>
      <c r="F18" s="31"/>
      <c r="G18" s="96"/>
      <c r="H18" s="97"/>
      <c r="I18" s="31"/>
      <c r="J18" s="124" t="s">
        <v>139</v>
      </c>
      <c r="K18" s="52"/>
      <c r="L18" s="52"/>
      <c r="M18" s="52"/>
      <c r="N18" s="52"/>
      <c r="O18" s="52"/>
      <c r="P18" s="52"/>
      <c r="Q18" s="125"/>
      <c r="R18" s="52" t="s">
        <v>172</v>
      </c>
      <c r="S18" s="52"/>
      <c r="T18" s="52"/>
      <c r="U18" s="52"/>
      <c r="V18" s="52"/>
      <c r="W18" s="52"/>
      <c r="X18" s="52"/>
      <c r="Y18" s="52"/>
      <c r="Z18" s="52"/>
      <c r="AA18" s="52"/>
      <c r="AB18" s="52"/>
      <c r="AC18" s="52"/>
      <c r="AD18" s="52"/>
      <c r="AE18" s="52"/>
      <c r="AF18" s="52"/>
      <c r="AG18" s="52"/>
      <c r="AH18" s="52"/>
      <c r="AI18" s="52"/>
      <c r="AJ18" s="125"/>
      <c r="AK18" s="98"/>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99"/>
    </row>
    <row r="19" spans="2:61" ht="20.100000000000001" customHeight="1" x14ac:dyDescent="0.45">
      <c r="B19" s="123"/>
      <c r="C19" s="31"/>
      <c r="D19" s="31"/>
      <c r="E19" s="31"/>
      <c r="F19" s="31"/>
      <c r="G19" s="96"/>
      <c r="H19" s="97"/>
      <c r="I19" s="31"/>
      <c r="J19" s="124" t="s">
        <v>140</v>
      </c>
      <c r="K19" s="52"/>
      <c r="L19" s="52"/>
      <c r="M19" s="52"/>
      <c r="N19" s="52"/>
      <c r="O19" s="52"/>
      <c r="P19" s="52"/>
      <c r="Q19" s="125"/>
      <c r="R19" s="52" t="s">
        <v>161</v>
      </c>
      <c r="S19" s="52"/>
      <c r="T19" s="52"/>
      <c r="U19" s="52"/>
      <c r="V19" s="52"/>
      <c r="W19" s="52"/>
      <c r="X19" s="52"/>
      <c r="Y19" s="52"/>
      <c r="Z19" s="52"/>
      <c r="AA19" s="52"/>
      <c r="AB19" s="52"/>
      <c r="AC19" s="52"/>
      <c r="AD19" s="52"/>
      <c r="AE19" s="52"/>
      <c r="AF19" s="52"/>
      <c r="AG19" s="52"/>
      <c r="AH19" s="52"/>
      <c r="AI19" s="52"/>
      <c r="AJ19" s="125"/>
      <c r="AK19" s="98"/>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99"/>
    </row>
    <row r="20" spans="2:61" ht="20.100000000000001" customHeight="1" x14ac:dyDescent="0.45">
      <c r="B20" s="123"/>
      <c r="C20" s="31"/>
      <c r="D20" s="31"/>
      <c r="E20" s="31"/>
      <c r="F20" s="31"/>
      <c r="G20" s="96"/>
      <c r="H20" s="31"/>
      <c r="I20" s="31"/>
      <c r="J20" s="124" t="s">
        <v>141</v>
      </c>
      <c r="K20" s="52"/>
      <c r="L20" s="52"/>
      <c r="M20" s="52"/>
      <c r="N20" s="52"/>
      <c r="O20" s="52"/>
      <c r="P20" s="52"/>
      <c r="Q20" s="125"/>
      <c r="R20" s="52" t="s">
        <v>161</v>
      </c>
      <c r="S20" s="52"/>
      <c r="T20" s="52"/>
      <c r="U20" s="52"/>
      <c r="V20" s="52"/>
      <c r="W20" s="52"/>
      <c r="X20" s="52"/>
      <c r="Y20" s="52"/>
      <c r="Z20" s="52"/>
      <c r="AA20" s="52"/>
      <c r="AB20" s="52"/>
      <c r="AC20" s="52"/>
      <c r="AD20" s="52"/>
      <c r="AE20" s="52"/>
      <c r="AF20" s="52"/>
      <c r="AG20" s="52"/>
      <c r="AH20" s="52"/>
      <c r="AI20" s="52"/>
      <c r="AJ20" s="125"/>
      <c r="AK20" s="98"/>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99"/>
    </row>
    <row r="21" spans="2:61" ht="20.100000000000001" customHeight="1" x14ac:dyDescent="0.45">
      <c r="B21" s="123"/>
      <c r="C21" s="31"/>
      <c r="D21" s="31"/>
      <c r="E21" s="31"/>
      <c r="F21" s="31"/>
      <c r="G21" s="96"/>
      <c r="H21" s="31"/>
      <c r="I21" s="31"/>
      <c r="J21" s="124" t="s">
        <v>142</v>
      </c>
      <c r="K21" s="52"/>
      <c r="L21" s="52"/>
      <c r="M21" s="52"/>
      <c r="N21" s="52"/>
      <c r="O21" s="52"/>
      <c r="P21" s="52"/>
      <c r="Q21" s="125"/>
      <c r="R21" s="52" t="s">
        <v>161</v>
      </c>
      <c r="S21" s="52"/>
      <c r="T21" s="52"/>
      <c r="U21" s="52"/>
      <c r="V21" s="52"/>
      <c r="W21" s="52"/>
      <c r="X21" s="52"/>
      <c r="Y21" s="52"/>
      <c r="Z21" s="52"/>
      <c r="AA21" s="52"/>
      <c r="AB21" s="52"/>
      <c r="AC21" s="52"/>
      <c r="AD21" s="52"/>
      <c r="AE21" s="52"/>
      <c r="AF21" s="52"/>
      <c r="AG21" s="52"/>
      <c r="AH21" s="52"/>
      <c r="AI21" s="52"/>
      <c r="AJ21" s="125"/>
      <c r="AK21" s="98"/>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99"/>
    </row>
    <row r="22" spans="2:61" ht="20.100000000000001" customHeight="1" x14ac:dyDescent="0.45">
      <c r="B22" s="123"/>
      <c r="C22" s="31"/>
      <c r="D22" s="31"/>
      <c r="E22" s="31"/>
      <c r="F22" s="31"/>
      <c r="G22" s="96"/>
      <c r="H22" s="97"/>
      <c r="I22" s="31"/>
      <c r="J22" s="124" t="s">
        <v>143</v>
      </c>
      <c r="K22" s="52"/>
      <c r="L22" s="52"/>
      <c r="M22" s="52"/>
      <c r="N22" s="52"/>
      <c r="O22" s="52"/>
      <c r="P22" s="52"/>
      <c r="Q22" s="125"/>
      <c r="R22" s="52">
        <v>810</v>
      </c>
      <c r="S22" s="52"/>
      <c r="T22" s="52"/>
      <c r="U22" s="52"/>
      <c r="V22" s="52"/>
      <c r="W22" s="52"/>
      <c r="X22" s="52"/>
      <c r="Y22" s="52"/>
      <c r="Z22" s="52"/>
      <c r="AA22" s="52"/>
      <c r="AB22" s="52"/>
      <c r="AC22" s="52"/>
      <c r="AD22" s="52"/>
      <c r="AE22" s="52"/>
      <c r="AF22" s="52"/>
      <c r="AG22" s="52"/>
      <c r="AH22" s="52"/>
      <c r="AI22" s="52"/>
      <c r="AJ22" s="125"/>
      <c r="AK22" s="98"/>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99"/>
    </row>
    <row r="23" spans="2:61" ht="20.100000000000001" customHeight="1" x14ac:dyDescent="0.45">
      <c r="B23" s="123"/>
      <c r="C23" s="31"/>
      <c r="D23" s="31"/>
      <c r="E23" s="31"/>
      <c r="F23" s="31"/>
      <c r="G23" s="96"/>
      <c r="H23" s="97"/>
      <c r="I23" s="31"/>
      <c r="J23" s="124" t="s">
        <v>106</v>
      </c>
      <c r="K23" s="52"/>
      <c r="L23" s="52"/>
      <c r="M23" s="52"/>
      <c r="N23" s="52"/>
      <c r="O23" s="52"/>
      <c r="P23" s="52"/>
      <c r="Q23" s="125"/>
      <c r="R23" s="52" t="s">
        <v>161</v>
      </c>
      <c r="S23" s="52"/>
      <c r="T23" s="52"/>
      <c r="U23" s="52"/>
      <c r="V23" s="52"/>
      <c r="W23" s="52"/>
      <c r="X23" s="52"/>
      <c r="Y23" s="52"/>
      <c r="Z23" s="52"/>
      <c r="AA23" s="52"/>
      <c r="AB23" s="52"/>
      <c r="AC23" s="52"/>
      <c r="AD23" s="52"/>
      <c r="AE23" s="52"/>
      <c r="AF23" s="52"/>
      <c r="AG23" s="52"/>
      <c r="AH23" s="52"/>
      <c r="AI23" s="52"/>
      <c r="AJ23" s="125"/>
      <c r="AK23" s="98"/>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99"/>
    </row>
    <row r="24" spans="2:61" ht="20.100000000000001" customHeight="1" x14ac:dyDescent="0.45">
      <c r="B24" s="123"/>
      <c r="C24" s="31"/>
      <c r="D24" s="31"/>
      <c r="E24" s="31"/>
      <c r="F24" s="31"/>
      <c r="G24" s="96"/>
      <c r="H24" s="31"/>
      <c r="I24" s="31"/>
      <c r="J24" s="124" t="s">
        <v>144</v>
      </c>
      <c r="K24" s="52"/>
      <c r="L24" s="52"/>
      <c r="M24" s="52"/>
      <c r="N24" s="52"/>
      <c r="O24" s="52"/>
      <c r="P24" s="52"/>
      <c r="Q24" s="125"/>
      <c r="R24" s="52">
        <v>1</v>
      </c>
      <c r="S24" s="52"/>
      <c r="T24" s="52"/>
      <c r="U24" s="52"/>
      <c r="V24" s="52"/>
      <c r="W24" s="52"/>
      <c r="X24" s="52"/>
      <c r="Y24" s="52"/>
      <c r="Z24" s="52"/>
      <c r="AA24" s="52"/>
      <c r="AB24" s="52"/>
      <c r="AC24" s="52"/>
      <c r="AD24" s="52"/>
      <c r="AE24" s="52"/>
      <c r="AF24" s="52"/>
      <c r="AG24" s="52"/>
      <c r="AH24" s="52"/>
      <c r="AI24" s="52"/>
      <c r="AJ24" s="125"/>
      <c r="AK24" s="98"/>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99"/>
    </row>
    <row r="25" spans="2:61" ht="20.100000000000001" customHeight="1" x14ac:dyDescent="0.45">
      <c r="B25" s="123"/>
      <c r="C25" s="31"/>
      <c r="D25" s="31"/>
      <c r="E25" s="31"/>
      <c r="F25" s="31"/>
      <c r="G25" s="96"/>
      <c r="H25" s="31"/>
      <c r="I25" s="31"/>
      <c r="J25" s="124" t="s">
        <v>145</v>
      </c>
      <c r="K25" s="52"/>
      <c r="L25" s="52"/>
      <c r="M25" s="52"/>
      <c r="N25" s="52"/>
      <c r="O25" s="52"/>
      <c r="P25" s="52"/>
      <c r="Q25" s="125"/>
      <c r="R25" s="133" t="s">
        <v>178</v>
      </c>
      <c r="S25" s="52"/>
      <c r="T25" s="52"/>
      <c r="U25" s="52"/>
      <c r="V25" s="52"/>
      <c r="W25" s="52"/>
      <c r="X25" s="52"/>
      <c r="Y25" s="52"/>
      <c r="Z25" s="52"/>
      <c r="AA25" s="52"/>
      <c r="AB25" s="52"/>
      <c r="AC25" s="52"/>
      <c r="AD25" s="52"/>
      <c r="AE25" s="52"/>
      <c r="AF25" s="52"/>
      <c r="AG25" s="52"/>
      <c r="AH25" s="52"/>
      <c r="AI25" s="52"/>
      <c r="AJ25" s="125"/>
      <c r="AK25" s="98"/>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99"/>
    </row>
    <row r="26" spans="2:61" ht="20.100000000000001" customHeight="1" x14ac:dyDescent="0.45">
      <c r="B26" s="123"/>
      <c r="C26" s="31"/>
      <c r="D26" s="31"/>
      <c r="E26" s="31"/>
      <c r="F26" s="31"/>
      <c r="G26" s="96"/>
      <c r="H26" s="31"/>
      <c r="I26" s="31"/>
      <c r="J26" s="124" t="s">
        <v>146</v>
      </c>
      <c r="K26" s="52"/>
      <c r="L26" s="52"/>
      <c r="M26" s="52"/>
      <c r="N26" s="52"/>
      <c r="O26" s="52"/>
      <c r="P26" s="52"/>
      <c r="Q26" s="125"/>
      <c r="R26" s="52" t="s">
        <v>160</v>
      </c>
      <c r="S26" s="52"/>
      <c r="T26" s="52"/>
      <c r="U26" s="52"/>
      <c r="V26" s="52"/>
      <c r="W26" s="52"/>
      <c r="X26" s="52"/>
      <c r="Y26" s="52"/>
      <c r="Z26" s="52"/>
      <c r="AA26" s="52"/>
      <c r="AB26" s="52"/>
      <c r="AC26" s="52"/>
      <c r="AD26" s="52"/>
      <c r="AE26" s="52"/>
      <c r="AF26" s="52"/>
      <c r="AG26" s="52"/>
      <c r="AH26" s="52"/>
      <c r="AI26" s="52"/>
      <c r="AJ26" s="125"/>
      <c r="AK26" s="98"/>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99"/>
    </row>
    <row r="27" spans="2:61" ht="20.100000000000001" customHeight="1" x14ac:dyDescent="0.45">
      <c r="B27" s="123"/>
      <c r="C27" s="31"/>
      <c r="D27" s="31"/>
      <c r="E27" s="31"/>
      <c r="F27" s="31"/>
      <c r="G27" s="96"/>
      <c r="H27" s="97"/>
      <c r="I27" s="31"/>
      <c r="J27" s="124" t="s">
        <v>147</v>
      </c>
      <c r="K27" s="52"/>
      <c r="L27" s="52"/>
      <c r="M27" s="52"/>
      <c r="N27" s="52"/>
      <c r="O27" s="52"/>
      <c r="P27" s="52"/>
      <c r="Q27" s="125"/>
      <c r="R27" s="52" t="s">
        <v>160</v>
      </c>
      <c r="S27" s="52"/>
      <c r="T27" s="52"/>
      <c r="U27" s="52"/>
      <c r="V27" s="52"/>
      <c r="W27" s="52"/>
      <c r="X27" s="52"/>
      <c r="Y27" s="52"/>
      <c r="Z27" s="52"/>
      <c r="AA27" s="52"/>
      <c r="AB27" s="52"/>
      <c r="AC27" s="52"/>
      <c r="AD27" s="52"/>
      <c r="AE27" s="52"/>
      <c r="AF27" s="52"/>
      <c r="AG27" s="52"/>
      <c r="AH27" s="52"/>
      <c r="AI27" s="52"/>
      <c r="AJ27" s="125"/>
      <c r="AK27" s="98"/>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99"/>
    </row>
    <row r="28" spans="2:61" ht="20.100000000000001" customHeight="1" x14ac:dyDescent="0.45">
      <c r="B28" s="123"/>
      <c r="C28" s="31"/>
      <c r="D28" s="31"/>
      <c r="E28" s="31"/>
      <c r="F28" s="31"/>
      <c r="G28" s="96"/>
      <c r="H28" s="97"/>
      <c r="I28" s="31"/>
      <c r="J28" s="124" t="s">
        <v>148</v>
      </c>
      <c r="K28" s="52"/>
      <c r="L28" s="52"/>
      <c r="M28" s="52"/>
      <c r="N28" s="52"/>
      <c r="O28" s="52"/>
      <c r="P28" s="52"/>
      <c r="Q28" s="125"/>
      <c r="R28" s="52" t="s">
        <v>160</v>
      </c>
      <c r="S28" s="52"/>
      <c r="T28" s="52"/>
      <c r="U28" s="52"/>
      <c r="V28" s="52"/>
      <c r="W28" s="52"/>
      <c r="X28" s="52"/>
      <c r="Y28" s="52"/>
      <c r="Z28" s="52"/>
      <c r="AA28" s="52"/>
      <c r="AB28" s="52"/>
      <c r="AC28" s="52"/>
      <c r="AD28" s="52"/>
      <c r="AE28" s="52"/>
      <c r="AF28" s="52"/>
      <c r="AG28" s="52"/>
      <c r="AH28" s="52"/>
      <c r="AI28" s="52"/>
      <c r="AJ28" s="125"/>
      <c r="AK28" s="98"/>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99"/>
    </row>
    <row r="29" spans="2:61" ht="20.100000000000001" customHeight="1" x14ac:dyDescent="0.45">
      <c r="B29" s="123"/>
      <c r="C29" s="31"/>
      <c r="D29" s="31"/>
      <c r="E29" s="31"/>
      <c r="F29" s="31"/>
      <c r="G29" s="96"/>
      <c r="H29" s="31"/>
      <c r="I29" s="31"/>
      <c r="J29" s="124" t="s">
        <v>149</v>
      </c>
      <c r="K29" s="52"/>
      <c r="L29" s="52"/>
      <c r="M29" s="52"/>
      <c r="N29" s="52"/>
      <c r="O29" s="52"/>
      <c r="P29" s="52"/>
      <c r="Q29" s="125"/>
      <c r="R29" s="52" t="s">
        <v>160</v>
      </c>
      <c r="S29" s="52"/>
      <c r="T29" s="52"/>
      <c r="U29" s="52"/>
      <c r="V29" s="52"/>
      <c r="W29" s="52"/>
      <c r="X29" s="52"/>
      <c r="Y29" s="52"/>
      <c r="Z29" s="52"/>
      <c r="AA29" s="52"/>
      <c r="AB29" s="52"/>
      <c r="AC29" s="52"/>
      <c r="AD29" s="52"/>
      <c r="AE29" s="52"/>
      <c r="AF29" s="52"/>
      <c r="AG29" s="52"/>
      <c r="AH29" s="52"/>
      <c r="AI29" s="52"/>
      <c r="AJ29" s="125"/>
      <c r="AK29" s="98"/>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99"/>
    </row>
    <row r="30" spans="2:61" ht="20.100000000000001" customHeight="1" x14ac:dyDescent="0.45">
      <c r="B30" s="123"/>
      <c r="C30" s="31"/>
      <c r="D30" s="31"/>
      <c r="E30" s="31"/>
      <c r="F30" s="31"/>
      <c r="G30" s="96"/>
      <c r="H30" s="31"/>
      <c r="I30" s="31"/>
      <c r="J30" s="124" t="s">
        <v>150</v>
      </c>
      <c r="K30" s="52"/>
      <c r="L30" s="52"/>
      <c r="M30" s="52"/>
      <c r="N30" s="52"/>
      <c r="O30" s="52"/>
      <c r="P30" s="52"/>
      <c r="Q30" s="125"/>
      <c r="R30" s="52" t="s">
        <v>161</v>
      </c>
      <c r="S30" s="52"/>
      <c r="T30" s="52"/>
      <c r="U30" s="52"/>
      <c r="V30" s="52"/>
      <c r="W30" s="52"/>
      <c r="X30" s="52"/>
      <c r="Y30" s="52"/>
      <c r="Z30" s="52"/>
      <c r="AA30" s="52"/>
      <c r="AB30" s="52"/>
      <c r="AC30" s="52"/>
      <c r="AD30" s="52"/>
      <c r="AE30" s="52"/>
      <c r="AF30" s="52"/>
      <c r="AG30" s="52"/>
      <c r="AH30" s="52"/>
      <c r="AI30" s="52"/>
      <c r="AJ30" s="125"/>
      <c r="AK30" s="98"/>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99"/>
    </row>
    <row r="31" spans="2:61" ht="20.100000000000001" customHeight="1" x14ac:dyDescent="0.45">
      <c r="B31" s="123"/>
      <c r="C31" s="31"/>
      <c r="D31" s="31"/>
      <c r="E31" s="31"/>
      <c r="F31" s="31"/>
      <c r="G31" s="96"/>
      <c r="H31" s="31"/>
      <c r="I31" s="31"/>
      <c r="J31" s="124" t="s">
        <v>151</v>
      </c>
      <c r="K31" s="52"/>
      <c r="L31" s="52"/>
      <c r="M31" s="52"/>
      <c r="N31" s="52"/>
      <c r="O31" s="52"/>
      <c r="P31" s="52"/>
      <c r="Q31" s="125"/>
      <c r="R31" s="52" t="s">
        <v>173</v>
      </c>
      <c r="S31" s="52"/>
      <c r="T31" s="52"/>
      <c r="U31" s="52"/>
      <c r="V31" s="52"/>
      <c r="W31" s="52"/>
      <c r="X31" s="52"/>
      <c r="Y31" s="52"/>
      <c r="Z31" s="52"/>
      <c r="AA31" s="52"/>
      <c r="AB31" s="52"/>
      <c r="AC31" s="52"/>
      <c r="AD31" s="52"/>
      <c r="AE31" s="52"/>
      <c r="AF31" s="52"/>
      <c r="AG31" s="52"/>
      <c r="AH31" s="52"/>
      <c r="AI31" s="52"/>
      <c r="AJ31" s="125"/>
      <c r="AK31" s="98"/>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99"/>
    </row>
    <row r="32" spans="2:61" ht="20.100000000000001" customHeight="1" x14ac:dyDescent="0.45">
      <c r="B32" s="123"/>
      <c r="C32" s="31"/>
      <c r="D32" s="31"/>
      <c r="E32" s="31"/>
      <c r="F32" s="31"/>
      <c r="G32" s="96"/>
      <c r="H32" s="97"/>
      <c r="I32" s="31"/>
      <c r="J32" s="124" t="s">
        <v>152</v>
      </c>
      <c r="K32" s="52"/>
      <c r="L32" s="52"/>
      <c r="M32" s="52"/>
      <c r="N32" s="52"/>
      <c r="O32" s="52"/>
      <c r="P32" s="52"/>
      <c r="Q32" s="125"/>
      <c r="R32" s="52" t="s">
        <v>171</v>
      </c>
      <c r="S32" s="52"/>
      <c r="T32" s="52"/>
      <c r="U32" s="52"/>
      <c r="V32" s="52"/>
      <c r="W32" s="52"/>
      <c r="X32" s="52"/>
      <c r="Y32" s="52"/>
      <c r="Z32" s="52"/>
      <c r="AA32" s="52"/>
      <c r="AB32" s="52"/>
      <c r="AC32" s="52"/>
      <c r="AD32" s="52"/>
      <c r="AE32" s="52"/>
      <c r="AF32" s="52"/>
      <c r="AG32" s="52"/>
      <c r="AH32" s="52"/>
      <c r="AI32" s="52"/>
      <c r="AJ32" s="125"/>
      <c r="AK32" s="98"/>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99"/>
    </row>
    <row r="33" spans="2:61" ht="20.100000000000001" customHeight="1" x14ac:dyDescent="0.45">
      <c r="B33" s="123"/>
      <c r="C33" s="31"/>
      <c r="D33" s="31"/>
      <c r="E33" s="31"/>
      <c r="F33" s="31"/>
      <c r="G33" s="96"/>
      <c r="H33" s="97"/>
      <c r="I33" s="31"/>
      <c r="J33" s="124" t="s">
        <v>153</v>
      </c>
      <c r="K33" s="52"/>
      <c r="L33" s="52"/>
      <c r="M33" s="52"/>
      <c r="N33" s="52"/>
      <c r="O33" s="52"/>
      <c r="P33" s="52"/>
      <c r="Q33" s="125"/>
      <c r="R33" s="52" t="s">
        <v>161</v>
      </c>
      <c r="S33" s="52"/>
      <c r="T33" s="52"/>
      <c r="U33" s="52"/>
      <c r="V33" s="52"/>
      <c r="W33" s="52"/>
      <c r="X33" s="52"/>
      <c r="Y33" s="52"/>
      <c r="Z33" s="52"/>
      <c r="AA33" s="52"/>
      <c r="AB33" s="52"/>
      <c r="AC33" s="52"/>
      <c r="AD33" s="52"/>
      <c r="AE33" s="52"/>
      <c r="AF33" s="52"/>
      <c r="AG33" s="52"/>
      <c r="AH33" s="52"/>
      <c r="AI33" s="52"/>
      <c r="AJ33" s="125"/>
      <c r="AK33" s="98"/>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99"/>
    </row>
    <row r="34" spans="2:61" ht="20.100000000000001" customHeight="1" x14ac:dyDescent="0.45">
      <c r="B34" s="123"/>
      <c r="C34" s="31"/>
      <c r="D34" s="31"/>
      <c r="E34" s="31"/>
      <c r="F34" s="31"/>
      <c r="G34" s="96"/>
      <c r="H34" s="31"/>
      <c r="I34" s="31"/>
      <c r="J34" s="124" t="s">
        <v>154</v>
      </c>
      <c r="K34" s="52"/>
      <c r="L34" s="52"/>
      <c r="M34" s="52"/>
      <c r="N34" s="52"/>
      <c r="O34" s="52"/>
      <c r="P34" s="52"/>
      <c r="Q34" s="125"/>
      <c r="R34" s="52" t="s">
        <v>161</v>
      </c>
      <c r="S34" s="52"/>
      <c r="T34" s="52"/>
      <c r="U34" s="52"/>
      <c r="V34" s="52"/>
      <c r="W34" s="52"/>
      <c r="X34" s="52"/>
      <c r="Y34" s="52"/>
      <c r="Z34" s="52"/>
      <c r="AA34" s="52"/>
      <c r="AB34" s="52"/>
      <c r="AC34" s="52"/>
      <c r="AD34" s="52"/>
      <c r="AE34" s="52"/>
      <c r="AF34" s="52"/>
      <c r="AG34" s="52"/>
      <c r="AH34" s="52"/>
      <c r="AI34" s="52"/>
      <c r="AJ34" s="125"/>
      <c r="AK34" s="98"/>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99"/>
    </row>
    <row r="35" spans="2:61" ht="20.100000000000001" customHeight="1" x14ac:dyDescent="0.45">
      <c r="B35" s="123"/>
      <c r="C35" s="31"/>
      <c r="D35" s="31"/>
      <c r="E35" s="31"/>
      <c r="F35" s="31"/>
      <c r="G35" s="96"/>
      <c r="H35" s="31"/>
      <c r="I35" s="31"/>
      <c r="J35" s="124" t="s">
        <v>155</v>
      </c>
      <c r="K35" s="52"/>
      <c r="L35" s="52"/>
      <c r="M35" s="52"/>
      <c r="N35" s="52"/>
      <c r="O35" s="52"/>
      <c r="P35" s="52"/>
      <c r="Q35" s="125"/>
      <c r="R35" s="52" t="s">
        <v>161</v>
      </c>
      <c r="S35" s="52"/>
      <c r="T35" s="52"/>
      <c r="U35" s="52"/>
      <c r="V35" s="52"/>
      <c r="W35" s="52"/>
      <c r="X35" s="52"/>
      <c r="Y35" s="52"/>
      <c r="Z35" s="52"/>
      <c r="AA35" s="52"/>
      <c r="AB35" s="52"/>
      <c r="AC35" s="52"/>
      <c r="AD35" s="52"/>
      <c r="AE35" s="52"/>
      <c r="AF35" s="52"/>
      <c r="AG35" s="52"/>
      <c r="AH35" s="52"/>
      <c r="AI35" s="52"/>
      <c r="AJ35" s="125"/>
      <c r="AK35" s="98"/>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99"/>
    </row>
    <row r="36" spans="2:61" ht="20.100000000000001" customHeight="1" x14ac:dyDescent="0.45">
      <c r="B36" s="123"/>
      <c r="C36" s="31"/>
      <c r="D36" s="31"/>
      <c r="E36" s="31"/>
      <c r="F36" s="31"/>
      <c r="G36" s="96"/>
      <c r="H36" s="31"/>
      <c r="I36" s="31"/>
      <c r="J36" s="124" t="s">
        <v>156</v>
      </c>
      <c r="K36" s="52"/>
      <c r="L36" s="52"/>
      <c r="M36" s="52"/>
      <c r="N36" s="52"/>
      <c r="O36" s="52"/>
      <c r="P36" s="52"/>
      <c r="Q36" s="125"/>
      <c r="R36" s="52" t="s">
        <v>161</v>
      </c>
      <c r="S36" s="52"/>
      <c r="T36" s="52"/>
      <c r="U36" s="52"/>
      <c r="V36" s="52"/>
      <c r="W36" s="52"/>
      <c r="X36" s="52"/>
      <c r="Y36" s="52"/>
      <c r="Z36" s="52"/>
      <c r="AA36" s="52"/>
      <c r="AB36" s="52"/>
      <c r="AC36" s="52"/>
      <c r="AD36" s="52"/>
      <c r="AE36" s="52"/>
      <c r="AF36" s="52"/>
      <c r="AG36" s="52"/>
      <c r="AH36" s="52"/>
      <c r="AI36" s="52"/>
      <c r="AJ36" s="125"/>
      <c r="AK36" s="98"/>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99"/>
    </row>
    <row r="37" spans="2:61" ht="20.100000000000001" customHeight="1" x14ac:dyDescent="0.45">
      <c r="B37" s="123"/>
      <c r="C37" s="31"/>
      <c r="D37" s="31"/>
      <c r="E37" s="31"/>
      <c r="F37" s="31"/>
      <c r="G37" s="96"/>
      <c r="H37" s="100" t="s">
        <v>162</v>
      </c>
      <c r="I37" s="55"/>
      <c r="J37" s="100" t="s">
        <v>163</v>
      </c>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101"/>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102"/>
    </row>
    <row r="38" spans="2:61" ht="20.100000000000001" customHeight="1" x14ac:dyDescent="0.45">
      <c r="B38" s="95"/>
      <c r="C38" s="31"/>
      <c r="D38" s="31"/>
      <c r="E38" s="31"/>
      <c r="F38" s="31"/>
      <c r="G38" s="96"/>
      <c r="H38" s="100" t="s">
        <v>164</v>
      </c>
      <c r="I38" s="55"/>
      <c r="J38" s="100" t="s">
        <v>165</v>
      </c>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101"/>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102"/>
    </row>
    <row r="39" spans="2:61" ht="20.100000000000001" customHeight="1" x14ac:dyDescent="0.45">
      <c r="B39" s="95"/>
      <c r="C39" s="31"/>
      <c r="D39" s="31"/>
      <c r="E39" s="31"/>
      <c r="F39" s="31"/>
      <c r="G39" s="96"/>
      <c r="H39" s="97"/>
      <c r="I39" s="31"/>
      <c r="J39" s="97"/>
      <c r="K39" s="31" t="s">
        <v>166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98"/>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99"/>
    </row>
    <row r="40" spans="2:61" ht="20.100000000000001" customHeight="1" x14ac:dyDescent="0.45">
      <c r="B40" s="95"/>
      <c r="C40" s="31"/>
      <c r="D40" s="31"/>
      <c r="E40" s="31"/>
      <c r="F40" s="31"/>
      <c r="G40" s="96"/>
      <c r="H40" s="100" t="s">
        <v>167</v>
      </c>
      <c r="I40" s="55"/>
      <c r="J40" s="100" t="s">
        <v>176</v>
      </c>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128"/>
      <c r="AK40" s="101"/>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102"/>
    </row>
    <row r="41" spans="2:61" ht="20.100000000000001" customHeight="1" x14ac:dyDescent="0.45">
      <c r="B41" s="95"/>
      <c r="C41" s="31"/>
      <c r="D41" s="31"/>
      <c r="E41" s="31"/>
      <c r="F41" s="31"/>
      <c r="G41" s="96"/>
      <c r="H41" s="97"/>
      <c r="I41" s="31"/>
      <c r="J41" s="97"/>
      <c r="K41" s="31" t="s">
        <v>174</v>
      </c>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97"/>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99"/>
    </row>
    <row r="42" spans="2:61" ht="20.100000000000001" customHeight="1" x14ac:dyDescent="0.45">
      <c r="B42" s="95"/>
      <c r="C42" s="31"/>
      <c r="D42" s="31"/>
      <c r="E42" s="31"/>
      <c r="F42" s="31"/>
      <c r="G42" s="96"/>
      <c r="H42" s="97"/>
      <c r="I42" s="31"/>
      <c r="J42" s="97"/>
      <c r="K42" s="31" t="s">
        <v>175</v>
      </c>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97"/>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99"/>
    </row>
    <row r="43" spans="2:61" ht="20.100000000000001" customHeight="1" x14ac:dyDescent="0.45">
      <c r="B43" s="95"/>
      <c r="C43" s="31"/>
      <c r="D43" s="31"/>
      <c r="E43" s="31"/>
      <c r="F43" s="31"/>
      <c r="G43" s="96"/>
      <c r="H43" s="97"/>
      <c r="I43" s="31"/>
      <c r="J43" s="97"/>
      <c r="K43" s="31" t="s">
        <v>168</v>
      </c>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97"/>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99"/>
    </row>
    <row r="44" spans="2:61" ht="20.100000000000001" customHeight="1" x14ac:dyDescent="0.45">
      <c r="B44" s="95"/>
      <c r="C44" s="31"/>
      <c r="D44" s="31"/>
      <c r="E44" s="31"/>
      <c r="F44" s="31"/>
      <c r="G44" s="96"/>
      <c r="H44" s="97"/>
      <c r="I44" s="31"/>
      <c r="J44" s="97"/>
      <c r="K44" s="31" t="s">
        <v>169</v>
      </c>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97"/>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99"/>
    </row>
    <row r="45" spans="2:61" ht="20.100000000000001" customHeight="1" thickBot="1" x14ac:dyDescent="0.5">
      <c r="B45" s="95"/>
      <c r="C45" s="31"/>
      <c r="D45" s="31"/>
      <c r="E45" s="31"/>
      <c r="F45" s="31"/>
      <c r="G45" s="96"/>
      <c r="H45" s="129" t="s">
        <v>170</v>
      </c>
      <c r="I45" s="130"/>
      <c r="J45" s="129" t="s">
        <v>177</v>
      </c>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1"/>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2"/>
    </row>
    <row r="46" spans="2:61" ht="20.100000000000001" customHeight="1" x14ac:dyDescent="0.45">
      <c r="B46" s="89" t="s">
        <v>179</v>
      </c>
      <c r="C46" s="90"/>
      <c r="D46" s="90"/>
      <c r="E46" s="90"/>
      <c r="F46" s="90"/>
      <c r="G46" s="91"/>
      <c r="H46" s="92" t="s">
        <v>126</v>
      </c>
      <c r="I46" s="90"/>
      <c r="J46" s="120" t="s">
        <v>127</v>
      </c>
      <c r="K46" s="121"/>
      <c r="L46" s="121"/>
      <c r="M46" s="121"/>
      <c r="N46" s="121"/>
      <c r="O46" s="121"/>
      <c r="P46" s="121"/>
      <c r="Q46" s="122"/>
      <c r="R46" s="121">
        <v>0</v>
      </c>
      <c r="S46" s="121"/>
      <c r="T46" s="121"/>
      <c r="U46" s="121"/>
      <c r="V46" s="121"/>
      <c r="W46" s="121"/>
      <c r="X46" s="121"/>
      <c r="Y46" s="121"/>
      <c r="Z46" s="121"/>
      <c r="AA46" s="121"/>
      <c r="AB46" s="121"/>
      <c r="AC46" s="121"/>
      <c r="AD46" s="121"/>
      <c r="AE46" s="121"/>
      <c r="AF46" s="121"/>
      <c r="AG46" s="121"/>
      <c r="AH46" s="121"/>
      <c r="AI46" s="121"/>
      <c r="AJ46" s="122"/>
      <c r="AK46" s="93" t="s">
        <v>184</v>
      </c>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4"/>
    </row>
    <row r="47" spans="2:61" ht="20.100000000000001" customHeight="1" x14ac:dyDescent="0.45">
      <c r="B47" s="123"/>
      <c r="C47" s="31"/>
      <c r="D47" s="31"/>
      <c r="E47" s="31"/>
      <c r="F47" s="31"/>
      <c r="G47" s="96"/>
      <c r="H47" s="97"/>
      <c r="I47" s="31"/>
      <c r="J47" s="124" t="s">
        <v>128</v>
      </c>
      <c r="K47" s="52"/>
      <c r="L47" s="52"/>
      <c r="M47" s="52"/>
      <c r="N47" s="52"/>
      <c r="O47" s="52"/>
      <c r="P47" s="52"/>
      <c r="Q47" s="125"/>
      <c r="R47" s="52" t="s">
        <v>172</v>
      </c>
      <c r="S47" s="52"/>
      <c r="T47" s="52"/>
      <c r="U47" s="52"/>
      <c r="V47" s="52"/>
      <c r="W47" s="52"/>
      <c r="X47" s="52"/>
      <c r="Y47" s="52"/>
      <c r="Z47" s="52"/>
      <c r="AA47" s="52"/>
      <c r="AB47" s="52"/>
      <c r="AC47" s="52"/>
      <c r="AD47" s="52"/>
      <c r="AE47" s="52"/>
      <c r="AF47" s="52"/>
      <c r="AG47" s="52"/>
      <c r="AH47" s="52"/>
      <c r="AI47" s="52"/>
      <c r="AJ47" s="125"/>
      <c r="AK47" s="98" t="s">
        <v>193</v>
      </c>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99"/>
    </row>
    <row r="48" spans="2:61" ht="20.100000000000001" customHeight="1" x14ac:dyDescent="0.45">
      <c r="B48" s="123"/>
      <c r="C48" s="31"/>
      <c r="D48" s="31"/>
      <c r="E48" s="31"/>
      <c r="F48" s="31"/>
      <c r="G48" s="96"/>
      <c r="H48" s="97"/>
      <c r="I48" s="31"/>
      <c r="J48" s="124" t="s">
        <v>129</v>
      </c>
      <c r="K48" s="52"/>
      <c r="L48" s="52"/>
      <c r="M48" s="52"/>
      <c r="N48" s="52"/>
      <c r="O48" s="52"/>
      <c r="P48" s="52"/>
      <c r="Q48" s="125"/>
      <c r="R48" s="52" t="s">
        <v>157</v>
      </c>
      <c r="S48" s="52"/>
      <c r="T48" s="52"/>
      <c r="U48" s="52"/>
      <c r="V48" s="52"/>
      <c r="W48" s="52"/>
      <c r="X48" s="52"/>
      <c r="Y48" s="52"/>
      <c r="Z48" s="52"/>
      <c r="AA48" s="52"/>
      <c r="AB48" s="52"/>
      <c r="AC48" s="52"/>
      <c r="AD48" s="52"/>
      <c r="AE48" s="52"/>
      <c r="AF48" s="52"/>
      <c r="AG48" s="52"/>
      <c r="AH48" s="52"/>
      <c r="AI48" s="52"/>
      <c r="AJ48" s="125"/>
      <c r="AK48" s="98"/>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99"/>
    </row>
    <row r="49" spans="2:61" ht="20.100000000000001" customHeight="1" x14ac:dyDescent="0.45">
      <c r="B49" s="123"/>
      <c r="C49" s="31"/>
      <c r="D49" s="31"/>
      <c r="E49" s="31"/>
      <c r="F49" s="31"/>
      <c r="G49" s="96"/>
      <c r="H49" s="97"/>
      <c r="I49" s="31"/>
      <c r="J49" s="124" t="s">
        <v>130</v>
      </c>
      <c r="K49" s="52"/>
      <c r="L49" s="52"/>
      <c r="M49" s="52"/>
      <c r="N49" s="52"/>
      <c r="O49" s="52"/>
      <c r="P49" s="52"/>
      <c r="Q49" s="125"/>
      <c r="R49" s="52" t="s">
        <v>158</v>
      </c>
      <c r="S49" s="52"/>
      <c r="T49" s="52"/>
      <c r="U49" s="52"/>
      <c r="V49" s="52"/>
      <c r="W49" s="52"/>
      <c r="X49" s="52"/>
      <c r="Y49" s="52"/>
      <c r="Z49" s="52"/>
      <c r="AA49" s="52"/>
      <c r="AB49" s="52"/>
      <c r="AC49" s="52"/>
      <c r="AD49" s="52"/>
      <c r="AE49" s="52"/>
      <c r="AF49" s="52"/>
      <c r="AG49" s="52"/>
      <c r="AH49" s="52"/>
      <c r="AI49" s="52"/>
      <c r="AJ49" s="125"/>
      <c r="AK49" s="98"/>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99"/>
    </row>
    <row r="50" spans="2:61" ht="20.100000000000001" customHeight="1" x14ac:dyDescent="0.45">
      <c r="B50" s="123"/>
      <c r="C50" s="31"/>
      <c r="D50" s="31"/>
      <c r="E50" s="31"/>
      <c r="F50" s="31"/>
      <c r="G50" s="96"/>
      <c r="H50" s="31"/>
      <c r="I50" s="31"/>
      <c r="J50" s="124" t="s">
        <v>131</v>
      </c>
      <c r="K50" s="52"/>
      <c r="L50" s="52"/>
      <c r="M50" s="52"/>
      <c r="N50" s="52"/>
      <c r="O50" s="52"/>
      <c r="P50" s="52"/>
      <c r="Q50" s="125"/>
      <c r="R50" s="52" t="s">
        <v>159</v>
      </c>
      <c r="S50" s="52"/>
      <c r="T50" s="52"/>
      <c r="U50" s="52"/>
      <c r="V50" s="52"/>
      <c r="W50" s="52"/>
      <c r="X50" s="52"/>
      <c r="Y50" s="52"/>
      <c r="Z50" s="52"/>
      <c r="AA50" s="52"/>
      <c r="AB50" s="52"/>
      <c r="AC50" s="52"/>
      <c r="AD50" s="52"/>
      <c r="AE50" s="52"/>
      <c r="AF50" s="52"/>
      <c r="AG50" s="52"/>
      <c r="AH50" s="52"/>
      <c r="AI50" s="52"/>
      <c r="AJ50" s="125"/>
      <c r="AK50" s="98"/>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99"/>
    </row>
    <row r="51" spans="2:61" ht="20.100000000000001" customHeight="1" x14ac:dyDescent="0.45">
      <c r="B51" s="123"/>
      <c r="C51" s="31"/>
      <c r="D51" s="31"/>
      <c r="E51" s="31"/>
      <c r="F51" s="31"/>
      <c r="G51" s="96"/>
      <c r="H51" s="31"/>
      <c r="I51" s="31"/>
      <c r="J51" s="124" t="s">
        <v>132</v>
      </c>
      <c r="K51" s="52"/>
      <c r="L51" s="52"/>
      <c r="M51" s="52"/>
      <c r="N51" s="52"/>
      <c r="O51" s="52"/>
      <c r="P51" s="52"/>
      <c r="Q51" s="125"/>
      <c r="R51" s="52" t="s">
        <v>161</v>
      </c>
      <c r="S51" s="52"/>
      <c r="T51" s="52"/>
      <c r="U51" s="52"/>
      <c r="V51" s="52"/>
      <c r="W51" s="52"/>
      <c r="X51" s="52"/>
      <c r="Y51" s="52"/>
      <c r="Z51" s="52"/>
      <c r="AA51" s="52"/>
      <c r="AB51" s="52"/>
      <c r="AC51" s="52"/>
      <c r="AD51" s="52"/>
      <c r="AE51" s="52"/>
      <c r="AF51" s="52"/>
      <c r="AG51" s="52"/>
      <c r="AH51" s="52"/>
      <c r="AI51" s="52"/>
      <c r="AJ51" s="125"/>
      <c r="AK51" s="98"/>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99"/>
    </row>
    <row r="52" spans="2:61" ht="20.100000000000001" customHeight="1" x14ac:dyDescent="0.45">
      <c r="B52" s="123"/>
      <c r="C52" s="31"/>
      <c r="D52" s="31"/>
      <c r="E52" s="31"/>
      <c r="F52" s="31"/>
      <c r="G52" s="96"/>
      <c r="H52" s="31"/>
      <c r="I52" s="31"/>
      <c r="J52" s="124" t="s">
        <v>133</v>
      </c>
      <c r="K52" s="52"/>
      <c r="L52" s="52"/>
      <c r="M52" s="52"/>
      <c r="N52" s="52"/>
      <c r="O52" s="52"/>
      <c r="P52" s="52"/>
      <c r="Q52" s="125"/>
      <c r="R52" s="52" t="s">
        <v>173</v>
      </c>
      <c r="S52" s="52"/>
      <c r="T52" s="52"/>
      <c r="U52" s="52"/>
      <c r="V52" s="52"/>
      <c r="W52" s="52"/>
      <c r="X52" s="52"/>
      <c r="Y52" s="52"/>
      <c r="Z52" s="52"/>
      <c r="AA52" s="52"/>
      <c r="AB52" s="52"/>
      <c r="AC52" s="52"/>
      <c r="AD52" s="52"/>
      <c r="AE52" s="52"/>
      <c r="AF52" s="52"/>
      <c r="AG52" s="52"/>
      <c r="AH52" s="52"/>
      <c r="AI52" s="52"/>
      <c r="AJ52" s="125"/>
      <c r="AK52" s="98"/>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99"/>
    </row>
    <row r="53" spans="2:61" ht="20.100000000000001" customHeight="1" x14ac:dyDescent="0.45">
      <c r="B53" s="123"/>
      <c r="C53" s="31"/>
      <c r="D53" s="31"/>
      <c r="E53" s="31"/>
      <c r="F53" s="31"/>
      <c r="G53" s="96"/>
      <c r="H53" s="97"/>
      <c r="I53" s="31"/>
      <c r="J53" s="124" t="s">
        <v>134</v>
      </c>
      <c r="K53" s="52"/>
      <c r="L53" s="52"/>
      <c r="M53" s="52"/>
      <c r="N53" s="52"/>
      <c r="O53" s="52"/>
      <c r="P53" s="52"/>
      <c r="Q53" s="125"/>
      <c r="R53" s="52">
        <v>810</v>
      </c>
      <c r="S53" s="52"/>
      <c r="T53" s="52"/>
      <c r="U53" s="52"/>
      <c r="V53" s="52"/>
      <c r="W53" s="52"/>
      <c r="X53" s="52"/>
      <c r="Y53" s="52"/>
      <c r="Z53" s="52"/>
      <c r="AA53" s="52"/>
      <c r="AB53" s="52"/>
      <c r="AC53" s="52"/>
      <c r="AD53" s="52"/>
      <c r="AE53" s="52"/>
      <c r="AF53" s="52"/>
      <c r="AG53" s="52"/>
      <c r="AH53" s="52"/>
      <c r="AI53" s="52"/>
      <c r="AJ53" s="125"/>
      <c r="AK53" s="98"/>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99"/>
    </row>
    <row r="54" spans="2:61" ht="20.100000000000001" customHeight="1" x14ac:dyDescent="0.45">
      <c r="B54" s="123"/>
      <c r="C54" s="31"/>
      <c r="D54" s="31"/>
      <c r="E54" s="31"/>
      <c r="F54" s="31"/>
      <c r="G54" s="96"/>
      <c r="H54" s="97"/>
      <c r="I54" s="31"/>
      <c r="J54" s="124" t="s">
        <v>135</v>
      </c>
      <c r="K54" s="52"/>
      <c r="L54" s="52"/>
      <c r="M54" s="52"/>
      <c r="N54" s="52"/>
      <c r="O54" s="52"/>
      <c r="P54" s="52"/>
      <c r="Q54" s="125"/>
      <c r="R54" s="52" t="s">
        <v>161</v>
      </c>
      <c r="S54" s="52"/>
      <c r="T54" s="52"/>
      <c r="U54" s="52"/>
      <c r="V54" s="52"/>
      <c r="W54" s="52"/>
      <c r="X54" s="52"/>
      <c r="Y54" s="52"/>
      <c r="Z54" s="52"/>
      <c r="AA54" s="52"/>
      <c r="AB54" s="52"/>
      <c r="AC54" s="52"/>
      <c r="AD54" s="52"/>
      <c r="AE54" s="52"/>
      <c r="AF54" s="52"/>
      <c r="AG54" s="52"/>
      <c r="AH54" s="52"/>
      <c r="AI54" s="52"/>
      <c r="AJ54" s="125"/>
      <c r="AK54" s="98"/>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99"/>
    </row>
    <row r="55" spans="2:61" ht="20.100000000000001" customHeight="1" x14ac:dyDescent="0.45">
      <c r="B55" s="123"/>
      <c r="C55" s="31"/>
      <c r="D55" s="31"/>
      <c r="E55" s="31"/>
      <c r="F55" s="31"/>
      <c r="G55" s="96"/>
      <c r="H55" s="31"/>
      <c r="I55" s="31"/>
      <c r="J55" s="124" t="s">
        <v>136</v>
      </c>
      <c r="K55" s="52"/>
      <c r="L55" s="52"/>
      <c r="M55" s="52"/>
      <c r="N55" s="52"/>
      <c r="O55" s="52"/>
      <c r="P55" s="52"/>
      <c r="Q55" s="125"/>
      <c r="R55" s="52">
        <v>1</v>
      </c>
      <c r="S55" s="52"/>
      <c r="T55" s="52"/>
      <c r="U55" s="52"/>
      <c r="V55" s="52"/>
      <c r="W55" s="52"/>
      <c r="X55" s="52"/>
      <c r="Y55" s="52"/>
      <c r="Z55" s="52"/>
      <c r="AA55" s="52"/>
      <c r="AB55" s="52"/>
      <c r="AC55" s="52"/>
      <c r="AD55" s="52"/>
      <c r="AE55" s="52"/>
      <c r="AF55" s="52"/>
      <c r="AG55" s="52"/>
      <c r="AH55" s="52"/>
      <c r="AI55" s="52"/>
      <c r="AJ55" s="125"/>
      <c r="AK55" s="98"/>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99"/>
    </row>
    <row r="56" spans="2:61" ht="20.100000000000001" customHeight="1" x14ac:dyDescent="0.45">
      <c r="B56" s="123"/>
      <c r="C56" s="31"/>
      <c r="D56" s="31"/>
      <c r="E56" s="31"/>
      <c r="F56" s="31"/>
      <c r="G56" s="96"/>
      <c r="H56" s="31"/>
      <c r="I56" s="31"/>
      <c r="J56" s="124" t="s">
        <v>137</v>
      </c>
      <c r="K56" s="52"/>
      <c r="L56" s="52"/>
      <c r="M56" s="52"/>
      <c r="N56" s="52"/>
      <c r="O56" s="52"/>
      <c r="P56" s="52"/>
      <c r="Q56" s="125"/>
      <c r="R56" s="52" t="s">
        <v>180</v>
      </c>
      <c r="S56" s="52"/>
      <c r="T56" s="52"/>
      <c r="U56" s="52"/>
      <c r="V56" s="52"/>
      <c r="W56" s="52"/>
      <c r="X56" s="52"/>
      <c r="Y56" s="52"/>
      <c r="Z56" s="52"/>
      <c r="AA56" s="52"/>
      <c r="AB56" s="52"/>
      <c r="AC56" s="52"/>
      <c r="AD56" s="52"/>
      <c r="AE56" s="52"/>
      <c r="AF56" s="52"/>
      <c r="AG56" s="52"/>
      <c r="AH56" s="52"/>
      <c r="AI56" s="52"/>
      <c r="AJ56" s="125"/>
      <c r="AK56" s="98"/>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99"/>
    </row>
    <row r="57" spans="2:61" ht="20.100000000000001" customHeight="1" x14ac:dyDescent="0.45">
      <c r="B57" s="123"/>
      <c r="C57" s="31"/>
      <c r="D57" s="31"/>
      <c r="E57" s="31"/>
      <c r="F57" s="31"/>
      <c r="G57" s="96"/>
      <c r="H57" s="31"/>
      <c r="I57" s="31"/>
      <c r="J57" s="124" t="s">
        <v>138</v>
      </c>
      <c r="K57" s="52"/>
      <c r="L57" s="52"/>
      <c r="M57" s="52"/>
      <c r="N57" s="52"/>
      <c r="O57" s="52"/>
      <c r="P57" s="52"/>
      <c r="Q57" s="125"/>
      <c r="R57" s="52" t="s">
        <v>161</v>
      </c>
      <c r="S57" s="52"/>
      <c r="T57" s="52"/>
      <c r="U57" s="52"/>
      <c r="V57" s="52"/>
      <c r="W57" s="52"/>
      <c r="X57" s="52"/>
      <c r="Y57" s="52"/>
      <c r="Z57" s="52"/>
      <c r="AA57" s="52"/>
      <c r="AB57" s="52"/>
      <c r="AC57" s="52"/>
      <c r="AD57" s="52"/>
      <c r="AE57" s="52"/>
      <c r="AF57" s="52"/>
      <c r="AG57" s="52"/>
      <c r="AH57" s="52"/>
      <c r="AI57" s="52"/>
      <c r="AJ57" s="125"/>
      <c r="AK57" s="98"/>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99"/>
    </row>
    <row r="58" spans="2:61" ht="20.100000000000001" customHeight="1" x14ac:dyDescent="0.45">
      <c r="B58" s="123"/>
      <c r="C58" s="31"/>
      <c r="D58" s="31"/>
      <c r="E58" s="31"/>
      <c r="F58" s="31"/>
      <c r="G58" s="96"/>
      <c r="H58" s="97"/>
      <c r="I58" s="31"/>
      <c r="J58" s="124" t="s">
        <v>139</v>
      </c>
      <c r="K58" s="52"/>
      <c r="L58" s="52"/>
      <c r="M58" s="52"/>
      <c r="N58" s="52"/>
      <c r="O58" s="52"/>
      <c r="P58" s="52"/>
      <c r="Q58" s="125"/>
      <c r="R58" s="52" t="s">
        <v>181</v>
      </c>
      <c r="S58" s="52"/>
      <c r="T58" s="52"/>
      <c r="U58" s="52"/>
      <c r="V58" s="52"/>
      <c r="W58" s="52"/>
      <c r="X58" s="52"/>
      <c r="Y58" s="52"/>
      <c r="Z58" s="52"/>
      <c r="AA58" s="52"/>
      <c r="AB58" s="52"/>
      <c r="AC58" s="52"/>
      <c r="AD58" s="52"/>
      <c r="AE58" s="52"/>
      <c r="AF58" s="52"/>
      <c r="AG58" s="52"/>
      <c r="AH58" s="52"/>
      <c r="AI58" s="52"/>
      <c r="AJ58" s="125"/>
      <c r="AK58" s="98"/>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99"/>
    </row>
    <row r="59" spans="2:61" ht="20.100000000000001" customHeight="1" x14ac:dyDescent="0.45">
      <c r="B59" s="123"/>
      <c r="C59" s="31"/>
      <c r="D59" s="31"/>
      <c r="E59" s="31"/>
      <c r="F59" s="31"/>
      <c r="G59" s="96"/>
      <c r="H59" s="97"/>
      <c r="I59" s="31"/>
      <c r="J59" s="124" t="s">
        <v>140</v>
      </c>
      <c r="K59" s="52"/>
      <c r="L59" s="52"/>
      <c r="M59" s="52"/>
      <c r="N59" s="52"/>
      <c r="O59" s="52"/>
      <c r="P59" s="52"/>
      <c r="Q59" s="125"/>
      <c r="R59" s="52" t="s">
        <v>161</v>
      </c>
      <c r="S59" s="52"/>
      <c r="T59" s="52"/>
      <c r="U59" s="52"/>
      <c r="V59" s="52"/>
      <c r="W59" s="52"/>
      <c r="X59" s="52"/>
      <c r="Y59" s="52"/>
      <c r="Z59" s="52"/>
      <c r="AA59" s="52"/>
      <c r="AB59" s="52"/>
      <c r="AC59" s="52"/>
      <c r="AD59" s="52"/>
      <c r="AE59" s="52"/>
      <c r="AF59" s="52"/>
      <c r="AG59" s="52"/>
      <c r="AH59" s="52"/>
      <c r="AI59" s="52"/>
      <c r="AJ59" s="125"/>
      <c r="AK59" s="98"/>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99"/>
    </row>
    <row r="60" spans="2:61" ht="20.100000000000001" customHeight="1" x14ac:dyDescent="0.45">
      <c r="B60" s="123"/>
      <c r="C60" s="31"/>
      <c r="D60" s="31"/>
      <c r="E60" s="31"/>
      <c r="F60" s="31"/>
      <c r="G60" s="96"/>
      <c r="H60" s="31"/>
      <c r="I60" s="31"/>
      <c r="J60" s="124" t="s">
        <v>141</v>
      </c>
      <c r="K60" s="52"/>
      <c r="L60" s="52"/>
      <c r="M60" s="52"/>
      <c r="N60" s="52"/>
      <c r="O60" s="52"/>
      <c r="P60" s="52"/>
      <c r="Q60" s="125"/>
      <c r="R60" s="52" t="s">
        <v>161</v>
      </c>
      <c r="S60" s="52"/>
      <c r="T60" s="52"/>
      <c r="U60" s="52"/>
      <c r="V60" s="52"/>
      <c r="W60" s="52"/>
      <c r="X60" s="52"/>
      <c r="Y60" s="52"/>
      <c r="Z60" s="52"/>
      <c r="AA60" s="52"/>
      <c r="AB60" s="52"/>
      <c r="AC60" s="52"/>
      <c r="AD60" s="52"/>
      <c r="AE60" s="52"/>
      <c r="AF60" s="52"/>
      <c r="AG60" s="52"/>
      <c r="AH60" s="52"/>
      <c r="AI60" s="52"/>
      <c r="AJ60" s="125"/>
      <c r="AK60" s="98"/>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99"/>
    </row>
    <row r="61" spans="2:61" ht="20.100000000000001" customHeight="1" x14ac:dyDescent="0.45">
      <c r="B61" s="123"/>
      <c r="C61" s="31"/>
      <c r="D61" s="31"/>
      <c r="E61" s="31"/>
      <c r="F61" s="31"/>
      <c r="G61" s="96"/>
      <c r="H61" s="31"/>
      <c r="I61" s="31"/>
      <c r="J61" s="124" t="s">
        <v>142</v>
      </c>
      <c r="K61" s="52"/>
      <c r="L61" s="52"/>
      <c r="M61" s="52"/>
      <c r="N61" s="52"/>
      <c r="O61" s="52"/>
      <c r="P61" s="52"/>
      <c r="Q61" s="125"/>
      <c r="R61" s="52" t="s">
        <v>161</v>
      </c>
      <c r="S61" s="52"/>
      <c r="T61" s="52"/>
      <c r="U61" s="52"/>
      <c r="V61" s="52"/>
      <c r="W61" s="52"/>
      <c r="X61" s="52"/>
      <c r="Y61" s="52"/>
      <c r="Z61" s="52"/>
      <c r="AA61" s="52"/>
      <c r="AB61" s="52"/>
      <c r="AC61" s="52"/>
      <c r="AD61" s="52"/>
      <c r="AE61" s="52"/>
      <c r="AF61" s="52"/>
      <c r="AG61" s="52"/>
      <c r="AH61" s="52"/>
      <c r="AI61" s="52"/>
      <c r="AJ61" s="125"/>
      <c r="AK61" s="98"/>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99"/>
    </row>
    <row r="62" spans="2:61" ht="20.100000000000001" customHeight="1" x14ac:dyDescent="0.45">
      <c r="B62" s="123"/>
      <c r="C62" s="31"/>
      <c r="D62" s="31"/>
      <c r="E62" s="31"/>
      <c r="F62" s="31"/>
      <c r="G62" s="96"/>
      <c r="H62" s="97"/>
      <c r="I62" s="31"/>
      <c r="J62" s="124" t="s">
        <v>143</v>
      </c>
      <c r="K62" s="52"/>
      <c r="L62" s="52"/>
      <c r="M62" s="52"/>
      <c r="N62" s="52"/>
      <c r="O62" s="52"/>
      <c r="P62" s="52"/>
      <c r="Q62" s="125"/>
      <c r="R62" s="52">
        <v>131</v>
      </c>
      <c r="S62" s="52"/>
      <c r="T62" s="52"/>
      <c r="U62" s="52"/>
      <c r="V62" s="52"/>
      <c r="W62" s="52"/>
      <c r="X62" s="52"/>
      <c r="Y62" s="52"/>
      <c r="Z62" s="52"/>
      <c r="AA62" s="52"/>
      <c r="AB62" s="52"/>
      <c r="AC62" s="52"/>
      <c r="AD62" s="52"/>
      <c r="AE62" s="52"/>
      <c r="AF62" s="52"/>
      <c r="AG62" s="52"/>
      <c r="AH62" s="52"/>
      <c r="AI62" s="52"/>
      <c r="AJ62" s="125"/>
      <c r="AK62" s="98"/>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99"/>
    </row>
    <row r="63" spans="2:61" ht="20.100000000000001" customHeight="1" x14ac:dyDescent="0.45">
      <c r="B63" s="123"/>
      <c r="C63" s="31"/>
      <c r="D63" s="31"/>
      <c r="E63" s="31"/>
      <c r="F63" s="31"/>
      <c r="G63" s="96"/>
      <c r="H63" s="97"/>
      <c r="I63" s="31"/>
      <c r="J63" s="124" t="s">
        <v>106</v>
      </c>
      <c r="K63" s="52"/>
      <c r="L63" s="52"/>
      <c r="M63" s="52"/>
      <c r="N63" s="52"/>
      <c r="O63" s="52"/>
      <c r="P63" s="52"/>
      <c r="Q63" s="125"/>
      <c r="R63" s="52" t="s">
        <v>161</v>
      </c>
      <c r="S63" s="52"/>
      <c r="T63" s="52"/>
      <c r="U63" s="52"/>
      <c r="V63" s="52"/>
      <c r="W63" s="52"/>
      <c r="X63" s="52"/>
      <c r="Y63" s="52"/>
      <c r="Z63" s="52"/>
      <c r="AA63" s="52"/>
      <c r="AB63" s="52"/>
      <c r="AC63" s="52"/>
      <c r="AD63" s="52"/>
      <c r="AE63" s="52"/>
      <c r="AF63" s="52"/>
      <c r="AG63" s="52"/>
      <c r="AH63" s="52"/>
      <c r="AI63" s="52"/>
      <c r="AJ63" s="125"/>
      <c r="AK63" s="98"/>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99"/>
    </row>
    <row r="64" spans="2:61" ht="20.100000000000001" customHeight="1" x14ac:dyDescent="0.45">
      <c r="B64" s="123"/>
      <c r="C64" s="31"/>
      <c r="D64" s="31"/>
      <c r="E64" s="31"/>
      <c r="F64" s="31"/>
      <c r="G64" s="96"/>
      <c r="H64" s="31"/>
      <c r="I64" s="31"/>
      <c r="J64" s="124" t="s">
        <v>144</v>
      </c>
      <c r="K64" s="52"/>
      <c r="L64" s="52"/>
      <c r="M64" s="52"/>
      <c r="N64" s="52"/>
      <c r="O64" s="52"/>
      <c r="P64" s="52"/>
      <c r="Q64" s="125"/>
      <c r="R64" s="52">
        <v>0</v>
      </c>
      <c r="S64" s="52"/>
      <c r="T64" s="52"/>
      <c r="U64" s="52"/>
      <c r="V64" s="52"/>
      <c r="W64" s="52"/>
      <c r="X64" s="52"/>
      <c r="Y64" s="52"/>
      <c r="Z64" s="52"/>
      <c r="AA64" s="52"/>
      <c r="AB64" s="52"/>
      <c r="AC64" s="52"/>
      <c r="AD64" s="52"/>
      <c r="AE64" s="52"/>
      <c r="AF64" s="52"/>
      <c r="AG64" s="52"/>
      <c r="AH64" s="52"/>
      <c r="AI64" s="52"/>
      <c r="AJ64" s="125"/>
      <c r="AK64" s="98"/>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99"/>
    </row>
    <row r="65" spans="2:61" ht="20.100000000000001" customHeight="1" x14ac:dyDescent="0.45">
      <c r="B65" s="123"/>
      <c r="C65" s="31"/>
      <c r="D65" s="31"/>
      <c r="E65" s="31"/>
      <c r="F65" s="31"/>
      <c r="G65" s="96"/>
      <c r="H65" s="31"/>
      <c r="I65" s="31"/>
      <c r="J65" s="124" t="s">
        <v>145</v>
      </c>
      <c r="K65" s="52"/>
      <c r="L65" s="52"/>
      <c r="M65" s="52"/>
      <c r="N65" s="52"/>
      <c r="O65" s="52"/>
      <c r="P65" s="52"/>
      <c r="Q65" s="125"/>
      <c r="R65" s="133">
        <v>0</v>
      </c>
      <c r="S65" s="52"/>
      <c r="T65" s="52"/>
      <c r="U65" s="52"/>
      <c r="V65" s="52"/>
      <c r="W65" s="52"/>
      <c r="X65" s="52"/>
      <c r="Y65" s="52"/>
      <c r="Z65" s="52"/>
      <c r="AA65" s="52"/>
      <c r="AB65" s="52"/>
      <c r="AC65" s="52"/>
      <c r="AD65" s="52"/>
      <c r="AE65" s="52"/>
      <c r="AF65" s="52"/>
      <c r="AG65" s="52"/>
      <c r="AH65" s="52"/>
      <c r="AI65" s="52"/>
      <c r="AJ65" s="125"/>
      <c r="AK65" s="98"/>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99"/>
    </row>
    <row r="66" spans="2:61" ht="20.100000000000001" customHeight="1" x14ac:dyDescent="0.45">
      <c r="B66" s="123"/>
      <c r="C66" s="31"/>
      <c r="D66" s="31"/>
      <c r="E66" s="31"/>
      <c r="F66" s="31"/>
      <c r="G66" s="96"/>
      <c r="H66" s="31"/>
      <c r="I66" s="31"/>
      <c r="J66" s="124" t="s">
        <v>146</v>
      </c>
      <c r="K66" s="52"/>
      <c r="L66" s="52"/>
      <c r="M66" s="52"/>
      <c r="N66" s="52"/>
      <c r="O66" s="52"/>
      <c r="P66" s="52"/>
      <c r="Q66" s="125"/>
      <c r="R66" s="52" t="s">
        <v>160</v>
      </c>
      <c r="S66" s="52"/>
      <c r="T66" s="52"/>
      <c r="U66" s="52"/>
      <c r="V66" s="52"/>
      <c r="W66" s="52"/>
      <c r="X66" s="52"/>
      <c r="Y66" s="52"/>
      <c r="Z66" s="52"/>
      <c r="AA66" s="52"/>
      <c r="AB66" s="52"/>
      <c r="AC66" s="52"/>
      <c r="AD66" s="52"/>
      <c r="AE66" s="52"/>
      <c r="AF66" s="52"/>
      <c r="AG66" s="52"/>
      <c r="AH66" s="52"/>
      <c r="AI66" s="52"/>
      <c r="AJ66" s="125"/>
      <c r="AK66" s="98"/>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99"/>
    </row>
    <row r="67" spans="2:61" ht="20.100000000000001" customHeight="1" x14ac:dyDescent="0.45">
      <c r="B67" s="123"/>
      <c r="C67" s="31"/>
      <c r="D67" s="31"/>
      <c r="E67" s="31"/>
      <c r="F67" s="31"/>
      <c r="G67" s="96"/>
      <c r="H67" s="97"/>
      <c r="I67" s="31"/>
      <c r="J67" s="124" t="s">
        <v>147</v>
      </c>
      <c r="K67" s="52"/>
      <c r="L67" s="52"/>
      <c r="M67" s="52"/>
      <c r="N67" s="52"/>
      <c r="O67" s="52"/>
      <c r="P67" s="52"/>
      <c r="Q67" s="125"/>
      <c r="R67" s="52" t="s">
        <v>182</v>
      </c>
      <c r="S67" s="52"/>
      <c r="T67" s="52"/>
      <c r="U67" s="52"/>
      <c r="V67" s="52"/>
      <c r="W67" s="52"/>
      <c r="X67" s="52"/>
      <c r="Y67" s="52"/>
      <c r="Z67" s="52"/>
      <c r="AA67" s="52"/>
      <c r="AB67" s="52"/>
      <c r="AC67" s="52"/>
      <c r="AD67" s="52"/>
      <c r="AE67" s="52"/>
      <c r="AF67" s="52"/>
      <c r="AG67" s="52"/>
      <c r="AH67" s="52"/>
      <c r="AI67" s="52"/>
      <c r="AJ67" s="125"/>
      <c r="AK67" s="98"/>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99"/>
    </row>
    <row r="68" spans="2:61" ht="20.100000000000001" customHeight="1" x14ac:dyDescent="0.45">
      <c r="B68" s="123"/>
      <c r="C68" s="31"/>
      <c r="D68" s="31"/>
      <c r="E68" s="31"/>
      <c r="F68" s="31"/>
      <c r="G68" s="96"/>
      <c r="H68" s="97"/>
      <c r="I68" s="31"/>
      <c r="J68" s="124" t="s">
        <v>148</v>
      </c>
      <c r="K68" s="52"/>
      <c r="L68" s="52"/>
      <c r="M68" s="52"/>
      <c r="N68" s="52"/>
      <c r="O68" s="52"/>
      <c r="P68" s="52"/>
      <c r="Q68" s="125"/>
      <c r="R68" s="52" t="s">
        <v>160</v>
      </c>
      <c r="S68" s="52"/>
      <c r="T68" s="52"/>
      <c r="U68" s="52"/>
      <c r="V68" s="52"/>
      <c r="W68" s="52"/>
      <c r="X68" s="52"/>
      <c r="Y68" s="52"/>
      <c r="Z68" s="52"/>
      <c r="AA68" s="52"/>
      <c r="AB68" s="52"/>
      <c r="AC68" s="52"/>
      <c r="AD68" s="52"/>
      <c r="AE68" s="52"/>
      <c r="AF68" s="52"/>
      <c r="AG68" s="52"/>
      <c r="AH68" s="52"/>
      <c r="AI68" s="52"/>
      <c r="AJ68" s="125"/>
      <c r="AK68" s="98"/>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99"/>
    </row>
    <row r="69" spans="2:61" ht="20.100000000000001" customHeight="1" x14ac:dyDescent="0.45">
      <c r="B69" s="123"/>
      <c r="C69" s="31"/>
      <c r="D69" s="31"/>
      <c r="E69" s="31"/>
      <c r="F69" s="31"/>
      <c r="G69" s="96"/>
      <c r="H69" s="31"/>
      <c r="I69" s="31"/>
      <c r="J69" s="124" t="s">
        <v>149</v>
      </c>
      <c r="K69" s="52"/>
      <c r="L69" s="52"/>
      <c r="M69" s="52"/>
      <c r="N69" s="52"/>
      <c r="O69" s="52"/>
      <c r="P69" s="52"/>
      <c r="Q69" s="125"/>
      <c r="R69" s="52" t="s">
        <v>160</v>
      </c>
      <c r="S69" s="52"/>
      <c r="T69" s="52"/>
      <c r="U69" s="52"/>
      <c r="V69" s="52"/>
      <c r="W69" s="52"/>
      <c r="X69" s="52"/>
      <c r="Y69" s="52"/>
      <c r="Z69" s="52"/>
      <c r="AA69" s="52"/>
      <c r="AB69" s="52"/>
      <c r="AC69" s="52"/>
      <c r="AD69" s="52"/>
      <c r="AE69" s="52"/>
      <c r="AF69" s="52"/>
      <c r="AG69" s="52"/>
      <c r="AH69" s="52"/>
      <c r="AI69" s="52"/>
      <c r="AJ69" s="125"/>
      <c r="AK69" s="98"/>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99"/>
    </row>
    <row r="70" spans="2:61" ht="20.100000000000001" customHeight="1" x14ac:dyDescent="0.45">
      <c r="B70" s="123"/>
      <c r="C70" s="31"/>
      <c r="D70" s="31"/>
      <c r="E70" s="31"/>
      <c r="F70" s="31"/>
      <c r="G70" s="96"/>
      <c r="H70" s="31"/>
      <c r="I70" s="31"/>
      <c r="J70" s="124" t="s">
        <v>150</v>
      </c>
      <c r="K70" s="52"/>
      <c r="L70" s="52"/>
      <c r="M70" s="52"/>
      <c r="N70" s="52"/>
      <c r="O70" s="52"/>
      <c r="P70" s="52"/>
      <c r="Q70" s="125"/>
      <c r="R70" s="52" t="s">
        <v>161</v>
      </c>
      <c r="S70" s="52"/>
      <c r="T70" s="52"/>
      <c r="U70" s="52"/>
      <c r="V70" s="52"/>
      <c r="W70" s="52"/>
      <c r="X70" s="52"/>
      <c r="Y70" s="52"/>
      <c r="Z70" s="52"/>
      <c r="AA70" s="52"/>
      <c r="AB70" s="52"/>
      <c r="AC70" s="52"/>
      <c r="AD70" s="52"/>
      <c r="AE70" s="52"/>
      <c r="AF70" s="52"/>
      <c r="AG70" s="52"/>
      <c r="AH70" s="52"/>
      <c r="AI70" s="52"/>
      <c r="AJ70" s="125"/>
      <c r="AK70" s="98"/>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99"/>
    </row>
    <row r="71" spans="2:61" ht="20.100000000000001" customHeight="1" x14ac:dyDescent="0.45">
      <c r="B71" s="123"/>
      <c r="C71" s="31"/>
      <c r="D71" s="31"/>
      <c r="E71" s="31"/>
      <c r="F71" s="31"/>
      <c r="G71" s="96"/>
      <c r="H71" s="31"/>
      <c r="I71" s="31"/>
      <c r="J71" s="124" t="s">
        <v>151</v>
      </c>
      <c r="K71" s="52"/>
      <c r="L71" s="52"/>
      <c r="M71" s="52"/>
      <c r="N71" s="52"/>
      <c r="O71" s="52"/>
      <c r="P71" s="52"/>
      <c r="Q71" s="125"/>
      <c r="R71" s="52" t="s">
        <v>173</v>
      </c>
      <c r="S71" s="52"/>
      <c r="T71" s="52"/>
      <c r="U71" s="52"/>
      <c r="V71" s="52"/>
      <c r="W71" s="52"/>
      <c r="X71" s="52"/>
      <c r="Y71" s="52"/>
      <c r="Z71" s="52"/>
      <c r="AA71" s="52"/>
      <c r="AB71" s="52"/>
      <c r="AC71" s="52"/>
      <c r="AD71" s="52"/>
      <c r="AE71" s="52"/>
      <c r="AF71" s="52"/>
      <c r="AG71" s="52"/>
      <c r="AH71" s="52"/>
      <c r="AI71" s="52"/>
      <c r="AJ71" s="125"/>
      <c r="AK71" s="98"/>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99"/>
    </row>
    <row r="72" spans="2:61" ht="20.100000000000001" customHeight="1" x14ac:dyDescent="0.45">
      <c r="B72" s="123"/>
      <c r="C72" s="31"/>
      <c r="D72" s="31"/>
      <c r="E72" s="31"/>
      <c r="F72" s="31"/>
      <c r="G72" s="96"/>
      <c r="H72" s="97"/>
      <c r="I72" s="31"/>
      <c r="J72" s="124" t="s">
        <v>152</v>
      </c>
      <c r="K72" s="52"/>
      <c r="L72" s="52"/>
      <c r="M72" s="52"/>
      <c r="N72" s="52"/>
      <c r="O72" s="52"/>
      <c r="P72" s="52"/>
      <c r="Q72" s="125"/>
      <c r="R72" s="52" t="s">
        <v>171</v>
      </c>
      <c r="S72" s="52"/>
      <c r="T72" s="52"/>
      <c r="U72" s="52"/>
      <c r="V72" s="52"/>
      <c r="W72" s="52"/>
      <c r="X72" s="52"/>
      <c r="Y72" s="52"/>
      <c r="Z72" s="52"/>
      <c r="AA72" s="52"/>
      <c r="AB72" s="52"/>
      <c r="AC72" s="52"/>
      <c r="AD72" s="52"/>
      <c r="AE72" s="52"/>
      <c r="AF72" s="52"/>
      <c r="AG72" s="52"/>
      <c r="AH72" s="52"/>
      <c r="AI72" s="52"/>
      <c r="AJ72" s="125"/>
      <c r="AK72" s="98"/>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99"/>
    </row>
    <row r="73" spans="2:61" ht="20.100000000000001" customHeight="1" x14ac:dyDescent="0.45">
      <c r="B73" s="123"/>
      <c r="C73" s="31"/>
      <c r="D73" s="31"/>
      <c r="E73" s="31"/>
      <c r="F73" s="31"/>
      <c r="G73" s="96"/>
      <c r="H73" s="97"/>
      <c r="I73" s="31"/>
      <c r="J73" s="124" t="s">
        <v>153</v>
      </c>
      <c r="K73" s="52"/>
      <c r="L73" s="52"/>
      <c r="M73" s="52"/>
      <c r="N73" s="52"/>
      <c r="O73" s="52"/>
      <c r="P73" s="52"/>
      <c r="Q73" s="125"/>
      <c r="R73" s="52" t="s">
        <v>161</v>
      </c>
      <c r="S73" s="52"/>
      <c r="T73" s="52"/>
      <c r="U73" s="52"/>
      <c r="V73" s="52"/>
      <c r="W73" s="52"/>
      <c r="X73" s="52"/>
      <c r="Y73" s="52"/>
      <c r="Z73" s="52"/>
      <c r="AA73" s="52"/>
      <c r="AB73" s="52"/>
      <c r="AC73" s="52"/>
      <c r="AD73" s="52"/>
      <c r="AE73" s="52"/>
      <c r="AF73" s="52"/>
      <c r="AG73" s="52"/>
      <c r="AH73" s="52"/>
      <c r="AI73" s="52"/>
      <c r="AJ73" s="125"/>
      <c r="AK73" s="98"/>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99"/>
    </row>
    <row r="74" spans="2:61" ht="20.100000000000001" customHeight="1" x14ac:dyDescent="0.45">
      <c r="B74" s="123"/>
      <c r="C74" s="31"/>
      <c r="D74" s="31"/>
      <c r="E74" s="31"/>
      <c r="F74" s="31"/>
      <c r="G74" s="96"/>
      <c r="H74" s="31"/>
      <c r="I74" s="31"/>
      <c r="J74" s="124" t="s">
        <v>154</v>
      </c>
      <c r="K74" s="52"/>
      <c r="L74" s="52"/>
      <c r="M74" s="52"/>
      <c r="N74" s="52"/>
      <c r="O74" s="52"/>
      <c r="P74" s="52"/>
      <c r="Q74" s="125"/>
      <c r="R74" s="52" t="s">
        <v>161</v>
      </c>
      <c r="S74" s="52"/>
      <c r="T74" s="52"/>
      <c r="U74" s="52"/>
      <c r="V74" s="52"/>
      <c r="W74" s="52"/>
      <c r="X74" s="52"/>
      <c r="Y74" s="52"/>
      <c r="Z74" s="52"/>
      <c r="AA74" s="52"/>
      <c r="AB74" s="52"/>
      <c r="AC74" s="52"/>
      <c r="AD74" s="52"/>
      <c r="AE74" s="52"/>
      <c r="AF74" s="52"/>
      <c r="AG74" s="52"/>
      <c r="AH74" s="52"/>
      <c r="AI74" s="52"/>
      <c r="AJ74" s="125"/>
      <c r="AK74" s="98"/>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99"/>
    </row>
    <row r="75" spans="2:61" ht="20.100000000000001" customHeight="1" x14ac:dyDescent="0.45">
      <c r="B75" s="123"/>
      <c r="C75" s="31"/>
      <c r="D75" s="31"/>
      <c r="E75" s="31"/>
      <c r="F75" s="31"/>
      <c r="G75" s="96"/>
      <c r="H75" s="31"/>
      <c r="I75" s="31"/>
      <c r="J75" s="124" t="s">
        <v>155</v>
      </c>
      <c r="K75" s="52"/>
      <c r="L75" s="52"/>
      <c r="M75" s="52"/>
      <c r="N75" s="52"/>
      <c r="O75" s="52"/>
      <c r="P75" s="52"/>
      <c r="Q75" s="125"/>
      <c r="R75" s="52" t="s">
        <v>161</v>
      </c>
      <c r="S75" s="52"/>
      <c r="T75" s="52"/>
      <c r="U75" s="52"/>
      <c r="V75" s="52"/>
      <c r="W75" s="52"/>
      <c r="X75" s="52"/>
      <c r="Y75" s="52"/>
      <c r="Z75" s="52"/>
      <c r="AA75" s="52"/>
      <c r="AB75" s="52"/>
      <c r="AC75" s="52"/>
      <c r="AD75" s="52"/>
      <c r="AE75" s="52"/>
      <c r="AF75" s="52"/>
      <c r="AG75" s="52"/>
      <c r="AH75" s="52"/>
      <c r="AI75" s="52"/>
      <c r="AJ75" s="125"/>
      <c r="AK75" s="98"/>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99"/>
    </row>
    <row r="76" spans="2:61" ht="20.100000000000001" customHeight="1" x14ac:dyDescent="0.45">
      <c r="B76" s="123"/>
      <c r="C76" s="31"/>
      <c r="D76" s="31"/>
      <c r="E76" s="31"/>
      <c r="F76" s="31"/>
      <c r="G76" s="96"/>
      <c r="H76" s="31"/>
      <c r="I76" s="31"/>
      <c r="J76" s="124" t="s">
        <v>156</v>
      </c>
      <c r="K76" s="52"/>
      <c r="L76" s="52"/>
      <c r="M76" s="52"/>
      <c r="N76" s="52"/>
      <c r="O76" s="52"/>
      <c r="P76" s="52"/>
      <c r="Q76" s="125"/>
      <c r="R76" s="52" t="s">
        <v>161</v>
      </c>
      <c r="S76" s="52"/>
      <c r="T76" s="52"/>
      <c r="U76" s="52"/>
      <c r="V76" s="52"/>
      <c r="W76" s="52"/>
      <c r="X76" s="52"/>
      <c r="Y76" s="52"/>
      <c r="Z76" s="52"/>
      <c r="AA76" s="52"/>
      <c r="AB76" s="52"/>
      <c r="AC76" s="52"/>
      <c r="AD76" s="52"/>
      <c r="AE76" s="52"/>
      <c r="AF76" s="52"/>
      <c r="AG76" s="52"/>
      <c r="AH76" s="52"/>
      <c r="AI76" s="52"/>
      <c r="AJ76" s="125"/>
      <c r="AK76" s="98"/>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99"/>
    </row>
    <row r="77" spans="2:61" ht="20.100000000000001" customHeight="1" x14ac:dyDescent="0.45">
      <c r="B77" s="123"/>
      <c r="C77" s="31"/>
      <c r="D77" s="31"/>
      <c r="E77" s="31"/>
      <c r="F77" s="31"/>
      <c r="G77" s="96"/>
      <c r="H77" s="100" t="s">
        <v>162</v>
      </c>
      <c r="I77" s="55"/>
      <c r="J77" s="100" t="s">
        <v>163</v>
      </c>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101"/>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102"/>
    </row>
    <row r="78" spans="2:61" ht="20.100000000000001" customHeight="1" x14ac:dyDescent="0.45">
      <c r="B78" s="95"/>
      <c r="C78" s="31"/>
      <c r="D78" s="31"/>
      <c r="E78" s="31"/>
      <c r="F78" s="31"/>
      <c r="G78" s="96"/>
      <c r="H78" s="100" t="s">
        <v>164</v>
      </c>
      <c r="I78" s="55"/>
      <c r="J78" s="100" t="s">
        <v>165</v>
      </c>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101"/>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102"/>
    </row>
    <row r="79" spans="2:61" ht="20.100000000000001" customHeight="1" x14ac:dyDescent="0.45">
      <c r="B79" s="95"/>
      <c r="C79" s="31"/>
      <c r="D79" s="31"/>
      <c r="E79" s="31"/>
      <c r="F79" s="31"/>
      <c r="G79" s="96"/>
      <c r="H79" s="97"/>
      <c r="I79" s="31"/>
      <c r="J79" s="97"/>
      <c r="K79" s="31" t="s">
        <v>166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98"/>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99"/>
    </row>
    <row r="80" spans="2:61" ht="20.100000000000001" customHeight="1" x14ac:dyDescent="0.45">
      <c r="B80" s="95"/>
      <c r="C80" s="31"/>
      <c r="D80" s="31"/>
      <c r="E80" s="31"/>
      <c r="F80" s="31"/>
      <c r="G80" s="96"/>
      <c r="H80" s="100" t="s">
        <v>167</v>
      </c>
      <c r="I80" s="55"/>
      <c r="J80" s="100" t="s">
        <v>176</v>
      </c>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128"/>
      <c r="AK80" s="101"/>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102"/>
    </row>
    <row r="81" spans="2:61" ht="20.100000000000001" customHeight="1" x14ac:dyDescent="0.45">
      <c r="B81" s="95"/>
      <c r="C81" s="31"/>
      <c r="D81" s="31"/>
      <c r="E81" s="31"/>
      <c r="F81" s="31"/>
      <c r="G81" s="96"/>
      <c r="H81" s="97"/>
      <c r="I81" s="31"/>
      <c r="J81" s="97"/>
      <c r="K81" s="31" t="s">
        <v>174</v>
      </c>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97"/>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99"/>
    </row>
    <row r="82" spans="2:61" ht="20.100000000000001" customHeight="1" x14ac:dyDescent="0.45">
      <c r="B82" s="95"/>
      <c r="C82" s="31"/>
      <c r="D82" s="31"/>
      <c r="E82" s="31"/>
      <c r="F82" s="31"/>
      <c r="G82" s="96"/>
      <c r="H82" s="97"/>
      <c r="I82" s="31"/>
      <c r="J82" s="97"/>
      <c r="K82" s="31" t="s">
        <v>175</v>
      </c>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97"/>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99"/>
    </row>
    <row r="83" spans="2:61" ht="20.100000000000001" customHeight="1" x14ac:dyDescent="0.45">
      <c r="B83" s="95"/>
      <c r="C83" s="31"/>
      <c r="D83" s="31"/>
      <c r="E83" s="31"/>
      <c r="F83" s="31"/>
      <c r="G83" s="96"/>
      <c r="H83" s="97"/>
      <c r="I83" s="31"/>
      <c r="J83" s="97"/>
      <c r="K83" s="31" t="s">
        <v>168</v>
      </c>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97"/>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99"/>
    </row>
    <row r="84" spans="2:61" ht="20.100000000000001" customHeight="1" x14ac:dyDescent="0.45">
      <c r="B84" s="95"/>
      <c r="C84" s="31"/>
      <c r="D84" s="31"/>
      <c r="E84" s="31"/>
      <c r="F84" s="31"/>
      <c r="G84" s="96"/>
      <c r="H84" s="97"/>
      <c r="I84" s="31"/>
      <c r="J84" s="97"/>
      <c r="K84" s="31" t="s">
        <v>183</v>
      </c>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97"/>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99"/>
    </row>
    <row r="85" spans="2:61" ht="20.100000000000001" customHeight="1" thickBot="1" x14ac:dyDescent="0.5">
      <c r="B85" s="95"/>
      <c r="C85" s="31"/>
      <c r="D85" s="31"/>
      <c r="E85" s="31"/>
      <c r="F85" s="31"/>
      <c r="G85" s="96"/>
      <c r="H85" s="129" t="s">
        <v>170</v>
      </c>
      <c r="I85" s="130"/>
      <c r="J85" s="129" t="s">
        <v>177</v>
      </c>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1"/>
      <c r="AL85" s="130"/>
      <c r="AM85" s="130"/>
      <c r="AN85" s="130"/>
      <c r="AO85" s="130"/>
      <c r="AP85" s="130"/>
      <c r="AQ85" s="130"/>
      <c r="AR85" s="130"/>
      <c r="AS85" s="130"/>
      <c r="AT85" s="130"/>
      <c r="AU85" s="130"/>
      <c r="AV85" s="130"/>
      <c r="AW85" s="130"/>
      <c r="AX85" s="130"/>
      <c r="AY85" s="130"/>
      <c r="AZ85" s="130"/>
      <c r="BA85" s="130"/>
      <c r="BB85" s="130"/>
      <c r="BC85" s="130"/>
      <c r="BD85" s="130"/>
      <c r="BE85" s="130"/>
      <c r="BF85" s="130"/>
      <c r="BG85" s="130"/>
      <c r="BH85" s="130"/>
      <c r="BI85" s="132"/>
    </row>
    <row r="86" spans="2:61" ht="20.100000000000001" customHeight="1" x14ac:dyDescent="0.45">
      <c r="B86" s="89" t="s">
        <v>185</v>
      </c>
      <c r="C86" s="90"/>
      <c r="D86" s="90"/>
      <c r="E86" s="90"/>
      <c r="F86" s="90"/>
      <c r="G86" s="91"/>
      <c r="H86" s="92" t="s">
        <v>126</v>
      </c>
      <c r="I86" s="90"/>
      <c r="J86" s="120" t="s">
        <v>127</v>
      </c>
      <c r="K86" s="121"/>
      <c r="L86" s="121"/>
      <c r="M86" s="121"/>
      <c r="N86" s="121"/>
      <c r="O86" s="121"/>
      <c r="P86" s="121"/>
      <c r="Q86" s="122"/>
      <c r="R86" s="121">
        <v>1</v>
      </c>
      <c r="S86" s="121"/>
      <c r="T86" s="121"/>
      <c r="U86" s="121"/>
      <c r="V86" s="121"/>
      <c r="W86" s="121"/>
      <c r="X86" s="121"/>
      <c r="Y86" s="121"/>
      <c r="Z86" s="121"/>
      <c r="AA86" s="121"/>
      <c r="AB86" s="121"/>
      <c r="AC86" s="121"/>
      <c r="AD86" s="121"/>
      <c r="AE86" s="121"/>
      <c r="AF86" s="121"/>
      <c r="AG86" s="121"/>
      <c r="AH86" s="121"/>
      <c r="AI86" s="121"/>
      <c r="AJ86" s="122"/>
      <c r="AK86" s="93" t="s">
        <v>191</v>
      </c>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4"/>
    </row>
    <row r="87" spans="2:61" ht="20.100000000000001" customHeight="1" x14ac:dyDescent="0.45">
      <c r="B87" s="123"/>
      <c r="C87" s="31"/>
      <c r="D87" s="31"/>
      <c r="E87" s="31"/>
      <c r="F87" s="31"/>
      <c r="G87" s="96"/>
      <c r="H87" s="97"/>
      <c r="I87" s="31"/>
      <c r="J87" s="124" t="s">
        <v>128</v>
      </c>
      <c r="K87" s="52"/>
      <c r="L87" s="52"/>
      <c r="M87" s="52"/>
      <c r="N87" s="52"/>
      <c r="O87" s="52"/>
      <c r="P87" s="52"/>
      <c r="Q87" s="125"/>
      <c r="R87" s="52" t="s">
        <v>172</v>
      </c>
      <c r="S87" s="52"/>
      <c r="T87" s="52"/>
      <c r="U87" s="52"/>
      <c r="V87" s="52"/>
      <c r="W87" s="52"/>
      <c r="X87" s="52"/>
      <c r="Y87" s="52"/>
      <c r="Z87" s="52"/>
      <c r="AA87" s="52"/>
      <c r="AB87" s="52"/>
      <c r="AC87" s="52"/>
      <c r="AD87" s="52"/>
      <c r="AE87" s="52"/>
      <c r="AF87" s="52"/>
      <c r="AG87" s="52"/>
      <c r="AH87" s="52"/>
      <c r="AI87" s="52"/>
      <c r="AJ87" s="125"/>
      <c r="AK87" s="98"/>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99"/>
    </row>
    <row r="88" spans="2:61" ht="20.100000000000001" customHeight="1" x14ac:dyDescent="0.45">
      <c r="B88" s="123"/>
      <c r="C88" s="31"/>
      <c r="D88" s="31"/>
      <c r="E88" s="31"/>
      <c r="F88" s="31"/>
      <c r="G88" s="96"/>
      <c r="H88" s="97"/>
      <c r="I88" s="31"/>
      <c r="J88" s="124" t="s">
        <v>129</v>
      </c>
      <c r="K88" s="52"/>
      <c r="L88" s="52"/>
      <c r="M88" s="52"/>
      <c r="N88" s="52"/>
      <c r="O88" s="52"/>
      <c r="P88" s="52"/>
      <c r="Q88" s="125"/>
      <c r="R88" s="52" t="s">
        <v>157</v>
      </c>
      <c r="S88" s="52"/>
      <c r="T88" s="52"/>
      <c r="U88" s="52"/>
      <c r="V88" s="52"/>
      <c r="W88" s="52"/>
      <c r="X88" s="52"/>
      <c r="Y88" s="52"/>
      <c r="Z88" s="52"/>
      <c r="AA88" s="52"/>
      <c r="AB88" s="52"/>
      <c r="AC88" s="52"/>
      <c r="AD88" s="52"/>
      <c r="AE88" s="52"/>
      <c r="AF88" s="52"/>
      <c r="AG88" s="52"/>
      <c r="AH88" s="52"/>
      <c r="AI88" s="52"/>
      <c r="AJ88" s="125"/>
      <c r="AK88" s="98"/>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99"/>
    </row>
    <row r="89" spans="2:61" ht="20.100000000000001" customHeight="1" x14ac:dyDescent="0.45">
      <c r="B89" s="123"/>
      <c r="C89" s="31"/>
      <c r="D89" s="31"/>
      <c r="E89" s="31"/>
      <c r="F89" s="31"/>
      <c r="G89" s="96"/>
      <c r="H89" s="97"/>
      <c r="I89" s="31"/>
      <c r="J89" s="124" t="s">
        <v>130</v>
      </c>
      <c r="K89" s="52"/>
      <c r="L89" s="52"/>
      <c r="M89" s="52"/>
      <c r="N89" s="52"/>
      <c r="O89" s="52"/>
      <c r="P89" s="52"/>
      <c r="Q89" s="125"/>
      <c r="R89" s="52" t="s">
        <v>158</v>
      </c>
      <c r="S89" s="52"/>
      <c r="T89" s="52"/>
      <c r="U89" s="52"/>
      <c r="V89" s="52"/>
      <c r="W89" s="52"/>
      <c r="X89" s="52"/>
      <c r="Y89" s="52"/>
      <c r="Z89" s="52"/>
      <c r="AA89" s="52"/>
      <c r="AB89" s="52"/>
      <c r="AC89" s="52"/>
      <c r="AD89" s="52"/>
      <c r="AE89" s="52"/>
      <c r="AF89" s="52"/>
      <c r="AG89" s="52"/>
      <c r="AH89" s="52"/>
      <c r="AI89" s="52"/>
      <c r="AJ89" s="125"/>
      <c r="AK89" s="98"/>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99"/>
    </row>
    <row r="90" spans="2:61" ht="20.100000000000001" customHeight="1" x14ac:dyDescent="0.45">
      <c r="B90" s="123"/>
      <c r="C90" s="31"/>
      <c r="D90" s="31"/>
      <c r="E90" s="31"/>
      <c r="F90" s="31"/>
      <c r="G90" s="96"/>
      <c r="H90" s="31"/>
      <c r="I90" s="31"/>
      <c r="J90" s="124" t="s">
        <v>131</v>
      </c>
      <c r="K90" s="52"/>
      <c r="L90" s="52"/>
      <c r="M90" s="52"/>
      <c r="N90" s="52"/>
      <c r="O90" s="52"/>
      <c r="P90" s="52"/>
      <c r="Q90" s="125"/>
      <c r="R90" s="52" t="s">
        <v>159</v>
      </c>
      <c r="S90" s="52"/>
      <c r="T90" s="52"/>
      <c r="U90" s="52"/>
      <c r="V90" s="52"/>
      <c r="W90" s="52"/>
      <c r="X90" s="52"/>
      <c r="Y90" s="52"/>
      <c r="Z90" s="52"/>
      <c r="AA90" s="52"/>
      <c r="AB90" s="52"/>
      <c r="AC90" s="52"/>
      <c r="AD90" s="52"/>
      <c r="AE90" s="52"/>
      <c r="AF90" s="52"/>
      <c r="AG90" s="52"/>
      <c r="AH90" s="52"/>
      <c r="AI90" s="52"/>
      <c r="AJ90" s="125"/>
      <c r="AK90" s="98"/>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99"/>
    </row>
    <row r="91" spans="2:61" ht="20.100000000000001" customHeight="1" x14ac:dyDescent="0.45">
      <c r="B91" s="123"/>
      <c r="C91" s="31"/>
      <c r="D91" s="31"/>
      <c r="E91" s="31"/>
      <c r="F91" s="31"/>
      <c r="G91" s="96"/>
      <c r="H91" s="31"/>
      <c r="I91" s="31"/>
      <c r="J91" s="124" t="s">
        <v>132</v>
      </c>
      <c r="K91" s="52"/>
      <c r="L91" s="52"/>
      <c r="M91" s="52"/>
      <c r="N91" s="52"/>
      <c r="O91" s="52"/>
      <c r="P91" s="52"/>
      <c r="Q91" s="125"/>
      <c r="R91" s="52" t="s">
        <v>161</v>
      </c>
      <c r="S91" s="52"/>
      <c r="T91" s="52"/>
      <c r="U91" s="52"/>
      <c r="V91" s="52"/>
      <c r="W91" s="52"/>
      <c r="X91" s="52"/>
      <c r="Y91" s="52"/>
      <c r="Z91" s="52"/>
      <c r="AA91" s="52"/>
      <c r="AB91" s="52"/>
      <c r="AC91" s="52"/>
      <c r="AD91" s="52"/>
      <c r="AE91" s="52"/>
      <c r="AF91" s="52"/>
      <c r="AG91" s="52"/>
      <c r="AH91" s="52"/>
      <c r="AI91" s="52"/>
      <c r="AJ91" s="125"/>
      <c r="AK91" s="98"/>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99"/>
    </row>
    <row r="92" spans="2:61" ht="20.100000000000001" customHeight="1" x14ac:dyDescent="0.45">
      <c r="B92" s="123"/>
      <c r="C92" s="31"/>
      <c r="D92" s="31"/>
      <c r="E92" s="31"/>
      <c r="F92" s="31"/>
      <c r="G92" s="96"/>
      <c r="H92" s="31"/>
      <c r="I92" s="31"/>
      <c r="J92" s="124" t="s">
        <v>133</v>
      </c>
      <c r="K92" s="52"/>
      <c r="L92" s="52"/>
      <c r="M92" s="52"/>
      <c r="N92" s="52"/>
      <c r="O92" s="52"/>
      <c r="P92" s="52"/>
      <c r="Q92" s="125"/>
      <c r="R92" s="52" t="s">
        <v>186</v>
      </c>
      <c r="S92" s="52"/>
      <c r="T92" s="52"/>
      <c r="U92" s="52"/>
      <c r="V92" s="52"/>
      <c r="W92" s="52"/>
      <c r="X92" s="52"/>
      <c r="Y92" s="52"/>
      <c r="Z92" s="52"/>
      <c r="AA92" s="52"/>
      <c r="AB92" s="52"/>
      <c r="AC92" s="52"/>
      <c r="AD92" s="52"/>
      <c r="AE92" s="52"/>
      <c r="AF92" s="52"/>
      <c r="AG92" s="52"/>
      <c r="AH92" s="52"/>
      <c r="AI92" s="52"/>
      <c r="AJ92" s="125"/>
      <c r="AK92" s="98"/>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99"/>
    </row>
    <row r="93" spans="2:61" ht="20.100000000000001" customHeight="1" x14ac:dyDescent="0.45">
      <c r="B93" s="123"/>
      <c r="C93" s="31"/>
      <c r="D93" s="31"/>
      <c r="E93" s="31"/>
      <c r="F93" s="31"/>
      <c r="G93" s="96"/>
      <c r="H93" s="97"/>
      <c r="I93" s="31"/>
      <c r="J93" s="124" t="s">
        <v>134</v>
      </c>
      <c r="K93" s="52"/>
      <c r="L93" s="52"/>
      <c r="M93" s="52"/>
      <c r="N93" s="52"/>
      <c r="O93" s="52"/>
      <c r="P93" s="52"/>
      <c r="Q93" s="125"/>
      <c r="R93" s="52">
        <v>131</v>
      </c>
      <c r="S93" s="52"/>
      <c r="T93" s="52"/>
      <c r="U93" s="52"/>
      <c r="V93" s="52"/>
      <c r="W93" s="52"/>
      <c r="X93" s="52"/>
      <c r="Y93" s="52"/>
      <c r="Z93" s="52"/>
      <c r="AA93" s="52"/>
      <c r="AB93" s="52"/>
      <c r="AC93" s="52"/>
      <c r="AD93" s="52"/>
      <c r="AE93" s="52"/>
      <c r="AF93" s="52"/>
      <c r="AG93" s="52"/>
      <c r="AH93" s="52"/>
      <c r="AI93" s="52"/>
      <c r="AJ93" s="125"/>
      <c r="AK93" s="98"/>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99"/>
    </row>
    <row r="94" spans="2:61" ht="20.100000000000001" customHeight="1" x14ac:dyDescent="0.45">
      <c r="B94" s="123"/>
      <c r="C94" s="31"/>
      <c r="D94" s="31"/>
      <c r="E94" s="31"/>
      <c r="F94" s="31"/>
      <c r="G94" s="96"/>
      <c r="H94" s="97"/>
      <c r="I94" s="31"/>
      <c r="J94" s="124" t="s">
        <v>135</v>
      </c>
      <c r="K94" s="52"/>
      <c r="L94" s="52"/>
      <c r="M94" s="52"/>
      <c r="N94" s="52"/>
      <c r="O94" s="52"/>
      <c r="P94" s="52"/>
      <c r="Q94" s="125"/>
      <c r="R94" s="52" t="s">
        <v>161</v>
      </c>
      <c r="S94" s="52"/>
      <c r="T94" s="52"/>
      <c r="U94" s="52"/>
      <c r="V94" s="52"/>
      <c r="W94" s="52"/>
      <c r="X94" s="52"/>
      <c r="Y94" s="52"/>
      <c r="Z94" s="52"/>
      <c r="AA94" s="52"/>
      <c r="AB94" s="52"/>
      <c r="AC94" s="52"/>
      <c r="AD94" s="52"/>
      <c r="AE94" s="52"/>
      <c r="AF94" s="52"/>
      <c r="AG94" s="52"/>
      <c r="AH94" s="52"/>
      <c r="AI94" s="52"/>
      <c r="AJ94" s="125"/>
      <c r="AK94" s="98"/>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99"/>
    </row>
    <row r="95" spans="2:61" ht="20.100000000000001" customHeight="1" x14ac:dyDescent="0.45">
      <c r="B95" s="123"/>
      <c r="C95" s="31"/>
      <c r="D95" s="31"/>
      <c r="E95" s="31"/>
      <c r="F95" s="31"/>
      <c r="G95" s="96"/>
      <c r="H95" s="31"/>
      <c r="I95" s="31"/>
      <c r="J95" s="124" t="s">
        <v>136</v>
      </c>
      <c r="K95" s="52"/>
      <c r="L95" s="52"/>
      <c r="M95" s="52"/>
      <c r="N95" s="52"/>
      <c r="O95" s="52"/>
      <c r="P95" s="52"/>
      <c r="Q95" s="125"/>
      <c r="R95" s="52">
        <v>0</v>
      </c>
      <c r="S95" s="52"/>
      <c r="T95" s="52"/>
      <c r="U95" s="52"/>
      <c r="V95" s="52"/>
      <c r="W95" s="52"/>
      <c r="X95" s="52"/>
      <c r="Y95" s="52"/>
      <c r="Z95" s="52"/>
      <c r="AA95" s="52"/>
      <c r="AB95" s="52"/>
      <c r="AC95" s="52"/>
      <c r="AD95" s="52"/>
      <c r="AE95" s="52"/>
      <c r="AF95" s="52"/>
      <c r="AG95" s="52"/>
      <c r="AH95" s="52"/>
      <c r="AI95" s="52"/>
      <c r="AJ95" s="125"/>
      <c r="AK95" s="98"/>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99"/>
    </row>
    <row r="96" spans="2:61" ht="20.100000000000001" customHeight="1" x14ac:dyDescent="0.45">
      <c r="B96" s="123"/>
      <c r="C96" s="31"/>
      <c r="D96" s="31"/>
      <c r="E96" s="31"/>
      <c r="F96" s="31"/>
      <c r="G96" s="96"/>
      <c r="H96" s="31"/>
      <c r="I96" s="31"/>
      <c r="J96" s="124" t="s">
        <v>137</v>
      </c>
      <c r="K96" s="52"/>
      <c r="L96" s="52"/>
      <c r="M96" s="52"/>
      <c r="N96" s="52"/>
      <c r="O96" s="52"/>
      <c r="P96" s="52"/>
      <c r="Q96" s="125"/>
      <c r="R96" s="52">
        <v>0</v>
      </c>
      <c r="S96" s="52"/>
      <c r="T96" s="52"/>
      <c r="U96" s="52"/>
      <c r="V96" s="52"/>
      <c r="W96" s="52"/>
      <c r="X96" s="52"/>
      <c r="Y96" s="52"/>
      <c r="Z96" s="52"/>
      <c r="AA96" s="52"/>
      <c r="AB96" s="52"/>
      <c r="AC96" s="52"/>
      <c r="AD96" s="52"/>
      <c r="AE96" s="52"/>
      <c r="AF96" s="52"/>
      <c r="AG96" s="52"/>
      <c r="AH96" s="52"/>
      <c r="AI96" s="52"/>
      <c r="AJ96" s="125"/>
      <c r="AK96" s="98"/>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99"/>
    </row>
    <row r="97" spans="2:61" ht="20.100000000000001" customHeight="1" x14ac:dyDescent="0.45">
      <c r="B97" s="123"/>
      <c r="C97" s="31"/>
      <c r="D97" s="31"/>
      <c r="E97" s="31"/>
      <c r="F97" s="31"/>
      <c r="G97" s="96"/>
      <c r="H97" s="31"/>
      <c r="I97" s="31"/>
      <c r="J97" s="124" t="s">
        <v>138</v>
      </c>
      <c r="K97" s="52"/>
      <c r="L97" s="52"/>
      <c r="M97" s="52"/>
      <c r="N97" s="52"/>
      <c r="O97" s="52"/>
      <c r="P97" s="52"/>
      <c r="Q97" s="125"/>
      <c r="R97" s="52" t="s">
        <v>161</v>
      </c>
      <c r="S97" s="52"/>
      <c r="T97" s="52"/>
      <c r="U97" s="52"/>
      <c r="V97" s="52"/>
      <c r="W97" s="52"/>
      <c r="X97" s="52"/>
      <c r="Y97" s="52"/>
      <c r="Z97" s="52"/>
      <c r="AA97" s="52"/>
      <c r="AB97" s="52"/>
      <c r="AC97" s="52"/>
      <c r="AD97" s="52"/>
      <c r="AE97" s="52"/>
      <c r="AF97" s="52"/>
      <c r="AG97" s="52"/>
      <c r="AH97" s="52"/>
      <c r="AI97" s="52"/>
      <c r="AJ97" s="125"/>
      <c r="AK97" s="98"/>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99"/>
    </row>
    <row r="98" spans="2:61" ht="20.100000000000001" customHeight="1" x14ac:dyDescent="0.45">
      <c r="B98" s="123"/>
      <c r="C98" s="31"/>
      <c r="D98" s="31"/>
      <c r="E98" s="31"/>
      <c r="F98" s="31"/>
      <c r="G98" s="96"/>
      <c r="H98" s="97"/>
      <c r="I98" s="31"/>
      <c r="J98" s="124" t="s">
        <v>139</v>
      </c>
      <c r="K98" s="52"/>
      <c r="L98" s="52"/>
      <c r="M98" s="52"/>
      <c r="N98" s="52"/>
      <c r="O98" s="52"/>
      <c r="P98" s="52"/>
      <c r="Q98" s="125"/>
      <c r="R98" s="52" t="s">
        <v>187</v>
      </c>
      <c r="S98" s="52"/>
      <c r="T98" s="52"/>
      <c r="U98" s="52"/>
      <c r="V98" s="52"/>
      <c r="W98" s="52"/>
      <c r="X98" s="52"/>
      <c r="Y98" s="52"/>
      <c r="Z98" s="52"/>
      <c r="AA98" s="52"/>
      <c r="AB98" s="52"/>
      <c r="AC98" s="52"/>
      <c r="AD98" s="52"/>
      <c r="AE98" s="52"/>
      <c r="AF98" s="52"/>
      <c r="AG98" s="52"/>
      <c r="AH98" s="52"/>
      <c r="AI98" s="52"/>
      <c r="AJ98" s="125"/>
      <c r="AK98" s="98"/>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99"/>
    </row>
    <row r="99" spans="2:61" ht="20.100000000000001" customHeight="1" x14ac:dyDescent="0.45">
      <c r="B99" s="123"/>
      <c r="C99" s="31"/>
      <c r="D99" s="31"/>
      <c r="E99" s="31"/>
      <c r="F99" s="31"/>
      <c r="G99" s="96"/>
      <c r="H99" s="97"/>
      <c r="I99" s="31"/>
      <c r="J99" s="124" t="s">
        <v>140</v>
      </c>
      <c r="K99" s="52"/>
      <c r="L99" s="52"/>
      <c r="M99" s="52"/>
      <c r="N99" s="52"/>
      <c r="O99" s="52"/>
      <c r="P99" s="52"/>
      <c r="Q99" s="125"/>
      <c r="R99" s="52" t="s">
        <v>161</v>
      </c>
      <c r="S99" s="52"/>
      <c r="T99" s="52"/>
      <c r="U99" s="52"/>
      <c r="V99" s="52"/>
      <c r="W99" s="52"/>
      <c r="X99" s="52"/>
      <c r="Y99" s="52"/>
      <c r="Z99" s="52"/>
      <c r="AA99" s="52"/>
      <c r="AB99" s="52"/>
      <c r="AC99" s="52"/>
      <c r="AD99" s="52"/>
      <c r="AE99" s="52"/>
      <c r="AF99" s="52"/>
      <c r="AG99" s="52"/>
      <c r="AH99" s="52"/>
      <c r="AI99" s="52"/>
      <c r="AJ99" s="125"/>
      <c r="AK99" s="98"/>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99"/>
    </row>
    <row r="100" spans="2:61" ht="20.100000000000001" customHeight="1" x14ac:dyDescent="0.45">
      <c r="B100" s="123"/>
      <c r="C100" s="31"/>
      <c r="D100" s="31"/>
      <c r="E100" s="31"/>
      <c r="F100" s="31"/>
      <c r="G100" s="96"/>
      <c r="H100" s="31"/>
      <c r="I100" s="31"/>
      <c r="J100" s="124" t="s">
        <v>141</v>
      </c>
      <c r="K100" s="52"/>
      <c r="L100" s="52"/>
      <c r="M100" s="52"/>
      <c r="N100" s="52"/>
      <c r="O100" s="52"/>
      <c r="P100" s="52"/>
      <c r="Q100" s="125"/>
      <c r="R100" s="52" t="s">
        <v>161</v>
      </c>
      <c r="S100" s="52"/>
      <c r="T100" s="52"/>
      <c r="U100" s="52"/>
      <c r="V100" s="52"/>
      <c r="W100" s="52"/>
      <c r="X100" s="52"/>
      <c r="Y100" s="52"/>
      <c r="Z100" s="52"/>
      <c r="AA100" s="52"/>
      <c r="AB100" s="52"/>
      <c r="AC100" s="52"/>
      <c r="AD100" s="52"/>
      <c r="AE100" s="52"/>
      <c r="AF100" s="52"/>
      <c r="AG100" s="52"/>
      <c r="AH100" s="52"/>
      <c r="AI100" s="52"/>
      <c r="AJ100" s="125"/>
      <c r="AK100" s="98"/>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99"/>
    </row>
    <row r="101" spans="2:61" ht="20.100000000000001" customHeight="1" x14ac:dyDescent="0.45">
      <c r="B101" s="123"/>
      <c r="C101" s="31"/>
      <c r="D101" s="31"/>
      <c r="E101" s="31"/>
      <c r="F101" s="31"/>
      <c r="G101" s="96"/>
      <c r="H101" s="31"/>
      <c r="I101" s="31"/>
      <c r="J101" s="124" t="s">
        <v>142</v>
      </c>
      <c r="K101" s="52"/>
      <c r="L101" s="52"/>
      <c r="M101" s="52"/>
      <c r="N101" s="52"/>
      <c r="O101" s="52"/>
      <c r="P101" s="52"/>
      <c r="Q101" s="125"/>
      <c r="R101" s="52" t="s">
        <v>161</v>
      </c>
      <c r="S101" s="52"/>
      <c r="T101" s="52"/>
      <c r="U101" s="52"/>
      <c r="V101" s="52"/>
      <c r="W101" s="52"/>
      <c r="X101" s="52"/>
      <c r="Y101" s="52"/>
      <c r="Z101" s="52"/>
      <c r="AA101" s="52"/>
      <c r="AB101" s="52"/>
      <c r="AC101" s="52"/>
      <c r="AD101" s="52"/>
      <c r="AE101" s="52"/>
      <c r="AF101" s="52"/>
      <c r="AG101" s="52"/>
      <c r="AH101" s="52"/>
      <c r="AI101" s="52"/>
      <c r="AJ101" s="125"/>
      <c r="AK101" s="98"/>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99"/>
    </row>
    <row r="102" spans="2:61" ht="20.100000000000001" customHeight="1" x14ac:dyDescent="0.45">
      <c r="B102" s="123"/>
      <c r="C102" s="31"/>
      <c r="D102" s="31"/>
      <c r="E102" s="31"/>
      <c r="F102" s="31"/>
      <c r="G102" s="96"/>
      <c r="H102" s="97"/>
      <c r="I102" s="31"/>
      <c r="J102" s="124" t="s">
        <v>143</v>
      </c>
      <c r="K102" s="52"/>
      <c r="L102" s="52"/>
      <c r="M102" s="52"/>
      <c r="N102" s="52"/>
      <c r="O102" s="52"/>
      <c r="P102" s="52"/>
      <c r="Q102" s="125"/>
      <c r="R102" s="52">
        <v>215</v>
      </c>
      <c r="S102" s="52"/>
      <c r="T102" s="52"/>
      <c r="U102" s="52"/>
      <c r="V102" s="52"/>
      <c r="W102" s="52"/>
      <c r="X102" s="52"/>
      <c r="Y102" s="52"/>
      <c r="Z102" s="52"/>
      <c r="AA102" s="52"/>
      <c r="AB102" s="52"/>
      <c r="AC102" s="52"/>
      <c r="AD102" s="52"/>
      <c r="AE102" s="52"/>
      <c r="AF102" s="52"/>
      <c r="AG102" s="52"/>
      <c r="AH102" s="52"/>
      <c r="AI102" s="52"/>
      <c r="AJ102" s="125"/>
      <c r="AK102" s="98"/>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99"/>
    </row>
    <row r="103" spans="2:61" ht="20.100000000000001" customHeight="1" x14ac:dyDescent="0.45">
      <c r="B103" s="123"/>
      <c r="C103" s="31"/>
      <c r="D103" s="31"/>
      <c r="E103" s="31"/>
      <c r="F103" s="31"/>
      <c r="G103" s="96"/>
      <c r="H103" s="97"/>
      <c r="I103" s="31"/>
      <c r="J103" s="124" t="s">
        <v>106</v>
      </c>
      <c r="K103" s="52"/>
      <c r="L103" s="52"/>
      <c r="M103" s="52"/>
      <c r="N103" s="52"/>
      <c r="O103" s="52"/>
      <c r="P103" s="52"/>
      <c r="Q103" s="125"/>
      <c r="R103" s="52" t="s">
        <v>161</v>
      </c>
      <c r="S103" s="52"/>
      <c r="T103" s="52"/>
      <c r="U103" s="52"/>
      <c r="V103" s="52"/>
      <c r="W103" s="52"/>
      <c r="X103" s="52"/>
      <c r="Y103" s="52"/>
      <c r="Z103" s="52"/>
      <c r="AA103" s="52"/>
      <c r="AB103" s="52"/>
      <c r="AC103" s="52"/>
      <c r="AD103" s="52"/>
      <c r="AE103" s="52"/>
      <c r="AF103" s="52"/>
      <c r="AG103" s="52"/>
      <c r="AH103" s="52"/>
      <c r="AI103" s="52"/>
      <c r="AJ103" s="125"/>
      <c r="AK103" s="98"/>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99"/>
    </row>
    <row r="104" spans="2:61" ht="20.100000000000001" customHeight="1" x14ac:dyDescent="0.45">
      <c r="B104" s="123"/>
      <c r="C104" s="31"/>
      <c r="D104" s="31"/>
      <c r="E104" s="31"/>
      <c r="F104" s="31"/>
      <c r="G104" s="96"/>
      <c r="H104" s="31"/>
      <c r="I104" s="31"/>
      <c r="J104" s="124" t="s">
        <v>144</v>
      </c>
      <c r="K104" s="52"/>
      <c r="L104" s="52"/>
      <c r="M104" s="52"/>
      <c r="N104" s="52"/>
      <c r="O104" s="52"/>
      <c r="P104" s="52"/>
      <c r="Q104" s="125"/>
      <c r="R104" s="52">
        <v>1</v>
      </c>
      <c r="S104" s="52"/>
      <c r="T104" s="52"/>
      <c r="U104" s="52"/>
      <c r="V104" s="52"/>
      <c r="W104" s="52"/>
      <c r="X104" s="52"/>
      <c r="Y104" s="52"/>
      <c r="Z104" s="52"/>
      <c r="AA104" s="52"/>
      <c r="AB104" s="52"/>
      <c r="AC104" s="52"/>
      <c r="AD104" s="52"/>
      <c r="AE104" s="52"/>
      <c r="AF104" s="52"/>
      <c r="AG104" s="52"/>
      <c r="AH104" s="52"/>
      <c r="AI104" s="52"/>
      <c r="AJ104" s="125"/>
      <c r="AK104" s="98"/>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99"/>
    </row>
    <row r="105" spans="2:61" ht="20.100000000000001" customHeight="1" x14ac:dyDescent="0.45">
      <c r="B105" s="123"/>
      <c r="C105" s="31"/>
      <c r="D105" s="31"/>
      <c r="E105" s="31"/>
      <c r="F105" s="31"/>
      <c r="G105" s="96"/>
      <c r="H105" s="31"/>
      <c r="I105" s="31"/>
      <c r="J105" s="124" t="s">
        <v>145</v>
      </c>
      <c r="K105" s="52"/>
      <c r="L105" s="52"/>
      <c r="M105" s="52"/>
      <c r="N105" s="52"/>
      <c r="O105" s="52"/>
      <c r="P105" s="52"/>
      <c r="Q105" s="125"/>
      <c r="R105" s="133" t="s">
        <v>180</v>
      </c>
      <c r="S105" s="52"/>
      <c r="T105" s="52"/>
      <c r="U105" s="52"/>
      <c r="V105" s="52"/>
      <c r="W105" s="52"/>
      <c r="X105" s="52"/>
      <c r="Y105" s="52"/>
      <c r="Z105" s="52"/>
      <c r="AA105" s="52"/>
      <c r="AB105" s="52"/>
      <c r="AC105" s="52"/>
      <c r="AD105" s="52"/>
      <c r="AE105" s="52"/>
      <c r="AF105" s="52"/>
      <c r="AG105" s="52"/>
      <c r="AH105" s="52"/>
      <c r="AI105" s="52"/>
      <c r="AJ105" s="125"/>
      <c r="AK105" s="98"/>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99"/>
    </row>
    <row r="106" spans="2:61" ht="20.100000000000001" customHeight="1" x14ac:dyDescent="0.45">
      <c r="B106" s="123"/>
      <c r="C106" s="31"/>
      <c r="D106" s="31"/>
      <c r="E106" s="31"/>
      <c r="F106" s="31"/>
      <c r="G106" s="96"/>
      <c r="H106" s="31"/>
      <c r="I106" s="31"/>
      <c r="J106" s="124" t="s">
        <v>146</v>
      </c>
      <c r="K106" s="52"/>
      <c r="L106" s="52"/>
      <c r="M106" s="52"/>
      <c r="N106" s="52"/>
      <c r="O106" s="52"/>
      <c r="P106" s="52"/>
      <c r="Q106" s="125"/>
      <c r="R106" s="52" t="s">
        <v>160</v>
      </c>
      <c r="S106" s="52"/>
      <c r="T106" s="52"/>
      <c r="U106" s="52"/>
      <c r="V106" s="52"/>
      <c r="W106" s="52"/>
      <c r="X106" s="52"/>
      <c r="Y106" s="52"/>
      <c r="Z106" s="52"/>
      <c r="AA106" s="52"/>
      <c r="AB106" s="52"/>
      <c r="AC106" s="52"/>
      <c r="AD106" s="52"/>
      <c r="AE106" s="52"/>
      <c r="AF106" s="52"/>
      <c r="AG106" s="52"/>
      <c r="AH106" s="52"/>
      <c r="AI106" s="52"/>
      <c r="AJ106" s="125"/>
      <c r="AK106" s="98"/>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99"/>
    </row>
    <row r="107" spans="2:61" ht="20.100000000000001" customHeight="1" x14ac:dyDescent="0.45">
      <c r="B107" s="123"/>
      <c r="C107" s="31"/>
      <c r="D107" s="31"/>
      <c r="E107" s="31"/>
      <c r="F107" s="31"/>
      <c r="G107" s="96"/>
      <c r="H107" s="97"/>
      <c r="I107" s="31"/>
      <c r="J107" s="124" t="s">
        <v>147</v>
      </c>
      <c r="K107" s="52"/>
      <c r="L107" s="52"/>
      <c r="M107" s="52"/>
      <c r="N107" s="52"/>
      <c r="O107" s="52"/>
      <c r="P107" s="52"/>
      <c r="Q107" s="125"/>
      <c r="R107" s="52" t="s">
        <v>181</v>
      </c>
      <c r="S107" s="52"/>
      <c r="T107" s="52"/>
      <c r="U107" s="52"/>
      <c r="V107" s="52"/>
      <c r="W107" s="52"/>
      <c r="X107" s="52"/>
      <c r="Y107" s="52"/>
      <c r="Z107" s="52"/>
      <c r="AA107" s="52"/>
      <c r="AB107" s="52"/>
      <c r="AC107" s="52"/>
      <c r="AD107" s="52"/>
      <c r="AE107" s="52"/>
      <c r="AF107" s="52"/>
      <c r="AG107" s="52"/>
      <c r="AH107" s="52"/>
      <c r="AI107" s="52"/>
      <c r="AJ107" s="125"/>
      <c r="AK107" s="98"/>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99"/>
    </row>
    <row r="108" spans="2:61" ht="20.100000000000001" customHeight="1" x14ac:dyDescent="0.45">
      <c r="B108" s="123"/>
      <c r="C108" s="31"/>
      <c r="D108" s="31"/>
      <c r="E108" s="31"/>
      <c r="F108" s="31"/>
      <c r="G108" s="96"/>
      <c r="H108" s="97"/>
      <c r="I108" s="31"/>
      <c r="J108" s="124" t="s">
        <v>148</v>
      </c>
      <c r="K108" s="52"/>
      <c r="L108" s="52"/>
      <c r="M108" s="52"/>
      <c r="N108" s="52"/>
      <c r="O108" s="52"/>
      <c r="P108" s="52"/>
      <c r="Q108" s="125"/>
      <c r="R108" s="52" t="s">
        <v>160</v>
      </c>
      <c r="S108" s="52"/>
      <c r="T108" s="52"/>
      <c r="U108" s="52"/>
      <c r="V108" s="52"/>
      <c r="W108" s="52"/>
      <c r="X108" s="52"/>
      <c r="Y108" s="52"/>
      <c r="Z108" s="52"/>
      <c r="AA108" s="52"/>
      <c r="AB108" s="52"/>
      <c r="AC108" s="52"/>
      <c r="AD108" s="52"/>
      <c r="AE108" s="52"/>
      <c r="AF108" s="52"/>
      <c r="AG108" s="52"/>
      <c r="AH108" s="52"/>
      <c r="AI108" s="52"/>
      <c r="AJ108" s="125"/>
      <c r="AK108" s="98"/>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99"/>
    </row>
    <row r="109" spans="2:61" ht="20.100000000000001" customHeight="1" x14ac:dyDescent="0.45">
      <c r="B109" s="123"/>
      <c r="C109" s="31"/>
      <c r="D109" s="31"/>
      <c r="E109" s="31"/>
      <c r="F109" s="31"/>
      <c r="G109" s="96"/>
      <c r="H109" s="31"/>
      <c r="I109" s="31"/>
      <c r="J109" s="124" t="s">
        <v>149</v>
      </c>
      <c r="K109" s="52"/>
      <c r="L109" s="52"/>
      <c r="M109" s="52"/>
      <c r="N109" s="52"/>
      <c r="O109" s="52"/>
      <c r="P109" s="52"/>
      <c r="Q109" s="125"/>
      <c r="R109" s="52" t="s">
        <v>160</v>
      </c>
      <c r="S109" s="52"/>
      <c r="T109" s="52"/>
      <c r="U109" s="52"/>
      <c r="V109" s="52"/>
      <c r="W109" s="52"/>
      <c r="X109" s="52"/>
      <c r="Y109" s="52"/>
      <c r="Z109" s="52"/>
      <c r="AA109" s="52"/>
      <c r="AB109" s="52"/>
      <c r="AC109" s="52"/>
      <c r="AD109" s="52"/>
      <c r="AE109" s="52"/>
      <c r="AF109" s="52"/>
      <c r="AG109" s="52"/>
      <c r="AH109" s="52"/>
      <c r="AI109" s="52"/>
      <c r="AJ109" s="125"/>
      <c r="AK109" s="98"/>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99"/>
    </row>
    <row r="110" spans="2:61" ht="20.100000000000001" customHeight="1" x14ac:dyDescent="0.45">
      <c r="B110" s="123"/>
      <c r="C110" s="31"/>
      <c r="D110" s="31"/>
      <c r="E110" s="31"/>
      <c r="F110" s="31"/>
      <c r="G110" s="96"/>
      <c r="H110" s="31"/>
      <c r="I110" s="31"/>
      <c r="J110" s="124" t="s">
        <v>150</v>
      </c>
      <c r="K110" s="52"/>
      <c r="L110" s="52"/>
      <c r="M110" s="52"/>
      <c r="N110" s="52"/>
      <c r="O110" s="52"/>
      <c r="P110" s="52"/>
      <c r="Q110" s="125"/>
      <c r="R110" s="52" t="s">
        <v>161</v>
      </c>
      <c r="S110" s="52"/>
      <c r="T110" s="52"/>
      <c r="U110" s="52"/>
      <c r="V110" s="52"/>
      <c r="W110" s="52"/>
      <c r="X110" s="52"/>
      <c r="Y110" s="52"/>
      <c r="Z110" s="52"/>
      <c r="AA110" s="52"/>
      <c r="AB110" s="52"/>
      <c r="AC110" s="52"/>
      <c r="AD110" s="52"/>
      <c r="AE110" s="52"/>
      <c r="AF110" s="52"/>
      <c r="AG110" s="52"/>
      <c r="AH110" s="52"/>
      <c r="AI110" s="52"/>
      <c r="AJ110" s="125"/>
      <c r="AK110" s="98"/>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99"/>
    </row>
    <row r="111" spans="2:61" ht="20.100000000000001" customHeight="1" x14ac:dyDescent="0.45">
      <c r="B111" s="123"/>
      <c r="C111" s="31"/>
      <c r="D111" s="31"/>
      <c r="E111" s="31"/>
      <c r="F111" s="31"/>
      <c r="G111" s="96"/>
      <c r="H111" s="31"/>
      <c r="I111" s="31"/>
      <c r="J111" s="124" t="s">
        <v>151</v>
      </c>
      <c r="K111" s="52"/>
      <c r="L111" s="52"/>
      <c r="M111" s="52"/>
      <c r="N111" s="52"/>
      <c r="O111" s="52"/>
      <c r="P111" s="52"/>
      <c r="Q111" s="125"/>
      <c r="R111" s="52" t="s">
        <v>188</v>
      </c>
      <c r="S111" s="52"/>
      <c r="T111" s="52"/>
      <c r="U111" s="52"/>
      <c r="V111" s="52"/>
      <c r="W111" s="52"/>
      <c r="X111" s="52"/>
      <c r="Y111" s="52"/>
      <c r="Z111" s="52"/>
      <c r="AA111" s="52"/>
      <c r="AB111" s="52"/>
      <c r="AC111" s="52"/>
      <c r="AD111" s="52"/>
      <c r="AE111" s="52"/>
      <c r="AF111" s="52"/>
      <c r="AG111" s="52"/>
      <c r="AH111" s="52"/>
      <c r="AI111" s="52"/>
      <c r="AJ111" s="125"/>
      <c r="AK111" s="98"/>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99"/>
    </row>
    <row r="112" spans="2:61" ht="20.100000000000001" customHeight="1" x14ac:dyDescent="0.45">
      <c r="B112" s="123"/>
      <c r="C112" s="31"/>
      <c r="D112" s="31"/>
      <c r="E112" s="31"/>
      <c r="F112" s="31"/>
      <c r="G112" s="96"/>
      <c r="H112" s="97"/>
      <c r="I112" s="31"/>
      <c r="J112" s="124" t="s">
        <v>152</v>
      </c>
      <c r="K112" s="52"/>
      <c r="L112" s="52"/>
      <c r="M112" s="52"/>
      <c r="N112" s="52"/>
      <c r="O112" s="52"/>
      <c r="P112" s="52"/>
      <c r="Q112" s="125"/>
      <c r="R112" s="52" t="s">
        <v>171</v>
      </c>
      <c r="S112" s="52"/>
      <c r="T112" s="52"/>
      <c r="U112" s="52"/>
      <c r="V112" s="52"/>
      <c r="W112" s="52"/>
      <c r="X112" s="52"/>
      <c r="Y112" s="52"/>
      <c r="Z112" s="52"/>
      <c r="AA112" s="52"/>
      <c r="AB112" s="52"/>
      <c r="AC112" s="52"/>
      <c r="AD112" s="52"/>
      <c r="AE112" s="52"/>
      <c r="AF112" s="52"/>
      <c r="AG112" s="52"/>
      <c r="AH112" s="52"/>
      <c r="AI112" s="52"/>
      <c r="AJ112" s="125"/>
      <c r="AK112" s="98"/>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99"/>
    </row>
    <row r="113" spans="2:61" ht="20.100000000000001" customHeight="1" x14ac:dyDescent="0.45">
      <c r="B113" s="123"/>
      <c r="C113" s="31"/>
      <c r="D113" s="31"/>
      <c r="E113" s="31"/>
      <c r="F113" s="31"/>
      <c r="G113" s="96"/>
      <c r="H113" s="97"/>
      <c r="I113" s="31"/>
      <c r="J113" s="124" t="s">
        <v>153</v>
      </c>
      <c r="K113" s="52"/>
      <c r="L113" s="52"/>
      <c r="M113" s="52"/>
      <c r="N113" s="52"/>
      <c r="O113" s="52"/>
      <c r="P113" s="52"/>
      <c r="Q113" s="125"/>
      <c r="R113" s="52" t="s">
        <v>161</v>
      </c>
      <c r="S113" s="52"/>
      <c r="T113" s="52"/>
      <c r="U113" s="52"/>
      <c r="V113" s="52"/>
      <c r="W113" s="52"/>
      <c r="X113" s="52"/>
      <c r="Y113" s="52"/>
      <c r="Z113" s="52"/>
      <c r="AA113" s="52"/>
      <c r="AB113" s="52"/>
      <c r="AC113" s="52"/>
      <c r="AD113" s="52"/>
      <c r="AE113" s="52"/>
      <c r="AF113" s="52"/>
      <c r="AG113" s="52"/>
      <c r="AH113" s="52"/>
      <c r="AI113" s="52"/>
      <c r="AJ113" s="125"/>
      <c r="AK113" s="98"/>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99"/>
    </row>
    <row r="114" spans="2:61" ht="20.100000000000001" customHeight="1" x14ac:dyDescent="0.45">
      <c r="B114" s="123"/>
      <c r="C114" s="31"/>
      <c r="D114" s="31"/>
      <c r="E114" s="31"/>
      <c r="F114" s="31"/>
      <c r="G114" s="96"/>
      <c r="H114" s="31"/>
      <c r="I114" s="31"/>
      <c r="J114" s="124" t="s">
        <v>154</v>
      </c>
      <c r="K114" s="52"/>
      <c r="L114" s="52"/>
      <c r="M114" s="52"/>
      <c r="N114" s="52"/>
      <c r="O114" s="52"/>
      <c r="P114" s="52"/>
      <c r="Q114" s="125"/>
      <c r="R114" s="52" t="s">
        <v>161</v>
      </c>
      <c r="S114" s="52"/>
      <c r="T114" s="52"/>
      <c r="U114" s="52"/>
      <c r="V114" s="52"/>
      <c r="W114" s="52"/>
      <c r="X114" s="52"/>
      <c r="Y114" s="52"/>
      <c r="Z114" s="52"/>
      <c r="AA114" s="52"/>
      <c r="AB114" s="52"/>
      <c r="AC114" s="52"/>
      <c r="AD114" s="52"/>
      <c r="AE114" s="52"/>
      <c r="AF114" s="52"/>
      <c r="AG114" s="52"/>
      <c r="AH114" s="52"/>
      <c r="AI114" s="52"/>
      <c r="AJ114" s="125"/>
      <c r="AK114" s="98"/>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99"/>
    </row>
    <row r="115" spans="2:61" ht="20.100000000000001" customHeight="1" x14ac:dyDescent="0.45">
      <c r="B115" s="123"/>
      <c r="C115" s="31"/>
      <c r="D115" s="31"/>
      <c r="E115" s="31"/>
      <c r="F115" s="31"/>
      <c r="G115" s="96"/>
      <c r="H115" s="31"/>
      <c r="I115" s="31"/>
      <c r="J115" s="124" t="s">
        <v>155</v>
      </c>
      <c r="K115" s="52"/>
      <c r="L115" s="52"/>
      <c r="M115" s="52"/>
      <c r="N115" s="52"/>
      <c r="O115" s="52"/>
      <c r="P115" s="52"/>
      <c r="Q115" s="125"/>
      <c r="R115" s="52" t="s">
        <v>161</v>
      </c>
      <c r="S115" s="52"/>
      <c r="T115" s="52"/>
      <c r="U115" s="52"/>
      <c r="V115" s="52"/>
      <c r="W115" s="52"/>
      <c r="X115" s="52"/>
      <c r="Y115" s="52"/>
      <c r="Z115" s="52"/>
      <c r="AA115" s="52"/>
      <c r="AB115" s="52"/>
      <c r="AC115" s="52"/>
      <c r="AD115" s="52"/>
      <c r="AE115" s="52"/>
      <c r="AF115" s="52"/>
      <c r="AG115" s="52"/>
      <c r="AH115" s="52"/>
      <c r="AI115" s="52"/>
      <c r="AJ115" s="125"/>
      <c r="AK115" s="98"/>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99"/>
    </row>
    <row r="116" spans="2:61" ht="20.100000000000001" customHeight="1" x14ac:dyDescent="0.45">
      <c r="B116" s="123"/>
      <c r="C116" s="31"/>
      <c r="D116" s="31"/>
      <c r="E116" s="31"/>
      <c r="F116" s="31"/>
      <c r="G116" s="96"/>
      <c r="H116" s="31"/>
      <c r="I116" s="31"/>
      <c r="J116" s="124" t="s">
        <v>156</v>
      </c>
      <c r="K116" s="52"/>
      <c r="L116" s="52"/>
      <c r="M116" s="52"/>
      <c r="N116" s="52"/>
      <c r="O116" s="52"/>
      <c r="P116" s="52"/>
      <c r="Q116" s="125"/>
      <c r="R116" s="52" t="s">
        <v>161</v>
      </c>
      <c r="S116" s="52"/>
      <c r="T116" s="52"/>
      <c r="U116" s="52"/>
      <c r="V116" s="52"/>
      <c r="W116" s="52"/>
      <c r="X116" s="52"/>
      <c r="Y116" s="52"/>
      <c r="Z116" s="52"/>
      <c r="AA116" s="52"/>
      <c r="AB116" s="52"/>
      <c r="AC116" s="52"/>
      <c r="AD116" s="52"/>
      <c r="AE116" s="52"/>
      <c r="AF116" s="52"/>
      <c r="AG116" s="52"/>
      <c r="AH116" s="52"/>
      <c r="AI116" s="52"/>
      <c r="AJ116" s="125"/>
      <c r="AK116" s="98"/>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99"/>
    </row>
    <row r="117" spans="2:61" ht="20.100000000000001" customHeight="1" x14ac:dyDescent="0.45">
      <c r="B117" s="123"/>
      <c r="C117" s="31"/>
      <c r="D117" s="31"/>
      <c r="E117" s="31"/>
      <c r="F117" s="31"/>
      <c r="G117" s="96"/>
      <c r="H117" s="100" t="s">
        <v>162</v>
      </c>
      <c r="I117" s="55"/>
      <c r="J117" s="100" t="s">
        <v>163</v>
      </c>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101"/>
      <c r="AL117" s="55"/>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102"/>
    </row>
    <row r="118" spans="2:61" ht="20.100000000000001" customHeight="1" x14ac:dyDescent="0.45">
      <c r="B118" s="95"/>
      <c r="C118" s="31"/>
      <c r="D118" s="31"/>
      <c r="E118" s="31"/>
      <c r="F118" s="31"/>
      <c r="G118" s="96"/>
      <c r="H118" s="100" t="s">
        <v>164</v>
      </c>
      <c r="I118" s="55"/>
      <c r="J118" s="100" t="s">
        <v>165</v>
      </c>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101"/>
      <c r="AL118" s="55"/>
      <c r="AM118" s="55"/>
      <c r="AN118" s="55"/>
      <c r="AO118" s="55"/>
      <c r="AP118" s="55"/>
      <c r="AQ118" s="55"/>
      <c r="AR118" s="55"/>
      <c r="AS118" s="55"/>
      <c r="AT118" s="55"/>
      <c r="AU118" s="55"/>
      <c r="AV118" s="55"/>
      <c r="AW118" s="55"/>
      <c r="AX118" s="55"/>
      <c r="AY118" s="55"/>
      <c r="AZ118" s="55"/>
      <c r="BA118" s="55"/>
      <c r="BB118" s="55"/>
      <c r="BC118" s="55"/>
      <c r="BD118" s="55"/>
      <c r="BE118" s="55"/>
      <c r="BF118" s="55"/>
      <c r="BG118" s="55"/>
      <c r="BH118" s="55"/>
      <c r="BI118" s="102"/>
    </row>
    <row r="119" spans="2:61" ht="20.100000000000001" customHeight="1" x14ac:dyDescent="0.45">
      <c r="B119" s="95"/>
      <c r="C119" s="31"/>
      <c r="D119" s="31"/>
      <c r="E119" s="31"/>
      <c r="F119" s="31"/>
      <c r="G119" s="96"/>
      <c r="H119" s="97"/>
      <c r="I119" s="31"/>
      <c r="J119" s="97"/>
      <c r="K119" s="31" t="s">
        <v>166</v>
      </c>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98"/>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99"/>
    </row>
    <row r="120" spans="2:61" ht="20.100000000000001" customHeight="1" x14ac:dyDescent="0.45">
      <c r="B120" s="95"/>
      <c r="C120" s="31"/>
      <c r="D120" s="31"/>
      <c r="E120" s="31"/>
      <c r="F120" s="31"/>
      <c r="G120" s="96"/>
      <c r="H120" s="100" t="s">
        <v>167</v>
      </c>
      <c r="I120" s="55"/>
      <c r="J120" s="100" t="s">
        <v>176</v>
      </c>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128"/>
      <c r="AK120" s="101"/>
      <c r="AL120" s="55"/>
      <c r="AM120" s="55"/>
      <c r="AN120" s="55"/>
      <c r="AO120" s="55"/>
      <c r="AP120" s="55"/>
      <c r="AQ120" s="55"/>
      <c r="AR120" s="55"/>
      <c r="AS120" s="55"/>
      <c r="AT120" s="55"/>
      <c r="AU120" s="55"/>
      <c r="AV120" s="55"/>
      <c r="AW120" s="55"/>
      <c r="AX120" s="55"/>
      <c r="AY120" s="55"/>
      <c r="AZ120" s="55"/>
      <c r="BA120" s="55"/>
      <c r="BB120" s="55"/>
      <c r="BC120" s="55"/>
      <c r="BD120" s="55"/>
      <c r="BE120" s="55"/>
      <c r="BF120" s="55"/>
      <c r="BG120" s="55"/>
      <c r="BH120" s="55"/>
      <c r="BI120" s="102"/>
    </row>
    <row r="121" spans="2:61" ht="20.100000000000001" customHeight="1" x14ac:dyDescent="0.45">
      <c r="B121" s="95"/>
      <c r="C121" s="31"/>
      <c r="D121" s="31"/>
      <c r="E121" s="31"/>
      <c r="F121" s="31"/>
      <c r="G121" s="96"/>
      <c r="H121" s="97"/>
      <c r="I121" s="31"/>
      <c r="J121" s="97"/>
      <c r="K121" s="31" t="s">
        <v>174</v>
      </c>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97"/>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99"/>
    </row>
    <row r="122" spans="2:61" ht="20.100000000000001" customHeight="1" x14ac:dyDescent="0.45">
      <c r="B122" s="95"/>
      <c r="C122" s="31"/>
      <c r="D122" s="31"/>
      <c r="E122" s="31"/>
      <c r="F122" s="31"/>
      <c r="G122" s="96"/>
      <c r="H122" s="97"/>
      <c r="I122" s="31"/>
      <c r="J122" s="97"/>
      <c r="K122" s="31" t="s">
        <v>175</v>
      </c>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97"/>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99"/>
    </row>
    <row r="123" spans="2:61" ht="20.100000000000001" customHeight="1" x14ac:dyDescent="0.45">
      <c r="B123" s="95"/>
      <c r="C123" s="31"/>
      <c r="D123" s="31"/>
      <c r="E123" s="31"/>
      <c r="F123" s="31"/>
      <c r="G123" s="96"/>
      <c r="H123" s="97"/>
      <c r="I123" s="31"/>
      <c r="J123" s="97"/>
      <c r="K123" s="31" t="s">
        <v>189</v>
      </c>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97"/>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99"/>
    </row>
    <row r="124" spans="2:61" ht="20.100000000000001" customHeight="1" x14ac:dyDescent="0.45">
      <c r="B124" s="95"/>
      <c r="C124" s="31"/>
      <c r="D124" s="31"/>
      <c r="E124" s="31"/>
      <c r="F124" s="31"/>
      <c r="G124" s="96"/>
      <c r="H124" s="97"/>
      <c r="I124" s="31"/>
      <c r="J124" s="97"/>
      <c r="K124" s="31" t="s">
        <v>190</v>
      </c>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97"/>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99"/>
    </row>
    <row r="125" spans="2:61" ht="20.100000000000001" customHeight="1" thickBot="1" x14ac:dyDescent="0.5">
      <c r="B125" s="95"/>
      <c r="C125" s="31"/>
      <c r="D125" s="31"/>
      <c r="E125" s="31"/>
      <c r="F125" s="31"/>
      <c r="G125" s="96"/>
      <c r="H125" s="129" t="s">
        <v>170</v>
      </c>
      <c r="I125" s="130"/>
      <c r="J125" s="129" t="s">
        <v>177</v>
      </c>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1"/>
      <c r="AL125" s="130"/>
      <c r="AM125" s="130"/>
      <c r="AN125" s="130"/>
      <c r="AO125" s="130"/>
      <c r="AP125" s="130"/>
      <c r="AQ125" s="130"/>
      <c r="AR125" s="130"/>
      <c r="AS125" s="130"/>
      <c r="AT125" s="130"/>
      <c r="AU125" s="130"/>
      <c r="AV125" s="130"/>
      <c r="AW125" s="130"/>
      <c r="AX125" s="130"/>
      <c r="AY125" s="130"/>
      <c r="AZ125" s="130"/>
      <c r="BA125" s="130"/>
      <c r="BB125" s="130"/>
      <c r="BC125" s="130"/>
      <c r="BD125" s="130"/>
      <c r="BE125" s="130"/>
      <c r="BF125" s="130"/>
      <c r="BG125" s="130"/>
      <c r="BH125" s="130"/>
      <c r="BI125" s="132"/>
    </row>
    <row r="126" spans="2:61" ht="20.100000000000001" customHeight="1" x14ac:dyDescent="0.45">
      <c r="B126" s="89" t="s">
        <v>194</v>
      </c>
      <c r="C126" s="90"/>
      <c r="D126" s="90"/>
      <c r="E126" s="90"/>
      <c r="F126" s="90"/>
      <c r="G126" s="91"/>
      <c r="H126" s="92" t="s">
        <v>126</v>
      </c>
      <c r="I126" s="90"/>
      <c r="J126" s="120" t="s">
        <v>127</v>
      </c>
      <c r="K126" s="121"/>
      <c r="L126" s="121"/>
      <c r="M126" s="121"/>
      <c r="N126" s="121"/>
      <c r="O126" s="121"/>
      <c r="P126" s="121"/>
      <c r="Q126" s="122"/>
      <c r="R126" s="121">
        <v>1</v>
      </c>
      <c r="S126" s="121"/>
      <c r="T126" s="121"/>
      <c r="U126" s="121"/>
      <c r="V126" s="121"/>
      <c r="W126" s="121"/>
      <c r="X126" s="121"/>
      <c r="Y126" s="121"/>
      <c r="Z126" s="121"/>
      <c r="AA126" s="121"/>
      <c r="AB126" s="121"/>
      <c r="AC126" s="121"/>
      <c r="AD126" s="121"/>
      <c r="AE126" s="121"/>
      <c r="AF126" s="121"/>
      <c r="AG126" s="121"/>
      <c r="AH126" s="121"/>
      <c r="AI126" s="121"/>
      <c r="AJ126" s="122"/>
      <c r="AK126" s="93" t="s">
        <v>191</v>
      </c>
      <c r="AL126" s="90"/>
      <c r="AM126" s="90"/>
      <c r="AN126" s="90"/>
      <c r="AO126" s="90"/>
      <c r="AP126" s="90"/>
      <c r="AQ126" s="90"/>
      <c r="AR126" s="90"/>
      <c r="AS126" s="90"/>
      <c r="AT126" s="90"/>
      <c r="AU126" s="90"/>
      <c r="AV126" s="90"/>
      <c r="AW126" s="90"/>
      <c r="AX126" s="90"/>
      <c r="AY126" s="90"/>
      <c r="AZ126" s="90"/>
      <c r="BA126" s="90"/>
      <c r="BB126" s="90"/>
      <c r="BC126" s="90"/>
      <c r="BD126" s="90"/>
      <c r="BE126" s="90"/>
      <c r="BF126" s="90"/>
      <c r="BG126" s="90"/>
      <c r="BH126" s="90"/>
      <c r="BI126" s="94"/>
    </row>
    <row r="127" spans="2:61" ht="20.100000000000001" customHeight="1" x14ac:dyDescent="0.45">
      <c r="B127" s="123"/>
      <c r="C127" s="31"/>
      <c r="D127" s="31"/>
      <c r="E127" s="31"/>
      <c r="F127" s="31"/>
      <c r="G127" s="96"/>
      <c r="H127" s="97"/>
      <c r="I127" s="31"/>
      <c r="J127" s="124" t="s">
        <v>128</v>
      </c>
      <c r="K127" s="52"/>
      <c r="L127" s="52"/>
      <c r="M127" s="52"/>
      <c r="N127" s="52"/>
      <c r="O127" s="52"/>
      <c r="P127" s="52"/>
      <c r="Q127" s="125"/>
      <c r="R127" s="52" t="s">
        <v>172</v>
      </c>
      <c r="S127" s="52"/>
      <c r="T127" s="52"/>
      <c r="U127" s="52"/>
      <c r="V127" s="52"/>
      <c r="W127" s="52"/>
      <c r="X127" s="52"/>
      <c r="Y127" s="52"/>
      <c r="Z127" s="52"/>
      <c r="AA127" s="52"/>
      <c r="AB127" s="52"/>
      <c r="AC127" s="52"/>
      <c r="AD127" s="52"/>
      <c r="AE127" s="52"/>
      <c r="AF127" s="52"/>
      <c r="AG127" s="52"/>
      <c r="AH127" s="52"/>
      <c r="AI127" s="52"/>
      <c r="AJ127" s="125"/>
      <c r="AK127" s="98" t="s">
        <v>193</v>
      </c>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99"/>
    </row>
    <row r="128" spans="2:61" ht="20.100000000000001" customHeight="1" x14ac:dyDescent="0.45">
      <c r="B128" s="123"/>
      <c r="C128" s="31"/>
      <c r="D128" s="31"/>
      <c r="E128" s="31"/>
      <c r="F128" s="31"/>
      <c r="G128" s="96"/>
      <c r="H128" s="97"/>
      <c r="I128" s="31"/>
      <c r="J128" s="124" t="s">
        <v>129</v>
      </c>
      <c r="K128" s="52"/>
      <c r="L128" s="52"/>
      <c r="M128" s="52"/>
      <c r="N128" s="52"/>
      <c r="O128" s="52"/>
      <c r="P128" s="52"/>
      <c r="Q128" s="125"/>
      <c r="R128" s="52" t="s">
        <v>157</v>
      </c>
      <c r="S128" s="52"/>
      <c r="T128" s="52"/>
      <c r="U128" s="52"/>
      <c r="V128" s="52"/>
      <c r="W128" s="52"/>
      <c r="X128" s="52"/>
      <c r="Y128" s="52"/>
      <c r="Z128" s="52"/>
      <c r="AA128" s="52"/>
      <c r="AB128" s="52"/>
      <c r="AC128" s="52"/>
      <c r="AD128" s="52"/>
      <c r="AE128" s="52"/>
      <c r="AF128" s="52"/>
      <c r="AG128" s="52"/>
      <c r="AH128" s="52"/>
      <c r="AI128" s="52"/>
      <c r="AJ128" s="125"/>
      <c r="AK128" s="98"/>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99"/>
    </row>
    <row r="129" spans="2:61" ht="20.100000000000001" customHeight="1" x14ac:dyDescent="0.45">
      <c r="B129" s="123"/>
      <c r="C129" s="31"/>
      <c r="D129" s="31"/>
      <c r="E129" s="31"/>
      <c r="F129" s="31"/>
      <c r="G129" s="96"/>
      <c r="H129" s="97"/>
      <c r="I129" s="31"/>
      <c r="J129" s="124" t="s">
        <v>130</v>
      </c>
      <c r="K129" s="52"/>
      <c r="L129" s="52"/>
      <c r="M129" s="52"/>
      <c r="N129" s="52"/>
      <c r="O129" s="52"/>
      <c r="P129" s="52"/>
      <c r="Q129" s="125"/>
      <c r="R129" s="52" t="s">
        <v>158</v>
      </c>
      <c r="S129" s="52"/>
      <c r="T129" s="52"/>
      <c r="U129" s="52"/>
      <c r="V129" s="52"/>
      <c r="W129" s="52"/>
      <c r="X129" s="52"/>
      <c r="Y129" s="52"/>
      <c r="Z129" s="52"/>
      <c r="AA129" s="52"/>
      <c r="AB129" s="52"/>
      <c r="AC129" s="52"/>
      <c r="AD129" s="52"/>
      <c r="AE129" s="52"/>
      <c r="AF129" s="52"/>
      <c r="AG129" s="52"/>
      <c r="AH129" s="52"/>
      <c r="AI129" s="52"/>
      <c r="AJ129" s="125"/>
      <c r="AK129" s="98"/>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99"/>
    </row>
    <row r="130" spans="2:61" ht="20.100000000000001" customHeight="1" x14ac:dyDescent="0.45">
      <c r="B130" s="123"/>
      <c r="C130" s="31"/>
      <c r="D130" s="31"/>
      <c r="E130" s="31"/>
      <c r="F130" s="31"/>
      <c r="G130" s="96"/>
      <c r="H130" s="31"/>
      <c r="I130" s="31"/>
      <c r="J130" s="124" t="s">
        <v>131</v>
      </c>
      <c r="K130" s="52"/>
      <c r="L130" s="52"/>
      <c r="M130" s="52"/>
      <c r="N130" s="52"/>
      <c r="O130" s="52"/>
      <c r="P130" s="52"/>
      <c r="Q130" s="125"/>
      <c r="R130" s="52" t="s">
        <v>159</v>
      </c>
      <c r="S130" s="52"/>
      <c r="T130" s="52"/>
      <c r="U130" s="52"/>
      <c r="V130" s="52"/>
      <c r="W130" s="52"/>
      <c r="X130" s="52"/>
      <c r="Y130" s="52"/>
      <c r="Z130" s="52"/>
      <c r="AA130" s="52"/>
      <c r="AB130" s="52"/>
      <c r="AC130" s="52"/>
      <c r="AD130" s="52"/>
      <c r="AE130" s="52"/>
      <c r="AF130" s="52"/>
      <c r="AG130" s="52"/>
      <c r="AH130" s="52"/>
      <c r="AI130" s="52"/>
      <c r="AJ130" s="125"/>
      <c r="AK130" s="98"/>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99"/>
    </row>
    <row r="131" spans="2:61" ht="20.100000000000001" customHeight="1" x14ac:dyDescent="0.45">
      <c r="B131" s="123"/>
      <c r="C131" s="31"/>
      <c r="D131" s="31"/>
      <c r="E131" s="31"/>
      <c r="F131" s="31"/>
      <c r="G131" s="96"/>
      <c r="H131" s="31"/>
      <c r="I131" s="31"/>
      <c r="J131" s="124" t="s">
        <v>132</v>
      </c>
      <c r="K131" s="52"/>
      <c r="L131" s="52"/>
      <c r="M131" s="52"/>
      <c r="N131" s="52"/>
      <c r="O131" s="52"/>
      <c r="P131" s="52"/>
      <c r="Q131" s="125"/>
      <c r="R131" s="52" t="s">
        <v>161</v>
      </c>
      <c r="S131" s="52"/>
      <c r="T131" s="52"/>
      <c r="U131" s="52"/>
      <c r="V131" s="52"/>
      <c r="W131" s="52"/>
      <c r="X131" s="52"/>
      <c r="Y131" s="52"/>
      <c r="Z131" s="52"/>
      <c r="AA131" s="52"/>
      <c r="AB131" s="52"/>
      <c r="AC131" s="52"/>
      <c r="AD131" s="52"/>
      <c r="AE131" s="52"/>
      <c r="AF131" s="52"/>
      <c r="AG131" s="52"/>
      <c r="AH131" s="52"/>
      <c r="AI131" s="52"/>
      <c r="AJ131" s="125"/>
      <c r="AK131" s="98"/>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99"/>
    </row>
    <row r="132" spans="2:61" ht="20.100000000000001" customHeight="1" x14ac:dyDescent="0.45">
      <c r="B132" s="123"/>
      <c r="C132" s="31"/>
      <c r="D132" s="31"/>
      <c r="E132" s="31"/>
      <c r="F132" s="31"/>
      <c r="G132" s="96"/>
      <c r="H132" s="31"/>
      <c r="I132" s="31"/>
      <c r="J132" s="124" t="s">
        <v>133</v>
      </c>
      <c r="K132" s="52"/>
      <c r="L132" s="52"/>
      <c r="M132" s="52"/>
      <c r="N132" s="52"/>
      <c r="O132" s="52"/>
      <c r="P132" s="52"/>
      <c r="Q132" s="125"/>
      <c r="R132" s="52" t="s">
        <v>186</v>
      </c>
      <c r="S132" s="52"/>
      <c r="T132" s="52"/>
      <c r="U132" s="52"/>
      <c r="V132" s="52"/>
      <c r="W132" s="52"/>
      <c r="X132" s="52"/>
      <c r="Y132" s="52"/>
      <c r="Z132" s="52"/>
      <c r="AA132" s="52"/>
      <c r="AB132" s="52"/>
      <c r="AC132" s="52"/>
      <c r="AD132" s="52"/>
      <c r="AE132" s="52"/>
      <c r="AF132" s="52"/>
      <c r="AG132" s="52"/>
      <c r="AH132" s="52"/>
      <c r="AI132" s="52"/>
      <c r="AJ132" s="125"/>
      <c r="AK132" s="98"/>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99"/>
    </row>
    <row r="133" spans="2:61" ht="20.100000000000001" customHeight="1" x14ac:dyDescent="0.45">
      <c r="B133" s="123"/>
      <c r="C133" s="31"/>
      <c r="D133" s="31"/>
      <c r="E133" s="31"/>
      <c r="F133" s="31"/>
      <c r="G133" s="96"/>
      <c r="H133" s="97"/>
      <c r="I133" s="31"/>
      <c r="J133" s="124" t="s">
        <v>134</v>
      </c>
      <c r="K133" s="52"/>
      <c r="L133" s="52"/>
      <c r="M133" s="52"/>
      <c r="N133" s="52"/>
      <c r="O133" s="52"/>
      <c r="P133" s="52"/>
      <c r="Q133" s="125"/>
      <c r="R133" s="52">
        <v>215</v>
      </c>
      <c r="S133" s="52"/>
      <c r="T133" s="52"/>
      <c r="U133" s="52"/>
      <c r="V133" s="52"/>
      <c r="W133" s="52"/>
      <c r="X133" s="52"/>
      <c r="Y133" s="52"/>
      <c r="Z133" s="52"/>
      <c r="AA133" s="52"/>
      <c r="AB133" s="52"/>
      <c r="AC133" s="52"/>
      <c r="AD133" s="52"/>
      <c r="AE133" s="52"/>
      <c r="AF133" s="52"/>
      <c r="AG133" s="52"/>
      <c r="AH133" s="52"/>
      <c r="AI133" s="52"/>
      <c r="AJ133" s="125"/>
      <c r="AK133" s="98"/>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99"/>
    </row>
    <row r="134" spans="2:61" ht="20.100000000000001" customHeight="1" x14ac:dyDescent="0.45">
      <c r="B134" s="123"/>
      <c r="C134" s="31"/>
      <c r="D134" s="31"/>
      <c r="E134" s="31"/>
      <c r="F134" s="31"/>
      <c r="G134" s="96"/>
      <c r="H134" s="97"/>
      <c r="I134" s="31"/>
      <c r="J134" s="124" t="s">
        <v>135</v>
      </c>
      <c r="K134" s="52"/>
      <c r="L134" s="52"/>
      <c r="M134" s="52"/>
      <c r="N134" s="52"/>
      <c r="O134" s="52"/>
      <c r="P134" s="52"/>
      <c r="Q134" s="125"/>
      <c r="R134" s="52" t="s">
        <v>161</v>
      </c>
      <c r="S134" s="52"/>
      <c r="T134" s="52"/>
      <c r="U134" s="52"/>
      <c r="V134" s="52"/>
      <c r="W134" s="52"/>
      <c r="X134" s="52"/>
      <c r="Y134" s="52"/>
      <c r="Z134" s="52"/>
      <c r="AA134" s="52"/>
      <c r="AB134" s="52"/>
      <c r="AC134" s="52"/>
      <c r="AD134" s="52"/>
      <c r="AE134" s="52"/>
      <c r="AF134" s="52"/>
      <c r="AG134" s="52"/>
      <c r="AH134" s="52"/>
      <c r="AI134" s="52"/>
      <c r="AJ134" s="125"/>
      <c r="AK134" s="98"/>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99"/>
    </row>
    <row r="135" spans="2:61" ht="20.100000000000001" customHeight="1" x14ac:dyDescent="0.45">
      <c r="B135" s="123"/>
      <c r="C135" s="31"/>
      <c r="D135" s="31"/>
      <c r="E135" s="31"/>
      <c r="F135" s="31"/>
      <c r="G135" s="96"/>
      <c r="H135" s="31"/>
      <c r="I135" s="31"/>
      <c r="J135" s="124" t="s">
        <v>136</v>
      </c>
      <c r="K135" s="52"/>
      <c r="L135" s="52"/>
      <c r="M135" s="52"/>
      <c r="N135" s="52"/>
      <c r="O135" s="52"/>
      <c r="P135" s="52"/>
      <c r="Q135" s="125"/>
      <c r="R135" s="52">
        <v>1</v>
      </c>
      <c r="S135" s="52"/>
      <c r="T135" s="52"/>
      <c r="U135" s="52"/>
      <c r="V135" s="52"/>
      <c r="W135" s="52"/>
      <c r="X135" s="52"/>
      <c r="Y135" s="52"/>
      <c r="Z135" s="52"/>
      <c r="AA135" s="52"/>
      <c r="AB135" s="52"/>
      <c r="AC135" s="52"/>
      <c r="AD135" s="52"/>
      <c r="AE135" s="52"/>
      <c r="AF135" s="52"/>
      <c r="AG135" s="52"/>
      <c r="AH135" s="52"/>
      <c r="AI135" s="52"/>
      <c r="AJ135" s="125"/>
      <c r="AK135" s="98"/>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99"/>
    </row>
    <row r="136" spans="2:61" ht="20.100000000000001" customHeight="1" x14ac:dyDescent="0.45">
      <c r="B136" s="123"/>
      <c r="C136" s="31"/>
      <c r="D136" s="31"/>
      <c r="E136" s="31"/>
      <c r="F136" s="31"/>
      <c r="G136" s="96"/>
      <c r="H136" s="31"/>
      <c r="I136" s="31"/>
      <c r="J136" s="124" t="s">
        <v>137</v>
      </c>
      <c r="K136" s="52"/>
      <c r="L136" s="52"/>
      <c r="M136" s="52"/>
      <c r="N136" s="52"/>
      <c r="O136" s="52"/>
      <c r="P136" s="52"/>
      <c r="Q136" s="125"/>
      <c r="R136" s="52" t="s">
        <v>180</v>
      </c>
      <c r="S136" s="52"/>
      <c r="T136" s="52"/>
      <c r="U136" s="52"/>
      <c r="V136" s="52"/>
      <c r="W136" s="52"/>
      <c r="X136" s="52"/>
      <c r="Y136" s="52"/>
      <c r="Z136" s="52"/>
      <c r="AA136" s="52"/>
      <c r="AB136" s="52"/>
      <c r="AC136" s="52"/>
      <c r="AD136" s="52"/>
      <c r="AE136" s="52"/>
      <c r="AF136" s="52"/>
      <c r="AG136" s="52"/>
      <c r="AH136" s="52"/>
      <c r="AI136" s="52"/>
      <c r="AJ136" s="125"/>
      <c r="AK136" s="98"/>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99"/>
    </row>
    <row r="137" spans="2:61" ht="20.100000000000001" customHeight="1" x14ac:dyDescent="0.45">
      <c r="B137" s="123"/>
      <c r="C137" s="31"/>
      <c r="D137" s="31"/>
      <c r="E137" s="31"/>
      <c r="F137" s="31"/>
      <c r="G137" s="96"/>
      <c r="H137" s="31"/>
      <c r="I137" s="31"/>
      <c r="J137" s="124" t="s">
        <v>138</v>
      </c>
      <c r="K137" s="52"/>
      <c r="L137" s="52"/>
      <c r="M137" s="52"/>
      <c r="N137" s="52"/>
      <c r="O137" s="52"/>
      <c r="P137" s="52"/>
      <c r="Q137" s="125"/>
      <c r="R137" s="52" t="s">
        <v>161</v>
      </c>
      <c r="S137" s="52"/>
      <c r="T137" s="52"/>
      <c r="U137" s="52"/>
      <c r="V137" s="52"/>
      <c r="W137" s="52"/>
      <c r="X137" s="52"/>
      <c r="Y137" s="52"/>
      <c r="Z137" s="52"/>
      <c r="AA137" s="52"/>
      <c r="AB137" s="52"/>
      <c r="AC137" s="52"/>
      <c r="AD137" s="52"/>
      <c r="AE137" s="52"/>
      <c r="AF137" s="52"/>
      <c r="AG137" s="52"/>
      <c r="AH137" s="52"/>
      <c r="AI137" s="52"/>
      <c r="AJ137" s="125"/>
      <c r="AK137" s="98"/>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99"/>
    </row>
    <row r="138" spans="2:61" ht="20.100000000000001" customHeight="1" x14ac:dyDescent="0.45">
      <c r="B138" s="123"/>
      <c r="C138" s="31"/>
      <c r="D138" s="31"/>
      <c r="E138" s="31"/>
      <c r="F138" s="31"/>
      <c r="G138" s="96"/>
      <c r="H138" s="97"/>
      <c r="I138" s="31"/>
      <c r="J138" s="124" t="s">
        <v>139</v>
      </c>
      <c r="K138" s="52"/>
      <c r="L138" s="52"/>
      <c r="M138" s="52"/>
      <c r="N138" s="52"/>
      <c r="O138" s="52"/>
      <c r="P138" s="52"/>
      <c r="Q138" s="125"/>
      <c r="R138" s="52" t="s">
        <v>181</v>
      </c>
      <c r="S138" s="52"/>
      <c r="T138" s="52"/>
      <c r="U138" s="52"/>
      <c r="V138" s="52"/>
      <c r="W138" s="52"/>
      <c r="X138" s="52"/>
      <c r="Y138" s="52"/>
      <c r="Z138" s="52"/>
      <c r="AA138" s="52"/>
      <c r="AB138" s="52"/>
      <c r="AC138" s="52"/>
      <c r="AD138" s="52"/>
      <c r="AE138" s="52"/>
      <c r="AF138" s="52"/>
      <c r="AG138" s="52"/>
      <c r="AH138" s="52"/>
      <c r="AI138" s="52"/>
      <c r="AJ138" s="125"/>
      <c r="AK138" s="98"/>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99"/>
    </row>
    <row r="139" spans="2:61" ht="20.100000000000001" customHeight="1" x14ac:dyDescent="0.45">
      <c r="B139" s="123"/>
      <c r="C139" s="31"/>
      <c r="D139" s="31"/>
      <c r="E139" s="31"/>
      <c r="F139" s="31"/>
      <c r="G139" s="96"/>
      <c r="H139" s="97"/>
      <c r="I139" s="31"/>
      <c r="J139" s="124" t="s">
        <v>140</v>
      </c>
      <c r="K139" s="52"/>
      <c r="L139" s="52"/>
      <c r="M139" s="52"/>
      <c r="N139" s="52"/>
      <c r="O139" s="52"/>
      <c r="P139" s="52"/>
      <c r="Q139" s="125"/>
      <c r="R139" s="52" t="s">
        <v>161</v>
      </c>
      <c r="S139" s="52"/>
      <c r="T139" s="52"/>
      <c r="U139" s="52"/>
      <c r="V139" s="52"/>
      <c r="W139" s="52"/>
      <c r="X139" s="52"/>
      <c r="Y139" s="52"/>
      <c r="Z139" s="52"/>
      <c r="AA139" s="52"/>
      <c r="AB139" s="52"/>
      <c r="AC139" s="52"/>
      <c r="AD139" s="52"/>
      <c r="AE139" s="52"/>
      <c r="AF139" s="52"/>
      <c r="AG139" s="52"/>
      <c r="AH139" s="52"/>
      <c r="AI139" s="52"/>
      <c r="AJ139" s="125"/>
      <c r="AK139" s="98"/>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99"/>
    </row>
    <row r="140" spans="2:61" ht="20.100000000000001" customHeight="1" x14ac:dyDescent="0.45">
      <c r="B140" s="123"/>
      <c r="C140" s="31"/>
      <c r="D140" s="31"/>
      <c r="E140" s="31"/>
      <c r="F140" s="31"/>
      <c r="G140" s="96"/>
      <c r="H140" s="31"/>
      <c r="I140" s="31"/>
      <c r="J140" s="124" t="s">
        <v>141</v>
      </c>
      <c r="K140" s="52"/>
      <c r="L140" s="52"/>
      <c r="M140" s="52"/>
      <c r="N140" s="52"/>
      <c r="O140" s="52"/>
      <c r="P140" s="52"/>
      <c r="Q140" s="125"/>
      <c r="R140" s="52" t="s">
        <v>161</v>
      </c>
      <c r="S140" s="52"/>
      <c r="T140" s="52"/>
      <c r="U140" s="52"/>
      <c r="V140" s="52"/>
      <c r="W140" s="52"/>
      <c r="X140" s="52"/>
      <c r="Y140" s="52"/>
      <c r="Z140" s="52"/>
      <c r="AA140" s="52"/>
      <c r="AB140" s="52"/>
      <c r="AC140" s="52"/>
      <c r="AD140" s="52"/>
      <c r="AE140" s="52"/>
      <c r="AF140" s="52"/>
      <c r="AG140" s="52"/>
      <c r="AH140" s="52"/>
      <c r="AI140" s="52"/>
      <c r="AJ140" s="125"/>
      <c r="AK140" s="98"/>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99"/>
    </row>
    <row r="141" spans="2:61" ht="20.100000000000001" customHeight="1" x14ac:dyDescent="0.45">
      <c r="B141" s="123"/>
      <c r="C141" s="31"/>
      <c r="D141" s="31"/>
      <c r="E141" s="31"/>
      <c r="F141" s="31"/>
      <c r="G141" s="96"/>
      <c r="H141" s="31"/>
      <c r="I141" s="31"/>
      <c r="J141" s="124" t="s">
        <v>142</v>
      </c>
      <c r="K141" s="52"/>
      <c r="L141" s="52"/>
      <c r="M141" s="52"/>
      <c r="N141" s="52"/>
      <c r="O141" s="52"/>
      <c r="P141" s="52"/>
      <c r="Q141" s="125"/>
      <c r="R141" s="52" t="s">
        <v>161</v>
      </c>
      <c r="S141" s="52"/>
      <c r="T141" s="52"/>
      <c r="U141" s="52"/>
      <c r="V141" s="52"/>
      <c r="W141" s="52"/>
      <c r="X141" s="52"/>
      <c r="Y141" s="52"/>
      <c r="Z141" s="52"/>
      <c r="AA141" s="52"/>
      <c r="AB141" s="52"/>
      <c r="AC141" s="52"/>
      <c r="AD141" s="52"/>
      <c r="AE141" s="52"/>
      <c r="AF141" s="52"/>
      <c r="AG141" s="52"/>
      <c r="AH141" s="52"/>
      <c r="AI141" s="52"/>
      <c r="AJ141" s="125"/>
      <c r="AK141" s="98"/>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99"/>
    </row>
    <row r="142" spans="2:61" ht="20.100000000000001" customHeight="1" x14ac:dyDescent="0.45">
      <c r="B142" s="123"/>
      <c r="C142" s="31"/>
      <c r="D142" s="31"/>
      <c r="E142" s="31"/>
      <c r="F142" s="31"/>
      <c r="G142" s="96"/>
      <c r="H142" s="97"/>
      <c r="I142" s="31"/>
      <c r="J142" s="124" t="s">
        <v>143</v>
      </c>
      <c r="K142" s="52"/>
      <c r="L142" s="52"/>
      <c r="M142" s="52"/>
      <c r="N142" s="52"/>
      <c r="O142" s="52"/>
      <c r="P142" s="52"/>
      <c r="Q142" s="125"/>
      <c r="R142" s="52">
        <v>131</v>
      </c>
      <c r="S142" s="52"/>
      <c r="T142" s="52"/>
      <c r="U142" s="52"/>
      <c r="V142" s="52"/>
      <c r="W142" s="52"/>
      <c r="X142" s="52"/>
      <c r="Y142" s="52"/>
      <c r="Z142" s="52"/>
      <c r="AA142" s="52"/>
      <c r="AB142" s="52"/>
      <c r="AC142" s="52"/>
      <c r="AD142" s="52"/>
      <c r="AE142" s="52"/>
      <c r="AF142" s="52"/>
      <c r="AG142" s="52"/>
      <c r="AH142" s="52"/>
      <c r="AI142" s="52"/>
      <c r="AJ142" s="125"/>
      <c r="AK142" s="98"/>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99"/>
    </row>
    <row r="143" spans="2:61" ht="20.100000000000001" customHeight="1" x14ac:dyDescent="0.45">
      <c r="B143" s="123"/>
      <c r="C143" s="31"/>
      <c r="D143" s="31"/>
      <c r="E143" s="31"/>
      <c r="F143" s="31"/>
      <c r="G143" s="96"/>
      <c r="H143" s="97"/>
      <c r="I143" s="31"/>
      <c r="J143" s="124" t="s">
        <v>106</v>
      </c>
      <c r="K143" s="52"/>
      <c r="L143" s="52"/>
      <c r="M143" s="52"/>
      <c r="N143" s="52"/>
      <c r="O143" s="52"/>
      <c r="P143" s="52"/>
      <c r="Q143" s="125"/>
      <c r="R143" s="52" t="s">
        <v>161</v>
      </c>
      <c r="S143" s="52"/>
      <c r="T143" s="52"/>
      <c r="U143" s="52"/>
      <c r="V143" s="52"/>
      <c r="W143" s="52"/>
      <c r="X143" s="52"/>
      <c r="Y143" s="52"/>
      <c r="Z143" s="52"/>
      <c r="AA143" s="52"/>
      <c r="AB143" s="52"/>
      <c r="AC143" s="52"/>
      <c r="AD143" s="52"/>
      <c r="AE143" s="52"/>
      <c r="AF143" s="52"/>
      <c r="AG143" s="52"/>
      <c r="AH143" s="52"/>
      <c r="AI143" s="52"/>
      <c r="AJ143" s="125"/>
      <c r="AK143" s="98"/>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99"/>
    </row>
    <row r="144" spans="2:61" ht="20.100000000000001" customHeight="1" x14ac:dyDescent="0.45">
      <c r="B144" s="123"/>
      <c r="C144" s="31"/>
      <c r="D144" s="31"/>
      <c r="E144" s="31"/>
      <c r="F144" s="31"/>
      <c r="G144" s="96"/>
      <c r="H144" s="31"/>
      <c r="I144" s="31"/>
      <c r="J144" s="124" t="s">
        <v>144</v>
      </c>
      <c r="K144" s="52"/>
      <c r="L144" s="52"/>
      <c r="M144" s="52"/>
      <c r="N144" s="52"/>
      <c r="O144" s="52"/>
      <c r="P144" s="52"/>
      <c r="Q144" s="125"/>
      <c r="R144" s="52">
        <v>0</v>
      </c>
      <c r="S144" s="52"/>
      <c r="T144" s="52"/>
      <c r="U144" s="52"/>
      <c r="V144" s="52"/>
      <c r="W144" s="52"/>
      <c r="X144" s="52"/>
      <c r="Y144" s="52"/>
      <c r="Z144" s="52"/>
      <c r="AA144" s="52"/>
      <c r="AB144" s="52"/>
      <c r="AC144" s="52"/>
      <c r="AD144" s="52"/>
      <c r="AE144" s="52"/>
      <c r="AF144" s="52"/>
      <c r="AG144" s="52"/>
      <c r="AH144" s="52"/>
      <c r="AI144" s="52"/>
      <c r="AJ144" s="125"/>
      <c r="AK144" s="98"/>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99"/>
    </row>
    <row r="145" spans="2:61" ht="20.100000000000001" customHeight="1" x14ac:dyDescent="0.45">
      <c r="B145" s="123"/>
      <c r="C145" s="31"/>
      <c r="D145" s="31"/>
      <c r="E145" s="31"/>
      <c r="F145" s="31"/>
      <c r="G145" s="96"/>
      <c r="H145" s="31"/>
      <c r="I145" s="31"/>
      <c r="J145" s="124" t="s">
        <v>145</v>
      </c>
      <c r="K145" s="52"/>
      <c r="L145" s="52"/>
      <c r="M145" s="52"/>
      <c r="N145" s="52"/>
      <c r="O145" s="52"/>
      <c r="P145" s="52"/>
      <c r="Q145" s="125"/>
      <c r="R145" s="133">
        <v>0</v>
      </c>
      <c r="S145" s="52"/>
      <c r="T145" s="52"/>
      <c r="U145" s="52"/>
      <c r="V145" s="52"/>
      <c r="W145" s="52"/>
      <c r="X145" s="52"/>
      <c r="Y145" s="52"/>
      <c r="Z145" s="52"/>
      <c r="AA145" s="52"/>
      <c r="AB145" s="52"/>
      <c r="AC145" s="52"/>
      <c r="AD145" s="52"/>
      <c r="AE145" s="52"/>
      <c r="AF145" s="52"/>
      <c r="AG145" s="52"/>
      <c r="AH145" s="52"/>
      <c r="AI145" s="52"/>
      <c r="AJ145" s="125"/>
      <c r="AK145" s="98"/>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99"/>
    </row>
    <row r="146" spans="2:61" ht="20.100000000000001" customHeight="1" x14ac:dyDescent="0.45">
      <c r="B146" s="123"/>
      <c r="C146" s="31"/>
      <c r="D146" s="31"/>
      <c r="E146" s="31"/>
      <c r="F146" s="31"/>
      <c r="G146" s="96"/>
      <c r="H146" s="31"/>
      <c r="I146" s="31"/>
      <c r="J146" s="124" t="s">
        <v>146</v>
      </c>
      <c r="K146" s="52"/>
      <c r="L146" s="52"/>
      <c r="M146" s="52"/>
      <c r="N146" s="52"/>
      <c r="O146" s="52"/>
      <c r="P146" s="52"/>
      <c r="Q146" s="125"/>
      <c r="R146" s="52" t="s">
        <v>160</v>
      </c>
      <c r="S146" s="52"/>
      <c r="T146" s="52"/>
      <c r="U146" s="52"/>
      <c r="V146" s="52"/>
      <c r="W146" s="52"/>
      <c r="X146" s="52"/>
      <c r="Y146" s="52"/>
      <c r="Z146" s="52"/>
      <c r="AA146" s="52"/>
      <c r="AB146" s="52"/>
      <c r="AC146" s="52"/>
      <c r="AD146" s="52"/>
      <c r="AE146" s="52"/>
      <c r="AF146" s="52"/>
      <c r="AG146" s="52"/>
      <c r="AH146" s="52"/>
      <c r="AI146" s="52"/>
      <c r="AJ146" s="125"/>
      <c r="AK146" s="98"/>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99"/>
    </row>
    <row r="147" spans="2:61" ht="20.100000000000001" customHeight="1" x14ac:dyDescent="0.45">
      <c r="B147" s="123"/>
      <c r="C147" s="31"/>
      <c r="D147" s="31"/>
      <c r="E147" s="31"/>
      <c r="F147" s="31"/>
      <c r="G147" s="96"/>
      <c r="H147" s="97"/>
      <c r="I147" s="31"/>
      <c r="J147" s="124" t="s">
        <v>147</v>
      </c>
      <c r="K147" s="52"/>
      <c r="L147" s="52"/>
      <c r="M147" s="52"/>
      <c r="N147" s="52"/>
      <c r="O147" s="52"/>
      <c r="P147" s="52"/>
      <c r="Q147" s="125"/>
      <c r="R147" s="52" t="s">
        <v>195</v>
      </c>
      <c r="S147" s="52"/>
      <c r="T147" s="52"/>
      <c r="U147" s="52"/>
      <c r="V147" s="52"/>
      <c r="W147" s="52"/>
      <c r="X147" s="52"/>
      <c r="Y147" s="52"/>
      <c r="Z147" s="52"/>
      <c r="AA147" s="52"/>
      <c r="AB147" s="52"/>
      <c r="AC147" s="52"/>
      <c r="AD147" s="52"/>
      <c r="AE147" s="52"/>
      <c r="AF147" s="52"/>
      <c r="AG147" s="52"/>
      <c r="AH147" s="52"/>
      <c r="AI147" s="52"/>
      <c r="AJ147" s="125"/>
      <c r="AK147" s="98"/>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99"/>
    </row>
    <row r="148" spans="2:61" ht="20.100000000000001" customHeight="1" x14ac:dyDescent="0.45">
      <c r="B148" s="123"/>
      <c r="C148" s="31"/>
      <c r="D148" s="31"/>
      <c r="E148" s="31"/>
      <c r="F148" s="31"/>
      <c r="G148" s="96"/>
      <c r="H148" s="97"/>
      <c r="I148" s="31"/>
      <c r="J148" s="124" t="s">
        <v>148</v>
      </c>
      <c r="K148" s="52"/>
      <c r="L148" s="52"/>
      <c r="M148" s="52"/>
      <c r="N148" s="52"/>
      <c r="O148" s="52"/>
      <c r="P148" s="52"/>
      <c r="Q148" s="125"/>
      <c r="R148" s="52" t="s">
        <v>160</v>
      </c>
      <c r="S148" s="52"/>
      <c r="T148" s="52"/>
      <c r="U148" s="52"/>
      <c r="V148" s="52"/>
      <c r="W148" s="52"/>
      <c r="X148" s="52"/>
      <c r="Y148" s="52"/>
      <c r="Z148" s="52"/>
      <c r="AA148" s="52"/>
      <c r="AB148" s="52"/>
      <c r="AC148" s="52"/>
      <c r="AD148" s="52"/>
      <c r="AE148" s="52"/>
      <c r="AF148" s="52"/>
      <c r="AG148" s="52"/>
      <c r="AH148" s="52"/>
      <c r="AI148" s="52"/>
      <c r="AJ148" s="125"/>
      <c r="AK148" s="98"/>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99"/>
    </row>
    <row r="149" spans="2:61" ht="20.100000000000001" customHeight="1" x14ac:dyDescent="0.45">
      <c r="B149" s="123"/>
      <c r="C149" s="31"/>
      <c r="D149" s="31"/>
      <c r="E149" s="31"/>
      <c r="F149" s="31"/>
      <c r="G149" s="96"/>
      <c r="H149" s="31"/>
      <c r="I149" s="31"/>
      <c r="J149" s="124" t="s">
        <v>149</v>
      </c>
      <c r="K149" s="52"/>
      <c r="L149" s="52"/>
      <c r="M149" s="52"/>
      <c r="N149" s="52"/>
      <c r="O149" s="52"/>
      <c r="P149" s="52"/>
      <c r="Q149" s="125"/>
      <c r="R149" s="52" t="s">
        <v>160</v>
      </c>
      <c r="S149" s="52"/>
      <c r="T149" s="52"/>
      <c r="U149" s="52"/>
      <c r="V149" s="52"/>
      <c r="W149" s="52"/>
      <c r="X149" s="52"/>
      <c r="Y149" s="52"/>
      <c r="Z149" s="52"/>
      <c r="AA149" s="52"/>
      <c r="AB149" s="52"/>
      <c r="AC149" s="52"/>
      <c r="AD149" s="52"/>
      <c r="AE149" s="52"/>
      <c r="AF149" s="52"/>
      <c r="AG149" s="52"/>
      <c r="AH149" s="52"/>
      <c r="AI149" s="52"/>
      <c r="AJ149" s="125"/>
      <c r="AK149" s="98"/>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99"/>
    </row>
    <row r="150" spans="2:61" ht="20.100000000000001" customHeight="1" x14ac:dyDescent="0.45">
      <c r="B150" s="123"/>
      <c r="C150" s="31"/>
      <c r="D150" s="31"/>
      <c r="E150" s="31"/>
      <c r="F150" s="31"/>
      <c r="G150" s="96"/>
      <c r="H150" s="31"/>
      <c r="I150" s="31"/>
      <c r="J150" s="124" t="s">
        <v>150</v>
      </c>
      <c r="K150" s="52"/>
      <c r="L150" s="52"/>
      <c r="M150" s="52"/>
      <c r="N150" s="52"/>
      <c r="O150" s="52"/>
      <c r="P150" s="52"/>
      <c r="Q150" s="125"/>
      <c r="R150" s="52" t="s">
        <v>161</v>
      </c>
      <c r="S150" s="52"/>
      <c r="T150" s="52"/>
      <c r="U150" s="52"/>
      <c r="V150" s="52"/>
      <c r="W150" s="52"/>
      <c r="X150" s="52"/>
      <c r="Y150" s="52"/>
      <c r="Z150" s="52"/>
      <c r="AA150" s="52"/>
      <c r="AB150" s="52"/>
      <c r="AC150" s="52"/>
      <c r="AD150" s="52"/>
      <c r="AE150" s="52"/>
      <c r="AF150" s="52"/>
      <c r="AG150" s="52"/>
      <c r="AH150" s="52"/>
      <c r="AI150" s="52"/>
      <c r="AJ150" s="125"/>
      <c r="AK150" s="98"/>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99"/>
    </row>
    <row r="151" spans="2:61" ht="20.100000000000001" customHeight="1" x14ac:dyDescent="0.45">
      <c r="B151" s="123"/>
      <c r="C151" s="31"/>
      <c r="D151" s="31"/>
      <c r="E151" s="31"/>
      <c r="F151" s="31"/>
      <c r="G151" s="96"/>
      <c r="H151" s="31"/>
      <c r="I151" s="31"/>
      <c r="J151" s="124" t="s">
        <v>151</v>
      </c>
      <c r="K151" s="52"/>
      <c r="L151" s="52"/>
      <c r="M151" s="52"/>
      <c r="N151" s="52"/>
      <c r="O151" s="52"/>
      <c r="P151" s="52"/>
      <c r="Q151" s="125"/>
      <c r="R151" s="52" t="s">
        <v>188</v>
      </c>
      <c r="S151" s="52"/>
      <c r="T151" s="52"/>
      <c r="U151" s="52"/>
      <c r="V151" s="52"/>
      <c r="W151" s="52"/>
      <c r="X151" s="52"/>
      <c r="Y151" s="52"/>
      <c r="Z151" s="52"/>
      <c r="AA151" s="52"/>
      <c r="AB151" s="52"/>
      <c r="AC151" s="52"/>
      <c r="AD151" s="52"/>
      <c r="AE151" s="52"/>
      <c r="AF151" s="52"/>
      <c r="AG151" s="52"/>
      <c r="AH151" s="52"/>
      <c r="AI151" s="52"/>
      <c r="AJ151" s="125"/>
      <c r="AK151" s="98"/>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99"/>
    </row>
    <row r="152" spans="2:61" ht="20.100000000000001" customHeight="1" x14ac:dyDescent="0.45">
      <c r="B152" s="123"/>
      <c r="C152" s="31"/>
      <c r="D152" s="31"/>
      <c r="E152" s="31"/>
      <c r="F152" s="31"/>
      <c r="G152" s="96"/>
      <c r="H152" s="97"/>
      <c r="I152" s="31"/>
      <c r="J152" s="124" t="s">
        <v>152</v>
      </c>
      <c r="K152" s="52"/>
      <c r="L152" s="52"/>
      <c r="M152" s="52"/>
      <c r="N152" s="52"/>
      <c r="O152" s="52"/>
      <c r="P152" s="52"/>
      <c r="Q152" s="125"/>
      <c r="R152" s="52" t="s">
        <v>171</v>
      </c>
      <c r="S152" s="52"/>
      <c r="T152" s="52"/>
      <c r="U152" s="52"/>
      <c r="V152" s="52"/>
      <c r="W152" s="52"/>
      <c r="X152" s="52"/>
      <c r="Y152" s="52"/>
      <c r="Z152" s="52"/>
      <c r="AA152" s="52"/>
      <c r="AB152" s="52"/>
      <c r="AC152" s="52"/>
      <c r="AD152" s="52"/>
      <c r="AE152" s="52"/>
      <c r="AF152" s="52"/>
      <c r="AG152" s="52"/>
      <c r="AH152" s="52"/>
      <c r="AI152" s="52"/>
      <c r="AJ152" s="125"/>
      <c r="AK152" s="98"/>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99"/>
    </row>
    <row r="153" spans="2:61" ht="20.100000000000001" customHeight="1" x14ac:dyDescent="0.45">
      <c r="B153" s="123"/>
      <c r="C153" s="31"/>
      <c r="D153" s="31"/>
      <c r="E153" s="31"/>
      <c r="F153" s="31"/>
      <c r="G153" s="96"/>
      <c r="H153" s="97"/>
      <c r="I153" s="31"/>
      <c r="J153" s="124" t="s">
        <v>153</v>
      </c>
      <c r="K153" s="52"/>
      <c r="L153" s="52"/>
      <c r="M153" s="52"/>
      <c r="N153" s="52"/>
      <c r="O153" s="52"/>
      <c r="P153" s="52"/>
      <c r="Q153" s="125"/>
      <c r="R153" s="52" t="s">
        <v>161</v>
      </c>
      <c r="S153" s="52"/>
      <c r="T153" s="52"/>
      <c r="U153" s="52"/>
      <c r="V153" s="52"/>
      <c r="W153" s="52"/>
      <c r="X153" s="52"/>
      <c r="Y153" s="52"/>
      <c r="Z153" s="52"/>
      <c r="AA153" s="52"/>
      <c r="AB153" s="52"/>
      <c r="AC153" s="52"/>
      <c r="AD153" s="52"/>
      <c r="AE153" s="52"/>
      <c r="AF153" s="52"/>
      <c r="AG153" s="52"/>
      <c r="AH153" s="52"/>
      <c r="AI153" s="52"/>
      <c r="AJ153" s="125"/>
      <c r="AK153" s="98"/>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99"/>
    </row>
    <row r="154" spans="2:61" ht="20.100000000000001" customHeight="1" x14ac:dyDescent="0.45">
      <c r="B154" s="123"/>
      <c r="C154" s="31"/>
      <c r="D154" s="31"/>
      <c r="E154" s="31"/>
      <c r="F154" s="31"/>
      <c r="G154" s="96"/>
      <c r="H154" s="31"/>
      <c r="I154" s="31"/>
      <c r="J154" s="124" t="s">
        <v>154</v>
      </c>
      <c r="K154" s="52"/>
      <c r="L154" s="52"/>
      <c r="M154" s="52"/>
      <c r="N154" s="52"/>
      <c r="O154" s="52"/>
      <c r="P154" s="52"/>
      <c r="Q154" s="125"/>
      <c r="R154" s="52" t="s">
        <v>161</v>
      </c>
      <c r="S154" s="52"/>
      <c r="T154" s="52"/>
      <c r="U154" s="52"/>
      <c r="V154" s="52"/>
      <c r="W154" s="52"/>
      <c r="X154" s="52"/>
      <c r="Y154" s="52"/>
      <c r="Z154" s="52"/>
      <c r="AA154" s="52"/>
      <c r="AB154" s="52"/>
      <c r="AC154" s="52"/>
      <c r="AD154" s="52"/>
      <c r="AE154" s="52"/>
      <c r="AF154" s="52"/>
      <c r="AG154" s="52"/>
      <c r="AH154" s="52"/>
      <c r="AI154" s="52"/>
      <c r="AJ154" s="125"/>
      <c r="AK154" s="98"/>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99"/>
    </row>
    <row r="155" spans="2:61" ht="20.100000000000001" customHeight="1" x14ac:dyDescent="0.45">
      <c r="B155" s="123"/>
      <c r="C155" s="31"/>
      <c r="D155" s="31"/>
      <c r="E155" s="31"/>
      <c r="F155" s="31"/>
      <c r="G155" s="96"/>
      <c r="H155" s="31"/>
      <c r="I155" s="31"/>
      <c r="J155" s="124" t="s">
        <v>155</v>
      </c>
      <c r="K155" s="52"/>
      <c r="L155" s="52"/>
      <c r="M155" s="52"/>
      <c r="N155" s="52"/>
      <c r="O155" s="52"/>
      <c r="P155" s="52"/>
      <c r="Q155" s="125"/>
      <c r="R155" s="52" t="s">
        <v>161</v>
      </c>
      <c r="S155" s="52"/>
      <c r="T155" s="52"/>
      <c r="U155" s="52"/>
      <c r="V155" s="52"/>
      <c r="W155" s="52"/>
      <c r="X155" s="52"/>
      <c r="Y155" s="52"/>
      <c r="Z155" s="52"/>
      <c r="AA155" s="52"/>
      <c r="AB155" s="52"/>
      <c r="AC155" s="52"/>
      <c r="AD155" s="52"/>
      <c r="AE155" s="52"/>
      <c r="AF155" s="52"/>
      <c r="AG155" s="52"/>
      <c r="AH155" s="52"/>
      <c r="AI155" s="52"/>
      <c r="AJ155" s="125"/>
      <c r="AK155" s="98"/>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99"/>
    </row>
    <row r="156" spans="2:61" ht="20.100000000000001" customHeight="1" x14ac:dyDescent="0.45">
      <c r="B156" s="123"/>
      <c r="C156" s="31"/>
      <c r="D156" s="31"/>
      <c r="E156" s="31"/>
      <c r="F156" s="31"/>
      <c r="G156" s="96"/>
      <c r="H156" s="31"/>
      <c r="I156" s="31"/>
      <c r="J156" s="124" t="s">
        <v>156</v>
      </c>
      <c r="K156" s="52"/>
      <c r="L156" s="52"/>
      <c r="M156" s="52"/>
      <c r="N156" s="52"/>
      <c r="O156" s="52"/>
      <c r="P156" s="52"/>
      <c r="Q156" s="125"/>
      <c r="R156" s="52" t="s">
        <v>161</v>
      </c>
      <c r="S156" s="52"/>
      <c r="T156" s="52"/>
      <c r="U156" s="52"/>
      <c r="V156" s="52"/>
      <c r="W156" s="52"/>
      <c r="X156" s="52"/>
      <c r="Y156" s="52"/>
      <c r="Z156" s="52"/>
      <c r="AA156" s="52"/>
      <c r="AB156" s="52"/>
      <c r="AC156" s="52"/>
      <c r="AD156" s="52"/>
      <c r="AE156" s="52"/>
      <c r="AF156" s="52"/>
      <c r="AG156" s="52"/>
      <c r="AH156" s="52"/>
      <c r="AI156" s="52"/>
      <c r="AJ156" s="125"/>
      <c r="AK156" s="98"/>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99"/>
    </row>
    <row r="157" spans="2:61" ht="20.100000000000001" customHeight="1" x14ac:dyDescent="0.45">
      <c r="B157" s="123"/>
      <c r="C157" s="31"/>
      <c r="D157" s="31"/>
      <c r="E157" s="31"/>
      <c r="F157" s="31"/>
      <c r="G157" s="96"/>
      <c r="H157" s="100" t="s">
        <v>162</v>
      </c>
      <c r="I157" s="55"/>
      <c r="J157" s="100" t="s">
        <v>163</v>
      </c>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101"/>
      <c r="AL157" s="55"/>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102"/>
    </row>
    <row r="158" spans="2:61" ht="20.100000000000001" customHeight="1" x14ac:dyDescent="0.45">
      <c r="B158" s="95"/>
      <c r="C158" s="31"/>
      <c r="D158" s="31"/>
      <c r="E158" s="31"/>
      <c r="F158" s="31"/>
      <c r="G158" s="96"/>
      <c r="H158" s="100" t="s">
        <v>164</v>
      </c>
      <c r="I158" s="55"/>
      <c r="J158" s="100" t="s">
        <v>165</v>
      </c>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101"/>
      <c r="AL158" s="55"/>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102"/>
    </row>
    <row r="159" spans="2:61" ht="20.100000000000001" customHeight="1" x14ac:dyDescent="0.45">
      <c r="B159" s="95"/>
      <c r="C159" s="31"/>
      <c r="D159" s="31"/>
      <c r="E159" s="31"/>
      <c r="F159" s="31"/>
      <c r="G159" s="96"/>
      <c r="H159" s="97"/>
      <c r="I159" s="31"/>
      <c r="J159" s="97"/>
      <c r="K159" s="31" t="s">
        <v>166</v>
      </c>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98"/>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99"/>
    </row>
    <row r="160" spans="2:61" ht="20.100000000000001" customHeight="1" x14ac:dyDescent="0.45">
      <c r="B160" s="95"/>
      <c r="C160" s="31"/>
      <c r="D160" s="31"/>
      <c r="E160" s="31"/>
      <c r="F160" s="31"/>
      <c r="G160" s="96"/>
      <c r="H160" s="100" t="s">
        <v>167</v>
      </c>
      <c r="I160" s="55"/>
      <c r="J160" s="100" t="s">
        <v>176</v>
      </c>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128"/>
      <c r="AK160" s="101"/>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102"/>
    </row>
    <row r="161" spans="2:61" ht="20.100000000000001" customHeight="1" x14ac:dyDescent="0.45">
      <c r="B161" s="95"/>
      <c r="C161" s="31"/>
      <c r="D161" s="31"/>
      <c r="E161" s="31"/>
      <c r="F161" s="31"/>
      <c r="G161" s="96"/>
      <c r="H161" s="97"/>
      <c r="I161" s="31"/>
      <c r="J161" s="97"/>
      <c r="K161" s="31" t="s">
        <v>174</v>
      </c>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97"/>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99"/>
    </row>
    <row r="162" spans="2:61" ht="20.100000000000001" customHeight="1" x14ac:dyDescent="0.45">
      <c r="B162" s="95"/>
      <c r="C162" s="31"/>
      <c r="D162" s="31"/>
      <c r="E162" s="31"/>
      <c r="F162" s="31"/>
      <c r="G162" s="96"/>
      <c r="H162" s="97"/>
      <c r="I162" s="31"/>
      <c r="J162" s="97"/>
      <c r="K162" s="31" t="s">
        <v>175</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97"/>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99"/>
    </row>
    <row r="163" spans="2:61" ht="20.100000000000001" customHeight="1" x14ac:dyDescent="0.45">
      <c r="B163" s="95"/>
      <c r="C163" s="31"/>
      <c r="D163" s="31"/>
      <c r="E163" s="31"/>
      <c r="F163" s="31"/>
      <c r="G163" s="96"/>
      <c r="H163" s="97"/>
      <c r="I163" s="31"/>
      <c r="J163" s="97"/>
      <c r="K163" s="31" t="s">
        <v>189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97"/>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99"/>
    </row>
    <row r="164" spans="2:61" ht="20.100000000000001" customHeight="1" x14ac:dyDescent="0.45">
      <c r="B164" s="95"/>
      <c r="C164" s="31"/>
      <c r="D164" s="31"/>
      <c r="E164" s="31"/>
      <c r="F164" s="31"/>
      <c r="G164" s="96"/>
      <c r="H164" s="97"/>
      <c r="I164" s="31"/>
      <c r="J164" s="97"/>
      <c r="K164" s="31" t="s">
        <v>196</v>
      </c>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97"/>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99"/>
    </row>
    <row r="165" spans="2:61" ht="20.100000000000001" customHeight="1" thickBot="1" x14ac:dyDescent="0.5">
      <c r="B165" s="95"/>
      <c r="C165" s="31"/>
      <c r="D165" s="31"/>
      <c r="E165" s="31"/>
      <c r="F165" s="31"/>
      <c r="G165" s="96"/>
      <c r="H165" s="129" t="s">
        <v>170</v>
      </c>
      <c r="I165" s="130"/>
      <c r="J165" s="129" t="s">
        <v>177</v>
      </c>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1"/>
      <c r="AL165" s="130"/>
      <c r="AM165" s="130"/>
      <c r="AN165" s="130"/>
      <c r="AO165" s="130"/>
      <c r="AP165" s="130"/>
      <c r="AQ165" s="130"/>
      <c r="AR165" s="130"/>
      <c r="AS165" s="130"/>
      <c r="AT165" s="130"/>
      <c r="AU165" s="130"/>
      <c r="AV165" s="130"/>
      <c r="AW165" s="130"/>
      <c r="AX165" s="130"/>
      <c r="AY165" s="130"/>
      <c r="AZ165" s="130"/>
      <c r="BA165" s="130"/>
      <c r="BB165" s="130"/>
      <c r="BC165" s="130"/>
      <c r="BD165" s="130"/>
      <c r="BE165" s="130"/>
      <c r="BF165" s="130"/>
      <c r="BG165" s="130"/>
      <c r="BH165" s="130"/>
      <c r="BI165" s="132"/>
    </row>
    <row r="166" spans="2:61" ht="20.100000000000001" customHeight="1" x14ac:dyDescent="0.45">
      <c r="B166" s="89" t="s">
        <v>197</v>
      </c>
      <c r="C166" s="90"/>
      <c r="D166" s="90"/>
      <c r="E166" s="90"/>
      <c r="F166" s="90"/>
      <c r="G166" s="91"/>
      <c r="H166" s="92" t="s">
        <v>126</v>
      </c>
      <c r="I166" s="90"/>
      <c r="J166" s="120" t="s">
        <v>127</v>
      </c>
      <c r="K166" s="121"/>
      <c r="L166" s="121"/>
      <c r="M166" s="121"/>
      <c r="N166" s="121"/>
      <c r="O166" s="121"/>
      <c r="P166" s="121"/>
      <c r="Q166" s="122"/>
      <c r="R166" s="121">
        <v>2</v>
      </c>
      <c r="S166" s="121"/>
      <c r="T166" s="121"/>
      <c r="U166" s="121"/>
      <c r="V166" s="121"/>
      <c r="W166" s="121"/>
      <c r="X166" s="121"/>
      <c r="Y166" s="121"/>
      <c r="Z166" s="121"/>
      <c r="AA166" s="121"/>
      <c r="AB166" s="121"/>
      <c r="AC166" s="121"/>
      <c r="AD166" s="121"/>
      <c r="AE166" s="121"/>
      <c r="AF166" s="121"/>
      <c r="AG166" s="121"/>
      <c r="AH166" s="121"/>
      <c r="AI166" s="121"/>
      <c r="AJ166" s="122"/>
      <c r="AK166" s="93" t="s">
        <v>198</v>
      </c>
      <c r="AL166" s="90"/>
      <c r="AM166" s="90"/>
      <c r="AN166" s="90"/>
      <c r="AO166" s="90"/>
      <c r="AP166" s="90"/>
      <c r="AQ166" s="90"/>
      <c r="AR166" s="90"/>
      <c r="AS166" s="90"/>
      <c r="AT166" s="90"/>
      <c r="AU166" s="90"/>
      <c r="AV166" s="90"/>
      <c r="AW166" s="90"/>
      <c r="AX166" s="90"/>
      <c r="AY166" s="90"/>
      <c r="AZ166" s="90"/>
      <c r="BA166" s="90"/>
      <c r="BB166" s="90"/>
      <c r="BC166" s="90"/>
      <c r="BD166" s="90"/>
      <c r="BE166" s="90"/>
      <c r="BF166" s="90"/>
      <c r="BG166" s="90"/>
      <c r="BH166" s="90"/>
      <c r="BI166" s="94"/>
    </row>
    <row r="167" spans="2:61" ht="20.100000000000001" customHeight="1" x14ac:dyDescent="0.45">
      <c r="B167" s="123"/>
      <c r="C167" s="31"/>
      <c r="D167" s="31"/>
      <c r="E167" s="31"/>
      <c r="F167" s="31"/>
      <c r="G167" s="96"/>
      <c r="H167" s="97"/>
      <c r="I167" s="31"/>
      <c r="J167" s="124" t="s">
        <v>128</v>
      </c>
      <c r="K167" s="52"/>
      <c r="L167" s="52"/>
      <c r="M167" s="52"/>
      <c r="N167" s="52"/>
      <c r="O167" s="52"/>
      <c r="P167" s="52"/>
      <c r="Q167" s="125"/>
      <c r="R167" s="52" t="s">
        <v>172</v>
      </c>
      <c r="S167" s="52"/>
      <c r="T167" s="52"/>
      <c r="U167" s="52"/>
      <c r="V167" s="52"/>
      <c r="W167" s="52"/>
      <c r="X167" s="52"/>
      <c r="Y167" s="52"/>
      <c r="Z167" s="52"/>
      <c r="AA167" s="52"/>
      <c r="AB167" s="52"/>
      <c r="AC167" s="52"/>
      <c r="AD167" s="52"/>
      <c r="AE167" s="52"/>
      <c r="AF167" s="52"/>
      <c r="AG167" s="52"/>
      <c r="AH167" s="52"/>
      <c r="AI167" s="52"/>
      <c r="AJ167" s="125"/>
      <c r="AK167" s="98"/>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99"/>
    </row>
    <row r="168" spans="2:61" ht="20.100000000000001" customHeight="1" x14ac:dyDescent="0.45">
      <c r="B168" s="123"/>
      <c r="C168" s="31"/>
      <c r="D168" s="31"/>
      <c r="E168" s="31"/>
      <c r="F168" s="31"/>
      <c r="G168" s="96"/>
      <c r="H168" s="97"/>
      <c r="I168" s="31"/>
      <c r="J168" s="124" t="s">
        <v>129</v>
      </c>
      <c r="K168" s="52"/>
      <c r="L168" s="52"/>
      <c r="M168" s="52"/>
      <c r="N168" s="52"/>
      <c r="O168" s="52"/>
      <c r="P168" s="52"/>
      <c r="Q168" s="125"/>
      <c r="R168" s="52" t="s">
        <v>157</v>
      </c>
      <c r="S168" s="52"/>
      <c r="T168" s="52"/>
      <c r="U168" s="52"/>
      <c r="V168" s="52"/>
      <c r="W168" s="52"/>
      <c r="X168" s="52"/>
      <c r="Y168" s="52"/>
      <c r="Z168" s="52"/>
      <c r="AA168" s="52"/>
      <c r="AB168" s="52"/>
      <c r="AC168" s="52"/>
      <c r="AD168" s="52"/>
      <c r="AE168" s="52"/>
      <c r="AF168" s="52"/>
      <c r="AG168" s="52"/>
      <c r="AH168" s="52"/>
      <c r="AI168" s="52"/>
      <c r="AJ168" s="125"/>
      <c r="AK168" s="98"/>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99"/>
    </row>
    <row r="169" spans="2:61" ht="20.100000000000001" customHeight="1" x14ac:dyDescent="0.45">
      <c r="B169" s="123"/>
      <c r="C169" s="31"/>
      <c r="D169" s="31"/>
      <c r="E169" s="31"/>
      <c r="F169" s="31"/>
      <c r="G169" s="96"/>
      <c r="H169" s="97"/>
      <c r="I169" s="31"/>
      <c r="J169" s="124" t="s">
        <v>130</v>
      </c>
      <c r="K169" s="52"/>
      <c r="L169" s="52"/>
      <c r="M169" s="52"/>
      <c r="N169" s="52"/>
      <c r="O169" s="52"/>
      <c r="P169" s="52"/>
      <c r="Q169" s="125"/>
      <c r="R169" s="52" t="s">
        <v>158</v>
      </c>
      <c r="S169" s="52"/>
      <c r="T169" s="52"/>
      <c r="U169" s="52"/>
      <c r="V169" s="52"/>
      <c r="W169" s="52"/>
      <c r="X169" s="52"/>
      <c r="Y169" s="52"/>
      <c r="Z169" s="52"/>
      <c r="AA169" s="52"/>
      <c r="AB169" s="52"/>
      <c r="AC169" s="52"/>
      <c r="AD169" s="52"/>
      <c r="AE169" s="52"/>
      <c r="AF169" s="52"/>
      <c r="AG169" s="52"/>
      <c r="AH169" s="52"/>
      <c r="AI169" s="52"/>
      <c r="AJ169" s="125"/>
      <c r="AK169" s="98"/>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99"/>
    </row>
    <row r="170" spans="2:61" ht="20.100000000000001" customHeight="1" x14ac:dyDescent="0.45">
      <c r="B170" s="123"/>
      <c r="C170" s="31"/>
      <c r="D170" s="31"/>
      <c r="E170" s="31"/>
      <c r="F170" s="31"/>
      <c r="G170" s="96"/>
      <c r="H170" s="31"/>
      <c r="I170" s="31"/>
      <c r="J170" s="124" t="s">
        <v>131</v>
      </c>
      <c r="K170" s="52"/>
      <c r="L170" s="52"/>
      <c r="M170" s="52"/>
      <c r="N170" s="52"/>
      <c r="O170" s="52"/>
      <c r="P170" s="52"/>
      <c r="Q170" s="125"/>
      <c r="R170" s="52" t="s">
        <v>159</v>
      </c>
      <c r="S170" s="52"/>
      <c r="T170" s="52"/>
      <c r="U170" s="52"/>
      <c r="V170" s="52"/>
      <c r="W170" s="52"/>
      <c r="X170" s="52"/>
      <c r="Y170" s="52"/>
      <c r="Z170" s="52"/>
      <c r="AA170" s="52"/>
      <c r="AB170" s="52"/>
      <c r="AC170" s="52"/>
      <c r="AD170" s="52"/>
      <c r="AE170" s="52"/>
      <c r="AF170" s="52"/>
      <c r="AG170" s="52"/>
      <c r="AH170" s="52"/>
      <c r="AI170" s="52"/>
      <c r="AJ170" s="125"/>
      <c r="AK170" s="98"/>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99"/>
    </row>
    <row r="171" spans="2:61" ht="20.100000000000001" customHeight="1" x14ac:dyDescent="0.45">
      <c r="B171" s="123"/>
      <c r="C171" s="31"/>
      <c r="D171" s="31"/>
      <c r="E171" s="31"/>
      <c r="F171" s="31"/>
      <c r="G171" s="96"/>
      <c r="H171" s="31"/>
      <c r="I171" s="31"/>
      <c r="J171" s="124" t="s">
        <v>132</v>
      </c>
      <c r="K171" s="52"/>
      <c r="L171" s="52"/>
      <c r="M171" s="52"/>
      <c r="N171" s="52"/>
      <c r="O171" s="52"/>
      <c r="P171" s="52"/>
      <c r="Q171" s="125"/>
      <c r="R171" s="52" t="s">
        <v>161</v>
      </c>
      <c r="S171" s="52"/>
      <c r="T171" s="52"/>
      <c r="U171" s="52"/>
      <c r="V171" s="52"/>
      <c r="W171" s="52"/>
      <c r="X171" s="52"/>
      <c r="Y171" s="52"/>
      <c r="Z171" s="52"/>
      <c r="AA171" s="52"/>
      <c r="AB171" s="52"/>
      <c r="AC171" s="52"/>
      <c r="AD171" s="52"/>
      <c r="AE171" s="52"/>
      <c r="AF171" s="52"/>
      <c r="AG171" s="52"/>
      <c r="AH171" s="52"/>
      <c r="AI171" s="52"/>
      <c r="AJ171" s="125"/>
      <c r="AK171" s="98"/>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99"/>
    </row>
    <row r="172" spans="2:61" ht="20.100000000000001" customHeight="1" x14ac:dyDescent="0.45">
      <c r="B172" s="123"/>
      <c r="C172" s="31"/>
      <c r="D172" s="31"/>
      <c r="E172" s="31"/>
      <c r="F172" s="31"/>
      <c r="G172" s="96"/>
      <c r="H172" s="31"/>
      <c r="I172" s="31"/>
      <c r="J172" s="124" t="s">
        <v>133</v>
      </c>
      <c r="K172" s="52"/>
      <c r="L172" s="52"/>
      <c r="M172" s="52"/>
      <c r="N172" s="52"/>
      <c r="O172" s="52"/>
      <c r="P172" s="52"/>
      <c r="Q172" s="125"/>
      <c r="R172" s="52" t="s">
        <v>199</v>
      </c>
      <c r="S172" s="52"/>
      <c r="T172" s="52"/>
      <c r="U172" s="52"/>
      <c r="V172" s="52"/>
      <c r="W172" s="52"/>
      <c r="X172" s="52"/>
      <c r="Y172" s="52"/>
      <c r="Z172" s="52"/>
      <c r="AA172" s="52"/>
      <c r="AB172" s="52"/>
      <c r="AC172" s="52"/>
      <c r="AD172" s="52"/>
      <c r="AE172" s="52"/>
      <c r="AF172" s="52"/>
      <c r="AG172" s="52"/>
      <c r="AH172" s="52"/>
      <c r="AI172" s="52"/>
      <c r="AJ172" s="125"/>
      <c r="AK172" s="98"/>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99"/>
    </row>
    <row r="173" spans="2:61" ht="20.100000000000001" customHeight="1" x14ac:dyDescent="0.45">
      <c r="B173" s="123"/>
      <c r="C173" s="31"/>
      <c r="D173" s="31"/>
      <c r="E173" s="31"/>
      <c r="F173" s="31"/>
      <c r="G173" s="96"/>
      <c r="H173" s="97"/>
      <c r="I173" s="31"/>
      <c r="J173" s="124" t="s">
        <v>134</v>
      </c>
      <c r="K173" s="52"/>
      <c r="L173" s="52"/>
      <c r="M173" s="52"/>
      <c r="N173" s="52"/>
      <c r="O173" s="52"/>
      <c r="P173" s="52"/>
      <c r="Q173" s="125"/>
      <c r="R173" s="52">
        <v>131</v>
      </c>
      <c r="S173" s="52"/>
      <c r="T173" s="52"/>
      <c r="U173" s="52"/>
      <c r="V173" s="52"/>
      <c r="W173" s="52"/>
      <c r="X173" s="52"/>
      <c r="Y173" s="52"/>
      <c r="Z173" s="52"/>
      <c r="AA173" s="52"/>
      <c r="AB173" s="52"/>
      <c r="AC173" s="52"/>
      <c r="AD173" s="52"/>
      <c r="AE173" s="52"/>
      <c r="AF173" s="52"/>
      <c r="AG173" s="52"/>
      <c r="AH173" s="52"/>
      <c r="AI173" s="52"/>
      <c r="AJ173" s="125"/>
      <c r="AK173" s="98"/>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99"/>
    </row>
    <row r="174" spans="2:61" ht="20.100000000000001" customHeight="1" x14ac:dyDescent="0.45">
      <c r="B174" s="123"/>
      <c r="C174" s="31"/>
      <c r="D174" s="31"/>
      <c r="E174" s="31"/>
      <c r="F174" s="31"/>
      <c r="G174" s="96"/>
      <c r="H174" s="97"/>
      <c r="I174" s="31"/>
      <c r="J174" s="124" t="s">
        <v>135</v>
      </c>
      <c r="K174" s="52"/>
      <c r="L174" s="52"/>
      <c r="M174" s="52"/>
      <c r="N174" s="52"/>
      <c r="O174" s="52"/>
      <c r="P174" s="52"/>
      <c r="Q174" s="125"/>
      <c r="R174" s="52" t="s">
        <v>161</v>
      </c>
      <c r="S174" s="52"/>
      <c r="T174" s="52"/>
      <c r="U174" s="52"/>
      <c r="V174" s="52"/>
      <c r="W174" s="52"/>
      <c r="X174" s="52"/>
      <c r="Y174" s="52"/>
      <c r="Z174" s="52"/>
      <c r="AA174" s="52"/>
      <c r="AB174" s="52"/>
      <c r="AC174" s="52"/>
      <c r="AD174" s="52"/>
      <c r="AE174" s="52"/>
      <c r="AF174" s="52"/>
      <c r="AG174" s="52"/>
      <c r="AH174" s="52"/>
      <c r="AI174" s="52"/>
      <c r="AJ174" s="125"/>
      <c r="AK174" s="98"/>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99"/>
    </row>
    <row r="175" spans="2:61" ht="20.100000000000001" customHeight="1" x14ac:dyDescent="0.45">
      <c r="B175" s="123"/>
      <c r="C175" s="31"/>
      <c r="D175" s="31"/>
      <c r="E175" s="31"/>
      <c r="F175" s="31"/>
      <c r="G175" s="96"/>
      <c r="H175" s="31"/>
      <c r="I175" s="31"/>
      <c r="J175" s="124" t="s">
        <v>136</v>
      </c>
      <c r="K175" s="52"/>
      <c r="L175" s="52"/>
      <c r="M175" s="52"/>
      <c r="N175" s="52"/>
      <c r="O175" s="52"/>
      <c r="P175" s="52"/>
      <c r="Q175" s="125"/>
      <c r="R175" s="52">
        <v>0</v>
      </c>
      <c r="S175" s="52"/>
      <c r="T175" s="52"/>
      <c r="U175" s="52"/>
      <c r="V175" s="52"/>
      <c r="W175" s="52"/>
      <c r="X175" s="52"/>
      <c r="Y175" s="52"/>
      <c r="Z175" s="52"/>
      <c r="AA175" s="52"/>
      <c r="AB175" s="52"/>
      <c r="AC175" s="52"/>
      <c r="AD175" s="52"/>
      <c r="AE175" s="52"/>
      <c r="AF175" s="52"/>
      <c r="AG175" s="52"/>
      <c r="AH175" s="52"/>
      <c r="AI175" s="52"/>
      <c r="AJ175" s="125"/>
      <c r="AK175" s="98"/>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99"/>
    </row>
    <row r="176" spans="2:61" ht="20.100000000000001" customHeight="1" x14ac:dyDescent="0.45">
      <c r="B176" s="123"/>
      <c r="C176" s="31"/>
      <c r="D176" s="31"/>
      <c r="E176" s="31"/>
      <c r="F176" s="31"/>
      <c r="G176" s="96"/>
      <c r="H176" s="31"/>
      <c r="I176" s="31"/>
      <c r="J176" s="124" t="s">
        <v>137</v>
      </c>
      <c r="K176" s="52"/>
      <c r="L176" s="52"/>
      <c r="M176" s="52"/>
      <c r="N176" s="52"/>
      <c r="O176" s="52"/>
      <c r="P176" s="52"/>
      <c r="Q176" s="125"/>
      <c r="R176" s="52">
        <v>0</v>
      </c>
      <c r="S176" s="52"/>
      <c r="T176" s="52"/>
      <c r="U176" s="52"/>
      <c r="V176" s="52"/>
      <c r="W176" s="52"/>
      <c r="X176" s="52"/>
      <c r="Y176" s="52"/>
      <c r="Z176" s="52"/>
      <c r="AA176" s="52"/>
      <c r="AB176" s="52"/>
      <c r="AC176" s="52"/>
      <c r="AD176" s="52"/>
      <c r="AE176" s="52"/>
      <c r="AF176" s="52"/>
      <c r="AG176" s="52"/>
      <c r="AH176" s="52"/>
      <c r="AI176" s="52"/>
      <c r="AJ176" s="125"/>
      <c r="AK176" s="98"/>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99"/>
    </row>
    <row r="177" spans="2:61" ht="20.100000000000001" customHeight="1" x14ac:dyDescent="0.45">
      <c r="B177" s="123"/>
      <c r="C177" s="31"/>
      <c r="D177" s="31"/>
      <c r="E177" s="31"/>
      <c r="F177" s="31"/>
      <c r="G177" s="96"/>
      <c r="H177" s="31"/>
      <c r="I177" s="31"/>
      <c r="J177" s="124" t="s">
        <v>138</v>
      </c>
      <c r="K177" s="52"/>
      <c r="L177" s="52"/>
      <c r="M177" s="52"/>
      <c r="N177" s="52"/>
      <c r="O177" s="52"/>
      <c r="P177" s="52"/>
      <c r="Q177" s="125"/>
      <c r="R177" s="52" t="s">
        <v>161</v>
      </c>
      <c r="S177" s="52"/>
      <c r="T177" s="52"/>
      <c r="U177" s="52"/>
      <c r="V177" s="52"/>
      <c r="W177" s="52"/>
      <c r="X177" s="52"/>
      <c r="Y177" s="52"/>
      <c r="Z177" s="52"/>
      <c r="AA177" s="52"/>
      <c r="AB177" s="52"/>
      <c r="AC177" s="52"/>
      <c r="AD177" s="52"/>
      <c r="AE177" s="52"/>
      <c r="AF177" s="52"/>
      <c r="AG177" s="52"/>
      <c r="AH177" s="52"/>
      <c r="AI177" s="52"/>
      <c r="AJ177" s="125"/>
      <c r="AK177" s="98"/>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99"/>
    </row>
    <row r="178" spans="2:61" ht="20.100000000000001" customHeight="1" x14ac:dyDescent="0.45">
      <c r="B178" s="123"/>
      <c r="C178" s="31"/>
      <c r="D178" s="31"/>
      <c r="E178" s="31"/>
      <c r="F178" s="31"/>
      <c r="G178" s="96"/>
      <c r="H178" s="97"/>
      <c r="I178" s="31"/>
      <c r="J178" s="124" t="s">
        <v>139</v>
      </c>
      <c r="K178" s="52"/>
      <c r="L178" s="52"/>
      <c r="M178" s="52"/>
      <c r="N178" s="52"/>
      <c r="O178" s="52"/>
      <c r="P178" s="52"/>
      <c r="Q178" s="125"/>
      <c r="R178" s="52" t="s">
        <v>187</v>
      </c>
      <c r="S178" s="52"/>
      <c r="T178" s="52"/>
      <c r="U178" s="52"/>
      <c r="V178" s="52"/>
      <c r="W178" s="52"/>
      <c r="X178" s="52"/>
      <c r="Y178" s="52"/>
      <c r="Z178" s="52"/>
      <c r="AA178" s="52"/>
      <c r="AB178" s="52"/>
      <c r="AC178" s="52"/>
      <c r="AD178" s="52"/>
      <c r="AE178" s="52"/>
      <c r="AF178" s="52"/>
      <c r="AG178" s="52"/>
      <c r="AH178" s="52"/>
      <c r="AI178" s="52"/>
      <c r="AJ178" s="125"/>
      <c r="AK178" s="98"/>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99"/>
    </row>
    <row r="179" spans="2:61" ht="20.100000000000001" customHeight="1" x14ac:dyDescent="0.45">
      <c r="B179" s="123"/>
      <c r="C179" s="31"/>
      <c r="D179" s="31"/>
      <c r="E179" s="31"/>
      <c r="F179" s="31"/>
      <c r="G179" s="96"/>
      <c r="H179" s="97"/>
      <c r="I179" s="31"/>
      <c r="J179" s="124" t="s">
        <v>140</v>
      </c>
      <c r="K179" s="52"/>
      <c r="L179" s="52"/>
      <c r="M179" s="52"/>
      <c r="N179" s="52"/>
      <c r="O179" s="52"/>
      <c r="P179" s="52"/>
      <c r="Q179" s="125"/>
      <c r="R179" s="52" t="s">
        <v>161</v>
      </c>
      <c r="S179" s="52"/>
      <c r="T179" s="52"/>
      <c r="U179" s="52"/>
      <c r="V179" s="52"/>
      <c r="W179" s="52"/>
      <c r="X179" s="52"/>
      <c r="Y179" s="52"/>
      <c r="Z179" s="52"/>
      <c r="AA179" s="52"/>
      <c r="AB179" s="52"/>
      <c r="AC179" s="52"/>
      <c r="AD179" s="52"/>
      <c r="AE179" s="52"/>
      <c r="AF179" s="52"/>
      <c r="AG179" s="52"/>
      <c r="AH179" s="52"/>
      <c r="AI179" s="52"/>
      <c r="AJ179" s="125"/>
      <c r="AK179" s="98"/>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99"/>
    </row>
    <row r="180" spans="2:61" ht="20.100000000000001" customHeight="1" x14ac:dyDescent="0.45">
      <c r="B180" s="123"/>
      <c r="C180" s="31"/>
      <c r="D180" s="31"/>
      <c r="E180" s="31"/>
      <c r="F180" s="31"/>
      <c r="G180" s="96"/>
      <c r="H180" s="31"/>
      <c r="I180" s="31"/>
      <c r="J180" s="124" t="s">
        <v>141</v>
      </c>
      <c r="K180" s="52"/>
      <c r="L180" s="52"/>
      <c r="M180" s="52"/>
      <c r="N180" s="52"/>
      <c r="O180" s="52"/>
      <c r="P180" s="52"/>
      <c r="Q180" s="125"/>
      <c r="R180" s="52" t="s">
        <v>161</v>
      </c>
      <c r="S180" s="52"/>
      <c r="T180" s="52"/>
      <c r="U180" s="52"/>
      <c r="V180" s="52"/>
      <c r="W180" s="52"/>
      <c r="X180" s="52"/>
      <c r="Y180" s="52"/>
      <c r="Z180" s="52"/>
      <c r="AA180" s="52"/>
      <c r="AB180" s="52"/>
      <c r="AC180" s="52"/>
      <c r="AD180" s="52"/>
      <c r="AE180" s="52"/>
      <c r="AF180" s="52"/>
      <c r="AG180" s="52"/>
      <c r="AH180" s="52"/>
      <c r="AI180" s="52"/>
      <c r="AJ180" s="125"/>
      <c r="AK180" s="98"/>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99"/>
    </row>
    <row r="181" spans="2:61" ht="20.100000000000001" customHeight="1" x14ac:dyDescent="0.45">
      <c r="B181" s="123"/>
      <c r="C181" s="31"/>
      <c r="D181" s="31"/>
      <c r="E181" s="31"/>
      <c r="F181" s="31"/>
      <c r="G181" s="96"/>
      <c r="H181" s="31"/>
      <c r="I181" s="31"/>
      <c r="J181" s="124" t="s">
        <v>142</v>
      </c>
      <c r="K181" s="52"/>
      <c r="L181" s="52"/>
      <c r="M181" s="52"/>
      <c r="N181" s="52"/>
      <c r="O181" s="52"/>
      <c r="P181" s="52"/>
      <c r="Q181" s="125"/>
      <c r="R181" s="52" t="s">
        <v>161</v>
      </c>
      <c r="S181" s="52"/>
      <c r="T181" s="52"/>
      <c r="U181" s="52"/>
      <c r="V181" s="52"/>
      <c r="W181" s="52"/>
      <c r="X181" s="52"/>
      <c r="Y181" s="52"/>
      <c r="Z181" s="52"/>
      <c r="AA181" s="52"/>
      <c r="AB181" s="52"/>
      <c r="AC181" s="52"/>
      <c r="AD181" s="52"/>
      <c r="AE181" s="52"/>
      <c r="AF181" s="52"/>
      <c r="AG181" s="52"/>
      <c r="AH181" s="52"/>
      <c r="AI181" s="52"/>
      <c r="AJ181" s="125"/>
      <c r="AK181" s="98"/>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99"/>
    </row>
    <row r="182" spans="2:61" ht="20.100000000000001" customHeight="1" x14ac:dyDescent="0.45">
      <c r="B182" s="123"/>
      <c r="C182" s="31"/>
      <c r="D182" s="31"/>
      <c r="E182" s="31"/>
      <c r="F182" s="31"/>
      <c r="G182" s="96"/>
      <c r="H182" s="97"/>
      <c r="I182" s="31"/>
      <c r="J182" s="124" t="s">
        <v>143</v>
      </c>
      <c r="K182" s="52"/>
      <c r="L182" s="52"/>
      <c r="M182" s="52"/>
      <c r="N182" s="52"/>
      <c r="O182" s="52"/>
      <c r="P182" s="52"/>
      <c r="Q182" s="125"/>
      <c r="R182" s="52">
        <v>810</v>
      </c>
      <c r="S182" s="52"/>
      <c r="T182" s="52"/>
      <c r="U182" s="52"/>
      <c r="V182" s="52"/>
      <c r="W182" s="52"/>
      <c r="X182" s="52"/>
      <c r="Y182" s="52"/>
      <c r="Z182" s="52"/>
      <c r="AA182" s="52"/>
      <c r="AB182" s="52"/>
      <c r="AC182" s="52"/>
      <c r="AD182" s="52"/>
      <c r="AE182" s="52"/>
      <c r="AF182" s="52"/>
      <c r="AG182" s="52"/>
      <c r="AH182" s="52"/>
      <c r="AI182" s="52"/>
      <c r="AJ182" s="125"/>
      <c r="AK182" s="98"/>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99"/>
    </row>
    <row r="183" spans="2:61" ht="20.100000000000001" customHeight="1" x14ac:dyDescent="0.45">
      <c r="B183" s="123"/>
      <c r="C183" s="31"/>
      <c r="D183" s="31"/>
      <c r="E183" s="31"/>
      <c r="F183" s="31"/>
      <c r="G183" s="96"/>
      <c r="H183" s="97"/>
      <c r="I183" s="31"/>
      <c r="J183" s="124" t="s">
        <v>106</v>
      </c>
      <c r="K183" s="52"/>
      <c r="L183" s="52"/>
      <c r="M183" s="52"/>
      <c r="N183" s="52"/>
      <c r="O183" s="52"/>
      <c r="P183" s="52"/>
      <c r="Q183" s="125"/>
      <c r="R183" s="52" t="s">
        <v>161</v>
      </c>
      <c r="S183" s="52"/>
      <c r="T183" s="52"/>
      <c r="U183" s="52"/>
      <c r="V183" s="52"/>
      <c r="W183" s="52"/>
      <c r="X183" s="52"/>
      <c r="Y183" s="52"/>
      <c r="Z183" s="52"/>
      <c r="AA183" s="52"/>
      <c r="AB183" s="52"/>
      <c r="AC183" s="52"/>
      <c r="AD183" s="52"/>
      <c r="AE183" s="52"/>
      <c r="AF183" s="52"/>
      <c r="AG183" s="52"/>
      <c r="AH183" s="52"/>
      <c r="AI183" s="52"/>
      <c r="AJ183" s="125"/>
      <c r="AK183" s="98"/>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99"/>
    </row>
    <row r="184" spans="2:61" ht="20.100000000000001" customHeight="1" x14ac:dyDescent="0.45">
      <c r="B184" s="123"/>
      <c r="C184" s="31"/>
      <c r="D184" s="31"/>
      <c r="E184" s="31"/>
      <c r="F184" s="31"/>
      <c r="G184" s="96"/>
      <c r="H184" s="31"/>
      <c r="I184" s="31"/>
      <c r="J184" s="124" t="s">
        <v>144</v>
      </c>
      <c r="K184" s="52"/>
      <c r="L184" s="52"/>
      <c r="M184" s="52"/>
      <c r="N184" s="52"/>
      <c r="O184" s="52"/>
      <c r="P184" s="52"/>
      <c r="Q184" s="125"/>
      <c r="R184" s="52">
        <v>20</v>
      </c>
      <c r="S184" s="52"/>
      <c r="T184" s="52"/>
      <c r="U184" s="52"/>
      <c r="V184" s="52"/>
      <c r="W184" s="52"/>
      <c r="X184" s="52"/>
      <c r="Y184" s="52"/>
      <c r="Z184" s="52"/>
      <c r="AA184" s="52"/>
      <c r="AB184" s="52"/>
      <c r="AC184" s="52"/>
      <c r="AD184" s="52"/>
      <c r="AE184" s="52"/>
      <c r="AF184" s="52"/>
      <c r="AG184" s="52"/>
      <c r="AH184" s="52"/>
      <c r="AI184" s="52"/>
      <c r="AJ184" s="125"/>
      <c r="AK184" s="98"/>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99"/>
    </row>
    <row r="185" spans="2:61" ht="20.100000000000001" customHeight="1" x14ac:dyDescent="0.45">
      <c r="B185" s="123"/>
      <c r="C185" s="31"/>
      <c r="D185" s="31"/>
      <c r="E185" s="31"/>
      <c r="F185" s="31"/>
      <c r="G185" s="96"/>
      <c r="H185" s="31"/>
      <c r="I185" s="31"/>
      <c r="J185" s="124" t="s">
        <v>145</v>
      </c>
      <c r="K185" s="52"/>
      <c r="L185" s="52"/>
      <c r="M185" s="52"/>
      <c r="N185" s="52"/>
      <c r="O185" s="52"/>
      <c r="P185" s="52"/>
      <c r="Q185" s="125"/>
      <c r="R185" s="133">
        <v>0</v>
      </c>
      <c r="S185" s="52"/>
      <c r="T185" s="52"/>
      <c r="U185" s="52"/>
      <c r="V185" s="52"/>
      <c r="W185" s="52"/>
      <c r="X185" s="52"/>
      <c r="Y185" s="52"/>
      <c r="Z185" s="52"/>
      <c r="AA185" s="52"/>
      <c r="AB185" s="52"/>
      <c r="AC185" s="52"/>
      <c r="AD185" s="52"/>
      <c r="AE185" s="52"/>
      <c r="AF185" s="52"/>
      <c r="AG185" s="52"/>
      <c r="AH185" s="52"/>
      <c r="AI185" s="52"/>
      <c r="AJ185" s="125"/>
      <c r="AK185" s="98"/>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99"/>
    </row>
    <row r="186" spans="2:61" ht="20.100000000000001" customHeight="1" x14ac:dyDescent="0.45">
      <c r="B186" s="123"/>
      <c r="C186" s="31"/>
      <c r="D186" s="31"/>
      <c r="E186" s="31"/>
      <c r="F186" s="31"/>
      <c r="G186" s="96"/>
      <c r="H186" s="31"/>
      <c r="I186" s="31"/>
      <c r="J186" s="124" t="s">
        <v>146</v>
      </c>
      <c r="K186" s="52"/>
      <c r="L186" s="52"/>
      <c r="M186" s="52"/>
      <c r="N186" s="52"/>
      <c r="O186" s="52"/>
      <c r="P186" s="52"/>
      <c r="Q186" s="125"/>
      <c r="R186" s="52" t="s">
        <v>160</v>
      </c>
      <c r="S186" s="52"/>
      <c r="T186" s="52"/>
      <c r="U186" s="52"/>
      <c r="V186" s="52"/>
      <c r="W186" s="52"/>
      <c r="X186" s="52"/>
      <c r="Y186" s="52"/>
      <c r="Z186" s="52"/>
      <c r="AA186" s="52"/>
      <c r="AB186" s="52"/>
      <c r="AC186" s="52"/>
      <c r="AD186" s="52"/>
      <c r="AE186" s="52"/>
      <c r="AF186" s="52"/>
      <c r="AG186" s="52"/>
      <c r="AH186" s="52"/>
      <c r="AI186" s="52"/>
      <c r="AJ186" s="125"/>
      <c r="AK186" s="98"/>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99"/>
    </row>
    <row r="187" spans="2:61" ht="20.100000000000001" customHeight="1" x14ac:dyDescent="0.45">
      <c r="B187" s="123"/>
      <c r="C187" s="31"/>
      <c r="D187" s="31"/>
      <c r="E187" s="31"/>
      <c r="F187" s="31"/>
      <c r="G187" s="96"/>
      <c r="H187" s="97"/>
      <c r="I187" s="31"/>
      <c r="J187" s="124" t="s">
        <v>147</v>
      </c>
      <c r="K187" s="52"/>
      <c r="L187" s="52"/>
      <c r="M187" s="52"/>
      <c r="N187" s="52"/>
      <c r="O187" s="52"/>
      <c r="P187" s="52"/>
      <c r="Q187" s="125"/>
      <c r="R187" s="52" t="s">
        <v>181</v>
      </c>
      <c r="S187" s="52"/>
      <c r="T187" s="52"/>
      <c r="U187" s="52"/>
      <c r="V187" s="52"/>
      <c r="W187" s="52"/>
      <c r="X187" s="52"/>
      <c r="Y187" s="52"/>
      <c r="Z187" s="52"/>
      <c r="AA187" s="52"/>
      <c r="AB187" s="52"/>
      <c r="AC187" s="52"/>
      <c r="AD187" s="52"/>
      <c r="AE187" s="52"/>
      <c r="AF187" s="52"/>
      <c r="AG187" s="52"/>
      <c r="AH187" s="52"/>
      <c r="AI187" s="52"/>
      <c r="AJ187" s="125"/>
      <c r="AK187" s="98"/>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99"/>
    </row>
    <row r="188" spans="2:61" ht="20.100000000000001" customHeight="1" x14ac:dyDescent="0.45">
      <c r="B188" s="123"/>
      <c r="C188" s="31"/>
      <c r="D188" s="31"/>
      <c r="E188" s="31"/>
      <c r="F188" s="31"/>
      <c r="G188" s="96"/>
      <c r="H188" s="97"/>
      <c r="I188" s="31"/>
      <c r="J188" s="124" t="s">
        <v>148</v>
      </c>
      <c r="K188" s="52"/>
      <c r="L188" s="52"/>
      <c r="M188" s="52"/>
      <c r="N188" s="52"/>
      <c r="O188" s="52"/>
      <c r="P188" s="52"/>
      <c r="Q188" s="125"/>
      <c r="R188" s="52" t="s">
        <v>160</v>
      </c>
      <c r="S188" s="52"/>
      <c r="T188" s="52"/>
      <c r="U188" s="52"/>
      <c r="V188" s="52"/>
      <c r="W188" s="52"/>
      <c r="X188" s="52"/>
      <c r="Y188" s="52"/>
      <c r="Z188" s="52"/>
      <c r="AA188" s="52"/>
      <c r="AB188" s="52"/>
      <c r="AC188" s="52"/>
      <c r="AD188" s="52"/>
      <c r="AE188" s="52"/>
      <c r="AF188" s="52"/>
      <c r="AG188" s="52"/>
      <c r="AH188" s="52"/>
      <c r="AI188" s="52"/>
      <c r="AJ188" s="125"/>
      <c r="AK188" s="98"/>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99"/>
    </row>
    <row r="189" spans="2:61" ht="20.100000000000001" customHeight="1" x14ac:dyDescent="0.45">
      <c r="B189" s="123"/>
      <c r="C189" s="31"/>
      <c r="D189" s="31"/>
      <c r="E189" s="31"/>
      <c r="F189" s="31"/>
      <c r="G189" s="96"/>
      <c r="H189" s="31"/>
      <c r="I189" s="31"/>
      <c r="J189" s="124" t="s">
        <v>149</v>
      </c>
      <c r="K189" s="52"/>
      <c r="L189" s="52"/>
      <c r="M189" s="52"/>
      <c r="N189" s="52"/>
      <c r="O189" s="52"/>
      <c r="P189" s="52"/>
      <c r="Q189" s="125"/>
      <c r="R189" s="52" t="s">
        <v>160</v>
      </c>
      <c r="S189" s="52"/>
      <c r="T189" s="52"/>
      <c r="U189" s="52"/>
      <c r="V189" s="52"/>
      <c r="W189" s="52"/>
      <c r="X189" s="52"/>
      <c r="Y189" s="52"/>
      <c r="Z189" s="52"/>
      <c r="AA189" s="52"/>
      <c r="AB189" s="52"/>
      <c r="AC189" s="52"/>
      <c r="AD189" s="52"/>
      <c r="AE189" s="52"/>
      <c r="AF189" s="52"/>
      <c r="AG189" s="52"/>
      <c r="AH189" s="52"/>
      <c r="AI189" s="52"/>
      <c r="AJ189" s="125"/>
      <c r="AK189" s="98"/>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99"/>
    </row>
    <row r="190" spans="2:61" ht="20.100000000000001" customHeight="1" x14ac:dyDescent="0.45">
      <c r="B190" s="123"/>
      <c r="C190" s="31"/>
      <c r="D190" s="31"/>
      <c r="E190" s="31"/>
      <c r="F190" s="31"/>
      <c r="G190" s="96"/>
      <c r="H190" s="31"/>
      <c r="I190" s="31"/>
      <c r="J190" s="124" t="s">
        <v>150</v>
      </c>
      <c r="K190" s="52"/>
      <c r="L190" s="52"/>
      <c r="M190" s="52"/>
      <c r="N190" s="52"/>
      <c r="O190" s="52"/>
      <c r="P190" s="52"/>
      <c r="Q190" s="125"/>
      <c r="R190" s="52" t="s">
        <v>161</v>
      </c>
      <c r="S190" s="52"/>
      <c r="T190" s="52"/>
      <c r="U190" s="52"/>
      <c r="V190" s="52"/>
      <c r="W190" s="52"/>
      <c r="X190" s="52"/>
      <c r="Y190" s="52"/>
      <c r="Z190" s="52"/>
      <c r="AA190" s="52"/>
      <c r="AB190" s="52"/>
      <c r="AC190" s="52"/>
      <c r="AD190" s="52"/>
      <c r="AE190" s="52"/>
      <c r="AF190" s="52"/>
      <c r="AG190" s="52"/>
      <c r="AH190" s="52"/>
      <c r="AI190" s="52"/>
      <c r="AJ190" s="125"/>
      <c r="AK190" s="98"/>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99"/>
    </row>
    <row r="191" spans="2:61" ht="20.100000000000001" customHeight="1" x14ac:dyDescent="0.45">
      <c r="B191" s="123"/>
      <c r="C191" s="31"/>
      <c r="D191" s="31"/>
      <c r="E191" s="31"/>
      <c r="F191" s="31"/>
      <c r="G191" s="96"/>
      <c r="H191" s="31"/>
      <c r="I191" s="31"/>
      <c r="J191" s="124" t="s">
        <v>151</v>
      </c>
      <c r="K191" s="52"/>
      <c r="L191" s="52"/>
      <c r="M191" s="52"/>
      <c r="N191" s="52"/>
      <c r="O191" s="52"/>
      <c r="P191" s="52"/>
      <c r="Q191" s="125"/>
      <c r="R191" s="52" t="s">
        <v>199</v>
      </c>
      <c r="S191" s="52"/>
      <c r="T191" s="52"/>
      <c r="U191" s="52"/>
      <c r="V191" s="52"/>
      <c r="W191" s="52"/>
      <c r="X191" s="52"/>
      <c r="Y191" s="52"/>
      <c r="Z191" s="52"/>
      <c r="AA191" s="52"/>
      <c r="AB191" s="52"/>
      <c r="AC191" s="52"/>
      <c r="AD191" s="52"/>
      <c r="AE191" s="52"/>
      <c r="AF191" s="52"/>
      <c r="AG191" s="52"/>
      <c r="AH191" s="52"/>
      <c r="AI191" s="52"/>
      <c r="AJ191" s="125"/>
      <c r="AK191" s="98"/>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99"/>
    </row>
    <row r="192" spans="2:61" ht="20.100000000000001" customHeight="1" x14ac:dyDescent="0.45">
      <c r="B192" s="123"/>
      <c r="C192" s="31"/>
      <c r="D192" s="31"/>
      <c r="E192" s="31"/>
      <c r="F192" s="31"/>
      <c r="G192" s="96"/>
      <c r="H192" s="97"/>
      <c r="I192" s="31"/>
      <c r="J192" s="124" t="s">
        <v>152</v>
      </c>
      <c r="K192" s="52"/>
      <c r="L192" s="52"/>
      <c r="M192" s="52"/>
      <c r="N192" s="52"/>
      <c r="O192" s="52"/>
      <c r="P192" s="52"/>
      <c r="Q192" s="125"/>
      <c r="R192" s="52" t="s">
        <v>171</v>
      </c>
      <c r="S192" s="52"/>
      <c r="T192" s="52"/>
      <c r="U192" s="52"/>
      <c r="V192" s="52"/>
      <c r="W192" s="52"/>
      <c r="X192" s="52"/>
      <c r="Y192" s="52"/>
      <c r="Z192" s="52"/>
      <c r="AA192" s="52"/>
      <c r="AB192" s="52"/>
      <c r="AC192" s="52"/>
      <c r="AD192" s="52"/>
      <c r="AE192" s="52"/>
      <c r="AF192" s="52"/>
      <c r="AG192" s="52"/>
      <c r="AH192" s="52"/>
      <c r="AI192" s="52"/>
      <c r="AJ192" s="125"/>
      <c r="AK192" s="98"/>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99"/>
    </row>
    <row r="193" spans="2:61" ht="20.100000000000001" customHeight="1" x14ac:dyDescent="0.45">
      <c r="B193" s="123"/>
      <c r="C193" s="31"/>
      <c r="D193" s="31"/>
      <c r="E193" s="31"/>
      <c r="F193" s="31"/>
      <c r="G193" s="96"/>
      <c r="H193" s="97"/>
      <c r="I193" s="31"/>
      <c r="J193" s="124" t="s">
        <v>153</v>
      </c>
      <c r="K193" s="52"/>
      <c r="L193" s="52"/>
      <c r="M193" s="52"/>
      <c r="N193" s="52"/>
      <c r="O193" s="52"/>
      <c r="P193" s="52"/>
      <c r="Q193" s="125"/>
      <c r="R193" s="52" t="s">
        <v>161</v>
      </c>
      <c r="S193" s="52"/>
      <c r="T193" s="52"/>
      <c r="U193" s="52"/>
      <c r="V193" s="52"/>
      <c r="W193" s="52"/>
      <c r="X193" s="52"/>
      <c r="Y193" s="52"/>
      <c r="Z193" s="52"/>
      <c r="AA193" s="52"/>
      <c r="AB193" s="52"/>
      <c r="AC193" s="52"/>
      <c r="AD193" s="52"/>
      <c r="AE193" s="52"/>
      <c r="AF193" s="52"/>
      <c r="AG193" s="52"/>
      <c r="AH193" s="52"/>
      <c r="AI193" s="52"/>
      <c r="AJ193" s="125"/>
      <c r="AK193" s="98"/>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99"/>
    </row>
    <row r="194" spans="2:61" ht="20.100000000000001" customHeight="1" x14ac:dyDescent="0.45">
      <c r="B194" s="123"/>
      <c r="C194" s="31"/>
      <c r="D194" s="31"/>
      <c r="E194" s="31"/>
      <c r="F194" s="31"/>
      <c r="G194" s="96"/>
      <c r="H194" s="31"/>
      <c r="I194" s="31"/>
      <c r="J194" s="124" t="s">
        <v>154</v>
      </c>
      <c r="K194" s="52"/>
      <c r="L194" s="52"/>
      <c r="M194" s="52"/>
      <c r="N194" s="52"/>
      <c r="O194" s="52"/>
      <c r="P194" s="52"/>
      <c r="Q194" s="125"/>
      <c r="R194" s="52" t="s">
        <v>161</v>
      </c>
      <c r="S194" s="52"/>
      <c r="T194" s="52"/>
      <c r="U194" s="52"/>
      <c r="V194" s="52"/>
      <c r="W194" s="52"/>
      <c r="X194" s="52"/>
      <c r="Y194" s="52"/>
      <c r="Z194" s="52"/>
      <c r="AA194" s="52"/>
      <c r="AB194" s="52"/>
      <c r="AC194" s="52"/>
      <c r="AD194" s="52"/>
      <c r="AE194" s="52"/>
      <c r="AF194" s="52"/>
      <c r="AG194" s="52"/>
      <c r="AH194" s="52"/>
      <c r="AI194" s="52"/>
      <c r="AJ194" s="125"/>
      <c r="AK194" s="98"/>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99"/>
    </row>
    <row r="195" spans="2:61" ht="20.100000000000001" customHeight="1" x14ac:dyDescent="0.45">
      <c r="B195" s="123"/>
      <c r="C195" s="31"/>
      <c r="D195" s="31"/>
      <c r="E195" s="31"/>
      <c r="F195" s="31"/>
      <c r="G195" s="96"/>
      <c r="H195" s="31"/>
      <c r="I195" s="31"/>
      <c r="J195" s="124" t="s">
        <v>155</v>
      </c>
      <c r="K195" s="52"/>
      <c r="L195" s="52"/>
      <c r="M195" s="52"/>
      <c r="N195" s="52"/>
      <c r="O195" s="52"/>
      <c r="P195" s="52"/>
      <c r="Q195" s="125"/>
      <c r="R195" s="52" t="s">
        <v>161</v>
      </c>
      <c r="S195" s="52"/>
      <c r="T195" s="52"/>
      <c r="U195" s="52"/>
      <c r="V195" s="52"/>
      <c r="W195" s="52"/>
      <c r="X195" s="52"/>
      <c r="Y195" s="52"/>
      <c r="Z195" s="52"/>
      <c r="AA195" s="52"/>
      <c r="AB195" s="52"/>
      <c r="AC195" s="52"/>
      <c r="AD195" s="52"/>
      <c r="AE195" s="52"/>
      <c r="AF195" s="52"/>
      <c r="AG195" s="52"/>
      <c r="AH195" s="52"/>
      <c r="AI195" s="52"/>
      <c r="AJ195" s="125"/>
      <c r="AK195" s="98"/>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99"/>
    </row>
    <row r="196" spans="2:61" ht="20.100000000000001" customHeight="1" x14ac:dyDescent="0.45">
      <c r="B196" s="123"/>
      <c r="C196" s="31"/>
      <c r="D196" s="31"/>
      <c r="E196" s="31"/>
      <c r="F196" s="31"/>
      <c r="G196" s="96"/>
      <c r="H196" s="31"/>
      <c r="I196" s="31"/>
      <c r="J196" s="124" t="s">
        <v>156</v>
      </c>
      <c r="K196" s="52"/>
      <c r="L196" s="52"/>
      <c r="M196" s="52"/>
      <c r="N196" s="52"/>
      <c r="O196" s="52"/>
      <c r="P196" s="52"/>
      <c r="Q196" s="125"/>
      <c r="R196" s="52" t="s">
        <v>161</v>
      </c>
      <c r="S196" s="52"/>
      <c r="T196" s="52"/>
      <c r="U196" s="52"/>
      <c r="V196" s="52"/>
      <c r="W196" s="52"/>
      <c r="X196" s="52"/>
      <c r="Y196" s="52"/>
      <c r="Z196" s="52"/>
      <c r="AA196" s="52"/>
      <c r="AB196" s="52"/>
      <c r="AC196" s="52"/>
      <c r="AD196" s="52"/>
      <c r="AE196" s="52"/>
      <c r="AF196" s="52"/>
      <c r="AG196" s="52"/>
      <c r="AH196" s="52"/>
      <c r="AI196" s="52"/>
      <c r="AJ196" s="125"/>
      <c r="AK196" s="98"/>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99"/>
    </row>
    <row r="197" spans="2:61" ht="20.100000000000001" customHeight="1" x14ac:dyDescent="0.45">
      <c r="B197" s="123"/>
      <c r="C197" s="31"/>
      <c r="D197" s="31"/>
      <c r="E197" s="31"/>
      <c r="F197" s="31"/>
      <c r="G197" s="96"/>
      <c r="H197" s="100" t="s">
        <v>162</v>
      </c>
      <c r="I197" s="55"/>
      <c r="J197" s="100" t="s">
        <v>163</v>
      </c>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101"/>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102"/>
    </row>
    <row r="198" spans="2:61" ht="20.100000000000001" customHeight="1" x14ac:dyDescent="0.45">
      <c r="B198" s="95"/>
      <c r="C198" s="31"/>
      <c r="D198" s="31"/>
      <c r="E198" s="31"/>
      <c r="F198" s="31"/>
      <c r="G198" s="96"/>
      <c r="H198" s="100" t="s">
        <v>164</v>
      </c>
      <c r="I198" s="55"/>
      <c r="J198" s="100" t="s">
        <v>165</v>
      </c>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101"/>
      <c r="AL198" s="55"/>
      <c r="AM198" s="55"/>
      <c r="AN198" s="55"/>
      <c r="AO198" s="55"/>
      <c r="AP198" s="55"/>
      <c r="AQ198" s="55"/>
      <c r="AR198" s="55"/>
      <c r="AS198" s="55"/>
      <c r="AT198" s="55"/>
      <c r="AU198" s="55"/>
      <c r="AV198" s="55"/>
      <c r="AW198" s="55"/>
      <c r="AX198" s="55"/>
      <c r="AY198" s="55"/>
      <c r="AZ198" s="55"/>
      <c r="BA198" s="55"/>
      <c r="BB198" s="55"/>
      <c r="BC198" s="55"/>
      <c r="BD198" s="55"/>
      <c r="BE198" s="55"/>
      <c r="BF198" s="55"/>
      <c r="BG198" s="55"/>
      <c r="BH198" s="55"/>
      <c r="BI198" s="102"/>
    </row>
    <row r="199" spans="2:61" ht="20.100000000000001" customHeight="1" x14ac:dyDescent="0.45">
      <c r="B199" s="95"/>
      <c r="C199" s="31"/>
      <c r="D199" s="31"/>
      <c r="E199" s="31"/>
      <c r="F199" s="31"/>
      <c r="G199" s="96"/>
      <c r="H199" s="97"/>
      <c r="I199" s="31"/>
      <c r="J199" s="97"/>
      <c r="K199" s="31" t="s">
        <v>166</v>
      </c>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98"/>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99"/>
    </row>
    <row r="200" spans="2:61" ht="20.100000000000001" customHeight="1" x14ac:dyDescent="0.45">
      <c r="B200" s="95"/>
      <c r="C200" s="31"/>
      <c r="D200" s="31"/>
      <c r="E200" s="31"/>
      <c r="F200" s="31"/>
      <c r="G200" s="96"/>
      <c r="H200" s="100" t="s">
        <v>167</v>
      </c>
      <c r="I200" s="55"/>
      <c r="J200" s="100" t="s">
        <v>176</v>
      </c>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128"/>
      <c r="AK200" s="101"/>
      <c r="AL200" s="55"/>
      <c r="AM200" s="55"/>
      <c r="AN200" s="55"/>
      <c r="AO200" s="55"/>
      <c r="AP200" s="55"/>
      <c r="AQ200" s="55"/>
      <c r="AR200" s="55"/>
      <c r="AS200" s="55"/>
      <c r="AT200" s="55"/>
      <c r="AU200" s="55"/>
      <c r="AV200" s="55"/>
      <c r="AW200" s="55"/>
      <c r="AX200" s="55"/>
      <c r="AY200" s="55"/>
      <c r="AZ200" s="55"/>
      <c r="BA200" s="55"/>
      <c r="BB200" s="55"/>
      <c r="BC200" s="55"/>
      <c r="BD200" s="55"/>
      <c r="BE200" s="55"/>
      <c r="BF200" s="55"/>
      <c r="BG200" s="55"/>
      <c r="BH200" s="55"/>
      <c r="BI200" s="102"/>
    </row>
    <row r="201" spans="2:61" ht="20.100000000000001" customHeight="1" x14ac:dyDescent="0.45">
      <c r="B201" s="95"/>
      <c r="C201" s="31"/>
      <c r="D201" s="31"/>
      <c r="E201" s="31"/>
      <c r="F201" s="31"/>
      <c r="G201" s="96"/>
      <c r="H201" s="97"/>
      <c r="I201" s="31"/>
      <c r="J201" s="97"/>
      <c r="K201" s="31" t="s">
        <v>174</v>
      </c>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97"/>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99"/>
    </row>
    <row r="202" spans="2:61" ht="20.100000000000001" customHeight="1" x14ac:dyDescent="0.45">
      <c r="B202" s="95"/>
      <c r="C202" s="31"/>
      <c r="D202" s="31"/>
      <c r="E202" s="31"/>
      <c r="F202" s="31"/>
      <c r="G202" s="96"/>
      <c r="H202" s="97"/>
      <c r="I202" s="31"/>
      <c r="J202" s="97"/>
      <c r="K202" s="31" t="s">
        <v>175</v>
      </c>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97"/>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99"/>
    </row>
    <row r="203" spans="2:61" ht="20.100000000000001" customHeight="1" x14ac:dyDescent="0.45">
      <c r="B203" s="95"/>
      <c r="C203" s="31"/>
      <c r="D203" s="31"/>
      <c r="E203" s="31"/>
      <c r="F203" s="31"/>
      <c r="G203" s="96"/>
      <c r="H203" s="97"/>
      <c r="I203" s="31"/>
      <c r="J203" s="97"/>
      <c r="K203" s="31" t="s">
        <v>200</v>
      </c>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97"/>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99"/>
    </row>
    <row r="204" spans="2:61" ht="20.100000000000001" customHeight="1" x14ac:dyDescent="0.45">
      <c r="B204" s="95"/>
      <c r="C204" s="31"/>
      <c r="D204" s="31"/>
      <c r="E204" s="31"/>
      <c r="F204" s="31"/>
      <c r="G204" s="96"/>
      <c r="H204" s="97"/>
      <c r="I204" s="31"/>
      <c r="J204" s="97"/>
      <c r="K204" s="31" t="s">
        <v>201</v>
      </c>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97"/>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99"/>
    </row>
    <row r="205" spans="2:61" ht="20.100000000000001" customHeight="1" thickBot="1" x14ac:dyDescent="0.5">
      <c r="B205" s="95"/>
      <c r="C205" s="31"/>
      <c r="D205" s="31"/>
      <c r="E205" s="31"/>
      <c r="F205" s="31"/>
      <c r="G205" s="96"/>
      <c r="H205" s="129" t="s">
        <v>170</v>
      </c>
      <c r="I205" s="130"/>
      <c r="J205" s="129" t="s">
        <v>177</v>
      </c>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1"/>
      <c r="AL205" s="130"/>
      <c r="AM205" s="130"/>
      <c r="AN205" s="130"/>
      <c r="AO205" s="130"/>
      <c r="AP205" s="130"/>
      <c r="AQ205" s="130"/>
      <c r="AR205" s="130"/>
      <c r="AS205" s="130"/>
      <c r="AT205" s="130"/>
      <c r="AU205" s="130"/>
      <c r="AV205" s="130"/>
      <c r="AW205" s="130"/>
      <c r="AX205" s="130"/>
      <c r="AY205" s="130"/>
      <c r="AZ205" s="130"/>
      <c r="BA205" s="130"/>
      <c r="BB205" s="130"/>
      <c r="BC205" s="130"/>
      <c r="BD205" s="130"/>
      <c r="BE205" s="130"/>
      <c r="BF205" s="130"/>
      <c r="BG205" s="130"/>
      <c r="BH205" s="130"/>
      <c r="BI205" s="132"/>
    </row>
    <row r="206" spans="2:61" ht="20.100000000000001" customHeight="1" x14ac:dyDescent="0.45">
      <c r="B206" s="89" t="s">
        <v>202</v>
      </c>
      <c r="C206" s="90"/>
      <c r="D206" s="90"/>
      <c r="E206" s="90"/>
      <c r="F206" s="90"/>
      <c r="G206" s="91"/>
      <c r="H206" s="92" t="s">
        <v>126</v>
      </c>
      <c r="I206" s="90"/>
      <c r="J206" s="120" t="s">
        <v>127</v>
      </c>
      <c r="K206" s="121"/>
      <c r="L206" s="121"/>
      <c r="M206" s="121"/>
      <c r="N206" s="121"/>
      <c r="O206" s="121"/>
      <c r="P206" s="121"/>
      <c r="Q206" s="122"/>
      <c r="R206" s="121">
        <v>2</v>
      </c>
      <c r="S206" s="121"/>
      <c r="T206" s="121"/>
      <c r="U206" s="121"/>
      <c r="V206" s="121"/>
      <c r="W206" s="121"/>
      <c r="X206" s="121"/>
      <c r="Y206" s="121"/>
      <c r="Z206" s="121"/>
      <c r="AA206" s="121"/>
      <c r="AB206" s="121"/>
      <c r="AC206" s="121"/>
      <c r="AD206" s="121"/>
      <c r="AE206" s="121"/>
      <c r="AF206" s="121"/>
      <c r="AG206" s="121"/>
      <c r="AH206" s="121"/>
      <c r="AI206" s="121"/>
      <c r="AJ206" s="122"/>
      <c r="AK206" s="93" t="s">
        <v>198</v>
      </c>
      <c r="AL206" s="90"/>
      <c r="AM206" s="90"/>
      <c r="AN206" s="90"/>
      <c r="AO206" s="90"/>
      <c r="AP206" s="90"/>
      <c r="AQ206" s="90"/>
      <c r="AR206" s="90"/>
      <c r="AS206" s="90"/>
      <c r="AT206" s="90"/>
      <c r="AU206" s="90"/>
      <c r="AV206" s="90"/>
      <c r="AW206" s="90"/>
      <c r="AX206" s="90"/>
      <c r="AY206" s="90"/>
      <c r="AZ206" s="90"/>
      <c r="BA206" s="90"/>
      <c r="BB206" s="90"/>
      <c r="BC206" s="90"/>
      <c r="BD206" s="90"/>
      <c r="BE206" s="90"/>
      <c r="BF206" s="90"/>
      <c r="BG206" s="90"/>
      <c r="BH206" s="90"/>
      <c r="BI206" s="94"/>
    </row>
    <row r="207" spans="2:61" ht="20.100000000000001" customHeight="1" x14ac:dyDescent="0.45">
      <c r="B207" s="123"/>
      <c r="C207" s="31"/>
      <c r="D207" s="31"/>
      <c r="E207" s="31"/>
      <c r="F207" s="31"/>
      <c r="G207" s="96"/>
      <c r="H207" s="97"/>
      <c r="I207" s="31"/>
      <c r="J207" s="124" t="s">
        <v>128</v>
      </c>
      <c r="K207" s="52"/>
      <c r="L207" s="52"/>
      <c r="M207" s="52"/>
      <c r="N207" s="52"/>
      <c r="O207" s="52"/>
      <c r="P207" s="52"/>
      <c r="Q207" s="125"/>
      <c r="R207" s="52" t="s">
        <v>172</v>
      </c>
      <c r="S207" s="52"/>
      <c r="T207" s="52"/>
      <c r="U207" s="52"/>
      <c r="V207" s="52"/>
      <c r="W207" s="52"/>
      <c r="X207" s="52"/>
      <c r="Y207" s="52"/>
      <c r="Z207" s="52"/>
      <c r="AA207" s="52"/>
      <c r="AB207" s="52"/>
      <c r="AC207" s="52"/>
      <c r="AD207" s="52"/>
      <c r="AE207" s="52"/>
      <c r="AF207" s="52"/>
      <c r="AG207" s="52"/>
      <c r="AH207" s="52"/>
      <c r="AI207" s="52"/>
      <c r="AJ207" s="125"/>
      <c r="AK207" s="98" t="s">
        <v>193</v>
      </c>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99"/>
    </row>
    <row r="208" spans="2:61" ht="20.100000000000001" customHeight="1" x14ac:dyDescent="0.45">
      <c r="B208" s="123"/>
      <c r="C208" s="31"/>
      <c r="D208" s="31"/>
      <c r="E208" s="31"/>
      <c r="F208" s="31"/>
      <c r="G208" s="96"/>
      <c r="H208" s="97"/>
      <c r="I208" s="31"/>
      <c r="J208" s="124" t="s">
        <v>129</v>
      </c>
      <c r="K208" s="52"/>
      <c r="L208" s="52"/>
      <c r="M208" s="52"/>
      <c r="N208" s="52"/>
      <c r="O208" s="52"/>
      <c r="P208" s="52"/>
      <c r="Q208" s="125"/>
      <c r="R208" s="52" t="s">
        <v>157</v>
      </c>
      <c r="S208" s="52"/>
      <c r="T208" s="52"/>
      <c r="U208" s="52"/>
      <c r="V208" s="52"/>
      <c r="W208" s="52"/>
      <c r="X208" s="52"/>
      <c r="Y208" s="52"/>
      <c r="Z208" s="52"/>
      <c r="AA208" s="52"/>
      <c r="AB208" s="52"/>
      <c r="AC208" s="52"/>
      <c r="AD208" s="52"/>
      <c r="AE208" s="52"/>
      <c r="AF208" s="52"/>
      <c r="AG208" s="52"/>
      <c r="AH208" s="52"/>
      <c r="AI208" s="52"/>
      <c r="AJ208" s="125"/>
      <c r="AK208" s="98"/>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99"/>
    </row>
    <row r="209" spans="2:61" ht="20.100000000000001" customHeight="1" x14ac:dyDescent="0.45">
      <c r="B209" s="123"/>
      <c r="C209" s="31"/>
      <c r="D209" s="31"/>
      <c r="E209" s="31"/>
      <c r="F209" s="31"/>
      <c r="G209" s="96"/>
      <c r="H209" s="97"/>
      <c r="I209" s="31"/>
      <c r="J209" s="124" t="s">
        <v>130</v>
      </c>
      <c r="K209" s="52"/>
      <c r="L209" s="52"/>
      <c r="M209" s="52"/>
      <c r="N209" s="52"/>
      <c r="O209" s="52"/>
      <c r="P209" s="52"/>
      <c r="Q209" s="125"/>
      <c r="R209" s="52" t="s">
        <v>158</v>
      </c>
      <c r="S209" s="52"/>
      <c r="T209" s="52"/>
      <c r="U209" s="52"/>
      <c r="V209" s="52"/>
      <c r="W209" s="52"/>
      <c r="X209" s="52"/>
      <c r="Y209" s="52"/>
      <c r="Z209" s="52"/>
      <c r="AA209" s="52"/>
      <c r="AB209" s="52"/>
      <c r="AC209" s="52"/>
      <c r="AD209" s="52"/>
      <c r="AE209" s="52"/>
      <c r="AF209" s="52"/>
      <c r="AG209" s="52"/>
      <c r="AH209" s="52"/>
      <c r="AI209" s="52"/>
      <c r="AJ209" s="125"/>
      <c r="AK209" s="98"/>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99"/>
    </row>
    <row r="210" spans="2:61" ht="20.100000000000001" customHeight="1" x14ac:dyDescent="0.45">
      <c r="B210" s="123"/>
      <c r="C210" s="31"/>
      <c r="D210" s="31"/>
      <c r="E210" s="31"/>
      <c r="F210" s="31"/>
      <c r="G210" s="96"/>
      <c r="H210" s="31"/>
      <c r="I210" s="31"/>
      <c r="J210" s="124" t="s">
        <v>131</v>
      </c>
      <c r="K210" s="52"/>
      <c r="L210" s="52"/>
      <c r="M210" s="52"/>
      <c r="N210" s="52"/>
      <c r="O210" s="52"/>
      <c r="P210" s="52"/>
      <c r="Q210" s="125"/>
      <c r="R210" s="52" t="s">
        <v>159</v>
      </c>
      <c r="S210" s="52"/>
      <c r="T210" s="52"/>
      <c r="U210" s="52"/>
      <c r="V210" s="52"/>
      <c r="W210" s="52"/>
      <c r="X210" s="52"/>
      <c r="Y210" s="52"/>
      <c r="Z210" s="52"/>
      <c r="AA210" s="52"/>
      <c r="AB210" s="52"/>
      <c r="AC210" s="52"/>
      <c r="AD210" s="52"/>
      <c r="AE210" s="52"/>
      <c r="AF210" s="52"/>
      <c r="AG210" s="52"/>
      <c r="AH210" s="52"/>
      <c r="AI210" s="52"/>
      <c r="AJ210" s="125"/>
      <c r="AK210" s="98"/>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99"/>
    </row>
    <row r="211" spans="2:61" ht="20.100000000000001" customHeight="1" x14ac:dyDescent="0.45">
      <c r="B211" s="123"/>
      <c r="C211" s="31"/>
      <c r="D211" s="31"/>
      <c r="E211" s="31"/>
      <c r="F211" s="31"/>
      <c r="G211" s="96"/>
      <c r="H211" s="31"/>
      <c r="I211" s="31"/>
      <c r="J211" s="124" t="s">
        <v>132</v>
      </c>
      <c r="K211" s="52"/>
      <c r="L211" s="52"/>
      <c r="M211" s="52"/>
      <c r="N211" s="52"/>
      <c r="O211" s="52"/>
      <c r="P211" s="52"/>
      <c r="Q211" s="125"/>
      <c r="R211" s="52" t="s">
        <v>161</v>
      </c>
      <c r="S211" s="52"/>
      <c r="T211" s="52"/>
      <c r="U211" s="52"/>
      <c r="V211" s="52"/>
      <c r="W211" s="52"/>
      <c r="X211" s="52"/>
      <c r="Y211" s="52"/>
      <c r="Z211" s="52"/>
      <c r="AA211" s="52"/>
      <c r="AB211" s="52"/>
      <c r="AC211" s="52"/>
      <c r="AD211" s="52"/>
      <c r="AE211" s="52"/>
      <c r="AF211" s="52"/>
      <c r="AG211" s="52"/>
      <c r="AH211" s="52"/>
      <c r="AI211" s="52"/>
      <c r="AJ211" s="125"/>
      <c r="AK211" s="98"/>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99"/>
    </row>
    <row r="212" spans="2:61" ht="20.100000000000001" customHeight="1" x14ac:dyDescent="0.45">
      <c r="B212" s="123"/>
      <c r="C212" s="31"/>
      <c r="D212" s="31"/>
      <c r="E212" s="31"/>
      <c r="F212" s="31"/>
      <c r="G212" s="96"/>
      <c r="H212" s="31"/>
      <c r="I212" s="31"/>
      <c r="J212" s="124" t="s">
        <v>133</v>
      </c>
      <c r="K212" s="52"/>
      <c r="L212" s="52"/>
      <c r="M212" s="52"/>
      <c r="N212" s="52"/>
      <c r="O212" s="52"/>
      <c r="P212" s="52"/>
      <c r="Q212" s="125"/>
      <c r="R212" s="52" t="s">
        <v>199</v>
      </c>
      <c r="S212" s="52"/>
      <c r="T212" s="52"/>
      <c r="U212" s="52"/>
      <c r="V212" s="52"/>
      <c r="W212" s="52"/>
      <c r="X212" s="52"/>
      <c r="Y212" s="52"/>
      <c r="Z212" s="52"/>
      <c r="AA212" s="52"/>
      <c r="AB212" s="52"/>
      <c r="AC212" s="52"/>
      <c r="AD212" s="52"/>
      <c r="AE212" s="52"/>
      <c r="AF212" s="52"/>
      <c r="AG212" s="52"/>
      <c r="AH212" s="52"/>
      <c r="AI212" s="52"/>
      <c r="AJ212" s="125"/>
      <c r="AK212" s="98"/>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99"/>
    </row>
    <row r="213" spans="2:61" ht="20.100000000000001" customHeight="1" x14ac:dyDescent="0.45">
      <c r="B213" s="123"/>
      <c r="C213" s="31"/>
      <c r="D213" s="31"/>
      <c r="E213" s="31"/>
      <c r="F213" s="31"/>
      <c r="G213" s="96"/>
      <c r="H213" s="97"/>
      <c r="I213" s="31"/>
      <c r="J213" s="124" t="s">
        <v>134</v>
      </c>
      <c r="K213" s="52"/>
      <c r="L213" s="52"/>
      <c r="M213" s="52"/>
      <c r="N213" s="52"/>
      <c r="O213" s="52"/>
      <c r="P213" s="52"/>
      <c r="Q213" s="125"/>
      <c r="R213" s="52">
        <v>810</v>
      </c>
      <c r="S213" s="52"/>
      <c r="T213" s="52"/>
      <c r="U213" s="52"/>
      <c r="V213" s="52"/>
      <c r="W213" s="52"/>
      <c r="X213" s="52"/>
      <c r="Y213" s="52"/>
      <c r="Z213" s="52"/>
      <c r="AA213" s="52"/>
      <c r="AB213" s="52"/>
      <c r="AC213" s="52"/>
      <c r="AD213" s="52"/>
      <c r="AE213" s="52"/>
      <c r="AF213" s="52"/>
      <c r="AG213" s="52"/>
      <c r="AH213" s="52"/>
      <c r="AI213" s="52"/>
      <c r="AJ213" s="125"/>
      <c r="AK213" s="98"/>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99"/>
    </row>
    <row r="214" spans="2:61" ht="20.100000000000001" customHeight="1" x14ac:dyDescent="0.45">
      <c r="B214" s="123"/>
      <c r="C214" s="31"/>
      <c r="D214" s="31"/>
      <c r="E214" s="31"/>
      <c r="F214" s="31"/>
      <c r="G214" s="96"/>
      <c r="H214" s="97"/>
      <c r="I214" s="31"/>
      <c r="J214" s="124" t="s">
        <v>135</v>
      </c>
      <c r="K214" s="52"/>
      <c r="L214" s="52"/>
      <c r="M214" s="52"/>
      <c r="N214" s="52"/>
      <c r="O214" s="52"/>
      <c r="P214" s="52"/>
      <c r="Q214" s="125"/>
      <c r="R214" s="52" t="s">
        <v>161</v>
      </c>
      <c r="S214" s="52"/>
      <c r="T214" s="52"/>
      <c r="U214" s="52"/>
      <c r="V214" s="52"/>
      <c r="W214" s="52"/>
      <c r="X214" s="52"/>
      <c r="Y214" s="52"/>
      <c r="Z214" s="52"/>
      <c r="AA214" s="52"/>
      <c r="AB214" s="52"/>
      <c r="AC214" s="52"/>
      <c r="AD214" s="52"/>
      <c r="AE214" s="52"/>
      <c r="AF214" s="52"/>
      <c r="AG214" s="52"/>
      <c r="AH214" s="52"/>
      <c r="AI214" s="52"/>
      <c r="AJ214" s="125"/>
      <c r="AK214" s="98"/>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99"/>
    </row>
    <row r="215" spans="2:61" ht="20.100000000000001" customHeight="1" x14ac:dyDescent="0.45">
      <c r="B215" s="123"/>
      <c r="C215" s="31"/>
      <c r="D215" s="31"/>
      <c r="E215" s="31"/>
      <c r="F215" s="31"/>
      <c r="G215" s="96"/>
      <c r="H215" s="31"/>
      <c r="I215" s="31"/>
      <c r="J215" s="124" t="s">
        <v>136</v>
      </c>
      <c r="K215" s="52"/>
      <c r="L215" s="52"/>
      <c r="M215" s="52"/>
      <c r="N215" s="52"/>
      <c r="O215" s="52"/>
      <c r="P215" s="52"/>
      <c r="Q215" s="125"/>
      <c r="R215" s="52">
        <v>20</v>
      </c>
      <c r="S215" s="52"/>
      <c r="T215" s="52"/>
      <c r="U215" s="52"/>
      <c r="V215" s="52"/>
      <c r="W215" s="52"/>
      <c r="X215" s="52"/>
      <c r="Y215" s="52"/>
      <c r="Z215" s="52"/>
      <c r="AA215" s="52"/>
      <c r="AB215" s="52"/>
      <c r="AC215" s="52"/>
      <c r="AD215" s="52"/>
      <c r="AE215" s="52"/>
      <c r="AF215" s="52"/>
      <c r="AG215" s="52"/>
      <c r="AH215" s="52"/>
      <c r="AI215" s="52"/>
      <c r="AJ215" s="125"/>
      <c r="AK215" s="98"/>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99"/>
    </row>
    <row r="216" spans="2:61" ht="20.100000000000001" customHeight="1" x14ac:dyDescent="0.45">
      <c r="B216" s="123"/>
      <c r="C216" s="31"/>
      <c r="D216" s="31"/>
      <c r="E216" s="31"/>
      <c r="F216" s="31"/>
      <c r="G216" s="96"/>
      <c r="H216" s="31"/>
      <c r="I216" s="31"/>
      <c r="J216" s="124" t="s">
        <v>137</v>
      </c>
      <c r="K216" s="52"/>
      <c r="L216" s="52"/>
      <c r="M216" s="52"/>
      <c r="N216" s="52"/>
      <c r="O216" s="52"/>
      <c r="P216" s="52"/>
      <c r="Q216" s="125"/>
      <c r="R216" s="52">
        <v>0</v>
      </c>
      <c r="S216" s="52"/>
      <c r="T216" s="52"/>
      <c r="U216" s="52"/>
      <c r="V216" s="52"/>
      <c r="W216" s="52"/>
      <c r="X216" s="52"/>
      <c r="Y216" s="52"/>
      <c r="Z216" s="52"/>
      <c r="AA216" s="52"/>
      <c r="AB216" s="52"/>
      <c r="AC216" s="52"/>
      <c r="AD216" s="52"/>
      <c r="AE216" s="52"/>
      <c r="AF216" s="52"/>
      <c r="AG216" s="52"/>
      <c r="AH216" s="52"/>
      <c r="AI216" s="52"/>
      <c r="AJ216" s="125"/>
      <c r="AK216" s="98"/>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99"/>
    </row>
    <row r="217" spans="2:61" ht="20.100000000000001" customHeight="1" x14ac:dyDescent="0.45">
      <c r="B217" s="123"/>
      <c r="C217" s="31"/>
      <c r="D217" s="31"/>
      <c r="E217" s="31"/>
      <c r="F217" s="31"/>
      <c r="G217" s="96"/>
      <c r="H217" s="31"/>
      <c r="I217" s="31"/>
      <c r="J217" s="124" t="s">
        <v>138</v>
      </c>
      <c r="K217" s="52"/>
      <c r="L217" s="52"/>
      <c r="M217" s="52"/>
      <c r="N217" s="52"/>
      <c r="O217" s="52"/>
      <c r="P217" s="52"/>
      <c r="Q217" s="125"/>
      <c r="R217" s="52" t="s">
        <v>161</v>
      </c>
      <c r="S217" s="52"/>
      <c r="T217" s="52"/>
      <c r="U217" s="52"/>
      <c r="V217" s="52"/>
      <c r="W217" s="52"/>
      <c r="X217" s="52"/>
      <c r="Y217" s="52"/>
      <c r="Z217" s="52"/>
      <c r="AA217" s="52"/>
      <c r="AB217" s="52"/>
      <c r="AC217" s="52"/>
      <c r="AD217" s="52"/>
      <c r="AE217" s="52"/>
      <c r="AF217" s="52"/>
      <c r="AG217" s="52"/>
      <c r="AH217" s="52"/>
      <c r="AI217" s="52"/>
      <c r="AJ217" s="125"/>
      <c r="AK217" s="98"/>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99"/>
    </row>
    <row r="218" spans="2:61" ht="20.100000000000001" customHeight="1" x14ac:dyDescent="0.45">
      <c r="B218" s="123"/>
      <c r="C218" s="31"/>
      <c r="D218" s="31"/>
      <c r="E218" s="31"/>
      <c r="F218" s="31"/>
      <c r="G218" s="96"/>
      <c r="H218" s="97"/>
      <c r="I218" s="31"/>
      <c r="J218" s="124" t="s">
        <v>139</v>
      </c>
      <c r="K218" s="52"/>
      <c r="L218" s="52"/>
      <c r="M218" s="52"/>
      <c r="N218" s="52"/>
      <c r="O218" s="52"/>
      <c r="P218" s="52"/>
      <c r="Q218" s="125"/>
      <c r="R218" s="52" t="s">
        <v>181</v>
      </c>
      <c r="S218" s="52"/>
      <c r="T218" s="52"/>
      <c r="U218" s="52"/>
      <c r="V218" s="52"/>
      <c r="W218" s="52"/>
      <c r="X218" s="52"/>
      <c r="Y218" s="52"/>
      <c r="Z218" s="52"/>
      <c r="AA218" s="52"/>
      <c r="AB218" s="52"/>
      <c r="AC218" s="52"/>
      <c r="AD218" s="52"/>
      <c r="AE218" s="52"/>
      <c r="AF218" s="52"/>
      <c r="AG218" s="52"/>
      <c r="AH218" s="52"/>
      <c r="AI218" s="52"/>
      <c r="AJ218" s="125"/>
      <c r="AK218" s="98"/>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99"/>
    </row>
    <row r="219" spans="2:61" ht="20.100000000000001" customHeight="1" x14ac:dyDescent="0.45">
      <c r="B219" s="123"/>
      <c r="C219" s="31"/>
      <c r="D219" s="31"/>
      <c r="E219" s="31"/>
      <c r="F219" s="31"/>
      <c r="G219" s="96"/>
      <c r="H219" s="97"/>
      <c r="I219" s="31"/>
      <c r="J219" s="124" t="s">
        <v>140</v>
      </c>
      <c r="K219" s="52"/>
      <c r="L219" s="52"/>
      <c r="M219" s="52"/>
      <c r="N219" s="52"/>
      <c r="O219" s="52"/>
      <c r="P219" s="52"/>
      <c r="Q219" s="125"/>
      <c r="R219" s="52" t="s">
        <v>161</v>
      </c>
      <c r="S219" s="52"/>
      <c r="T219" s="52"/>
      <c r="U219" s="52"/>
      <c r="V219" s="52"/>
      <c r="W219" s="52"/>
      <c r="X219" s="52"/>
      <c r="Y219" s="52"/>
      <c r="Z219" s="52"/>
      <c r="AA219" s="52"/>
      <c r="AB219" s="52"/>
      <c r="AC219" s="52"/>
      <c r="AD219" s="52"/>
      <c r="AE219" s="52"/>
      <c r="AF219" s="52"/>
      <c r="AG219" s="52"/>
      <c r="AH219" s="52"/>
      <c r="AI219" s="52"/>
      <c r="AJ219" s="125"/>
      <c r="AK219" s="98"/>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99"/>
    </row>
    <row r="220" spans="2:61" ht="20.100000000000001" customHeight="1" x14ac:dyDescent="0.45">
      <c r="B220" s="123"/>
      <c r="C220" s="31"/>
      <c r="D220" s="31"/>
      <c r="E220" s="31"/>
      <c r="F220" s="31"/>
      <c r="G220" s="96"/>
      <c r="H220" s="31"/>
      <c r="I220" s="31"/>
      <c r="J220" s="124" t="s">
        <v>141</v>
      </c>
      <c r="K220" s="52"/>
      <c r="L220" s="52"/>
      <c r="M220" s="52"/>
      <c r="N220" s="52"/>
      <c r="O220" s="52"/>
      <c r="P220" s="52"/>
      <c r="Q220" s="125"/>
      <c r="R220" s="52" t="s">
        <v>161</v>
      </c>
      <c r="S220" s="52"/>
      <c r="T220" s="52"/>
      <c r="U220" s="52"/>
      <c r="V220" s="52"/>
      <c r="W220" s="52"/>
      <c r="X220" s="52"/>
      <c r="Y220" s="52"/>
      <c r="Z220" s="52"/>
      <c r="AA220" s="52"/>
      <c r="AB220" s="52"/>
      <c r="AC220" s="52"/>
      <c r="AD220" s="52"/>
      <c r="AE220" s="52"/>
      <c r="AF220" s="52"/>
      <c r="AG220" s="52"/>
      <c r="AH220" s="52"/>
      <c r="AI220" s="52"/>
      <c r="AJ220" s="125"/>
      <c r="AK220" s="98"/>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99"/>
    </row>
    <row r="221" spans="2:61" ht="20.100000000000001" customHeight="1" x14ac:dyDescent="0.45">
      <c r="B221" s="123"/>
      <c r="C221" s="31"/>
      <c r="D221" s="31"/>
      <c r="E221" s="31"/>
      <c r="F221" s="31"/>
      <c r="G221" s="96"/>
      <c r="H221" s="31"/>
      <c r="I221" s="31"/>
      <c r="J221" s="124" t="s">
        <v>142</v>
      </c>
      <c r="K221" s="52"/>
      <c r="L221" s="52"/>
      <c r="M221" s="52"/>
      <c r="N221" s="52"/>
      <c r="O221" s="52"/>
      <c r="P221" s="52"/>
      <c r="Q221" s="125"/>
      <c r="R221" s="52" t="s">
        <v>161</v>
      </c>
      <c r="S221" s="52"/>
      <c r="T221" s="52"/>
      <c r="U221" s="52"/>
      <c r="V221" s="52"/>
      <c r="W221" s="52"/>
      <c r="X221" s="52"/>
      <c r="Y221" s="52"/>
      <c r="Z221" s="52"/>
      <c r="AA221" s="52"/>
      <c r="AB221" s="52"/>
      <c r="AC221" s="52"/>
      <c r="AD221" s="52"/>
      <c r="AE221" s="52"/>
      <c r="AF221" s="52"/>
      <c r="AG221" s="52"/>
      <c r="AH221" s="52"/>
      <c r="AI221" s="52"/>
      <c r="AJ221" s="125"/>
      <c r="AK221" s="98"/>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99"/>
    </row>
    <row r="222" spans="2:61" ht="20.100000000000001" customHeight="1" x14ac:dyDescent="0.45">
      <c r="B222" s="123"/>
      <c r="C222" s="31"/>
      <c r="D222" s="31"/>
      <c r="E222" s="31"/>
      <c r="F222" s="31"/>
      <c r="G222" s="96"/>
      <c r="H222" s="97"/>
      <c r="I222" s="31"/>
      <c r="J222" s="124" t="s">
        <v>143</v>
      </c>
      <c r="K222" s="52"/>
      <c r="L222" s="52"/>
      <c r="M222" s="52"/>
      <c r="N222" s="52"/>
      <c r="O222" s="52"/>
      <c r="P222" s="52"/>
      <c r="Q222" s="125"/>
      <c r="R222" s="52">
        <v>131</v>
      </c>
      <c r="S222" s="52"/>
      <c r="T222" s="52"/>
      <c r="U222" s="52"/>
      <c r="V222" s="52"/>
      <c r="W222" s="52"/>
      <c r="X222" s="52"/>
      <c r="Y222" s="52"/>
      <c r="Z222" s="52"/>
      <c r="AA222" s="52"/>
      <c r="AB222" s="52"/>
      <c r="AC222" s="52"/>
      <c r="AD222" s="52"/>
      <c r="AE222" s="52"/>
      <c r="AF222" s="52"/>
      <c r="AG222" s="52"/>
      <c r="AH222" s="52"/>
      <c r="AI222" s="52"/>
      <c r="AJ222" s="125"/>
      <c r="AK222" s="98"/>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99"/>
    </row>
    <row r="223" spans="2:61" ht="20.100000000000001" customHeight="1" x14ac:dyDescent="0.45">
      <c r="B223" s="123"/>
      <c r="C223" s="31"/>
      <c r="D223" s="31"/>
      <c r="E223" s="31"/>
      <c r="F223" s="31"/>
      <c r="G223" s="96"/>
      <c r="H223" s="97"/>
      <c r="I223" s="31"/>
      <c r="J223" s="124" t="s">
        <v>106</v>
      </c>
      <c r="K223" s="52"/>
      <c r="L223" s="52"/>
      <c r="M223" s="52"/>
      <c r="N223" s="52"/>
      <c r="O223" s="52"/>
      <c r="P223" s="52"/>
      <c r="Q223" s="125"/>
      <c r="R223" s="52" t="s">
        <v>161</v>
      </c>
      <c r="S223" s="52"/>
      <c r="T223" s="52"/>
      <c r="U223" s="52"/>
      <c r="V223" s="52"/>
      <c r="W223" s="52"/>
      <c r="X223" s="52"/>
      <c r="Y223" s="52"/>
      <c r="Z223" s="52"/>
      <c r="AA223" s="52"/>
      <c r="AB223" s="52"/>
      <c r="AC223" s="52"/>
      <c r="AD223" s="52"/>
      <c r="AE223" s="52"/>
      <c r="AF223" s="52"/>
      <c r="AG223" s="52"/>
      <c r="AH223" s="52"/>
      <c r="AI223" s="52"/>
      <c r="AJ223" s="125"/>
      <c r="AK223" s="98"/>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99"/>
    </row>
    <row r="224" spans="2:61" ht="20.100000000000001" customHeight="1" x14ac:dyDescent="0.45">
      <c r="B224" s="123"/>
      <c r="C224" s="31"/>
      <c r="D224" s="31"/>
      <c r="E224" s="31"/>
      <c r="F224" s="31"/>
      <c r="G224" s="96"/>
      <c r="H224" s="31"/>
      <c r="I224" s="31"/>
      <c r="J224" s="124" t="s">
        <v>144</v>
      </c>
      <c r="K224" s="52"/>
      <c r="L224" s="52"/>
      <c r="M224" s="52"/>
      <c r="N224" s="52"/>
      <c r="O224" s="52"/>
      <c r="P224" s="52"/>
      <c r="Q224" s="125"/>
      <c r="R224" s="52">
        <v>0</v>
      </c>
      <c r="S224" s="52"/>
      <c r="T224" s="52"/>
      <c r="U224" s="52"/>
      <c r="V224" s="52"/>
      <c r="W224" s="52"/>
      <c r="X224" s="52"/>
      <c r="Y224" s="52"/>
      <c r="Z224" s="52"/>
      <c r="AA224" s="52"/>
      <c r="AB224" s="52"/>
      <c r="AC224" s="52"/>
      <c r="AD224" s="52"/>
      <c r="AE224" s="52"/>
      <c r="AF224" s="52"/>
      <c r="AG224" s="52"/>
      <c r="AH224" s="52"/>
      <c r="AI224" s="52"/>
      <c r="AJ224" s="125"/>
      <c r="AK224" s="98"/>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99"/>
    </row>
    <row r="225" spans="2:61" ht="20.100000000000001" customHeight="1" x14ac:dyDescent="0.45">
      <c r="B225" s="123"/>
      <c r="C225" s="31"/>
      <c r="D225" s="31"/>
      <c r="E225" s="31"/>
      <c r="F225" s="31"/>
      <c r="G225" s="96"/>
      <c r="H225" s="31"/>
      <c r="I225" s="31"/>
      <c r="J225" s="124" t="s">
        <v>145</v>
      </c>
      <c r="K225" s="52"/>
      <c r="L225" s="52"/>
      <c r="M225" s="52"/>
      <c r="N225" s="52"/>
      <c r="O225" s="52"/>
      <c r="P225" s="52"/>
      <c r="Q225" s="125"/>
      <c r="R225" s="133">
        <v>0</v>
      </c>
      <c r="S225" s="52"/>
      <c r="T225" s="52"/>
      <c r="U225" s="52"/>
      <c r="V225" s="52"/>
      <c r="W225" s="52"/>
      <c r="X225" s="52"/>
      <c r="Y225" s="52"/>
      <c r="Z225" s="52"/>
      <c r="AA225" s="52"/>
      <c r="AB225" s="52"/>
      <c r="AC225" s="52"/>
      <c r="AD225" s="52"/>
      <c r="AE225" s="52"/>
      <c r="AF225" s="52"/>
      <c r="AG225" s="52"/>
      <c r="AH225" s="52"/>
      <c r="AI225" s="52"/>
      <c r="AJ225" s="125"/>
      <c r="AK225" s="98"/>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99"/>
    </row>
    <row r="226" spans="2:61" ht="20.100000000000001" customHeight="1" x14ac:dyDescent="0.45">
      <c r="B226" s="123"/>
      <c r="C226" s="31"/>
      <c r="D226" s="31"/>
      <c r="E226" s="31"/>
      <c r="F226" s="31"/>
      <c r="G226" s="96"/>
      <c r="H226" s="31"/>
      <c r="I226" s="31"/>
      <c r="J226" s="124" t="s">
        <v>146</v>
      </c>
      <c r="K226" s="52"/>
      <c r="L226" s="52"/>
      <c r="M226" s="52"/>
      <c r="N226" s="52"/>
      <c r="O226" s="52"/>
      <c r="P226" s="52"/>
      <c r="Q226" s="125"/>
      <c r="R226" s="52" t="s">
        <v>160</v>
      </c>
      <c r="S226" s="52"/>
      <c r="T226" s="52"/>
      <c r="U226" s="52"/>
      <c r="V226" s="52"/>
      <c r="W226" s="52"/>
      <c r="X226" s="52"/>
      <c r="Y226" s="52"/>
      <c r="Z226" s="52"/>
      <c r="AA226" s="52"/>
      <c r="AB226" s="52"/>
      <c r="AC226" s="52"/>
      <c r="AD226" s="52"/>
      <c r="AE226" s="52"/>
      <c r="AF226" s="52"/>
      <c r="AG226" s="52"/>
      <c r="AH226" s="52"/>
      <c r="AI226" s="52"/>
      <c r="AJ226" s="125"/>
      <c r="AK226" s="98"/>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99"/>
    </row>
    <row r="227" spans="2:61" ht="20.100000000000001" customHeight="1" x14ac:dyDescent="0.45">
      <c r="B227" s="123"/>
      <c r="C227" s="31"/>
      <c r="D227" s="31"/>
      <c r="E227" s="31"/>
      <c r="F227" s="31"/>
      <c r="G227" s="96"/>
      <c r="H227" s="97"/>
      <c r="I227" s="31"/>
      <c r="J227" s="124" t="s">
        <v>147</v>
      </c>
      <c r="K227" s="52"/>
      <c r="L227" s="52"/>
      <c r="M227" s="52"/>
      <c r="N227" s="52"/>
      <c r="O227" s="52"/>
      <c r="P227" s="52"/>
      <c r="Q227" s="125"/>
      <c r="R227" s="52" t="s">
        <v>203</v>
      </c>
      <c r="S227" s="52"/>
      <c r="T227" s="52"/>
      <c r="U227" s="52"/>
      <c r="V227" s="52"/>
      <c r="W227" s="52"/>
      <c r="X227" s="52"/>
      <c r="Y227" s="52"/>
      <c r="Z227" s="52"/>
      <c r="AA227" s="52"/>
      <c r="AB227" s="52"/>
      <c r="AC227" s="52"/>
      <c r="AD227" s="52"/>
      <c r="AE227" s="52"/>
      <c r="AF227" s="52"/>
      <c r="AG227" s="52"/>
      <c r="AH227" s="52"/>
      <c r="AI227" s="52"/>
      <c r="AJ227" s="125"/>
      <c r="AK227" s="98"/>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99"/>
    </row>
    <row r="228" spans="2:61" ht="20.100000000000001" customHeight="1" x14ac:dyDescent="0.45">
      <c r="B228" s="123"/>
      <c r="C228" s="31"/>
      <c r="D228" s="31"/>
      <c r="E228" s="31"/>
      <c r="F228" s="31"/>
      <c r="G228" s="96"/>
      <c r="H228" s="97"/>
      <c r="I228" s="31"/>
      <c r="J228" s="124" t="s">
        <v>148</v>
      </c>
      <c r="K228" s="52"/>
      <c r="L228" s="52"/>
      <c r="M228" s="52"/>
      <c r="N228" s="52"/>
      <c r="O228" s="52"/>
      <c r="P228" s="52"/>
      <c r="Q228" s="125"/>
      <c r="R228" s="52" t="s">
        <v>160</v>
      </c>
      <c r="S228" s="52"/>
      <c r="T228" s="52"/>
      <c r="U228" s="52"/>
      <c r="V228" s="52"/>
      <c r="W228" s="52"/>
      <c r="X228" s="52"/>
      <c r="Y228" s="52"/>
      <c r="Z228" s="52"/>
      <c r="AA228" s="52"/>
      <c r="AB228" s="52"/>
      <c r="AC228" s="52"/>
      <c r="AD228" s="52"/>
      <c r="AE228" s="52"/>
      <c r="AF228" s="52"/>
      <c r="AG228" s="52"/>
      <c r="AH228" s="52"/>
      <c r="AI228" s="52"/>
      <c r="AJ228" s="125"/>
      <c r="AK228" s="98"/>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99"/>
    </row>
    <row r="229" spans="2:61" ht="20.100000000000001" customHeight="1" x14ac:dyDescent="0.45">
      <c r="B229" s="123"/>
      <c r="C229" s="31"/>
      <c r="D229" s="31"/>
      <c r="E229" s="31"/>
      <c r="F229" s="31"/>
      <c r="G229" s="96"/>
      <c r="H229" s="31"/>
      <c r="I229" s="31"/>
      <c r="J229" s="124" t="s">
        <v>149</v>
      </c>
      <c r="K229" s="52"/>
      <c r="L229" s="52"/>
      <c r="M229" s="52"/>
      <c r="N229" s="52"/>
      <c r="O229" s="52"/>
      <c r="P229" s="52"/>
      <c r="Q229" s="125"/>
      <c r="R229" s="52" t="s">
        <v>160</v>
      </c>
      <c r="S229" s="52"/>
      <c r="T229" s="52"/>
      <c r="U229" s="52"/>
      <c r="V229" s="52"/>
      <c r="W229" s="52"/>
      <c r="X229" s="52"/>
      <c r="Y229" s="52"/>
      <c r="Z229" s="52"/>
      <c r="AA229" s="52"/>
      <c r="AB229" s="52"/>
      <c r="AC229" s="52"/>
      <c r="AD229" s="52"/>
      <c r="AE229" s="52"/>
      <c r="AF229" s="52"/>
      <c r="AG229" s="52"/>
      <c r="AH229" s="52"/>
      <c r="AI229" s="52"/>
      <c r="AJ229" s="125"/>
      <c r="AK229" s="98"/>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99"/>
    </row>
    <row r="230" spans="2:61" ht="20.100000000000001" customHeight="1" x14ac:dyDescent="0.45">
      <c r="B230" s="123"/>
      <c r="C230" s="31"/>
      <c r="D230" s="31"/>
      <c r="E230" s="31"/>
      <c r="F230" s="31"/>
      <c r="G230" s="96"/>
      <c r="H230" s="31"/>
      <c r="I230" s="31"/>
      <c r="J230" s="124" t="s">
        <v>150</v>
      </c>
      <c r="K230" s="52"/>
      <c r="L230" s="52"/>
      <c r="M230" s="52"/>
      <c r="N230" s="52"/>
      <c r="O230" s="52"/>
      <c r="P230" s="52"/>
      <c r="Q230" s="125"/>
      <c r="R230" s="52" t="s">
        <v>161</v>
      </c>
      <c r="S230" s="52"/>
      <c r="T230" s="52"/>
      <c r="U230" s="52"/>
      <c r="V230" s="52"/>
      <c r="W230" s="52"/>
      <c r="X230" s="52"/>
      <c r="Y230" s="52"/>
      <c r="Z230" s="52"/>
      <c r="AA230" s="52"/>
      <c r="AB230" s="52"/>
      <c r="AC230" s="52"/>
      <c r="AD230" s="52"/>
      <c r="AE230" s="52"/>
      <c r="AF230" s="52"/>
      <c r="AG230" s="52"/>
      <c r="AH230" s="52"/>
      <c r="AI230" s="52"/>
      <c r="AJ230" s="125"/>
      <c r="AK230" s="98"/>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99"/>
    </row>
    <row r="231" spans="2:61" ht="20.100000000000001" customHeight="1" x14ac:dyDescent="0.45">
      <c r="B231" s="123"/>
      <c r="C231" s="31"/>
      <c r="D231" s="31"/>
      <c r="E231" s="31"/>
      <c r="F231" s="31"/>
      <c r="G231" s="96"/>
      <c r="H231" s="31"/>
      <c r="I231" s="31"/>
      <c r="J231" s="124" t="s">
        <v>151</v>
      </c>
      <c r="K231" s="52"/>
      <c r="L231" s="52"/>
      <c r="M231" s="52"/>
      <c r="N231" s="52"/>
      <c r="O231" s="52"/>
      <c r="P231" s="52"/>
      <c r="Q231" s="125"/>
      <c r="R231" s="52" t="s">
        <v>199</v>
      </c>
      <c r="S231" s="52"/>
      <c r="T231" s="52"/>
      <c r="U231" s="52"/>
      <c r="V231" s="52"/>
      <c r="W231" s="52"/>
      <c r="X231" s="52"/>
      <c r="Y231" s="52"/>
      <c r="Z231" s="52"/>
      <c r="AA231" s="52"/>
      <c r="AB231" s="52"/>
      <c r="AC231" s="52"/>
      <c r="AD231" s="52"/>
      <c r="AE231" s="52"/>
      <c r="AF231" s="52"/>
      <c r="AG231" s="52"/>
      <c r="AH231" s="52"/>
      <c r="AI231" s="52"/>
      <c r="AJ231" s="125"/>
      <c r="AK231" s="98"/>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99"/>
    </row>
    <row r="232" spans="2:61" ht="20.100000000000001" customHeight="1" x14ac:dyDescent="0.45">
      <c r="B232" s="123"/>
      <c r="C232" s="31"/>
      <c r="D232" s="31"/>
      <c r="E232" s="31"/>
      <c r="F232" s="31"/>
      <c r="G232" s="96"/>
      <c r="H232" s="97"/>
      <c r="I232" s="31"/>
      <c r="J232" s="124" t="s">
        <v>152</v>
      </c>
      <c r="K232" s="52"/>
      <c r="L232" s="52"/>
      <c r="M232" s="52"/>
      <c r="N232" s="52"/>
      <c r="O232" s="52"/>
      <c r="P232" s="52"/>
      <c r="Q232" s="125"/>
      <c r="R232" s="52" t="s">
        <v>171</v>
      </c>
      <c r="S232" s="52"/>
      <c r="T232" s="52"/>
      <c r="U232" s="52"/>
      <c r="V232" s="52"/>
      <c r="W232" s="52"/>
      <c r="X232" s="52"/>
      <c r="Y232" s="52"/>
      <c r="Z232" s="52"/>
      <c r="AA232" s="52"/>
      <c r="AB232" s="52"/>
      <c r="AC232" s="52"/>
      <c r="AD232" s="52"/>
      <c r="AE232" s="52"/>
      <c r="AF232" s="52"/>
      <c r="AG232" s="52"/>
      <c r="AH232" s="52"/>
      <c r="AI232" s="52"/>
      <c r="AJ232" s="125"/>
      <c r="AK232" s="98"/>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99"/>
    </row>
    <row r="233" spans="2:61" ht="20.100000000000001" customHeight="1" x14ac:dyDescent="0.45">
      <c r="B233" s="123"/>
      <c r="C233" s="31"/>
      <c r="D233" s="31"/>
      <c r="E233" s="31"/>
      <c r="F233" s="31"/>
      <c r="G233" s="96"/>
      <c r="H233" s="97"/>
      <c r="I233" s="31"/>
      <c r="J233" s="124" t="s">
        <v>153</v>
      </c>
      <c r="K233" s="52"/>
      <c r="L233" s="52"/>
      <c r="M233" s="52"/>
      <c r="N233" s="52"/>
      <c r="O233" s="52"/>
      <c r="P233" s="52"/>
      <c r="Q233" s="125"/>
      <c r="R233" s="52" t="s">
        <v>161</v>
      </c>
      <c r="S233" s="52"/>
      <c r="T233" s="52"/>
      <c r="U233" s="52"/>
      <c r="V233" s="52"/>
      <c r="W233" s="52"/>
      <c r="X233" s="52"/>
      <c r="Y233" s="52"/>
      <c r="Z233" s="52"/>
      <c r="AA233" s="52"/>
      <c r="AB233" s="52"/>
      <c r="AC233" s="52"/>
      <c r="AD233" s="52"/>
      <c r="AE233" s="52"/>
      <c r="AF233" s="52"/>
      <c r="AG233" s="52"/>
      <c r="AH233" s="52"/>
      <c r="AI233" s="52"/>
      <c r="AJ233" s="125"/>
      <c r="AK233" s="98"/>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99"/>
    </row>
    <row r="234" spans="2:61" ht="20.100000000000001" customHeight="1" x14ac:dyDescent="0.45">
      <c r="B234" s="123"/>
      <c r="C234" s="31"/>
      <c r="D234" s="31"/>
      <c r="E234" s="31"/>
      <c r="F234" s="31"/>
      <c r="G234" s="96"/>
      <c r="H234" s="31"/>
      <c r="I234" s="31"/>
      <c r="J234" s="124" t="s">
        <v>154</v>
      </c>
      <c r="K234" s="52"/>
      <c r="L234" s="52"/>
      <c r="M234" s="52"/>
      <c r="N234" s="52"/>
      <c r="O234" s="52"/>
      <c r="P234" s="52"/>
      <c r="Q234" s="125"/>
      <c r="R234" s="52" t="s">
        <v>161</v>
      </c>
      <c r="S234" s="52"/>
      <c r="T234" s="52"/>
      <c r="U234" s="52"/>
      <c r="V234" s="52"/>
      <c r="W234" s="52"/>
      <c r="X234" s="52"/>
      <c r="Y234" s="52"/>
      <c r="Z234" s="52"/>
      <c r="AA234" s="52"/>
      <c r="AB234" s="52"/>
      <c r="AC234" s="52"/>
      <c r="AD234" s="52"/>
      <c r="AE234" s="52"/>
      <c r="AF234" s="52"/>
      <c r="AG234" s="52"/>
      <c r="AH234" s="52"/>
      <c r="AI234" s="52"/>
      <c r="AJ234" s="125"/>
      <c r="AK234" s="98"/>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99"/>
    </row>
    <row r="235" spans="2:61" ht="20.100000000000001" customHeight="1" x14ac:dyDescent="0.45">
      <c r="B235" s="123"/>
      <c r="C235" s="31"/>
      <c r="D235" s="31"/>
      <c r="E235" s="31"/>
      <c r="F235" s="31"/>
      <c r="G235" s="96"/>
      <c r="H235" s="31"/>
      <c r="I235" s="31"/>
      <c r="J235" s="124" t="s">
        <v>155</v>
      </c>
      <c r="K235" s="52"/>
      <c r="L235" s="52"/>
      <c r="M235" s="52"/>
      <c r="N235" s="52"/>
      <c r="O235" s="52"/>
      <c r="P235" s="52"/>
      <c r="Q235" s="125"/>
      <c r="R235" s="52" t="s">
        <v>161</v>
      </c>
      <c r="S235" s="52"/>
      <c r="T235" s="52"/>
      <c r="U235" s="52"/>
      <c r="V235" s="52"/>
      <c r="W235" s="52"/>
      <c r="X235" s="52"/>
      <c r="Y235" s="52"/>
      <c r="Z235" s="52"/>
      <c r="AA235" s="52"/>
      <c r="AB235" s="52"/>
      <c r="AC235" s="52"/>
      <c r="AD235" s="52"/>
      <c r="AE235" s="52"/>
      <c r="AF235" s="52"/>
      <c r="AG235" s="52"/>
      <c r="AH235" s="52"/>
      <c r="AI235" s="52"/>
      <c r="AJ235" s="125"/>
      <c r="AK235" s="98"/>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99"/>
    </row>
    <row r="236" spans="2:61" ht="20.100000000000001" customHeight="1" x14ac:dyDescent="0.45">
      <c r="B236" s="123"/>
      <c r="C236" s="31"/>
      <c r="D236" s="31"/>
      <c r="E236" s="31"/>
      <c r="F236" s="31"/>
      <c r="G236" s="96"/>
      <c r="H236" s="31"/>
      <c r="I236" s="31"/>
      <c r="J236" s="124" t="s">
        <v>156</v>
      </c>
      <c r="K236" s="52"/>
      <c r="L236" s="52"/>
      <c r="M236" s="52"/>
      <c r="N236" s="52"/>
      <c r="O236" s="52"/>
      <c r="P236" s="52"/>
      <c r="Q236" s="125"/>
      <c r="R236" s="52" t="s">
        <v>161</v>
      </c>
      <c r="S236" s="52"/>
      <c r="T236" s="52"/>
      <c r="U236" s="52"/>
      <c r="V236" s="52"/>
      <c r="W236" s="52"/>
      <c r="X236" s="52"/>
      <c r="Y236" s="52"/>
      <c r="Z236" s="52"/>
      <c r="AA236" s="52"/>
      <c r="AB236" s="52"/>
      <c r="AC236" s="52"/>
      <c r="AD236" s="52"/>
      <c r="AE236" s="52"/>
      <c r="AF236" s="52"/>
      <c r="AG236" s="52"/>
      <c r="AH236" s="52"/>
      <c r="AI236" s="52"/>
      <c r="AJ236" s="125"/>
      <c r="AK236" s="98"/>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99"/>
    </row>
    <row r="237" spans="2:61" ht="20.100000000000001" customHeight="1" x14ac:dyDescent="0.45">
      <c r="B237" s="123"/>
      <c r="C237" s="31"/>
      <c r="D237" s="31"/>
      <c r="E237" s="31"/>
      <c r="F237" s="31"/>
      <c r="G237" s="96"/>
      <c r="H237" s="100" t="s">
        <v>162</v>
      </c>
      <c r="I237" s="55"/>
      <c r="J237" s="100" t="s">
        <v>163</v>
      </c>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101"/>
      <c r="AL237" s="55"/>
      <c r="AM237" s="55"/>
      <c r="AN237" s="55"/>
      <c r="AO237" s="55"/>
      <c r="AP237" s="55"/>
      <c r="AQ237" s="55"/>
      <c r="AR237" s="55"/>
      <c r="AS237" s="55"/>
      <c r="AT237" s="55"/>
      <c r="AU237" s="55"/>
      <c r="AV237" s="55"/>
      <c r="AW237" s="55"/>
      <c r="AX237" s="55"/>
      <c r="AY237" s="55"/>
      <c r="AZ237" s="55"/>
      <c r="BA237" s="55"/>
      <c r="BB237" s="55"/>
      <c r="BC237" s="55"/>
      <c r="BD237" s="55"/>
      <c r="BE237" s="55"/>
      <c r="BF237" s="55"/>
      <c r="BG237" s="55"/>
      <c r="BH237" s="55"/>
      <c r="BI237" s="102"/>
    </row>
    <row r="238" spans="2:61" ht="20.100000000000001" customHeight="1" x14ac:dyDescent="0.45">
      <c r="B238" s="95"/>
      <c r="C238" s="31"/>
      <c r="D238" s="31"/>
      <c r="E238" s="31"/>
      <c r="F238" s="31"/>
      <c r="G238" s="96"/>
      <c r="H238" s="100" t="s">
        <v>164</v>
      </c>
      <c r="I238" s="55"/>
      <c r="J238" s="100" t="s">
        <v>165</v>
      </c>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101"/>
      <c r="AL238" s="55"/>
      <c r="AM238" s="55"/>
      <c r="AN238" s="55"/>
      <c r="AO238" s="55"/>
      <c r="AP238" s="55"/>
      <c r="AQ238" s="55"/>
      <c r="AR238" s="55"/>
      <c r="AS238" s="55"/>
      <c r="AT238" s="55"/>
      <c r="AU238" s="55"/>
      <c r="AV238" s="55"/>
      <c r="AW238" s="55"/>
      <c r="AX238" s="55"/>
      <c r="AY238" s="55"/>
      <c r="AZ238" s="55"/>
      <c r="BA238" s="55"/>
      <c r="BB238" s="55"/>
      <c r="BC238" s="55"/>
      <c r="BD238" s="55"/>
      <c r="BE238" s="55"/>
      <c r="BF238" s="55"/>
      <c r="BG238" s="55"/>
      <c r="BH238" s="55"/>
      <c r="BI238" s="102"/>
    </row>
    <row r="239" spans="2:61" ht="20.100000000000001" customHeight="1" x14ac:dyDescent="0.45">
      <c r="B239" s="95"/>
      <c r="C239" s="31"/>
      <c r="D239" s="31"/>
      <c r="E239" s="31"/>
      <c r="F239" s="31"/>
      <c r="G239" s="96"/>
      <c r="H239" s="97"/>
      <c r="I239" s="31"/>
      <c r="J239" s="97"/>
      <c r="K239" s="31" t="s">
        <v>166</v>
      </c>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98"/>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99"/>
    </row>
    <row r="240" spans="2:61" ht="20.100000000000001" customHeight="1" x14ac:dyDescent="0.45">
      <c r="B240" s="95"/>
      <c r="C240" s="31"/>
      <c r="D240" s="31"/>
      <c r="E240" s="31"/>
      <c r="F240" s="31"/>
      <c r="G240" s="96"/>
      <c r="H240" s="100" t="s">
        <v>167</v>
      </c>
      <c r="I240" s="55"/>
      <c r="J240" s="100" t="s">
        <v>176</v>
      </c>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128"/>
      <c r="AK240" s="101"/>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102"/>
    </row>
    <row r="241" spans="2:61" ht="20.100000000000001" customHeight="1" x14ac:dyDescent="0.45">
      <c r="B241" s="95"/>
      <c r="C241" s="31"/>
      <c r="D241" s="31"/>
      <c r="E241" s="31"/>
      <c r="F241" s="31"/>
      <c r="G241" s="96"/>
      <c r="H241" s="97"/>
      <c r="I241" s="31"/>
      <c r="J241" s="97"/>
      <c r="K241" s="31" t="s">
        <v>174</v>
      </c>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97"/>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99"/>
    </row>
    <row r="242" spans="2:61" ht="20.100000000000001" customHeight="1" x14ac:dyDescent="0.45">
      <c r="B242" s="95"/>
      <c r="C242" s="31"/>
      <c r="D242" s="31"/>
      <c r="E242" s="31"/>
      <c r="F242" s="31"/>
      <c r="G242" s="96"/>
      <c r="H242" s="97"/>
      <c r="I242" s="31"/>
      <c r="J242" s="97"/>
      <c r="K242" s="31" t="s">
        <v>175</v>
      </c>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97"/>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99"/>
    </row>
    <row r="243" spans="2:61" ht="20.100000000000001" customHeight="1" x14ac:dyDescent="0.45">
      <c r="B243" s="95"/>
      <c r="C243" s="31"/>
      <c r="D243" s="31"/>
      <c r="E243" s="31"/>
      <c r="F243" s="31"/>
      <c r="G243" s="96"/>
      <c r="H243" s="97"/>
      <c r="I243" s="31"/>
      <c r="J243" s="97"/>
      <c r="K243" s="31" t="s">
        <v>200</v>
      </c>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97"/>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99"/>
    </row>
    <row r="244" spans="2:61" ht="20.100000000000001" customHeight="1" x14ac:dyDescent="0.45">
      <c r="B244" s="95"/>
      <c r="C244" s="31"/>
      <c r="D244" s="31"/>
      <c r="E244" s="31"/>
      <c r="F244" s="31"/>
      <c r="G244" s="96"/>
      <c r="H244" s="97"/>
      <c r="I244" s="31"/>
      <c r="J244" s="97"/>
      <c r="K244" s="31" t="s">
        <v>204</v>
      </c>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97"/>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99"/>
    </row>
    <row r="245" spans="2:61" ht="20.100000000000001" customHeight="1" thickBot="1" x14ac:dyDescent="0.5">
      <c r="B245" s="95"/>
      <c r="C245" s="31"/>
      <c r="D245" s="31"/>
      <c r="E245" s="31"/>
      <c r="F245" s="31"/>
      <c r="G245" s="96"/>
      <c r="H245" s="129" t="s">
        <v>170</v>
      </c>
      <c r="I245" s="130"/>
      <c r="J245" s="129" t="s">
        <v>177</v>
      </c>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1"/>
      <c r="AL245" s="130"/>
      <c r="AM245" s="130"/>
      <c r="AN245" s="130"/>
      <c r="AO245" s="130"/>
      <c r="AP245" s="130"/>
      <c r="AQ245" s="130"/>
      <c r="AR245" s="130"/>
      <c r="AS245" s="130"/>
      <c r="AT245" s="130"/>
      <c r="AU245" s="130"/>
      <c r="AV245" s="130"/>
      <c r="AW245" s="130"/>
      <c r="AX245" s="130"/>
      <c r="AY245" s="130"/>
      <c r="AZ245" s="130"/>
      <c r="BA245" s="130"/>
      <c r="BB245" s="130"/>
      <c r="BC245" s="130"/>
      <c r="BD245" s="130"/>
      <c r="BE245" s="130"/>
      <c r="BF245" s="130"/>
      <c r="BG245" s="130"/>
      <c r="BH245" s="130"/>
      <c r="BI245" s="132"/>
    </row>
    <row r="246" spans="2:61" ht="20.100000000000001" customHeight="1" x14ac:dyDescent="0.45">
      <c r="B246" s="89" t="s">
        <v>236</v>
      </c>
      <c r="C246" s="90"/>
      <c r="D246" s="90"/>
      <c r="E246" s="90"/>
      <c r="F246" s="90"/>
      <c r="G246" s="91"/>
      <c r="H246" s="97" t="s">
        <v>237</v>
      </c>
      <c r="I246" s="31"/>
      <c r="J246" s="124" t="s">
        <v>129</v>
      </c>
      <c r="K246" s="52"/>
      <c r="L246" s="52"/>
      <c r="M246" s="52"/>
      <c r="N246" s="52"/>
      <c r="O246" s="52"/>
      <c r="P246" s="52"/>
      <c r="Q246" s="125"/>
      <c r="R246" s="52" t="s">
        <v>207</v>
      </c>
      <c r="S246" s="52"/>
      <c r="T246" s="52"/>
      <c r="U246" s="52"/>
      <c r="V246" s="52"/>
      <c r="W246" s="52"/>
      <c r="X246" s="52"/>
      <c r="Y246" s="52"/>
      <c r="Z246" s="52"/>
      <c r="AA246" s="52"/>
      <c r="AB246" s="52"/>
      <c r="AC246" s="52"/>
      <c r="AD246" s="52"/>
      <c r="AE246" s="52"/>
      <c r="AF246" s="52"/>
      <c r="AG246" s="52"/>
      <c r="AH246" s="52"/>
      <c r="AI246" s="52"/>
      <c r="AJ246" s="125"/>
      <c r="AK246" s="98" t="s">
        <v>238</v>
      </c>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99"/>
    </row>
    <row r="247" spans="2:61" ht="20.100000000000001" customHeight="1" x14ac:dyDescent="0.45">
      <c r="B247" s="123"/>
      <c r="C247" s="31"/>
      <c r="D247" s="31"/>
      <c r="E247" s="31"/>
      <c r="F247" s="31"/>
      <c r="G247" s="96"/>
      <c r="H247" s="97"/>
      <c r="I247" s="31"/>
      <c r="J247" s="124" t="s">
        <v>130</v>
      </c>
      <c r="K247" s="52"/>
      <c r="L247" s="52"/>
      <c r="M247" s="52"/>
      <c r="N247" s="52"/>
      <c r="O247" s="52"/>
      <c r="P247" s="52"/>
      <c r="Q247" s="125"/>
      <c r="R247" s="52" t="s">
        <v>208</v>
      </c>
      <c r="S247" s="52"/>
      <c r="T247" s="52"/>
      <c r="U247" s="52"/>
      <c r="V247" s="52"/>
      <c r="W247" s="52"/>
      <c r="X247" s="52"/>
      <c r="Y247" s="52"/>
      <c r="Z247" s="52"/>
      <c r="AA247" s="52"/>
      <c r="AB247" s="52"/>
      <c r="AC247" s="52"/>
      <c r="AD247" s="52"/>
      <c r="AE247" s="52"/>
      <c r="AF247" s="52"/>
      <c r="AG247" s="52"/>
      <c r="AH247" s="52"/>
      <c r="AI247" s="52"/>
      <c r="AJ247" s="125"/>
      <c r="AK247" s="98"/>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99"/>
    </row>
    <row r="248" spans="2:61" ht="20.100000000000001" customHeight="1" x14ac:dyDescent="0.45">
      <c r="B248" s="123"/>
      <c r="C248" s="31"/>
      <c r="D248" s="31"/>
      <c r="E248" s="31"/>
      <c r="F248" s="31"/>
      <c r="G248" s="96"/>
      <c r="H248" s="31"/>
      <c r="I248" s="31"/>
      <c r="J248" s="124" t="s">
        <v>131</v>
      </c>
      <c r="K248" s="52"/>
      <c r="L248" s="52"/>
      <c r="M248" s="52"/>
      <c r="N248" s="52"/>
      <c r="O248" s="52"/>
      <c r="P248" s="52"/>
      <c r="Q248" s="125"/>
      <c r="R248" s="52" t="s">
        <v>209</v>
      </c>
      <c r="S248" s="52"/>
      <c r="T248" s="52"/>
      <c r="U248" s="52"/>
      <c r="V248" s="52"/>
      <c r="W248" s="52"/>
      <c r="X248" s="52"/>
      <c r="Y248" s="52"/>
      <c r="Z248" s="52"/>
      <c r="AA248" s="52"/>
      <c r="AB248" s="52"/>
      <c r="AC248" s="52"/>
      <c r="AD248" s="52"/>
      <c r="AE248" s="52"/>
      <c r="AF248" s="52"/>
      <c r="AG248" s="52"/>
      <c r="AH248" s="52"/>
      <c r="AI248" s="52"/>
      <c r="AJ248" s="125"/>
      <c r="AK248" s="98"/>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99"/>
    </row>
    <row r="249" spans="2:61" ht="20.100000000000001" customHeight="1" x14ac:dyDescent="0.45">
      <c r="B249" s="123"/>
      <c r="C249" s="31"/>
      <c r="D249" s="31"/>
      <c r="E249" s="31"/>
      <c r="F249" s="31"/>
      <c r="G249" s="96"/>
      <c r="H249" s="31"/>
      <c r="I249" s="31"/>
      <c r="J249" s="124" t="s">
        <v>132</v>
      </c>
      <c r="K249" s="52"/>
      <c r="L249" s="52"/>
      <c r="M249" s="52"/>
      <c r="N249" s="52"/>
      <c r="O249" s="52"/>
      <c r="P249" s="52"/>
      <c r="Q249" s="125"/>
      <c r="R249" s="52" t="s">
        <v>210</v>
      </c>
      <c r="S249" s="52"/>
      <c r="T249" s="52"/>
      <c r="U249" s="52"/>
      <c r="V249" s="52"/>
      <c r="W249" s="52"/>
      <c r="X249" s="52"/>
      <c r="Y249" s="52"/>
      <c r="Z249" s="52"/>
      <c r="AA249" s="52"/>
      <c r="AB249" s="52"/>
      <c r="AC249" s="52"/>
      <c r="AD249" s="52"/>
      <c r="AE249" s="52"/>
      <c r="AF249" s="52"/>
      <c r="AG249" s="52"/>
      <c r="AH249" s="52"/>
      <c r="AI249" s="52"/>
      <c r="AJ249" s="125"/>
      <c r="AK249" s="98"/>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99"/>
    </row>
    <row r="250" spans="2:61" ht="20.100000000000001" customHeight="1" x14ac:dyDescent="0.45">
      <c r="B250" s="123"/>
      <c r="C250" s="31"/>
      <c r="D250" s="31"/>
      <c r="E250" s="31"/>
      <c r="F250" s="31"/>
      <c r="G250" s="96"/>
      <c r="H250" s="31"/>
      <c r="I250" s="31"/>
      <c r="J250" s="124" t="s">
        <v>133</v>
      </c>
      <c r="K250" s="52"/>
      <c r="L250" s="52"/>
      <c r="M250" s="52"/>
      <c r="N250" s="52"/>
      <c r="O250" s="52"/>
      <c r="P250" s="52"/>
      <c r="Q250" s="125"/>
      <c r="R250" s="52" t="s">
        <v>211</v>
      </c>
      <c r="S250" s="52"/>
      <c r="T250" s="52"/>
      <c r="U250" s="52"/>
      <c r="V250" s="52"/>
      <c r="W250" s="52"/>
      <c r="X250" s="52"/>
      <c r="Y250" s="52"/>
      <c r="Z250" s="52"/>
      <c r="AA250" s="52"/>
      <c r="AB250" s="52"/>
      <c r="AC250" s="52"/>
      <c r="AD250" s="52"/>
      <c r="AE250" s="52"/>
      <c r="AF250" s="52"/>
      <c r="AG250" s="52"/>
      <c r="AH250" s="52"/>
      <c r="AI250" s="52"/>
      <c r="AJ250" s="125"/>
      <c r="AK250" s="98"/>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99"/>
    </row>
    <row r="251" spans="2:61" ht="20.100000000000001" customHeight="1" x14ac:dyDescent="0.45">
      <c r="B251" s="123"/>
      <c r="C251" s="31"/>
      <c r="D251" s="31"/>
      <c r="E251" s="31"/>
      <c r="F251" s="31"/>
      <c r="G251" s="96"/>
      <c r="H251" s="97"/>
      <c r="I251" s="31"/>
      <c r="J251" s="124" t="s">
        <v>134</v>
      </c>
      <c r="K251" s="52"/>
      <c r="L251" s="52"/>
      <c r="M251" s="52"/>
      <c r="N251" s="52"/>
      <c r="O251" s="52"/>
      <c r="P251" s="52"/>
      <c r="Q251" s="125"/>
      <c r="R251" s="52" t="s">
        <v>212</v>
      </c>
      <c r="S251" s="52"/>
      <c r="T251" s="52"/>
      <c r="U251" s="52"/>
      <c r="V251" s="52"/>
      <c r="W251" s="52"/>
      <c r="X251" s="52"/>
      <c r="Y251" s="52"/>
      <c r="Z251" s="52"/>
      <c r="AA251" s="52"/>
      <c r="AB251" s="52"/>
      <c r="AC251" s="52"/>
      <c r="AD251" s="52"/>
      <c r="AE251" s="52"/>
      <c r="AF251" s="52"/>
      <c r="AG251" s="52"/>
      <c r="AH251" s="52"/>
      <c r="AI251" s="52"/>
      <c r="AJ251" s="125"/>
      <c r="AK251" s="98"/>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99"/>
    </row>
    <row r="252" spans="2:61" ht="20.100000000000001" customHeight="1" x14ac:dyDescent="0.45">
      <c r="B252" s="123"/>
      <c r="C252" s="31"/>
      <c r="D252" s="31"/>
      <c r="E252" s="31"/>
      <c r="F252" s="31"/>
      <c r="G252" s="96"/>
      <c r="H252" s="97"/>
      <c r="I252" s="31"/>
      <c r="J252" s="124" t="s">
        <v>135</v>
      </c>
      <c r="K252" s="52"/>
      <c r="L252" s="52"/>
      <c r="M252" s="52"/>
      <c r="N252" s="52"/>
      <c r="O252" s="52"/>
      <c r="P252" s="52"/>
      <c r="Q252" s="125"/>
      <c r="R252" s="52" t="s">
        <v>213</v>
      </c>
      <c r="S252" s="52"/>
      <c r="T252" s="52"/>
      <c r="U252" s="52"/>
      <c r="V252" s="52"/>
      <c r="W252" s="52"/>
      <c r="X252" s="52"/>
      <c r="Y252" s="52"/>
      <c r="Z252" s="52"/>
      <c r="AA252" s="52"/>
      <c r="AB252" s="52"/>
      <c r="AC252" s="52"/>
      <c r="AD252" s="52"/>
      <c r="AE252" s="52"/>
      <c r="AF252" s="52"/>
      <c r="AG252" s="52"/>
      <c r="AH252" s="52"/>
      <c r="AI252" s="52"/>
      <c r="AJ252" s="125"/>
      <c r="AK252" s="98"/>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99"/>
    </row>
    <row r="253" spans="2:61" ht="20.100000000000001" customHeight="1" x14ac:dyDescent="0.45">
      <c r="B253" s="123"/>
      <c r="C253" s="31"/>
      <c r="D253" s="31"/>
      <c r="E253" s="31"/>
      <c r="F253" s="31"/>
      <c r="G253" s="96"/>
      <c r="H253" s="31"/>
      <c r="I253" s="31"/>
      <c r="J253" s="124" t="s">
        <v>136</v>
      </c>
      <c r="K253" s="52"/>
      <c r="L253" s="52"/>
      <c r="M253" s="52"/>
      <c r="N253" s="52"/>
      <c r="O253" s="52"/>
      <c r="P253" s="52"/>
      <c r="Q253" s="125"/>
      <c r="R253" s="52" t="s">
        <v>214</v>
      </c>
      <c r="S253" s="52"/>
      <c r="T253" s="52"/>
      <c r="U253" s="52"/>
      <c r="V253" s="52"/>
      <c r="W253" s="52"/>
      <c r="X253" s="52"/>
      <c r="Y253" s="52"/>
      <c r="Z253" s="52"/>
      <c r="AA253" s="52"/>
      <c r="AB253" s="52"/>
      <c r="AC253" s="52"/>
      <c r="AD253" s="52"/>
      <c r="AE253" s="52"/>
      <c r="AF253" s="52"/>
      <c r="AG253" s="52"/>
      <c r="AH253" s="52"/>
      <c r="AI253" s="52"/>
      <c r="AJ253" s="125"/>
      <c r="AK253" s="98"/>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99"/>
    </row>
    <row r="254" spans="2:61" ht="20.100000000000001" customHeight="1" x14ac:dyDescent="0.45">
      <c r="B254" s="123"/>
      <c r="C254" s="31"/>
      <c r="D254" s="31"/>
      <c r="E254" s="31"/>
      <c r="F254" s="31"/>
      <c r="G254" s="96"/>
      <c r="H254" s="31"/>
      <c r="I254" s="31"/>
      <c r="J254" s="124" t="s">
        <v>137</v>
      </c>
      <c r="K254" s="52"/>
      <c r="L254" s="52"/>
      <c r="M254" s="52"/>
      <c r="N254" s="52"/>
      <c r="O254" s="52"/>
      <c r="P254" s="52"/>
      <c r="Q254" s="125"/>
      <c r="R254" s="52" t="s">
        <v>215</v>
      </c>
      <c r="S254" s="52"/>
      <c r="T254" s="52"/>
      <c r="U254" s="52"/>
      <c r="V254" s="52"/>
      <c r="W254" s="52"/>
      <c r="X254" s="52"/>
      <c r="Y254" s="52"/>
      <c r="Z254" s="52"/>
      <c r="AA254" s="52"/>
      <c r="AB254" s="52"/>
      <c r="AC254" s="52"/>
      <c r="AD254" s="52"/>
      <c r="AE254" s="52"/>
      <c r="AF254" s="52"/>
      <c r="AG254" s="52"/>
      <c r="AH254" s="52"/>
      <c r="AI254" s="52"/>
      <c r="AJ254" s="125"/>
      <c r="AK254" s="98"/>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99"/>
    </row>
    <row r="255" spans="2:61" ht="20.100000000000001" customHeight="1" x14ac:dyDescent="0.45">
      <c r="B255" s="123"/>
      <c r="C255" s="31"/>
      <c r="D255" s="31"/>
      <c r="E255" s="31"/>
      <c r="F255" s="31"/>
      <c r="G255" s="96"/>
      <c r="H255" s="31"/>
      <c r="I255" s="31"/>
      <c r="J255" s="124" t="s">
        <v>138</v>
      </c>
      <c r="K255" s="52"/>
      <c r="L255" s="52"/>
      <c r="M255" s="52"/>
      <c r="N255" s="52"/>
      <c r="O255" s="52"/>
      <c r="P255" s="52"/>
      <c r="Q255" s="125"/>
      <c r="R255" s="52" t="s">
        <v>216</v>
      </c>
      <c r="S255" s="52"/>
      <c r="T255" s="52"/>
      <c r="U255" s="52"/>
      <c r="V255" s="52"/>
      <c r="W255" s="52"/>
      <c r="X255" s="52"/>
      <c r="Y255" s="52"/>
      <c r="Z255" s="52"/>
      <c r="AA255" s="52"/>
      <c r="AB255" s="52"/>
      <c r="AC255" s="52"/>
      <c r="AD255" s="52"/>
      <c r="AE255" s="52"/>
      <c r="AF255" s="52"/>
      <c r="AG255" s="52"/>
      <c r="AH255" s="52"/>
      <c r="AI255" s="52"/>
      <c r="AJ255" s="125"/>
      <c r="AK255" s="98"/>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99"/>
    </row>
    <row r="256" spans="2:61" ht="20.100000000000001" customHeight="1" x14ac:dyDescent="0.45">
      <c r="B256" s="123"/>
      <c r="C256" s="31"/>
      <c r="D256" s="31"/>
      <c r="E256" s="31"/>
      <c r="F256" s="31"/>
      <c r="G256" s="96"/>
      <c r="H256" s="97"/>
      <c r="I256" s="31"/>
      <c r="J256" s="124" t="s">
        <v>139</v>
      </c>
      <c r="K256" s="52"/>
      <c r="L256" s="52"/>
      <c r="M256" s="52"/>
      <c r="N256" s="52"/>
      <c r="O256" s="52"/>
      <c r="P256" s="52"/>
      <c r="Q256" s="125"/>
      <c r="R256" s="52" t="s">
        <v>217</v>
      </c>
      <c r="S256" s="52"/>
      <c r="T256" s="52"/>
      <c r="U256" s="52"/>
      <c r="V256" s="52"/>
      <c r="W256" s="52"/>
      <c r="X256" s="52"/>
      <c r="Y256" s="52"/>
      <c r="Z256" s="52"/>
      <c r="AA256" s="52"/>
      <c r="AB256" s="52"/>
      <c r="AC256" s="52"/>
      <c r="AD256" s="52"/>
      <c r="AE256" s="52"/>
      <c r="AF256" s="52"/>
      <c r="AG256" s="52"/>
      <c r="AH256" s="52"/>
      <c r="AI256" s="52"/>
      <c r="AJ256" s="125"/>
      <c r="AK256" s="98"/>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99"/>
    </row>
    <row r="257" spans="2:61" ht="20.100000000000001" customHeight="1" x14ac:dyDescent="0.45">
      <c r="B257" s="123"/>
      <c r="C257" s="31"/>
      <c r="D257" s="31"/>
      <c r="E257" s="31"/>
      <c r="F257" s="31"/>
      <c r="G257" s="96"/>
      <c r="H257" s="97"/>
      <c r="I257" s="31"/>
      <c r="J257" s="124" t="s">
        <v>140</v>
      </c>
      <c r="K257" s="52"/>
      <c r="L257" s="52"/>
      <c r="M257" s="52"/>
      <c r="N257" s="52"/>
      <c r="O257" s="52"/>
      <c r="P257" s="52"/>
      <c r="Q257" s="125"/>
      <c r="R257" s="52" t="s">
        <v>218</v>
      </c>
      <c r="S257" s="52"/>
      <c r="T257" s="52"/>
      <c r="U257" s="52"/>
      <c r="V257" s="52"/>
      <c r="W257" s="52"/>
      <c r="X257" s="52"/>
      <c r="Y257" s="52"/>
      <c r="Z257" s="52"/>
      <c r="AA257" s="52"/>
      <c r="AB257" s="52"/>
      <c r="AC257" s="52"/>
      <c r="AD257" s="52"/>
      <c r="AE257" s="52"/>
      <c r="AF257" s="52"/>
      <c r="AG257" s="52"/>
      <c r="AH257" s="52"/>
      <c r="AI257" s="52"/>
      <c r="AJ257" s="125"/>
      <c r="AK257" s="98"/>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99"/>
    </row>
    <row r="258" spans="2:61" ht="20.100000000000001" customHeight="1" x14ac:dyDescent="0.45">
      <c r="B258" s="123"/>
      <c r="C258" s="31"/>
      <c r="D258" s="31"/>
      <c r="E258" s="31"/>
      <c r="F258" s="31"/>
      <c r="G258" s="96"/>
      <c r="H258" s="31"/>
      <c r="I258" s="31"/>
      <c r="J258" s="124" t="s">
        <v>141</v>
      </c>
      <c r="K258" s="52"/>
      <c r="L258" s="52"/>
      <c r="M258" s="52"/>
      <c r="N258" s="52"/>
      <c r="O258" s="52"/>
      <c r="P258" s="52"/>
      <c r="Q258" s="125"/>
      <c r="R258" s="52" t="s">
        <v>219</v>
      </c>
      <c r="S258" s="52"/>
      <c r="T258" s="52"/>
      <c r="U258" s="52"/>
      <c r="V258" s="52"/>
      <c r="W258" s="52"/>
      <c r="X258" s="52"/>
      <c r="Y258" s="52"/>
      <c r="Z258" s="52"/>
      <c r="AA258" s="52"/>
      <c r="AB258" s="52"/>
      <c r="AC258" s="52"/>
      <c r="AD258" s="52"/>
      <c r="AE258" s="52"/>
      <c r="AF258" s="52"/>
      <c r="AG258" s="52"/>
      <c r="AH258" s="52"/>
      <c r="AI258" s="52"/>
      <c r="AJ258" s="125"/>
      <c r="AK258" s="98"/>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99"/>
    </row>
    <row r="259" spans="2:61" ht="20.100000000000001" customHeight="1" x14ac:dyDescent="0.45">
      <c r="B259" s="123"/>
      <c r="C259" s="31"/>
      <c r="D259" s="31"/>
      <c r="E259" s="31"/>
      <c r="F259" s="31"/>
      <c r="G259" s="96"/>
      <c r="H259" s="31"/>
      <c r="I259" s="31"/>
      <c r="J259" s="124" t="s">
        <v>142</v>
      </c>
      <c r="K259" s="52"/>
      <c r="L259" s="52"/>
      <c r="M259" s="52"/>
      <c r="N259" s="52"/>
      <c r="O259" s="52"/>
      <c r="P259" s="52"/>
      <c r="Q259" s="125"/>
      <c r="R259" s="52" t="s">
        <v>220</v>
      </c>
      <c r="S259" s="52"/>
      <c r="T259" s="52"/>
      <c r="U259" s="52"/>
      <c r="V259" s="52"/>
      <c r="W259" s="52"/>
      <c r="X259" s="52"/>
      <c r="Y259" s="52"/>
      <c r="Z259" s="52"/>
      <c r="AA259" s="52"/>
      <c r="AB259" s="52"/>
      <c r="AC259" s="52"/>
      <c r="AD259" s="52"/>
      <c r="AE259" s="52"/>
      <c r="AF259" s="52"/>
      <c r="AG259" s="52"/>
      <c r="AH259" s="52"/>
      <c r="AI259" s="52"/>
      <c r="AJ259" s="125"/>
      <c r="AK259" s="98"/>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99"/>
    </row>
    <row r="260" spans="2:61" ht="20.100000000000001" customHeight="1" x14ac:dyDescent="0.45">
      <c r="B260" s="123"/>
      <c r="C260" s="31"/>
      <c r="D260" s="31"/>
      <c r="E260" s="31"/>
      <c r="F260" s="31"/>
      <c r="G260" s="96"/>
      <c r="H260" s="97"/>
      <c r="I260" s="31"/>
      <c r="J260" s="124" t="s">
        <v>143</v>
      </c>
      <c r="K260" s="52"/>
      <c r="L260" s="52"/>
      <c r="M260" s="52"/>
      <c r="N260" s="52"/>
      <c r="O260" s="52"/>
      <c r="P260" s="52"/>
      <c r="Q260" s="125"/>
      <c r="R260" s="52" t="s">
        <v>221</v>
      </c>
      <c r="S260" s="52"/>
      <c r="T260" s="52"/>
      <c r="U260" s="52"/>
      <c r="V260" s="52"/>
      <c r="W260" s="52"/>
      <c r="X260" s="52"/>
      <c r="Y260" s="52"/>
      <c r="Z260" s="52"/>
      <c r="AA260" s="52"/>
      <c r="AB260" s="52"/>
      <c r="AC260" s="52"/>
      <c r="AD260" s="52"/>
      <c r="AE260" s="52"/>
      <c r="AF260" s="52"/>
      <c r="AG260" s="52"/>
      <c r="AH260" s="52"/>
      <c r="AI260" s="52"/>
      <c r="AJ260" s="125"/>
      <c r="AK260" s="98"/>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99"/>
    </row>
    <row r="261" spans="2:61" ht="20.100000000000001" customHeight="1" x14ac:dyDescent="0.45">
      <c r="B261" s="123"/>
      <c r="C261" s="31"/>
      <c r="D261" s="31"/>
      <c r="E261" s="31"/>
      <c r="F261" s="31"/>
      <c r="G261" s="96"/>
      <c r="H261" s="97"/>
      <c r="I261" s="31"/>
      <c r="J261" s="124" t="s">
        <v>106</v>
      </c>
      <c r="K261" s="52"/>
      <c r="L261" s="52"/>
      <c r="M261" s="52"/>
      <c r="N261" s="52"/>
      <c r="O261" s="52"/>
      <c r="P261" s="52"/>
      <c r="Q261" s="125"/>
      <c r="R261" s="52" t="s">
        <v>222</v>
      </c>
      <c r="S261" s="52"/>
      <c r="T261" s="52"/>
      <c r="U261" s="52"/>
      <c r="V261" s="52"/>
      <c r="W261" s="52"/>
      <c r="X261" s="52"/>
      <c r="Y261" s="52"/>
      <c r="Z261" s="52"/>
      <c r="AA261" s="52"/>
      <c r="AB261" s="52"/>
      <c r="AC261" s="52"/>
      <c r="AD261" s="52"/>
      <c r="AE261" s="52"/>
      <c r="AF261" s="52"/>
      <c r="AG261" s="52"/>
      <c r="AH261" s="52"/>
      <c r="AI261" s="52"/>
      <c r="AJ261" s="125"/>
      <c r="AK261" s="98"/>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99"/>
    </row>
    <row r="262" spans="2:61" ht="20.100000000000001" customHeight="1" x14ac:dyDescent="0.45">
      <c r="B262" s="123"/>
      <c r="C262" s="31"/>
      <c r="D262" s="31"/>
      <c r="E262" s="31"/>
      <c r="F262" s="31"/>
      <c r="G262" s="96"/>
      <c r="H262" s="31"/>
      <c r="I262" s="31"/>
      <c r="J262" s="124" t="s">
        <v>144</v>
      </c>
      <c r="K262" s="52"/>
      <c r="L262" s="52"/>
      <c r="M262" s="52"/>
      <c r="N262" s="52"/>
      <c r="O262" s="52"/>
      <c r="P262" s="52"/>
      <c r="Q262" s="125"/>
      <c r="R262" s="52" t="s">
        <v>223</v>
      </c>
      <c r="S262" s="52"/>
      <c r="T262" s="52"/>
      <c r="U262" s="52"/>
      <c r="V262" s="52"/>
      <c r="W262" s="52"/>
      <c r="X262" s="52"/>
      <c r="Y262" s="52"/>
      <c r="Z262" s="52"/>
      <c r="AA262" s="52"/>
      <c r="AB262" s="52"/>
      <c r="AC262" s="52"/>
      <c r="AD262" s="52"/>
      <c r="AE262" s="52"/>
      <c r="AF262" s="52"/>
      <c r="AG262" s="52"/>
      <c r="AH262" s="52"/>
      <c r="AI262" s="52"/>
      <c r="AJ262" s="125"/>
      <c r="AK262" s="98"/>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99"/>
    </row>
    <row r="263" spans="2:61" ht="20.100000000000001" customHeight="1" x14ac:dyDescent="0.45">
      <c r="B263" s="123"/>
      <c r="C263" s="31"/>
      <c r="D263" s="31"/>
      <c r="E263" s="31"/>
      <c r="F263" s="31"/>
      <c r="G263" s="96"/>
      <c r="H263" s="31"/>
      <c r="I263" s="31"/>
      <c r="J263" s="124" t="s">
        <v>145</v>
      </c>
      <c r="K263" s="52"/>
      <c r="L263" s="52"/>
      <c r="M263" s="52"/>
      <c r="N263" s="52"/>
      <c r="O263" s="52"/>
      <c r="P263" s="52"/>
      <c r="Q263" s="125"/>
      <c r="R263" s="133" t="s">
        <v>224</v>
      </c>
      <c r="S263" s="52"/>
      <c r="T263" s="52"/>
      <c r="U263" s="52"/>
      <c r="V263" s="52"/>
      <c r="W263" s="52"/>
      <c r="X263" s="52"/>
      <c r="Y263" s="52"/>
      <c r="Z263" s="52"/>
      <c r="AA263" s="52"/>
      <c r="AB263" s="52"/>
      <c r="AC263" s="52"/>
      <c r="AD263" s="52"/>
      <c r="AE263" s="52"/>
      <c r="AF263" s="52"/>
      <c r="AG263" s="52"/>
      <c r="AH263" s="52"/>
      <c r="AI263" s="52"/>
      <c r="AJ263" s="125"/>
      <c r="AK263" s="98"/>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99"/>
    </row>
    <row r="264" spans="2:61" ht="20.100000000000001" customHeight="1" x14ac:dyDescent="0.45">
      <c r="B264" s="123"/>
      <c r="C264" s="31"/>
      <c r="D264" s="31"/>
      <c r="E264" s="31"/>
      <c r="F264" s="31"/>
      <c r="G264" s="96"/>
      <c r="H264" s="31"/>
      <c r="I264" s="31"/>
      <c r="J264" s="124" t="s">
        <v>146</v>
      </c>
      <c r="K264" s="52"/>
      <c r="L264" s="52"/>
      <c r="M264" s="52"/>
      <c r="N264" s="52"/>
      <c r="O264" s="52"/>
      <c r="P264" s="52"/>
      <c r="Q264" s="125"/>
      <c r="R264" s="52" t="s">
        <v>235</v>
      </c>
      <c r="S264" s="52"/>
      <c r="T264" s="52"/>
      <c r="U264" s="52"/>
      <c r="V264" s="52"/>
      <c r="W264" s="52"/>
      <c r="X264" s="52"/>
      <c r="Y264" s="52"/>
      <c r="Z264" s="52"/>
      <c r="AA264" s="52"/>
      <c r="AB264" s="52"/>
      <c r="AC264" s="52"/>
      <c r="AD264" s="52"/>
      <c r="AE264" s="52"/>
      <c r="AF264" s="52"/>
      <c r="AG264" s="52"/>
      <c r="AH264" s="52"/>
      <c r="AI264" s="52"/>
      <c r="AJ264" s="125"/>
      <c r="AK264" s="98"/>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99"/>
    </row>
    <row r="265" spans="2:61" ht="20.100000000000001" customHeight="1" x14ac:dyDescent="0.45">
      <c r="B265" s="123"/>
      <c r="C265" s="31"/>
      <c r="D265" s="31"/>
      <c r="E265" s="31"/>
      <c r="F265" s="31"/>
      <c r="G265" s="96"/>
      <c r="H265" s="97"/>
      <c r="I265" s="31"/>
      <c r="J265" s="124" t="s">
        <v>147</v>
      </c>
      <c r="K265" s="52"/>
      <c r="L265" s="52"/>
      <c r="M265" s="52"/>
      <c r="N265" s="52"/>
      <c r="O265" s="52"/>
      <c r="P265" s="52"/>
      <c r="Q265" s="125"/>
      <c r="R265" s="52" t="s">
        <v>225</v>
      </c>
      <c r="S265" s="52"/>
      <c r="T265" s="52"/>
      <c r="U265" s="52"/>
      <c r="V265" s="52"/>
      <c r="W265" s="52"/>
      <c r="X265" s="52"/>
      <c r="Y265" s="52"/>
      <c r="Z265" s="52"/>
      <c r="AA265" s="52"/>
      <c r="AB265" s="52"/>
      <c r="AC265" s="52"/>
      <c r="AD265" s="52"/>
      <c r="AE265" s="52"/>
      <c r="AF265" s="52"/>
      <c r="AG265" s="52"/>
      <c r="AH265" s="52"/>
      <c r="AI265" s="52"/>
      <c r="AJ265" s="125"/>
      <c r="AK265" s="98"/>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99"/>
    </row>
    <row r="266" spans="2:61" ht="20.100000000000001" customHeight="1" x14ac:dyDescent="0.45">
      <c r="B266" s="123"/>
      <c r="C266" s="31"/>
      <c r="D266" s="31"/>
      <c r="E266" s="31"/>
      <c r="F266" s="31"/>
      <c r="G266" s="96"/>
      <c r="H266" s="97"/>
      <c r="I266" s="31"/>
      <c r="J266" s="124" t="s">
        <v>148</v>
      </c>
      <c r="K266" s="52"/>
      <c r="L266" s="52"/>
      <c r="M266" s="52"/>
      <c r="N266" s="52"/>
      <c r="O266" s="52"/>
      <c r="P266" s="52"/>
      <c r="Q266" s="125"/>
      <c r="R266" s="52" t="s">
        <v>226</v>
      </c>
      <c r="S266" s="52"/>
      <c r="T266" s="52"/>
      <c r="U266" s="52"/>
      <c r="V266" s="52"/>
      <c r="W266" s="52"/>
      <c r="X266" s="52"/>
      <c r="Y266" s="52"/>
      <c r="Z266" s="52"/>
      <c r="AA266" s="52"/>
      <c r="AB266" s="52"/>
      <c r="AC266" s="52"/>
      <c r="AD266" s="52"/>
      <c r="AE266" s="52"/>
      <c r="AF266" s="52"/>
      <c r="AG266" s="52"/>
      <c r="AH266" s="52"/>
      <c r="AI266" s="52"/>
      <c r="AJ266" s="125"/>
      <c r="AK266" s="98"/>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99"/>
    </row>
    <row r="267" spans="2:61" ht="20.100000000000001" customHeight="1" x14ac:dyDescent="0.45">
      <c r="B267" s="123"/>
      <c r="C267" s="31"/>
      <c r="D267" s="31"/>
      <c r="E267" s="31"/>
      <c r="F267" s="31"/>
      <c r="G267" s="96"/>
      <c r="H267" s="31"/>
      <c r="I267" s="31"/>
      <c r="J267" s="124" t="s">
        <v>149</v>
      </c>
      <c r="K267" s="52"/>
      <c r="L267" s="52"/>
      <c r="M267" s="52"/>
      <c r="N267" s="52"/>
      <c r="O267" s="52"/>
      <c r="P267" s="52"/>
      <c r="Q267" s="125"/>
      <c r="R267" s="52" t="s">
        <v>227</v>
      </c>
      <c r="S267" s="52"/>
      <c r="T267" s="52"/>
      <c r="U267" s="52"/>
      <c r="V267" s="52"/>
      <c r="W267" s="52"/>
      <c r="X267" s="52"/>
      <c r="Y267" s="52"/>
      <c r="Z267" s="52"/>
      <c r="AA267" s="52"/>
      <c r="AB267" s="52"/>
      <c r="AC267" s="52"/>
      <c r="AD267" s="52"/>
      <c r="AE267" s="52"/>
      <c r="AF267" s="52"/>
      <c r="AG267" s="52"/>
      <c r="AH267" s="52"/>
      <c r="AI267" s="52"/>
      <c r="AJ267" s="125"/>
      <c r="AK267" s="98"/>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99"/>
    </row>
    <row r="268" spans="2:61" ht="20.100000000000001" customHeight="1" x14ac:dyDescent="0.45">
      <c r="B268" s="123"/>
      <c r="C268" s="31"/>
      <c r="D268" s="31"/>
      <c r="E268" s="31"/>
      <c r="F268" s="31"/>
      <c r="G268" s="96"/>
      <c r="H268" s="31"/>
      <c r="I268" s="31"/>
      <c r="J268" s="124" t="s">
        <v>150</v>
      </c>
      <c r="K268" s="52"/>
      <c r="L268" s="52"/>
      <c r="M268" s="52"/>
      <c r="N268" s="52"/>
      <c r="O268" s="52"/>
      <c r="P268" s="52"/>
      <c r="Q268" s="125"/>
      <c r="R268" s="52" t="s">
        <v>228</v>
      </c>
      <c r="S268" s="52"/>
      <c r="T268" s="52"/>
      <c r="U268" s="52"/>
      <c r="V268" s="52"/>
      <c r="W268" s="52"/>
      <c r="X268" s="52"/>
      <c r="Y268" s="52"/>
      <c r="Z268" s="52"/>
      <c r="AA268" s="52"/>
      <c r="AB268" s="52"/>
      <c r="AC268" s="52"/>
      <c r="AD268" s="52"/>
      <c r="AE268" s="52"/>
      <c r="AF268" s="52"/>
      <c r="AG268" s="52"/>
      <c r="AH268" s="52"/>
      <c r="AI268" s="52"/>
      <c r="AJ268" s="125"/>
      <c r="AK268" s="98"/>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99"/>
    </row>
    <row r="269" spans="2:61" ht="20.100000000000001" customHeight="1" x14ac:dyDescent="0.45">
      <c r="B269" s="123"/>
      <c r="C269" s="31"/>
      <c r="D269" s="31"/>
      <c r="E269" s="31"/>
      <c r="F269" s="31"/>
      <c r="G269" s="96"/>
      <c r="H269" s="31"/>
      <c r="I269" s="31"/>
      <c r="J269" s="124" t="s">
        <v>151</v>
      </c>
      <c r="K269" s="52"/>
      <c r="L269" s="52"/>
      <c r="M269" s="52"/>
      <c r="N269" s="52"/>
      <c r="O269" s="52"/>
      <c r="P269" s="52"/>
      <c r="Q269" s="125"/>
      <c r="R269" s="52" t="s">
        <v>229</v>
      </c>
      <c r="S269" s="52"/>
      <c r="T269" s="52"/>
      <c r="U269" s="52"/>
      <c r="V269" s="52"/>
      <c r="W269" s="52"/>
      <c r="X269" s="52"/>
      <c r="Y269" s="52"/>
      <c r="Z269" s="52"/>
      <c r="AA269" s="52"/>
      <c r="AB269" s="52"/>
      <c r="AC269" s="52"/>
      <c r="AD269" s="52"/>
      <c r="AE269" s="52"/>
      <c r="AF269" s="52"/>
      <c r="AG269" s="52"/>
      <c r="AH269" s="52"/>
      <c r="AI269" s="52"/>
      <c r="AJ269" s="125"/>
      <c r="AK269" s="98"/>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99"/>
    </row>
    <row r="270" spans="2:61" ht="20.100000000000001" customHeight="1" x14ac:dyDescent="0.45">
      <c r="B270" s="123"/>
      <c r="C270" s="31"/>
      <c r="D270" s="31"/>
      <c r="E270" s="31"/>
      <c r="F270" s="31"/>
      <c r="G270" s="96"/>
      <c r="H270" s="97"/>
      <c r="I270" s="31"/>
      <c r="J270" s="124" t="s">
        <v>152</v>
      </c>
      <c r="K270" s="52"/>
      <c r="L270" s="52"/>
      <c r="M270" s="52"/>
      <c r="N270" s="52"/>
      <c r="O270" s="52"/>
      <c r="P270" s="52"/>
      <c r="Q270" s="125"/>
      <c r="R270" s="52" t="s">
        <v>230</v>
      </c>
      <c r="S270" s="52"/>
      <c r="T270" s="52"/>
      <c r="U270" s="52"/>
      <c r="V270" s="52"/>
      <c r="W270" s="52"/>
      <c r="X270" s="52"/>
      <c r="Y270" s="52"/>
      <c r="Z270" s="52"/>
      <c r="AA270" s="52"/>
      <c r="AB270" s="52"/>
      <c r="AC270" s="52"/>
      <c r="AD270" s="52"/>
      <c r="AE270" s="52"/>
      <c r="AF270" s="52"/>
      <c r="AG270" s="52"/>
      <c r="AH270" s="52"/>
      <c r="AI270" s="52"/>
      <c r="AJ270" s="125"/>
      <c r="AK270" s="98"/>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99"/>
    </row>
    <row r="271" spans="2:61" ht="20.100000000000001" customHeight="1" x14ac:dyDescent="0.45">
      <c r="B271" s="123"/>
      <c r="C271" s="31"/>
      <c r="D271" s="31"/>
      <c r="E271" s="31"/>
      <c r="F271" s="31"/>
      <c r="G271" s="96"/>
      <c r="H271" s="97"/>
      <c r="I271" s="31"/>
      <c r="J271" s="124" t="s">
        <v>153</v>
      </c>
      <c r="K271" s="52"/>
      <c r="L271" s="52"/>
      <c r="M271" s="52"/>
      <c r="N271" s="52"/>
      <c r="O271" s="52"/>
      <c r="P271" s="52"/>
      <c r="Q271" s="125"/>
      <c r="R271" s="52" t="s">
        <v>231</v>
      </c>
      <c r="S271" s="52"/>
      <c r="T271" s="52"/>
      <c r="U271" s="52"/>
      <c r="V271" s="52"/>
      <c r="W271" s="52"/>
      <c r="X271" s="52"/>
      <c r="Y271" s="52"/>
      <c r="Z271" s="52"/>
      <c r="AA271" s="52"/>
      <c r="AB271" s="52"/>
      <c r="AC271" s="52"/>
      <c r="AD271" s="52"/>
      <c r="AE271" s="52"/>
      <c r="AF271" s="52"/>
      <c r="AG271" s="52"/>
      <c r="AH271" s="52"/>
      <c r="AI271" s="52"/>
      <c r="AJ271" s="125"/>
      <c r="AK271" s="98"/>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99"/>
    </row>
    <row r="272" spans="2:61" ht="20.100000000000001" customHeight="1" x14ac:dyDescent="0.45">
      <c r="B272" s="123"/>
      <c r="C272" s="31"/>
      <c r="D272" s="31"/>
      <c r="E272" s="31"/>
      <c r="F272" s="31"/>
      <c r="G272" s="96"/>
      <c r="H272" s="31"/>
      <c r="I272" s="31"/>
      <c r="J272" s="124" t="s">
        <v>154</v>
      </c>
      <c r="K272" s="52"/>
      <c r="L272" s="52"/>
      <c r="M272" s="52"/>
      <c r="N272" s="52"/>
      <c r="O272" s="52"/>
      <c r="P272" s="52"/>
      <c r="Q272" s="125"/>
      <c r="R272" s="52" t="s">
        <v>232</v>
      </c>
      <c r="S272" s="52"/>
      <c r="T272" s="52"/>
      <c r="U272" s="52"/>
      <c r="V272" s="52"/>
      <c r="W272" s="52"/>
      <c r="X272" s="52"/>
      <c r="Y272" s="52"/>
      <c r="Z272" s="52"/>
      <c r="AA272" s="52"/>
      <c r="AB272" s="52"/>
      <c r="AC272" s="52"/>
      <c r="AD272" s="52"/>
      <c r="AE272" s="52"/>
      <c r="AF272" s="52"/>
      <c r="AG272" s="52"/>
      <c r="AH272" s="52"/>
      <c r="AI272" s="52"/>
      <c r="AJ272" s="125"/>
      <c r="AK272" s="98"/>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99"/>
    </row>
    <row r="273" spans="2:61" ht="20.100000000000001" customHeight="1" x14ac:dyDescent="0.45">
      <c r="B273" s="123"/>
      <c r="C273" s="31"/>
      <c r="D273" s="31"/>
      <c r="E273" s="31"/>
      <c r="F273" s="31"/>
      <c r="G273" s="96"/>
      <c r="H273" s="31"/>
      <c r="I273" s="31"/>
      <c r="J273" s="124" t="s">
        <v>155</v>
      </c>
      <c r="K273" s="52"/>
      <c r="L273" s="52"/>
      <c r="M273" s="52"/>
      <c r="N273" s="52"/>
      <c r="O273" s="52"/>
      <c r="P273" s="52"/>
      <c r="Q273" s="125"/>
      <c r="R273" s="52" t="s">
        <v>233</v>
      </c>
      <c r="S273" s="52"/>
      <c r="T273" s="52"/>
      <c r="U273" s="52"/>
      <c r="V273" s="52"/>
      <c r="W273" s="52"/>
      <c r="X273" s="52"/>
      <c r="Y273" s="52"/>
      <c r="Z273" s="52"/>
      <c r="AA273" s="52"/>
      <c r="AB273" s="52"/>
      <c r="AC273" s="52"/>
      <c r="AD273" s="52"/>
      <c r="AE273" s="52"/>
      <c r="AF273" s="52"/>
      <c r="AG273" s="52"/>
      <c r="AH273" s="52"/>
      <c r="AI273" s="52"/>
      <c r="AJ273" s="125"/>
      <c r="AK273" s="98"/>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99"/>
    </row>
    <row r="274" spans="2:61" ht="20.100000000000001" customHeight="1" x14ac:dyDescent="0.45">
      <c r="B274" s="123"/>
      <c r="C274" s="31"/>
      <c r="D274" s="31"/>
      <c r="E274" s="31"/>
      <c r="F274" s="31"/>
      <c r="G274" s="96"/>
      <c r="H274" s="31"/>
      <c r="I274" s="31"/>
      <c r="J274" s="124" t="s">
        <v>156</v>
      </c>
      <c r="K274" s="52"/>
      <c r="L274" s="52"/>
      <c r="M274" s="52"/>
      <c r="N274" s="52"/>
      <c r="O274" s="52"/>
      <c r="P274" s="52"/>
      <c r="Q274" s="125"/>
      <c r="R274" s="52" t="s">
        <v>234</v>
      </c>
      <c r="S274" s="52"/>
      <c r="T274" s="52"/>
      <c r="U274" s="52"/>
      <c r="V274" s="52"/>
      <c r="W274" s="52"/>
      <c r="X274" s="52"/>
      <c r="Y274" s="52"/>
      <c r="Z274" s="52"/>
      <c r="AA274" s="52"/>
      <c r="AB274" s="52"/>
      <c r="AC274" s="52"/>
      <c r="AD274" s="52"/>
      <c r="AE274" s="52"/>
      <c r="AF274" s="52"/>
      <c r="AG274" s="52"/>
      <c r="AH274" s="52"/>
      <c r="AI274" s="52"/>
      <c r="AJ274" s="125"/>
      <c r="AK274" s="98"/>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99"/>
    </row>
    <row r="275" spans="2:61" ht="20.100000000000001" customHeight="1" x14ac:dyDescent="0.45">
      <c r="B275" s="123"/>
      <c r="C275" s="31"/>
      <c r="D275" s="31"/>
      <c r="E275" s="31"/>
      <c r="F275" s="31"/>
      <c r="G275" s="96"/>
      <c r="H275" s="100" t="s">
        <v>162</v>
      </c>
      <c r="I275" s="55"/>
      <c r="J275" s="100" t="s">
        <v>205</v>
      </c>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101"/>
      <c r="AL275" s="55"/>
      <c r="AM275" s="55"/>
      <c r="AN275" s="55"/>
      <c r="AO275" s="55"/>
      <c r="AP275" s="55"/>
      <c r="AQ275" s="55"/>
      <c r="AR275" s="55"/>
      <c r="AS275" s="55"/>
      <c r="AT275" s="55"/>
      <c r="AU275" s="55"/>
      <c r="AV275" s="55"/>
      <c r="AW275" s="55"/>
      <c r="AX275" s="55"/>
      <c r="AY275" s="55"/>
      <c r="AZ275" s="55"/>
      <c r="BA275" s="55"/>
      <c r="BB275" s="55"/>
      <c r="BC275" s="55"/>
      <c r="BD275" s="55"/>
      <c r="BE275" s="55"/>
      <c r="BF275" s="55"/>
      <c r="BG275" s="55"/>
      <c r="BH275" s="55"/>
      <c r="BI275" s="102"/>
    </row>
    <row r="276" spans="2:61" ht="20.100000000000001" customHeight="1" thickBot="1" x14ac:dyDescent="0.5">
      <c r="B276" s="95"/>
      <c r="C276" s="31"/>
      <c r="D276" s="31"/>
      <c r="E276" s="31"/>
      <c r="F276" s="31"/>
      <c r="G276" s="96"/>
      <c r="H276" s="129" t="s">
        <v>170</v>
      </c>
      <c r="I276" s="130"/>
      <c r="J276" s="129" t="s">
        <v>206</v>
      </c>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1"/>
      <c r="AL276" s="130"/>
      <c r="AM276" s="130"/>
      <c r="AN276" s="130"/>
      <c r="AO276" s="130"/>
      <c r="AP276" s="130"/>
      <c r="AQ276" s="130"/>
      <c r="AR276" s="130"/>
      <c r="AS276" s="130"/>
      <c r="AT276" s="130"/>
      <c r="AU276" s="130"/>
      <c r="AV276" s="130"/>
      <c r="AW276" s="130"/>
      <c r="AX276" s="130"/>
      <c r="AY276" s="130"/>
      <c r="AZ276" s="130"/>
      <c r="BA276" s="130"/>
      <c r="BB276" s="130"/>
      <c r="BC276" s="130"/>
      <c r="BD276" s="130"/>
      <c r="BE276" s="130"/>
      <c r="BF276" s="130"/>
      <c r="BG276" s="130"/>
      <c r="BH276" s="130"/>
      <c r="BI276" s="132"/>
    </row>
    <row r="277" spans="2:61" ht="5.0999999999999996" customHeight="1" x14ac:dyDescent="0.45">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c r="AX277" s="90"/>
      <c r="AY277" s="90"/>
      <c r="AZ277" s="90"/>
      <c r="BA277" s="90"/>
      <c r="BB277" s="90"/>
      <c r="BC277" s="90"/>
      <c r="BD277" s="90"/>
      <c r="BE277" s="90"/>
      <c r="BF277" s="90"/>
      <c r="BG277" s="90"/>
      <c r="BH277" s="90"/>
      <c r="BI277" s="90"/>
    </row>
  </sheetData>
  <mergeCells count="20">
    <mergeCell ref="AX3:BA4"/>
    <mergeCell ref="BB3:BE4"/>
    <mergeCell ref="BF3:BI4"/>
    <mergeCell ref="BJ3:BM4"/>
    <mergeCell ref="AX2:BA2"/>
    <mergeCell ref="BB2:BE2"/>
    <mergeCell ref="BF2:BI2"/>
    <mergeCell ref="BJ2:BM2"/>
    <mergeCell ref="AK3:AW4"/>
    <mergeCell ref="B2:G2"/>
    <mergeCell ref="H2:K2"/>
    <mergeCell ref="L2:Q2"/>
    <mergeCell ref="R2:W2"/>
    <mergeCell ref="X2:AJ2"/>
    <mergeCell ref="AK2:AW2"/>
    <mergeCell ref="B3:G4"/>
    <mergeCell ref="H3:K4"/>
    <mergeCell ref="L3:Q4"/>
    <mergeCell ref="R3:W4"/>
    <mergeCell ref="X3:AJ4"/>
  </mergeCells>
  <phoneticPr fontId="2"/>
  <pageMargins left="0.70866141732283472" right="0.70866141732283472" top="0.74803149606299213" bottom="0.74803149606299213" header="0.31496062992125984" footer="0.31496062992125984"/>
  <pageSetup paperSize="8" scale="72" fitToHeight="10" orientation="landscape" r:id="rId1"/>
  <headerFooter>
    <oddFooter>&amp;R©2024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B1:BM36"/>
  <sheetViews>
    <sheetView showGridLines="0" zoomScaleNormal="100" zoomScaleSheetLayoutView="100" workbookViewId="0"/>
  </sheetViews>
  <sheetFormatPr defaultColWidth="3.59765625" defaultRowHeight="20.100000000000001" customHeight="1" x14ac:dyDescent="0.45"/>
  <cols>
    <col min="1" max="1" width="0.8984375" style="6" customWidth="1"/>
    <col min="2"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193" t="s">
        <v>0</v>
      </c>
      <c r="C2" s="194"/>
      <c r="D2" s="194"/>
      <c r="E2" s="194"/>
      <c r="F2" s="194"/>
      <c r="G2" s="194"/>
      <c r="H2" s="194" t="s">
        <v>17</v>
      </c>
      <c r="I2" s="194"/>
      <c r="J2" s="194"/>
      <c r="K2" s="194"/>
      <c r="L2" s="194" t="s">
        <v>1</v>
      </c>
      <c r="M2" s="194"/>
      <c r="N2" s="194"/>
      <c r="O2" s="194"/>
      <c r="P2" s="194"/>
      <c r="Q2" s="194"/>
      <c r="R2" s="194" t="s">
        <v>2</v>
      </c>
      <c r="S2" s="194"/>
      <c r="T2" s="194"/>
      <c r="U2" s="194"/>
      <c r="V2" s="194"/>
      <c r="W2" s="194"/>
      <c r="X2" s="195" t="s">
        <v>3</v>
      </c>
      <c r="Y2" s="196"/>
      <c r="Z2" s="196"/>
      <c r="AA2" s="196"/>
      <c r="AB2" s="196"/>
      <c r="AC2" s="196"/>
      <c r="AD2" s="196"/>
      <c r="AE2" s="196"/>
      <c r="AF2" s="196"/>
      <c r="AG2" s="196"/>
      <c r="AH2" s="196"/>
      <c r="AI2" s="196"/>
      <c r="AJ2" s="197"/>
      <c r="AK2" s="195" t="s">
        <v>32</v>
      </c>
      <c r="AL2" s="196"/>
      <c r="AM2" s="196"/>
      <c r="AN2" s="196"/>
      <c r="AO2" s="196"/>
      <c r="AP2" s="196"/>
      <c r="AQ2" s="196"/>
      <c r="AR2" s="196"/>
      <c r="AS2" s="196"/>
      <c r="AT2" s="196"/>
      <c r="AU2" s="196"/>
      <c r="AV2" s="196"/>
      <c r="AW2" s="197"/>
      <c r="AX2" s="194" t="s">
        <v>5</v>
      </c>
      <c r="AY2" s="194"/>
      <c r="AZ2" s="194"/>
      <c r="BA2" s="194"/>
      <c r="BB2" s="194" t="s">
        <v>4</v>
      </c>
      <c r="BC2" s="194"/>
      <c r="BD2" s="194"/>
      <c r="BE2" s="194"/>
      <c r="BF2" s="194" t="s">
        <v>6</v>
      </c>
      <c r="BG2" s="194"/>
      <c r="BH2" s="194"/>
      <c r="BI2" s="194"/>
      <c r="BJ2" s="194" t="s">
        <v>7</v>
      </c>
      <c r="BK2" s="194"/>
      <c r="BL2" s="194"/>
      <c r="BM2" s="204"/>
    </row>
    <row r="3" spans="2:65" ht="20.100000000000001" customHeight="1" x14ac:dyDescent="0.45">
      <c r="B3" s="198" t="str">
        <f>変更履歴!B3</f>
        <v>受発注システム</v>
      </c>
      <c r="C3" s="145"/>
      <c r="D3" s="145"/>
      <c r="E3" s="145"/>
      <c r="F3" s="145"/>
      <c r="G3" s="145"/>
      <c r="H3" s="145" t="str">
        <f ca="1">変更履歴!H3</f>
        <v>SU1500</v>
      </c>
      <c r="I3" s="145"/>
      <c r="J3" s="145"/>
      <c r="K3" s="145"/>
      <c r="L3" s="145" t="str">
        <f>変更履歴!L3</f>
        <v>受発注</v>
      </c>
      <c r="M3" s="145"/>
      <c r="N3" s="145"/>
      <c r="O3" s="145"/>
      <c r="P3" s="145"/>
      <c r="Q3" s="145"/>
      <c r="R3" s="145" t="str">
        <f ca="1">変更履歴!R3</f>
        <v>帳票設計書</v>
      </c>
      <c r="S3" s="145"/>
      <c r="T3" s="145"/>
      <c r="U3" s="145"/>
      <c r="V3" s="145"/>
      <c r="W3" s="145"/>
      <c r="X3" s="148" t="str">
        <f ca="1">変更履歴!X3</f>
        <v>SU1500_売掛金集計表(仕分出力)_帳票設計書</v>
      </c>
      <c r="Y3" s="149"/>
      <c r="Z3" s="149"/>
      <c r="AA3" s="149"/>
      <c r="AB3" s="149"/>
      <c r="AC3" s="149"/>
      <c r="AD3" s="149"/>
      <c r="AE3" s="149"/>
      <c r="AF3" s="149"/>
      <c r="AG3" s="149"/>
      <c r="AH3" s="149"/>
      <c r="AI3" s="149"/>
      <c r="AJ3" s="150"/>
      <c r="AK3" s="148" t="str">
        <f ca="1">変更履歴!AK3</f>
        <v>売掛金集計表(仕分出力)</v>
      </c>
      <c r="AL3" s="149"/>
      <c r="AM3" s="149"/>
      <c r="AN3" s="149"/>
      <c r="AO3" s="149"/>
      <c r="AP3" s="149"/>
      <c r="AQ3" s="149"/>
      <c r="AR3" s="149"/>
      <c r="AS3" s="149"/>
      <c r="AT3" s="149"/>
      <c r="AU3" s="149"/>
      <c r="AV3" s="149"/>
      <c r="AW3" s="150"/>
      <c r="AX3" s="144">
        <f>変更履歴!AX3</f>
        <v>45538</v>
      </c>
      <c r="AY3" s="144"/>
      <c r="AZ3" s="144"/>
      <c r="BA3" s="144"/>
      <c r="BB3" s="145" t="str">
        <f>変更履歴!BB3</f>
        <v>大谷</v>
      </c>
      <c r="BC3" s="145"/>
      <c r="BD3" s="145"/>
      <c r="BE3" s="145"/>
      <c r="BF3" s="144">
        <f>変更履歴!BF3</f>
        <v>45538</v>
      </c>
      <c r="BG3" s="144"/>
      <c r="BH3" s="144"/>
      <c r="BI3" s="144"/>
      <c r="BJ3" s="145" t="str">
        <f>変更履歴!BJ3</f>
        <v>大谷</v>
      </c>
      <c r="BK3" s="145"/>
      <c r="BL3" s="145"/>
      <c r="BM3" s="202"/>
    </row>
    <row r="4" spans="2:65" ht="20.100000000000001" customHeight="1" thickBot="1" x14ac:dyDescent="0.5">
      <c r="B4" s="199"/>
      <c r="C4" s="200"/>
      <c r="D4" s="200"/>
      <c r="E4" s="200"/>
      <c r="F4" s="200"/>
      <c r="G4" s="200"/>
      <c r="H4" s="200"/>
      <c r="I4" s="200"/>
      <c r="J4" s="200"/>
      <c r="K4" s="200"/>
      <c r="L4" s="200"/>
      <c r="M4" s="200"/>
      <c r="N4" s="200"/>
      <c r="O4" s="200"/>
      <c r="P4" s="200"/>
      <c r="Q4" s="200"/>
      <c r="R4" s="200"/>
      <c r="S4" s="200"/>
      <c r="T4" s="200"/>
      <c r="U4" s="200"/>
      <c r="V4" s="200"/>
      <c r="W4" s="200"/>
      <c r="X4" s="190"/>
      <c r="Y4" s="191"/>
      <c r="Z4" s="191"/>
      <c r="AA4" s="191"/>
      <c r="AB4" s="191"/>
      <c r="AC4" s="191"/>
      <c r="AD4" s="191"/>
      <c r="AE4" s="191"/>
      <c r="AF4" s="191"/>
      <c r="AG4" s="191"/>
      <c r="AH4" s="191"/>
      <c r="AI4" s="191"/>
      <c r="AJ4" s="192"/>
      <c r="AK4" s="190"/>
      <c r="AL4" s="191"/>
      <c r="AM4" s="191"/>
      <c r="AN4" s="191"/>
      <c r="AO4" s="191"/>
      <c r="AP4" s="191"/>
      <c r="AQ4" s="191"/>
      <c r="AR4" s="191"/>
      <c r="AS4" s="191"/>
      <c r="AT4" s="191"/>
      <c r="AU4" s="191"/>
      <c r="AV4" s="191"/>
      <c r="AW4" s="192"/>
      <c r="AX4" s="201"/>
      <c r="AY4" s="201"/>
      <c r="AZ4" s="201"/>
      <c r="BA4" s="201"/>
      <c r="BB4" s="200"/>
      <c r="BC4" s="200"/>
      <c r="BD4" s="200"/>
      <c r="BE4" s="200"/>
      <c r="BF4" s="201"/>
      <c r="BG4" s="201"/>
      <c r="BH4" s="201"/>
      <c r="BI4" s="201"/>
      <c r="BJ4" s="200"/>
      <c r="BK4" s="200"/>
      <c r="BL4" s="200"/>
      <c r="BM4" s="203"/>
    </row>
    <row r="5" spans="2:65" ht="5.0999999999999996" customHeight="1" x14ac:dyDescent="0.45"/>
    <row r="6" spans="2:65" ht="5.0999999999999996" customHeight="1" thickBot="1" x14ac:dyDescent="0.5"/>
    <row r="7" spans="2:65" ht="20.100000000000001" customHeight="1" x14ac:dyDescent="0.45">
      <c r="B7" s="89" t="s">
        <v>53</v>
      </c>
      <c r="C7" s="90"/>
      <c r="D7" s="90"/>
      <c r="E7" s="90"/>
      <c r="F7" s="90"/>
      <c r="G7" s="90"/>
      <c r="H7" s="92" t="s">
        <v>81</v>
      </c>
      <c r="I7" s="91"/>
      <c r="J7" s="126" t="s">
        <v>20</v>
      </c>
      <c r="K7" s="121"/>
      <c r="L7" s="121"/>
      <c r="M7" s="121"/>
      <c r="N7" s="121"/>
      <c r="O7" s="121"/>
      <c r="P7" s="121"/>
      <c r="Q7" s="121"/>
      <c r="R7" s="126" t="s">
        <v>82</v>
      </c>
      <c r="S7" s="121"/>
      <c r="T7" s="121"/>
      <c r="U7" s="121"/>
      <c r="V7" s="121"/>
      <c r="W7" s="121"/>
      <c r="X7" s="121"/>
      <c r="Y7" s="121"/>
      <c r="Z7" s="121"/>
      <c r="AA7" s="121"/>
      <c r="AB7" s="121"/>
      <c r="AC7" s="121"/>
      <c r="AD7" s="121"/>
      <c r="AE7" s="121"/>
      <c r="AF7" s="121"/>
      <c r="AG7" s="121"/>
      <c r="AH7" s="121"/>
      <c r="AI7" s="121"/>
      <c r="AJ7" s="122"/>
      <c r="AK7" s="93"/>
      <c r="AL7" s="90"/>
      <c r="AM7" s="90"/>
      <c r="AN7" s="90"/>
      <c r="AO7" s="90"/>
      <c r="AP7" s="90"/>
      <c r="AQ7" s="90"/>
      <c r="AR7" s="90"/>
      <c r="AS7" s="90"/>
      <c r="AT7" s="90"/>
      <c r="AU7" s="90"/>
      <c r="AV7" s="90"/>
      <c r="AW7" s="90"/>
      <c r="AX7" s="90"/>
      <c r="AY7" s="90"/>
      <c r="AZ7" s="90"/>
      <c r="BA7" s="90"/>
      <c r="BB7" s="90"/>
      <c r="BC7" s="90"/>
      <c r="BD7" s="90"/>
      <c r="BE7" s="90"/>
      <c r="BF7" s="90"/>
      <c r="BG7" s="90"/>
      <c r="BH7" s="90"/>
      <c r="BI7" s="94"/>
      <c r="BJ7" s="29"/>
      <c r="BK7" s="29"/>
      <c r="BL7" s="29"/>
      <c r="BM7" s="29"/>
    </row>
    <row r="8" spans="2:65" ht="20.100000000000001" customHeight="1" x14ac:dyDescent="0.45">
      <c r="B8" s="123"/>
      <c r="C8" s="31"/>
      <c r="D8" s="31"/>
      <c r="E8" s="31"/>
      <c r="F8" s="31"/>
      <c r="G8" s="31"/>
      <c r="H8" s="97"/>
      <c r="I8" s="96"/>
      <c r="J8" s="124" t="s">
        <v>83</v>
      </c>
      <c r="K8" s="52"/>
      <c r="L8" s="52"/>
      <c r="M8" s="52"/>
      <c r="N8" s="52"/>
      <c r="O8" s="52"/>
      <c r="P8" s="52"/>
      <c r="Q8" s="52"/>
      <c r="R8" s="124" t="s">
        <v>84</v>
      </c>
      <c r="S8" s="52"/>
      <c r="T8" s="52"/>
      <c r="U8" s="52"/>
      <c r="V8" s="52"/>
      <c r="W8" s="52"/>
      <c r="X8" s="52"/>
      <c r="Y8" s="52"/>
      <c r="Z8" s="52"/>
      <c r="AA8" s="52"/>
      <c r="AB8" s="52"/>
      <c r="AC8" s="52"/>
      <c r="AD8" s="52"/>
      <c r="AE8" s="52"/>
      <c r="AF8" s="52"/>
      <c r="AG8" s="52"/>
      <c r="AH8" s="52"/>
      <c r="AI8" s="52"/>
      <c r="AJ8" s="125"/>
      <c r="AK8" s="98"/>
      <c r="AL8" s="31"/>
      <c r="AM8" s="31"/>
      <c r="AN8" s="31"/>
      <c r="AO8" s="31"/>
      <c r="AP8" s="31"/>
      <c r="AQ8" s="31"/>
      <c r="AR8" s="31"/>
      <c r="AS8" s="31"/>
      <c r="AT8" s="31"/>
      <c r="AU8" s="31"/>
      <c r="AV8" s="31"/>
      <c r="AW8" s="31"/>
      <c r="AX8" s="31"/>
      <c r="AY8" s="31"/>
      <c r="AZ8" s="31"/>
      <c r="BA8" s="31"/>
      <c r="BB8" s="31"/>
      <c r="BC8" s="31"/>
      <c r="BD8" s="31"/>
      <c r="BE8" s="31"/>
      <c r="BF8" s="31"/>
      <c r="BG8" s="31"/>
      <c r="BH8" s="31"/>
      <c r="BI8" s="99"/>
      <c r="BJ8" s="29"/>
      <c r="BK8" s="29"/>
      <c r="BL8" s="29"/>
      <c r="BM8" s="29"/>
    </row>
    <row r="9" spans="2:65" ht="20.100000000000001" customHeight="1" x14ac:dyDescent="0.45">
      <c r="B9" s="123"/>
      <c r="C9" s="31"/>
      <c r="D9" s="31"/>
      <c r="E9" s="31"/>
      <c r="F9" s="31"/>
      <c r="G9" s="31"/>
      <c r="H9" s="103"/>
      <c r="I9" s="127"/>
      <c r="J9" s="124" t="s">
        <v>85</v>
      </c>
      <c r="K9" s="52"/>
      <c r="L9" s="52"/>
      <c r="M9" s="52"/>
      <c r="N9" s="52"/>
      <c r="O9" s="52"/>
      <c r="P9" s="52"/>
      <c r="Q9" s="52"/>
      <c r="R9" s="124" t="s">
        <v>86</v>
      </c>
      <c r="S9" s="52"/>
      <c r="T9" s="52"/>
      <c r="U9" s="52"/>
      <c r="V9" s="52"/>
      <c r="W9" s="52"/>
      <c r="X9" s="52"/>
      <c r="Y9" s="52"/>
      <c r="Z9" s="52"/>
      <c r="AA9" s="52"/>
      <c r="AB9" s="52"/>
      <c r="AC9" s="52"/>
      <c r="AD9" s="52"/>
      <c r="AE9" s="52"/>
      <c r="AF9" s="52"/>
      <c r="AG9" s="52"/>
      <c r="AH9" s="52"/>
      <c r="AI9" s="52"/>
      <c r="AJ9" s="125"/>
      <c r="AK9" s="105"/>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6"/>
      <c r="BJ9" s="29"/>
      <c r="BK9" s="29"/>
      <c r="BL9" s="29"/>
      <c r="BM9" s="29"/>
    </row>
    <row r="10" spans="2:65" ht="20.100000000000001" customHeight="1" x14ac:dyDescent="0.45">
      <c r="B10" s="123"/>
      <c r="C10" s="31"/>
      <c r="D10" s="31"/>
      <c r="E10" s="31"/>
      <c r="F10" s="31"/>
      <c r="G10" s="96"/>
      <c r="H10" s="97" t="s">
        <v>54</v>
      </c>
      <c r="I10" s="31"/>
      <c r="J10" s="111" t="s">
        <v>55</v>
      </c>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98"/>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99"/>
      <c r="BJ10" s="29"/>
      <c r="BK10" s="29"/>
      <c r="BL10" s="29"/>
      <c r="BM10" s="29"/>
    </row>
    <row r="11" spans="2:65" ht="20.100000000000001" customHeight="1" x14ac:dyDescent="0.45">
      <c r="B11" s="95"/>
      <c r="C11" s="31"/>
      <c r="D11" s="31"/>
      <c r="E11" s="31"/>
      <c r="F11" s="31"/>
      <c r="G11" s="96"/>
      <c r="H11" s="97"/>
      <c r="I11" s="31"/>
      <c r="J11" s="97" t="s">
        <v>56</v>
      </c>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98"/>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99"/>
      <c r="BJ11" s="29"/>
      <c r="BK11" s="29"/>
      <c r="BL11" s="29"/>
      <c r="BM11" s="29"/>
    </row>
    <row r="12" spans="2:65" ht="20.100000000000001" customHeight="1" x14ac:dyDescent="0.45">
      <c r="B12" s="95"/>
      <c r="C12" s="31"/>
      <c r="D12" s="31"/>
      <c r="E12" s="31"/>
      <c r="F12" s="31"/>
      <c r="G12" s="96"/>
      <c r="H12" s="97"/>
      <c r="I12" s="31"/>
      <c r="J12" s="97" t="s">
        <v>57</v>
      </c>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98"/>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99"/>
      <c r="BJ12" s="29"/>
      <c r="BK12" s="29"/>
      <c r="BL12" s="29"/>
      <c r="BM12" s="29"/>
    </row>
    <row r="13" spans="2:65" ht="20.100000000000001" customHeight="1" x14ac:dyDescent="0.45">
      <c r="B13" s="95"/>
      <c r="C13" s="31"/>
      <c r="D13" s="31"/>
      <c r="E13" s="31"/>
      <c r="F13" s="31"/>
      <c r="G13" s="96"/>
      <c r="H13" s="97"/>
      <c r="I13" s="31"/>
      <c r="J13" s="97" t="s">
        <v>58</v>
      </c>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98"/>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99"/>
      <c r="BJ13" s="29"/>
      <c r="BK13" s="29"/>
      <c r="BL13" s="29"/>
      <c r="BM13" s="29"/>
    </row>
    <row r="14" spans="2:65" ht="20.100000000000001" customHeight="1" x14ac:dyDescent="0.45">
      <c r="B14" s="95"/>
      <c r="C14" s="31"/>
      <c r="D14" s="31"/>
      <c r="E14" s="31"/>
      <c r="F14" s="31"/>
      <c r="G14" s="96"/>
      <c r="H14" s="100" t="s">
        <v>59</v>
      </c>
      <c r="I14" s="55"/>
      <c r="J14" s="107" t="s">
        <v>60</v>
      </c>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101"/>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102"/>
      <c r="BJ14" s="29"/>
      <c r="BK14" s="29"/>
      <c r="BL14" s="29"/>
      <c r="BM14" s="29"/>
    </row>
    <row r="15" spans="2:65" ht="20.100000000000001" customHeight="1" x14ac:dyDescent="0.45">
      <c r="B15" s="95"/>
      <c r="C15" s="31"/>
      <c r="D15" s="31"/>
      <c r="E15" s="31"/>
      <c r="F15" s="31"/>
      <c r="G15" s="96"/>
      <c r="H15" s="97"/>
      <c r="I15" s="31"/>
      <c r="J15" s="108"/>
      <c r="K15" s="109" t="s">
        <v>61</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98"/>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99"/>
      <c r="BJ15" s="29"/>
      <c r="BK15" s="29"/>
      <c r="BL15" s="29"/>
      <c r="BM15" s="29"/>
    </row>
    <row r="16" spans="2:65" ht="20.100000000000001" customHeight="1" x14ac:dyDescent="0.45">
      <c r="B16" s="95"/>
      <c r="C16" s="31"/>
      <c r="D16" s="31"/>
      <c r="E16" s="31"/>
      <c r="F16" s="31"/>
      <c r="G16" s="96"/>
      <c r="H16" s="97"/>
      <c r="I16" s="31"/>
      <c r="J16" s="97"/>
      <c r="K16" s="29"/>
      <c r="L16" s="110"/>
      <c r="M16" s="109" t="s">
        <v>62</v>
      </c>
      <c r="N16" s="31"/>
      <c r="O16" s="31"/>
      <c r="P16" s="31"/>
      <c r="Q16" s="31"/>
      <c r="R16" s="31"/>
      <c r="S16" s="31"/>
      <c r="T16" s="31"/>
      <c r="U16" s="31"/>
      <c r="V16" s="31"/>
      <c r="W16" s="31"/>
      <c r="X16" s="31"/>
      <c r="Y16" s="31"/>
      <c r="Z16" s="31"/>
      <c r="AA16" s="31"/>
      <c r="AB16" s="31"/>
      <c r="AC16" s="31"/>
      <c r="AD16" s="31"/>
      <c r="AE16" s="31"/>
      <c r="AF16" s="31"/>
      <c r="AG16" s="31"/>
      <c r="AH16" s="31"/>
      <c r="AI16" s="31"/>
      <c r="AJ16" s="31"/>
      <c r="AK16" s="98"/>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99"/>
      <c r="BJ16" s="29"/>
      <c r="BK16" s="29"/>
      <c r="BL16" s="29"/>
      <c r="BM16" s="29"/>
    </row>
    <row r="17" spans="2:65" ht="20.100000000000001" customHeight="1" x14ac:dyDescent="0.45">
      <c r="B17" s="95"/>
      <c r="C17" s="31"/>
      <c r="D17" s="31"/>
      <c r="E17" s="31"/>
      <c r="F17" s="31"/>
      <c r="G17" s="96"/>
      <c r="H17" s="97"/>
      <c r="I17" s="31"/>
      <c r="J17" s="97"/>
      <c r="K17" s="29"/>
      <c r="L17" s="110" t="s">
        <v>63</v>
      </c>
      <c r="M17" s="109" t="s">
        <v>62</v>
      </c>
      <c r="N17" s="31"/>
      <c r="O17" s="31"/>
      <c r="P17" s="31"/>
      <c r="Q17" s="31"/>
      <c r="R17" s="31"/>
      <c r="S17" s="31"/>
      <c r="T17" s="31"/>
      <c r="U17" s="31"/>
      <c r="V17" s="31"/>
      <c r="W17" s="31"/>
      <c r="X17" s="31"/>
      <c r="Y17" s="31"/>
      <c r="Z17" s="31"/>
      <c r="AA17" s="31"/>
      <c r="AB17" s="31"/>
      <c r="AC17" s="31"/>
      <c r="AD17" s="31"/>
      <c r="AE17" s="31"/>
      <c r="AF17" s="31"/>
      <c r="AG17" s="31"/>
      <c r="AH17" s="31"/>
      <c r="AI17" s="31"/>
      <c r="AJ17" s="31"/>
      <c r="AK17" s="98"/>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99"/>
      <c r="BJ17" s="29"/>
      <c r="BK17" s="29"/>
      <c r="BL17" s="29"/>
      <c r="BM17" s="29"/>
    </row>
    <row r="18" spans="2:65" ht="20.100000000000001" customHeight="1" x14ac:dyDescent="0.45">
      <c r="B18" s="95"/>
      <c r="C18" s="31"/>
      <c r="D18" s="31"/>
      <c r="E18" s="31"/>
      <c r="F18" s="31"/>
      <c r="G18" s="96"/>
      <c r="H18" s="97"/>
      <c r="I18" s="31"/>
      <c r="J18" s="97"/>
      <c r="K18" s="29"/>
      <c r="L18" s="110" t="s">
        <v>64</v>
      </c>
      <c r="M18" s="109" t="s">
        <v>62</v>
      </c>
      <c r="N18" s="31"/>
      <c r="O18" s="31"/>
      <c r="P18" s="31"/>
      <c r="Q18" s="31"/>
      <c r="R18" s="31"/>
      <c r="S18" s="31"/>
      <c r="T18" s="31"/>
      <c r="U18" s="31"/>
      <c r="V18" s="31"/>
      <c r="W18" s="31"/>
      <c r="X18" s="31"/>
      <c r="Y18" s="31"/>
      <c r="Z18" s="31"/>
      <c r="AA18" s="31"/>
      <c r="AB18" s="31"/>
      <c r="AC18" s="31"/>
      <c r="AD18" s="31"/>
      <c r="AE18" s="31"/>
      <c r="AF18" s="31"/>
      <c r="AG18" s="31"/>
      <c r="AH18" s="31"/>
      <c r="AI18" s="31"/>
      <c r="AJ18" s="31"/>
      <c r="AK18" s="98"/>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99"/>
      <c r="BJ18" s="29"/>
      <c r="BK18" s="29"/>
      <c r="BL18" s="29"/>
      <c r="BM18" s="29"/>
    </row>
    <row r="19" spans="2:65" ht="20.100000000000001" customHeight="1" x14ac:dyDescent="0.45">
      <c r="B19" s="95"/>
      <c r="C19" s="31"/>
      <c r="D19" s="31"/>
      <c r="E19" s="31"/>
      <c r="F19" s="31"/>
      <c r="G19" s="96"/>
      <c r="H19" s="97"/>
      <c r="I19" s="31"/>
      <c r="J19" s="97" t="s">
        <v>65</v>
      </c>
      <c r="K19" s="110"/>
      <c r="L19" s="109"/>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98"/>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99"/>
      <c r="BJ19" s="29"/>
      <c r="BK19" s="29"/>
      <c r="BL19" s="29"/>
      <c r="BM19" s="29"/>
    </row>
    <row r="20" spans="2:65" ht="20.100000000000001" customHeight="1" x14ac:dyDescent="0.45">
      <c r="B20" s="95"/>
      <c r="C20" s="31"/>
      <c r="D20" s="31"/>
      <c r="E20" s="31"/>
      <c r="F20" s="31"/>
      <c r="G20" s="96"/>
      <c r="H20" s="97"/>
      <c r="I20" s="31"/>
      <c r="J20" s="97"/>
      <c r="K20" s="31" t="s">
        <v>66</v>
      </c>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98"/>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99"/>
      <c r="BJ20" s="29"/>
      <c r="BK20" s="29"/>
      <c r="BL20" s="29"/>
      <c r="BM20" s="29"/>
    </row>
    <row r="21" spans="2:65" ht="20.100000000000001" customHeight="1" x14ac:dyDescent="0.45">
      <c r="B21" s="95"/>
      <c r="C21" s="31"/>
      <c r="D21" s="31"/>
      <c r="E21" s="31"/>
      <c r="F21" s="31"/>
      <c r="G21" s="96"/>
      <c r="H21" s="97"/>
      <c r="I21" s="31"/>
      <c r="J21" s="97"/>
      <c r="K21" s="29"/>
      <c r="L21" s="31"/>
      <c r="M21" s="31" t="s">
        <v>67</v>
      </c>
      <c r="N21" s="31"/>
      <c r="O21" s="31"/>
      <c r="P21" s="31"/>
      <c r="Q21" s="31"/>
      <c r="R21" s="31"/>
      <c r="S21" s="31"/>
      <c r="T21" s="31"/>
      <c r="U21" s="31"/>
      <c r="V21" s="31"/>
      <c r="W21" s="31"/>
      <c r="X21" s="31"/>
      <c r="Y21" s="31"/>
      <c r="Z21" s="31"/>
      <c r="AA21" s="31"/>
      <c r="AB21" s="31"/>
      <c r="AC21" s="31"/>
      <c r="AD21" s="31"/>
      <c r="AE21" s="31"/>
      <c r="AF21" s="31"/>
      <c r="AG21" s="31"/>
      <c r="AH21" s="31"/>
      <c r="AI21" s="31"/>
      <c r="AJ21" s="31"/>
      <c r="AK21" s="98"/>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99"/>
    </row>
    <row r="22" spans="2:65" ht="20.100000000000001" customHeight="1" x14ac:dyDescent="0.45">
      <c r="B22" s="95"/>
      <c r="C22" s="31"/>
      <c r="D22" s="31"/>
      <c r="E22" s="31"/>
      <c r="F22" s="31"/>
      <c r="G22" s="96"/>
      <c r="H22" s="103"/>
      <c r="I22" s="104"/>
      <c r="J22" s="103"/>
      <c r="K22" s="104"/>
      <c r="L22" s="104" t="s">
        <v>63</v>
      </c>
      <c r="M22" s="104" t="s">
        <v>68</v>
      </c>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5"/>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06"/>
    </row>
    <row r="23" spans="2:65" ht="20.100000000000001" customHeight="1" x14ac:dyDescent="0.45">
      <c r="B23" s="95"/>
      <c r="C23" s="31"/>
      <c r="D23" s="31"/>
      <c r="E23" s="31"/>
      <c r="F23" s="31"/>
      <c r="G23" s="96"/>
      <c r="H23" s="97" t="s">
        <v>69</v>
      </c>
      <c r="I23" s="31"/>
      <c r="J23" s="111"/>
      <c r="K23" s="109" t="s">
        <v>70</v>
      </c>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112" t="s">
        <v>71</v>
      </c>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99"/>
    </row>
    <row r="24" spans="2:65" ht="20.100000000000001" customHeight="1" x14ac:dyDescent="0.45">
      <c r="B24" s="95"/>
      <c r="C24" s="31"/>
      <c r="D24" s="31"/>
      <c r="E24" s="31"/>
      <c r="F24" s="31"/>
      <c r="G24" s="96"/>
      <c r="H24" s="97"/>
      <c r="I24" s="31"/>
      <c r="J24" s="111" t="s">
        <v>63</v>
      </c>
      <c r="K24" s="109" t="s">
        <v>72</v>
      </c>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98"/>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99"/>
    </row>
    <row r="25" spans="2:65" ht="20.100000000000001" customHeight="1" x14ac:dyDescent="0.45">
      <c r="B25" s="95"/>
      <c r="C25" s="31"/>
      <c r="D25" s="31"/>
      <c r="E25" s="31"/>
      <c r="F25" s="31"/>
      <c r="G25" s="96"/>
      <c r="H25" s="97"/>
      <c r="I25" s="31"/>
      <c r="J25" s="111" t="s">
        <v>64</v>
      </c>
      <c r="K25" s="109" t="s">
        <v>72</v>
      </c>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98"/>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99"/>
    </row>
    <row r="26" spans="2:65" ht="20.100000000000001" customHeight="1" x14ac:dyDescent="0.45">
      <c r="B26" s="95"/>
      <c r="C26" s="31"/>
      <c r="D26" s="31"/>
      <c r="E26" s="31"/>
      <c r="F26" s="31"/>
      <c r="G26" s="96"/>
      <c r="H26" s="97"/>
      <c r="I26" s="31"/>
      <c r="J26" s="111" t="s">
        <v>73</v>
      </c>
      <c r="K26" s="109"/>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98"/>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99"/>
    </row>
    <row r="27" spans="2:65" ht="20.100000000000001" customHeight="1" x14ac:dyDescent="0.45">
      <c r="B27" s="95"/>
      <c r="C27" s="31"/>
      <c r="D27" s="31"/>
      <c r="E27" s="31"/>
      <c r="F27" s="31"/>
      <c r="G27" s="96"/>
      <c r="H27" s="97"/>
      <c r="I27" s="31"/>
      <c r="J27" s="97"/>
      <c r="K27" s="31" t="s">
        <v>74</v>
      </c>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113" t="s">
        <v>75</v>
      </c>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99"/>
    </row>
    <row r="28" spans="2:65" ht="20.100000000000001" customHeight="1" x14ac:dyDescent="0.45">
      <c r="B28" s="95"/>
      <c r="C28" s="31"/>
      <c r="D28" s="31"/>
      <c r="E28" s="31"/>
      <c r="F28" s="31"/>
      <c r="G28" s="96"/>
      <c r="H28" s="97"/>
      <c r="I28" s="31"/>
      <c r="J28" s="97" t="s">
        <v>63</v>
      </c>
      <c r="K28" s="31" t="s">
        <v>76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97"/>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99"/>
    </row>
    <row r="29" spans="2:65" ht="20.100000000000001" customHeight="1" x14ac:dyDescent="0.45">
      <c r="B29" s="95"/>
      <c r="C29" s="31"/>
      <c r="D29" s="31"/>
      <c r="E29" s="31"/>
      <c r="F29" s="31"/>
      <c r="G29" s="96"/>
      <c r="H29" s="97"/>
      <c r="I29" s="31"/>
      <c r="J29" s="11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97"/>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99"/>
    </row>
    <row r="30" spans="2:65" ht="20.100000000000001" customHeight="1" x14ac:dyDescent="0.45">
      <c r="B30" s="95"/>
      <c r="C30" s="31"/>
      <c r="D30" s="31"/>
      <c r="E30" s="31"/>
      <c r="F30" s="31"/>
      <c r="G30" s="96"/>
      <c r="H30" s="97"/>
      <c r="I30" s="31"/>
      <c r="J30" s="97"/>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97"/>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99"/>
    </row>
    <row r="31" spans="2:65" ht="20.100000000000001" customHeight="1" x14ac:dyDescent="0.45">
      <c r="B31" s="95"/>
      <c r="C31" s="31"/>
      <c r="D31" s="31"/>
      <c r="E31" s="31"/>
      <c r="F31" s="31"/>
      <c r="G31" s="96"/>
      <c r="H31" s="103"/>
      <c r="I31" s="104"/>
      <c r="J31" s="103"/>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3"/>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6"/>
    </row>
    <row r="32" spans="2:65" ht="20.100000000000001" customHeight="1" x14ac:dyDescent="0.45">
      <c r="B32" s="95"/>
      <c r="C32" s="31"/>
      <c r="D32" s="31"/>
      <c r="E32" s="31"/>
      <c r="F32" s="31"/>
      <c r="G32" s="96"/>
      <c r="H32" s="97" t="s">
        <v>77</v>
      </c>
      <c r="I32" s="31"/>
      <c r="J32" s="111" t="s">
        <v>78</v>
      </c>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97"/>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99"/>
    </row>
    <row r="33" spans="2:61" ht="20.100000000000001" customHeight="1" x14ac:dyDescent="0.45">
      <c r="B33" s="95"/>
      <c r="C33" s="31"/>
      <c r="D33" s="31"/>
      <c r="E33" s="31"/>
      <c r="F33" s="31"/>
      <c r="G33" s="96"/>
      <c r="H33" s="97"/>
      <c r="I33" s="31"/>
      <c r="J33" s="111" t="s">
        <v>79</v>
      </c>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97"/>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99"/>
    </row>
    <row r="34" spans="2:61" ht="20.100000000000001" customHeight="1" thickBot="1" x14ac:dyDescent="0.5">
      <c r="B34" s="114"/>
      <c r="C34" s="115"/>
      <c r="D34" s="115"/>
      <c r="E34" s="115"/>
      <c r="F34" s="115"/>
      <c r="G34" s="116"/>
      <c r="H34" s="117"/>
      <c r="I34" s="115"/>
      <c r="J34" s="117"/>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7"/>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8"/>
    </row>
    <row r="35" spans="2:61" ht="20.100000000000001" customHeight="1" x14ac:dyDescent="0.45">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row>
    <row r="36" spans="2:61" ht="20.100000000000001" customHeight="1" x14ac:dyDescent="0.45">
      <c r="B36" s="29"/>
      <c r="C36" s="29"/>
      <c r="D36" s="29"/>
      <c r="E36" s="29"/>
      <c r="F36" s="29"/>
      <c r="G36" s="29"/>
      <c r="H36" s="119" t="s">
        <v>80</v>
      </c>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row>
  </sheetData>
  <mergeCells count="20">
    <mergeCell ref="AX3:BA4"/>
    <mergeCell ref="BB3:BE4"/>
    <mergeCell ref="BF3:BI4"/>
    <mergeCell ref="BJ3:BM4"/>
    <mergeCell ref="AX2:BA2"/>
    <mergeCell ref="BB2:BE2"/>
    <mergeCell ref="BF2:BI2"/>
    <mergeCell ref="BJ2:BM2"/>
    <mergeCell ref="AK3:AW4"/>
    <mergeCell ref="B2:G2"/>
    <mergeCell ref="H2:K2"/>
    <mergeCell ref="L2:Q2"/>
    <mergeCell ref="R2:W2"/>
    <mergeCell ref="X2:AJ2"/>
    <mergeCell ref="AK2:AW2"/>
    <mergeCell ref="B3:G4"/>
    <mergeCell ref="H3:K4"/>
    <mergeCell ref="L3:Q4"/>
    <mergeCell ref="R3:W4"/>
    <mergeCell ref="X3:AJ4"/>
  </mergeCells>
  <phoneticPr fontId="2"/>
  <pageMargins left="0.70866141732283472" right="0.70866141732283472" top="0.74803149606299213" bottom="0.74803149606299213" header="0.31496062992125984" footer="0.31496062992125984"/>
  <pageSetup paperSize="8" scale="72" fitToHeight="10" orientation="landscape" r:id="rId1"/>
  <headerFooter>
    <oddFooter>&amp;R©2024 SMS DataTech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F55"/>
  <sheetViews>
    <sheetView workbookViewId="0"/>
  </sheetViews>
  <sheetFormatPr defaultRowHeight="18" x14ac:dyDescent="0.45"/>
  <cols>
    <col min="1" max="2" width="8.796875" style="29"/>
    <col min="3" max="3" width="26.59765625" style="29" customWidth="1"/>
    <col min="4" max="4" width="35.09765625" style="29" customWidth="1"/>
    <col min="5" max="5" width="106.8984375" style="29" customWidth="1"/>
    <col min="6" max="16384" width="8.796875" style="29"/>
  </cols>
  <sheetData>
    <row r="2" spans="2:6" ht="19.2" thickBot="1" x14ac:dyDescent="0.5">
      <c r="B2" s="87" t="s">
        <v>48</v>
      </c>
    </row>
    <row r="3" spans="2:6" ht="18.600000000000001" thickTop="1" x14ac:dyDescent="0.45">
      <c r="B3" s="38" t="s">
        <v>19</v>
      </c>
      <c r="C3" s="77" t="s">
        <v>49</v>
      </c>
      <c r="D3" s="77" t="s">
        <v>50</v>
      </c>
      <c r="E3" s="74" t="s">
        <v>21</v>
      </c>
      <c r="F3" s="78" t="s">
        <v>51</v>
      </c>
    </row>
    <row r="4" spans="2:6" ht="36" x14ac:dyDescent="0.45">
      <c r="B4" s="37">
        <v>1</v>
      </c>
      <c r="C4" s="79" t="s">
        <v>271</v>
      </c>
      <c r="D4" s="79" t="s">
        <v>272</v>
      </c>
      <c r="E4" s="80" t="s">
        <v>273</v>
      </c>
      <c r="F4" s="81" t="s">
        <v>276</v>
      </c>
    </row>
    <row r="5" spans="2:6" x14ac:dyDescent="0.45">
      <c r="B5" s="37">
        <v>2</v>
      </c>
      <c r="C5" s="79"/>
      <c r="D5" s="79"/>
      <c r="E5" s="82"/>
      <c r="F5" s="81"/>
    </row>
    <row r="6" spans="2:6" x14ac:dyDescent="0.45">
      <c r="B6" s="37">
        <v>3</v>
      </c>
      <c r="C6" s="79"/>
      <c r="D6" s="79"/>
      <c r="E6" s="82"/>
      <c r="F6" s="81"/>
    </row>
    <row r="7" spans="2:6" x14ac:dyDescent="0.45">
      <c r="B7" s="37">
        <v>4</v>
      </c>
      <c r="C7" s="79"/>
      <c r="D7" s="79"/>
      <c r="E7" s="82"/>
      <c r="F7" s="81"/>
    </row>
    <row r="8" spans="2:6" x14ac:dyDescent="0.45">
      <c r="B8" s="37">
        <v>5</v>
      </c>
      <c r="C8" s="79"/>
      <c r="D8" s="79"/>
      <c r="E8" s="82"/>
      <c r="F8" s="81"/>
    </row>
    <row r="9" spans="2:6" x14ac:dyDescent="0.45">
      <c r="B9" s="37">
        <v>6</v>
      </c>
      <c r="C9" s="79"/>
      <c r="D9" s="79"/>
      <c r="E9" s="82"/>
      <c r="F9" s="81"/>
    </row>
    <row r="10" spans="2:6" x14ac:dyDescent="0.45">
      <c r="B10" s="37">
        <v>7</v>
      </c>
      <c r="C10" s="79"/>
      <c r="D10" s="79"/>
      <c r="E10" s="82"/>
      <c r="F10" s="81"/>
    </row>
    <row r="11" spans="2:6" x14ac:dyDescent="0.45">
      <c r="B11" s="37">
        <v>8</v>
      </c>
      <c r="C11" s="79"/>
      <c r="D11" s="79"/>
      <c r="E11" s="82"/>
      <c r="F11" s="81"/>
    </row>
    <row r="12" spans="2:6" x14ac:dyDescent="0.45">
      <c r="B12" s="37">
        <v>9</v>
      </c>
      <c r="C12" s="79"/>
      <c r="D12" s="79"/>
      <c r="E12" s="82"/>
      <c r="F12" s="81"/>
    </row>
    <row r="13" spans="2:6" x14ac:dyDescent="0.45">
      <c r="B13" s="37">
        <v>10</v>
      </c>
      <c r="C13" s="79"/>
      <c r="D13" s="79"/>
      <c r="E13" s="82"/>
      <c r="F13" s="81"/>
    </row>
    <row r="14" spans="2:6" x14ac:dyDescent="0.45">
      <c r="B14" s="37">
        <v>11</v>
      </c>
      <c r="C14" s="79"/>
      <c r="D14" s="79"/>
      <c r="E14" s="82"/>
      <c r="F14" s="81"/>
    </row>
    <row r="15" spans="2:6" x14ac:dyDescent="0.45">
      <c r="B15" s="37">
        <v>12</v>
      </c>
      <c r="C15" s="79"/>
      <c r="D15" s="79"/>
      <c r="E15" s="82"/>
      <c r="F15" s="81"/>
    </row>
    <row r="16" spans="2:6" x14ac:dyDescent="0.45">
      <c r="B16" s="37">
        <v>13</v>
      </c>
      <c r="C16" s="79"/>
      <c r="D16" s="79"/>
      <c r="E16" s="82"/>
      <c r="F16" s="81"/>
    </row>
    <row r="17" spans="2:6" x14ac:dyDescent="0.45">
      <c r="B17" s="37">
        <v>14</v>
      </c>
      <c r="C17" s="79"/>
      <c r="D17" s="79"/>
      <c r="E17" s="82"/>
      <c r="F17" s="81"/>
    </row>
    <row r="18" spans="2:6" x14ac:dyDescent="0.45">
      <c r="B18" s="37">
        <v>15</v>
      </c>
      <c r="C18" s="79"/>
      <c r="D18" s="79"/>
      <c r="E18" s="82"/>
      <c r="F18" s="81"/>
    </row>
    <row r="19" spans="2:6" x14ac:dyDescent="0.45">
      <c r="B19" s="37">
        <v>16</v>
      </c>
      <c r="C19" s="79"/>
      <c r="D19" s="79"/>
      <c r="E19" s="82"/>
      <c r="F19" s="81"/>
    </row>
    <row r="20" spans="2:6" x14ac:dyDescent="0.45">
      <c r="B20" s="37">
        <v>17</v>
      </c>
      <c r="C20" s="79"/>
      <c r="D20" s="79"/>
      <c r="E20" s="82"/>
      <c r="F20" s="81"/>
    </row>
    <row r="21" spans="2:6" x14ac:dyDescent="0.45">
      <c r="B21" s="37">
        <v>18</v>
      </c>
      <c r="C21" s="79"/>
      <c r="D21" s="79"/>
      <c r="E21" s="82"/>
      <c r="F21" s="81"/>
    </row>
    <row r="22" spans="2:6" x14ac:dyDescent="0.45">
      <c r="B22" s="37">
        <v>19</v>
      </c>
      <c r="C22" s="79"/>
      <c r="D22" s="79"/>
      <c r="E22" s="82"/>
      <c r="F22" s="81"/>
    </row>
    <row r="23" spans="2:6" x14ac:dyDescent="0.45">
      <c r="B23" s="37">
        <v>20</v>
      </c>
      <c r="C23" s="79"/>
      <c r="D23" s="79"/>
      <c r="E23" s="82"/>
      <c r="F23" s="81"/>
    </row>
    <row r="24" spans="2:6" x14ac:dyDescent="0.45">
      <c r="B24" s="37">
        <v>21</v>
      </c>
      <c r="C24" s="79"/>
      <c r="D24" s="79"/>
      <c r="E24" s="82"/>
      <c r="F24" s="81"/>
    </row>
    <row r="25" spans="2:6" x14ac:dyDescent="0.45">
      <c r="B25" s="37">
        <v>22</v>
      </c>
      <c r="C25" s="79"/>
      <c r="D25" s="79"/>
      <c r="E25" s="82"/>
      <c r="F25" s="81"/>
    </row>
    <row r="26" spans="2:6" x14ac:dyDescent="0.45">
      <c r="B26" s="37">
        <v>23</v>
      </c>
      <c r="C26" s="79"/>
      <c r="D26" s="79"/>
      <c r="E26" s="82"/>
      <c r="F26" s="81"/>
    </row>
    <row r="27" spans="2:6" x14ac:dyDescent="0.45">
      <c r="B27" s="37">
        <v>24</v>
      </c>
      <c r="C27" s="79"/>
      <c r="D27" s="79"/>
      <c r="E27" s="82"/>
      <c r="F27" s="81"/>
    </row>
    <row r="28" spans="2:6" x14ac:dyDescent="0.45">
      <c r="B28" s="37">
        <v>25</v>
      </c>
      <c r="C28" s="79"/>
      <c r="D28" s="79"/>
      <c r="E28" s="82"/>
      <c r="F28" s="81"/>
    </row>
    <row r="29" spans="2:6" x14ac:dyDescent="0.45">
      <c r="B29" s="37">
        <v>26</v>
      </c>
      <c r="C29" s="79"/>
      <c r="D29" s="79"/>
      <c r="E29" s="82"/>
      <c r="F29" s="81"/>
    </row>
    <row r="30" spans="2:6" x14ac:dyDescent="0.45">
      <c r="B30" s="37">
        <v>27</v>
      </c>
      <c r="C30" s="79"/>
      <c r="D30" s="79"/>
      <c r="E30" s="82"/>
      <c r="F30" s="81"/>
    </row>
    <row r="31" spans="2:6" x14ac:dyDescent="0.45">
      <c r="B31" s="37">
        <v>28</v>
      </c>
      <c r="C31" s="79"/>
      <c r="D31" s="79"/>
      <c r="E31" s="82"/>
      <c r="F31" s="81"/>
    </row>
    <row r="32" spans="2:6" x14ac:dyDescent="0.45">
      <c r="B32" s="37">
        <v>29</v>
      </c>
      <c r="C32" s="79"/>
      <c r="D32" s="79"/>
      <c r="E32" s="82"/>
      <c r="F32" s="81"/>
    </row>
    <row r="33" spans="2:6" x14ac:dyDescent="0.45">
      <c r="B33" s="37">
        <v>30</v>
      </c>
      <c r="C33" s="79"/>
      <c r="D33" s="79"/>
      <c r="E33" s="82"/>
      <c r="F33" s="81"/>
    </row>
    <row r="34" spans="2:6" x14ac:dyDescent="0.45">
      <c r="B34" s="37">
        <v>31</v>
      </c>
      <c r="C34" s="79"/>
      <c r="D34" s="79"/>
      <c r="E34" s="82"/>
      <c r="F34" s="81"/>
    </row>
    <row r="35" spans="2:6" x14ac:dyDescent="0.45">
      <c r="B35" s="37">
        <v>32</v>
      </c>
      <c r="C35" s="79"/>
      <c r="D35" s="79"/>
      <c r="E35" s="82"/>
      <c r="F35" s="81"/>
    </row>
    <row r="36" spans="2:6" x14ac:dyDescent="0.45">
      <c r="B36" s="37">
        <v>33</v>
      </c>
      <c r="C36" s="79"/>
      <c r="D36" s="79"/>
      <c r="E36" s="82"/>
      <c r="F36" s="81"/>
    </row>
    <row r="37" spans="2:6" x14ac:dyDescent="0.45">
      <c r="B37" s="37">
        <v>34</v>
      </c>
      <c r="C37" s="79"/>
      <c r="D37" s="79"/>
      <c r="E37" s="82"/>
      <c r="F37" s="81"/>
    </row>
    <row r="38" spans="2:6" x14ac:dyDescent="0.45">
      <c r="B38" s="37">
        <v>35</v>
      </c>
      <c r="C38" s="79"/>
      <c r="D38" s="79"/>
      <c r="E38" s="82"/>
      <c r="F38" s="81"/>
    </row>
    <row r="39" spans="2:6" x14ac:dyDescent="0.45">
      <c r="B39" s="37">
        <v>36</v>
      </c>
      <c r="C39" s="79"/>
      <c r="D39" s="79"/>
      <c r="E39" s="82"/>
      <c r="F39" s="81"/>
    </row>
    <row r="40" spans="2:6" x14ac:dyDescent="0.45">
      <c r="B40" s="37">
        <v>37</v>
      </c>
      <c r="C40" s="79"/>
      <c r="D40" s="79"/>
      <c r="E40" s="82"/>
      <c r="F40" s="81"/>
    </row>
    <row r="41" spans="2:6" x14ac:dyDescent="0.45">
      <c r="B41" s="37">
        <v>38</v>
      </c>
      <c r="C41" s="79"/>
      <c r="D41" s="79"/>
      <c r="E41" s="82"/>
      <c r="F41" s="81"/>
    </row>
    <row r="42" spans="2:6" x14ac:dyDescent="0.45">
      <c r="B42" s="37">
        <v>39</v>
      </c>
      <c r="C42" s="79"/>
      <c r="D42" s="79"/>
      <c r="E42" s="82"/>
      <c r="F42" s="81"/>
    </row>
    <row r="43" spans="2:6" x14ac:dyDescent="0.45">
      <c r="B43" s="37">
        <v>40</v>
      </c>
      <c r="C43" s="79"/>
      <c r="D43" s="79"/>
      <c r="E43" s="82"/>
      <c r="F43" s="81"/>
    </row>
    <row r="44" spans="2:6" x14ac:dyDescent="0.45">
      <c r="B44" s="37">
        <v>41</v>
      </c>
      <c r="C44" s="79"/>
      <c r="D44" s="79"/>
      <c r="E44" s="82"/>
      <c r="F44" s="81"/>
    </row>
    <row r="45" spans="2:6" x14ac:dyDescent="0.45">
      <c r="B45" s="37">
        <v>42</v>
      </c>
      <c r="C45" s="79"/>
      <c r="D45" s="79"/>
      <c r="E45" s="82"/>
      <c r="F45" s="81"/>
    </row>
    <row r="46" spans="2:6" x14ac:dyDescent="0.45">
      <c r="B46" s="37">
        <v>43</v>
      </c>
      <c r="C46" s="79"/>
      <c r="D46" s="79"/>
      <c r="E46" s="82"/>
      <c r="F46" s="81"/>
    </row>
    <row r="47" spans="2:6" x14ac:dyDescent="0.45">
      <c r="B47" s="37">
        <v>44</v>
      </c>
      <c r="C47" s="79"/>
      <c r="D47" s="79"/>
      <c r="E47" s="82"/>
      <c r="F47" s="81"/>
    </row>
    <row r="48" spans="2:6" x14ac:dyDescent="0.45">
      <c r="B48" s="37">
        <v>45</v>
      </c>
      <c r="C48" s="79"/>
      <c r="D48" s="79"/>
      <c r="E48" s="82"/>
      <c r="F48" s="81"/>
    </row>
    <row r="49" spans="2:6" x14ac:dyDescent="0.45">
      <c r="B49" s="37">
        <v>46</v>
      </c>
      <c r="C49" s="79"/>
      <c r="D49" s="79"/>
      <c r="E49" s="82"/>
      <c r="F49" s="81"/>
    </row>
    <row r="50" spans="2:6" x14ac:dyDescent="0.45">
      <c r="B50" s="37">
        <v>47</v>
      </c>
      <c r="C50" s="79"/>
      <c r="D50" s="79"/>
      <c r="E50" s="82"/>
      <c r="F50" s="81"/>
    </row>
    <row r="51" spans="2:6" x14ac:dyDescent="0.45">
      <c r="B51" s="37">
        <v>48</v>
      </c>
      <c r="C51" s="79"/>
      <c r="D51" s="79"/>
      <c r="E51" s="82"/>
      <c r="F51" s="81"/>
    </row>
    <row r="52" spans="2:6" x14ac:dyDescent="0.45">
      <c r="B52" s="37">
        <v>49</v>
      </c>
      <c r="C52" s="79"/>
      <c r="D52" s="79"/>
      <c r="E52" s="82"/>
      <c r="F52" s="81"/>
    </row>
    <row r="53" spans="2:6" x14ac:dyDescent="0.45">
      <c r="B53" s="37">
        <v>50</v>
      </c>
      <c r="C53" s="79"/>
      <c r="D53" s="79"/>
      <c r="E53" s="82"/>
      <c r="F53" s="81"/>
    </row>
    <row r="54" spans="2:6" ht="18.600000000000001" thickBot="1" x14ac:dyDescent="0.5">
      <c r="B54" s="83">
        <v>51</v>
      </c>
      <c r="C54" s="84"/>
      <c r="D54" s="84"/>
      <c r="E54" s="85"/>
      <c r="F54" s="86"/>
    </row>
    <row r="55" spans="2:6" ht="18.600000000000001" thickTop="1" x14ac:dyDescent="0.45"/>
  </sheetData>
  <phoneticPr fontId="2"/>
  <pageMargins left="0.7" right="0.7" top="0.75" bottom="0.75" header="0.3" footer="0.3"/>
  <pageSetup paperSize="9" orientation="portrait" r:id="rId1"/>
  <headerFooter>
    <oddFooter>&amp;R©2024 SMS DataTech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6"/>
  <sheetViews>
    <sheetView workbookViewId="0">
      <selection activeCell="A2" sqref="A2:XFD2"/>
    </sheetView>
  </sheetViews>
  <sheetFormatPr defaultRowHeight="18" x14ac:dyDescent="0.45"/>
  <sheetData>
    <row r="1" spans="1:1" x14ac:dyDescent="0.45">
      <c r="A1" s="70" t="s">
        <v>47</v>
      </c>
    </row>
    <row r="2" spans="1:1" x14ac:dyDescent="0.45">
      <c r="A2" s="71" t="s">
        <v>37</v>
      </c>
    </row>
    <row r="3" spans="1:1" x14ac:dyDescent="0.45">
      <c r="A3" s="70" t="s">
        <v>38</v>
      </c>
    </row>
    <row r="4" spans="1:1" x14ac:dyDescent="0.45">
      <c r="A4" s="70" t="s">
        <v>41</v>
      </c>
    </row>
    <row r="5" spans="1:1" x14ac:dyDescent="0.45">
      <c r="A5" s="70" t="s">
        <v>39</v>
      </c>
    </row>
    <row r="6" spans="1:1" x14ac:dyDescent="0.45">
      <c r="A6" s="70" t="s">
        <v>40</v>
      </c>
    </row>
  </sheetData>
  <phoneticPr fontId="2"/>
  <pageMargins left="0.7" right="0.7" top="0.75" bottom="0.75" header="0.3" footer="0.3"/>
  <pageSetup paperSize="9" orientation="portrait" r:id="rId1"/>
  <headerFooter>
    <oddFooter>&amp;R©2024 SMS DataTech Corporation.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12</vt:i4>
      </vt:variant>
    </vt:vector>
  </HeadingPairs>
  <TitlesOfParts>
    <vt:vector size="20" baseType="lpstr">
      <vt:lpstr>変更履歴</vt:lpstr>
      <vt:lpstr>概要</vt:lpstr>
      <vt:lpstr>帳票レイアウト</vt:lpstr>
      <vt:lpstr>項目一覧</vt:lpstr>
      <vt:lpstr>処理詳細</vt:lpstr>
      <vt:lpstr>処理詳細_書き方</vt:lpstr>
      <vt:lpstr>確認事項</vt:lpstr>
      <vt:lpstr>参照</vt:lpstr>
      <vt:lpstr>概要!Print_Area</vt:lpstr>
      <vt:lpstr>項目一覧!Print_Area</vt:lpstr>
      <vt:lpstr>処理詳細!Print_Area</vt:lpstr>
      <vt:lpstr>処理詳細_書き方!Print_Area</vt:lpstr>
      <vt:lpstr>帳票レイアウト!Print_Area</vt:lpstr>
      <vt:lpstr>変更履歴!Print_Area</vt:lpstr>
      <vt:lpstr>概要!Print_Titles</vt:lpstr>
      <vt:lpstr>項目一覧!Print_Titles</vt:lpstr>
      <vt:lpstr>処理詳細!Print_Titles</vt:lpstr>
      <vt:lpstr>処理詳細_書き方!Print_Titles</vt:lpstr>
      <vt:lpstr>帳票レイアウト!Print_Titles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2025-05-24T05:34:45Z</dcterms:modified>
</cp:coreProperties>
</file>