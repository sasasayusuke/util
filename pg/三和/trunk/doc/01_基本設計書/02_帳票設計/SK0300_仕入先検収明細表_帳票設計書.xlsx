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概要" sheetId="14" r:id="rId1"/>
    <sheet name="変更履歴" sheetId="1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別紙_テンプレート!$A$6:$Q$6</definedName>
    <definedName name="_xlnm.Print_Area" localSheetId="0">概要!$A$1:$BN$31</definedName>
    <definedName name="_xlnm.Print_Area" localSheetId="3">項目一覧!$A$1:$BX$73</definedName>
    <definedName name="_xlnm.Print_Area" localSheetId="4">処理詳細!$A$1:$BR$51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1">変更履歴!$A$1:$BN$49</definedName>
    <definedName name="_xlnm.Print_Titles" localSheetId="0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1">変更履歴!$1:$5</definedName>
    <definedName name="チーム">別紙_テンプレート!$A$2</definedName>
    <definedName name="作成日">別紙_テンプレート!$P$1</definedName>
    <definedName name="仕入先">別紙_テンプレート!$A$3</definedName>
    <definedName name="日付範囲">別紙_テンプレート!$D$3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O5" i="16" l="1"/>
  <c r="Q5" i="16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<sst xmlns="http://schemas.openxmlformats.org/spreadsheetml/2006/main" count="447" uniqueCount="265">
  <si>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</si>
  <si>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</si>
  <si>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</si>
  <si>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</si>
  <si>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</si>
  <si>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</si>
  <si>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</si>
  <si>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</si>
  <si>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</si>
  <si>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</si>
  <si>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</si>
  <si>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</si>
  <si>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</si>
  <si>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</si>
  <si>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</si>
  <si>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</si>
  <si>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</si>
  <si>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</si>
  <si>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</si>
  <si>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</si>
  <si>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</si>
  <si>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</si>
  <si>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</si>
  <si>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</si>
  <si>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</si>
  <si>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</si>
  <si>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</si>
  <si>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</si>
  <si>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</si>
  <si>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</si>
  <si>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</si>
  <si>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</si>
  <si>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</si>
  <si>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</si>
  <si>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</si>
  <si>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</si>
  <si>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</si>
  <si>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</si>
  <si>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</si>
  <si>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</si>
  <si>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</si>
  <si>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</si>
  <si>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</si>
  <si>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</si>
  <si>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</si>
  <si>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</si>
  <si>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</si>
  <si>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</si>
  <si>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</si>
  <si>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</si>
  <si>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</si>
  <si>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</si>
  <si>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</si>
  <si>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仕入先名</t>
    <rPh sb="0" eb="2">
      <t>シイレ</t>
    </rPh>
    <rPh sb="2" eb="3">
      <t>サキ</t>
    </rPh>
    <rPh sb="3" eb="4">
      <t>メイ</t>
    </rPh>
    <phoneticPr fontId="10"/>
  </si>
  <si>
    <t>日付範囲</t>
    <rPh sb="0" eb="2">
      <t>ヒヅケ</t>
    </rPh>
    <rPh sb="2" eb="4">
      <t>ハンイ</t>
    </rPh>
    <phoneticPr fontId="10"/>
  </si>
  <si>
    <t>仕入日付</t>
    <rPh sb="0" eb="2">
      <t>シイレ</t>
    </rPh>
    <rPh sb="2" eb="4">
      <t>ヒヅケ</t>
    </rPh>
    <phoneticPr fontId="10"/>
  </si>
  <si>
    <t>見積番号</t>
    <rPh sb="0" eb="2">
      <t>ミツモリ</t>
    </rPh>
    <rPh sb="2" eb="4">
      <t>バンゴウ</t>
    </rPh>
    <phoneticPr fontId="10"/>
  </si>
  <si>
    <t>見積件名</t>
    <rPh sb="0" eb="2">
      <t>ミツモリ</t>
    </rPh>
    <rPh sb="2" eb="4">
      <t>ケンメイ</t>
    </rPh>
    <phoneticPr fontId="10"/>
  </si>
  <si>
    <t>得意先名</t>
    <rPh sb="0" eb="3">
      <t>トクイサキ</t>
    </rPh>
    <rPh sb="3" eb="4">
      <t>メイ</t>
    </rPh>
    <phoneticPr fontId="10"/>
  </si>
  <si>
    <t>製品NO</t>
    <rPh sb="0" eb="2">
      <t>セイヒン</t>
    </rPh>
    <phoneticPr fontId="10"/>
  </si>
  <si>
    <t>仕様NO</t>
    <rPh sb="0" eb="2">
      <t>シヨウ</t>
    </rPh>
    <phoneticPr fontId="10"/>
  </si>
  <si>
    <t>製品名</t>
    <rPh sb="0" eb="3">
      <t>セイヒンメイ</t>
    </rPh>
    <phoneticPr fontId="10"/>
  </si>
  <si>
    <t>W</t>
    <phoneticPr fontId="10"/>
  </si>
  <si>
    <t>D</t>
    <phoneticPr fontId="10"/>
  </si>
  <si>
    <t>H</t>
    <phoneticPr fontId="10"/>
  </si>
  <si>
    <t>D1</t>
    <phoneticPr fontId="10"/>
  </si>
  <si>
    <t>D2</t>
    <phoneticPr fontId="10"/>
  </si>
  <si>
    <t>H1</t>
    <phoneticPr fontId="10"/>
  </si>
  <si>
    <t>H2</t>
    <phoneticPr fontId="10"/>
  </si>
  <si>
    <t>仕入数量</t>
    <rPh sb="0" eb="2">
      <t>シイレ</t>
    </rPh>
    <rPh sb="2" eb="3">
      <t>スウ</t>
    </rPh>
    <rPh sb="3" eb="4">
      <t>リョウ</t>
    </rPh>
    <phoneticPr fontId="10"/>
  </si>
  <si>
    <t>仕入単価</t>
    <rPh sb="0" eb="2">
      <t>シイレ</t>
    </rPh>
    <rPh sb="2" eb="4">
      <t>タンカ</t>
    </rPh>
    <phoneticPr fontId="10"/>
  </si>
  <si>
    <t>仕入金額</t>
    <rPh sb="0" eb="2">
      <t>シイレ</t>
    </rPh>
    <rPh sb="2" eb="4">
      <t>キンガク</t>
    </rPh>
    <phoneticPr fontId="10"/>
  </si>
  <si>
    <t>計</t>
    <rPh sb="0" eb="1">
      <t>ケイ</t>
    </rPh>
    <phoneticPr fontId="10"/>
  </si>
  <si>
    <t>-</t>
    <phoneticPr fontId="2"/>
  </si>
  <si>
    <t>-</t>
    <phoneticPr fontId="2"/>
  </si>
  <si>
    <t>-</t>
    <phoneticPr fontId="2"/>
  </si>
  <si>
    <t>Excel</t>
    <phoneticPr fontId="2"/>
  </si>
  <si>
    <t>xlsx</t>
    <phoneticPr fontId="2"/>
  </si>
  <si>
    <t>作成日</t>
    <rPh sb="0" eb="3">
      <t>サクセイビ</t>
    </rPh>
    <phoneticPr fontId="1"/>
  </si>
  <si>
    <t>半角</t>
    <rPh sb="0" eb="2">
      <t>ハンカク</t>
    </rPh>
    <phoneticPr fontId="1"/>
  </si>
  <si>
    <t>現在日付</t>
    <rPh sb="0" eb="4">
      <t>ゲンザイヒヅケ</t>
    </rPh>
    <phoneticPr fontId="1"/>
  </si>
  <si>
    <t>日付範囲from</t>
    <rPh sb="0" eb="4">
      <t>ヒヅケハンイ</t>
    </rPh>
    <phoneticPr fontId="1"/>
  </si>
  <si>
    <t>日付範囲to</t>
    <rPh sb="0" eb="2">
      <t>ヒヅケ</t>
    </rPh>
    <rPh sb="2" eb="4">
      <t>ハンイ</t>
    </rPh>
    <phoneticPr fontId="1"/>
  </si>
  <si>
    <t>仕入日付</t>
    <rPh sb="0" eb="2">
      <t>シイレ</t>
    </rPh>
    <rPh sb="2" eb="4">
      <t>ヒヅケ</t>
    </rPh>
    <phoneticPr fontId="1"/>
  </si>
  <si>
    <t>見積番号</t>
    <rPh sb="0" eb="4">
      <t>ミツモリバンゴウ</t>
    </rPh>
    <phoneticPr fontId="1"/>
  </si>
  <si>
    <t>見積件名</t>
    <rPh sb="0" eb="4">
      <t>ミツモリケンメイ</t>
    </rPh>
    <phoneticPr fontId="1"/>
  </si>
  <si>
    <t>得意先名</t>
    <rPh sb="0" eb="4">
      <t>トクイサキメイ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</si>
  <si>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</si>
  <si>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</si>
  <si>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製品名</t>
    <rPh sb="0" eb="3">
      <t>セイヒンメイ</t>
    </rPh>
    <phoneticPr fontId="1"/>
  </si>
  <si>
    <t>仕入数量</t>
    <rPh sb="0" eb="4">
      <t>シイレスウリョウ</t>
    </rPh>
    <phoneticPr fontId="1"/>
  </si>
  <si>
    <t>仕入単価</t>
    <rPh sb="0" eb="4">
      <t>シイレタンカ</t>
    </rPh>
    <phoneticPr fontId="1"/>
  </si>
  <si>
    <t>仕入金額</t>
    <rPh sb="0" eb="4">
      <t>シイレキンガク</t>
    </rPh>
    <phoneticPr fontId="1"/>
  </si>
  <si>
    <t>仕入日付_1行目</t>
    <rPh sb="0" eb="2">
      <t>シイレ</t>
    </rPh>
    <rPh sb="2" eb="4">
      <t>ヒヅケ</t>
    </rPh>
    <rPh sb="6" eb="8">
      <t>ギョウメ</t>
    </rPh>
    <phoneticPr fontId="1"/>
  </si>
  <si>
    <t>見積番号_1行目</t>
    <rPh sb="0" eb="4">
      <t>ミツモリバンゴウ</t>
    </rPh>
    <rPh sb="6" eb="8">
      <t>ギョウメ</t>
    </rPh>
    <phoneticPr fontId="1"/>
  </si>
  <si>
    <t>見積件名_1行目</t>
    <rPh sb="0" eb="4">
      <t>ミツモリケンメイ</t>
    </rPh>
    <rPh sb="6" eb="8">
      <t>ギョウメ</t>
    </rPh>
    <phoneticPr fontId="1"/>
  </si>
  <si>
    <t>得意先名_1行目</t>
    <rPh sb="0" eb="4">
      <t>トクイサキメイ</t>
    </rPh>
    <rPh sb="6" eb="8">
      <t>ギョウメ</t>
    </rPh>
    <phoneticPr fontId="1"/>
  </si>
  <si>
    <t>製品NO_1行目</t>
    <rPh sb="0" eb="2">
      <t>セイヒン</t>
    </rPh>
    <rPh sb="6" eb="8">
      <t>ギョウメ</t>
    </rPh>
    <phoneticPr fontId="1"/>
  </si>
  <si>
    <t>仕様NO_1行目</t>
    <rPh sb="0" eb="2">
      <t>シヨウ</t>
    </rPh>
    <rPh sb="6" eb="8">
      <t>ギョウメ</t>
    </rPh>
    <phoneticPr fontId="1"/>
  </si>
  <si>
    <t>製品名_1行目</t>
    <rPh sb="0" eb="3">
      <t>セイヒンメイ</t>
    </rPh>
    <rPh sb="5" eb="7">
      <t>ギョウメ</t>
    </rPh>
    <phoneticPr fontId="1"/>
  </si>
  <si>
    <t>W_1行目</t>
    <rPh sb="3" eb="5">
      <t>ギョウメ</t>
    </rPh>
    <phoneticPr fontId="1"/>
  </si>
  <si>
    <t>D_1行目</t>
    <rPh sb="3" eb="5">
      <t>ギョウメ</t>
    </rPh>
    <phoneticPr fontId="1"/>
  </si>
  <si>
    <t>H_1行目</t>
    <rPh sb="3" eb="5">
      <t>ギョウメ</t>
    </rPh>
    <phoneticPr fontId="1"/>
  </si>
  <si>
    <t>D1_1行目</t>
    <rPh sb="4" eb="6">
      <t>ギョウメ</t>
    </rPh>
    <phoneticPr fontId="1"/>
  </si>
  <si>
    <t>D2_1行目</t>
    <rPh sb="4" eb="6">
      <t>ギョウメ</t>
    </rPh>
    <phoneticPr fontId="1"/>
  </si>
  <si>
    <t>H1_1行目</t>
    <rPh sb="4" eb="6">
      <t>ギョウメ</t>
    </rPh>
    <phoneticPr fontId="1"/>
  </si>
  <si>
    <t>H2_1行目</t>
    <rPh sb="4" eb="6">
      <t>ギョウメ</t>
    </rPh>
    <phoneticPr fontId="1"/>
  </si>
  <si>
    <t>仕入数量_1行目</t>
    <rPh sb="0" eb="4">
      <t>シイレスウリョウ</t>
    </rPh>
    <rPh sb="6" eb="8">
      <t>ギョウメ</t>
    </rPh>
    <phoneticPr fontId="1"/>
  </si>
  <si>
    <t>仕入単価_1行目</t>
    <rPh sb="0" eb="4">
      <t>シイレタンカ</t>
    </rPh>
    <rPh sb="6" eb="8">
      <t>ギョウメ</t>
    </rPh>
    <phoneticPr fontId="1"/>
  </si>
  <si>
    <t>仕入金額_1行目</t>
    <rPh sb="0" eb="4">
      <t>シイレキンガク</t>
    </rPh>
    <rPh sb="6" eb="8">
      <t>ギョウメ</t>
    </rPh>
    <phoneticPr fontId="1"/>
  </si>
  <si>
    <t>[38.仕入数量]の合計</t>
    <rPh sb="10" eb="12">
      <t>ゴウケイ</t>
    </rPh>
    <phoneticPr fontId="1"/>
  </si>
  <si>
    <t>[40.仕入金額]の合計</t>
    <rPh sb="10" eb="12">
      <t>ゴウケイ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</si>
  <si>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</si>
  <si>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2"/>
  </si>
  <si>
    <t>[画面.仕入日付開始日]</t>
    <rPh sb="1" eb="3">
      <t>ガメン</t>
    </rPh>
    <rPh sb="4" eb="8">
      <t>シイレヒヅケ</t>
    </rPh>
    <rPh sb="8" eb="11">
      <t>カイシビ</t>
    </rPh>
    <phoneticPr fontId="2"/>
  </si>
  <si>
    <t>[画面.仕入日付終了日]</t>
    <rPh sb="1" eb="3">
      <t>ガメン</t>
    </rPh>
    <rPh sb="4" eb="8">
      <t>シイレヒヅケ</t>
    </rPh>
    <rPh sb="8" eb="11">
      <t>シュウリョウビ</t>
    </rPh>
    <phoneticPr fontId="2"/>
  </si>
  <si>
    <t>空欄</t>
    <rPh sb="0" eb="2">
      <t>クウラン</t>
    </rPh>
    <phoneticPr fontId="2"/>
  </si>
  <si>
    <t>[計]</t>
    <rPh sb="1" eb="2">
      <t>ケイ</t>
    </rPh>
    <phoneticPr fontId="2"/>
  </si>
  <si>
    <t>[38.仕入数量]</t>
    <rPh sb="4" eb="8">
      <t>シイレスウリョウ</t>
    </rPh>
    <phoneticPr fontId="2"/>
  </si>
  <si>
    <t>[40.仕入金額]</t>
    <rPh sb="4" eb="8">
      <t>シイレキンガク</t>
    </rPh>
    <phoneticPr fontId="2"/>
  </si>
  <si>
    <t>W</t>
    <phoneticPr fontId="1"/>
  </si>
  <si>
    <t>D</t>
    <phoneticPr fontId="1"/>
  </si>
  <si>
    <t>H</t>
    <phoneticPr fontId="1"/>
  </si>
  <si>
    <t>D1</t>
    <phoneticPr fontId="1"/>
  </si>
  <si>
    <t>D2</t>
    <phoneticPr fontId="1"/>
  </si>
  <si>
    <t>H1</t>
    <phoneticPr fontId="1"/>
  </si>
  <si>
    <t>H2</t>
    <phoneticPr fontId="1"/>
  </si>
  <si>
    <t>チームCD</t>
    <phoneticPr fontId="1"/>
  </si>
  <si>
    <t>チーム名</t>
    <rPh sb="3" eb="4">
      <t>メイ</t>
    </rPh>
    <phoneticPr fontId="1"/>
  </si>
  <si>
    <t>仕入先CD</t>
    <rPh sb="0" eb="3">
      <t>シイレサキ</t>
    </rPh>
    <phoneticPr fontId="1"/>
  </si>
  <si>
    <t>略称</t>
    <rPh sb="0" eb="2">
      <t>リャクショウ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</si>
  <si>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</si>
  <si>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</si>
  <si>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</si>
  <si>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</si>
  <si>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</si>
  <si>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</si>
  <si>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</si>
  <si>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</si>
  <si>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</si>
  <si>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</si>
  <si>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</si>
  <si>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</si>
  <si>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</si>
  <si>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</si>
  <si>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</si>
  <si>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</si>
  <si>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</si>
  <si>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</si>
  <si>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</si>
  <si>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</si>
  <si>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</si>
  <si>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</si>
  <si>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</si>
  <si>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</si>
  <si>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</si>
  <si>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</si>
  <si>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</si>
  <si>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</si>
  <si>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</si>
  <si>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</si>
  <si>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</si>
  <si>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</si>
  <si>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</si>
  <si>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</si>
  <si>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</si>
  <si>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</si>
  <si>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</si>
  <si>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</si>
  <si>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チームCD</t>
    <phoneticPr fontId="2"/>
  </si>
  <si>
    <t>仕入先CD</t>
    <rPh sb="0" eb="3">
      <t>シイレサキ</t>
    </rPh>
    <phoneticPr fontId="2"/>
  </si>
  <si>
    <t>略称</t>
    <rPh sb="0" eb="2">
      <t>リャクショウ</t>
    </rPh>
    <phoneticPr fontId="2"/>
  </si>
  <si>
    <t>仕入日付</t>
    <rPh sb="0" eb="4">
      <t>シイレヒヅケ</t>
    </rPh>
    <phoneticPr fontId="2"/>
  </si>
  <si>
    <t>見積番号</t>
    <rPh sb="0" eb="4">
      <t>ミツモリバンゴウ</t>
    </rPh>
    <phoneticPr fontId="2"/>
  </si>
  <si>
    <t>見積件名</t>
    <rPh sb="0" eb="4">
      <t>ミツモリケンメイ</t>
    </rPh>
    <phoneticPr fontId="2"/>
  </si>
  <si>
    <t>得意先名1</t>
    <rPh sb="0" eb="3">
      <t>トクイサキ</t>
    </rPh>
    <rPh sb="3" eb="4">
      <t>メイ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</si>
  <si>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</si>
  <si>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</si>
  <si>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4">
      <t>カンジメイショウ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</si>
  <si>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</si>
  <si>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</si>
  <si>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</si>
  <si>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</si>
  <si>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</si>
  <si>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</si>
  <si>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</si>
  <si>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仕入数量</t>
    <rPh sb="0" eb="4">
      <t>シイレスウリョウ</t>
    </rPh>
    <phoneticPr fontId="2"/>
  </si>
  <si>
    <t>仕入単価</t>
    <rPh sb="0" eb="4">
      <t>シイレタンカ</t>
    </rPh>
    <phoneticPr fontId="2"/>
  </si>
  <si>
    <t>仕入金額</t>
    <rPh sb="0" eb="4">
      <t>シイレキンガク</t>
    </rPh>
    <phoneticPr fontId="2"/>
  </si>
  <si>
    <t>Count</t>
    <phoneticPr fontId="2"/>
  </si>
  <si>
    <t>TM得意先.チームCD</t>
    <rPh sb="2" eb="5">
      <t>トクイサキ</t>
    </rPh>
    <phoneticPr fontId="2"/>
  </si>
  <si>
    <t>TD仕入明細.仕入先CD</t>
    <rPh sb="2" eb="6">
      <t>シイレメイサイ</t>
    </rPh>
    <rPh sb="7" eb="10">
      <t>シイレサキ</t>
    </rPh>
    <phoneticPr fontId="2"/>
  </si>
  <si>
    <t>TM仕入先</t>
    <rPh sb="2" eb="5">
      <t>シイレサキ</t>
    </rPh>
    <phoneticPr fontId="2"/>
  </si>
  <si>
    <t>TM仕入先.略称</t>
    <rPh sb="2" eb="5">
      <t>シイレサキ</t>
    </rPh>
    <rPh sb="6" eb="8">
      <t>リャクショウ</t>
    </rPh>
    <phoneticPr fontId="2"/>
  </si>
  <si>
    <t>TD仕入明細.仕入先CD仕入明細.仕入日付</t>
    <rPh sb="2" eb="6">
      <t>シイレメイサイ</t>
    </rPh>
    <rPh sb="7" eb="10">
      <t>シイレサキ</t>
    </rPh>
    <rPh sb="12" eb="16">
      <t>シイレメイサイ</t>
    </rPh>
    <rPh sb="17" eb="21">
      <t>シイレヒヅケ</t>
    </rPh>
    <phoneticPr fontId="2"/>
  </si>
  <si>
    <t>TD仕入明細.見積番号</t>
    <rPh sb="2" eb="6">
      <t>シイレメイサイ</t>
    </rPh>
    <rPh sb="7" eb="11">
      <t>ミツモリバンゴウ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</si>
  <si>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</si>
  <si>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TD見積.得意先名1</t>
    <rPh sb="2" eb="4">
      <t>ミツモリ</t>
    </rPh>
    <rPh sb="5" eb="9">
      <t>トクイサキメイ</t>
    </rPh>
    <phoneticPr fontId="2"/>
  </si>
  <si>
    <t>TD仕入明細内訳</t>
    <rPh sb="2" eb="8">
      <t>シイレメイサイウチワケ</t>
    </rPh>
    <phoneticPr fontId="2"/>
  </si>
  <si>
    <t>TD仕入明細内訳.製品NO</t>
    <rPh sb="2" eb="8">
      <t>シイレメイサイウチワケ</t>
    </rPh>
    <rPh sb="9" eb="11">
      <t>セイヒン</t>
    </rPh>
    <phoneticPr fontId="2"/>
  </si>
  <si>
    <t>TD仕入明細内訳.仕様NO</t>
    <rPh sb="2" eb="8">
      <t>シイレメイサイウチワケ</t>
    </rPh>
    <rPh sb="9" eb="11">
      <t>シヨウ</t>
    </rPh>
    <phoneticPr fontId="2"/>
  </si>
  <si>
    <t>TD仕入明細内訳.漢字名称</t>
    <rPh sb="2" eb="8">
      <t>シイレメイサイウチワケ</t>
    </rPh>
    <rPh sb="9" eb="13">
      <t>カンジメイショウ</t>
    </rPh>
    <phoneticPr fontId="2"/>
  </si>
  <si>
    <t>TD仕入明細内訳.W</t>
    <rPh sb="2" eb="8">
      <t>シイレメイサイウチワケ</t>
    </rPh>
    <phoneticPr fontId="2"/>
  </si>
  <si>
    <t>TD仕入明細内訳.D</t>
    <rPh sb="2" eb="8">
      <t>シイレメイサイウチワケ</t>
    </rPh>
    <phoneticPr fontId="2"/>
  </si>
  <si>
    <t>TD仕入明細内訳.H</t>
    <rPh sb="2" eb="8">
      <t>シイレメイサイウチワケ</t>
    </rPh>
    <phoneticPr fontId="2"/>
  </si>
  <si>
    <t>TD仕入明細内訳.H1</t>
    <phoneticPr fontId="2"/>
  </si>
  <si>
    <t>TD仕入明細内訳.D1</t>
    <phoneticPr fontId="2"/>
  </si>
  <si>
    <t>TD仕入明細内訳.D2</t>
  </si>
  <si>
    <t>TD仕入明細内訳.H2</t>
  </si>
  <si>
    <t>TD仕入明細内訳.仕入数量</t>
    <rPh sb="2" eb="8">
      <t>シイレメイサイウチワケ</t>
    </rPh>
    <rPh sb="9" eb="13">
      <t>シイレスウリョウ</t>
    </rPh>
    <phoneticPr fontId="2"/>
  </si>
  <si>
    <t>TD仕入明細内訳.仕入単価</t>
    <rPh sb="2" eb="8">
      <t>シイレメイサイウチワケ</t>
    </rPh>
    <rPh sb="9" eb="13">
      <t>シイレタンカ</t>
    </rPh>
    <phoneticPr fontId="2"/>
  </si>
  <si>
    <t>TD仕入明細内訳.仕入金額</t>
    <rPh sb="2" eb="8">
      <t>シイレメイサイウチワケ</t>
    </rPh>
    <rPh sb="9" eb="13">
      <t>シイレキンガク</t>
    </rPh>
    <phoneticPr fontId="2"/>
  </si>
  <si>
    <t>[TM得意先.チームCD]と[TD仕入明細.仕入先CD]の組み合わせごとの[TM得意先.チームCD]の件数</t>
    <rPh sb="3" eb="6">
      <t>トクイサキ</t>
    </rPh>
    <rPh sb="17" eb="21">
      <t>シイレメイサイ</t>
    </rPh>
    <rPh sb="22" eb="25">
      <t>シイレサキ</t>
    </rPh>
    <rPh sb="29" eb="30">
      <t>ク</t>
    </rPh>
    <rPh sb="31" eb="32">
      <t>ア</t>
    </rPh>
    <rPh sb="40" eb="43">
      <t>トクイサキ</t>
    </rPh>
    <rPh sb="51" eb="53">
      <t>ケンスウ</t>
    </rPh>
    <phoneticPr fontId="2"/>
  </si>
  <si>
    <t>Count = COUNT(TK.チームCD) OVER (PARTITION BY TK.チームCD,SM.仕入先CD)</t>
    <phoneticPr fontId="2"/>
  </si>
  <si>
    <t>TD仕入明細</t>
    <rPh sb="2" eb="6">
      <t>シイレメイサイ</t>
    </rPh>
    <phoneticPr fontId="2"/>
  </si>
  <si>
    <t>TD仕入明細内訳</t>
    <rPh sb="2" eb="6">
      <t>シイレメイサイ</t>
    </rPh>
    <rPh sb="6" eb="8">
      <t>ウチワケ</t>
    </rPh>
    <phoneticPr fontId="2"/>
  </si>
  <si>
    <t>TD見積</t>
    <rPh sb="2" eb="4">
      <t>ミツモリ</t>
    </rPh>
    <phoneticPr fontId="2"/>
  </si>
  <si>
    <t>TM得意先</t>
    <rPh sb="2" eb="5">
      <t>トクイサキ</t>
    </rPh>
    <phoneticPr fontId="2"/>
  </si>
  <si>
    <t>INNER</t>
    <phoneticPr fontId="2"/>
  </si>
  <si>
    <t>INNER</t>
    <phoneticPr fontId="2"/>
  </si>
  <si>
    <t>[TD仕入明細.仕入番号]=[TD仕入明細内訳.仕入番号]</t>
    <rPh sb="3" eb="7">
      <t>シイレメイサイ</t>
    </rPh>
    <rPh sb="8" eb="12">
      <t>シイレバンゴウ</t>
    </rPh>
    <rPh sb="17" eb="23">
      <t>シイレメイサイウチワケ</t>
    </rPh>
    <rPh sb="24" eb="28">
      <t>シイレバンゴウ</t>
    </rPh>
    <phoneticPr fontId="2"/>
  </si>
  <si>
    <t>[TD仕入明細.見積番号]=[TD見積.見積番号]</t>
    <rPh sb="3" eb="7">
      <t>シイレメイサイ</t>
    </rPh>
    <rPh sb="8" eb="12">
      <t>ミツモリバンゴウ</t>
    </rPh>
    <rPh sb="17" eb="19">
      <t>ミツモリ</t>
    </rPh>
    <rPh sb="20" eb="24">
      <t>ミツモリバンゴウ</t>
    </rPh>
    <phoneticPr fontId="2"/>
  </si>
  <si>
    <t>[TD見積.販売先得意先CD]=[TM得意先.得意先CD]</t>
    <rPh sb="3" eb="5">
      <t>ミツモリ</t>
    </rPh>
    <rPh sb="6" eb="9">
      <t>ハンバイサキ</t>
    </rPh>
    <rPh sb="9" eb="12">
      <t>トクイサキ</t>
    </rPh>
    <rPh sb="19" eb="22">
      <t>トクイサキ</t>
    </rPh>
    <rPh sb="23" eb="26">
      <t>トクイサキ</t>
    </rPh>
    <phoneticPr fontId="2"/>
  </si>
  <si>
    <t>[TD仕入明細.仕入先CD]=[TM仕入先.仕入先CD]</t>
    <rPh sb="3" eb="7">
      <t>シイレメイサイ</t>
    </rPh>
    <rPh sb="8" eb="11">
      <t>シイレサキ</t>
    </rPh>
    <rPh sb="18" eb="20">
      <t>シイレ</t>
    </rPh>
    <rPh sb="20" eb="21">
      <t>サキ</t>
    </rPh>
    <rPh sb="22" eb="24">
      <t>シイレ</t>
    </rPh>
    <rPh sb="24" eb="25">
      <t>サキ</t>
    </rPh>
    <phoneticPr fontId="2"/>
  </si>
  <si>
    <t>order by</t>
    <phoneticPr fontId="2"/>
  </si>
  <si>
    <t>AND</t>
    <phoneticPr fontId="2"/>
  </si>
  <si>
    <t>[TD仕入明細.支払日付]&gt;=[画面.S集計日付]</t>
    <rPh sb="3" eb="7">
      <t>シイレメイサイ</t>
    </rPh>
    <rPh sb="8" eb="12">
      <t>シハライヒヅケ</t>
    </rPh>
    <rPh sb="16" eb="18">
      <t>ガメン</t>
    </rPh>
    <rPh sb="20" eb="24">
      <t>シュウケイヒヅケ</t>
    </rPh>
    <phoneticPr fontId="2"/>
  </si>
  <si>
    <t>[TD仕入明細.支払日付]&lt;=[画面.E集計日付]</t>
    <rPh sb="3" eb="7">
      <t>シイレメイサイ</t>
    </rPh>
    <rPh sb="8" eb="12">
      <t>シハライヒヅケ</t>
    </rPh>
    <rPh sb="16" eb="18">
      <t>ガメン</t>
    </rPh>
    <rPh sb="20" eb="24">
      <t>シュウケイヒヅケ</t>
    </rPh>
    <phoneticPr fontId="2"/>
  </si>
  <si>
    <t>[TM得意先.チームCD]&gt;=[画面.SチームCD](NULLの場合はTM得意先.チームCD)</t>
    <rPh sb="3" eb="6">
      <t>トクイサキ</t>
    </rPh>
    <rPh sb="16" eb="18">
      <t>ガメン</t>
    </rPh>
    <rPh sb="32" eb="34">
      <t>バアイ</t>
    </rPh>
    <rPh sb="37" eb="40">
      <t>トクイサキ</t>
    </rPh>
    <phoneticPr fontId="2"/>
  </si>
  <si>
    <t>[TM得意先.チームCD]&lt;=[画面.EチームCD](NULLの場合はTM得意先.チームCD)</t>
    <rPh sb="3" eb="6">
      <t>トクイサキ</t>
    </rPh>
    <rPh sb="16" eb="18">
      <t>ガメン</t>
    </rPh>
    <rPh sb="32" eb="34">
      <t>バアイ</t>
    </rPh>
    <rPh sb="37" eb="40">
      <t>トクイサキ</t>
    </rPh>
    <phoneticPr fontId="2"/>
  </si>
  <si>
    <t>[TD仕入明細.仕入先CD]&gt;=[画面.S仕入先CD](NULLの場合はTD仕入明細.仕入先CD)</t>
    <rPh sb="3" eb="7">
      <t>シイレメイサイ</t>
    </rPh>
    <rPh sb="8" eb="11">
      <t>シイレサキ</t>
    </rPh>
    <rPh sb="17" eb="19">
      <t>ガメン</t>
    </rPh>
    <rPh sb="21" eb="24">
      <t>シイレサキ</t>
    </rPh>
    <rPh sb="33" eb="35">
      <t>バアイ</t>
    </rPh>
    <rPh sb="38" eb="42">
      <t>シイレメイサイ</t>
    </rPh>
    <rPh sb="43" eb="46">
      <t>シイレサキ</t>
    </rPh>
    <phoneticPr fontId="2"/>
  </si>
  <si>
    <t>[TD仕入明細.仕入先CD]&lt;=[画面.E仕入先CD](NULLの場合はTD仕入明細.仕入先CD)</t>
    <rPh sb="3" eb="7">
      <t>シイレメイサイ</t>
    </rPh>
    <rPh sb="8" eb="11">
      <t>シイレサキ</t>
    </rPh>
    <rPh sb="17" eb="19">
      <t>ガメン</t>
    </rPh>
    <rPh sb="21" eb="24">
      <t>シイレサキ</t>
    </rPh>
    <rPh sb="33" eb="35">
      <t>バアイ</t>
    </rPh>
    <rPh sb="38" eb="42">
      <t>シイレメイサイ</t>
    </rPh>
    <rPh sb="43" eb="46">
      <t>シイレサキ</t>
    </rPh>
    <phoneticPr fontId="2"/>
  </si>
  <si>
    <t>[TM得意先.チームCD],[TD仕入明細.仕入先CD],[TD仕入明細.仕入日付],[TD仕入明細.見積番号],[TD仕入明細内訳.見積行番号]の昇順</t>
    <rPh sb="3" eb="6">
      <t>トクイサキ</t>
    </rPh>
    <rPh sb="17" eb="21">
      <t>シイレメイサイ</t>
    </rPh>
    <rPh sb="22" eb="25">
      <t>シイレサキ</t>
    </rPh>
    <rPh sb="32" eb="36">
      <t>シイレメイサイ</t>
    </rPh>
    <rPh sb="37" eb="41">
      <t>シイレヒヅケ</t>
    </rPh>
    <rPh sb="46" eb="50">
      <t>シイレメイサイ</t>
    </rPh>
    <rPh sb="51" eb="55">
      <t>ミツモリバンゴウ</t>
    </rPh>
    <rPh sb="60" eb="64">
      <t>シイレメイサイ</t>
    </rPh>
    <rPh sb="64" eb="66">
      <t>ウチワケ</t>
    </rPh>
    <rPh sb="67" eb="72">
      <t>ミツモリギョウバンゴウ</t>
    </rPh>
    <rPh sb="74" eb="76">
      <t>ショウジュン</t>
    </rPh>
    <phoneticPr fontId="2"/>
  </si>
  <si>
    <t>[SQL1.チームCD]</t>
    <phoneticPr fontId="1"/>
  </si>
  <si>
    <t>[SQL1.仕入先CD]</t>
    <rPh sb="6" eb="9">
      <t>シイレサキ</t>
    </rPh>
    <phoneticPr fontId="2"/>
  </si>
  <si>
    <t>TMチーム.チーム名</t>
    <rPh sb="9" eb="10">
      <t>メイ</t>
    </rPh>
    <phoneticPr fontId="1"/>
  </si>
  <si>
    <t>TM仕入先.略称</t>
    <rPh sb="2" eb="5">
      <t>シイレサキ</t>
    </rPh>
    <rPh sb="6" eb="8">
      <t>リャクショウ</t>
    </rPh>
    <phoneticPr fontId="1"/>
  </si>
  <si>
    <t>[SQL1.仕入日付]</t>
    <rPh sb="6" eb="10">
      <t>シイレヒヅケ</t>
    </rPh>
    <phoneticPr fontId="2"/>
  </si>
  <si>
    <t>[SQL1.見積番号]</t>
    <rPh sb="6" eb="10">
      <t>ミツモリバンゴウ</t>
    </rPh>
    <phoneticPr fontId="2"/>
  </si>
  <si>
    <t>[SQL1.見積件名]</t>
    <rPh sb="6" eb="10">
      <t>ミツモリケンメイ</t>
    </rPh>
    <phoneticPr fontId="2"/>
  </si>
  <si>
    <t>[SQL1.得意先名1]</t>
    <rPh sb="6" eb="10">
      <t>トクイサキメイ</t>
    </rPh>
    <phoneticPr fontId="2"/>
  </si>
  <si>
    <t>[SQL1.製品NO]</t>
    <rPh sb="6" eb="8">
      <t>セイヒン</t>
    </rPh>
    <phoneticPr fontId="2"/>
  </si>
  <si>
    <t>[SQL1.仕様NO]</t>
    <rPh sb="6" eb="8">
      <t>シヨウ</t>
    </rPh>
    <phoneticPr fontId="2"/>
  </si>
  <si>
    <t>[SQL1.漢字名称]</t>
    <rPh sb="6" eb="10">
      <t>カンジメイショウ</t>
    </rPh>
    <phoneticPr fontId="2"/>
  </si>
  <si>
    <t>[SQL1.W]</t>
    <phoneticPr fontId="2"/>
  </si>
  <si>
    <t>[SQL1.D]</t>
    <phoneticPr fontId="2"/>
  </si>
  <si>
    <t>[SQL1.H]</t>
    <phoneticPr fontId="2"/>
  </si>
  <si>
    <t>[SQL1.D1]</t>
    <phoneticPr fontId="2"/>
  </si>
  <si>
    <t>[SQL1.D2]</t>
    <phoneticPr fontId="2"/>
  </si>
  <si>
    <t>[SQL1.H1]</t>
    <phoneticPr fontId="2"/>
  </si>
  <si>
    <t>[SQL1.H2]</t>
    <phoneticPr fontId="2"/>
  </si>
  <si>
    <t>[SQL1.仕入数量]</t>
    <rPh sb="6" eb="10">
      <t>シイレスウリョウ</t>
    </rPh>
    <phoneticPr fontId="2"/>
  </si>
  <si>
    <t>[SQL1.仕入単価]</t>
    <rPh sb="6" eb="10">
      <t>シイレタンカ</t>
    </rPh>
    <phoneticPr fontId="2"/>
  </si>
  <si>
    <t>[SQL1.仕入金額]</t>
    <rPh sb="6" eb="10">
      <t>シイレキンガク</t>
    </rPh>
    <phoneticPr fontId="2"/>
  </si>
  <si>
    <t>clsSiiresaki.略称</t>
    <rPh sb="13" eb="15">
      <t>リャクショウ</t>
    </rPh>
    <phoneticPr fontId="1"/>
  </si>
  <si>
    <t>仕入先検収明細表</t>
    <rPh sb="0" eb="2">
      <t>シイレ</t>
    </rPh>
    <rPh sb="2" eb="3">
      <t>サキ</t>
    </rPh>
    <rPh sb="3" eb="5">
      <t>ケンシュウ</t>
    </rPh>
    <rPh sb="5" eb="7">
      <t>メイサイ</t>
    </rPh>
    <rPh sb="7" eb="8">
      <t>ヒョウ</t>
    </rPh>
    <phoneticPr fontId="10"/>
  </si>
  <si>
    <t>仕入れ先ごとにシートが分かれる</t>
    <rPh sb="0" eb="2">
      <t>シイ</t>
    </rPh>
    <rPh sb="3" eb="4">
      <t>サキ</t>
    </rPh>
    <rPh sb="11" eb="12">
      <t>ワ</t>
    </rPh>
    <phoneticPr fontId="2"/>
  </si>
  <si>
    <t>A4横</t>
    <rPh sb="2" eb="3">
      <t>ヨコ</t>
    </rPh>
    <phoneticPr fontId="2"/>
  </si>
  <si>
    <t>Template検収明細表.xlsx</t>
    <rPh sb="8" eb="10">
      <t>ケンシュウ</t>
    </rPh>
    <rPh sb="10" eb="13">
      <t>メイサイヒョウ</t>
    </rPh>
    <phoneticPr fontId="2"/>
  </si>
  <si>
    <t>不要</t>
    <rPh sb="0" eb="2">
      <t>フヨウ</t>
    </rPh>
    <phoneticPr fontId="1"/>
  </si>
  <si>
    <t>不要</t>
    <rPh sb="0" eb="2">
      <t>フヨウ</t>
    </rPh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</si>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</sst>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yy/m/d;@"/>
    <numFmt numFmtId="179" formatCode="0_ 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vertical="center"/>
    </xf>
    <xf numFmtId="0" fontId="4" fillId="0" borderId="0" xfId="2" applyFont="1" applyFill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center" vertical="center"/>
    </xf>
    <xf numFmtId="177" fontId="12" fillId="0" borderId="0" xfId="2" applyNumberFormat="1" applyFont="1" applyFill="1" applyBorder="1" applyAlignment="1">
      <alignment horizontal="right" wrapText="1" shrinkToFit="1"/>
    </xf>
    <xf numFmtId="0" fontId="11" fillId="0" borderId="0" xfId="2" applyFont="1" applyAlignment="1">
      <alignment vertical="center" shrinkToFit="1"/>
    </xf>
    <xf numFmtId="0" fontId="11" fillId="0" borderId="0" xfId="2" applyFont="1" applyBorder="1" applyAlignment="1">
      <alignment horizontal="right" vertical="center"/>
    </xf>
    <xf numFmtId="0" fontId="11" fillId="0" borderId="0" xfId="2" applyFont="1" applyBorder="1" applyAlignment="1">
      <alignment vertical="center" shrinkToFit="1"/>
    </xf>
    <xf numFmtId="0" fontId="13" fillId="0" borderId="42" xfId="2" applyFont="1" applyFill="1" applyBorder="1" applyAlignment="1">
      <alignment horizontal="center" vertical="center" shrinkToFit="1"/>
    </xf>
    <xf numFmtId="0" fontId="4" fillId="0" borderId="0" xfId="2" applyFont="1" applyFill="1" applyBorder="1">
      <alignment vertical="center"/>
    </xf>
    <xf numFmtId="14" fontId="13" fillId="0" borderId="43" xfId="2" applyNumberFormat="1" applyFont="1" applyFill="1" applyBorder="1" applyAlignment="1">
      <alignment horizontal="center" vertical="center" shrinkToFit="1"/>
    </xf>
    <xf numFmtId="0" fontId="13" fillId="0" borderId="43" xfId="2" applyFont="1" applyFill="1" applyBorder="1" applyAlignment="1">
      <alignment horizontal="center" vertical="center" shrinkToFit="1"/>
    </xf>
    <xf numFmtId="0" fontId="13" fillId="0" borderId="43" xfId="2" applyFont="1" applyFill="1" applyBorder="1" applyAlignment="1">
      <alignment horizontal="right" vertical="center" shrinkToFit="1"/>
    </xf>
    <xf numFmtId="38" fontId="13" fillId="0" borderId="43" xfId="2" applyNumberFormat="1" applyFont="1" applyFill="1" applyBorder="1" applyAlignment="1">
      <alignment vertical="center" shrinkToFit="1"/>
    </xf>
    <xf numFmtId="178" fontId="13" fillId="0" borderId="9" xfId="2" applyNumberFormat="1" applyFont="1" applyBorder="1" applyAlignment="1">
      <alignment horizontal="center" vertical="center" shrinkToFit="1"/>
    </xf>
    <xf numFmtId="179" fontId="13" fillId="0" borderId="9" xfId="2" applyNumberFormat="1" applyFont="1" applyBorder="1" applyAlignment="1">
      <alignment vertical="center" shrinkToFit="1"/>
    </xf>
    <xf numFmtId="0" fontId="13" fillId="0" borderId="9" xfId="2" applyFont="1" applyBorder="1" applyAlignment="1">
      <alignment vertical="center" shrinkToFit="1"/>
    </xf>
    <xf numFmtId="38" fontId="13" fillId="0" borderId="9" xfId="3" applyFont="1" applyBorder="1" applyAlignment="1">
      <alignment vertical="center" shrinkToFit="1"/>
    </xf>
    <xf numFmtId="178" fontId="13" fillId="0" borderId="1" xfId="2" applyNumberFormat="1" applyFont="1" applyBorder="1" applyAlignment="1">
      <alignment horizontal="center" vertical="center" shrinkToFit="1"/>
    </xf>
    <xf numFmtId="179" fontId="13" fillId="0" borderId="1" xfId="2" applyNumberFormat="1" applyFont="1" applyBorder="1" applyAlignment="1">
      <alignment vertical="center" shrinkToFit="1"/>
    </xf>
    <xf numFmtId="0" fontId="13" fillId="0" borderId="1" xfId="2" applyFont="1" applyBorder="1" applyAlignment="1">
      <alignment vertical="center" shrinkToFit="1"/>
    </xf>
    <xf numFmtId="38" fontId="13" fillId="0" borderId="1" xfId="3" applyFont="1" applyFill="1" applyBorder="1" applyAlignment="1">
      <alignment vertical="center" shrinkToFit="1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5" fillId="2" borderId="2" xfId="0" applyFont="1" applyFill="1" applyBorder="1">
      <alignment vertical="center"/>
    </xf>
    <xf numFmtId="0" fontId="15" fillId="2" borderId="65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5" xfId="0" applyFont="1" applyFill="1" applyBorder="1">
      <alignment vertical="center"/>
    </xf>
    <xf numFmtId="0" fontId="14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4" fillId="2" borderId="0" xfId="0" applyFont="1" applyFill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63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4" fillId="2" borderId="4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6" borderId="2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177" fontId="11" fillId="0" borderId="0" xfId="2" applyNumberFormat="1" applyFont="1" applyFill="1" applyBorder="1" applyAlignment="1">
      <alignment horizontal="right" shrinkToFit="1"/>
    </xf>
    <xf numFmtId="0" fontId="11" fillId="0" borderId="0" xfId="2" applyFont="1" applyBorder="1" applyAlignment="1">
      <alignment horizontal="right" vertical="center"/>
    </xf>
    <xf numFmtId="0" fontId="11" fillId="0" borderId="0" xfId="2" applyFont="1" applyFill="1" applyAlignment="1">
      <alignment vertical="center" shrinkToFit="1"/>
    </xf>
    <xf numFmtId="0" fontId="11" fillId="0" borderId="0" xfId="2" applyFont="1" applyAlignment="1">
      <alignment vertical="center" shrinkToFit="1"/>
    </xf>
    <xf numFmtId="0" fontId="11" fillId="0" borderId="41" xfId="2" applyFont="1" applyFill="1" applyBorder="1" applyAlignment="1">
      <alignment vertical="center" shrinkToFit="1"/>
    </xf>
    <xf numFmtId="0" fontId="11" fillId="0" borderId="41" xfId="2" applyFont="1" applyBorder="1" applyAlignment="1">
      <alignment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161363</xdr:colOff>
      <xdr:row>10</xdr:row>
      <xdr:rowOff>89646</xdr:rowOff>
    </xdr:from>
    <xdr:to>
      <xdr:col>59</xdr:col>
      <xdr:colOff>269445</xdr:colOff>
      <xdr:row>22</xdr:row>
      <xdr:rowOff>125930</xdr:rowOff>
    </xdr:to>
    <xdr:pic>
      <xdr:nvPicPr>
        <xdr:cNvPr id="39" name="図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57" y="2223246"/>
          <a:ext cx="15670812" cy="3048425"/>
        </a:xfrm>
        <a:prstGeom prst="rect">
          <a:avLst/>
        </a:prstGeom>
      </xdr:spPr>
    </xdr:pic>
    <xdr:clientData/>
  </xdr:twoCellAnchor>
  <xdr:twoCellAnchor>
    <xdr:from>
      <xdr:col>45</xdr:col>
      <xdr:colOff>221876</xdr:colOff>
      <xdr:row>18</xdr:row>
      <xdr:rowOff>59616</xdr:rowOff>
    </xdr:from>
    <xdr:to>
      <xdr:col>47</xdr:col>
      <xdr:colOff>6722</xdr:colOff>
      <xdr:row>19</xdr:row>
      <xdr:rowOff>131335</xdr:rowOff>
    </xdr:to>
    <xdr:sp macro="" textlink="">
      <xdr:nvSpPr>
        <xdr:cNvPr id="3" name="正方形/長方形 2"/>
        <xdr:cNvSpPr/>
      </xdr:nvSpPr>
      <xdr:spPr>
        <a:xfrm>
          <a:off x="12530417" y="4201310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16137</xdr:colOff>
      <xdr:row>18</xdr:row>
      <xdr:rowOff>69925</xdr:rowOff>
    </xdr:from>
    <xdr:to>
      <xdr:col>45</xdr:col>
      <xdr:colOff>78889</xdr:colOff>
      <xdr:row>19</xdr:row>
      <xdr:rowOff>141644</xdr:rowOff>
    </xdr:to>
    <xdr:sp macro="" textlink="">
      <xdr:nvSpPr>
        <xdr:cNvPr id="4" name="正方形/長方形 3"/>
        <xdr:cNvSpPr/>
      </xdr:nvSpPr>
      <xdr:spPr>
        <a:xfrm>
          <a:off x="12046772" y="4211619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175709</xdr:colOff>
      <xdr:row>18</xdr:row>
      <xdr:rowOff>60961</xdr:rowOff>
    </xdr:from>
    <xdr:to>
      <xdr:col>41</xdr:col>
      <xdr:colOff>238460</xdr:colOff>
      <xdr:row>19</xdr:row>
      <xdr:rowOff>132680</xdr:rowOff>
    </xdr:to>
    <xdr:sp macro="" textlink="">
      <xdr:nvSpPr>
        <xdr:cNvPr id="5" name="正方形/長方形 4"/>
        <xdr:cNvSpPr/>
      </xdr:nvSpPr>
      <xdr:spPr>
        <a:xfrm>
          <a:off x="11094721" y="4202655"/>
          <a:ext cx="340657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98611</xdr:colOff>
      <xdr:row>18</xdr:row>
      <xdr:rowOff>60960</xdr:rowOff>
    </xdr:from>
    <xdr:to>
      <xdr:col>43</xdr:col>
      <xdr:colOff>161364</xdr:colOff>
      <xdr:row>19</xdr:row>
      <xdr:rowOff>132679</xdr:rowOff>
    </xdr:to>
    <xdr:sp macro="" textlink="">
      <xdr:nvSpPr>
        <xdr:cNvPr id="6" name="正方形/長方形 5"/>
        <xdr:cNvSpPr/>
      </xdr:nvSpPr>
      <xdr:spPr>
        <a:xfrm>
          <a:off x="11573435" y="4202654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238910</xdr:colOff>
      <xdr:row>18</xdr:row>
      <xdr:rowOff>60960</xdr:rowOff>
    </xdr:from>
    <xdr:to>
      <xdr:col>40</xdr:col>
      <xdr:colOff>23756</xdr:colOff>
      <xdr:row>19</xdr:row>
      <xdr:rowOff>132679</xdr:rowOff>
    </xdr:to>
    <xdr:sp macro="" textlink="">
      <xdr:nvSpPr>
        <xdr:cNvPr id="7" name="正方形/長方形 6"/>
        <xdr:cNvSpPr/>
      </xdr:nvSpPr>
      <xdr:spPr>
        <a:xfrm>
          <a:off x="10602110" y="4202654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43479</xdr:colOff>
      <xdr:row>18</xdr:row>
      <xdr:rowOff>69925</xdr:rowOff>
    </xdr:from>
    <xdr:to>
      <xdr:col>38</xdr:col>
      <xdr:colOff>102197</xdr:colOff>
      <xdr:row>19</xdr:row>
      <xdr:rowOff>141644</xdr:rowOff>
    </xdr:to>
    <xdr:sp macro="" textlink="">
      <xdr:nvSpPr>
        <xdr:cNvPr id="8" name="正方形/長方形 7"/>
        <xdr:cNvSpPr/>
      </xdr:nvSpPr>
      <xdr:spPr>
        <a:xfrm>
          <a:off x="10128773" y="4211619"/>
          <a:ext cx="336624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43479</xdr:colOff>
      <xdr:row>18</xdr:row>
      <xdr:rowOff>68580</xdr:rowOff>
    </xdr:from>
    <xdr:to>
      <xdr:col>28</xdr:col>
      <xdr:colOff>106231</xdr:colOff>
      <xdr:row>19</xdr:row>
      <xdr:rowOff>140299</xdr:rowOff>
    </xdr:to>
    <xdr:sp macro="" textlink="">
      <xdr:nvSpPr>
        <xdr:cNvPr id="9" name="正方形/長方形 8"/>
        <xdr:cNvSpPr/>
      </xdr:nvSpPr>
      <xdr:spPr>
        <a:xfrm>
          <a:off x="7349714" y="4210274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41238</xdr:colOff>
      <xdr:row>18</xdr:row>
      <xdr:rowOff>69924</xdr:rowOff>
    </xdr:from>
    <xdr:to>
      <xdr:col>31</xdr:col>
      <xdr:colOff>103990</xdr:colOff>
      <xdr:row>19</xdr:row>
      <xdr:rowOff>141643</xdr:rowOff>
    </xdr:to>
    <xdr:sp macro="" textlink="">
      <xdr:nvSpPr>
        <xdr:cNvPr id="10" name="正方形/長方形 9"/>
        <xdr:cNvSpPr/>
      </xdr:nvSpPr>
      <xdr:spPr>
        <a:xfrm>
          <a:off x="8181191" y="4211618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54684</xdr:colOff>
      <xdr:row>18</xdr:row>
      <xdr:rowOff>60961</xdr:rowOff>
    </xdr:from>
    <xdr:to>
      <xdr:col>25</xdr:col>
      <xdr:colOff>117436</xdr:colOff>
      <xdr:row>19</xdr:row>
      <xdr:rowOff>132680</xdr:rowOff>
    </xdr:to>
    <xdr:sp macro="" textlink="">
      <xdr:nvSpPr>
        <xdr:cNvPr id="11" name="正方形/長方形 10"/>
        <xdr:cNvSpPr/>
      </xdr:nvSpPr>
      <xdr:spPr>
        <a:xfrm>
          <a:off x="6527202" y="4202655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190949</xdr:colOff>
      <xdr:row>18</xdr:row>
      <xdr:rowOff>60960</xdr:rowOff>
    </xdr:from>
    <xdr:to>
      <xdr:col>18</xdr:col>
      <xdr:colOff>253701</xdr:colOff>
      <xdr:row>19</xdr:row>
      <xdr:rowOff>132679</xdr:rowOff>
    </xdr:to>
    <xdr:sp macro="" textlink="">
      <xdr:nvSpPr>
        <xdr:cNvPr id="12" name="正方形/長方形 11"/>
        <xdr:cNvSpPr/>
      </xdr:nvSpPr>
      <xdr:spPr>
        <a:xfrm>
          <a:off x="4718125" y="4202654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192742</xdr:colOff>
      <xdr:row>18</xdr:row>
      <xdr:rowOff>60961</xdr:rowOff>
    </xdr:from>
    <xdr:to>
      <xdr:col>11</xdr:col>
      <xdr:colOff>255494</xdr:colOff>
      <xdr:row>19</xdr:row>
      <xdr:rowOff>132680</xdr:rowOff>
    </xdr:to>
    <xdr:sp macro="" textlink="">
      <xdr:nvSpPr>
        <xdr:cNvPr id="13" name="正方形/長方形 12"/>
        <xdr:cNvSpPr/>
      </xdr:nvSpPr>
      <xdr:spPr>
        <a:xfrm>
          <a:off x="2774577" y="4202655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255942</xdr:colOff>
      <xdr:row>18</xdr:row>
      <xdr:rowOff>68580</xdr:rowOff>
    </xdr:from>
    <xdr:to>
      <xdr:col>9</xdr:col>
      <xdr:colOff>36755</xdr:colOff>
      <xdr:row>19</xdr:row>
      <xdr:rowOff>140299</xdr:rowOff>
    </xdr:to>
    <xdr:sp macro="" textlink="">
      <xdr:nvSpPr>
        <xdr:cNvPr id="14" name="正方形/長方形 13"/>
        <xdr:cNvSpPr/>
      </xdr:nvSpPr>
      <xdr:spPr>
        <a:xfrm>
          <a:off x="2004060" y="4210274"/>
          <a:ext cx="336624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90544</xdr:colOff>
      <xdr:row>18</xdr:row>
      <xdr:rowOff>32721</xdr:rowOff>
    </xdr:from>
    <xdr:to>
      <xdr:col>5</xdr:col>
      <xdr:colOff>153296</xdr:colOff>
      <xdr:row>19</xdr:row>
      <xdr:rowOff>104440</xdr:rowOff>
    </xdr:to>
    <xdr:sp macro="" textlink="">
      <xdr:nvSpPr>
        <xdr:cNvPr id="15" name="正方形/長方形 14"/>
        <xdr:cNvSpPr/>
      </xdr:nvSpPr>
      <xdr:spPr>
        <a:xfrm>
          <a:off x="1004944" y="4174415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153745</xdr:colOff>
      <xdr:row>18</xdr:row>
      <xdr:rowOff>59616</xdr:rowOff>
    </xdr:from>
    <xdr:to>
      <xdr:col>48</xdr:col>
      <xdr:colOff>216497</xdr:colOff>
      <xdr:row>19</xdr:row>
      <xdr:rowOff>131335</xdr:rowOff>
    </xdr:to>
    <xdr:sp macro="" textlink="">
      <xdr:nvSpPr>
        <xdr:cNvPr id="16" name="正方形/長方形 15"/>
        <xdr:cNvSpPr/>
      </xdr:nvSpPr>
      <xdr:spPr>
        <a:xfrm>
          <a:off x="13018098" y="4201310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69925</xdr:colOff>
      <xdr:row>18</xdr:row>
      <xdr:rowOff>60960</xdr:rowOff>
    </xdr:from>
    <xdr:to>
      <xdr:col>50</xdr:col>
      <xdr:colOff>132676</xdr:colOff>
      <xdr:row>19</xdr:row>
      <xdr:rowOff>132679</xdr:rowOff>
    </xdr:to>
    <xdr:sp macro="" textlink="">
      <xdr:nvSpPr>
        <xdr:cNvPr id="17" name="正方形/長方形 16"/>
        <xdr:cNvSpPr/>
      </xdr:nvSpPr>
      <xdr:spPr>
        <a:xfrm>
          <a:off x="13490090" y="4202654"/>
          <a:ext cx="340657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62753</xdr:colOff>
      <xdr:row>18</xdr:row>
      <xdr:rowOff>53340</xdr:rowOff>
    </xdr:from>
    <xdr:to>
      <xdr:col>53</xdr:col>
      <xdr:colOff>125505</xdr:colOff>
      <xdr:row>19</xdr:row>
      <xdr:rowOff>125059</xdr:rowOff>
    </xdr:to>
    <xdr:sp macro="" textlink="">
      <xdr:nvSpPr>
        <xdr:cNvPr id="18" name="正方形/長方形 17"/>
        <xdr:cNvSpPr/>
      </xdr:nvSpPr>
      <xdr:spPr>
        <a:xfrm>
          <a:off x="14316635" y="4195034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75752</xdr:colOff>
      <xdr:row>18</xdr:row>
      <xdr:rowOff>69925</xdr:rowOff>
    </xdr:from>
    <xdr:to>
      <xdr:col>56</xdr:col>
      <xdr:colOff>138504</xdr:colOff>
      <xdr:row>19</xdr:row>
      <xdr:rowOff>141644</xdr:rowOff>
    </xdr:to>
    <xdr:sp macro="" textlink="">
      <xdr:nvSpPr>
        <xdr:cNvPr id="19" name="正方形/長方形 18"/>
        <xdr:cNvSpPr/>
      </xdr:nvSpPr>
      <xdr:spPr>
        <a:xfrm>
          <a:off x="15163352" y="4211619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221877</xdr:colOff>
      <xdr:row>16</xdr:row>
      <xdr:rowOff>176157</xdr:rowOff>
    </xdr:from>
    <xdr:to>
      <xdr:col>47</xdr:col>
      <xdr:colOff>6723</xdr:colOff>
      <xdr:row>17</xdr:row>
      <xdr:rowOff>247428</xdr:rowOff>
    </xdr:to>
    <xdr:sp macro="" textlink="">
      <xdr:nvSpPr>
        <xdr:cNvPr id="20" name="正方形/長方形 19"/>
        <xdr:cNvSpPr/>
      </xdr:nvSpPr>
      <xdr:spPr>
        <a:xfrm>
          <a:off x="12530418" y="3815828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16137</xdr:colOff>
      <xdr:row>16</xdr:row>
      <xdr:rowOff>177501</xdr:rowOff>
    </xdr:from>
    <xdr:to>
      <xdr:col>45</xdr:col>
      <xdr:colOff>78889</xdr:colOff>
      <xdr:row>17</xdr:row>
      <xdr:rowOff>248772</xdr:rowOff>
    </xdr:to>
    <xdr:sp macro="" textlink="">
      <xdr:nvSpPr>
        <xdr:cNvPr id="21" name="正方形/長方形 20"/>
        <xdr:cNvSpPr/>
      </xdr:nvSpPr>
      <xdr:spPr>
        <a:xfrm>
          <a:off x="12046772" y="381717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166744</xdr:colOff>
      <xdr:row>16</xdr:row>
      <xdr:rowOff>168536</xdr:rowOff>
    </xdr:from>
    <xdr:to>
      <xdr:col>41</xdr:col>
      <xdr:colOff>229495</xdr:colOff>
      <xdr:row>17</xdr:row>
      <xdr:rowOff>239807</xdr:rowOff>
    </xdr:to>
    <xdr:sp macro="" textlink="">
      <xdr:nvSpPr>
        <xdr:cNvPr id="22" name="正方形/長方形 21"/>
        <xdr:cNvSpPr/>
      </xdr:nvSpPr>
      <xdr:spPr>
        <a:xfrm>
          <a:off x="11085756" y="3808207"/>
          <a:ext cx="340657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98611</xdr:colOff>
      <xdr:row>16</xdr:row>
      <xdr:rowOff>177501</xdr:rowOff>
    </xdr:from>
    <xdr:to>
      <xdr:col>43</xdr:col>
      <xdr:colOff>161364</xdr:colOff>
      <xdr:row>17</xdr:row>
      <xdr:rowOff>248772</xdr:rowOff>
    </xdr:to>
    <xdr:sp macro="" textlink="">
      <xdr:nvSpPr>
        <xdr:cNvPr id="23" name="正方形/長方形 22"/>
        <xdr:cNvSpPr/>
      </xdr:nvSpPr>
      <xdr:spPr>
        <a:xfrm>
          <a:off x="11573435" y="381717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238909</xdr:colOff>
      <xdr:row>16</xdr:row>
      <xdr:rowOff>177501</xdr:rowOff>
    </xdr:from>
    <xdr:to>
      <xdr:col>40</xdr:col>
      <xdr:colOff>23755</xdr:colOff>
      <xdr:row>17</xdr:row>
      <xdr:rowOff>248772</xdr:rowOff>
    </xdr:to>
    <xdr:sp macro="" textlink="">
      <xdr:nvSpPr>
        <xdr:cNvPr id="24" name="正方形/長方形 23"/>
        <xdr:cNvSpPr/>
      </xdr:nvSpPr>
      <xdr:spPr>
        <a:xfrm>
          <a:off x="10602109" y="381717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43479</xdr:colOff>
      <xdr:row>16</xdr:row>
      <xdr:rowOff>177501</xdr:rowOff>
    </xdr:from>
    <xdr:to>
      <xdr:col>38</xdr:col>
      <xdr:colOff>102197</xdr:colOff>
      <xdr:row>17</xdr:row>
      <xdr:rowOff>248772</xdr:rowOff>
    </xdr:to>
    <xdr:sp macro="" textlink="">
      <xdr:nvSpPr>
        <xdr:cNvPr id="25" name="正方形/長方形 24"/>
        <xdr:cNvSpPr/>
      </xdr:nvSpPr>
      <xdr:spPr>
        <a:xfrm>
          <a:off x="10128773" y="3817172"/>
          <a:ext cx="336624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52444</xdr:colOff>
      <xdr:row>16</xdr:row>
      <xdr:rowOff>185121</xdr:rowOff>
    </xdr:from>
    <xdr:to>
      <xdr:col>28</xdr:col>
      <xdr:colOff>115196</xdr:colOff>
      <xdr:row>18</xdr:row>
      <xdr:rowOff>5380</xdr:rowOff>
    </xdr:to>
    <xdr:sp macro="" textlink="">
      <xdr:nvSpPr>
        <xdr:cNvPr id="26" name="正方形/長方形 25"/>
        <xdr:cNvSpPr/>
      </xdr:nvSpPr>
      <xdr:spPr>
        <a:xfrm>
          <a:off x="7358679" y="382479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41238</xdr:colOff>
      <xdr:row>16</xdr:row>
      <xdr:rowOff>186466</xdr:rowOff>
    </xdr:from>
    <xdr:to>
      <xdr:col>31</xdr:col>
      <xdr:colOff>103990</xdr:colOff>
      <xdr:row>18</xdr:row>
      <xdr:rowOff>6725</xdr:rowOff>
    </xdr:to>
    <xdr:sp macro="" textlink="">
      <xdr:nvSpPr>
        <xdr:cNvPr id="27" name="正方形/長方形 26"/>
        <xdr:cNvSpPr/>
      </xdr:nvSpPr>
      <xdr:spPr>
        <a:xfrm>
          <a:off x="8181191" y="3826137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54684</xdr:colOff>
      <xdr:row>16</xdr:row>
      <xdr:rowOff>186466</xdr:rowOff>
    </xdr:from>
    <xdr:to>
      <xdr:col>25</xdr:col>
      <xdr:colOff>117436</xdr:colOff>
      <xdr:row>18</xdr:row>
      <xdr:rowOff>6725</xdr:rowOff>
    </xdr:to>
    <xdr:sp macro="" textlink="">
      <xdr:nvSpPr>
        <xdr:cNvPr id="28" name="正方形/長方形 27"/>
        <xdr:cNvSpPr/>
      </xdr:nvSpPr>
      <xdr:spPr>
        <a:xfrm>
          <a:off x="6527202" y="3826137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190949</xdr:colOff>
      <xdr:row>16</xdr:row>
      <xdr:rowOff>177501</xdr:rowOff>
    </xdr:from>
    <xdr:to>
      <xdr:col>18</xdr:col>
      <xdr:colOff>253701</xdr:colOff>
      <xdr:row>17</xdr:row>
      <xdr:rowOff>248772</xdr:rowOff>
    </xdr:to>
    <xdr:sp macro="" textlink="">
      <xdr:nvSpPr>
        <xdr:cNvPr id="29" name="正方形/長方形 28"/>
        <xdr:cNvSpPr/>
      </xdr:nvSpPr>
      <xdr:spPr>
        <a:xfrm>
          <a:off x="4718125" y="381717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183777</xdr:colOff>
      <xdr:row>16</xdr:row>
      <xdr:rowOff>177501</xdr:rowOff>
    </xdr:from>
    <xdr:to>
      <xdr:col>11</xdr:col>
      <xdr:colOff>246529</xdr:colOff>
      <xdr:row>17</xdr:row>
      <xdr:rowOff>248772</xdr:rowOff>
    </xdr:to>
    <xdr:sp macro="" textlink="">
      <xdr:nvSpPr>
        <xdr:cNvPr id="30" name="正方形/長方形 29"/>
        <xdr:cNvSpPr/>
      </xdr:nvSpPr>
      <xdr:spPr>
        <a:xfrm>
          <a:off x="2765612" y="3817172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255942</xdr:colOff>
      <xdr:row>16</xdr:row>
      <xdr:rowOff>176157</xdr:rowOff>
    </xdr:from>
    <xdr:to>
      <xdr:col>9</xdr:col>
      <xdr:colOff>36755</xdr:colOff>
      <xdr:row>17</xdr:row>
      <xdr:rowOff>247428</xdr:rowOff>
    </xdr:to>
    <xdr:sp macro="" textlink="">
      <xdr:nvSpPr>
        <xdr:cNvPr id="31" name="正方形/長方形 30"/>
        <xdr:cNvSpPr/>
      </xdr:nvSpPr>
      <xdr:spPr>
        <a:xfrm>
          <a:off x="2004060" y="3815828"/>
          <a:ext cx="336624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90544</xdr:colOff>
      <xdr:row>16</xdr:row>
      <xdr:rowOff>167192</xdr:rowOff>
    </xdr:from>
    <xdr:to>
      <xdr:col>5</xdr:col>
      <xdr:colOff>153296</xdr:colOff>
      <xdr:row>17</xdr:row>
      <xdr:rowOff>238463</xdr:rowOff>
    </xdr:to>
    <xdr:sp macro="" textlink="">
      <xdr:nvSpPr>
        <xdr:cNvPr id="32" name="正方形/長方形 31"/>
        <xdr:cNvSpPr/>
      </xdr:nvSpPr>
      <xdr:spPr>
        <a:xfrm>
          <a:off x="1004944" y="3806863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144781</xdr:colOff>
      <xdr:row>16</xdr:row>
      <xdr:rowOff>176157</xdr:rowOff>
    </xdr:from>
    <xdr:to>
      <xdr:col>48</xdr:col>
      <xdr:colOff>207533</xdr:colOff>
      <xdr:row>17</xdr:row>
      <xdr:rowOff>247428</xdr:rowOff>
    </xdr:to>
    <xdr:sp macro="" textlink="">
      <xdr:nvSpPr>
        <xdr:cNvPr id="33" name="正方形/長方形 32"/>
        <xdr:cNvSpPr/>
      </xdr:nvSpPr>
      <xdr:spPr>
        <a:xfrm>
          <a:off x="13009134" y="3815828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78889</xdr:colOff>
      <xdr:row>16</xdr:row>
      <xdr:rowOff>177501</xdr:rowOff>
    </xdr:from>
    <xdr:to>
      <xdr:col>50</xdr:col>
      <xdr:colOff>141640</xdr:colOff>
      <xdr:row>17</xdr:row>
      <xdr:rowOff>248772</xdr:rowOff>
    </xdr:to>
    <xdr:sp macro="" textlink="">
      <xdr:nvSpPr>
        <xdr:cNvPr id="34" name="正方形/長方形 33"/>
        <xdr:cNvSpPr/>
      </xdr:nvSpPr>
      <xdr:spPr>
        <a:xfrm>
          <a:off x="13499054" y="3817172"/>
          <a:ext cx="340657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71718</xdr:colOff>
      <xdr:row>16</xdr:row>
      <xdr:rowOff>178846</xdr:rowOff>
    </xdr:from>
    <xdr:to>
      <xdr:col>53</xdr:col>
      <xdr:colOff>134470</xdr:colOff>
      <xdr:row>17</xdr:row>
      <xdr:rowOff>250565</xdr:rowOff>
    </xdr:to>
    <xdr:sp macro="" textlink="">
      <xdr:nvSpPr>
        <xdr:cNvPr id="35" name="正方形/長方形 34"/>
        <xdr:cNvSpPr/>
      </xdr:nvSpPr>
      <xdr:spPr>
        <a:xfrm>
          <a:off x="14325600" y="38185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66787</xdr:colOff>
      <xdr:row>16</xdr:row>
      <xdr:rowOff>186466</xdr:rowOff>
    </xdr:from>
    <xdr:to>
      <xdr:col>56</xdr:col>
      <xdr:colOff>129539</xdr:colOff>
      <xdr:row>18</xdr:row>
      <xdr:rowOff>6725</xdr:rowOff>
    </xdr:to>
    <xdr:sp macro="" textlink="">
      <xdr:nvSpPr>
        <xdr:cNvPr id="36" name="正方形/長方形 35"/>
        <xdr:cNvSpPr/>
      </xdr:nvSpPr>
      <xdr:spPr>
        <a:xfrm>
          <a:off x="15154387" y="3826137"/>
          <a:ext cx="340658" cy="3222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114748</xdr:colOff>
      <xdr:row>12</xdr:row>
      <xdr:rowOff>448</xdr:rowOff>
    </xdr:from>
    <xdr:to>
      <xdr:col>6</xdr:col>
      <xdr:colOff>173466</xdr:colOff>
      <xdr:row>13</xdr:row>
      <xdr:rowOff>72167</xdr:rowOff>
    </xdr:to>
    <xdr:sp macro="" textlink="">
      <xdr:nvSpPr>
        <xdr:cNvPr id="37" name="正方形/長方形 36"/>
        <xdr:cNvSpPr/>
      </xdr:nvSpPr>
      <xdr:spPr>
        <a:xfrm>
          <a:off x="1307054" y="2636072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166295</xdr:colOff>
      <xdr:row>10</xdr:row>
      <xdr:rowOff>204844</xdr:rowOff>
    </xdr:from>
    <xdr:to>
      <xdr:col>53</xdr:col>
      <xdr:colOff>225013</xdr:colOff>
      <xdr:row>12</xdr:row>
      <xdr:rowOff>25551</xdr:rowOff>
    </xdr:to>
    <xdr:sp macro="" textlink="">
      <xdr:nvSpPr>
        <xdr:cNvPr id="38" name="正方形/長方形 37"/>
        <xdr:cNvSpPr/>
      </xdr:nvSpPr>
      <xdr:spPr>
        <a:xfrm>
          <a:off x="14420177" y="2338444"/>
          <a:ext cx="336624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7172</xdr:colOff>
      <xdr:row>11</xdr:row>
      <xdr:rowOff>242496</xdr:rowOff>
    </xdr:from>
    <xdr:to>
      <xdr:col>10</xdr:col>
      <xdr:colOff>65890</xdr:colOff>
      <xdr:row>13</xdr:row>
      <xdr:rowOff>63203</xdr:rowOff>
    </xdr:to>
    <xdr:sp macro="" textlink="">
      <xdr:nvSpPr>
        <xdr:cNvPr id="40" name="正方形/長方形 39"/>
        <xdr:cNvSpPr/>
      </xdr:nvSpPr>
      <xdr:spPr>
        <a:xfrm>
          <a:off x="2311101" y="2627108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105783</xdr:colOff>
      <xdr:row>13</xdr:row>
      <xdr:rowOff>108025</xdr:rowOff>
    </xdr:from>
    <xdr:to>
      <xdr:col>5</xdr:col>
      <xdr:colOff>164501</xdr:colOff>
      <xdr:row>14</xdr:row>
      <xdr:rowOff>179743</xdr:rowOff>
    </xdr:to>
    <xdr:sp macro="" textlink="">
      <xdr:nvSpPr>
        <xdr:cNvPr id="41" name="正方形/長方形 40"/>
        <xdr:cNvSpPr/>
      </xdr:nvSpPr>
      <xdr:spPr>
        <a:xfrm>
          <a:off x="1020183" y="2994660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132676</xdr:colOff>
      <xdr:row>13</xdr:row>
      <xdr:rowOff>125955</xdr:rowOff>
    </xdr:from>
    <xdr:to>
      <xdr:col>8</xdr:col>
      <xdr:colOff>191394</xdr:colOff>
      <xdr:row>14</xdr:row>
      <xdr:rowOff>197673</xdr:rowOff>
    </xdr:to>
    <xdr:sp macro="" textlink="">
      <xdr:nvSpPr>
        <xdr:cNvPr id="42" name="正方形/長方形 41"/>
        <xdr:cNvSpPr/>
      </xdr:nvSpPr>
      <xdr:spPr>
        <a:xfrm>
          <a:off x="1880794" y="3012590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231290</xdr:colOff>
      <xdr:row>13</xdr:row>
      <xdr:rowOff>125954</xdr:rowOff>
    </xdr:from>
    <xdr:to>
      <xdr:col>22</xdr:col>
      <xdr:colOff>12102</xdr:colOff>
      <xdr:row>14</xdr:row>
      <xdr:rowOff>197672</xdr:rowOff>
    </xdr:to>
    <xdr:sp macro="" textlink="">
      <xdr:nvSpPr>
        <xdr:cNvPr id="43" name="正方形/長方形 42"/>
        <xdr:cNvSpPr/>
      </xdr:nvSpPr>
      <xdr:spPr>
        <a:xfrm>
          <a:off x="5592184" y="3012589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105782</xdr:colOff>
      <xdr:row>13</xdr:row>
      <xdr:rowOff>116990</xdr:rowOff>
    </xdr:from>
    <xdr:to>
      <xdr:col>24</xdr:col>
      <xdr:colOff>164500</xdr:colOff>
      <xdr:row>14</xdr:row>
      <xdr:rowOff>188708</xdr:rowOff>
    </xdr:to>
    <xdr:sp macro="" textlink="">
      <xdr:nvSpPr>
        <xdr:cNvPr id="44" name="正方形/長方形 43"/>
        <xdr:cNvSpPr/>
      </xdr:nvSpPr>
      <xdr:spPr>
        <a:xfrm>
          <a:off x="6300394" y="3003625"/>
          <a:ext cx="33662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160103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41863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263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68" t="s">
        <v>3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32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35"/>
    </row>
    <row r="3" spans="1:66" ht="20.100000000000001" customHeight="1" x14ac:dyDescent="0.45">
      <c r="A3" s="32"/>
      <c r="B3" s="171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SK0300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帳票設計書</v>
      </c>
      <c r="S3" s="156"/>
      <c r="T3" s="156"/>
      <c r="U3" s="156"/>
      <c r="V3" s="156"/>
      <c r="W3" s="156"/>
      <c r="X3" s="159" t="str">
        <f ca="1">変更履歴!X3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変更履歴!AK3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f>変更履歴!AX3</f>
        <v>45623</v>
      </c>
      <c r="AY3" s="154"/>
      <c r="AZ3" s="154"/>
      <c r="BA3" s="154"/>
      <c r="BB3" s="156" t="str">
        <f>変更履歴!BB3</f>
        <v>大谷</v>
      </c>
      <c r="BC3" s="156"/>
      <c r="BD3" s="156"/>
      <c r="BE3" s="156"/>
      <c r="BF3" s="154">
        <f>変更履歴!BF3</f>
        <v>45623</v>
      </c>
      <c r="BG3" s="154"/>
      <c r="BH3" s="154"/>
      <c r="BI3" s="154"/>
      <c r="BJ3" s="156" t="str">
        <f>変更履歴!BJ3</f>
        <v>大谷</v>
      </c>
      <c r="BK3" s="156"/>
      <c r="BL3" s="156"/>
      <c r="BM3" s="158"/>
      <c r="BN3" s="35"/>
    </row>
    <row r="4" spans="1:66" ht="20.100000000000001" customHeight="1" thickBot="1" x14ac:dyDescent="0.5">
      <c r="A4" s="32"/>
      <c r="B4" s="163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64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6"/>
      <c r="AK4" s="164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6"/>
      <c r="AX4" s="155"/>
      <c r="AY4" s="155"/>
      <c r="AZ4" s="155"/>
      <c r="BA4" s="155"/>
      <c r="BB4" s="157"/>
      <c r="BC4" s="157"/>
      <c r="BD4" s="157"/>
      <c r="BE4" s="157"/>
      <c r="BF4" s="155"/>
      <c r="BG4" s="155"/>
      <c r="BH4" s="155"/>
      <c r="BI4" s="155"/>
      <c r="BJ4" s="157"/>
      <c r="BK4" s="157"/>
      <c r="BL4" s="157"/>
      <c r="BM4" s="15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仕入先検収明細表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258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76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77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73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74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73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75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257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256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263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68" t="s">
        <v>3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31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4"/>
    </row>
    <row r="3" spans="1:66" ht="20.100000000000001" customHeight="1" x14ac:dyDescent="0.45">
      <c r="A3" s="8"/>
      <c r="B3" s="171" t="s">
        <v>261</v>
      </c>
      <c r="C3" s="156"/>
      <c r="D3" s="156"/>
      <c r="E3" s="156"/>
      <c r="F3" s="156"/>
      <c r="G3" s="156"/>
      <c r="H3" s="156" t="str">
        <f ca="1">LEFT($X$3,FIND("_",$X$3)-1)</f>
        <v>SK0300</v>
      </c>
      <c r="I3" s="156"/>
      <c r="J3" s="156"/>
      <c r="K3" s="156"/>
      <c r="L3" s="156" t="s">
        <v>262</v>
      </c>
      <c r="M3" s="156"/>
      <c r="N3" s="156"/>
      <c r="O3" s="156"/>
      <c r="P3" s="156"/>
      <c r="Q3" s="156"/>
      <c r="R3" s="180" t="str">
        <f ca="1">MID($X$3,FIND("_",$X$3,FIND("_",$X$3)+1)+1,LEN($X$3)-FIND("_",$X$3,FIND("_",$X$3)+1))</f>
        <v>帳票設計書</v>
      </c>
      <c r="S3" s="156"/>
      <c r="T3" s="156"/>
      <c r="U3" s="156"/>
      <c r="V3" s="156"/>
      <c r="W3" s="156"/>
      <c r="X3" s="159" t="str">
        <f ca="1">REPLACE(LEFT(CELL("filename",$B$2),FIND(".x",CELL("filename",$B$2))-1),1,FIND("[",CELL("filename",$B$2)),)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MID($X$3,FIND("_",$X$3)+1,FIND("_",$X$3,FIND("_",$X$3)+1)-FIND("_",$X$3)-1)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v>45623</v>
      </c>
      <c r="AY3" s="156"/>
      <c r="AZ3" s="156"/>
      <c r="BA3" s="156"/>
      <c r="BB3" s="156" t="s">
        <v>264</v>
      </c>
      <c r="BC3" s="156"/>
      <c r="BD3" s="156"/>
      <c r="BE3" s="156"/>
      <c r="BF3" s="154">
        <v>45623</v>
      </c>
      <c r="BG3" s="156"/>
      <c r="BH3" s="156"/>
      <c r="BI3" s="156"/>
      <c r="BJ3" s="156" t="s">
        <v>264</v>
      </c>
      <c r="BK3" s="156"/>
      <c r="BL3" s="156"/>
      <c r="BM3" s="158"/>
      <c r="BN3" s="14"/>
    </row>
    <row r="4" spans="1:66" ht="20.100000000000001" customHeight="1" thickBot="1" x14ac:dyDescent="0.5">
      <c r="A4" s="8"/>
      <c r="B4" s="163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64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6"/>
      <c r="AK4" s="164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6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79" t="s">
        <v>8</v>
      </c>
      <c r="D8" s="179"/>
      <c r="E8" s="179"/>
      <c r="F8" s="179"/>
      <c r="G8" s="179" t="s">
        <v>9</v>
      </c>
      <c r="H8" s="179"/>
      <c r="I8" s="179"/>
      <c r="J8" s="179"/>
      <c r="K8" s="179" t="s">
        <v>10</v>
      </c>
      <c r="L8" s="179"/>
      <c r="M8" s="179"/>
      <c r="N8" s="179"/>
      <c r="O8" s="179" t="s">
        <v>11</v>
      </c>
      <c r="P8" s="179"/>
      <c r="Q8" s="179"/>
      <c r="R8" s="179"/>
      <c r="S8" s="179"/>
      <c r="T8" s="179"/>
      <c r="U8" s="179"/>
      <c r="V8" s="179"/>
      <c r="W8" s="179"/>
      <c r="X8" s="179"/>
      <c r="Y8" s="179" t="s">
        <v>12</v>
      </c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7"/>
      <c r="BN8" s="14"/>
    </row>
    <row r="9" spans="1:66" ht="20.100000000000001" customHeight="1" x14ac:dyDescent="0.45">
      <c r="A9" s="8"/>
      <c r="B9" s="7"/>
      <c r="C9" s="178">
        <v>45623</v>
      </c>
      <c r="D9" s="176"/>
      <c r="E9" s="176"/>
      <c r="F9" s="177"/>
      <c r="G9" s="172" t="s">
        <v>16</v>
      </c>
      <c r="H9" s="173"/>
      <c r="I9" s="173"/>
      <c r="J9" s="174"/>
      <c r="K9" s="175" t="s">
        <v>264</v>
      </c>
      <c r="L9" s="176"/>
      <c r="M9" s="176"/>
      <c r="N9" s="17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78"/>
      <c r="D10" s="176"/>
      <c r="E10" s="176"/>
      <c r="F10" s="177"/>
      <c r="G10" s="172"/>
      <c r="H10" s="173"/>
      <c r="I10" s="173"/>
      <c r="J10" s="174"/>
      <c r="K10" s="175"/>
      <c r="L10" s="176"/>
      <c r="M10" s="176"/>
      <c r="N10" s="17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78"/>
      <c r="D11" s="176"/>
      <c r="E11" s="176"/>
      <c r="F11" s="177"/>
      <c r="G11" s="172"/>
      <c r="H11" s="173"/>
      <c r="I11" s="173"/>
      <c r="J11" s="174"/>
      <c r="K11" s="175"/>
      <c r="L11" s="176"/>
      <c r="M11" s="176"/>
      <c r="N11" s="17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78"/>
      <c r="D36" s="176"/>
      <c r="E36" s="176"/>
      <c r="F36" s="177"/>
      <c r="G36" s="172"/>
      <c r="H36" s="173"/>
      <c r="I36" s="173"/>
      <c r="J36" s="174"/>
      <c r="K36" s="175"/>
      <c r="L36" s="176"/>
      <c r="M36" s="176"/>
      <c r="N36" s="17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78"/>
      <c r="D37" s="176"/>
      <c r="E37" s="176"/>
      <c r="F37" s="177"/>
      <c r="G37" s="172"/>
      <c r="H37" s="173"/>
      <c r="I37" s="173"/>
      <c r="J37" s="174"/>
      <c r="K37" s="175"/>
      <c r="L37" s="176"/>
      <c r="M37" s="176"/>
      <c r="N37" s="17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78"/>
      <c r="D38" s="176"/>
      <c r="E38" s="176"/>
      <c r="F38" s="177"/>
      <c r="G38" s="172"/>
      <c r="H38" s="173"/>
      <c r="I38" s="173"/>
      <c r="J38" s="174"/>
      <c r="K38" s="175"/>
      <c r="L38" s="176"/>
      <c r="M38" s="176"/>
      <c r="N38" s="17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78"/>
      <c r="D39" s="176"/>
      <c r="E39" s="176"/>
      <c r="F39" s="177"/>
      <c r="G39" s="172"/>
      <c r="H39" s="173"/>
      <c r="I39" s="173"/>
      <c r="J39" s="174"/>
      <c r="K39" s="175"/>
      <c r="L39" s="176"/>
      <c r="M39" s="176"/>
      <c r="N39" s="17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78"/>
      <c r="D40" s="176"/>
      <c r="E40" s="176"/>
      <c r="F40" s="177"/>
      <c r="G40" s="172"/>
      <c r="H40" s="173"/>
      <c r="I40" s="173"/>
      <c r="J40" s="174"/>
      <c r="K40" s="175"/>
      <c r="L40" s="176"/>
      <c r="M40" s="176"/>
      <c r="N40" s="17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78"/>
      <c r="D41" s="176"/>
      <c r="E41" s="176"/>
      <c r="F41" s="177"/>
      <c r="G41" s="172"/>
      <c r="H41" s="173"/>
      <c r="I41" s="173"/>
      <c r="J41" s="174"/>
      <c r="K41" s="175"/>
      <c r="L41" s="176"/>
      <c r="M41" s="176"/>
      <c r="N41" s="17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78"/>
      <c r="D42" s="176"/>
      <c r="E42" s="176"/>
      <c r="F42" s="177"/>
      <c r="G42" s="172"/>
      <c r="H42" s="173"/>
      <c r="I42" s="173"/>
      <c r="J42" s="174"/>
      <c r="K42" s="175"/>
      <c r="L42" s="176"/>
      <c r="M42" s="176"/>
      <c r="N42" s="17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78"/>
      <c r="D43" s="176"/>
      <c r="E43" s="176"/>
      <c r="F43" s="177"/>
      <c r="G43" s="172"/>
      <c r="H43" s="173"/>
      <c r="I43" s="173"/>
      <c r="J43" s="174"/>
      <c r="K43" s="175"/>
      <c r="L43" s="176"/>
      <c r="M43" s="176"/>
      <c r="N43" s="17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78"/>
      <c r="D44" s="176"/>
      <c r="E44" s="176"/>
      <c r="F44" s="177"/>
      <c r="G44" s="172"/>
      <c r="H44" s="173"/>
      <c r="I44" s="173"/>
      <c r="J44" s="174"/>
      <c r="K44" s="175"/>
      <c r="L44" s="176"/>
      <c r="M44" s="176"/>
      <c r="N44" s="17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78"/>
      <c r="D45" s="176"/>
      <c r="E45" s="176"/>
      <c r="F45" s="177"/>
      <c r="G45" s="172"/>
      <c r="H45" s="173"/>
      <c r="I45" s="173"/>
      <c r="J45" s="174"/>
      <c r="K45" s="175"/>
      <c r="L45" s="176"/>
      <c r="M45" s="176"/>
      <c r="N45" s="17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78"/>
      <c r="D46" s="176"/>
      <c r="E46" s="176"/>
      <c r="F46" s="177"/>
      <c r="G46" s="172"/>
      <c r="H46" s="173"/>
      <c r="I46" s="173"/>
      <c r="J46" s="174"/>
      <c r="K46" s="175"/>
      <c r="L46" s="176"/>
      <c r="M46" s="176"/>
      <c r="N46" s="17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78"/>
      <c r="D47" s="176"/>
      <c r="E47" s="176"/>
      <c r="F47" s="177"/>
      <c r="G47" s="172"/>
      <c r="H47" s="173"/>
      <c r="I47" s="173"/>
      <c r="J47" s="174"/>
      <c r="K47" s="175"/>
      <c r="L47" s="176"/>
      <c r="M47" s="176"/>
      <c r="N47" s="17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263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68" t="s">
        <v>3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32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5"/>
    </row>
    <row r="3" spans="1:66" ht="20.100000000000001" customHeight="1" x14ac:dyDescent="0.45">
      <c r="A3" s="9"/>
      <c r="B3" s="171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SK0300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帳票設計書</v>
      </c>
      <c r="S3" s="156"/>
      <c r="T3" s="156"/>
      <c r="U3" s="156"/>
      <c r="V3" s="156"/>
      <c r="W3" s="156"/>
      <c r="X3" s="159" t="str">
        <f ca="1">変更履歴!X3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変更履歴!AK3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f>変更履歴!AX3</f>
        <v>45623</v>
      </c>
      <c r="AY3" s="154"/>
      <c r="AZ3" s="154"/>
      <c r="BA3" s="154"/>
      <c r="BB3" s="156" t="str">
        <f>変更履歴!BB3</f>
        <v>大谷</v>
      </c>
      <c r="BC3" s="156"/>
      <c r="BD3" s="156"/>
      <c r="BE3" s="156"/>
      <c r="BF3" s="154">
        <f>変更履歴!BF3</f>
        <v>45623</v>
      </c>
      <c r="BG3" s="154"/>
      <c r="BH3" s="154"/>
      <c r="BI3" s="154"/>
      <c r="BJ3" s="156" t="str">
        <f>変更履歴!BJ3</f>
        <v>大谷</v>
      </c>
      <c r="BK3" s="156"/>
      <c r="BL3" s="156"/>
      <c r="BM3" s="158"/>
      <c r="BN3" s="15"/>
    </row>
    <row r="4" spans="1:66" ht="20.100000000000001" customHeight="1" thickBot="1" x14ac:dyDescent="0.5">
      <c r="A4" s="9"/>
      <c r="B4" s="163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64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6"/>
      <c r="AK4" s="164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6"/>
      <c r="AX4" s="155"/>
      <c r="AY4" s="155"/>
      <c r="AZ4" s="155"/>
      <c r="BA4" s="155"/>
      <c r="BB4" s="157"/>
      <c r="BC4" s="157"/>
      <c r="BD4" s="157"/>
      <c r="BE4" s="157"/>
      <c r="BF4" s="155"/>
      <c r="BG4" s="155"/>
      <c r="BH4" s="155"/>
      <c r="BI4" s="155"/>
      <c r="BJ4" s="157"/>
      <c r="BK4" s="157"/>
      <c r="BL4" s="157"/>
      <c r="BM4" s="15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74"/>
  <sheetViews>
    <sheetView showGridLines="0" view="pageBreakPreview" zoomScale="70" zoomScaleNormal="100" zoomScaleSheetLayoutView="70" workbookViewId="0">
      <selection activeCell="AX14" sqref="AX14:BT1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263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68" t="s">
        <v>3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32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5"/>
    </row>
    <row r="3" spans="1:85" ht="20.100000000000001" customHeight="1" x14ac:dyDescent="0.45">
      <c r="A3" s="9"/>
      <c r="B3" s="171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SK0300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帳票設計書</v>
      </c>
      <c r="S3" s="156"/>
      <c r="T3" s="156"/>
      <c r="U3" s="156"/>
      <c r="V3" s="156"/>
      <c r="W3" s="156"/>
      <c r="X3" s="159" t="str">
        <f ca="1">変更履歴!X3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変更履歴!AK3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f>変更履歴!AX3</f>
        <v>45623</v>
      </c>
      <c r="AY3" s="154"/>
      <c r="AZ3" s="154"/>
      <c r="BA3" s="154"/>
      <c r="BB3" s="156" t="str">
        <f>変更履歴!BB3</f>
        <v>大谷</v>
      </c>
      <c r="BC3" s="156"/>
      <c r="BD3" s="156"/>
      <c r="BE3" s="156"/>
      <c r="BF3" s="154">
        <f>変更履歴!BF3</f>
        <v>45623</v>
      </c>
      <c r="BG3" s="154"/>
      <c r="BH3" s="154"/>
      <c r="BI3" s="154"/>
      <c r="BJ3" s="156" t="str">
        <f>変更履歴!BJ3</f>
        <v>大谷</v>
      </c>
      <c r="BK3" s="156"/>
      <c r="BL3" s="156"/>
      <c r="BM3" s="158"/>
      <c r="BN3" s="15"/>
    </row>
    <row r="4" spans="1:85" ht="20.100000000000001" customHeight="1" thickBot="1" x14ac:dyDescent="0.5">
      <c r="A4" s="9"/>
      <c r="B4" s="163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64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6"/>
      <c r="AK4" s="164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6"/>
      <c r="AX4" s="155"/>
      <c r="AY4" s="155"/>
      <c r="AZ4" s="155"/>
      <c r="BA4" s="155"/>
      <c r="BB4" s="157"/>
      <c r="BC4" s="157"/>
      <c r="BD4" s="157"/>
      <c r="BE4" s="157"/>
      <c r="BF4" s="155"/>
      <c r="BG4" s="155"/>
      <c r="BH4" s="155"/>
      <c r="BI4" s="155"/>
      <c r="BJ4" s="157"/>
      <c r="BK4" s="157"/>
      <c r="BL4" s="157"/>
      <c r="BM4" s="15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5" t="s">
        <v>20</v>
      </c>
      <c r="F10" s="196"/>
      <c r="G10" s="196"/>
      <c r="H10" s="196"/>
      <c r="I10" s="196"/>
      <c r="J10" s="196"/>
      <c r="K10" s="196"/>
      <c r="L10" s="197"/>
      <c r="M10" s="198" t="s">
        <v>24</v>
      </c>
      <c r="N10" s="199"/>
      <c r="O10" s="199"/>
      <c r="P10" s="198" t="s">
        <v>33</v>
      </c>
      <c r="Q10" s="199"/>
      <c r="R10" s="199"/>
      <c r="S10" s="198" t="s">
        <v>34</v>
      </c>
      <c r="T10" s="199"/>
      <c r="U10" s="199"/>
      <c r="V10" s="198" t="s">
        <v>36</v>
      </c>
      <c r="W10" s="199"/>
      <c r="X10" s="199"/>
      <c r="Y10" s="199"/>
      <c r="Z10" s="199"/>
      <c r="AA10" s="206"/>
      <c r="AB10" s="198" t="s">
        <v>35</v>
      </c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206"/>
      <c r="AR10" s="198" t="s">
        <v>42</v>
      </c>
      <c r="AS10" s="199"/>
      <c r="AT10" s="199"/>
      <c r="AU10" s="199"/>
      <c r="AV10" s="199"/>
      <c r="AW10" s="206"/>
      <c r="AX10" s="198" t="s">
        <v>43</v>
      </c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20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1" t="s">
        <v>78</v>
      </c>
      <c r="F11" s="182"/>
      <c r="G11" s="182"/>
      <c r="H11" s="182"/>
      <c r="I11" s="182"/>
      <c r="J11" s="182"/>
      <c r="K11" s="182"/>
      <c r="L11" s="183"/>
      <c r="M11" s="175" t="s">
        <v>8</v>
      </c>
      <c r="N11" s="176"/>
      <c r="O11" s="176"/>
      <c r="P11" s="175" t="s">
        <v>79</v>
      </c>
      <c r="Q11" s="176"/>
      <c r="R11" s="176"/>
      <c r="S11" s="175">
        <v>8</v>
      </c>
      <c r="T11" s="176"/>
      <c r="U11" s="176"/>
      <c r="V11" s="189" t="s">
        <v>80</v>
      </c>
      <c r="W11" s="190"/>
      <c r="X11" s="190"/>
      <c r="Y11" s="190"/>
      <c r="Z11" s="190"/>
      <c r="AA11" s="207"/>
      <c r="AB11" s="186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8"/>
      <c r="AR11" s="175"/>
      <c r="AS11" s="176"/>
      <c r="AT11" s="176"/>
      <c r="AU11" s="176"/>
      <c r="AV11" s="176"/>
      <c r="AW11" s="177"/>
      <c r="AX11" s="189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153">
        <v>2</v>
      </c>
      <c r="E12" s="192" t="s">
        <v>127</v>
      </c>
      <c r="F12" s="193"/>
      <c r="G12" s="193"/>
      <c r="H12" s="193"/>
      <c r="I12" s="193"/>
      <c r="J12" s="193"/>
      <c r="K12" s="193"/>
      <c r="L12" s="194"/>
      <c r="M12" s="200" t="s">
        <v>38</v>
      </c>
      <c r="N12" s="201"/>
      <c r="O12" s="201"/>
      <c r="P12" s="200" t="s">
        <v>79</v>
      </c>
      <c r="Q12" s="201"/>
      <c r="R12" s="201"/>
      <c r="S12" s="200">
        <v>4</v>
      </c>
      <c r="T12" s="201"/>
      <c r="U12" s="201"/>
      <c r="V12" s="208" t="s">
        <v>233</v>
      </c>
      <c r="W12" s="209"/>
      <c r="X12" s="209"/>
      <c r="Y12" s="209"/>
      <c r="Z12" s="209"/>
      <c r="AA12" s="210"/>
      <c r="AB12" s="208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10"/>
      <c r="AR12" s="200"/>
      <c r="AS12" s="201"/>
      <c r="AT12" s="201"/>
      <c r="AU12" s="201"/>
      <c r="AV12" s="201"/>
      <c r="AW12" s="211"/>
      <c r="AX12" s="203" t="s">
        <v>259</v>
      </c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153">
        <v>3</v>
      </c>
      <c r="E13" s="192" t="s">
        <v>128</v>
      </c>
      <c r="F13" s="193"/>
      <c r="G13" s="193"/>
      <c r="H13" s="193"/>
      <c r="I13" s="193"/>
      <c r="J13" s="193"/>
      <c r="K13" s="193"/>
      <c r="L13" s="194"/>
      <c r="M13" s="200" t="s">
        <v>38</v>
      </c>
      <c r="N13" s="201"/>
      <c r="O13" s="201"/>
      <c r="P13" s="200" t="s">
        <v>112</v>
      </c>
      <c r="Q13" s="201"/>
      <c r="R13" s="201"/>
      <c r="S13" s="200" t="s">
        <v>113</v>
      </c>
      <c r="T13" s="201"/>
      <c r="U13" s="201"/>
      <c r="V13" s="208" t="s">
        <v>235</v>
      </c>
      <c r="W13" s="209"/>
      <c r="X13" s="209"/>
      <c r="Y13" s="209"/>
      <c r="Z13" s="209"/>
      <c r="AA13" s="210"/>
      <c r="AB13" s="208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10"/>
      <c r="AR13" s="200"/>
      <c r="AS13" s="201"/>
      <c r="AT13" s="201"/>
      <c r="AU13" s="201"/>
      <c r="AV13" s="201"/>
      <c r="AW13" s="211"/>
      <c r="AX13" s="203" t="s">
        <v>260</v>
      </c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1" t="s">
        <v>129</v>
      </c>
      <c r="F14" s="182"/>
      <c r="G14" s="182"/>
      <c r="H14" s="182"/>
      <c r="I14" s="182"/>
      <c r="J14" s="182"/>
      <c r="K14" s="182"/>
      <c r="L14" s="183"/>
      <c r="M14" s="175" t="s">
        <v>38</v>
      </c>
      <c r="N14" s="176"/>
      <c r="O14" s="176"/>
      <c r="P14" s="175" t="s">
        <v>79</v>
      </c>
      <c r="Q14" s="176"/>
      <c r="R14" s="176"/>
      <c r="S14" s="175">
        <v>4</v>
      </c>
      <c r="T14" s="176"/>
      <c r="U14" s="176"/>
      <c r="V14" s="186" t="s">
        <v>234</v>
      </c>
      <c r="W14" s="187"/>
      <c r="X14" s="187"/>
      <c r="Y14" s="187"/>
      <c r="Z14" s="187"/>
      <c r="AA14" s="188"/>
      <c r="AB14" s="186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8"/>
      <c r="AR14" s="175"/>
      <c r="AS14" s="176"/>
      <c r="AT14" s="176"/>
      <c r="AU14" s="176"/>
      <c r="AV14" s="176"/>
      <c r="AW14" s="177"/>
      <c r="AX14" s="189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190"/>
      <c r="BT14" s="19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1" t="s">
        <v>130</v>
      </c>
      <c r="F15" s="182"/>
      <c r="G15" s="182"/>
      <c r="H15" s="182"/>
      <c r="I15" s="182"/>
      <c r="J15" s="182"/>
      <c r="K15" s="182"/>
      <c r="L15" s="183"/>
      <c r="M15" s="175" t="s">
        <v>38</v>
      </c>
      <c r="N15" s="176"/>
      <c r="O15" s="176"/>
      <c r="P15" s="175" t="s">
        <v>112</v>
      </c>
      <c r="Q15" s="176"/>
      <c r="R15" s="176"/>
      <c r="S15" s="184" t="s">
        <v>113</v>
      </c>
      <c r="T15" s="185"/>
      <c r="U15" s="185"/>
      <c r="V15" s="186" t="s">
        <v>236</v>
      </c>
      <c r="W15" s="187"/>
      <c r="X15" s="187"/>
      <c r="Y15" s="187"/>
      <c r="Z15" s="187"/>
      <c r="AA15" s="188"/>
      <c r="AB15" s="186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8"/>
      <c r="AR15" s="175"/>
      <c r="AS15" s="176"/>
      <c r="AT15" s="176"/>
      <c r="AU15" s="176"/>
      <c r="AV15" s="176"/>
      <c r="AW15" s="177"/>
      <c r="AX15" s="189" t="s">
        <v>254</v>
      </c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1" t="s">
        <v>81</v>
      </c>
      <c r="F16" s="182"/>
      <c r="G16" s="182"/>
      <c r="H16" s="182"/>
      <c r="I16" s="182"/>
      <c r="J16" s="182"/>
      <c r="K16" s="182"/>
      <c r="L16" s="183"/>
      <c r="M16" s="175" t="s">
        <v>8</v>
      </c>
      <c r="N16" s="176"/>
      <c r="O16" s="176"/>
      <c r="P16" s="175" t="s">
        <v>79</v>
      </c>
      <c r="Q16" s="176"/>
      <c r="R16" s="176"/>
      <c r="S16" s="184">
        <v>8</v>
      </c>
      <c r="T16" s="185"/>
      <c r="U16" s="185"/>
      <c r="V16" s="186" t="s">
        <v>114</v>
      </c>
      <c r="W16" s="187"/>
      <c r="X16" s="187"/>
      <c r="Y16" s="187"/>
      <c r="Z16" s="187"/>
      <c r="AA16" s="188"/>
      <c r="AB16" s="186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8"/>
      <c r="AR16" s="175"/>
      <c r="AS16" s="176"/>
      <c r="AT16" s="176"/>
      <c r="AU16" s="176"/>
      <c r="AV16" s="176"/>
      <c r="AW16" s="177"/>
      <c r="AX16" s="189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1" t="s">
        <v>82</v>
      </c>
      <c r="F17" s="182"/>
      <c r="G17" s="182"/>
      <c r="H17" s="182"/>
      <c r="I17" s="182"/>
      <c r="J17" s="182"/>
      <c r="K17" s="182"/>
      <c r="L17" s="183"/>
      <c r="M17" s="175" t="s">
        <v>8</v>
      </c>
      <c r="N17" s="176"/>
      <c r="O17" s="176"/>
      <c r="P17" s="175" t="s">
        <v>79</v>
      </c>
      <c r="Q17" s="176"/>
      <c r="R17" s="176"/>
      <c r="S17" s="184">
        <v>8</v>
      </c>
      <c r="T17" s="185"/>
      <c r="U17" s="185"/>
      <c r="V17" s="186" t="s">
        <v>115</v>
      </c>
      <c r="W17" s="187"/>
      <c r="X17" s="187"/>
      <c r="Y17" s="187"/>
      <c r="Z17" s="187"/>
      <c r="AA17" s="188"/>
      <c r="AB17" s="186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8"/>
      <c r="AR17" s="175"/>
      <c r="AS17" s="176"/>
      <c r="AT17" s="176"/>
      <c r="AU17" s="176"/>
      <c r="AV17" s="176"/>
      <c r="AW17" s="177"/>
      <c r="AX17" s="189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1" t="s">
        <v>93</v>
      </c>
      <c r="F18" s="182"/>
      <c r="G18" s="182"/>
      <c r="H18" s="182"/>
      <c r="I18" s="182"/>
      <c r="J18" s="182"/>
      <c r="K18" s="182"/>
      <c r="L18" s="183"/>
      <c r="M18" s="175" t="s">
        <v>8</v>
      </c>
      <c r="N18" s="176"/>
      <c r="O18" s="176"/>
      <c r="P18" s="175" t="s">
        <v>79</v>
      </c>
      <c r="Q18" s="176"/>
      <c r="R18" s="176"/>
      <c r="S18" s="184"/>
      <c r="T18" s="185"/>
      <c r="U18" s="185"/>
      <c r="V18" s="186" t="s">
        <v>116</v>
      </c>
      <c r="W18" s="187"/>
      <c r="X18" s="187"/>
      <c r="Y18" s="187"/>
      <c r="Z18" s="187"/>
      <c r="AA18" s="188"/>
      <c r="AB18" s="186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8"/>
      <c r="AR18" s="175"/>
      <c r="AS18" s="176"/>
      <c r="AT18" s="176"/>
      <c r="AU18" s="176"/>
      <c r="AV18" s="176"/>
      <c r="AW18" s="177"/>
      <c r="AX18" s="189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1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1" t="s">
        <v>94</v>
      </c>
      <c r="F19" s="182"/>
      <c r="G19" s="182"/>
      <c r="H19" s="182"/>
      <c r="I19" s="182"/>
      <c r="J19" s="182"/>
      <c r="K19" s="182"/>
      <c r="L19" s="183"/>
      <c r="M19" s="175" t="s">
        <v>38</v>
      </c>
      <c r="N19" s="176"/>
      <c r="O19" s="176"/>
      <c r="P19" s="175" t="s">
        <v>79</v>
      </c>
      <c r="Q19" s="176"/>
      <c r="R19" s="176"/>
      <c r="S19" s="184"/>
      <c r="T19" s="185"/>
      <c r="U19" s="185"/>
      <c r="V19" s="186" t="s">
        <v>116</v>
      </c>
      <c r="W19" s="187"/>
      <c r="X19" s="187"/>
      <c r="Y19" s="187"/>
      <c r="Z19" s="187"/>
      <c r="AA19" s="188"/>
      <c r="AB19" s="186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8"/>
      <c r="AR19" s="175"/>
      <c r="AS19" s="176"/>
      <c r="AT19" s="176"/>
      <c r="AU19" s="176"/>
      <c r="AV19" s="176"/>
      <c r="AW19" s="177"/>
      <c r="AX19" s="189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1" t="s">
        <v>95</v>
      </c>
      <c r="F20" s="182"/>
      <c r="G20" s="182"/>
      <c r="H20" s="182"/>
      <c r="I20" s="182"/>
      <c r="J20" s="182"/>
      <c r="K20" s="182"/>
      <c r="L20" s="183"/>
      <c r="M20" s="175" t="s">
        <v>38</v>
      </c>
      <c r="N20" s="176"/>
      <c r="O20" s="176"/>
      <c r="P20" s="175" t="s">
        <v>112</v>
      </c>
      <c r="Q20" s="176"/>
      <c r="R20" s="176"/>
      <c r="S20" s="184">
        <v>1</v>
      </c>
      <c r="T20" s="185"/>
      <c r="U20" s="185"/>
      <c r="V20" s="186" t="s">
        <v>117</v>
      </c>
      <c r="W20" s="187"/>
      <c r="X20" s="187"/>
      <c r="Y20" s="187"/>
      <c r="Z20" s="187"/>
      <c r="AA20" s="188"/>
      <c r="AB20" s="186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8"/>
      <c r="AR20" s="175"/>
      <c r="AS20" s="176"/>
      <c r="AT20" s="176"/>
      <c r="AU20" s="176"/>
      <c r="AV20" s="176"/>
      <c r="AW20" s="177"/>
      <c r="AX20" s="189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1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1" t="s">
        <v>96</v>
      </c>
      <c r="F21" s="182"/>
      <c r="G21" s="182"/>
      <c r="H21" s="182"/>
      <c r="I21" s="182"/>
      <c r="J21" s="182"/>
      <c r="K21" s="182"/>
      <c r="L21" s="183"/>
      <c r="M21" s="175" t="s">
        <v>38</v>
      </c>
      <c r="N21" s="176"/>
      <c r="O21" s="176"/>
      <c r="P21" s="175" t="s">
        <v>112</v>
      </c>
      <c r="Q21" s="176"/>
      <c r="R21" s="176"/>
      <c r="S21" s="184"/>
      <c r="T21" s="185"/>
      <c r="U21" s="185"/>
      <c r="V21" s="186" t="s">
        <v>116</v>
      </c>
      <c r="W21" s="187"/>
      <c r="X21" s="187"/>
      <c r="Y21" s="187"/>
      <c r="Z21" s="187"/>
      <c r="AA21" s="188"/>
      <c r="AB21" s="186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8"/>
      <c r="AR21" s="175"/>
      <c r="AS21" s="176"/>
      <c r="AT21" s="176"/>
      <c r="AU21" s="176"/>
      <c r="AV21" s="176"/>
      <c r="AW21" s="177"/>
      <c r="AX21" s="189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1" t="s">
        <v>97</v>
      </c>
      <c r="F22" s="182"/>
      <c r="G22" s="182"/>
      <c r="H22" s="182"/>
      <c r="I22" s="182"/>
      <c r="J22" s="182"/>
      <c r="K22" s="182"/>
      <c r="L22" s="183"/>
      <c r="M22" s="175" t="s">
        <v>38</v>
      </c>
      <c r="N22" s="176"/>
      <c r="O22" s="176"/>
      <c r="P22" s="175" t="s">
        <v>79</v>
      </c>
      <c r="Q22" s="176"/>
      <c r="R22" s="176"/>
      <c r="S22" s="184"/>
      <c r="T22" s="185"/>
      <c r="U22" s="185"/>
      <c r="V22" s="186" t="s">
        <v>116</v>
      </c>
      <c r="W22" s="187"/>
      <c r="X22" s="187"/>
      <c r="Y22" s="187"/>
      <c r="Z22" s="187"/>
      <c r="AA22" s="188"/>
      <c r="AB22" s="186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8"/>
      <c r="AR22" s="175"/>
      <c r="AS22" s="176"/>
      <c r="AT22" s="176"/>
      <c r="AU22" s="176"/>
      <c r="AV22" s="176"/>
      <c r="AW22" s="177"/>
      <c r="AX22" s="189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1" t="s">
        <v>98</v>
      </c>
      <c r="F23" s="182"/>
      <c r="G23" s="182"/>
      <c r="H23" s="182"/>
      <c r="I23" s="182"/>
      <c r="J23" s="182"/>
      <c r="K23" s="182"/>
      <c r="L23" s="183"/>
      <c r="M23" s="175" t="s">
        <v>38</v>
      </c>
      <c r="N23" s="176"/>
      <c r="O23" s="176"/>
      <c r="P23" s="175" t="s">
        <v>79</v>
      </c>
      <c r="Q23" s="176"/>
      <c r="R23" s="176"/>
      <c r="S23" s="184"/>
      <c r="T23" s="185"/>
      <c r="U23" s="185"/>
      <c r="V23" s="186" t="s">
        <v>116</v>
      </c>
      <c r="W23" s="187"/>
      <c r="X23" s="187"/>
      <c r="Y23" s="187"/>
      <c r="Z23" s="187"/>
      <c r="AA23" s="188"/>
      <c r="AB23" s="186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8"/>
      <c r="AR23" s="175"/>
      <c r="AS23" s="176"/>
      <c r="AT23" s="176"/>
      <c r="AU23" s="176"/>
      <c r="AV23" s="176"/>
      <c r="AW23" s="177"/>
      <c r="AX23" s="189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  <c r="BO23" s="190"/>
      <c r="BP23" s="190"/>
      <c r="BQ23" s="190"/>
      <c r="BR23" s="190"/>
      <c r="BS23" s="190"/>
      <c r="BT23" s="19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1" t="s">
        <v>99</v>
      </c>
      <c r="F24" s="182"/>
      <c r="G24" s="182"/>
      <c r="H24" s="182"/>
      <c r="I24" s="182"/>
      <c r="J24" s="182"/>
      <c r="K24" s="182"/>
      <c r="L24" s="183"/>
      <c r="M24" s="175" t="s">
        <v>38</v>
      </c>
      <c r="N24" s="176"/>
      <c r="O24" s="176"/>
      <c r="P24" s="175" t="s">
        <v>112</v>
      </c>
      <c r="Q24" s="176"/>
      <c r="R24" s="176"/>
      <c r="S24" s="184"/>
      <c r="T24" s="185"/>
      <c r="U24" s="185"/>
      <c r="V24" s="186" t="s">
        <v>116</v>
      </c>
      <c r="W24" s="187"/>
      <c r="X24" s="187"/>
      <c r="Y24" s="187"/>
      <c r="Z24" s="187"/>
      <c r="AA24" s="188"/>
      <c r="AB24" s="186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8"/>
      <c r="AR24" s="175"/>
      <c r="AS24" s="176"/>
      <c r="AT24" s="176"/>
      <c r="AU24" s="176"/>
      <c r="AV24" s="176"/>
      <c r="AW24" s="177"/>
      <c r="AX24" s="189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0"/>
      <c r="BR24" s="190"/>
      <c r="BS24" s="190"/>
      <c r="BT24" s="19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1" t="s">
        <v>100</v>
      </c>
      <c r="F25" s="182"/>
      <c r="G25" s="182"/>
      <c r="H25" s="182"/>
      <c r="I25" s="182"/>
      <c r="J25" s="182"/>
      <c r="K25" s="182"/>
      <c r="L25" s="183"/>
      <c r="M25" s="175" t="s">
        <v>38</v>
      </c>
      <c r="N25" s="176"/>
      <c r="O25" s="176"/>
      <c r="P25" s="175" t="s">
        <v>79</v>
      </c>
      <c r="Q25" s="176"/>
      <c r="R25" s="176"/>
      <c r="S25" s="184"/>
      <c r="T25" s="185"/>
      <c r="U25" s="185"/>
      <c r="V25" s="186" t="s">
        <v>116</v>
      </c>
      <c r="W25" s="187"/>
      <c r="X25" s="187"/>
      <c r="Y25" s="187"/>
      <c r="Z25" s="187"/>
      <c r="AA25" s="188"/>
      <c r="AB25" s="186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7"/>
      <c r="AO25" s="187"/>
      <c r="AP25" s="187"/>
      <c r="AQ25" s="188"/>
      <c r="AR25" s="175"/>
      <c r="AS25" s="176"/>
      <c r="AT25" s="176"/>
      <c r="AU25" s="176"/>
      <c r="AV25" s="176"/>
      <c r="AW25" s="177"/>
      <c r="AX25" s="189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  <c r="BN25" s="190"/>
      <c r="BO25" s="190"/>
      <c r="BP25" s="190"/>
      <c r="BQ25" s="190"/>
      <c r="BR25" s="190"/>
      <c r="BS25" s="190"/>
      <c r="BT25" s="191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1" t="s">
        <v>101</v>
      </c>
      <c r="F26" s="182"/>
      <c r="G26" s="182"/>
      <c r="H26" s="182"/>
      <c r="I26" s="182"/>
      <c r="J26" s="182"/>
      <c r="K26" s="182"/>
      <c r="L26" s="183"/>
      <c r="M26" s="175" t="s">
        <v>38</v>
      </c>
      <c r="N26" s="176"/>
      <c r="O26" s="176"/>
      <c r="P26" s="175" t="s">
        <v>79</v>
      </c>
      <c r="Q26" s="176"/>
      <c r="R26" s="176"/>
      <c r="S26" s="184"/>
      <c r="T26" s="185"/>
      <c r="U26" s="185"/>
      <c r="V26" s="186" t="s">
        <v>116</v>
      </c>
      <c r="W26" s="187"/>
      <c r="X26" s="187"/>
      <c r="Y26" s="187"/>
      <c r="Z26" s="187"/>
      <c r="AA26" s="188"/>
      <c r="AB26" s="186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8"/>
      <c r="AR26" s="175"/>
      <c r="AS26" s="176"/>
      <c r="AT26" s="176"/>
      <c r="AU26" s="176"/>
      <c r="AV26" s="176"/>
      <c r="AW26" s="177"/>
      <c r="AX26" s="189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1" t="s">
        <v>102</v>
      </c>
      <c r="F27" s="182"/>
      <c r="G27" s="182"/>
      <c r="H27" s="182"/>
      <c r="I27" s="182"/>
      <c r="J27" s="182"/>
      <c r="K27" s="182"/>
      <c r="L27" s="183"/>
      <c r="M27" s="175" t="s">
        <v>38</v>
      </c>
      <c r="N27" s="176"/>
      <c r="O27" s="176"/>
      <c r="P27" s="175" t="s">
        <v>79</v>
      </c>
      <c r="Q27" s="176"/>
      <c r="R27" s="176"/>
      <c r="S27" s="184"/>
      <c r="T27" s="185"/>
      <c r="U27" s="185"/>
      <c r="V27" s="186" t="s">
        <v>116</v>
      </c>
      <c r="W27" s="187"/>
      <c r="X27" s="187"/>
      <c r="Y27" s="187"/>
      <c r="Z27" s="187"/>
      <c r="AA27" s="188"/>
      <c r="AB27" s="186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75"/>
      <c r="AS27" s="176"/>
      <c r="AT27" s="176"/>
      <c r="AU27" s="176"/>
      <c r="AV27" s="176"/>
      <c r="AW27" s="177"/>
      <c r="AX27" s="189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1" t="s">
        <v>103</v>
      </c>
      <c r="F28" s="182"/>
      <c r="G28" s="182"/>
      <c r="H28" s="182"/>
      <c r="I28" s="182"/>
      <c r="J28" s="182"/>
      <c r="K28" s="182"/>
      <c r="L28" s="183"/>
      <c r="M28" s="175" t="s">
        <v>38</v>
      </c>
      <c r="N28" s="176"/>
      <c r="O28" s="176"/>
      <c r="P28" s="175" t="s">
        <v>79</v>
      </c>
      <c r="Q28" s="176"/>
      <c r="R28" s="176"/>
      <c r="S28" s="184"/>
      <c r="T28" s="185"/>
      <c r="U28" s="185"/>
      <c r="V28" s="186" t="s">
        <v>116</v>
      </c>
      <c r="W28" s="187"/>
      <c r="X28" s="187"/>
      <c r="Y28" s="187"/>
      <c r="Z28" s="187"/>
      <c r="AA28" s="188"/>
      <c r="AB28" s="186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8"/>
      <c r="AR28" s="175"/>
      <c r="AS28" s="176"/>
      <c r="AT28" s="176"/>
      <c r="AU28" s="176"/>
      <c r="AV28" s="176"/>
      <c r="AW28" s="177"/>
      <c r="AX28" s="189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1" t="s">
        <v>104</v>
      </c>
      <c r="F29" s="182"/>
      <c r="G29" s="182"/>
      <c r="H29" s="182"/>
      <c r="I29" s="182"/>
      <c r="J29" s="182"/>
      <c r="K29" s="182"/>
      <c r="L29" s="183"/>
      <c r="M29" s="175" t="s">
        <v>38</v>
      </c>
      <c r="N29" s="176"/>
      <c r="O29" s="176"/>
      <c r="P29" s="175" t="s">
        <v>79</v>
      </c>
      <c r="Q29" s="176"/>
      <c r="R29" s="176"/>
      <c r="S29" s="184"/>
      <c r="T29" s="185"/>
      <c r="U29" s="185"/>
      <c r="V29" s="186" t="s">
        <v>116</v>
      </c>
      <c r="W29" s="187"/>
      <c r="X29" s="187"/>
      <c r="Y29" s="187"/>
      <c r="Z29" s="187"/>
      <c r="AA29" s="188"/>
      <c r="AB29" s="186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8"/>
      <c r="AR29" s="175"/>
      <c r="AS29" s="176"/>
      <c r="AT29" s="176"/>
      <c r="AU29" s="176"/>
      <c r="AV29" s="176"/>
      <c r="AW29" s="177"/>
      <c r="AX29" s="189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 x14ac:dyDescent="0.45">
      <c r="A30" s="29"/>
      <c r="B30" s="44"/>
      <c r="C30" s="29"/>
      <c r="D30" s="37">
        <v>20</v>
      </c>
      <c r="E30" s="181" t="s">
        <v>105</v>
      </c>
      <c r="F30" s="182"/>
      <c r="G30" s="182"/>
      <c r="H30" s="182"/>
      <c r="I30" s="182"/>
      <c r="J30" s="182"/>
      <c r="K30" s="182"/>
      <c r="L30" s="183"/>
      <c r="M30" s="175" t="s">
        <v>38</v>
      </c>
      <c r="N30" s="176"/>
      <c r="O30" s="176"/>
      <c r="P30" s="175" t="s">
        <v>79</v>
      </c>
      <c r="Q30" s="176"/>
      <c r="R30" s="176"/>
      <c r="S30" s="184"/>
      <c r="T30" s="185"/>
      <c r="U30" s="185"/>
      <c r="V30" s="186" t="s">
        <v>116</v>
      </c>
      <c r="W30" s="187"/>
      <c r="X30" s="187"/>
      <c r="Y30" s="187"/>
      <c r="Z30" s="187"/>
      <c r="AA30" s="188"/>
      <c r="AB30" s="186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8"/>
      <c r="AR30" s="175"/>
      <c r="AS30" s="176"/>
      <c r="AT30" s="176"/>
      <c r="AU30" s="176"/>
      <c r="AV30" s="176"/>
      <c r="AW30" s="177"/>
      <c r="AX30" s="189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19.5" customHeight="1" x14ac:dyDescent="0.45">
      <c r="A31" s="29"/>
      <c r="B31" s="44"/>
      <c r="C31" s="29"/>
      <c r="D31" s="37">
        <v>21</v>
      </c>
      <c r="E31" s="181" t="s">
        <v>106</v>
      </c>
      <c r="F31" s="182"/>
      <c r="G31" s="182"/>
      <c r="H31" s="182"/>
      <c r="I31" s="182"/>
      <c r="J31" s="182"/>
      <c r="K31" s="182"/>
      <c r="L31" s="183"/>
      <c r="M31" s="175" t="s">
        <v>38</v>
      </c>
      <c r="N31" s="176"/>
      <c r="O31" s="176"/>
      <c r="P31" s="175" t="s">
        <v>79</v>
      </c>
      <c r="Q31" s="176"/>
      <c r="R31" s="176"/>
      <c r="S31" s="184"/>
      <c r="T31" s="185"/>
      <c r="U31" s="185"/>
      <c r="V31" s="186" t="s">
        <v>116</v>
      </c>
      <c r="W31" s="187"/>
      <c r="X31" s="187"/>
      <c r="Y31" s="187"/>
      <c r="Z31" s="187"/>
      <c r="AA31" s="188"/>
      <c r="AB31" s="186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8"/>
      <c r="AR31" s="175"/>
      <c r="AS31" s="176"/>
      <c r="AT31" s="176"/>
      <c r="AU31" s="176"/>
      <c r="AV31" s="176"/>
      <c r="AW31" s="177"/>
      <c r="AX31" s="189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1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 s="29"/>
      <c r="D32" s="37">
        <v>22</v>
      </c>
      <c r="E32" s="181" t="s">
        <v>107</v>
      </c>
      <c r="F32" s="182"/>
      <c r="G32" s="182"/>
      <c r="H32" s="182"/>
      <c r="I32" s="182"/>
      <c r="J32" s="182"/>
      <c r="K32" s="182"/>
      <c r="L32" s="183"/>
      <c r="M32" s="175" t="s">
        <v>47</v>
      </c>
      <c r="N32" s="176"/>
      <c r="O32" s="176"/>
      <c r="P32" s="175" t="s">
        <v>79</v>
      </c>
      <c r="Q32" s="176"/>
      <c r="R32" s="176"/>
      <c r="S32" s="184" t="s">
        <v>113</v>
      </c>
      <c r="T32" s="185"/>
      <c r="U32" s="185"/>
      <c r="V32" s="186" t="s">
        <v>118</v>
      </c>
      <c r="W32" s="187"/>
      <c r="X32" s="187"/>
      <c r="Y32" s="187"/>
      <c r="Z32" s="187"/>
      <c r="AA32" s="188"/>
      <c r="AB32" s="186" t="s">
        <v>110</v>
      </c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8"/>
      <c r="AR32" s="175">
        <v>9999</v>
      </c>
      <c r="AS32" s="176"/>
      <c r="AT32" s="176"/>
      <c r="AU32" s="176"/>
      <c r="AV32" s="176"/>
      <c r="AW32" s="177"/>
      <c r="AX32" s="189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81" t="s">
        <v>108</v>
      </c>
      <c r="F33" s="182"/>
      <c r="G33" s="182"/>
      <c r="H33" s="182"/>
      <c r="I33" s="182"/>
      <c r="J33" s="182"/>
      <c r="K33" s="182"/>
      <c r="L33" s="183"/>
      <c r="M33" s="175" t="s">
        <v>47</v>
      </c>
      <c r="N33" s="176"/>
      <c r="O33" s="176"/>
      <c r="P33" s="175" t="s">
        <v>79</v>
      </c>
      <c r="Q33" s="176"/>
      <c r="R33" s="176"/>
      <c r="S33" s="184"/>
      <c r="T33" s="185"/>
      <c r="U33" s="185"/>
      <c r="V33" s="186" t="s">
        <v>116</v>
      </c>
      <c r="W33" s="187"/>
      <c r="X33" s="187"/>
      <c r="Y33" s="187"/>
      <c r="Z33" s="187"/>
      <c r="AA33" s="188"/>
      <c r="AB33" s="186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8"/>
      <c r="AR33" s="175"/>
      <c r="AS33" s="176"/>
      <c r="AT33" s="176"/>
      <c r="AU33" s="176"/>
      <c r="AV33" s="176"/>
      <c r="AW33" s="177"/>
      <c r="AX33" s="189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90"/>
      <c r="BP33" s="190"/>
      <c r="BQ33" s="190"/>
      <c r="BR33" s="190"/>
      <c r="BS33" s="190"/>
      <c r="BT33" s="191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81" t="s">
        <v>109</v>
      </c>
      <c r="F34" s="182"/>
      <c r="G34" s="182"/>
      <c r="H34" s="182"/>
      <c r="I34" s="182"/>
      <c r="J34" s="182"/>
      <c r="K34" s="182"/>
      <c r="L34" s="183"/>
      <c r="M34" s="175" t="s">
        <v>47</v>
      </c>
      <c r="N34" s="176"/>
      <c r="O34" s="176"/>
      <c r="P34" s="175" t="s">
        <v>79</v>
      </c>
      <c r="Q34" s="176"/>
      <c r="R34" s="176"/>
      <c r="S34" s="184" t="s">
        <v>113</v>
      </c>
      <c r="T34" s="185"/>
      <c r="U34" s="185"/>
      <c r="V34" s="186" t="s">
        <v>119</v>
      </c>
      <c r="W34" s="187"/>
      <c r="X34" s="187"/>
      <c r="Y34" s="187"/>
      <c r="Z34" s="187"/>
      <c r="AA34" s="188"/>
      <c r="AB34" s="186" t="s">
        <v>111</v>
      </c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8"/>
      <c r="AR34" s="175">
        <v>9999</v>
      </c>
      <c r="AS34" s="176"/>
      <c r="AT34" s="176"/>
      <c r="AU34" s="176"/>
      <c r="AV34" s="176"/>
      <c r="AW34" s="177"/>
      <c r="AX34" s="189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1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 s="29"/>
      <c r="D35" s="37">
        <v>25</v>
      </c>
      <c r="E35" s="181" t="s">
        <v>83</v>
      </c>
      <c r="F35" s="182"/>
      <c r="G35" s="182"/>
      <c r="H35" s="182"/>
      <c r="I35" s="182"/>
      <c r="J35" s="182"/>
      <c r="K35" s="182"/>
      <c r="L35" s="183"/>
      <c r="M35" s="175" t="s">
        <v>8</v>
      </c>
      <c r="N35" s="176"/>
      <c r="O35" s="176"/>
      <c r="P35" s="175" t="s">
        <v>79</v>
      </c>
      <c r="Q35" s="176"/>
      <c r="R35" s="176"/>
      <c r="S35" s="184" t="s">
        <v>113</v>
      </c>
      <c r="T35" s="185"/>
      <c r="U35" s="185"/>
      <c r="V35" s="186" t="s">
        <v>237</v>
      </c>
      <c r="W35" s="187"/>
      <c r="X35" s="187"/>
      <c r="Y35" s="187"/>
      <c r="Z35" s="187"/>
      <c r="AA35" s="188"/>
      <c r="AB35" s="186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8"/>
      <c r="AR35" s="175"/>
      <c r="AS35" s="176"/>
      <c r="AT35" s="176"/>
      <c r="AU35" s="176"/>
      <c r="AV35" s="176"/>
      <c r="AW35" s="177"/>
      <c r="AX35" s="189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1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19.5" customHeight="1" x14ac:dyDescent="0.45">
      <c r="A36" s="29"/>
      <c r="B36" s="44"/>
      <c r="C36" s="29"/>
      <c r="D36" s="37">
        <v>26</v>
      </c>
      <c r="E36" s="181" t="s">
        <v>84</v>
      </c>
      <c r="F36" s="182"/>
      <c r="G36" s="182"/>
      <c r="H36" s="182"/>
      <c r="I36" s="182"/>
      <c r="J36" s="182"/>
      <c r="K36" s="182"/>
      <c r="L36" s="183"/>
      <c r="M36" s="175" t="s">
        <v>38</v>
      </c>
      <c r="N36" s="176"/>
      <c r="O36" s="176"/>
      <c r="P36" s="175" t="s">
        <v>79</v>
      </c>
      <c r="Q36" s="176"/>
      <c r="R36" s="176"/>
      <c r="S36" s="184" t="s">
        <v>113</v>
      </c>
      <c r="T36" s="185"/>
      <c r="U36" s="185"/>
      <c r="V36" s="186" t="s">
        <v>238</v>
      </c>
      <c r="W36" s="187"/>
      <c r="X36" s="187"/>
      <c r="Y36" s="187"/>
      <c r="Z36" s="187"/>
      <c r="AA36" s="188"/>
      <c r="AB36" s="186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8"/>
      <c r="AR36" s="175"/>
      <c r="AS36" s="176"/>
      <c r="AT36" s="176"/>
      <c r="AU36" s="176"/>
      <c r="AV36" s="176"/>
      <c r="AW36" s="177"/>
      <c r="AX36" s="189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0"/>
      <c r="BJ36" s="190"/>
      <c r="BK36" s="190"/>
      <c r="BL36" s="190"/>
      <c r="BM36" s="190"/>
      <c r="BN36" s="190"/>
      <c r="BO36" s="190"/>
      <c r="BP36" s="190"/>
      <c r="BQ36" s="190"/>
      <c r="BR36" s="190"/>
      <c r="BS36" s="190"/>
      <c r="BT36" s="191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 x14ac:dyDescent="0.45">
      <c r="A37" s="29"/>
      <c r="B37" s="44"/>
      <c r="C37" s="29"/>
      <c r="D37" s="37">
        <v>27</v>
      </c>
      <c r="E37" s="181" t="s">
        <v>85</v>
      </c>
      <c r="F37" s="182"/>
      <c r="G37" s="182"/>
      <c r="H37" s="182"/>
      <c r="I37" s="182"/>
      <c r="J37" s="182"/>
      <c r="K37" s="182"/>
      <c r="L37" s="183"/>
      <c r="M37" s="175" t="s">
        <v>38</v>
      </c>
      <c r="N37" s="176"/>
      <c r="O37" s="176"/>
      <c r="P37" s="175" t="s">
        <v>112</v>
      </c>
      <c r="Q37" s="176"/>
      <c r="R37" s="176"/>
      <c r="S37" s="184" t="s">
        <v>113</v>
      </c>
      <c r="T37" s="185"/>
      <c r="U37" s="185"/>
      <c r="V37" s="186" t="s">
        <v>239</v>
      </c>
      <c r="W37" s="187"/>
      <c r="X37" s="187"/>
      <c r="Y37" s="187"/>
      <c r="Z37" s="187"/>
      <c r="AA37" s="188"/>
      <c r="AB37" s="186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8"/>
      <c r="AR37" s="175"/>
      <c r="AS37" s="176"/>
      <c r="AT37" s="176"/>
      <c r="AU37" s="176"/>
      <c r="AV37" s="176"/>
      <c r="AW37" s="177"/>
      <c r="AX37" s="189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  <c r="BI37" s="190"/>
      <c r="BJ37" s="190"/>
      <c r="BK37" s="190"/>
      <c r="BL37" s="190"/>
      <c r="BM37" s="190"/>
      <c r="BN37" s="190"/>
      <c r="BO37" s="190"/>
      <c r="BP37" s="190"/>
      <c r="BQ37" s="190"/>
      <c r="BR37" s="190"/>
      <c r="BS37" s="190"/>
      <c r="BT37" s="191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81" t="s">
        <v>86</v>
      </c>
      <c r="F38" s="182"/>
      <c r="G38" s="182"/>
      <c r="H38" s="182"/>
      <c r="I38" s="182"/>
      <c r="J38" s="182"/>
      <c r="K38" s="182"/>
      <c r="L38" s="183"/>
      <c r="M38" s="175" t="s">
        <v>38</v>
      </c>
      <c r="N38" s="176"/>
      <c r="O38" s="176"/>
      <c r="P38" s="175" t="s">
        <v>112</v>
      </c>
      <c r="Q38" s="176"/>
      <c r="R38" s="176"/>
      <c r="S38" s="184" t="s">
        <v>113</v>
      </c>
      <c r="T38" s="185"/>
      <c r="U38" s="185"/>
      <c r="V38" s="186" t="s">
        <v>240</v>
      </c>
      <c r="W38" s="187"/>
      <c r="X38" s="187"/>
      <c r="Y38" s="187"/>
      <c r="Z38" s="187"/>
      <c r="AA38" s="188"/>
      <c r="AB38" s="186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8"/>
      <c r="AR38" s="175"/>
      <c r="AS38" s="176"/>
      <c r="AT38" s="176"/>
      <c r="AU38" s="176"/>
      <c r="AV38" s="176"/>
      <c r="AW38" s="177"/>
      <c r="AX38" s="189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1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181" t="s">
        <v>87</v>
      </c>
      <c r="F39" s="182"/>
      <c r="G39" s="182"/>
      <c r="H39" s="182"/>
      <c r="I39" s="182"/>
      <c r="J39" s="182"/>
      <c r="K39" s="182"/>
      <c r="L39" s="183"/>
      <c r="M39" s="175" t="s">
        <v>38</v>
      </c>
      <c r="N39" s="176"/>
      <c r="O39" s="176"/>
      <c r="P39" s="175" t="s">
        <v>79</v>
      </c>
      <c r="Q39" s="176"/>
      <c r="R39" s="176"/>
      <c r="S39" s="184">
        <v>7</v>
      </c>
      <c r="T39" s="185"/>
      <c r="U39" s="185"/>
      <c r="V39" s="186" t="s">
        <v>241</v>
      </c>
      <c r="W39" s="187"/>
      <c r="X39" s="187"/>
      <c r="Y39" s="187"/>
      <c r="Z39" s="187"/>
      <c r="AA39" s="188"/>
      <c r="AB39" s="186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8"/>
      <c r="AR39" s="175"/>
      <c r="AS39" s="176"/>
      <c r="AT39" s="176"/>
      <c r="AU39" s="176"/>
      <c r="AV39" s="176"/>
      <c r="AW39" s="177"/>
      <c r="AX39" s="189"/>
      <c r="AY39" s="190"/>
      <c r="AZ39" s="190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  <c r="BO39" s="190"/>
      <c r="BP39" s="190"/>
      <c r="BQ39" s="190"/>
      <c r="BR39" s="190"/>
      <c r="BS39" s="190"/>
      <c r="BT39" s="191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x14ac:dyDescent="0.45">
      <c r="A40" s="29"/>
      <c r="B40" s="44"/>
      <c r="C40" s="29"/>
      <c r="D40" s="37">
        <v>30</v>
      </c>
      <c r="E40" s="181" t="s">
        <v>88</v>
      </c>
      <c r="F40" s="182"/>
      <c r="G40" s="182"/>
      <c r="H40" s="182"/>
      <c r="I40" s="182"/>
      <c r="J40" s="182"/>
      <c r="K40" s="182"/>
      <c r="L40" s="183"/>
      <c r="M40" s="175" t="s">
        <v>38</v>
      </c>
      <c r="N40" s="176"/>
      <c r="O40" s="176"/>
      <c r="P40" s="175" t="s">
        <v>79</v>
      </c>
      <c r="Q40" s="176"/>
      <c r="R40" s="176"/>
      <c r="S40" s="184">
        <v>7</v>
      </c>
      <c r="T40" s="185"/>
      <c r="U40" s="185"/>
      <c r="V40" s="186" t="s">
        <v>242</v>
      </c>
      <c r="W40" s="187"/>
      <c r="X40" s="187"/>
      <c r="Y40" s="187"/>
      <c r="Z40" s="187"/>
      <c r="AA40" s="188"/>
      <c r="AB40" s="186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8"/>
      <c r="AR40" s="175"/>
      <c r="AS40" s="176"/>
      <c r="AT40" s="176"/>
      <c r="AU40" s="176"/>
      <c r="AV40" s="176"/>
      <c r="AW40" s="177"/>
      <c r="AX40" s="189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  <c r="BR40" s="190"/>
      <c r="BS40" s="190"/>
      <c r="BT40" s="191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x14ac:dyDescent="0.45">
      <c r="A41" s="29"/>
      <c r="B41" s="44"/>
      <c r="C41" s="29"/>
      <c r="D41" s="37">
        <v>31</v>
      </c>
      <c r="E41" s="181" t="s">
        <v>89</v>
      </c>
      <c r="F41" s="182"/>
      <c r="G41" s="182"/>
      <c r="H41" s="182"/>
      <c r="I41" s="182"/>
      <c r="J41" s="182"/>
      <c r="K41" s="182"/>
      <c r="L41" s="183"/>
      <c r="M41" s="175" t="s">
        <v>38</v>
      </c>
      <c r="N41" s="176"/>
      <c r="O41" s="176"/>
      <c r="P41" s="175" t="s">
        <v>112</v>
      </c>
      <c r="Q41" s="176"/>
      <c r="R41" s="176"/>
      <c r="S41" s="184" t="s">
        <v>113</v>
      </c>
      <c r="T41" s="185"/>
      <c r="U41" s="185"/>
      <c r="V41" s="186" t="s">
        <v>243</v>
      </c>
      <c r="W41" s="187"/>
      <c r="X41" s="187"/>
      <c r="Y41" s="187"/>
      <c r="Z41" s="187"/>
      <c r="AA41" s="188"/>
      <c r="AB41" s="186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8"/>
      <c r="AR41" s="175"/>
      <c r="AS41" s="176"/>
      <c r="AT41" s="176"/>
      <c r="AU41" s="176"/>
      <c r="AV41" s="176"/>
      <c r="AW41" s="177"/>
      <c r="AX41" s="189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0"/>
      <c r="BJ41" s="190"/>
      <c r="BK41" s="190"/>
      <c r="BL41" s="190"/>
      <c r="BM41" s="190"/>
      <c r="BN41" s="190"/>
      <c r="BO41" s="190"/>
      <c r="BP41" s="190"/>
      <c r="BQ41" s="190"/>
      <c r="BR41" s="190"/>
      <c r="BS41" s="190"/>
      <c r="BT41" s="191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19.5" customHeight="1" x14ac:dyDescent="0.45">
      <c r="A42" s="29"/>
      <c r="B42" s="44"/>
      <c r="C42" s="29"/>
      <c r="D42" s="37">
        <v>32</v>
      </c>
      <c r="E42" s="181" t="s">
        <v>120</v>
      </c>
      <c r="F42" s="182"/>
      <c r="G42" s="182"/>
      <c r="H42" s="182"/>
      <c r="I42" s="182"/>
      <c r="J42" s="182"/>
      <c r="K42" s="182"/>
      <c r="L42" s="183"/>
      <c r="M42" s="175" t="s">
        <v>38</v>
      </c>
      <c r="N42" s="176"/>
      <c r="O42" s="176"/>
      <c r="P42" s="175" t="s">
        <v>79</v>
      </c>
      <c r="Q42" s="176"/>
      <c r="R42" s="176"/>
      <c r="S42" s="184" t="s">
        <v>113</v>
      </c>
      <c r="T42" s="185"/>
      <c r="U42" s="185"/>
      <c r="V42" s="186" t="s">
        <v>244</v>
      </c>
      <c r="W42" s="187"/>
      <c r="X42" s="187"/>
      <c r="Y42" s="187"/>
      <c r="Z42" s="187"/>
      <c r="AA42" s="188"/>
      <c r="AB42" s="186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8"/>
      <c r="AR42" s="175"/>
      <c r="AS42" s="176"/>
      <c r="AT42" s="176"/>
      <c r="AU42" s="176"/>
      <c r="AV42" s="176"/>
      <c r="AW42" s="177"/>
      <c r="AX42" s="189"/>
      <c r="AY42" s="190"/>
      <c r="AZ42" s="190"/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0"/>
      <c r="BN42" s="190"/>
      <c r="BO42" s="190"/>
      <c r="BP42" s="190"/>
      <c r="BQ42" s="190"/>
      <c r="BR42" s="190"/>
      <c r="BS42" s="190"/>
      <c r="BT42" s="191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19.5" customHeight="1" x14ac:dyDescent="0.45">
      <c r="A43" s="29"/>
      <c r="B43" s="44"/>
      <c r="C43" s="29"/>
      <c r="D43" s="37">
        <v>33</v>
      </c>
      <c r="E43" s="181" t="s">
        <v>121</v>
      </c>
      <c r="F43" s="182"/>
      <c r="G43" s="182"/>
      <c r="H43" s="182"/>
      <c r="I43" s="182"/>
      <c r="J43" s="182"/>
      <c r="K43" s="182"/>
      <c r="L43" s="183"/>
      <c r="M43" s="175" t="s">
        <v>38</v>
      </c>
      <c r="N43" s="176"/>
      <c r="O43" s="176"/>
      <c r="P43" s="175" t="s">
        <v>79</v>
      </c>
      <c r="Q43" s="176"/>
      <c r="R43" s="176"/>
      <c r="S43" s="184" t="s">
        <v>113</v>
      </c>
      <c r="T43" s="185"/>
      <c r="U43" s="185"/>
      <c r="V43" s="186" t="s">
        <v>245</v>
      </c>
      <c r="W43" s="187"/>
      <c r="X43" s="187"/>
      <c r="Y43" s="187"/>
      <c r="Z43" s="187"/>
      <c r="AA43" s="188"/>
      <c r="AB43" s="186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8"/>
      <c r="AR43" s="175"/>
      <c r="AS43" s="176"/>
      <c r="AT43" s="176"/>
      <c r="AU43" s="176"/>
      <c r="AV43" s="176"/>
      <c r="AW43" s="177"/>
      <c r="AX43" s="189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90"/>
      <c r="BP43" s="190"/>
      <c r="BQ43" s="190"/>
      <c r="BR43" s="190"/>
      <c r="BS43" s="190"/>
      <c r="BT43" s="191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19.5" customHeight="1" x14ac:dyDescent="0.45">
      <c r="A44" s="29"/>
      <c r="B44" s="44"/>
      <c r="C44" s="29"/>
      <c r="D44" s="37">
        <v>34</v>
      </c>
      <c r="E44" s="181" t="s">
        <v>122</v>
      </c>
      <c r="F44" s="182"/>
      <c r="G44" s="182"/>
      <c r="H44" s="182"/>
      <c r="I44" s="182"/>
      <c r="J44" s="182"/>
      <c r="K44" s="182"/>
      <c r="L44" s="183"/>
      <c r="M44" s="175" t="s">
        <v>38</v>
      </c>
      <c r="N44" s="176"/>
      <c r="O44" s="176"/>
      <c r="P44" s="175" t="s">
        <v>79</v>
      </c>
      <c r="Q44" s="176"/>
      <c r="R44" s="176"/>
      <c r="S44" s="184" t="s">
        <v>113</v>
      </c>
      <c r="T44" s="185"/>
      <c r="U44" s="185"/>
      <c r="V44" s="186" t="s">
        <v>246</v>
      </c>
      <c r="W44" s="187"/>
      <c r="X44" s="187"/>
      <c r="Y44" s="187"/>
      <c r="Z44" s="187"/>
      <c r="AA44" s="188"/>
      <c r="AB44" s="186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8"/>
      <c r="AR44" s="175"/>
      <c r="AS44" s="176"/>
      <c r="AT44" s="176"/>
      <c r="AU44" s="176"/>
      <c r="AV44" s="176"/>
      <c r="AW44" s="177"/>
      <c r="AX44" s="189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1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5" customHeight="1" x14ac:dyDescent="0.45">
      <c r="A45" s="29"/>
      <c r="B45" s="44"/>
      <c r="C45" s="29"/>
      <c r="D45" s="37">
        <v>35</v>
      </c>
      <c r="E45" s="181" t="s">
        <v>123</v>
      </c>
      <c r="F45" s="182"/>
      <c r="G45" s="182"/>
      <c r="H45" s="182"/>
      <c r="I45" s="182"/>
      <c r="J45" s="182"/>
      <c r="K45" s="182"/>
      <c r="L45" s="183"/>
      <c r="M45" s="175" t="s">
        <v>38</v>
      </c>
      <c r="N45" s="176"/>
      <c r="O45" s="176"/>
      <c r="P45" s="175" t="s">
        <v>79</v>
      </c>
      <c r="Q45" s="176"/>
      <c r="R45" s="176"/>
      <c r="S45" s="184" t="s">
        <v>113</v>
      </c>
      <c r="T45" s="185"/>
      <c r="U45" s="185"/>
      <c r="V45" s="186" t="s">
        <v>247</v>
      </c>
      <c r="W45" s="187"/>
      <c r="X45" s="187"/>
      <c r="Y45" s="187"/>
      <c r="Z45" s="187"/>
      <c r="AA45" s="188"/>
      <c r="AB45" s="186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8"/>
      <c r="AR45" s="175"/>
      <c r="AS45" s="176"/>
      <c r="AT45" s="176"/>
      <c r="AU45" s="176"/>
      <c r="AV45" s="176"/>
      <c r="AW45" s="177"/>
      <c r="AX45" s="189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  <c r="BP45" s="190"/>
      <c r="BQ45" s="190"/>
      <c r="BR45" s="190"/>
      <c r="BS45" s="190"/>
      <c r="BT45" s="191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19.5" customHeight="1" x14ac:dyDescent="0.45">
      <c r="A46" s="29"/>
      <c r="B46" s="44"/>
      <c r="C46" s="29"/>
      <c r="D46" s="37">
        <v>36</v>
      </c>
      <c r="E46" s="181" t="s">
        <v>124</v>
      </c>
      <c r="F46" s="182"/>
      <c r="G46" s="182"/>
      <c r="H46" s="182"/>
      <c r="I46" s="182"/>
      <c r="J46" s="182"/>
      <c r="K46" s="182"/>
      <c r="L46" s="183"/>
      <c r="M46" s="175" t="s">
        <v>38</v>
      </c>
      <c r="N46" s="176"/>
      <c r="O46" s="176"/>
      <c r="P46" s="175" t="s">
        <v>79</v>
      </c>
      <c r="Q46" s="176"/>
      <c r="R46" s="176"/>
      <c r="S46" s="184" t="s">
        <v>113</v>
      </c>
      <c r="T46" s="185"/>
      <c r="U46" s="185"/>
      <c r="V46" s="186" t="s">
        <v>248</v>
      </c>
      <c r="W46" s="187"/>
      <c r="X46" s="187"/>
      <c r="Y46" s="187"/>
      <c r="Z46" s="187"/>
      <c r="AA46" s="188"/>
      <c r="AB46" s="186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8"/>
      <c r="AR46" s="175"/>
      <c r="AS46" s="176"/>
      <c r="AT46" s="176"/>
      <c r="AU46" s="176"/>
      <c r="AV46" s="176"/>
      <c r="AW46" s="177"/>
      <c r="AX46" s="189"/>
      <c r="AY46" s="190"/>
      <c r="AZ46" s="190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0"/>
      <c r="BO46" s="190"/>
      <c r="BP46" s="190"/>
      <c r="BQ46" s="190"/>
      <c r="BR46" s="190"/>
      <c r="BS46" s="190"/>
      <c r="BT46" s="191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19.5" customHeight="1" x14ac:dyDescent="0.45">
      <c r="A47" s="29"/>
      <c r="B47" s="44"/>
      <c r="C47" s="29"/>
      <c r="D47" s="37">
        <v>37</v>
      </c>
      <c r="E47" s="181" t="s">
        <v>125</v>
      </c>
      <c r="F47" s="182"/>
      <c r="G47" s="182"/>
      <c r="H47" s="182"/>
      <c r="I47" s="182"/>
      <c r="J47" s="182"/>
      <c r="K47" s="182"/>
      <c r="L47" s="183"/>
      <c r="M47" s="175" t="s">
        <v>38</v>
      </c>
      <c r="N47" s="176"/>
      <c r="O47" s="176"/>
      <c r="P47" s="175" t="s">
        <v>79</v>
      </c>
      <c r="Q47" s="176"/>
      <c r="R47" s="176"/>
      <c r="S47" s="184" t="s">
        <v>113</v>
      </c>
      <c r="T47" s="185"/>
      <c r="U47" s="185"/>
      <c r="V47" s="186" t="s">
        <v>249</v>
      </c>
      <c r="W47" s="187"/>
      <c r="X47" s="187"/>
      <c r="Y47" s="187"/>
      <c r="Z47" s="187"/>
      <c r="AA47" s="188"/>
      <c r="AB47" s="186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8"/>
      <c r="AR47" s="175"/>
      <c r="AS47" s="176"/>
      <c r="AT47" s="176"/>
      <c r="AU47" s="176"/>
      <c r="AV47" s="176"/>
      <c r="AW47" s="177"/>
      <c r="AX47" s="189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0"/>
      <c r="BN47" s="190"/>
      <c r="BO47" s="190"/>
      <c r="BP47" s="190"/>
      <c r="BQ47" s="190"/>
      <c r="BR47" s="190"/>
      <c r="BS47" s="190"/>
      <c r="BT47" s="191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38</v>
      </c>
      <c r="E48" s="181" t="s">
        <v>126</v>
      </c>
      <c r="F48" s="182"/>
      <c r="G48" s="182"/>
      <c r="H48" s="182"/>
      <c r="I48" s="182"/>
      <c r="J48" s="182"/>
      <c r="K48" s="182"/>
      <c r="L48" s="183"/>
      <c r="M48" s="175" t="s">
        <v>38</v>
      </c>
      <c r="N48" s="176"/>
      <c r="O48" s="176"/>
      <c r="P48" s="175" t="s">
        <v>79</v>
      </c>
      <c r="Q48" s="176"/>
      <c r="R48" s="176"/>
      <c r="S48" s="184" t="s">
        <v>113</v>
      </c>
      <c r="T48" s="185"/>
      <c r="U48" s="185"/>
      <c r="V48" s="186" t="s">
        <v>250</v>
      </c>
      <c r="W48" s="187"/>
      <c r="X48" s="187"/>
      <c r="Y48" s="187"/>
      <c r="Z48" s="187"/>
      <c r="AA48" s="188"/>
      <c r="AB48" s="186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8"/>
      <c r="AR48" s="175"/>
      <c r="AS48" s="176"/>
      <c r="AT48" s="176"/>
      <c r="AU48" s="176"/>
      <c r="AV48" s="176"/>
      <c r="AW48" s="177"/>
      <c r="AX48" s="189"/>
      <c r="AY48" s="190"/>
      <c r="AZ48" s="190"/>
      <c r="BA48" s="190"/>
      <c r="BB48" s="190"/>
      <c r="BC48" s="190"/>
      <c r="BD48" s="190"/>
      <c r="BE48" s="190"/>
      <c r="BF48" s="190"/>
      <c r="BG48" s="190"/>
      <c r="BH48" s="190"/>
      <c r="BI48" s="190"/>
      <c r="BJ48" s="190"/>
      <c r="BK48" s="190"/>
      <c r="BL48" s="190"/>
      <c r="BM48" s="190"/>
      <c r="BN48" s="190"/>
      <c r="BO48" s="190"/>
      <c r="BP48" s="190"/>
      <c r="BQ48" s="190"/>
      <c r="BR48" s="190"/>
      <c r="BS48" s="190"/>
      <c r="BT48" s="191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19.5" customHeight="1" x14ac:dyDescent="0.45">
      <c r="A49" s="29"/>
      <c r="B49" s="44"/>
      <c r="C49" s="29"/>
      <c r="D49" s="37">
        <v>39</v>
      </c>
      <c r="E49" s="181" t="s">
        <v>90</v>
      </c>
      <c r="F49" s="182"/>
      <c r="G49" s="182"/>
      <c r="H49" s="182"/>
      <c r="I49" s="182"/>
      <c r="J49" s="182"/>
      <c r="K49" s="182"/>
      <c r="L49" s="183"/>
      <c r="M49" s="175" t="s">
        <v>47</v>
      </c>
      <c r="N49" s="176"/>
      <c r="O49" s="176"/>
      <c r="P49" s="175" t="s">
        <v>79</v>
      </c>
      <c r="Q49" s="176"/>
      <c r="R49" s="176"/>
      <c r="S49" s="184" t="s">
        <v>113</v>
      </c>
      <c r="T49" s="185"/>
      <c r="U49" s="185"/>
      <c r="V49" s="186" t="s">
        <v>251</v>
      </c>
      <c r="W49" s="187"/>
      <c r="X49" s="187"/>
      <c r="Y49" s="187"/>
      <c r="Z49" s="187"/>
      <c r="AA49" s="188"/>
      <c r="AB49" s="186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8"/>
      <c r="AR49" s="175">
        <v>9999</v>
      </c>
      <c r="AS49" s="176"/>
      <c r="AT49" s="176"/>
      <c r="AU49" s="176"/>
      <c r="AV49" s="176"/>
      <c r="AW49" s="177"/>
      <c r="AX49" s="189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  <c r="BR49" s="190"/>
      <c r="BS49" s="190"/>
      <c r="BT49" s="191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19.5" customHeight="1" x14ac:dyDescent="0.45">
      <c r="A50" s="29"/>
      <c r="B50" s="44"/>
      <c r="C50" s="29"/>
      <c r="D50" s="37">
        <v>40</v>
      </c>
      <c r="E50" s="181" t="s">
        <v>91</v>
      </c>
      <c r="F50" s="182"/>
      <c r="G50" s="182"/>
      <c r="H50" s="182"/>
      <c r="I50" s="182"/>
      <c r="J50" s="182"/>
      <c r="K50" s="182"/>
      <c r="L50" s="183"/>
      <c r="M50" s="175" t="s">
        <v>47</v>
      </c>
      <c r="N50" s="176"/>
      <c r="O50" s="176"/>
      <c r="P50" s="175" t="s">
        <v>79</v>
      </c>
      <c r="Q50" s="176"/>
      <c r="R50" s="176"/>
      <c r="S50" s="184" t="s">
        <v>113</v>
      </c>
      <c r="T50" s="185"/>
      <c r="U50" s="185"/>
      <c r="V50" s="186" t="s">
        <v>252</v>
      </c>
      <c r="W50" s="187"/>
      <c r="X50" s="187"/>
      <c r="Y50" s="187"/>
      <c r="Z50" s="187"/>
      <c r="AA50" s="188"/>
      <c r="AB50" s="186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8"/>
      <c r="AR50" s="175">
        <v>9999</v>
      </c>
      <c r="AS50" s="176"/>
      <c r="AT50" s="176"/>
      <c r="AU50" s="176"/>
      <c r="AV50" s="176"/>
      <c r="AW50" s="177"/>
      <c r="AX50" s="189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190"/>
      <c r="BP50" s="190"/>
      <c r="BQ50" s="190"/>
      <c r="BR50" s="190"/>
      <c r="BS50" s="190"/>
      <c r="BT50" s="191"/>
      <c r="BU50" s="41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</row>
    <row r="51" spans="1:85" ht="19.8" customHeight="1" thickBot="1" x14ac:dyDescent="0.5">
      <c r="A51" s="29"/>
      <c r="B51" s="44"/>
      <c r="C51"/>
      <c r="D51" s="37">
        <v>41</v>
      </c>
      <c r="E51" s="181" t="s">
        <v>92</v>
      </c>
      <c r="F51" s="182"/>
      <c r="G51" s="182"/>
      <c r="H51" s="182"/>
      <c r="I51" s="182"/>
      <c r="J51" s="182"/>
      <c r="K51" s="182"/>
      <c r="L51" s="183"/>
      <c r="M51" s="175" t="s">
        <v>47</v>
      </c>
      <c r="N51" s="176"/>
      <c r="O51" s="176"/>
      <c r="P51" s="175" t="s">
        <v>79</v>
      </c>
      <c r="Q51" s="176"/>
      <c r="R51" s="176"/>
      <c r="S51" s="184" t="s">
        <v>113</v>
      </c>
      <c r="T51" s="185"/>
      <c r="U51" s="185"/>
      <c r="V51" s="186" t="s">
        <v>253</v>
      </c>
      <c r="W51" s="187"/>
      <c r="X51" s="187"/>
      <c r="Y51" s="187"/>
      <c r="Z51" s="187"/>
      <c r="AA51" s="188"/>
      <c r="AB51" s="186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8"/>
      <c r="AR51" s="175">
        <v>9999</v>
      </c>
      <c r="AS51" s="176"/>
      <c r="AT51" s="176"/>
      <c r="AU51" s="176"/>
      <c r="AV51" s="176"/>
      <c r="AW51" s="177"/>
      <c r="AX51" s="189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  <c r="BR51" s="190"/>
      <c r="BS51" s="190"/>
      <c r="BT51" s="191"/>
      <c r="BU51" s="41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</row>
    <row r="52" spans="1:85" ht="20.100000000000001" customHeight="1" thickTop="1" thickBot="1" x14ac:dyDescent="0.5">
      <c r="A52" s="29"/>
      <c r="B52" s="40"/>
      <c r="C52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46"/>
      <c r="BR52" s="46"/>
      <c r="BS52" s="46"/>
      <c r="BT52" s="46"/>
      <c r="BU52" s="28"/>
    </row>
    <row r="53" spans="1:85" ht="20.100000000000001" customHeight="1" thickTop="1" x14ac:dyDescent="0.45">
      <c r="A53" s="29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33"/>
      <c r="BD53" s="33"/>
      <c r="BE53" s="33"/>
      <c r="BF53" s="33"/>
      <c r="BG53" s="33"/>
      <c r="BH53" s="33"/>
      <c r="BI53" s="42"/>
      <c r="BJ53" s="42"/>
      <c r="BK53" s="42"/>
      <c r="BL53" s="42"/>
      <c r="BM53" s="42"/>
      <c r="BN53" s="42"/>
      <c r="BO53" s="42"/>
      <c r="BP53" s="41"/>
    </row>
    <row r="54" spans="1:85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</row>
    <row r="55" spans="1:85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85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85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85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85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85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85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85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85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20.100000000000001" customHeight="1" x14ac:dyDescent="0.45">
      <c r="B66" s="3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31"/>
      <c r="BP69" s="31"/>
    </row>
    <row r="70" spans="1:68" ht="20.100000000000001" customHeight="1" x14ac:dyDescent="0.45">
      <c r="A70" s="29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31"/>
      <c r="BP70" s="31"/>
    </row>
    <row r="71" spans="1:68" ht="20.100000000000001" customHeight="1" x14ac:dyDescent="0.45">
      <c r="A71" s="2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31"/>
      <c r="BP71" s="31"/>
    </row>
    <row r="72" spans="1:68" ht="20.100000000000001" customHeight="1" x14ac:dyDescent="0.4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  <row r="73" spans="1:68" ht="20.100000000000001" customHeight="1" x14ac:dyDescent="0.4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</row>
    <row r="74" spans="1:68" ht="20.100000000000001" customHeight="1" x14ac:dyDescent="0.4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</row>
  </sheetData>
  <mergeCells count="356">
    <mergeCell ref="AX39:BT39"/>
    <mergeCell ref="AX40:BT40"/>
    <mergeCell ref="AX41:BT41"/>
    <mergeCell ref="AX42:BT42"/>
    <mergeCell ref="AX30:BT30"/>
    <mergeCell ref="AX31:BT31"/>
    <mergeCell ref="AX32:BT32"/>
    <mergeCell ref="AX33:BT33"/>
    <mergeCell ref="AX34:BT34"/>
    <mergeCell ref="AX35:BT35"/>
    <mergeCell ref="AX36:BT36"/>
    <mergeCell ref="AX37:BT37"/>
    <mergeCell ref="AX38:BT38"/>
    <mergeCell ref="AB39:AQ39"/>
    <mergeCell ref="AB40:AQ40"/>
    <mergeCell ref="AB41:AQ41"/>
    <mergeCell ref="AB42:AQ42"/>
    <mergeCell ref="AR30:AW30"/>
    <mergeCell ref="AR31:AW31"/>
    <mergeCell ref="AR32:AW32"/>
    <mergeCell ref="AR33:AW33"/>
    <mergeCell ref="AR34:AW34"/>
    <mergeCell ref="AR35:AW35"/>
    <mergeCell ref="AR36:AW36"/>
    <mergeCell ref="AR37:AW37"/>
    <mergeCell ref="AR38:AW38"/>
    <mergeCell ref="AR39:AW39"/>
    <mergeCell ref="AR40:AW40"/>
    <mergeCell ref="AR41:AW41"/>
    <mergeCell ref="AR42:AW42"/>
    <mergeCell ref="AB30:AQ30"/>
    <mergeCell ref="AB31:AQ31"/>
    <mergeCell ref="AB32:AQ32"/>
    <mergeCell ref="AB33:AQ33"/>
    <mergeCell ref="AB34:AQ34"/>
    <mergeCell ref="AB35:AQ35"/>
    <mergeCell ref="AB36:AQ36"/>
    <mergeCell ref="AB37:AQ37"/>
    <mergeCell ref="AB38:AQ38"/>
    <mergeCell ref="S39:U39"/>
    <mergeCell ref="S40:U40"/>
    <mergeCell ref="S41:U41"/>
    <mergeCell ref="S42:U42"/>
    <mergeCell ref="V30:AA30"/>
    <mergeCell ref="V31:AA31"/>
    <mergeCell ref="V32:AA32"/>
    <mergeCell ref="V33:AA33"/>
    <mergeCell ref="V34:AA34"/>
    <mergeCell ref="V35:AA35"/>
    <mergeCell ref="V36:AA36"/>
    <mergeCell ref="V37:AA37"/>
    <mergeCell ref="V38:AA38"/>
    <mergeCell ref="V39:AA39"/>
    <mergeCell ref="V40:AA40"/>
    <mergeCell ref="V41:AA41"/>
    <mergeCell ref="V42:AA42"/>
    <mergeCell ref="S30:U30"/>
    <mergeCell ref="S31:U31"/>
    <mergeCell ref="S32:U32"/>
    <mergeCell ref="S33:U33"/>
    <mergeCell ref="S34:U34"/>
    <mergeCell ref="S35:U35"/>
    <mergeCell ref="S36:U36"/>
    <mergeCell ref="S37:U37"/>
    <mergeCell ref="S38:U38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E39:L39"/>
    <mergeCell ref="E40:L40"/>
    <mergeCell ref="E41:L41"/>
    <mergeCell ref="E42:L42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AR51:AW51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51:AQ51"/>
    <mergeCell ref="AB24:AQ24"/>
    <mergeCell ref="AB25:AQ25"/>
    <mergeCell ref="AB26:AQ26"/>
    <mergeCell ref="AB27:AQ27"/>
    <mergeCell ref="AB28:AQ28"/>
    <mergeCell ref="AX51:BT51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51:AA51"/>
    <mergeCell ref="S10:U10"/>
    <mergeCell ref="S24:U24"/>
    <mergeCell ref="S25:U25"/>
    <mergeCell ref="S26:U26"/>
    <mergeCell ref="S27:U27"/>
    <mergeCell ref="S28:U28"/>
    <mergeCell ref="S29:U29"/>
    <mergeCell ref="V10:AA10"/>
    <mergeCell ref="S51:U51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51:R51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P30:R30"/>
    <mergeCell ref="P31:R31"/>
    <mergeCell ref="P32:R32"/>
    <mergeCell ref="P33:R33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51:L51"/>
    <mergeCell ref="M26:O26"/>
    <mergeCell ref="M27:O27"/>
    <mergeCell ref="M28:O28"/>
    <mergeCell ref="M29:O29"/>
    <mergeCell ref="M51:O51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47:L47"/>
    <mergeCell ref="M47:O47"/>
    <mergeCell ref="P47:R47"/>
    <mergeCell ref="S47:U47"/>
    <mergeCell ref="V47:AA47"/>
    <mergeCell ref="AB47:AQ47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50:L50"/>
    <mergeCell ref="M50:O50"/>
    <mergeCell ref="P50:R50"/>
    <mergeCell ref="S50:U50"/>
    <mergeCell ref="V50:AA50"/>
    <mergeCell ref="AB50:AQ50"/>
    <mergeCell ref="AR50:AW50"/>
    <mergeCell ref="AX50:BT50"/>
    <mergeCell ref="E49:L49"/>
    <mergeCell ref="M49:O49"/>
    <mergeCell ref="P49:R49"/>
    <mergeCell ref="S49:U49"/>
    <mergeCell ref="V49:AA49"/>
    <mergeCell ref="AB49:AQ49"/>
    <mergeCell ref="AR49:AW49"/>
    <mergeCell ref="AX49:BT4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rowBreaks count="1" manualBreakCount="1">
    <brk id="68" max="75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5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1" t="s">
        <v>0</v>
      </c>
      <c r="C2" s="216"/>
      <c r="D2" s="216"/>
      <c r="E2" s="216"/>
      <c r="F2" s="216"/>
      <c r="G2" s="216"/>
      <c r="H2" s="216" t="s">
        <v>17</v>
      </c>
      <c r="I2" s="216"/>
      <c r="J2" s="216"/>
      <c r="K2" s="216"/>
      <c r="L2" s="216" t="s">
        <v>263</v>
      </c>
      <c r="M2" s="216"/>
      <c r="N2" s="216"/>
      <c r="O2" s="216"/>
      <c r="P2" s="216"/>
      <c r="Q2" s="216"/>
      <c r="R2" s="216" t="s">
        <v>2</v>
      </c>
      <c r="S2" s="216"/>
      <c r="T2" s="216"/>
      <c r="U2" s="216"/>
      <c r="V2" s="216"/>
      <c r="W2" s="216"/>
      <c r="X2" s="222" t="s">
        <v>3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32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16" t="s">
        <v>5</v>
      </c>
      <c r="AY2" s="216"/>
      <c r="AZ2" s="216"/>
      <c r="BA2" s="216"/>
      <c r="BB2" s="216" t="s">
        <v>4</v>
      </c>
      <c r="BC2" s="216"/>
      <c r="BD2" s="216"/>
      <c r="BE2" s="216"/>
      <c r="BF2" s="216" t="s">
        <v>6</v>
      </c>
      <c r="BG2" s="216"/>
      <c r="BH2" s="216"/>
      <c r="BI2" s="216"/>
      <c r="BJ2" s="216" t="s">
        <v>7</v>
      </c>
      <c r="BK2" s="216"/>
      <c r="BL2" s="216"/>
      <c r="BM2" s="217"/>
    </row>
    <row r="3" spans="2:65" ht="20.100000000000001" customHeight="1" x14ac:dyDescent="0.45">
      <c r="B3" s="22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SK0300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帳票設計書</v>
      </c>
      <c r="S3" s="156"/>
      <c r="T3" s="156"/>
      <c r="U3" s="156"/>
      <c r="V3" s="156"/>
      <c r="W3" s="156"/>
      <c r="X3" s="159" t="str">
        <f ca="1">変更履歴!X3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変更履歴!AK3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f>変更履歴!AX3</f>
        <v>45623</v>
      </c>
      <c r="AY3" s="154"/>
      <c r="AZ3" s="154"/>
      <c r="BA3" s="154"/>
      <c r="BB3" s="156" t="str">
        <f>変更履歴!BB3</f>
        <v>大谷</v>
      </c>
      <c r="BC3" s="156"/>
      <c r="BD3" s="156"/>
      <c r="BE3" s="156"/>
      <c r="BF3" s="154">
        <f>変更履歴!BF3</f>
        <v>45623</v>
      </c>
      <c r="BG3" s="154"/>
      <c r="BH3" s="154"/>
      <c r="BI3" s="154"/>
      <c r="BJ3" s="156" t="str">
        <f>変更履歴!BJ3</f>
        <v>大谷</v>
      </c>
      <c r="BK3" s="156"/>
      <c r="BL3" s="156"/>
      <c r="BM3" s="214"/>
    </row>
    <row r="4" spans="2:65" ht="20.100000000000001" customHeight="1" thickBot="1" x14ac:dyDescent="0.5">
      <c r="B4" s="226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12"/>
      <c r="AY4" s="212"/>
      <c r="AZ4" s="212"/>
      <c r="BA4" s="212"/>
      <c r="BB4" s="213"/>
      <c r="BC4" s="213"/>
      <c r="BD4" s="213"/>
      <c r="BE4" s="213"/>
      <c r="BF4" s="212"/>
      <c r="BG4" s="212"/>
      <c r="BH4" s="212"/>
      <c r="BI4" s="212"/>
      <c r="BJ4" s="213"/>
      <c r="BK4" s="213"/>
      <c r="BL4" s="213"/>
      <c r="BM4" s="215"/>
    </row>
    <row r="5" spans="2:65" ht="5.0999999999999996" customHeight="1" thickBot="1" x14ac:dyDescent="0.5"/>
    <row r="6" spans="2:65" ht="20.100000000000001" customHeight="1" x14ac:dyDescent="0.45">
      <c r="B6" s="111" t="s">
        <v>168</v>
      </c>
      <c r="C6" s="112"/>
      <c r="D6" s="112"/>
      <c r="E6" s="112"/>
      <c r="F6" s="112"/>
      <c r="G6" s="113"/>
      <c r="H6" s="114" t="s">
        <v>162</v>
      </c>
      <c r="I6" s="112"/>
      <c r="J6" s="142" t="s">
        <v>169</v>
      </c>
      <c r="K6" s="143"/>
      <c r="L6" s="143"/>
      <c r="M6" s="143"/>
      <c r="N6" s="143"/>
      <c r="O6" s="143"/>
      <c r="P6" s="143"/>
      <c r="Q6" s="144"/>
      <c r="R6" s="143" t="s">
        <v>190</v>
      </c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4"/>
      <c r="AK6" s="115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6"/>
    </row>
    <row r="7" spans="2:65" ht="20.100000000000001" customHeight="1" x14ac:dyDescent="0.45">
      <c r="B7" s="145"/>
      <c r="C7" s="31"/>
      <c r="D7" s="31"/>
      <c r="E7" s="31"/>
      <c r="F7" s="31"/>
      <c r="G7" s="118"/>
      <c r="H7" s="119"/>
      <c r="I7" s="31"/>
      <c r="J7" s="146" t="s">
        <v>170</v>
      </c>
      <c r="K7" s="52"/>
      <c r="L7" s="52"/>
      <c r="M7" s="52"/>
      <c r="N7" s="52"/>
      <c r="O7" s="52"/>
      <c r="P7" s="52"/>
      <c r="Q7" s="147"/>
      <c r="R7" s="52" t="s">
        <v>191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7"/>
      <c r="AK7" s="120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1"/>
    </row>
    <row r="8" spans="2:65" ht="20.100000000000001" customHeight="1" x14ac:dyDescent="0.45">
      <c r="B8" s="145"/>
      <c r="C8" s="31"/>
      <c r="D8" s="31"/>
      <c r="E8" s="31"/>
      <c r="F8" s="31"/>
      <c r="G8" s="118"/>
      <c r="H8" s="119"/>
      <c r="I8" s="31"/>
      <c r="J8" s="146" t="s">
        <v>171</v>
      </c>
      <c r="K8" s="52"/>
      <c r="L8" s="52"/>
      <c r="M8" s="52"/>
      <c r="N8" s="52"/>
      <c r="O8" s="52"/>
      <c r="P8" s="52"/>
      <c r="Q8" s="147"/>
      <c r="R8" s="52" t="s">
        <v>193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7"/>
      <c r="AK8" s="12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1"/>
    </row>
    <row r="9" spans="2:65" ht="20.100000000000001" customHeight="1" x14ac:dyDescent="0.45">
      <c r="B9" s="145"/>
      <c r="C9" s="31"/>
      <c r="D9" s="31"/>
      <c r="E9" s="31"/>
      <c r="F9" s="31"/>
      <c r="G9" s="118"/>
      <c r="H9" s="119"/>
      <c r="I9" s="31"/>
      <c r="J9" s="146" t="s">
        <v>172</v>
      </c>
      <c r="K9" s="52"/>
      <c r="L9" s="52"/>
      <c r="M9" s="52"/>
      <c r="N9" s="52"/>
      <c r="O9" s="52"/>
      <c r="P9" s="52"/>
      <c r="Q9" s="147"/>
      <c r="R9" s="52" t="s">
        <v>194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7"/>
      <c r="AK9" s="120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1"/>
    </row>
    <row r="10" spans="2:65" ht="20.100000000000001" customHeight="1" x14ac:dyDescent="0.45">
      <c r="B10" s="145"/>
      <c r="C10" s="31"/>
      <c r="D10" s="31"/>
      <c r="E10" s="31"/>
      <c r="F10" s="31"/>
      <c r="G10" s="118"/>
      <c r="H10" s="31"/>
      <c r="I10" s="31"/>
      <c r="J10" s="146" t="s">
        <v>173</v>
      </c>
      <c r="K10" s="52"/>
      <c r="L10" s="52"/>
      <c r="M10" s="52"/>
      <c r="N10" s="52"/>
      <c r="O10" s="52"/>
      <c r="P10" s="52"/>
      <c r="Q10" s="147"/>
      <c r="R10" s="52" t="s">
        <v>195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7"/>
      <c r="AK10" s="12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1"/>
    </row>
    <row r="11" spans="2:65" ht="20.100000000000001" customHeight="1" x14ac:dyDescent="0.45">
      <c r="B11" s="145"/>
      <c r="C11" s="31"/>
      <c r="D11" s="31"/>
      <c r="E11" s="31"/>
      <c r="F11" s="31"/>
      <c r="G11" s="118"/>
      <c r="H11" s="31"/>
      <c r="I11" s="31"/>
      <c r="J11" s="146" t="s">
        <v>174</v>
      </c>
      <c r="K11" s="52"/>
      <c r="L11" s="52"/>
      <c r="M11" s="52"/>
      <c r="N11" s="52"/>
      <c r="O11" s="52"/>
      <c r="P11" s="52"/>
      <c r="Q11" s="147"/>
      <c r="R11" s="52" t="s">
        <v>196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7"/>
      <c r="AK11" s="12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1"/>
    </row>
    <row r="12" spans="2:65" ht="20.100000000000001" customHeight="1" x14ac:dyDescent="0.45">
      <c r="B12" s="145"/>
      <c r="C12" s="31"/>
      <c r="D12" s="31"/>
      <c r="E12" s="31"/>
      <c r="F12" s="31"/>
      <c r="G12" s="118"/>
      <c r="H12" s="31"/>
      <c r="I12" s="31"/>
      <c r="J12" s="146" t="s">
        <v>175</v>
      </c>
      <c r="K12" s="52"/>
      <c r="L12" s="52"/>
      <c r="M12" s="52"/>
      <c r="N12" s="52"/>
      <c r="O12" s="52"/>
      <c r="P12" s="52"/>
      <c r="Q12" s="147"/>
      <c r="R12" s="52" t="s">
        <v>197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7"/>
      <c r="AK12" s="12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1"/>
    </row>
    <row r="13" spans="2:65" ht="20.100000000000001" customHeight="1" x14ac:dyDescent="0.45">
      <c r="B13" s="145"/>
      <c r="C13" s="31"/>
      <c r="D13" s="31"/>
      <c r="E13" s="31"/>
      <c r="F13" s="31"/>
      <c r="G13" s="118"/>
      <c r="H13" s="31"/>
      <c r="I13" s="31"/>
      <c r="J13" s="146" t="s">
        <v>176</v>
      </c>
      <c r="K13" s="52"/>
      <c r="L13" s="52"/>
      <c r="M13" s="52"/>
      <c r="N13" s="52"/>
      <c r="O13" s="52"/>
      <c r="P13" s="52"/>
      <c r="Q13" s="147"/>
      <c r="R13" s="52" t="s">
        <v>199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7"/>
      <c r="AK13" s="12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1"/>
    </row>
    <row r="14" spans="2:65" ht="20.100000000000001" customHeight="1" x14ac:dyDescent="0.45">
      <c r="B14" s="145"/>
      <c r="C14" s="31"/>
      <c r="D14" s="31"/>
      <c r="E14" s="31"/>
      <c r="F14" s="31"/>
      <c r="G14" s="118"/>
      <c r="H14" s="31"/>
      <c r="I14" s="31"/>
      <c r="J14" s="146" t="s">
        <v>177</v>
      </c>
      <c r="K14" s="52"/>
      <c r="L14" s="52"/>
      <c r="M14" s="52"/>
      <c r="N14" s="52"/>
      <c r="O14" s="52"/>
      <c r="P14" s="52"/>
      <c r="Q14" s="147"/>
      <c r="R14" s="52" t="s">
        <v>200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7"/>
      <c r="AK14" s="120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1"/>
    </row>
    <row r="15" spans="2:65" ht="20.100000000000001" customHeight="1" x14ac:dyDescent="0.45">
      <c r="B15" s="145"/>
      <c r="C15" s="31"/>
      <c r="D15" s="31"/>
      <c r="E15" s="31"/>
      <c r="F15" s="31"/>
      <c r="G15" s="118"/>
      <c r="H15" s="31"/>
      <c r="I15" s="31"/>
      <c r="J15" s="146" t="s">
        <v>178</v>
      </c>
      <c r="K15" s="52"/>
      <c r="L15" s="52"/>
      <c r="M15" s="52"/>
      <c r="N15" s="52"/>
      <c r="O15" s="52"/>
      <c r="P15" s="52"/>
      <c r="Q15" s="147"/>
      <c r="R15" s="52" t="s">
        <v>201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47"/>
      <c r="AK15" s="12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1"/>
    </row>
    <row r="16" spans="2:65" ht="20.100000000000001" customHeight="1" x14ac:dyDescent="0.45">
      <c r="B16" s="145"/>
      <c r="C16" s="31"/>
      <c r="D16" s="31"/>
      <c r="E16" s="31"/>
      <c r="F16" s="31"/>
      <c r="G16" s="118"/>
      <c r="H16" s="31"/>
      <c r="I16" s="31"/>
      <c r="J16" s="146" t="s">
        <v>179</v>
      </c>
      <c r="K16" s="52"/>
      <c r="L16" s="52"/>
      <c r="M16" s="52"/>
      <c r="N16" s="52"/>
      <c r="O16" s="52"/>
      <c r="P16" s="52"/>
      <c r="Q16" s="147"/>
      <c r="R16" s="52" t="s">
        <v>202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47"/>
      <c r="AK16" s="12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1"/>
    </row>
    <row r="17" spans="2:61" ht="20.100000000000001" customHeight="1" x14ac:dyDescent="0.45">
      <c r="B17" s="145"/>
      <c r="C17" s="31"/>
      <c r="D17" s="31"/>
      <c r="E17" s="31"/>
      <c r="F17" s="31"/>
      <c r="G17" s="118"/>
      <c r="H17" s="31"/>
      <c r="I17" s="31"/>
      <c r="J17" s="146" t="s">
        <v>180</v>
      </c>
      <c r="K17" s="52"/>
      <c r="L17" s="52"/>
      <c r="M17" s="52"/>
      <c r="N17" s="52"/>
      <c r="O17" s="52"/>
      <c r="P17" s="52"/>
      <c r="Q17" s="147"/>
      <c r="R17" s="52" t="s">
        <v>203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47"/>
      <c r="AK17" s="12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1"/>
    </row>
    <row r="18" spans="2:61" ht="20.100000000000001" customHeight="1" x14ac:dyDescent="0.45">
      <c r="B18" s="145"/>
      <c r="C18" s="31"/>
      <c r="D18" s="31"/>
      <c r="E18" s="31"/>
      <c r="F18" s="31"/>
      <c r="G18" s="118"/>
      <c r="H18" s="31"/>
      <c r="I18" s="31"/>
      <c r="J18" s="146" t="s">
        <v>181</v>
      </c>
      <c r="K18" s="52"/>
      <c r="L18" s="52"/>
      <c r="M18" s="52"/>
      <c r="N18" s="52"/>
      <c r="O18" s="52"/>
      <c r="P18" s="52"/>
      <c r="Q18" s="147"/>
      <c r="R18" s="52" t="s">
        <v>204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47"/>
      <c r="AK18" s="12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1"/>
    </row>
    <row r="19" spans="2:61" ht="20.100000000000001" customHeight="1" x14ac:dyDescent="0.45">
      <c r="B19" s="145"/>
      <c r="C19" s="31"/>
      <c r="D19" s="31"/>
      <c r="E19" s="31"/>
      <c r="F19" s="31"/>
      <c r="G19" s="118"/>
      <c r="H19" s="31"/>
      <c r="I19" s="31"/>
      <c r="J19" s="146" t="s">
        <v>182</v>
      </c>
      <c r="K19" s="52"/>
      <c r="L19" s="52"/>
      <c r="M19" s="52"/>
      <c r="N19" s="52"/>
      <c r="O19" s="52"/>
      <c r="P19" s="52"/>
      <c r="Q19" s="147"/>
      <c r="R19" s="52" t="s">
        <v>206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47"/>
      <c r="AK19" s="12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1"/>
    </row>
    <row r="20" spans="2:61" ht="20.100000000000001" customHeight="1" x14ac:dyDescent="0.45">
      <c r="B20" s="145"/>
      <c r="C20" s="31"/>
      <c r="D20" s="31"/>
      <c r="E20" s="31"/>
      <c r="F20" s="31"/>
      <c r="G20" s="118"/>
      <c r="H20" s="31"/>
      <c r="I20" s="31"/>
      <c r="J20" s="146" t="s">
        <v>183</v>
      </c>
      <c r="K20" s="52"/>
      <c r="L20" s="52"/>
      <c r="M20" s="52"/>
      <c r="N20" s="52"/>
      <c r="O20" s="52"/>
      <c r="P20" s="52"/>
      <c r="Q20" s="147"/>
      <c r="R20" s="52" t="s">
        <v>207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47"/>
      <c r="AK20" s="12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1"/>
    </row>
    <row r="21" spans="2:61" ht="20.100000000000001" customHeight="1" x14ac:dyDescent="0.45">
      <c r="B21" s="145"/>
      <c r="C21" s="31"/>
      <c r="D21" s="31"/>
      <c r="E21" s="31"/>
      <c r="F21" s="31"/>
      <c r="G21" s="118"/>
      <c r="H21" s="31"/>
      <c r="I21" s="31"/>
      <c r="J21" s="146" t="s">
        <v>184</v>
      </c>
      <c r="K21" s="52"/>
      <c r="L21" s="52"/>
      <c r="M21" s="52"/>
      <c r="N21" s="52"/>
      <c r="O21" s="52"/>
      <c r="P21" s="52"/>
      <c r="Q21" s="147"/>
      <c r="R21" s="52" t="s">
        <v>205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47"/>
      <c r="AK21" s="12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1"/>
    </row>
    <row r="22" spans="2:61" ht="20.100000000000001" customHeight="1" x14ac:dyDescent="0.45">
      <c r="B22" s="145"/>
      <c r="C22" s="31"/>
      <c r="D22" s="31"/>
      <c r="E22" s="31"/>
      <c r="F22" s="31"/>
      <c r="G22" s="118"/>
      <c r="H22" s="31"/>
      <c r="I22" s="31"/>
      <c r="J22" s="146" t="s">
        <v>185</v>
      </c>
      <c r="K22" s="52"/>
      <c r="L22" s="52"/>
      <c r="M22" s="52"/>
      <c r="N22" s="52"/>
      <c r="O22" s="52"/>
      <c r="P22" s="52"/>
      <c r="Q22" s="147"/>
      <c r="R22" s="52" t="s">
        <v>208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47"/>
      <c r="AK22" s="120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1"/>
    </row>
    <row r="23" spans="2:61" ht="20.100000000000001" customHeight="1" x14ac:dyDescent="0.45">
      <c r="B23" s="145"/>
      <c r="C23" s="31"/>
      <c r="D23" s="31"/>
      <c r="E23" s="31"/>
      <c r="F23" s="31"/>
      <c r="G23" s="118"/>
      <c r="H23" s="31"/>
      <c r="I23" s="31"/>
      <c r="J23" s="146" t="s">
        <v>186</v>
      </c>
      <c r="K23" s="52"/>
      <c r="L23" s="52"/>
      <c r="M23" s="52"/>
      <c r="N23" s="52"/>
      <c r="O23" s="52"/>
      <c r="P23" s="52"/>
      <c r="Q23" s="147"/>
      <c r="R23" s="52" t="s">
        <v>209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47"/>
      <c r="AK23" s="12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1"/>
    </row>
    <row r="24" spans="2:61" ht="20.100000000000001" customHeight="1" x14ac:dyDescent="0.45">
      <c r="B24" s="145"/>
      <c r="C24" s="31"/>
      <c r="D24" s="31"/>
      <c r="E24" s="31"/>
      <c r="F24" s="31"/>
      <c r="G24" s="118"/>
      <c r="H24" s="31"/>
      <c r="I24" s="31"/>
      <c r="J24" s="146" t="s">
        <v>187</v>
      </c>
      <c r="K24" s="52"/>
      <c r="L24" s="52"/>
      <c r="M24" s="52"/>
      <c r="N24" s="52"/>
      <c r="O24" s="52"/>
      <c r="P24" s="52"/>
      <c r="Q24" s="147"/>
      <c r="R24" s="52" t="s">
        <v>210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47"/>
      <c r="AK24" s="12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1"/>
    </row>
    <row r="25" spans="2:61" ht="20.100000000000001" customHeight="1" x14ac:dyDescent="0.45">
      <c r="B25" s="145"/>
      <c r="C25" s="31"/>
      <c r="D25" s="31"/>
      <c r="E25" s="31"/>
      <c r="F25" s="31"/>
      <c r="G25" s="118"/>
      <c r="H25" s="31"/>
      <c r="I25" s="31"/>
      <c r="J25" s="146" t="s">
        <v>188</v>
      </c>
      <c r="K25" s="52"/>
      <c r="L25" s="52"/>
      <c r="M25" s="52"/>
      <c r="N25" s="52"/>
      <c r="O25" s="52"/>
      <c r="P25" s="52"/>
      <c r="Q25" s="147"/>
      <c r="R25" s="52" t="s">
        <v>211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47"/>
      <c r="AK25" s="12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1"/>
    </row>
    <row r="26" spans="2:61" ht="20.100000000000001" customHeight="1" x14ac:dyDescent="0.45">
      <c r="B26" s="145"/>
      <c r="C26" s="31"/>
      <c r="D26" s="31"/>
      <c r="E26" s="31"/>
      <c r="F26" s="31"/>
      <c r="G26" s="118"/>
      <c r="I26" s="31"/>
      <c r="J26" s="146" t="s">
        <v>189</v>
      </c>
      <c r="K26" s="52"/>
      <c r="L26" s="52"/>
      <c r="M26" s="52"/>
      <c r="N26" s="52"/>
      <c r="O26" s="52"/>
      <c r="P26" s="52"/>
      <c r="Q26" s="147"/>
      <c r="R26" s="52" t="s">
        <v>212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47"/>
      <c r="AK26" s="120" t="s">
        <v>213</v>
      </c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1"/>
    </row>
    <row r="27" spans="2:61" ht="20.100000000000001" customHeight="1" x14ac:dyDescent="0.45">
      <c r="B27" s="145"/>
      <c r="C27" s="31"/>
      <c r="D27" s="31"/>
      <c r="E27" s="31"/>
      <c r="F27" s="31"/>
      <c r="G27" s="118"/>
      <c r="H27" s="122" t="s">
        <v>131</v>
      </c>
      <c r="I27" s="55"/>
      <c r="J27" s="122" t="s">
        <v>214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123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124"/>
    </row>
    <row r="28" spans="2:61" ht="20.100000000000001" customHeight="1" x14ac:dyDescent="0.45">
      <c r="B28" s="145"/>
      <c r="C28" s="31"/>
      <c r="D28" s="31"/>
      <c r="E28" s="31"/>
      <c r="F28" s="31"/>
      <c r="G28" s="118"/>
      <c r="H28" s="119"/>
      <c r="I28" s="31"/>
      <c r="J28" s="119" t="s">
        <v>215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1"/>
    </row>
    <row r="29" spans="2:61" ht="20.100000000000001" customHeight="1" x14ac:dyDescent="0.45">
      <c r="B29" s="117"/>
      <c r="C29" s="31"/>
      <c r="D29" s="31"/>
      <c r="E29" s="31"/>
      <c r="F29" s="31"/>
      <c r="G29" s="118"/>
      <c r="I29" s="31"/>
      <c r="J29" s="119" t="s">
        <v>216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1"/>
    </row>
    <row r="30" spans="2:61" ht="20.100000000000001" customHeight="1" x14ac:dyDescent="0.45">
      <c r="B30" s="117"/>
      <c r="C30" s="31"/>
      <c r="D30" s="31"/>
      <c r="E30" s="31"/>
      <c r="F30" s="31"/>
      <c r="G30" s="118"/>
      <c r="H30" s="119"/>
      <c r="I30" s="31"/>
      <c r="J30" s="119" t="s">
        <v>217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1"/>
    </row>
    <row r="31" spans="2:61" ht="20.100000000000001" customHeight="1" x14ac:dyDescent="0.45">
      <c r="B31" s="117"/>
      <c r="C31" s="31"/>
      <c r="D31" s="31"/>
      <c r="E31" s="31"/>
      <c r="F31" s="31"/>
      <c r="G31" s="118"/>
      <c r="H31" s="119"/>
      <c r="I31" s="31"/>
      <c r="J31" s="119" t="s">
        <v>192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20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21"/>
    </row>
    <row r="32" spans="2:61" ht="20.100000000000001" customHeight="1" x14ac:dyDescent="0.45">
      <c r="B32" s="117"/>
      <c r="C32" s="31"/>
      <c r="D32" s="31"/>
      <c r="E32" s="31"/>
      <c r="F32" s="31"/>
      <c r="G32" s="118"/>
      <c r="H32" s="122" t="s">
        <v>132</v>
      </c>
      <c r="I32" s="55"/>
      <c r="J32" s="122" t="s">
        <v>218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123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124"/>
    </row>
    <row r="33" spans="2:61" ht="20.100000000000001" customHeight="1" x14ac:dyDescent="0.45">
      <c r="B33" s="117"/>
      <c r="C33" s="31"/>
      <c r="D33" s="31"/>
      <c r="E33" s="31"/>
      <c r="F33" s="31"/>
      <c r="G33" s="118"/>
      <c r="H33" s="119"/>
      <c r="I33" s="31"/>
      <c r="J33" s="119"/>
      <c r="K33" s="31" t="s">
        <v>198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0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1"/>
    </row>
    <row r="34" spans="2:61" ht="20.100000000000001" customHeight="1" x14ac:dyDescent="0.45">
      <c r="B34" s="117"/>
      <c r="C34" s="31"/>
      <c r="D34" s="31"/>
      <c r="E34" s="31"/>
      <c r="F34" s="31"/>
      <c r="G34" s="118"/>
      <c r="H34" s="119"/>
      <c r="I34" s="31"/>
      <c r="J34" s="119"/>
      <c r="K34" s="31"/>
      <c r="L34" s="31" t="s">
        <v>220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20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21"/>
    </row>
    <row r="35" spans="2:61" ht="20.100000000000001" customHeight="1" x14ac:dyDescent="0.45">
      <c r="B35" s="117"/>
      <c r="C35" s="31"/>
      <c r="D35" s="31"/>
      <c r="E35" s="31"/>
      <c r="F35" s="31"/>
      <c r="G35" s="118"/>
      <c r="H35" s="119"/>
      <c r="I35" s="31"/>
      <c r="J35" s="119" t="s">
        <v>219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20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21"/>
    </row>
    <row r="36" spans="2:61" ht="20.100000000000001" customHeight="1" x14ac:dyDescent="0.45">
      <c r="B36" s="117"/>
      <c r="C36" s="31"/>
      <c r="D36" s="31"/>
      <c r="E36" s="31"/>
      <c r="F36" s="31"/>
      <c r="G36" s="118"/>
      <c r="H36" s="119"/>
      <c r="I36" s="31"/>
      <c r="J36" s="119"/>
      <c r="K36" s="31" t="s">
        <v>216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20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21"/>
    </row>
    <row r="37" spans="2:61" ht="20.100000000000001" customHeight="1" x14ac:dyDescent="0.45">
      <c r="B37" s="117"/>
      <c r="C37" s="31"/>
      <c r="D37" s="31"/>
      <c r="E37" s="31"/>
      <c r="F37" s="31"/>
      <c r="G37" s="118"/>
      <c r="H37" s="119"/>
      <c r="I37" s="31"/>
      <c r="J37" s="119"/>
      <c r="K37" s="31"/>
      <c r="L37" s="31" t="s">
        <v>221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20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21"/>
    </row>
    <row r="38" spans="2:61" ht="20.100000000000001" customHeight="1" x14ac:dyDescent="0.45">
      <c r="B38" s="117"/>
      <c r="C38" s="31"/>
      <c r="D38" s="31"/>
      <c r="E38" s="31"/>
      <c r="F38" s="31"/>
      <c r="G38" s="118"/>
      <c r="H38" s="119"/>
      <c r="I38" s="31"/>
      <c r="J38" s="119" t="s">
        <v>219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20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21"/>
    </row>
    <row r="39" spans="2:61" ht="20.100000000000001" customHeight="1" x14ac:dyDescent="0.45">
      <c r="B39" s="117"/>
      <c r="C39" s="31"/>
      <c r="D39" s="31"/>
      <c r="E39" s="31"/>
      <c r="F39" s="31"/>
      <c r="G39" s="118"/>
      <c r="H39" s="119"/>
      <c r="I39" s="31"/>
      <c r="J39" s="119"/>
      <c r="K39" s="31" t="s">
        <v>217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20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21"/>
    </row>
    <row r="40" spans="2:61" ht="20.100000000000001" customHeight="1" x14ac:dyDescent="0.45">
      <c r="B40" s="117"/>
      <c r="C40" s="31"/>
      <c r="D40" s="31"/>
      <c r="E40" s="31"/>
      <c r="F40" s="31"/>
      <c r="G40" s="118"/>
      <c r="H40" s="119"/>
      <c r="I40" s="31"/>
      <c r="J40" s="119"/>
      <c r="K40" s="31"/>
      <c r="L40" s="31" t="s">
        <v>222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20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21"/>
    </row>
    <row r="41" spans="2:61" ht="20.100000000000001" customHeight="1" x14ac:dyDescent="0.45">
      <c r="B41" s="117"/>
      <c r="C41" s="31"/>
      <c r="D41" s="31"/>
      <c r="E41" s="31"/>
      <c r="F41" s="31"/>
      <c r="G41" s="118"/>
      <c r="H41" s="119"/>
      <c r="I41" s="31"/>
      <c r="J41" s="119" t="s">
        <v>219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20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21"/>
    </row>
    <row r="42" spans="2:61" ht="20.100000000000001" customHeight="1" x14ac:dyDescent="0.45">
      <c r="B42" s="117"/>
      <c r="C42" s="31"/>
      <c r="D42" s="31"/>
      <c r="E42" s="31"/>
      <c r="F42" s="31"/>
      <c r="G42" s="118"/>
      <c r="H42" s="119"/>
      <c r="I42" s="31"/>
      <c r="J42" s="119"/>
      <c r="K42" s="31" t="s">
        <v>192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20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21"/>
    </row>
    <row r="43" spans="2:61" ht="20.100000000000001" customHeight="1" x14ac:dyDescent="0.45">
      <c r="B43" s="117"/>
      <c r="C43" s="31"/>
      <c r="D43" s="31"/>
      <c r="E43" s="31"/>
      <c r="F43" s="31"/>
      <c r="G43" s="118"/>
      <c r="H43" s="125"/>
      <c r="I43" s="126"/>
      <c r="J43" s="125"/>
      <c r="K43" s="126"/>
      <c r="L43" s="126" t="s">
        <v>223</v>
      </c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7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8"/>
    </row>
    <row r="44" spans="2:61" ht="20.100000000000001" customHeight="1" x14ac:dyDescent="0.45">
      <c r="B44" s="117"/>
      <c r="C44" s="31"/>
      <c r="D44" s="31"/>
      <c r="E44" s="31"/>
      <c r="F44" s="31"/>
      <c r="G44" s="118"/>
      <c r="H44" s="119" t="s">
        <v>133</v>
      </c>
      <c r="I44" s="31"/>
      <c r="J44" s="119"/>
      <c r="K44" s="31" t="s">
        <v>226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20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21"/>
    </row>
    <row r="45" spans="2:61" ht="20.100000000000001" customHeight="1" x14ac:dyDescent="0.45">
      <c r="B45" s="117"/>
      <c r="C45" s="31"/>
      <c r="D45" s="31"/>
      <c r="E45" s="31"/>
      <c r="F45" s="31"/>
      <c r="G45" s="118"/>
      <c r="H45" s="119"/>
      <c r="I45" s="31"/>
      <c r="J45" s="119" t="s">
        <v>225</v>
      </c>
      <c r="K45" s="31" t="s">
        <v>227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19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21"/>
    </row>
    <row r="46" spans="2:61" ht="20.100000000000001" customHeight="1" x14ac:dyDescent="0.45">
      <c r="B46" s="117"/>
      <c r="C46" s="31"/>
      <c r="D46" s="31"/>
      <c r="E46" s="31"/>
      <c r="F46" s="31"/>
      <c r="G46" s="118"/>
      <c r="H46" s="119"/>
      <c r="I46" s="31"/>
      <c r="J46" s="119" t="s">
        <v>225</v>
      </c>
      <c r="K46" s="31" t="s">
        <v>228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19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21"/>
    </row>
    <row r="47" spans="2:61" ht="20.100000000000001" customHeight="1" x14ac:dyDescent="0.45">
      <c r="B47" s="117"/>
      <c r="C47" s="31"/>
      <c r="D47" s="31"/>
      <c r="E47" s="31"/>
      <c r="F47" s="31"/>
      <c r="G47" s="118"/>
      <c r="H47" s="119"/>
      <c r="I47" s="31"/>
      <c r="J47" s="119" t="s">
        <v>225</v>
      </c>
      <c r="K47" s="31" t="s">
        <v>229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19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21"/>
    </row>
    <row r="48" spans="2:61" ht="20.100000000000001" customHeight="1" x14ac:dyDescent="0.45">
      <c r="B48" s="117"/>
      <c r="C48" s="31"/>
      <c r="D48" s="31"/>
      <c r="E48" s="31"/>
      <c r="F48" s="31"/>
      <c r="G48" s="118"/>
      <c r="H48" s="119"/>
      <c r="I48" s="31"/>
      <c r="J48" s="119" t="s">
        <v>225</v>
      </c>
      <c r="K48" s="31" t="s">
        <v>230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19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21"/>
    </row>
    <row r="49" spans="2:61" ht="20.100000000000001" customHeight="1" x14ac:dyDescent="0.45">
      <c r="B49" s="117"/>
      <c r="C49" s="31"/>
      <c r="D49" s="31"/>
      <c r="E49" s="31"/>
      <c r="F49" s="31"/>
      <c r="G49" s="118"/>
      <c r="H49" s="119"/>
      <c r="I49" s="31"/>
      <c r="J49" s="119" t="s">
        <v>225</v>
      </c>
      <c r="K49" s="31" t="s">
        <v>231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19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21"/>
    </row>
    <row r="50" spans="2:61" ht="20.100000000000001" customHeight="1" thickBot="1" x14ac:dyDescent="0.5">
      <c r="B50" s="117"/>
      <c r="C50" s="31"/>
      <c r="D50" s="31"/>
      <c r="E50" s="31"/>
      <c r="F50" s="31"/>
      <c r="G50" s="118"/>
      <c r="H50" s="150" t="s">
        <v>224</v>
      </c>
      <c r="I50" s="151"/>
      <c r="J50" s="150" t="s">
        <v>232</v>
      </c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0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2"/>
    </row>
    <row r="51" spans="2:61" ht="5.0999999999999996" customHeight="1" x14ac:dyDescent="0.45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topLeftCell="A1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1" t="s">
        <v>0</v>
      </c>
      <c r="C2" s="216"/>
      <c r="D2" s="216"/>
      <c r="E2" s="216"/>
      <c r="F2" s="216"/>
      <c r="G2" s="216"/>
      <c r="H2" s="216" t="s">
        <v>17</v>
      </c>
      <c r="I2" s="216"/>
      <c r="J2" s="216"/>
      <c r="K2" s="216"/>
      <c r="L2" s="216" t="s">
        <v>1</v>
      </c>
      <c r="M2" s="216"/>
      <c r="N2" s="216"/>
      <c r="O2" s="216"/>
      <c r="P2" s="216"/>
      <c r="Q2" s="216"/>
      <c r="R2" s="216" t="s">
        <v>2</v>
      </c>
      <c r="S2" s="216"/>
      <c r="T2" s="216"/>
      <c r="U2" s="216"/>
      <c r="V2" s="216"/>
      <c r="W2" s="216"/>
      <c r="X2" s="222" t="s">
        <v>3</v>
      </c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4"/>
      <c r="AK2" s="222" t="s">
        <v>32</v>
      </c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4"/>
      <c r="AX2" s="216" t="s">
        <v>5</v>
      </c>
      <c r="AY2" s="216"/>
      <c r="AZ2" s="216"/>
      <c r="BA2" s="216"/>
      <c r="BB2" s="216" t="s">
        <v>4</v>
      </c>
      <c r="BC2" s="216"/>
      <c r="BD2" s="216"/>
      <c r="BE2" s="216"/>
      <c r="BF2" s="216" t="s">
        <v>6</v>
      </c>
      <c r="BG2" s="216"/>
      <c r="BH2" s="216"/>
      <c r="BI2" s="216"/>
      <c r="BJ2" s="216" t="s">
        <v>7</v>
      </c>
      <c r="BK2" s="216"/>
      <c r="BL2" s="216"/>
      <c r="BM2" s="217"/>
    </row>
    <row r="3" spans="2:65" ht="20.100000000000001" customHeight="1" x14ac:dyDescent="0.45">
      <c r="B3" s="22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SK0300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帳票設計書</v>
      </c>
      <c r="S3" s="156"/>
      <c r="T3" s="156"/>
      <c r="U3" s="156"/>
      <c r="V3" s="156"/>
      <c r="W3" s="156"/>
      <c r="X3" s="159" t="str">
        <f ca="1">変更履歴!X3</f>
        <v>SK0300_仕入先検収明細表_帳票設計書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59" t="str">
        <f ca="1">変更履歴!AK3</f>
        <v>仕入先検収明細表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3"/>
      <c r="AX3" s="154">
        <f>変更履歴!AX3</f>
        <v>45623</v>
      </c>
      <c r="AY3" s="154"/>
      <c r="AZ3" s="154"/>
      <c r="BA3" s="154"/>
      <c r="BB3" s="156" t="str">
        <f>変更履歴!BB3</f>
        <v>大谷</v>
      </c>
      <c r="BC3" s="156"/>
      <c r="BD3" s="156"/>
      <c r="BE3" s="156"/>
      <c r="BF3" s="154">
        <f>変更履歴!BF3</f>
        <v>45623</v>
      </c>
      <c r="BG3" s="154"/>
      <c r="BH3" s="154"/>
      <c r="BI3" s="154"/>
      <c r="BJ3" s="156" t="str">
        <f>変更履歴!BJ3</f>
        <v>大谷</v>
      </c>
      <c r="BK3" s="156"/>
      <c r="BL3" s="156"/>
      <c r="BM3" s="214"/>
    </row>
    <row r="4" spans="2:65" ht="20.100000000000001" customHeight="1" thickBot="1" x14ac:dyDescent="0.5">
      <c r="B4" s="226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12"/>
      <c r="AY4" s="212"/>
      <c r="AZ4" s="212"/>
      <c r="BA4" s="212"/>
      <c r="BB4" s="213"/>
      <c r="BC4" s="213"/>
      <c r="BD4" s="213"/>
      <c r="BE4" s="213"/>
      <c r="BF4" s="212"/>
      <c r="BG4" s="212"/>
      <c r="BH4" s="212"/>
      <c r="BI4" s="212"/>
      <c r="BJ4" s="213"/>
      <c r="BK4" s="213"/>
      <c r="BL4" s="213"/>
      <c r="BM4" s="215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1" t="s">
        <v>134</v>
      </c>
      <c r="C7" s="112"/>
      <c r="D7" s="112"/>
      <c r="E7" s="112"/>
      <c r="F7" s="112"/>
      <c r="G7" s="112"/>
      <c r="H7" s="114" t="s">
        <v>162</v>
      </c>
      <c r="I7" s="113"/>
      <c r="J7" s="148" t="s">
        <v>20</v>
      </c>
      <c r="K7" s="143"/>
      <c r="L7" s="143"/>
      <c r="M7" s="143"/>
      <c r="N7" s="143"/>
      <c r="O7" s="143"/>
      <c r="P7" s="143"/>
      <c r="Q7" s="143"/>
      <c r="R7" s="148" t="s">
        <v>163</v>
      </c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4"/>
      <c r="AK7" s="115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6"/>
      <c r="BJ7" s="29"/>
      <c r="BK7" s="29"/>
      <c r="BL7" s="29"/>
      <c r="BM7" s="29"/>
    </row>
    <row r="8" spans="2:65" ht="20.100000000000001" customHeight="1" x14ac:dyDescent="0.45">
      <c r="B8" s="145"/>
      <c r="C8" s="31"/>
      <c r="D8" s="31"/>
      <c r="E8" s="31"/>
      <c r="F8" s="31"/>
      <c r="G8" s="31"/>
      <c r="H8" s="119"/>
      <c r="I8" s="118"/>
      <c r="J8" s="146" t="s">
        <v>164</v>
      </c>
      <c r="K8" s="52"/>
      <c r="L8" s="52"/>
      <c r="M8" s="52"/>
      <c r="N8" s="52"/>
      <c r="O8" s="52"/>
      <c r="P8" s="52"/>
      <c r="Q8" s="52"/>
      <c r="R8" s="146" t="s">
        <v>165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7"/>
      <c r="AK8" s="12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1"/>
      <c r="BJ8" s="29"/>
      <c r="BK8" s="29"/>
      <c r="BL8" s="29"/>
      <c r="BM8" s="29"/>
    </row>
    <row r="9" spans="2:65" ht="20.100000000000001" customHeight="1" x14ac:dyDescent="0.45">
      <c r="B9" s="145"/>
      <c r="C9" s="31"/>
      <c r="D9" s="31"/>
      <c r="E9" s="31"/>
      <c r="F9" s="31"/>
      <c r="G9" s="31"/>
      <c r="H9" s="125"/>
      <c r="I9" s="149"/>
      <c r="J9" s="146" t="s">
        <v>166</v>
      </c>
      <c r="K9" s="52"/>
      <c r="L9" s="52"/>
      <c r="M9" s="52"/>
      <c r="N9" s="52"/>
      <c r="O9" s="52"/>
      <c r="P9" s="52"/>
      <c r="Q9" s="52"/>
      <c r="R9" s="146" t="s">
        <v>167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7"/>
      <c r="AK9" s="127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8"/>
      <c r="BJ9" s="29"/>
      <c r="BK9" s="29"/>
      <c r="BL9" s="29"/>
      <c r="BM9" s="29"/>
    </row>
    <row r="10" spans="2:65" ht="20.100000000000001" customHeight="1" x14ac:dyDescent="0.45">
      <c r="B10" s="145"/>
      <c r="C10" s="31"/>
      <c r="D10" s="31"/>
      <c r="E10" s="31"/>
      <c r="F10" s="31"/>
      <c r="G10" s="118"/>
      <c r="H10" s="119" t="s">
        <v>135</v>
      </c>
      <c r="I10" s="31"/>
      <c r="J10" s="133" t="s">
        <v>136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2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1"/>
      <c r="BJ10" s="29"/>
      <c r="BK10" s="29"/>
      <c r="BL10" s="29"/>
      <c r="BM10" s="29"/>
    </row>
    <row r="11" spans="2:65" ht="20.100000000000001" customHeight="1" x14ac:dyDescent="0.45">
      <c r="B11" s="117"/>
      <c r="C11" s="31"/>
      <c r="D11" s="31"/>
      <c r="E11" s="31"/>
      <c r="F11" s="31"/>
      <c r="G11" s="118"/>
      <c r="H11" s="119"/>
      <c r="I11" s="31"/>
      <c r="J11" s="119" t="s">
        <v>137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1"/>
      <c r="BJ11" s="29"/>
      <c r="BK11" s="29"/>
      <c r="BL11" s="29"/>
      <c r="BM11" s="29"/>
    </row>
    <row r="12" spans="2:65" ht="20.100000000000001" customHeight="1" x14ac:dyDescent="0.45">
      <c r="B12" s="117"/>
      <c r="C12" s="31"/>
      <c r="D12" s="31"/>
      <c r="E12" s="31"/>
      <c r="F12" s="31"/>
      <c r="G12" s="118"/>
      <c r="H12" s="119"/>
      <c r="I12" s="31"/>
      <c r="J12" s="119" t="s">
        <v>138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1"/>
      <c r="BJ12" s="29"/>
      <c r="BK12" s="29"/>
      <c r="BL12" s="29"/>
      <c r="BM12" s="29"/>
    </row>
    <row r="13" spans="2:65" ht="20.100000000000001" customHeight="1" x14ac:dyDescent="0.45">
      <c r="B13" s="117"/>
      <c r="C13" s="31"/>
      <c r="D13" s="31"/>
      <c r="E13" s="31"/>
      <c r="F13" s="31"/>
      <c r="G13" s="118"/>
      <c r="H13" s="119"/>
      <c r="I13" s="31"/>
      <c r="J13" s="119" t="s">
        <v>139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1"/>
      <c r="BJ13" s="29"/>
      <c r="BK13" s="29"/>
      <c r="BL13" s="29"/>
      <c r="BM13" s="29"/>
    </row>
    <row r="14" spans="2:65" ht="20.100000000000001" customHeight="1" x14ac:dyDescent="0.45">
      <c r="B14" s="117"/>
      <c r="C14" s="31"/>
      <c r="D14" s="31"/>
      <c r="E14" s="31"/>
      <c r="F14" s="31"/>
      <c r="G14" s="118"/>
      <c r="H14" s="122" t="s">
        <v>140</v>
      </c>
      <c r="I14" s="55"/>
      <c r="J14" s="129" t="s">
        <v>141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3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4"/>
      <c r="BJ14" s="29"/>
      <c r="BK14" s="29"/>
      <c r="BL14" s="29"/>
      <c r="BM14" s="29"/>
    </row>
    <row r="15" spans="2:65" ht="20.100000000000001" customHeight="1" x14ac:dyDescent="0.45">
      <c r="B15" s="117"/>
      <c r="C15" s="31"/>
      <c r="D15" s="31"/>
      <c r="E15" s="31"/>
      <c r="F15" s="31"/>
      <c r="G15" s="118"/>
      <c r="H15" s="119"/>
      <c r="I15" s="31"/>
      <c r="J15" s="130"/>
      <c r="K15" s="131" t="s">
        <v>142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1"/>
      <c r="BJ15" s="29"/>
      <c r="BK15" s="29"/>
      <c r="BL15" s="29"/>
      <c r="BM15" s="29"/>
    </row>
    <row r="16" spans="2:65" ht="20.100000000000001" customHeight="1" x14ac:dyDescent="0.45">
      <c r="B16" s="117"/>
      <c r="C16" s="31"/>
      <c r="D16" s="31"/>
      <c r="E16" s="31"/>
      <c r="F16" s="31"/>
      <c r="G16" s="118"/>
      <c r="H16" s="119"/>
      <c r="I16" s="31"/>
      <c r="J16" s="119"/>
      <c r="K16" s="29"/>
      <c r="L16" s="132"/>
      <c r="M16" s="131" t="s">
        <v>143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1"/>
      <c r="BJ16" s="29"/>
      <c r="BK16" s="29"/>
      <c r="BL16" s="29"/>
      <c r="BM16" s="29"/>
    </row>
    <row r="17" spans="2:65" ht="20.100000000000001" customHeight="1" x14ac:dyDescent="0.45">
      <c r="B17" s="117"/>
      <c r="C17" s="31"/>
      <c r="D17" s="31"/>
      <c r="E17" s="31"/>
      <c r="F17" s="31"/>
      <c r="G17" s="118"/>
      <c r="H17" s="119"/>
      <c r="I17" s="31"/>
      <c r="J17" s="119"/>
      <c r="K17" s="29"/>
      <c r="L17" s="132" t="s">
        <v>144</v>
      </c>
      <c r="M17" s="131" t="s">
        <v>143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1"/>
      <c r="BJ17" s="29"/>
      <c r="BK17" s="29"/>
      <c r="BL17" s="29"/>
      <c r="BM17" s="29"/>
    </row>
    <row r="18" spans="2:65" ht="20.100000000000001" customHeight="1" x14ac:dyDescent="0.45">
      <c r="B18" s="117"/>
      <c r="C18" s="31"/>
      <c r="D18" s="31"/>
      <c r="E18" s="31"/>
      <c r="F18" s="31"/>
      <c r="G18" s="118"/>
      <c r="H18" s="119"/>
      <c r="I18" s="31"/>
      <c r="J18" s="119"/>
      <c r="K18" s="29"/>
      <c r="L18" s="132" t="s">
        <v>145</v>
      </c>
      <c r="M18" s="131" t="s">
        <v>143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1"/>
      <c r="BJ18" s="29"/>
      <c r="BK18" s="29"/>
      <c r="BL18" s="29"/>
      <c r="BM18" s="29"/>
    </row>
    <row r="19" spans="2:65" ht="20.100000000000001" customHeight="1" x14ac:dyDescent="0.45">
      <c r="B19" s="117"/>
      <c r="C19" s="31"/>
      <c r="D19" s="31"/>
      <c r="E19" s="31"/>
      <c r="F19" s="31"/>
      <c r="G19" s="118"/>
      <c r="H19" s="119"/>
      <c r="I19" s="31"/>
      <c r="J19" s="119" t="s">
        <v>146</v>
      </c>
      <c r="K19" s="132"/>
      <c r="L19" s="1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1"/>
      <c r="BJ19" s="29"/>
      <c r="BK19" s="29"/>
      <c r="BL19" s="29"/>
      <c r="BM19" s="29"/>
    </row>
    <row r="20" spans="2:65" ht="20.100000000000001" customHeight="1" x14ac:dyDescent="0.45">
      <c r="B20" s="117"/>
      <c r="C20" s="31"/>
      <c r="D20" s="31"/>
      <c r="E20" s="31"/>
      <c r="F20" s="31"/>
      <c r="G20" s="118"/>
      <c r="H20" s="119"/>
      <c r="I20" s="31"/>
      <c r="J20" s="119"/>
      <c r="K20" s="31" t="s">
        <v>147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1"/>
      <c r="BJ20" s="29"/>
      <c r="BK20" s="29"/>
      <c r="BL20" s="29"/>
      <c r="BM20" s="29"/>
    </row>
    <row r="21" spans="2:65" ht="20.100000000000001" customHeight="1" x14ac:dyDescent="0.45">
      <c r="B21" s="117"/>
      <c r="C21" s="31"/>
      <c r="D21" s="31"/>
      <c r="E21" s="31"/>
      <c r="F21" s="31"/>
      <c r="G21" s="118"/>
      <c r="H21" s="119"/>
      <c r="I21" s="31"/>
      <c r="J21" s="119"/>
      <c r="K21" s="29"/>
      <c r="L21" s="31"/>
      <c r="M21" s="31" t="s">
        <v>148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1"/>
    </row>
    <row r="22" spans="2:65" ht="20.100000000000001" customHeight="1" x14ac:dyDescent="0.45">
      <c r="B22" s="117"/>
      <c r="C22" s="31"/>
      <c r="D22" s="31"/>
      <c r="E22" s="31"/>
      <c r="F22" s="31"/>
      <c r="G22" s="118"/>
      <c r="H22" s="125"/>
      <c r="I22" s="126"/>
      <c r="J22" s="125"/>
      <c r="K22" s="126"/>
      <c r="L22" s="126" t="s">
        <v>144</v>
      </c>
      <c r="M22" s="126" t="s">
        <v>149</v>
      </c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7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8"/>
    </row>
    <row r="23" spans="2:65" ht="20.100000000000001" customHeight="1" x14ac:dyDescent="0.45">
      <c r="B23" s="117"/>
      <c r="C23" s="31"/>
      <c r="D23" s="31"/>
      <c r="E23" s="31"/>
      <c r="F23" s="31"/>
      <c r="G23" s="118"/>
      <c r="H23" s="119" t="s">
        <v>150</v>
      </c>
      <c r="I23" s="31"/>
      <c r="J23" s="133"/>
      <c r="K23" s="131" t="s">
        <v>151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4" t="s">
        <v>152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1"/>
    </row>
    <row r="24" spans="2:65" ht="20.100000000000001" customHeight="1" x14ac:dyDescent="0.45">
      <c r="B24" s="117"/>
      <c r="C24" s="31"/>
      <c r="D24" s="31"/>
      <c r="E24" s="31"/>
      <c r="F24" s="31"/>
      <c r="G24" s="118"/>
      <c r="H24" s="119"/>
      <c r="I24" s="31"/>
      <c r="J24" s="133" t="s">
        <v>144</v>
      </c>
      <c r="K24" s="131" t="s">
        <v>153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1"/>
    </row>
    <row r="25" spans="2:65" ht="20.100000000000001" customHeight="1" x14ac:dyDescent="0.45">
      <c r="B25" s="117"/>
      <c r="C25" s="31"/>
      <c r="D25" s="31"/>
      <c r="E25" s="31"/>
      <c r="F25" s="31"/>
      <c r="G25" s="118"/>
      <c r="H25" s="119"/>
      <c r="I25" s="31"/>
      <c r="J25" s="133" t="s">
        <v>145</v>
      </c>
      <c r="K25" s="131" t="s">
        <v>153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1"/>
    </row>
    <row r="26" spans="2:65" ht="20.100000000000001" customHeight="1" x14ac:dyDescent="0.45">
      <c r="B26" s="117"/>
      <c r="C26" s="31"/>
      <c r="D26" s="31"/>
      <c r="E26" s="31"/>
      <c r="F26" s="31"/>
      <c r="G26" s="118"/>
      <c r="H26" s="119"/>
      <c r="I26" s="31"/>
      <c r="J26" s="133" t="s">
        <v>154</v>
      </c>
      <c r="K26" s="1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1"/>
    </row>
    <row r="27" spans="2:65" ht="20.100000000000001" customHeight="1" x14ac:dyDescent="0.45">
      <c r="B27" s="117"/>
      <c r="C27" s="31"/>
      <c r="D27" s="31"/>
      <c r="E27" s="31"/>
      <c r="F27" s="31"/>
      <c r="G27" s="118"/>
      <c r="H27" s="119"/>
      <c r="I27" s="31"/>
      <c r="J27" s="119"/>
      <c r="K27" s="31" t="s">
        <v>155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5" t="s">
        <v>156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1"/>
    </row>
    <row r="28" spans="2:65" ht="20.100000000000001" customHeight="1" x14ac:dyDescent="0.45">
      <c r="B28" s="117"/>
      <c r="C28" s="31"/>
      <c r="D28" s="31"/>
      <c r="E28" s="31"/>
      <c r="F28" s="31"/>
      <c r="G28" s="118"/>
      <c r="H28" s="119"/>
      <c r="I28" s="31"/>
      <c r="J28" s="119" t="s">
        <v>144</v>
      </c>
      <c r="K28" s="31" t="s">
        <v>157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1"/>
    </row>
    <row r="29" spans="2:65" ht="20.100000000000001" customHeight="1" x14ac:dyDescent="0.45">
      <c r="B29" s="117"/>
      <c r="C29" s="31"/>
      <c r="D29" s="31"/>
      <c r="E29" s="31"/>
      <c r="F29" s="31"/>
      <c r="G29" s="118"/>
      <c r="H29" s="119"/>
      <c r="I29" s="31"/>
      <c r="J29" s="133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1"/>
    </row>
    <row r="30" spans="2:65" ht="20.100000000000001" customHeight="1" x14ac:dyDescent="0.45">
      <c r="B30" s="117"/>
      <c r="C30" s="31"/>
      <c r="D30" s="31"/>
      <c r="E30" s="31"/>
      <c r="F30" s="31"/>
      <c r="G30" s="118"/>
      <c r="H30" s="119"/>
      <c r="I30" s="31"/>
      <c r="J30" s="119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1"/>
    </row>
    <row r="31" spans="2:65" ht="20.100000000000001" customHeight="1" x14ac:dyDescent="0.45">
      <c r="B31" s="117"/>
      <c r="C31" s="31"/>
      <c r="D31" s="31"/>
      <c r="E31" s="31"/>
      <c r="F31" s="31"/>
      <c r="G31" s="118"/>
      <c r="H31" s="125"/>
      <c r="I31" s="126"/>
      <c r="J31" s="125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5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8"/>
    </row>
    <row r="32" spans="2:65" ht="20.100000000000001" customHeight="1" x14ac:dyDescent="0.45">
      <c r="B32" s="117"/>
      <c r="C32" s="31"/>
      <c r="D32" s="31"/>
      <c r="E32" s="31"/>
      <c r="F32" s="31"/>
      <c r="G32" s="118"/>
      <c r="H32" s="119" t="s">
        <v>158</v>
      </c>
      <c r="I32" s="31"/>
      <c r="J32" s="133" t="s">
        <v>159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1"/>
    </row>
    <row r="33" spans="2:61" ht="20.100000000000001" customHeight="1" x14ac:dyDescent="0.45">
      <c r="B33" s="117"/>
      <c r="C33" s="31"/>
      <c r="D33" s="31"/>
      <c r="E33" s="31"/>
      <c r="F33" s="31"/>
      <c r="G33" s="118"/>
      <c r="H33" s="119"/>
      <c r="I33" s="31"/>
      <c r="J33" s="133" t="s">
        <v>160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1"/>
    </row>
    <row r="34" spans="2:61" ht="20.100000000000001" customHeight="1" thickBot="1" x14ac:dyDescent="0.5">
      <c r="B34" s="136"/>
      <c r="C34" s="137"/>
      <c r="D34" s="137"/>
      <c r="E34" s="137"/>
      <c r="F34" s="137"/>
      <c r="G34" s="138"/>
      <c r="H34" s="139"/>
      <c r="I34" s="137"/>
      <c r="J34" s="139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9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40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1" t="s">
        <v>161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7"/>
  <sheetViews>
    <sheetView zoomScaleNormal="100" zoomScaleSheetLayoutView="100" workbookViewId="0">
      <pane ySplit="5" topLeftCell="A6" activePane="bottomLeft" state="frozen"/>
      <selection pane="bottomLeft" activeCell="G22" sqref="G22"/>
    </sheetView>
  </sheetViews>
  <sheetFormatPr defaultColWidth="8.09765625" defaultRowHeight="13.5" customHeight="1" x14ac:dyDescent="0.45"/>
  <cols>
    <col min="1" max="1" width="8.19921875" style="90" customWidth="1"/>
    <col min="2" max="2" width="6.19921875" style="90" customWidth="1"/>
    <col min="3" max="3" width="15.69921875" style="91" customWidth="1"/>
    <col min="4" max="4" width="14.59765625" style="91" customWidth="1"/>
    <col min="5" max="6" width="6.69921875" style="91" bestFit="1" customWidth="1"/>
    <col min="7" max="7" width="15.69921875" style="91" customWidth="1"/>
    <col min="8" max="14" width="3.8984375" style="91" customWidth="1"/>
    <col min="15" max="16" width="6.69921875" style="92" bestFit="1" customWidth="1"/>
    <col min="17" max="17" width="7.19921875" style="92" bestFit="1" customWidth="1"/>
    <col min="18" max="18" width="1.09765625" style="90" customWidth="1"/>
    <col min="19" max="256" width="8.09765625" style="90"/>
    <col min="257" max="257" width="8.19921875" style="90" customWidth="1"/>
    <col min="258" max="258" width="6.19921875" style="90" customWidth="1"/>
    <col min="259" max="259" width="15.69921875" style="90" customWidth="1"/>
    <col min="260" max="260" width="14.59765625" style="90" customWidth="1"/>
    <col min="261" max="262" width="6.69921875" style="90" bestFit="1" customWidth="1"/>
    <col min="263" max="263" width="15.69921875" style="90" customWidth="1"/>
    <col min="264" max="270" width="3.8984375" style="90" customWidth="1"/>
    <col min="271" max="272" width="6.69921875" style="90" bestFit="1" customWidth="1"/>
    <col min="273" max="273" width="7.19921875" style="90" bestFit="1" customWidth="1"/>
    <col min="274" max="274" width="1.09765625" style="90" customWidth="1"/>
    <col min="275" max="512" width="8.09765625" style="90"/>
    <col min="513" max="513" width="8.19921875" style="90" customWidth="1"/>
    <col min="514" max="514" width="6.19921875" style="90" customWidth="1"/>
    <col min="515" max="515" width="15.69921875" style="90" customWidth="1"/>
    <col min="516" max="516" width="14.59765625" style="90" customWidth="1"/>
    <col min="517" max="518" width="6.69921875" style="90" bestFit="1" customWidth="1"/>
    <col min="519" max="519" width="15.69921875" style="90" customWidth="1"/>
    <col min="520" max="526" width="3.8984375" style="90" customWidth="1"/>
    <col min="527" max="528" width="6.69921875" style="90" bestFit="1" customWidth="1"/>
    <col min="529" max="529" width="7.19921875" style="90" bestFit="1" customWidth="1"/>
    <col min="530" max="530" width="1.09765625" style="90" customWidth="1"/>
    <col min="531" max="768" width="8.09765625" style="90"/>
    <col min="769" max="769" width="8.19921875" style="90" customWidth="1"/>
    <col min="770" max="770" width="6.19921875" style="90" customWidth="1"/>
    <col min="771" max="771" width="15.69921875" style="90" customWidth="1"/>
    <col min="772" max="772" width="14.59765625" style="90" customWidth="1"/>
    <col min="773" max="774" width="6.69921875" style="90" bestFit="1" customWidth="1"/>
    <col min="775" max="775" width="15.69921875" style="90" customWidth="1"/>
    <col min="776" max="782" width="3.8984375" style="90" customWidth="1"/>
    <col min="783" max="784" width="6.69921875" style="90" bestFit="1" customWidth="1"/>
    <col min="785" max="785" width="7.19921875" style="90" bestFit="1" customWidth="1"/>
    <col min="786" max="786" width="1.09765625" style="90" customWidth="1"/>
    <col min="787" max="1024" width="8.09765625" style="90"/>
    <col min="1025" max="1025" width="8.19921875" style="90" customWidth="1"/>
    <col min="1026" max="1026" width="6.19921875" style="90" customWidth="1"/>
    <col min="1027" max="1027" width="15.69921875" style="90" customWidth="1"/>
    <col min="1028" max="1028" width="14.59765625" style="90" customWidth="1"/>
    <col min="1029" max="1030" width="6.69921875" style="90" bestFit="1" customWidth="1"/>
    <col min="1031" max="1031" width="15.69921875" style="90" customWidth="1"/>
    <col min="1032" max="1038" width="3.8984375" style="90" customWidth="1"/>
    <col min="1039" max="1040" width="6.69921875" style="90" bestFit="1" customWidth="1"/>
    <col min="1041" max="1041" width="7.19921875" style="90" bestFit="1" customWidth="1"/>
    <col min="1042" max="1042" width="1.09765625" style="90" customWidth="1"/>
    <col min="1043" max="1280" width="8.09765625" style="90"/>
    <col min="1281" max="1281" width="8.19921875" style="90" customWidth="1"/>
    <col min="1282" max="1282" width="6.19921875" style="90" customWidth="1"/>
    <col min="1283" max="1283" width="15.69921875" style="90" customWidth="1"/>
    <col min="1284" max="1284" width="14.59765625" style="90" customWidth="1"/>
    <col min="1285" max="1286" width="6.69921875" style="90" bestFit="1" customWidth="1"/>
    <col min="1287" max="1287" width="15.69921875" style="90" customWidth="1"/>
    <col min="1288" max="1294" width="3.8984375" style="90" customWidth="1"/>
    <col min="1295" max="1296" width="6.69921875" style="90" bestFit="1" customWidth="1"/>
    <col min="1297" max="1297" width="7.19921875" style="90" bestFit="1" customWidth="1"/>
    <col min="1298" max="1298" width="1.09765625" style="90" customWidth="1"/>
    <col min="1299" max="1536" width="8.09765625" style="90"/>
    <col min="1537" max="1537" width="8.19921875" style="90" customWidth="1"/>
    <col min="1538" max="1538" width="6.19921875" style="90" customWidth="1"/>
    <col min="1539" max="1539" width="15.69921875" style="90" customWidth="1"/>
    <col min="1540" max="1540" width="14.59765625" style="90" customWidth="1"/>
    <col min="1541" max="1542" width="6.69921875" style="90" bestFit="1" customWidth="1"/>
    <col min="1543" max="1543" width="15.69921875" style="90" customWidth="1"/>
    <col min="1544" max="1550" width="3.8984375" style="90" customWidth="1"/>
    <col min="1551" max="1552" width="6.69921875" style="90" bestFit="1" customWidth="1"/>
    <col min="1553" max="1553" width="7.19921875" style="90" bestFit="1" customWidth="1"/>
    <col min="1554" max="1554" width="1.09765625" style="90" customWidth="1"/>
    <col min="1555" max="1792" width="8.09765625" style="90"/>
    <col min="1793" max="1793" width="8.19921875" style="90" customWidth="1"/>
    <col min="1794" max="1794" width="6.19921875" style="90" customWidth="1"/>
    <col min="1795" max="1795" width="15.69921875" style="90" customWidth="1"/>
    <col min="1796" max="1796" width="14.59765625" style="90" customWidth="1"/>
    <col min="1797" max="1798" width="6.69921875" style="90" bestFit="1" customWidth="1"/>
    <col min="1799" max="1799" width="15.69921875" style="90" customWidth="1"/>
    <col min="1800" max="1806" width="3.8984375" style="90" customWidth="1"/>
    <col min="1807" max="1808" width="6.69921875" style="90" bestFit="1" customWidth="1"/>
    <col min="1809" max="1809" width="7.19921875" style="90" bestFit="1" customWidth="1"/>
    <col min="1810" max="1810" width="1.09765625" style="90" customWidth="1"/>
    <col min="1811" max="2048" width="8.09765625" style="90"/>
    <col min="2049" max="2049" width="8.19921875" style="90" customWidth="1"/>
    <col min="2050" max="2050" width="6.19921875" style="90" customWidth="1"/>
    <col min="2051" max="2051" width="15.69921875" style="90" customWidth="1"/>
    <col min="2052" max="2052" width="14.59765625" style="90" customWidth="1"/>
    <col min="2053" max="2054" width="6.69921875" style="90" bestFit="1" customWidth="1"/>
    <col min="2055" max="2055" width="15.69921875" style="90" customWidth="1"/>
    <col min="2056" max="2062" width="3.8984375" style="90" customWidth="1"/>
    <col min="2063" max="2064" width="6.69921875" style="90" bestFit="1" customWidth="1"/>
    <col min="2065" max="2065" width="7.19921875" style="90" bestFit="1" customWidth="1"/>
    <col min="2066" max="2066" width="1.09765625" style="90" customWidth="1"/>
    <col min="2067" max="2304" width="8.09765625" style="90"/>
    <col min="2305" max="2305" width="8.19921875" style="90" customWidth="1"/>
    <col min="2306" max="2306" width="6.19921875" style="90" customWidth="1"/>
    <col min="2307" max="2307" width="15.69921875" style="90" customWidth="1"/>
    <col min="2308" max="2308" width="14.59765625" style="90" customWidth="1"/>
    <col min="2309" max="2310" width="6.69921875" style="90" bestFit="1" customWidth="1"/>
    <col min="2311" max="2311" width="15.69921875" style="90" customWidth="1"/>
    <col min="2312" max="2318" width="3.8984375" style="90" customWidth="1"/>
    <col min="2319" max="2320" width="6.69921875" style="90" bestFit="1" customWidth="1"/>
    <col min="2321" max="2321" width="7.19921875" style="90" bestFit="1" customWidth="1"/>
    <col min="2322" max="2322" width="1.09765625" style="90" customWidth="1"/>
    <col min="2323" max="2560" width="8.09765625" style="90"/>
    <col min="2561" max="2561" width="8.19921875" style="90" customWidth="1"/>
    <col min="2562" max="2562" width="6.19921875" style="90" customWidth="1"/>
    <col min="2563" max="2563" width="15.69921875" style="90" customWidth="1"/>
    <col min="2564" max="2564" width="14.59765625" style="90" customWidth="1"/>
    <col min="2565" max="2566" width="6.69921875" style="90" bestFit="1" customWidth="1"/>
    <col min="2567" max="2567" width="15.69921875" style="90" customWidth="1"/>
    <col min="2568" max="2574" width="3.8984375" style="90" customWidth="1"/>
    <col min="2575" max="2576" width="6.69921875" style="90" bestFit="1" customWidth="1"/>
    <col min="2577" max="2577" width="7.19921875" style="90" bestFit="1" customWidth="1"/>
    <col min="2578" max="2578" width="1.09765625" style="90" customWidth="1"/>
    <col min="2579" max="2816" width="8.09765625" style="90"/>
    <col min="2817" max="2817" width="8.19921875" style="90" customWidth="1"/>
    <col min="2818" max="2818" width="6.19921875" style="90" customWidth="1"/>
    <col min="2819" max="2819" width="15.69921875" style="90" customWidth="1"/>
    <col min="2820" max="2820" width="14.59765625" style="90" customWidth="1"/>
    <col min="2821" max="2822" width="6.69921875" style="90" bestFit="1" customWidth="1"/>
    <col min="2823" max="2823" width="15.69921875" style="90" customWidth="1"/>
    <col min="2824" max="2830" width="3.8984375" style="90" customWidth="1"/>
    <col min="2831" max="2832" width="6.69921875" style="90" bestFit="1" customWidth="1"/>
    <col min="2833" max="2833" width="7.19921875" style="90" bestFit="1" customWidth="1"/>
    <col min="2834" max="2834" width="1.09765625" style="90" customWidth="1"/>
    <col min="2835" max="3072" width="8.09765625" style="90"/>
    <col min="3073" max="3073" width="8.19921875" style="90" customWidth="1"/>
    <col min="3074" max="3074" width="6.19921875" style="90" customWidth="1"/>
    <col min="3075" max="3075" width="15.69921875" style="90" customWidth="1"/>
    <col min="3076" max="3076" width="14.59765625" style="90" customWidth="1"/>
    <col min="3077" max="3078" width="6.69921875" style="90" bestFit="1" customWidth="1"/>
    <col min="3079" max="3079" width="15.69921875" style="90" customWidth="1"/>
    <col min="3080" max="3086" width="3.8984375" style="90" customWidth="1"/>
    <col min="3087" max="3088" width="6.69921875" style="90" bestFit="1" customWidth="1"/>
    <col min="3089" max="3089" width="7.19921875" style="90" bestFit="1" customWidth="1"/>
    <col min="3090" max="3090" width="1.09765625" style="90" customWidth="1"/>
    <col min="3091" max="3328" width="8.09765625" style="90"/>
    <col min="3329" max="3329" width="8.19921875" style="90" customWidth="1"/>
    <col min="3330" max="3330" width="6.19921875" style="90" customWidth="1"/>
    <col min="3331" max="3331" width="15.69921875" style="90" customWidth="1"/>
    <col min="3332" max="3332" width="14.59765625" style="90" customWidth="1"/>
    <col min="3333" max="3334" width="6.69921875" style="90" bestFit="1" customWidth="1"/>
    <col min="3335" max="3335" width="15.69921875" style="90" customWidth="1"/>
    <col min="3336" max="3342" width="3.8984375" style="90" customWidth="1"/>
    <col min="3343" max="3344" width="6.69921875" style="90" bestFit="1" customWidth="1"/>
    <col min="3345" max="3345" width="7.19921875" style="90" bestFit="1" customWidth="1"/>
    <col min="3346" max="3346" width="1.09765625" style="90" customWidth="1"/>
    <col min="3347" max="3584" width="8.09765625" style="90"/>
    <col min="3585" max="3585" width="8.19921875" style="90" customWidth="1"/>
    <col min="3586" max="3586" width="6.19921875" style="90" customWidth="1"/>
    <col min="3587" max="3587" width="15.69921875" style="90" customWidth="1"/>
    <col min="3588" max="3588" width="14.59765625" style="90" customWidth="1"/>
    <col min="3589" max="3590" width="6.69921875" style="90" bestFit="1" customWidth="1"/>
    <col min="3591" max="3591" width="15.69921875" style="90" customWidth="1"/>
    <col min="3592" max="3598" width="3.8984375" style="90" customWidth="1"/>
    <col min="3599" max="3600" width="6.69921875" style="90" bestFit="1" customWidth="1"/>
    <col min="3601" max="3601" width="7.19921875" style="90" bestFit="1" customWidth="1"/>
    <col min="3602" max="3602" width="1.09765625" style="90" customWidth="1"/>
    <col min="3603" max="3840" width="8.09765625" style="90"/>
    <col min="3841" max="3841" width="8.19921875" style="90" customWidth="1"/>
    <col min="3842" max="3842" width="6.19921875" style="90" customWidth="1"/>
    <col min="3843" max="3843" width="15.69921875" style="90" customWidth="1"/>
    <col min="3844" max="3844" width="14.59765625" style="90" customWidth="1"/>
    <col min="3845" max="3846" width="6.69921875" style="90" bestFit="1" customWidth="1"/>
    <col min="3847" max="3847" width="15.69921875" style="90" customWidth="1"/>
    <col min="3848" max="3854" width="3.8984375" style="90" customWidth="1"/>
    <col min="3855" max="3856" width="6.69921875" style="90" bestFit="1" customWidth="1"/>
    <col min="3857" max="3857" width="7.19921875" style="90" bestFit="1" customWidth="1"/>
    <col min="3858" max="3858" width="1.09765625" style="90" customWidth="1"/>
    <col min="3859" max="4096" width="8.09765625" style="90"/>
    <col min="4097" max="4097" width="8.19921875" style="90" customWidth="1"/>
    <col min="4098" max="4098" width="6.19921875" style="90" customWidth="1"/>
    <col min="4099" max="4099" width="15.69921875" style="90" customWidth="1"/>
    <col min="4100" max="4100" width="14.59765625" style="90" customWidth="1"/>
    <col min="4101" max="4102" width="6.69921875" style="90" bestFit="1" customWidth="1"/>
    <col min="4103" max="4103" width="15.69921875" style="90" customWidth="1"/>
    <col min="4104" max="4110" width="3.8984375" style="90" customWidth="1"/>
    <col min="4111" max="4112" width="6.69921875" style="90" bestFit="1" customWidth="1"/>
    <col min="4113" max="4113" width="7.19921875" style="90" bestFit="1" customWidth="1"/>
    <col min="4114" max="4114" width="1.09765625" style="90" customWidth="1"/>
    <col min="4115" max="4352" width="8.09765625" style="90"/>
    <col min="4353" max="4353" width="8.19921875" style="90" customWidth="1"/>
    <col min="4354" max="4354" width="6.19921875" style="90" customWidth="1"/>
    <col min="4355" max="4355" width="15.69921875" style="90" customWidth="1"/>
    <col min="4356" max="4356" width="14.59765625" style="90" customWidth="1"/>
    <col min="4357" max="4358" width="6.69921875" style="90" bestFit="1" customWidth="1"/>
    <col min="4359" max="4359" width="15.69921875" style="90" customWidth="1"/>
    <col min="4360" max="4366" width="3.8984375" style="90" customWidth="1"/>
    <col min="4367" max="4368" width="6.69921875" style="90" bestFit="1" customWidth="1"/>
    <col min="4369" max="4369" width="7.19921875" style="90" bestFit="1" customWidth="1"/>
    <col min="4370" max="4370" width="1.09765625" style="90" customWidth="1"/>
    <col min="4371" max="4608" width="8.09765625" style="90"/>
    <col min="4609" max="4609" width="8.19921875" style="90" customWidth="1"/>
    <col min="4610" max="4610" width="6.19921875" style="90" customWidth="1"/>
    <col min="4611" max="4611" width="15.69921875" style="90" customWidth="1"/>
    <col min="4612" max="4612" width="14.59765625" style="90" customWidth="1"/>
    <col min="4613" max="4614" width="6.69921875" style="90" bestFit="1" customWidth="1"/>
    <col min="4615" max="4615" width="15.69921875" style="90" customWidth="1"/>
    <col min="4616" max="4622" width="3.8984375" style="90" customWidth="1"/>
    <col min="4623" max="4624" width="6.69921875" style="90" bestFit="1" customWidth="1"/>
    <col min="4625" max="4625" width="7.19921875" style="90" bestFit="1" customWidth="1"/>
    <col min="4626" max="4626" width="1.09765625" style="90" customWidth="1"/>
    <col min="4627" max="4864" width="8.09765625" style="90"/>
    <col min="4865" max="4865" width="8.19921875" style="90" customWidth="1"/>
    <col min="4866" max="4866" width="6.19921875" style="90" customWidth="1"/>
    <col min="4867" max="4867" width="15.69921875" style="90" customWidth="1"/>
    <col min="4868" max="4868" width="14.59765625" style="90" customWidth="1"/>
    <col min="4869" max="4870" width="6.69921875" style="90" bestFit="1" customWidth="1"/>
    <col min="4871" max="4871" width="15.69921875" style="90" customWidth="1"/>
    <col min="4872" max="4878" width="3.8984375" style="90" customWidth="1"/>
    <col min="4879" max="4880" width="6.69921875" style="90" bestFit="1" customWidth="1"/>
    <col min="4881" max="4881" width="7.19921875" style="90" bestFit="1" customWidth="1"/>
    <col min="4882" max="4882" width="1.09765625" style="90" customWidth="1"/>
    <col min="4883" max="5120" width="8.09765625" style="90"/>
    <col min="5121" max="5121" width="8.19921875" style="90" customWidth="1"/>
    <col min="5122" max="5122" width="6.19921875" style="90" customWidth="1"/>
    <col min="5123" max="5123" width="15.69921875" style="90" customWidth="1"/>
    <col min="5124" max="5124" width="14.59765625" style="90" customWidth="1"/>
    <col min="5125" max="5126" width="6.69921875" style="90" bestFit="1" customWidth="1"/>
    <col min="5127" max="5127" width="15.69921875" style="90" customWidth="1"/>
    <col min="5128" max="5134" width="3.8984375" style="90" customWidth="1"/>
    <col min="5135" max="5136" width="6.69921875" style="90" bestFit="1" customWidth="1"/>
    <col min="5137" max="5137" width="7.19921875" style="90" bestFit="1" customWidth="1"/>
    <col min="5138" max="5138" width="1.09765625" style="90" customWidth="1"/>
    <col min="5139" max="5376" width="8.09765625" style="90"/>
    <col min="5377" max="5377" width="8.19921875" style="90" customWidth="1"/>
    <col min="5378" max="5378" width="6.19921875" style="90" customWidth="1"/>
    <col min="5379" max="5379" width="15.69921875" style="90" customWidth="1"/>
    <col min="5380" max="5380" width="14.59765625" style="90" customWidth="1"/>
    <col min="5381" max="5382" width="6.69921875" style="90" bestFit="1" customWidth="1"/>
    <col min="5383" max="5383" width="15.69921875" style="90" customWidth="1"/>
    <col min="5384" max="5390" width="3.8984375" style="90" customWidth="1"/>
    <col min="5391" max="5392" width="6.69921875" style="90" bestFit="1" customWidth="1"/>
    <col min="5393" max="5393" width="7.19921875" style="90" bestFit="1" customWidth="1"/>
    <col min="5394" max="5394" width="1.09765625" style="90" customWidth="1"/>
    <col min="5395" max="5632" width="8.09765625" style="90"/>
    <col min="5633" max="5633" width="8.19921875" style="90" customWidth="1"/>
    <col min="5634" max="5634" width="6.19921875" style="90" customWidth="1"/>
    <col min="5635" max="5635" width="15.69921875" style="90" customWidth="1"/>
    <col min="5636" max="5636" width="14.59765625" style="90" customWidth="1"/>
    <col min="5637" max="5638" width="6.69921875" style="90" bestFit="1" customWidth="1"/>
    <col min="5639" max="5639" width="15.69921875" style="90" customWidth="1"/>
    <col min="5640" max="5646" width="3.8984375" style="90" customWidth="1"/>
    <col min="5647" max="5648" width="6.69921875" style="90" bestFit="1" customWidth="1"/>
    <col min="5649" max="5649" width="7.19921875" style="90" bestFit="1" customWidth="1"/>
    <col min="5650" max="5650" width="1.09765625" style="90" customWidth="1"/>
    <col min="5651" max="5888" width="8.09765625" style="90"/>
    <col min="5889" max="5889" width="8.19921875" style="90" customWidth="1"/>
    <col min="5890" max="5890" width="6.19921875" style="90" customWidth="1"/>
    <col min="5891" max="5891" width="15.69921875" style="90" customWidth="1"/>
    <col min="5892" max="5892" width="14.59765625" style="90" customWidth="1"/>
    <col min="5893" max="5894" width="6.69921875" style="90" bestFit="1" customWidth="1"/>
    <col min="5895" max="5895" width="15.69921875" style="90" customWidth="1"/>
    <col min="5896" max="5902" width="3.8984375" style="90" customWidth="1"/>
    <col min="5903" max="5904" width="6.69921875" style="90" bestFit="1" customWidth="1"/>
    <col min="5905" max="5905" width="7.19921875" style="90" bestFit="1" customWidth="1"/>
    <col min="5906" max="5906" width="1.09765625" style="90" customWidth="1"/>
    <col min="5907" max="6144" width="8.09765625" style="90"/>
    <col min="6145" max="6145" width="8.19921875" style="90" customWidth="1"/>
    <col min="6146" max="6146" width="6.19921875" style="90" customWidth="1"/>
    <col min="6147" max="6147" width="15.69921875" style="90" customWidth="1"/>
    <col min="6148" max="6148" width="14.59765625" style="90" customWidth="1"/>
    <col min="6149" max="6150" width="6.69921875" style="90" bestFit="1" customWidth="1"/>
    <col min="6151" max="6151" width="15.69921875" style="90" customWidth="1"/>
    <col min="6152" max="6158" width="3.8984375" style="90" customWidth="1"/>
    <col min="6159" max="6160" width="6.69921875" style="90" bestFit="1" customWidth="1"/>
    <col min="6161" max="6161" width="7.19921875" style="90" bestFit="1" customWidth="1"/>
    <col min="6162" max="6162" width="1.09765625" style="90" customWidth="1"/>
    <col min="6163" max="6400" width="8.09765625" style="90"/>
    <col min="6401" max="6401" width="8.19921875" style="90" customWidth="1"/>
    <col min="6402" max="6402" width="6.19921875" style="90" customWidth="1"/>
    <col min="6403" max="6403" width="15.69921875" style="90" customWidth="1"/>
    <col min="6404" max="6404" width="14.59765625" style="90" customWidth="1"/>
    <col min="6405" max="6406" width="6.69921875" style="90" bestFit="1" customWidth="1"/>
    <col min="6407" max="6407" width="15.69921875" style="90" customWidth="1"/>
    <col min="6408" max="6414" width="3.8984375" style="90" customWidth="1"/>
    <col min="6415" max="6416" width="6.69921875" style="90" bestFit="1" customWidth="1"/>
    <col min="6417" max="6417" width="7.19921875" style="90" bestFit="1" customWidth="1"/>
    <col min="6418" max="6418" width="1.09765625" style="90" customWidth="1"/>
    <col min="6419" max="6656" width="8.09765625" style="90"/>
    <col min="6657" max="6657" width="8.19921875" style="90" customWidth="1"/>
    <col min="6658" max="6658" width="6.19921875" style="90" customWidth="1"/>
    <col min="6659" max="6659" width="15.69921875" style="90" customWidth="1"/>
    <col min="6660" max="6660" width="14.59765625" style="90" customWidth="1"/>
    <col min="6661" max="6662" width="6.69921875" style="90" bestFit="1" customWidth="1"/>
    <col min="6663" max="6663" width="15.69921875" style="90" customWidth="1"/>
    <col min="6664" max="6670" width="3.8984375" style="90" customWidth="1"/>
    <col min="6671" max="6672" width="6.69921875" style="90" bestFit="1" customWidth="1"/>
    <col min="6673" max="6673" width="7.19921875" style="90" bestFit="1" customWidth="1"/>
    <col min="6674" max="6674" width="1.09765625" style="90" customWidth="1"/>
    <col min="6675" max="6912" width="8.09765625" style="90"/>
    <col min="6913" max="6913" width="8.19921875" style="90" customWidth="1"/>
    <col min="6914" max="6914" width="6.19921875" style="90" customWidth="1"/>
    <col min="6915" max="6915" width="15.69921875" style="90" customWidth="1"/>
    <col min="6916" max="6916" width="14.59765625" style="90" customWidth="1"/>
    <col min="6917" max="6918" width="6.69921875" style="90" bestFit="1" customWidth="1"/>
    <col min="6919" max="6919" width="15.69921875" style="90" customWidth="1"/>
    <col min="6920" max="6926" width="3.8984375" style="90" customWidth="1"/>
    <col min="6927" max="6928" width="6.69921875" style="90" bestFit="1" customWidth="1"/>
    <col min="6929" max="6929" width="7.19921875" style="90" bestFit="1" customWidth="1"/>
    <col min="6930" max="6930" width="1.09765625" style="90" customWidth="1"/>
    <col min="6931" max="7168" width="8.09765625" style="90"/>
    <col min="7169" max="7169" width="8.19921875" style="90" customWidth="1"/>
    <col min="7170" max="7170" width="6.19921875" style="90" customWidth="1"/>
    <col min="7171" max="7171" width="15.69921875" style="90" customWidth="1"/>
    <col min="7172" max="7172" width="14.59765625" style="90" customWidth="1"/>
    <col min="7173" max="7174" width="6.69921875" style="90" bestFit="1" customWidth="1"/>
    <col min="7175" max="7175" width="15.69921875" style="90" customWidth="1"/>
    <col min="7176" max="7182" width="3.8984375" style="90" customWidth="1"/>
    <col min="7183" max="7184" width="6.69921875" style="90" bestFit="1" customWidth="1"/>
    <col min="7185" max="7185" width="7.19921875" style="90" bestFit="1" customWidth="1"/>
    <col min="7186" max="7186" width="1.09765625" style="90" customWidth="1"/>
    <col min="7187" max="7424" width="8.09765625" style="90"/>
    <col min="7425" max="7425" width="8.19921875" style="90" customWidth="1"/>
    <col min="7426" max="7426" width="6.19921875" style="90" customWidth="1"/>
    <col min="7427" max="7427" width="15.69921875" style="90" customWidth="1"/>
    <col min="7428" max="7428" width="14.59765625" style="90" customWidth="1"/>
    <col min="7429" max="7430" width="6.69921875" style="90" bestFit="1" customWidth="1"/>
    <col min="7431" max="7431" width="15.69921875" style="90" customWidth="1"/>
    <col min="7432" max="7438" width="3.8984375" style="90" customWidth="1"/>
    <col min="7439" max="7440" width="6.69921875" style="90" bestFit="1" customWidth="1"/>
    <col min="7441" max="7441" width="7.19921875" style="90" bestFit="1" customWidth="1"/>
    <col min="7442" max="7442" width="1.09765625" style="90" customWidth="1"/>
    <col min="7443" max="7680" width="8.09765625" style="90"/>
    <col min="7681" max="7681" width="8.19921875" style="90" customWidth="1"/>
    <col min="7682" max="7682" width="6.19921875" style="90" customWidth="1"/>
    <col min="7683" max="7683" width="15.69921875" style="90" customWidth="1"/>
    <col min="7684" max="7684" width="14.59765625" style="90" customWidth="1"/>
    <col min="7685" max="7686" width="6.69921875" style="90" bestFit="1" customWidth="1"/>
    <col min="7687" max="7687" width="15.69921875" style="90" customWidth="1"/>
    <col min="7688" max="7694" width="3.8984375" style="90" customWidth="1"/>
    <col min="7695" max="7696" width="6.69921875" style="90" bestFit="1" customWidth="1"/>
    <col min="7697" max="7697" width="7.19921875" style="90" bestFit="1" customWidth="1"/>
    <col min="7698" max="7698" width="1.09765625" style="90" customWidth="1"/>
    <col min="7699" max="7936" width="8.09765625" style="90"/>
    <col min="7937" max="7937" width="8.19921875" style="90" customWidth="1"/>
    <col min="7938" max="7938" width="6.19921875" style="90" customWidth="1"/>
    <col min="7939" max="7939" width="15.69921875" style="90" customWidth="1"/>
    <col min="7940" max="7940" width="14.59765625" style="90" customWidth="1"/>
    <col min="7941" max="7942" width="6.69921875" style="90" bestFit="1" customWidth="1"/>
    <col min="7943" max="7943" width="15.69921875" style="90" customWidth="1"/>
    <col min="7944" max="7950" width="3.8984375" style="90" customWidth="1"/>
    <col min="7951" max="7952" width="6.69921875" style="90" bestFit="1" customWidth="1"/>
    <col min="7953" max="7953" width="7.19921875" style="90" bestFit="1" customWidth="1"/>
    <col min="7954" max="7954" width="1.09765625" style="90" customWidth="1"/>
    <col min="7955" max="8192" width="8.09765625" style="90"/>
    <col min="8193" max="8193" width="8.19921875" style="90" customWidth="1"/>
    <col min="8194" max="8194" width="6.19921875" style="90" customWidth="1"/>
    <col min="8195" max="8195" width="15.69921875" style="90" customWidth="1"/>
    <col min="8196" max="8196" width="14.59765625" style="90" customWidth="1"/>
    <col min="8197" max="8198" width="6.69921875" style="90" bestFit="1" customWidth="1"/>
    <col min="8199" max="8199" width="15.69921875" style="90" customWidth="1"/>
    <col min="8200" max="8206" width="3.8984375" style="90" customWidth="1"/>
    <col min="8207" max="8208" width="6.69921875" style="90" bestFit="1" customWidth="1"/>
    <col min="8209" max="8209" width="7.19921875" style="90" bestFit="1" customWidth="1"/>
    <col min="8210" max="8210" width="1.09765625" style="90" customWidth="1"/>
    <col min="8211" max="8448" width="8.09765625" style="90"/>
    <col min="8449" max="8449" width="8.19921875" style="90" customWidth="1"/>
    <col min="8450" max="8450" width="6.19921875" style="90" customWidth="1"/>
    <col min="8451" max="8451" width="15.69921875" style="90" customWidth="1"/>
    <col min="8452" max="8452" width="14.59765625" style="90" customWidth="1"/>
    <col min="8453" max="8454" width="6.69921875" style="90" bestFit="1" customWidth="1"/>
    <col min="8455" max="8455" width="15.69921875" style="90" customWidth="1"/>
    <col min="8456" max="8462" width="3.8984375" style="90" customWidth="1"/>
    <col min="8463" max="8464" width="6.69921875" style="90" bestFit="1" customWidth="1"/>
    <col min="8465" max="8465" width="7.19921875" style="90" bestFit="1" customWidth="1"/>
    <col min="8466" max="8466" width="1.09765625" style="90" customWidth="1"/>
    <col min="8467" max="8704" width="8.09765625" style="90"/>
    <col min="8705" max="8705" width="8.19921875" style="90" customWidth="1"/>
    <col min="8706" max="8706" width="6.19921875" style="90" customWidth="1"/>
    <col min="8707" max="8707" width="15.69921875" style="90" customWidth="1"/>
    <col min="8708" max="8708" width="14.59765625" style="90" customWidth="1"/>
    <col min="8709" max="8710" width="6.69921875" style="90" bestFit="1" customWidth="1"/>
    <col min="8711" max="8711" width="15.69921875" style="90" customWidth="1"/>
    <col min="8712" max="8718" width="3.8984375" style="90" customWidth="1"/>
    <col min="8719" max="8720" width="6.69921875" style="90" bestFit="1" customWidth="1"/>
    <col min="8721" max="8721" width="7.19921875" style="90" bestFit="1" customWidth="1"/>
    <col min="8722" max="8722" width="1.09765625" style="90" customWidth="1"/>
    <col min="8723" max="8960" width="8.09765625" style="90"/>
    <col min="8961" max="8961" width="8.19921875" style="90" customWidth="1"/>
    <col min="8962" max="8962" width="6.19921875" style="90" customWidth="1"/>
    <col min="8963" max="8963" width="15.69921875" style="90" customWidth="1"/>
    <col min="8964" max="8964" width="14.59765625" style="90" customWidth="1"/>
    <col min="8965" max="8966" width="6.69921875" style="90" bestFit="1" customWidth="1"/>
    <col min="8967" max="8967" width="15.69921875" style="90" customWidth="1"/>
    <col min="8968" max="8974" width="3.8984375" style="90" customWidth="1"/>
    <col min="8975" max="8976" width="6.69921875" style="90" bestFit="1" customWidth="1"/>
    <col min="8977" max="8977" width="7.19921875" style="90" bestFit="1" customWidth="1"/>
    <col min="8978" max="8978" width="1.09765625" style="90" customWidth="1"/>
    <col min="8979" max="9216" width="8.09765625" style="90"/>
    <col min="9217" max="9217" width="8.19921875" style="90" customWidth="1"/>
    <col min="9218" max="9218" width="6.19921875" style="90" customWidth="1"/>
    <col min="9219" max="9219" width="15.69921875" style="90" customWidth="1"/>
    <col min="9220" max="9220" width="14.59765625" style="90" customWidth="1"/>
    <col min="9221" max="9222" width="6.69921875" style="90" bestFit="1" customWidth="1"/>
    <col min="9223" max="9223" width="15.69921875" style="90" customWidth="1"/>
    <col min="9224" max="9230" width="3.8984375" style="90" customWidth="1"/>
    <col min="9231" max="9232" width="6.69921875" style="90" bestFit="1" customWidth="1"/>
    <col min="9233" max="9233" width="7.19921875" style="90" bestFit="1" customWidth="1"/>
    <col min="9234" max="9234" width="1.09765625" style="90" customWidth="1"/>
    <col min="9235" max="9472" width="8.09765625" style="90"/>
    <col min="9473" max="9473" width="8.19921875" style="90" customWidth="1"/>
    <col min="9474" max="9474" width="6.19921875" style="90" customWidth="1"/>
    <col min="9475" max="9475" width="15.69921875" style="90" customWidth="1"/>
    <col min="9476" max="9476" width="14.59765625" style="90" customWidth="1"/>
    <col min="9477" max="9478" width="6.69921875" style="90" bestFit="1" customWidth="1"/>
    <col min="9479" max="9479" width="15.69921875" style="90" customWidth="1"/>
    <col min="9480" max="9486" width="3.8984375" style="90" customWidth="1"/>
    <col min="9487" max="9488" width="6.69921875" style="90" bestFit="1" customWidth="1"/>
    <col min="9489" max="9489" width="7.19921875" style="90" bestFit="1" customWidth="1"/>
    <col min="9490" max="9490" width="1.09765625" style="90" customWidth="1"/>
    <col min="9491" max="9728" width="8.09765625" style="90"/>
    <col min="9729" max="9729" width="8.19921875" style="90" customWidth="1"/>
    <col min="9730" max="9730" width="6.19921875" style="90" customWidth="1"/>
    <col min="9731" max="9731" width="15.69921875" style="90" customWidth="1"/>
    <col min="9732" max="9732" width="14.59765625" style="90" customWidth="1"/>
    <col min="9733" max="9734" width="6.69921875" style="90" bestFit="1" customWidth="1"/>
    <col min="9735" max="9735" width="15.69921875" style="90" customWidth="1"/>
    <col min="9736" max="9742" width="3.8984375" style="90" customWidth="1"/>
    <col min="9743" max="9744" width="6.69921875" style="90" bestFit="1" customWidth="1"/>
    <col min="9745" max="9745" width="7.19921875" style="90" bestFit="1" customWidth="1"/>
    <col min="9746" max="9746" width="1.09765625" style="90" customWidth="1"/>
    <col min="9747" max="9984" width="8.09765625" style="90"/>
    <col min="9985" max="9985" width="8.19921875" style="90" customWidth="1"/>
    <col min="9986" max="9986" width="6.19921875" style="90" customWidth="1"/>
    <col min="9987" max="9987" width="15.69921875" style="90" customWidth="1"/>
    <col min="9988" max="9988" width="14.59765625" style="90" customWidth="1"/>
    <col min="9989" max="9990" width="6.69921875" style="90" bestFit="1" customWidth="1"/>
    <col min="9991" max="9991" width="15.69921875" style="90" customWidth="1"/>
    <col min="9992" max="9998" width="3.8984375" style="90" customWidth="1"/>
    <col min="9999" max="10000" width="6.69921875" style="90" bestFit="1" customWidth="1"/>
    <col min="10001" max="10001" width="7.19921875" style="90" bestFit="1" customWidth="1"/>
    <col min="10002" max="10002" width="1.09765625" style="90" customWidth="1"/>
    <col min="10003" max="10240" width="8.09765625" style="90"/>
    <col min="10241" max="10241" width="8.19921875" style="90" customWidth="1"/>
    <col min="10242" max="10242" width="6.19921875" style="90" customWidth="1"/>
    <col min="10243" max="10243" width="15.69921875" style="90" customWidth="1"/>
    <col min="10244" max="10244" width="14.59765625" style="90" customWidth="1"/>
    <col min="10245" max="10246" width="6.69921875" style="90" bestFit="1" customWidth="1"/>
    <col min="10247" max="10247" width="15.69921875" style="90" customWidth="1"/>
    <col min="10248" max="10254" width="3.8984375" style="90" customWidth="1"/>
    <col min="10255" max="10256" width="6.69921875" style="90" bestFit="1" customWidth="1"/>
    <col min="10257" max="10257" width="7.19921875" style="90" bestFit="1" customWidth="1"/>
    <col min="10258" max="10258" width="1.09765625" style="90" customWidth="1"/>
    <col min="10259" max="10496" width="8.09765625" style="90"/>
    <col min="10497" max="10497" width="8.19921875" style="90" customWidth="1"/>
    <col min="10498" max="10498" width="6.19921875" style="90" customWidth="1"/>
    <col min="10499" max="10499" width="15.69921875" style="90" customWidth="1"/>
    <col min="10500" max="10500" width="14.59765625" style="90" customWidth="1"/>
    <col min="10501" max="10502" width="6.69921875" style="90" bestFit="1" customWidth="1"/>
    <col min="10503" max="10503" width="15.69921875" style="90" customWidth="1"/>
    <col min="10504" max="10510" width="3.8984375" style="90" customWidth="1"/>
    <col min="10511" max="10512" width="6.69921875" style="90" bestFit="1" customWidth="1"/>
    <col min="10513" max="10513" width="7.19921875" style="90" bestFit="1" customWidth="1"/>
    <col min="10514" max="10514" width="1.09765625" style="90" customWidth="1"/>
    <col min="10515" max="10752" width="8.09765625" style="90"/>
    <col min="10753" max="10753" width="8.19921875" style="90" customWidth="1"/>
    <col min="10754" max="10754" width="6.19921875" style="90" customWidth="1"/>
    <col min="10755" max="10755" width="15.69921875" style="90" customWidth="1"/>
    <col min="10756" max="10756" width="14.59765625" style="90" customWidth="1"/>
    <col min="10757" max="10758" width="6.69921875" style="90" bestFit="1" customWidth="1"/>
    <col min="10759" max="10759" width="15.69921875" style="90" customWidth="1"/>
    <col min="10760" max="10766" width="3.8984375" style="90" customWidth="1"/>
    <col min="10767" max="10768" width="6.69921875" style="90" bestFit="1" customWidth="1"/>
    <col min="10769" max="10769" width="7.19921875" style="90" bestFit="1" customWidth="1"/>
    <col min="10770" max="10770" width="1.09765625" style="90" customWidth="1"/>
    <col min="10771" max="11008" width="8.09765625" style="90"/>
    <col min="11009" max="11009" width="8.19921875" style="90" customWidth="1"/>
    <col min="11010" max="11010" width="6.19921875" style="90" customWidth="1"/>
    <col min="11011" max="11011" width="15.69921875" style="90" customWidth="1"/>
    <col min="11012" max="11012" width="14.59765625" style="90" customWidth="1"/>
    <col min="11013" max="11014" width="6.69921875" style="90" bestFit="1" customWidth="1"/>
    <col min="11015" max="11015" width="15.69921875" style="90" customWidth="1"/>
    <col min="11016" max="11022" width="3.8984375" style="90" customWidth="1"/>
    <col min="11023" max="11024" width="6.69921875" style="90" bestFit="1" customWidth="1"/>
    <col min="11025" max="11025" width="7.19921875" style="90" bestFit="1" customWidth="1"/>
    <col min="11026" max="11026" width="1.09765625" style="90" customWidth="1"/>
    <col min="11027" max="11264" width="8.09765625" style="90"/>
    <col min="11265" max="11265" width="8.19921875" style="90" customWidth="1"/>
    <col min="11266" max="11266" width="6.19921875" style="90" customWidth="1"/>
    <col min="11267" max="11267" width="15.69921875" style="90" customWidth="1"/>
    <col min="11268" max="11268" width="14.59765625" style="90" customWidth="1"/>
    <col min="11269" max="11270" width="6.69921875" style="90" bestFit="1" customWidth="1"/>
    <col min="11271" max="11271" width="15.69921875" style="90" customWidth="1"/>
    <col min="11272" max="11278" width="3.8984375" style="90" customWidth="1"/>
    <col min="11279" max="11280" width="6.69921875" style="90" bestFit="1" customWidth="1"/>
    <col min="11281" max="11281" width="7.19921875" style="90" bestFit="1" customWidth="1"/>
    <col min="11282" max="11282" width="1.09765625" style="90" customWidth="1"/>
    <col min="11283" max="11520" width="8.09765625" style="90"/>
    <col min="11521" max="11521" width="8.19921875" style="90" customWidth="1"/>
    <col min="11522" max="11522" width="6.19921875" style="90" customWidth="1"/>
    <col min="11523" max="11523" width="15.69921875" style="90" customWidth="1"/>
    <col min="11524" max="11524" width="14.59765625" style="90" customWidth="1"/>
    <col min="11525" max="11526" width="6.69921875" style="90" bestFit="1" customWidth="1"/>
    <col min="11527" max="11527" width="15.69921875" style="90" customWidth="1"/>
    <col min="11528" max="11534" width="3.8984375" style="90" customWidth="1"/>
    <col min="11535" max="11536" width="6.69921875" style="90" bestFit="1" customWidth="1"/>
    <col min="11537" max="11537" width="7.19921875" style="90" bestFit="1" customWidth="1"/>
    <col min="11538" max="11538" width="1.09765625" style="90" customWidth="1"/>
    <col min="11539" max="11776" width="8.09765625" style="90"/>
    <col min="11777" max="11777" width="8.19921875" style="90" customWidth="1"/>
    <col min="11778" max="11778" width="6.19921875" style="90" customWidth="1"/>
    <col min="11779" max="11779" width="15.69921875" style="90" customWidth="1"/>
    <col min="11780" max="11780" width="14.59765625" style="90" customWidth="1"/>
    <col min="11781" max="11782" width="6.69921875" style="90" bestFit="1" customWidth="1"/>
    <col min="11783" max="11783" width="15.69921875" style="90" customWidth="1"/>
    <col min="11784" max="11790" width="3.8984375" style="90" customWidth="1"/>
    <col min="11791" max="11792" width="6.69921875" style="90" bestFit="1" customWidth="1"/>
    <col min="11793" max="11793" width="7.19921875" style="90" bestFit="1" customWidth="1"/>
    <col min="11794" max="11794" width="1.09765625" style="90" customWidth="1"/>
    <col min="11795" max="12032" width="8.09765625" style="90"/>
    <col min="12033" max="12033" width="8.19921875" style="90" customWidth="1"/>
    <col min="12034" max="12034" width="6.19921875" style="90" customWidth="1"/>
    <col min="12035" max="12035" width="15.69921875" style="90" customWidth="1"/>
    <col min="12036" max="12036" width="14.59765625" style="90" customWidth="1"/>
    <col min="12037" max="12038" width="6.69921875" style="90" bestFit="1" customWidth="1"/>
    <col min="12039" max="12039" width="15.69921875" style="90" customWidth="1"/>
    <col min="12040" max="12046" width="3.8984375" style="90" customWidth="1"/>
    <col min="12047" max="12048" width="6.69921875" style="90" bestFit="1" customWidth="1"/>
    <col min="12049" max="12049" width="7.19921875" style="90" bestFit="1" customWidth="1"/>
    <col min="12050" max="12050" width="1.09765625" style="90" customWidth="1"/>
    <col min="12051" max="12288" width="8.09765625" style="90"/>
    <col min="12289" max="12289" width="8.19921875" style="90" customWidth="1"/>
    <col min="12290" max="12290" width="6.19921875" style="90" customWidth="1"/>
    <col min="12291" max="12291" width="15.69921875" style="90" customWidth="1"/>
    <col min="12292" max="12292" width="14.59765625" style="90" customWidth="1"/>
    <col min="12293" max="12294" width="6.69921875" style="90" bestFit="1" customWidth="1"/>
    <col min="12295" max="12295" width="15.69921875" style="90" customWidth="1"/>
    <col min="12296" max="12302" width="3.8984375" style="90" customWidth="1"/>
    <col min="12303" max="12304" width="6.69921875" style="90" bestFit="1" customWidth="1"/>
    <col min="12305" max="12305" width="7.19921875" style="90" bestFit="1" customWidth="1"/>
    <col min="12306" max="12306" width="1.09765625" style="90" customWidth="1"/>
    <col min="12307" max="12544" width="8.09765625" style="90"/>
    <col min="12545" max="12545" width="8.19921875" style="90" customWidth="1"/>
    <col min="12546" max="12546" width="6.19921875" style="90" customWidth="1"/>
    <col min="12547" max="12547" width="15.69921875" style="90" customWidth="1"/>
    <col min="12548" max="12548" width="14.59765625" style="90" customWidth="1"/>
    <col min="12549" max="12550" width="6.69921875" style="90" bestFit="1" customWidth="1"/>
    <col min="12551" max="12551" width="15.69921875" style="90" customWidth="1"/>
    <col min="12552" max="12558" width="3.8984375" style="90" customWidth="1"/>
    <col min="12559" max="12560" width="6.69921875" style="90" bestFit="1" customWidth="1"/>
    <col min="12561" max="12561" width="7.19921875" style="90" bestFit="1" customWidth="1"/>
    <col min="12562" max="12562" width="1.09765625" style="90" customWidth="1"/>
    <col min="12563" max="12800" width="8.09765625" style="90"/>
    <col min="12801" max="12801" width="8.19921875" style="90" customWidth="1"/>
    <col min="12802" max="12802" width="6.19921875" style="90" customWidth="1"/>
    <col min="12803" max="12803" width="15.69921875" style="90" customWidth="1"/>
    <col min="12804" max="12804" width="14.59765625" style="90" customWidth="1"/>
    <col min="12805" max="12806" width="6.69921875" style="90" bestFit="1" customWidth="1"/>
    <col min="12807" max="12807" width="15.69921875" style="90" customWidth="1"/>
    <col min="12808" max="12814" width="3.8984375" style="90" customWidth="1"/>
    <col min="12815" max="12816" width="6.69921875" style="90" bestFit="1" customWidth="1"/>
    <col min="12817" max="12817" width="7.19921875" style="90" bestFit="1" customWidth="1"/>
    <col min="12818" max="12818" width="1.09765625" style="90" customWidth="1"/>
    <col min="12819" max="13056" width="8.09765625" style="90"/>
    <col min="13057" max="13057" width="8.19921875" style="90" customWidth="1"/>
    <col min="13058" max="13058" width="6.19921875" style="90" customWidth="1"/>
    <col min="13059" max="13059" width="15.69921875" style="90" customWidth="1"/>
    <col min="13060" max="13060" width="14.59765625" style="90" customWidth="1"/>
    <col min="13061" max="13062" width="6.69921875" style="90" bestFit="1" customWidth="1"/>
    <col min="13063" max="13063" width="15.69921875" style="90" customWidth="1"/>
    <col min="13064" max="13070" width="3.8984375" style="90" customWidth="1"/>
    <col min="13071" max="13072" width="6.69921875" style="90" bestFit="1" customWidth="1"/>
    <col min="13073" max="13073" width="7.19921875" style="90" bestFit="1" customWidth="1"/>
    <col min="13074" max="13074" width="1.09765625" style="90" customWidth="1"/>
    <col min="13075" max="13312" width="8.09765625" style="90"/>
    <col min="13313" max="13313" width="8.19921875" style="90" customWidth="1"/>
    <col min="13314" max="13314" width="6.19921875" style="90" customWidth="1"/>
    <col min="13315" max="13315" width="15.69921875" style="90" customWidth="1"/>
    <col min="13316" max="13316" width="14.59765625" style="90" customWidth="1"/>
    <col min="13317" max="13318" width="6.69921875" style="90" bestFit="1" customWidth="1"/>
    <col min="13319" max="13319" width="15.69921875" style="90" customWidth="1"/>
    <col min="13320" max="13326" width="3.8984375" style="90" customWidth="1"/>
    <col min="13327" max="13328" width="6.69921875" style="90" bestFit="1" customWidth="1"/>
    <col min="13329" max="13329" width="7.19921875" style="90" bestFit="1" customWidth="1"/>
    <col min="13330" max="13330" width="1.09765625" style="90" customWidth="1"/>
    <col min="13331" max="13568" width="8.09765625" style="90"/>
    <col min="13569" max="13569" width="8.19921875" style="90" customWidth="1"/>
    <col min="13570" max="13570" width="6.19921875" style="90" customWidth="1"/>
    <col min="13571" max="13571" width="15.69921875" style="90" customWidth="1"/>
    <col min="13572" max="13572" width="14.59765625" style="90" customWidth="1"/>
    <col min="13573" max="13574" width="6.69921875" style="90" bestFit="1" customWidth="1"/>
    <col min="13575" max="13575" width="15.69921875" style="90" customWidth="1"/>
    <col min="13576" max="13582" width="3.8984375" style="90" customWidth="1"/>
    <col min="13583" max="13584" width="6.69921875" style="90" bestFit="1" customWidth="1"/>
    <col min="13585" max="13585" width="7.19921875" style="90" bestFit="1" customWidth="1"/>
    <col min="13586" max="13586" width="1.09765625" style="90" customWidth="1"/>
    <col min="13587" max="13824" width="8.09765625" style="90"/>
    <col min="13825" max="13825" width="8.19921875" style="90" customWidth="1"/>
    <col min="13826" max="13826" width="6.19921875" style="90" customWidth="1"/>
    <col min="13827" max="13827" width="15.69921875" style="90" customWidth="1"/>
    <col min="13828" max="13828" width="14.59765625" style="90" customWidth="1"/>
    <col min="13829" max="13830" width="6.69921875" style="90" bestFit="1" customWidth="1"/>
    <col min="13831" max="13831" width="15.69921875" style="90" customWidth="1"/>
    <col min="13832" max="13838" width="3.8984375" style="90" customWidth="1"/>
    <col min="13839" max="13840" width="6.69921875" style="90" bestFit="1" customWidth="1"/>
    <col min="13841" max="13841" width="7.19921875" style="90" bestFit="1" customWidth="1"/>
    <col min="13842" max="13842" width="1.09765625" style="90" customWidth="1"/>
    <col min="13843" max="14080" width="8.09765625" style="90"/>
    <col min="14081" max="14081" width="8.19921875" style="90" customWidth="1"/>
    <col min="14082" max="14082" width="6.19921875" style="90" customWidth="1"/>
    <col min="14083" max="14083" width="15.69921875" style="90" customWidth="1"/>
    <col min="14084" max="14084" width="14.59765625" style="90" customWidth="1"/>
    <col min="14085" max="14086" width="6.69921875" style="90" bestFit="1" customWidth="1"/>
    <col min="14087" max="14087" width="15.69921875" style="90" customWidth="1"/>
    <col min="14088" max="14094" width="3.8984375" style="90" customWidth="1"/>
    <col min="14095" max="14096" width="6.69921875" style="90" bestFit="1" customWidth="1"/>
    <col min="14097" max="14097" width="7.19921875" style="90" bestFit="1" customWidth="1"/>
    <col min="14098" max="14098" width="1.09765625" style="90" customWidth="1"/>
    <col min="14099" max="14336" width="8.09765625" style="90"/>
    <col min="14337" max="14337" width="8.19921875" style="90" customWidth="1"/>
    <col min="14338" max="14338" width="6.19921875" style="90" customWidth="1"/>
    <col min="14339" max="14339" width="15.69921875" style="90" customWidth="1"/>
    <col min="14340" max="14340" width="14.59765625" style="90" customWidth="1"/>
    <col min="14341" max="14342" width="6.69921875" style="90" bestFit="1" customWidth="1"/>
    <col min="14343" max="14343" width="15.69921875" style="90" customWidth="1"/>
    <col min="14344" max="14350" width="3.8984375" style="90" customWidth="1"/>
    <col min="14351" max="14352" width="6.69921875" style="90" bestFit="1" customWidth="1"/>
    <col min="14353" max="14353" width="7.19921875" style="90" bestFit="1" customWidth="1"/>
    <col min="14354" max="14354" width="1.09765625" style="90" customWidth="1"/>
    <col min="14355" max="14592" width="8.09765625" style="90"/>
    <col min="14593" max="14593" width="8.19921875" style="90" customWidth="1"/>
    <col min="14594" max="14594" width="6.19921875" style="90" customWidth="1"/>
    <col min="14595" max="14595" width="15.69921875" style="90" customWidth="1"/>
    <col min="14596" max="14596" width="14.59765625" style="90" customWidth="1"/>
    <col min="14597" max="14598" width="6.69921875" style="90" bestFit="1" customWidth="1"/>
    <col min="14599" max="14599" width="15.69921875" style="90" customWidth="1"/>
    <col min="14600" max="14606" width="3.8984375" style="90" customWidth="1"/>
    <col min="14607" max="14608" width="6.69921875" style="90" bestFit="1" customWidth="1"/>
    <col min="14609" max="14609" width="7.19921875" style="90" bestFit="1" customWidth="1"/>
    <col min="14610" max="14610" width="1.09765625" style="90" customWidth="1"/>
    <col min="14611" max="14848" width="8.09765625" style="90"/>
    <col min="14849" max="14849" width="8.19921875" style="90" customWidth="1"/>
    <col min="14850" max="14850" width="6.19921875" style="90" customWidth="1"/>
    <col min="14851" max="14851" width="15.69921875" style="90" customWidth="1"/>
    <col min="14852" max="14852" width="14.59765625" style="90" customWidth="1"/>
    <col min="14853" max="14854" width="6.69921875" style="90" bestFit="1" customWidth="1"/>
    <col min="14855" max="14855" width="15.69921875" style="90" customWidth="1"/>
    <col min="14856" max="14862" width="3.8984375" style="90" customWidth="1"/>
    <col min="14863" max="14864" width="6.69921875" style="90" bestFit="1" customWidth="1"/>
    <col min="14865" max="14865" width="7.19921875" style="90" bestFit="1" customWidth="1"/>
    <col min="14866" max="14866" width="1.09765625" style="90" customWidth="1"/>
    <col min="14867" max="15104" width="8.09765625" style="90"/>
    <col min="15105" max="15105" width="8.19921875" style="90" customWidth="1"/>
    <col min="15106" max="15106" width="6.19921875" style="90" customWidth="1"/>
    <col min="15107" max="15107" width="15.69921875" style="90" customWidth="1"/>
    <col min="15108" max="15108" width="14.59765625" style="90" customWidth="1"/>
    <col min="15109" max="15110" width="6.69921875" style="90" bestFit="1" customWidth="1"/>
    <col min="15111" max="15111" width="15.69921875" style="90" customWidth="1"/>
    <col min="15112" max="15118" width="3.8984375" style="90" customWidth="1"/>
    <col min="15119" max="15120" width="6.69921875" style="90" bestFit="1" customWidth="1"/>
    <col min="15121" max="15121" width="7.19921875" style="90" bestFit="1" customWidth="1"/>
    <col min="15122" max="15122" width="1.09765625" style="90" customWidth="1"/>
    <col min="15123" max="15360" width="8.09765625" style="90"/>
    <col min="15361" max="15361" width="8.19921875" style="90" customWidth="1"/>
    <col min="15362" max="15362" width="6.19921875" style="90" customWidth="1"/>
    <col min="15363" max="15363" width="15.69921875" style="90" customWidth="1"/>
    <col min="15364" max="15364" width="14.59765625" style="90" customWidth="1"/>
    <col min="15365" max="15366" width="6.69921875" style="90" bestFit="1" customWidth="1"/>
    <col min="15367" max="15367" width="15.69921875" style="90" customWidth="1"/>
    <col min="15368" max="15374" width="3.8984375" style="90" customWidth="1"/>
    <col min="15375" max="15376" width="6.69921875" style="90" bestFit="1" customWidth="1"/>
    <col min="15377" max="15377" width="7.19921875" style="90" bestFit="1" customWidth="1"/>
    <col min="15378" max="15378" width="1.09765625" style="90" customWidth="1"/>
    <col min="15379" max="15616" width="8.09765625" style="90"/>
    <col min="15617" max="15617" width="8.19921875" style="90" customWidth="1"/>
    <col min="15618" max="15618" width="6.19921875" style="90" customWidth="1"/>
    <col min="15619" max="15619" width="15.69921875" style="90" customWidth="1"/>
    <col min="15620" max="15620" width="14.59765625" style="90" customWidth="1"/>
    <col min="15621" max="15622" width="6.69921875" style="90" bestFit="1" customWidth="1"/>
    <col min="15623" max="15623" width="15.69921875" style="90" customWidth="1"/>
    <col min="15624" max="15630" width="3.8984375" style="90" customWidth="1"/>
    <col min="15631" max="15632" width="6.69921875" style="90" bestFit="1" customWidth="1"/>
    <col min="15633" max="15633" width="7.19921875" style="90" bestFit="1" customWidth="1"/>
    <col min="15634" max="15634" width="1.09765625" style="90" customWidth="1"/>
    <col min="15635" max="15872" width="8.09765625" style="90"/>
    <col min="15873" max="15873" width="8.19921875" style="90" customWidth="1"/>
    <col min="15874" max="15874" width="6.19921875" style="90" customWidth="1"/>
    <col min="15875" max="15875" width="15.69921875" style="90" customWidth="1"/>
    <col min="15876" max="15876" width="14.59765625" style="90" customWidth="1"/>
    <col min="15877" max="15878" width="6.69921875" style="90" bestFit="1" customWidth="1"/>
    <col min="15879" max="15879" width="15.69921875" style="90" customWidth="1"/>
    <col min="15880" max="15886" width="3.8984375" style="90" customWidth="1"/>
    <col min="15887" max="15888" width="6.69921875" style="90" bestFit="1" customWidth="1"/>
    <col min="15889" max="15889" width="7.19921875" style="90" bestFit="1" customWidth="1"/>
    <col min="15890" max="15890" width="1.09765625" style="90" customWidth="1"/>
    <col min="15891" max="16128" width="8.09765625" style="90"/>
    <col min="16129" max="16129" width="8.19921875" style="90" customWidth="1"/>
    <col min="16130" max="16130" width="6.19921875" style="90" customWidth="1"/>
    <col min="16131" max="16131" width="15.69921875" style="90" customWidth="1"/>
    <col min="16132" max="16132" width="14.59765625" style="90" customWidth="1"/>
    <col min="16133" max="16134" width="6.69921875" style="90" bestFit="1" customWidth="1"/>
    <col min="16135" max="16135" width="15.69921875" style="90" customWidth="1"/>
    <col min="16136" max="16142" width="3.8984375" style="90" customWidth="1"/>
    <col min="16143" max="16144" width="6.69921875" style="90" bestFit="1" customWidth="1"/>
    <col min="16145" max="16145" width="7.19921875" style="90" bestFit="1" customWidth="1"/>
    <col min="16146" max="16146" width="1.09765625" style="90" customWidth="1"/>
    <col min="16147" max="16384" width="8.09765625" style="90"/>
  </cols>
  <sheetData>
    <row r="1" spans="1:20" ht="19.5" customHeight="1" x14ac:dyDescent="0.15">
      <c r="A1" s="89" t="s">
        <v>255</v>
      </c>
      <c r="P1" s="227">
        <v>41366</v>
      </c>
      <c r="Q1" s="228"/>
      <c r="R1" s="93"/>
    </row>
    <row r="2" spans="1:20" ht="19.5" customHeight="1" x14ac:dyDescent="0.15">
      <c r="A2" s="229"/>
      <c r="B2" s="230"/>
      <c r="C2" s="230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5"/>
      <c r="P2" s="95"/>
      <c r="Q2" s="95"/>
      <c r="R2" s="93"/>
    </row>
    <row r="3" spans="1:20" ht="19.5" customHeight="1" x14ac:dyDescent="0.15">
      <c r="A3" s="231" t="s">
        <v>53</v>
      </c>
      <c r="B3" s="232"/>
      <c r="C3" s="232"/>
      <c r="D3" s="96" t="s">
        <v>54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5"/>
      <c r="P3" s="95"/>
      <c r="Q3" s="95"/>
      <c r="R3" s="93"/>
    </row>
    <row r="4" spans="1:20" ht="19.5" customHeight="1" thickBot="1" x14ac:dyDescent="0.5">
      <c r="A4" s="97" t="s">
        <v>55</v>
      </c>
      <c r="B4" s="97" t="s">
        <v>56</v>
      </c>
      <c r="C4" s="97" t="s">
        <v>57</v>
      </c>
      <c r="D4" s="97" t="s">
        <v>58</v>
      </c>
      <c r="E4" s="97" t="s">
        <v>59</v>
      </c>
      <c r="F4" s="97" t="s">
        <v>60</v>
      </c>
      <c r="G4" s="97" t="s">
        <v>61</v>
      </c>
      <c r="H4" s="97" t="s">
        <v>62</v>
      </c>
      <c r="I4" s="97" t="s">
        <v>63</v>
      </c>
      <c r="J4" s="97" t="s">
        <v>64</v>
      </c>
      <c r="K4" s="97" t="s">
        <v>65</v>
      </c>
      <c r="L4" s="97" t="s">
        <v>66</v>
      </c>
      <c r="M4" s="97" t="s">
        <v>67</v>
      </c>
      <c r="N4" s="97" t="s">
        <v>68</v>
      </c>
      <c r="O4" s="97" t="s">
        <v>69</v>
      </c>
      <c r="P4" s="97" t="s">
        <v>70</v>
      </c>
      <c r="Q4" s="97" t="s">
        <v>71</v>
      </c>
      <c r="R4" s="98"/>
      <c r="S4" s="98"/>
      <c r="T4" s="98"/>
    </row>
    <row r="5" spans="1:20" ht="19.5" customHeight="1" thickTop="1" thickBot="1" x14ac:dyDescent="0.5">
      <c r="A5" s="99"/>
      <c r="B5" s="100"/>
      <c r="C5" s="101" t="s">
        <v>72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2">
        <f>SUM(O6:O7)</f>
        <v>0</v>
      </c>
      <c r="P5" s="102"/>
      <c r="Q5" s="102">
        <f>SUM(Q6:Q7)</f>
        <v>0</v>
      </c>
    </row>
    <row r="6" spans="1:20" ht="19.5" customHeight="1" thickTop="1" x14ac:dyDescent="0.45">
      <c r="A6" s="103"/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6"/>
      <c r="P6" s="106"/>
      <c r="Q6" s="106"/>
      <c r="R6" s="98"/>
      <c r="S6" s="98"/>
      <c r="T6" s="98"/>
    </row>
    <row r="7" spans="1:20" ht="19.5" customHeight="1" x14ac:dyDescent="0.45">
      <c r="A7" s="107"/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10"/>
      <c r="P7" s="110"/>
      <c r="Q7" s="106"/>
    </row>
  </sheetData>
  <mergeCells count="3">
    <mergeCell ref="P1:Q1"/>
    <mergeCell ref="A2:C2"/>
    <mergeCell ref="A3:C3"/>
  </mergeCells>
  <phoneticPr fontId="2"/>
  <pageMargins left="0.5" right="0" top="0.25" bottom="0.25" header="0.25" footer="0.25"/>
  <pageSetup paperSize="9" orientation="landscape" horizontalDpi="300" verticalDpi="300" r:id="rId1"/>
  <headerFooter alignWithMargins="0">
    <oddFooter>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18</vt:i4>
      </vt:variant>
    </vt:vector>
  </HeadingPairs>
  <TitlesOfParts>
    <vt:vector size="28" baseType="lpstr">
      <vt:lpstr>概要</vt:lpstr>
      <vt:lpstr>変更履歴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チーム</vt:lpstr>
      <vt:lpstr>作成日</vt:lpstr>
      <vt:lpstr>仕入先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2024-10-16T04:58:07Z</cp:lastPrinted>
  <dcterms:created xsi:type="dcterms:W3CDTF">2021-04-12T04:47:05Z</dcterms:created>
  <dcterms:modified xsi:type="dcterms:W3CDTF">2025-05-24T05:31:24Z</dcterms:modified>
</cp:coreProperties>
</file>