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参照" sheetId="12" state="hidden" r:id="rId8"/>
  </sheets>
  <definedNames>
    <definedName name="_xlnm.Print_Area" localSheetId="1">概要!$A$1:$BN$31</definedName>
    <definedName name="_xlnm.Print_Area" localSheetId="3">項目一覧!$A$1:$BX$62</definedName>
    <definedName name="_xlnm.Print_Area" localSheetId="4">処理詳細!$A$1:$BR$30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<sst xmlns="http://schemas.openxmlformats.org/spreadsheetml/2006/main" count="308" uniqueCount="155">
  <si>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</si>
  <si>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</si>
  <si>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</si>
  <si>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</si>
  <si>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</si>
  <si>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</si>
  <si>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</si>
  <si>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</si>
  <si>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</si>
  <si>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</si>
  <si>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</si>
  <si>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</si>
  <si>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</si>
  <si>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</si>
  <si>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</si>
  <si>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</si>
  <si>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</si>
  <si>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</si>
  <si>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</si>
  <si>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</si>
  <si>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</si>
  <si>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</si>
  <si>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</si>
  <si>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</si>
  <si>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</si>
  <si>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</si>
  <si>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</si>
  <si>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</si>
  <si>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</si>
  <si>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</si>
  <si>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</si>
  <si>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</si>
  <si>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</si>
  <si>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</si>
  <si>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</si>
  <si>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</si>
  <si>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</si>
  <si>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</si>
  <si>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</si>
  <si>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</si>
  <si>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</si>
  <si>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</si>
  <si>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</si>
  <si>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</si>
  <si>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</si>
  <si>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</si>
  <si>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</si>
  <si>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</si>
  <si>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</si>
  <si>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</si>
  <si>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</si>
  <si>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</si>
  <si>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</si>
  <si>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</si>
  <si>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</si>
  <si>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</si>
  <si>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</si>
  <si>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</si>
  <si>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</si>
  <si>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</si>
  <si>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</si>
  <si>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</si>
  <si>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</si>
  <si>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</si>
  <si>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</si>
  <si>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</si>
  <si>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</si>
  <si>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</si>
  <si>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</si>
  <si>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</si>
  <si>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</si>
  <si>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</si>
  <si>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</si>
  <si>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</si>
  <si>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</si>
  <si>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</si>
  <si>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</si>
  <si>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</si>
  <si>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</si>
  <si>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</si>
  <si>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</si>
  <si>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</si>
  <si>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</si>
  <si>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</si>
  <si>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</si>
  <si>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</si>
  <si>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</si>
  <si>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</si>
  <si>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</si>
  <si>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</si>
  <si>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</si>
  <si>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CSV</t>
    <phoneticPr fontId="2"/>
  </si>
  <si>
    <t>csv</t>
    <phoneticPr fontId="2"/>
  </si>
  <si>
    <t>SJIS</t>
    <phoneticPr fontId="2"/>
  </si>
  <si>
    <t>可変長</t>
    <rPh sb="0" eb="3">
      <t>カヘンチョウ</t>
    </rPh>
    <phoneticPr fontId="2"/>
  </si>
  <si>
    <t>カンマ</t>
    <phoneticPr fontId="2"/>
  </si>
  <si>
    <t>年</t>
  </si>
  <si>
    <t>月</t>
  </si>
  <si>
    <t>日</t>
  </si>
  <si>
    <t>伝票番号</t>
  </si>
  <si>
    <t>借方金額</t>
  </si>
  <si>
    <t>借方勘定科目CD</t>
  </si>
  <si>
    <t>借方勘定科目名</t>
  </si>
  <si>
    <t>借方消費税CD</t>
  </si>
  <si>
    <t>借方消費税率</t>
  </si>
  <si>
    <t>借方業種</t>
  </si>
  <si>
    <t>借方補助科目CD</t>
  </si>
  <si>
    <t>借方補助科目名</t>
  </si>
  <si>
    <t>借方部門CD</t>
  </si>
  <si>
    <t>借方部門名</t>
  </si>
  <si>
    <t>貸方勘定科目CD</t>
  </si>
  <si>
    <t>貸方勘定科目名</t>
  </si>
  <si>
    <t>貸方消費税CD</t>
  </si>
  <si>
    <t>貸方消費税率</t>
  </si>
  <si>
    <t>貸方業種</t>
  </si>
  <si>
    <t>貸方補助科目CD</t>
  </si>
  <si>
    <t>貸方補助科目名</t>
  </si>
  <si>
    <t>貸方部門CD</t>
  </si>
  <si>
    <t>貸方部門名</t>
  </si>
  <si>
    <t>貸方金額</t>
  </si>
  <si>
    <t>摘要</t>
  </si>
  <si>
    <t>期日_年</t>
  </si>
  <si>
    <t>期日_月</t>
  </si>
  <si>
    <t>期日_日</t>
  </si>
  <si>
    <t>手形番号</t>
  </si>
  <si>
    <t>半角</t>
    <rPh sb="0" eb="2">
      <t>ハンカク</t>
    </rPh>
    <phoneticPr fontId="1"/>
  </si>
  <si>
    <t>全角</t>
    <rPh sb="0" eb="2">
      <t>ゼンカク</t>
    </rPh>
    <phoneticPr fontId="1"/>
  </si>
  <si>
    <t>Null許容</t>
    <rPh sb="4" eb="6">
      <t>キョヨウ</t>
    </rPh>
    <phoneticPr fontId="1"/>
  </si>
  <si>
    <t>ダブルコーテーションで囲う</t>
    <rPh sb="11" eb="12">
      <t>カコ</t>
    </rPh>
    <phoneticPr fontId="1"/>
  </si>
  <si>
    <t>ダブルコーテーション</t>
    <phoneticPr fontId="2"/>
  </si>
  <si>
    <t>Null</t>
    <phoneticPr fontId="1"/>
  </si>
  <si>
    <t>取込EXCEL.B列</t>
    <rPh sb="0" eb="2">
      <t>トリコミ</t>
    </rPh>
    <rPh sb="9" eb="10">
      <t>レツ</t>
    </rPh>
    <phoneticPr fontId="1"/>
  </si>
  <si>
    <t>取込EXCEL.C列</t>
    <rPh sb="0" eb="2">
      <t>トリコミ</t>
    </rPh>
    <rPh sb="9" eb="10">
      <t>レツ</t>
    </rPh>
    <phoneticPr fontId="1"/>
  </si>
  <si>
    <t>取込EXCEL.D列</t>
    <rPh sb="0" eb="2">
      <t>トリコミ</t>
    </rPh>
    <rPh sb="9" eb="10">
      <t>レツ</t>
    </rPh>
    <phoneticPr fontId="1"/>
  </si>
  <si>
    <t>取込EXCEL.A列</t>
    <rPh sb="0" eb="2">
      <t>トリコミ</t>
    </rPh>
    <rPh sb="9" eb="10">
      <t>レツ</t>
    </rPh>
    <phoneticPr fontId="1"/>
  </si>
  <si>
    <t>取込EXCEL.Q列</t>
    <rPh sb="0" eb="2">
      <t>トリコミ</t>
    </rPh>
    <rPh sb="9" eb="10">
      <t>レツ</t>
    </rPh>
    <phoneticPr fontId="1"/>
  </si>
  <si>
    <t>取込EXCEL.E列</t>
    <rPh sb="0" eb="2">
      <t>トリコミ</t>
    </rPh>
    <rPh sb="9" eb="10">
      <t>レツ</t>
    </rPh>
    <phoneticPr fontId="1"/>
  </si>
  <si>
    <t>取込EXCEL.I列</t>
    <rPh sb="0" eb="2">
      <t>トリコミ</t>
    </rPh>
    <rPh sb="9" eb="10">
      <t>レツ</t>
    </rPh>
    <phoneticPr fontId="1"/>
  </si>
  <si>
    <t>取込EXCEL.H列</t>
    <rPh sb="0" eb="2">
      <t>トリコミ</t>
    </rPh>
    <rPh sb="9" eb="10">
      <t>レツ</t>
    </rPh>
    <phoneticPr fontId="1"/>
  </si>
  <si>
    <t>取込EXCEL.J列</t>
    <phoneticPr fontId="1"/>
  </si>
  <si>
    <t>取込EXCEL.F列</t>
    <phoneticPr fontId="1"/>
  </si>
  <si>
    <t>取込EXCEL.K列</t>
    <phoneticPr fontId="1"/>
  </si>
  <si>
    <t>取込EXCEL.O列</t>
    <phoneticPr fontId="1"/>
  </si>
  <si>
    <t>取込EXCEL.G列</t>
    <rPh sb="0" eb="2">
      <t>トリコミ</t>
    </rPh>
    <rPh sb="9" eb="10">
      <t>レツ</t>
    </rPh>
    <phoneticPr fontId="1"/>
  </si>
  <si>
    <t>取込EXCEL.M列</t>
    <phoneticPr fontId="1"/>
  </si>
  <si>
    <t>取込EXCEL.N列</t>
    <phoneticPr fontId="1"/>
  </si>
  <si>
    <t>取込EXCEL.L列</t>
    <phoneticPr fontId="1"/>
  </si>
  <si>
    <t>取込EXCEL.P列</t>
    <phoneticPr fontId="1"/>
  </si>
  <si>
    <t>取込EXCEL.R列</t>
    <phoneticPr fontId="1"/>
  </si>
  <si>
    <t>取込EXCEL.S列</t>
    <phoneticPr fontId="1"/>
  </si>
  <si>
    <t>SQLなし</t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</si>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</sst>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9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206187</xdr:colOff>
      <xdr:row>7</xdr:row>
      <xdr:rowOff>89647</xdr:rowOff>
    </xdr:from>
    <xdr:to>
      <xdr:col>58</xdr:col>
      <xdr:colOff>206188</xdr:colOff>
      <xdr:row>35</xdr:row>
      <xdr:rowOff>123450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681" y="1470212"/>
          <a:ext cx="15284825" cy="7062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153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31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4"/>
    </row>
    <row r="3" spans="1:66" ht="20.100000000000001" customHeight="1" x14ac:dyDescent="0.45">
      <c r="A3" s="8"/>
      <c r="B3" s="151" t="s">
        <v>151</v>
      </c>
      <c r="C3" s="139"/>
      <c r="D3" s="139"/>
      <c r="E3" s="139"/>
      <c r="F3" s="139"/>
      <c r="G3" s="139"/>
      <c r="H3" s="139" t="str">
        <f ca="1">LEFT($X$3,FIND("_",$X$3)-1)</f>
        <v>KH0500</v>
      </c>
      <c r="I3" s="139"/>
      <c r="J3" s="139"/>
      <c r="K3" s="139"/>
      <c r="L3" s="139" t="s">
        <v>152</v>
      </c>
      <c r="M3" s="139"/>
      <c r="N3" s="139"/>
      <c r="O3" s="139"/>
      <c r="P3" s="139"/>
      <c r="Q3" s="139"/>
      <c r="R3" s="152" t="str">
        <f ca="1">MID($X$3,FIND("_",$X$3,FIND("_",$X$3)+1)+1,LEN($X$3)-FIND("_",$X$3,FIND("_",$X$3)+1))</f>
        <v>帳票設計書</v>
      </c>
      <c r="S3" s="139"/>
      <c r="T3" s="139"/>
      <c r="U3" s="139"/>
      <c r="V3" s="139"/>
      <c r="W3" s="139"/>
      <c r="X3" s="142" t="str">
        <f ca="1">REPLACE(LEFT(CELL("filename",$B$2),FIND(".x",CELL("filename",$B$2))-1),1,FIND("[",CELL("filename",$B$2)),)</f>
        <v>KH0500_EXCEL仕訳TXT_帳票設計書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MID($X$3,FIND("_",$X$3)+1,FIND("_",$X$3,FIND("_",$X$3)+1)-FIND("_",$X$3)-1)</f>
        <v>EXCEL仕訳TXT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v>45576</v>
      </c>
      <c r="AY3" s="139"/>
      <c r="AZ3" s="139"/>
      <c r="BA3" s="139"/>
      <c r="BB3" s="139" t="s">
        <v>154</v>
      </c>
      <c r="BC3" s="139"/>
      <c r="BD3" s="139"/>
      <c r="BE3" s="139"/>
      <c r="BF3" s="138">
        <v>45576</v>
      </c>
      <c r="BG3" s="139"/>
      <c r="BH3" s="139"/>
      <c r="BI3" s="139"/>
      <c r="BJ3" s="139" t="s">
        <v>154</v>
      </c>
      <c r="BK3" s="139"/>
      <c r="BL3" s="139"/>
      <c r="BM3" s="141"/>
      <c r="BN3" s="14"/>
    </row>
    <row r="4" spans="1:66" ht="20.100000000000001" customHeight="1" thickBot="1" x14ac:dyDescent="0.5">
      <c r="A4" s="8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35" t="s">
        <v>8</v>
      </c>
      <c r="D8" s="135"/>
      <c r="E8" s="135"/>
      <c r="F8" s="135"/>
      <c r="G8" s="135" t="s">
        <v>9</v>
      </c>
      <c r="H8" s="135"/>
      <c r="I8" s="135"/>
      <c r="J8" s="135"/>
      <c r="K8" s="135" t="s">
        <v>10</v>
      </c>
      <c r="L8" s="135"/>
      <c r="M8" s="135"/>
      <c r="N8" s="135"/>
      <c r="O8" s="135" t="s">
        <v>11</v>
      </c>
      <c r="P8" s="135"/>
      <c r="Q8" s="135"/>
      <c r="R8" s="135"/>
      <c r="S8" s="135"/>
      <c r="T8" s="135"/>
      <c r="U8" s="135"/>
      <c r="V8" s="135"/>
      <c r="W8" s="135"/>
      <c r="X8" s="135"/>
      <c r="Y8" s="135" t="s">
        <v>12</v>
      </c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7"/>
      <c r="BN8" s="14"/>
    </row>
    <row r="9" spans="1:66" ht="20.100000000000001" customHeight="1" x14ac:dyDescent="0.45">
      <c r="A9" s="8"/>
      <c r="B9" s="7"/>
      <c r="C9" s="134">
        <v>45576</v>
      </c>
      <c r="D9" s="132"/>
      <c r="E9" s="132"/>
      <c r="F9" s="133"/>
      <c r="G9" s="128" t="s">
        <v>16</v>
      </c>
      <c r="H9" s="129"/>
      <c r="I9" s="129"/>
      <c r="J9" s="130"/>
      <c r="K9" s="131" t="s">
        <v>154</v>
      </c>
      <c r="L9" s="132"/>
      <c r="M9" s="132"/>
      <c r="N9" s="13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4"/>
      <c r="D10" s="132"/>
      <c r="E10" s="132"/>
      <c r="F10" s="133"/>
      <c r="G10" s="128"/>
      <c r="H10" s="129"/>
      <c r="I10" s="129"/>
      <c r="J10" s="130"/>
      <c r="K10" s="131"/>
      <c r="L10" s="132"/>
      <c r="M10" s="132"/>
      <c r="N10" s="13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4"/>
      <c r="D11" s="132"/>
      <c r="E11" s="132"/>
      <c r="F11" s="133"/>
      <c r="G11" s="128"/>
      <c r="H11" s="129"/>
      <c r="I11" s="129"/>
      <c r="J11" s="130"/>
      <c r="K11" s="131"/>
      <c r="L11" s="132"/>
      <c r="M11" s="132"/>
      <c r="N11" s="13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4"/>
      <c r="D36" s="132"/>
      <c r="E36" s="132"/>
      <c r="F36" s="133"/>
      <c r="G36" s="128"/>
      <c r="H36" s="129"/>
      <c r="I36" s="129"/>
      <c r="J36" s="130"/>
      <c r="K36" s="131"/>
      <c r="L36" s="132"/>
      <c r="M36" s="132"/>
      <c r="N36" s="13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4"/>
      <c r="D37" s="132"/>
      <c r="E37" s="132"/>
      <c r="F37" s="133"/>
      <c r="G37" s="128"/>
      <c r="H37" s="129"/>
      <c r="I37" s="129"/>
      <c r="J37" s="130"/>
      <c r="K37" s="131"/>
      <c r="L37" s="132"/>
      <c r="M37" s="132"/>
      <c r="N37" s="13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4"/>
      <c r="D38" s="132"/>
      <c r="E38" s="132"/>
      <c r="F38" s="133"/>
      <c r="G38" s="128"/>
      <c r="H38" s="129"/>
      <c r="I38" s="129"/>
      <c r="J38" s="130"/>
      <c r="K38" s="131"/>
      <c r="L38" s="132"/>
      <c r="M38" s="132"/>
      <c r="N38" s="13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4"/>
      <c r="D39" s="132"/>
      <c r="E39" s="132"/>
      <c r="F39" s="133"/>
      <c r="G39" s="128"/>
      <c r="H39" s="129"/>
      <c r="I39" s="129"/>
      <c r="J39" s="130"/>
      <c r="K39" s="131"/>
      <c r="L39" s="132"/>
      <c r="M39" s="132"/>
      <c r="N39" s="13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4"/>
      <c r="D40" s="132"/>
      <c r="E40" s="132"/>
      <c r="F40" s="133"/>
      <c r="G40" s="128"/>
      <c r="H40" s="129"/>
      <c r="I40" s="129"/>
      <c r="J40" s="130"/>
      <c r="K40" s="131"/>
      <c r="L40" s="132"/>
      <c r="M40" s="132"/>
      <c r="N40" s="13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4"/>
      <c r="D41" s="132"/>
      <c r="E41" s="132"/>
      <c r="F41" s="133"/>
      <c r="G41" s="128"/>
      <c r="H41" s="129"/>
      <c r="I41" s="129"/>
      <c r="J41" s="130"/>
      <c r="K41" s="131"/>
      <c r="L41" s="132"/>
      <c r="M41" s="132"/>
      <c r="N41" s="13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4"/>
      <c r="D42" s="132"/>
      <c r="E42" s="132"/>
      <c r="F42" s="133"/>
      <c r="G42" s="128"/>
      <c r="H42" s="129"/>
      <c r="I42" s="129"/>
      <c r="J42" s="130"/>
      <c r="K42" s="131"/>
      <c r="L42" s="132"/>
      <c r="M42" s="132"/>
      <c r="N42" s="13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4"/>
      <c r="D43" s="132"/>
      <c r="E43" s="132"/>
      <c r="F43" s="133"/>
      <c r="G43" s="128"/>
      <c r="H43" s="129"/>
      <c r="I43" s="129"/>
      <c r="J43" s="130"/>
      <c r="K43" s="131"/>
      <c r="L43" s="132"/>
      <c r="M43" s="132"/>
      <c r="N43" s="13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4"/>
      <c r="D44" s="132"/>
      <c r="E44" s="132"/>
      <c r="F44" s="133"/>
      <c r="G44" s="128"/>
      <c r="H44" s="129"/>
      <c r="I44" s="129"/>
      <c r="J44" s="130"/>
      <c r="K44" s="131"/>
      <c r="L44" s="132"/>
      <c r="M44" s="132"/>
      <c r="N44" s="13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4"/>
      <c r="D45" s="132"/>
      <c r="E45" s="132"/>
      <c r="F45" s="133"/>
      <c r="G45" s="128"/>
      <c r="H45" s="129"/>
      <c r="I45" s="129"/>
      <c r="J45" s="130"/>
      <c r="K45" s="131"/>
      <c r="L45" s="132"/>
      <c r="M45" s="132"/>
      <c r="N45" s="13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4"/>
      <c r="D46" s="132"/>
      <c r="E46" s="132"/>
      <c r="F46" s="133"/>
      <c r="G46" s="128"/>
      <c r="H46" s="129"/>
      <c r="I46" s="129"/>
      <c r="J46" s="130"/>
      <c r="K46" s="131"/>
      <c r="L46" s="132"/>
      <c r="M46" s="132"/>
      <c r="N46" s="13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4"/>
      <c r="D47" s="132"/>
      <c r="E47" s="132"/>
      <c r="F47" s="133"/>
      <c r="G47" s="128"/>
      <c r="H47" s="129"/>
      <c r="I47" s="129"/>
      <c r="J47" s="130"/>
      <c r="K47" s="131"/>
      <c r="L47" s="132"/>
      <c r="M47" s="132"/>
      <c r="N47" s="13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153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35"/>
    </row>
    <row r="3" spans="1:66" ht="20.100000000000001" customHeight="1" x14ac:dyDescent="0.45">
      <c r="A3" s="32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KH0500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KH0500_EXCEL仕訳TXT_帳票設計書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45576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45576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35"/>
    </row>
    <row r="4" spans="1:66" ht="20.100000000000001" customHeight="1" thickBot="1" x14ac:dyDescent="0.5">
      <c r="A4" s="32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EXCEL仕訳TXT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129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94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90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153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5"/>
    </row>
    <row r="3" spans="1:66" ht="20.100000000000001" customHeight="1" x14ac:dyDescent="0.45">
      <c r="A3" s="9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KH0500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KH0500_EXCEL仕訳TXT_帳票設計書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45576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45576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15"/>
    </row>
    <row r="4" spans="1:66" ht="20.100000000000001" customHeight="1" thickBot="1" x14ac:dyDescent="0.5">
      <c r="A4" s="9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3" t="s">
        <v>0</v>
      </c>
      <c r="C2" s="136"/>
      <c r="D2" s="136"/>
      <c r="E2" s="136"/>
      <c r="F2" s="136"/>
      <c r="G2" s="136"/>
      <c r="H2" s="136" t="s">
        <v>17</v>
      </c>
      <c r="I2" s="136"/>
      <c r="J2" s="136"/>
      <c r="K2" s="136"/>
      <c r="L2" s="136" t="s">
        <v>153</v>
      </c>
      <c r="M2" s="136"/>
      <c r="N2" s="136"/>
      <c r="O2" s="136"/>
      <c r="P2" s="136"/>
      <c r="Q2" s="136"/>
      <c r="R2" s="136" t="s">
        <v>2</v>
      </c>
      <c r="S2" s="136"/>
      <c r="T2" s="136"/>
      <c r="U2" s="136"/>
      <c r="V2" s="136"/>
      <c r="W2" s="136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36" t="s">
        <v>5</v>
      </c>
      <c r="AY2" s="136"/>
      <c r="AZ2" s="136"/>
      <c r="BA2" s="136"/>
      <c r="BB2" s="136" t="s">
        <v>4</v>
      </c>
      <c r="BC2" s="136"/>
      <c r="BD2" s="136"/>
      <c r="BE2" s="136"/>
      <c r="BF2" s="136" t="s">
        <v>6</v>
      </c>
      <c r="BG2" s="136"/>
      <c r="BH2" s="136"/>
      <c r="BI2" s="136"/>
      <c r="BJ2" s="136" t="s">
        <v>7</v>
      </c>
      <c r="BK2" s="136"/>
      <c r="BL2" s="136"/>
      <c r="BM2" s="137"/>
      <c r="BN2" s="15"/>
    </row>
    <row r="3" spans="1:85" ht="20.100000000000001" customHeight="1" x14ac:dyDescent="0.45">
      <c r="A3" s="9"/>
      <c r="B3" s="151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KH0500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KH0500_EXCEL仕訳TXT_帳票設計書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45576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45576</v>
      </c>
      <c r="BG3" s="138"/>
      <c r="BH3" s="138"/>
      <c r="BI3" s="138"/>
      <c r="BJ3" s="139" t="str">
        <f>変更履歴!BJ3</f>
        <v>大谷</v>
      </c>
      <c r="BK3" s="139"/>
      <c r="BL3" s="139"/>
      <c r="BM3" s="141"/>
      <c r="BN3" s="15"/>
    </row>
    <row r="4" spans="1:85" ht="20.100000000000001" customHeight="1" thickBot="1" x14ac:dyDescent="0.5">
      <c r="A4" s="9"/>
      <c r="B4" s="144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5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7"/>
      <c r="AK4" s="145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7"/>
      <c r="AX4" s="154"/>
      <c r="AY4" s="154"/>
      <c r="AZ4" s="154"/>
      <c r="BA4" s="154"/>
      <c r="BB4" s="140"/>
      <c r="BC4" s="140"/>
      <c r="BD4" s="140"/>
      <c r="BE4" s="140"/>
      <c r="BF4" s="154"/>
      <c r="BG4" s="154"/>
      <c r="BH4" s="154"/>
      <c r="BI4" s="154"/>
      <c r="BJ4" s="140"/>
      <c r="BK4" s="140"/>
      <c r="BL4" s="140"/>
      <c r="BM4" s="142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74" t="s">
        <v>20</v>
      </c>
      <c r="F10" s="175"/>
      <c r="G10" s="175"/>
      <c r="H10" s="175"/>
      <c r="I10" s="175"/>
      <c r="J10" s="175"/>
      <c r="K10" s="175"/>
      <c r="L10" s="176"/>
      <c r="M10" s="177" t="s">
        <v>24</v>
      </c>
      <c r="N10" s="178"/>
      <c r="O10" s="178"/>
      <c r="P10" s="177" t="s">
        <v>33</v>
      </c>
      <c r="Q10" s="178"/>
      <c r="R10" s="178"/>
      <c r="S10" s="177" t="s">
        <v>34</v>
      </c>
      <c r="T10" s="178"/>
      <c r="U10" s="178"/>
      <c r="V10" s="177" t="s">
        <v>36</v>
      </c>
      <c r="W10" s="178"/>
      <c r="X10" s="178"/>
      <c r="Y10" s="178"/>
      <c r="Z10" s="178"/>
      <c r="AA10" s="180"/>
      <c r="AB10" s="177" t="s">
        <v>35</v>
      </c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80"/>
      <c r="AR10" s="177" t="s">
        <v>42</v>
      </c>
      <c r="AS10" s="178"/>
      <c r="AT10" s="178"/>
      <c r="AU10" s="178"/>
      <c r="AV10" s="178"/>
      <c r="AW10" s="180"/>
      <c r="AX10" s="177" t="s">
        <v>43</v>
      </c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9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55" t="s">
        <v>96</v>
      </c>
      <c r="F11" s="156"/>
      <c r="G11" s="156"/>
      <c r="H11" s="156"/>
      <c r="I11" s="156"/>
      <c r="J11" s="156"/>
      <c r="K11" s="156"/>
      <c r="L11" s="157"/>
      <c r="M11" s="131" t="s">
        <v>47</v>
      </c>
      <c r="N11" s="132"/>
      <c r="O11" s="132"/>
      <c r="P11" s="131" t="s">
        <v>125</v>
      </c>
      <c r="Q11" s="132"/>
      <c r="R11" s="132"/>
      <c r="S11" s="131"/>
      <c r="T11" s="132"/>
      <c r="U11" s="132"/>
      <c r="V11" s="158" t="s">
        <v>131</v>
      </c>
      <c r="W11" s="159"/>
      <c r="X11" s="159"/>
      <c r="Y11" s="159"/>
      <c r="Z11" s="159"/>
      <c r="AA11" s="160"/>
      <c r="AB11" s="161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3"/>
      <c r="AR11" s="131"/>
      <c r="AS11" s="132"/>
      <c r="AT11" s="132"/>
      <c r="AU11" s="132"/>
      <c r="AV11" s="132"/>
      <c r="AW11" s="133"/>
      <c r="AX11" s="158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64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55" t="s">
        <v>97</v>
      </c>
      <c r="F12" s="156"/>
      <c r="G12" s="156"/>
      <c r="H12" s="156"/>
      <c r="I12" s="156"/>
      <c r="J12" s="156"/>
      <c r="K12" s="156"/>
      <c r="L12" s="157"/>
      <c r="M12" s="131" t="s">
        <v>47</v>
      </c>
      <c r="N12" s="132"/>
      <c r="O12" s="132"/>
      <c r="P12" s="131" t="s">
        <v>125</v>
      </c>
      <c r="Q12" s="132"/>
      <c r="R12" s="132"/>
      <c r="S12" s="131"/>
      <c r="T12" s="132"/>
      <c r="U12" s="132"/>
      <c r="V12" s="158" t="s">
        <v>132</v>
      </c>
      <c r="W12" s="159"/>
      <c r="X12" s="159"/>
      <c r="Y12" s="159"/>
      <c r="Z12" s="159"/>
      <c r="AA12" s="160"/>
      <c r="AB12" s="161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3"/>
      <c r="AR12" s="131"/>
      <c r="AS12" s="132"/>
      <c r="AT12" s="132"/>
      <c r="AU12" s="132"/>
      <c r="AV12" s="132"/>
      <c r="AW12" s="133"/>
      <c r="AX12" s="158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64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55" t="s">
        <v>98</v>
      </c>
      <c r="F13" s="156"/>
      <c r="G13" s="156"/>
      <c r="H13" s="156"/>
      <c r="I13" s="156"/>
      <c r="J13" s="156"/>
      <c r="K13" s="156"/>
      <c r="L13" s="157"/>
      <c r="M13" s="131" t="s">
        <v>47</v>
      </c>
      <c r="N13" s="132"/>
      <c r="O13" s="132"/>
      <c r="P13" s="131" t="s">
        <v>125</v>
      </c>
      <c r="Q13" s="132"/>
      <c r="R13" s="132"/>
      <c r="S13" s="131"/>
      <c r="T13" s="132"/>
      <c r="U13" s="132"/>
      <c r="V13" s="158" t="s">
        <v>133</v>
      </c>
      <c r="W13" s="159"/>
      <c r="X13" s="159"/>
      <c r="Y13" s="159"/>
      <c r="Z13" s="159"/>
      <c r="AA13" s="160"/>
      <c r="AB13" s="161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3"/>
      <c r="AR13" s="131"/>
      <c r="AS13" s="132"/>
      <c r="AT13" s="132"/>
      <c r="AU13" s="132"/>
      <c r="AV13" s="132"/>
      <c r="AW13" s="133"/>
      <c r="AX13" s="158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64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55" t="s">
        <v>99</v>
      </c>
      <c r="F14" s="156"/>
      <c r="G14" s="156"/>
      <c r="H14" s="156"/>
      <c r="I14" s="156"/>
      <c r="J14" s="156"/>
      <c r="K14" s="156"/>
      <c r="L14" s="157"/>
      <c r="M14" s="131" t="s">
        <v>47</v>
      </c>
      <c r="N14" s="132"/>
      <c r="O14" s="132"/>
      <c r="P14" s="131" t="s">
        <v>125</v>
      </c>
      <c r="Q14" s="132"/>
      <c r="R14" s="132"/>
      <c r="S14" s="131"/>
      <c r="T14" s="132"/>
      <c r="U14" s="132"/>
      <c r="V14" s="158" t="s">
        <v>134</v>
      </c>
      <c r="W14" s="159"/>
      <c r="X14" s="159"/>
      <c r="Y14" s="159"/>
      <c r="Z14" s="159"/>
      <c r="AA14" s="160"/>
      <c r="AB14" s="161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3"/>
      <c r="AR14" s="131"/>
      <c r="AS14" s="132"/>
      <c r="AT14" s="132"/>
      <c r="AU14" s="132"/>
      <c r="AV14" s="132"/>
      <c r="AW14" s="133"/>
      <c r="AX14" s="158" t="s">
        <v>127</v>
      </c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64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55" t="s">
        <v>100</v>
      </c>
      <c r="F15" s="156"/>
      <c r="G15" s="156"/>
      <c r="H15" s="156"/>
      <c r="I15" s="156"/>
      <c r="J15" s="156"/>
      <c r="K15" s="156"/>
      <c r="L15" s="157"/>
      <c r="M15" s="131" t="s">
        <v>47</v>
      </c>
      <c r="N15" s="132"/>
      <c r="O15" s="132"/>
      <c r="P15" s="131" t="s">
        <v>125</v>
      </c>
      <c r="Q15" s="132"/>
      <c r="R15" s="132"/>
      <c r="S15" s="131"/>
      <c r="T15" s="132"/>
      <c r="U15" s="132"/>
      <c r="V15" s="158" t="s">
        <v>135</v>
      </c>
      <c r="W15" s="159"/>
      <c r="X15" s="159"/>
      <c r="Y15" s="159"/>
      <c r="Z15" s="159"/>
      <c r="AA15" s="160"/>
      <c r="AB15" s="161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3"/>
      <c r="AR15" s="131"/>
      <c r="AS15" s="132"/>
      <c r="AT15" s="132"/>
      <c r="AU15" s="132"/>
      <c r="AV15" s="132"/>
      <c r="AW15" s="133"/>
      <c r="AX15" s="158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  <c r="BP15" s="159"/>
      <c r="BQ15" s="159"/>
      <c r="BR15" s="159"/>
      <c r="BS15" s="159"/>
      <c r="BT15" s="164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55" t="s">
        <v>101</v>
      </c>
      <c r="F16" s="156"/>
      <c r="G16" s="156"/>
      <c r="H16" s="156"/>
      <c r="I16" s="156"/>
      <c r="J16" s="156"/>
      <c r="K16" s="156"/>
      <c r="L16" s="157"/>
      <c r="M16" s="131" t="s">
        <v>47</v>
      </c>
      <c r="N16" s="132"/>
      <c r="O16" s="132"/>
      <c r="P16" s="131" t="s">
        <v>125</v>
      </c>
      <c r="Q16" s="132"/>
      <c r="R16" s="132"/>
      <c r="S16" s="131"/>
      <c r="T16" s="132"/>
      <c r="U16" s="132"/>
      <c r="V16" s="158" t="s">
        <v>136</v>
      </c>
      <c r="W16" s="159"/>
      <c r="X16" s="159"/>
      <c r="Y16" s="159"/>
      <c r="Z16" s="159"/>
      <c r="AA16" s="160"/>
      <c r="AB16" s="161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3"/>
      <c r="AR16" s="131"/>
      <c r="AS16" s="132"/>
      <c r="AT16" s="132"/>
      <c r="AU16" s="132"/>
      <c r="AV16" s="132"/>
      <c r="AW16" s="133"/>
      <c r="AX16" s="158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64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55" t="s">
        <v>102</v>
      </c>
      <c r="F17" s="156"/>
      <c r="G17" s="156"/>
      <c r="H17" s="156"/>
      <c r="I17" s="156"/>
      <c r="J17" s="156"/>
      <c r="K17" s="156"/>
      <c r="L17" s="157"/>
      <c r="M17" s="131" t="s">
        <v>38</v>
      </c>
      <c r="N17" s="132"/>
      <c r="O17" s="132"/>
      <c r="P17" s="131" t="s">
        <v>126</v>
      </c>
      <c r="Q17" s="132"/>
      <c r="R17" s="132"/>
      <c r="S17" s="131">
        <v>24</v>
      </c>
      <c r="T17" s="132"/>
      <c r="U17" s="132"/>
      <c r="V17" s="158" t="s">
        <v>137</v>
      </c>
      <c r="W17" s="159"/>
      <c r="X17" s="159"/>
      <c r="Y17" s="159"/>
      <c r="Z17" s="159"/>
      <c r="AA17" s="160"/>
      <c r="AB17" s="161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3"/>
      <c r="AR17" s="131" t="s">
        <v>128</v>
      </c>
      <c r="AS17" s="132"/>
      <c r="AT17" s="132"/>
      <c r="AU17" s="132"/>
      <c r="AV17" s="132"/>
      <c r="AW17" s="133"/>
      <c r="AX17" s="158" t="s">
        <v>127</v>
      </c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64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55" t="s">
        <v>103</v>
      </c>
      <c r="F18" s="156"/>
      <c r="G18" s="156"/>
      <c r="H18" s="156"/>
      <c r="I18" s="156"/>
      <c r="J18" s="156"/>
      <c r="K18" s="156"/>
      <c r="L18" s="157"/>
      <c r="M18" s="131" t="s">
        <v>47</v>
      </c>
      <c r="N18" s="132"/>
      <c r="O18" s="132"/>
      <c r="P18" s="131" t="s">
        <v>125</v>
      </c>
      <c r="Q18" s="132"/>
      <c r="R18" s="132"/>
      <c r="S18" s="131"/>
      <c r="T18" s="132"/>
      <c r="U18" s="132"/>
      <c r="V18" s="158" t="s">
        <v>143</v>
      </c>
      <c r="W18" s="159"/>
      <c r="X18" s="159"/>
      <c r="Y18" s="159"/>
      <c r="Z18" s="159"/>
      <c r="AA18" s="160"/>
      <c r="AB18" s="161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3"/>
      <c r="AR18" s="131"/>
      <c r="AS18" s="132"/>
      <c r="AT18" s="132"/>
      <c r="AU18" s="132"/>
      <c r="AV18" s="132"/>
      <c r="AW18" s="133"/>
      <c r="AX18" s="158" t="s">
        <v>127</v>
      </c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64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55" t="s">
        <v>104</v>
      </c>
      <c r="F19" s="156"/>
      <c r="G19" s="156"/>
      <c r="H19" s="156"/>
      <c r="I19" s="156"/>
      <c r="J19" s="156"/>
      <c r="K19" s="156"/>
      <c r="L19" s="157"/>
      <c r="M19" s="131" t="s">
        <v>47</v>
      </c>
      <c r="N19" s="132"/>
      <c r="O19" s="132"/>
      <c r="P19" s="131" t="s">
        <v>125</v>
      </c>
      <c r="Q19" s="132"/>
      <c r="R19" s="132"/>
      <c r="S19" s="131"/>
      <c r="T19" s="132"/>
      <c r="U19" s="132"/>
      <c r="V19" s="158" t="s">
        <v>138</v>
      </c>
      <c r="W19" s="159"/>
      <c r="X19" s="159"/>
      <c r="Y19" s="159"/>
      <c r="Z19" s="159"/>
      <c r="AA19" s="160"/>
      <c r="AB19" s="161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3"/>
      <c r="AR19" s="131"/>
      <c r="AS19" s="132"/>
      <c r="AT19" s="132"/>
      <c r="AU19" s="132"/>
      <c r="AV19" s="132"/>
      <c r="AW19" s="133"/>
      <c r="AX19" s="158" t="s">
        <v>127</v>
      </c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59"/>
      <c r="BT19" s="164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55" t="s">
        <v>105</v>
      </c>
      <c r="F20" s="156"/>
      <c r="G20" s="156"/>
      <c r="H20" s="156"/>
      <c r="I20" s="156"/>
      <c r="J20" s="156"/>
      <c r="K20" s="156"/>
      <c r="L20" s="157"/>
      <c r="M20" s="131" t="s">
        <v>47</v>
      </c>
      <c r="N20" s="132"/>
      <c r="O20" s="132"/>
      <c r="P20" s="131" t="s">
        <v>125</v>
      </c>
      <c r="Q20" s="132"/>
      <c r="R20" s="132"/>
      <c r="S20" s="131"/>
      <c r="T20" s="132"/>
      <c r="U20" s="132"/>
      <c r="V20" s="158" t="s">
        <v>130</v>
      </c>
      <c r="W20" s="159"/>
      <c r="X20" s="159"/>
      <c r="Y20" s="159"/>
      <c r="Z20" s="159"/>
      <c r="AA20" s="160"/>
      <c r="AB20" s="161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3"/>
      <c r="AR20" s="131"/>
      <c r="AS20" s="132"/>
      <c r="AT20" s="132"/>
      <c r="AU20" s="132"/>
      <c r="AV20" s="132"/>
      <c r="AW20" s="133"/>
      <c r="AX20" s="158" t="s">
        <v>127</v>
      </c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64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55" t="s">
        <v>106</v>
      </c>
      <c r="F21" s="156"/>
      <c r="G21" s="156"/>
      <c r="H21" s="156"/>
      <c r="I21" s="156"/>
      <c r="J21" s="156"/>
      <c r="K21" s="156"/>
      <c r="L21" s="157"/>
      <c r="M21" s="131" t="s">
        <v>47</v>
      </c>
      <c r="N21" s="132"/>
      <c r="O21" s="132"/>
      <c r="P21" s="131" t="s">
        <v>125</v>
      </c>
      <c r="Q21" s="132"/>
      <c r="R21" s="132"/>
      <c r="S21" s="131"/>
      <c r="T21" s="132"/>
      <c r="U21" s="132"/>
      <c r="V21" s="158" t="s">
        <v>140</v>
      </c>
      <c r="W21" s="159"/>
      <c r="X21" s="159"/>
      <c r="Y21" s="159"/>
      <c r="Z21" s="159"/>
      <c r="AA21" s="160"/>
      <c r="AB21" s="161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3"/>
      <c r="AR21" s="131"/>
      <c r="AS21" s="132"/>
      <c r="AT21" s="132"/>
      <c r="AU21" s="132"/>
      <c r="AV21" s="132"/>
      <c r="AW21" s="133"/>
      <c r="AX21" s="158" t="s">
        <v>127</v>
      </c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59"/>
      <c r="BT21" s="164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55" t="s">
        <v>107</v>
      </c>
      <c r="F22" s="156"/>
      <c r="G22" s="156"/>
      <c r="H22" s="156"/>
      <c r="I22" s="156"/>
      <c r="J22" s="156"/>
      <c r="K22" s="156"/>
      <c r="L22" s="157"/>
      <c r="M22" s="131" t="s">
        <v>38</v>
      </c>
      <c r="N22" s="132"/>
      <c r="O22" s="132"/>
      <c r="P22" s="131" t="s">
        <v>126</v>
      </c>
      <c r="Q22" s="132"/>
      <c r="R22" s="132"/>
      <c r="S22" s="131">
        <v>24</v>
      </c>
      <c r="T22" s="132"/>
      <c r="U22" s="132"/>
      <c r="V22" s="158" t="s">
        <v>139</v>
      </c>
      <c r="W22" s="159"/>
      <c r="X22" s="159"/>
      <c r="Y22" s="159"/>
      <c r="Z22" s="159"/>
      <c r="AA22" s="160"/>
      <c r="AB22" s="161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3"/>
      <c r="AR22" s="131" t="s">
        <v>128</v>
      </c>
      <c r="AS22" s="132"/>
      <c r="AT22" s="132"/>
      <c r="AU22" s="132"/>
      <c r="AV22" s="132"/>
      <c r="AW22" s="133"/>
      <c r="AX22" s="158" t="s">
        <v>127</v>
      </c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64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55" t="s">
        <v>108</v>
      </c>
      <c r="F23" s="156"/>
      <c r="G23" s="156"/>
      <c r="H23" s="156"/>
      <c r="I23" s="156"/>
      <c r="J23" s="156"/>
      <c r="K23" s="156"/>
      <c r="L23" s="157"/>
      <c r="M23" s="131" t="s">
        <v>47</v>
      </c>
      <c r="N23" s="132"/>
      <c r="O23" s="132"/>
      <c r="P23" s="131" t="s">
        <v>125</v>
      </c>
      <c r="Q23" s="132"/>
      <c r="R23" s="132"/>
      <c r="S23" s="131"/>
      <c r="T23" s="132"/>
      <c r="U23" s="132"/>
      <c r="V23" s="158" t="s">
        <v>130</v>
      </c>
      <c r="W23" s="159"/>
      <c r="X23" s="159"/>
      <c r="Y23" s="159"/>
      <c r="Z23" s="159"/>
      <c r="AA23" s="160"/>
      <c r="AB23" s="161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3"/>
      <c r="AR23" s="131"/>
      <c r="AS23" s="132"/>
      <c r="AT23" s="132"/>
      <c r="AU23" s="132"/>
      <c r="AV23" s="132"/>
      <c r="AW23" s="133"/>
      <c r="AX23" s="158" t="s">
        <v>127</v>
      </c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64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55" t="s">
        <v>109</v>
      </c>
      <c r="F24" s="156"/>
      <c r="G24" s="156"/>
      <c r="H24" s="156"/>
      <c r="I24" s="156"/>
      <c r="J24" s="156"/>
      <c r="K24" s="156"/>
      <c r="L24" s="157"/>
      <c r="M24" s="131" t="s">
        <v>38</v>
      </c>
      <c r="N24" s="132"/>
      <c r="O24" s="132"/>
      <c r="P24" s="131" t="s">
        <v>126</v>
      </c>
      <c r="Q24" s="132"/>
      <c r="R24" s="132"/>
      <c r="S24" s="131">
        <v>30</v>
      </c>
      <c r="T24" s="132"/>
      <c r="U24" s="132"/>
      <c r="V24" s="158" t="s">
        <v>130</v>
      </c>
      <c r="W24" s="159"/>
      <c r="X24" s="159"/>
      <c r="Y24" s="159"/>
      <c r="Z24" s="159"/>
      <c r="AA24" s="160"/>
      <c r="AB24" s="161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3"/>
      <c r="AR24" s="131"/>
      <c r="AS24" s="132"/>
      <c r="AT24" s="132"/>
      <c r="AU24" s="132"/>
      <c r="AV24" s="132"/>
      <c r="AW24" s="133"/>
      <c r="AX24" s="158" t="s">
        <v>127</v>
      </c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64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55" t="s">
        <v>110</v>
      </c>
      <c r="F25" s="156"/>
      <c r="G25" s="156"/>
      <c r="H25" s="156"/>
      <c r="I25" s="156"/>
      <c r="J25" s="156"/>
      <c r="K25" s="156"/>
      <c r="L25" s="157"/>
      <c r="M25" s="131" t="s">
        <v>47</v>
      </c>
      <c r="N25" s="132"/>
      <c r="O25" s="132"/>
      <c r="P25" s="131" t="s">
        <v>125</v>
      </c>
      <c r="Q25" s="132"/>
      <c r="R25" s="132"/>
      <c r="S25" s="131"/>
      <c r="T25" s="132"/>
      <c r="U25" s="132"/>
      <c r="V25" s="158" t="s">
        <v>141</v>
      </c>
      <c r="W25" s="159"/>
      <c r="X25" s="159"/>
      <c r="Y25" s="159"/>
      <c r="Z25" s="159"/>
      <c r="AA25" s="160"/>
      <c r="AB25" s="161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3"/>
      <c r="AR25" s="131"/>
      <c r="AS25" s="132"/>
      <c r="AT25" s="132"/>
      <c r="AU25" s="132"/>
      <c r="AV25" s="132"/>
      <c r="AW25" s="133"/>
      <c r="AX25" s="158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64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55" t="s">
        <v>111</v>
      </c>
      <c r="F26" s="156"/>
      <c r="G26" s="156"/>
      <c r="H26" s="156"/>
      <c r="I26" s="156"/>
      <c r="J26" s="156"/>
      <c r="K26" s="156"/>
      <c r="L26" s="157"/>
      <c r="M26" s="131" t="s">
        <v>38</v>
      </c>
      <c r="N26" s="132"/>
      <c r="O26" s="132"/>
      <c r="P26" s="131" t="s">
        <v>126</v>
      </c>
      <c r="Q26" s="132"/>
      <c r="R26" s="132"/>
      <c r="S26" s="131">
        <v>24</v>
      </c>
      <c r="T26" s="132"/>
      <c r="U26" s="132"/>
      <c r="V26" s="158" t="s">
        <v>142</v>
      </c>
      <c r="W26" s="159"/>
      <c r="X26" s="159"/>
      <c r="Y26" s="159"/>
      <c r="Z26" s="159"/>
      <c r="AA26" s="160"/>
      <c r="AB26" s="161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3"/>
      <c r="AR26" s="131" t="s">
        <v>128</v>
      </c>
      <c r="AS26" s="132"/>
      <c r="AT26" s="132"/>
      <c r="AU26" s="132"/>
      <c r="AV26" s="132"/>
      <c r="AW26" s="133"/>
      <c r="AX26" s="158" t="s">
        <v>127</v>
      </c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64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55" t="s">
        <v>112</v>
      </c>
      <c r="F27" s="156"/>
      <c r="G27" s="156"/>
      <c r="H27" s="156"/>
      <c r="I27" s="156"/>
      <c r="J27" s="156"/>
      <c r="K27" s="156"/>
      <c r="L27" s="157"/>
      <c r="M27" s="131" t="s">
        <v>47</v>
      </c>
      <c r="N27" s="132"/>
      <c r="O27" s="132"/>
      <c r="P27" s="131" t="s">
        <v>125</v>
      </c>
      <c r="Q27" s="132"/>
      <c r="R27" s="132"/>
      <c r="S27" s="131"/>
      <c r="T27" s="132"/>
      <c r="U27" s="132"/>
      <c r="V27" s="158" t="s">
        <v>144</v>
      </c>
      <c r="W27" s="159"/>
      <c r="X27" s="159"/>
      <c r="Y27" s="159"/>
      <c r="Z27" s="159"/>
      <c r="AA27" s="160"/>
      <c r="AB27" s="161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3"/>
      <c r="AR27" s="131"/>
      <c r="AS27" s="132"/>
      <c r="AT27" s="132"/>
      <c r="AU27" s="132"/>
      <c r="AV27" s="132"/>
      <c r="AW27" s="133"/>
      <c r="AX27" s="158" t="s">
        <v>127</v>
      </c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64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55" t="s">
        <v>113</v>
      </c>
      <c r="F28" s="156"/>
      <c r="G28" s="156"/>
      <c r="H28" s="156"/>
      <c r="I28" s="156"/>
      <c r="J28" s="156"/>
      <c r="K28" s="156"/>
      <c r="L28" s="157"/>
      <c r="M28" s="131" t="s">
        <v>47</v>
      </c>
      <c r="N28" s="132"/>
      <c r="O28" s="132"/>
      <c r="P28" s="131" t="s">
        <v>125</v>
      </c>
      <c r="Q28" s="132"/>
      <c r="R28" s="132"/>
      <c r="S28" s="131"/>
      <c r="T28" s="132"/>
      <c r="U28" s="132"/>
      <c r="V28" s="158" t="s">
        <v>145</v>
      </c>
      <c r="W28" s="159"/>
      <c r="X28" s="159"/>
      <c r="Y28" s="159"/>
      <c r="Z28" s="159"/>
      <c r="AA28" s="160"/>
      <c r="AB28" s="161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3"/>
      <c r="AR28" s="131"/>
      <c r="AS28" s="132"/>
      <c r="AT28" s="132"/>
      <c r="AU28" s="132"/>
      <c r="AV28" s="132"/>
      <c r="AW28" s="133"/>
      <c r="AX28" s="158" t="s">
        <v>127</v>
      </c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64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55" t="s">
        <v>114</v>
      </c>
      <c r="F29" s="156"/>
      <c r="G29" s="156"/>
      <c r="H29" s="156"/>
      <c r="I29" s="156"/>
      <c r="J29" s="156"/>
      <c r="K29" s="156"/>
      <c r="L29" s="157"/>
      <c r="M29" s="131" t="s">
        <v>47</v>
      </c>
      <c r="N29" s="132"/>
      <c r="O29" s="132"/>
      <c r="P29" s="131" t="s">
        <v>125</v>
      </c>
      <c r="Q29" s="132"/>
      <c r="R29" s="132"/>
      <c r="S29" s="131"/>
      <c r="T29" s="132"/>
      <c r="U29" s="132"/>
      <c r="V29" s="158" t="s">
        <v>130</v>
      </c>
      <c r="W29" s="159"/>
      <c r="X29" s="159"/>
      <c r="Y29" s="159"/>
      <c r="Z29" s="159"/>
      <c r="AA29" s="160"/>
      <c r="AB29" s="161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3"/>
      <c r="AR29" s="131"/>
      <c r="AS29" s="132"/>
      <c r="AT29" s="132"/>
      <c r="AU29" s="132"/>
      <c r="AV29" s="132"/>
      <c r="AW29" s="133"/>
      <c r="AX29" s="158" t="s">
        <v>127</v>
      </c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64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55" t="s">
        <v>115</v>
      </c>
      <c r="F30" s="156"/>
      <c r="G30" s="156"/>
      <c r="H30" s="156"/>
      <c r="I30" s="156"/>
      <c r="J30" s="156"/>
      <c r="K30" s="156"/>
      <c r="L30" s="157"/>
      <c r="M30" s="131" t="s">
        <v>47</v>
      </c>
      <c r="N30" s="132"/>
      <c r="O30" s="132"/>
      <c r="P30" s="131" t="s">
        <v>125</v>
      </c>
      <c r="Q30" s="132"/>
      <c r="R30" s="132"/>
      <c r="S30" s="165"/>
      <c r="T30" s="166"/>
      <c r="U30" s="166"/>
      <c r="V30" s="158" t="s">
        <v>146</v>
      </c>
      <c r="W30" s="159"/>
      <c r="X30" s="159"/>
      <c r="Y30" s="159"/>
      <c r="Z30" s="159"/>
      <c r="AA30" s="160"/>
      <c r="AB30" s="171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3"/>
      <c r="AR30" s="165"/>
      <c r="AS30" s="166"/>
      <c r="AT30" s="166"/>
      <c r="AU30" s="166"/>
      <c r="AV30" s="166"/>
      <c r="AW30" s="167"/>
      <c r="AX30" s="158" t="s">
        <v>127</v>
      </c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6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55" t="s">
        <v>116</v>
      </c>
      <c r="F31" s="156"/>
      <c r="G31" s="156"/>
      <c r="H31" s="156"/>
      <c r="I31" s="156"/>
      <c r="J31" s="156"/>
      <c r="K31" s="156"/>
      <c r="L31" s="157"/>
      <c r="M31" s="131" t="s">
        <v>38</v>
      </c>
      <c r="N31" s="132"/>
      <c r="O31" s="132"/>
      <c r="P31" s="131" t="s">
        <v>126</v>
      </c>
      <c r="Q31" s="132"/>
      <c r="R31" s="132"/>
      <c r="S31" s="131">
        <v>24</v>
      </c>
      <c r="T31" s="132"/>
      <c r="U31" s="132"/>
      <c r="V31" s="158" t="s">
        <v>147</v>
      </c>
      <c r="W31" s="159"/>
      <c r="X31" s="159"/>
      <c r="Y31" s="159"/>
      <c r="Z31" s="159"/>
      <c r="AA31" s="160"/>
      <c r="AB31" s="161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3"/>
      <c r="AR31" s="131" t="s">
        <v>128</v>
      </c>
      <c r="AS31" s="132"/>
      <c r="AT31" s="132"/>
      <c r="AU31" s="132"/>
      <c r="AV31" s="132"/>
      <c r="AW31" s="133"/>
      <c r="AX31" s="158" t="s">
        <v>127</v>
      </c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64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155" t="s">
        <v>117</v>
      </c>
      <c r="F32" s="156"/>
      <c r="G32" s="156"/>
      <c r="H32" s="156"/>
      <c r="I32" s="156"/>
      <c r="J32" s="156"/>
      <c r="K32" s="156"/>
      <c r="L32" s="157"/>
      <c r="M32" s="131" t="s">
        <v>47</v>
      </c>
      <c r="N32" s="132"/>
      <c r="O32" s="132"/>
      <c r="P32" s="131" t="s">
        <v>125</v>
      </c>
      <c r="Q32" s="132"/>
      <c r="R32" s="132"/>
      <c r="S32" s="131"/>
      <c r="T32" s="132"/>
      <c r="U32" s="132"/>
      <c r="V32" s="158" t="s">
        <v>130</v>
      </c>
      <c r="W32" s="159"/>
      <c r="X32" s="159"/>
      <c r="Y32" s="159"/>
      <c r="Z32" s="159"/>
      <c r="AA32" s="160"/>
      <c r="AB32" s="161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3"/>
      <c r="AR32" s="131"/>
      <c r="AS32" s="132"/>
      <c r="AT32" s="132"/>
      <c r="AU32" s="132"/>
      <c r="AV32" s="132"/>
      <c r="AW32" s="133"/>
      <c r="AX32" s="158" t="s">
        <v>127</v>
      </c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64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55" t="s">
        <v>118</v>
      </c>
      <c r="F33" s="156"/>
      <c r="G33" s="156"/>
      <c r="H33" s="156"/>
      <c r="I33" s="156"/>
      <c r="J33" s="156"/>
      <c r="K33" s="156"/>
      <c r="L33" s="157"/>
      <c r="M33" s="131" t="s">
        <v>38</v>
      </c>
      <c r="N33" s="132"/>
      <c r="O33" s="132"/>
      <c r="P33" s="131" t="s">
        <v>126</v>
      </c>
      <c r="Q33" s="132"/>
      <c r="R33" s="132"/>
      <c r="S33" s="131">
        <v>30</v>
      </c>
      <c r="T33" s="132"/>
      <c r="U33" s="132"/>
      <c r="V33" s="158" t="s">
        <v>130</v>
      </c>
      <c r="W33" s="159"/>
      <c r="X33" s="159"/>
      <c r="Y33" s="159"/>
      <c r="Z33" s="159"/>
      <c r="AA33" s="160"/>
      <c r="AB33" s="161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3"/>
      <c r="AR33" s="131"/>
      <c r="AS33" s="132"/>
      <c r="AT33" s="132"/>
      <c r="AU33" s="132"/>
      <c r="AV33" s="132"/>
      <c r="AW33" s="133"/>
      <c r="AX33" s="158" t="s">
        <v>127</v>
      </c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64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55" t="s">
        <v>119</v>
      </c>
      <c r="F34" s="156"/>
      <c r="G34" s="156"/>
      <c r="H34" s="156"/>
      <c r="I34" s="156"/>
      <c r="J34" s="156"/>
      <c r="K34" s="156"/>
      <c r="L34" s="157"/>
      <c r="M34" s="131" t="s">
        <v>47</v>
      </c>
      <c r="N34" s="132"/>
      <c r="O34" s="132"/>
      <c r="P34" s="131" t="s">
        <v>125</v>
      </c>
      <c r="Q34" s="132"/>
      <c r="R34" s="132"/>
      <c r="S34" s="131"/>
      <c r="T34" s="132"/>
      <c r="U34" s="132"/>
      <c r="V34" s="158" t="s">
        <v>148</v>
      </c>
      <c r="W34" s="159"/>
      <c r="X34" s="159"/>
      <c r="Y34" s="159"/>
      <c r="Z34" s="159"/>
      <c r="AA34" s="160"/>
      <c r="AB34" s="161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3"/>
      <c r="AR34" s="131"/>
      <c r="AS34" s="132"/>
      <c r="AT34" s="132"/>
      <c r="AU34" s="132"/>
      <c r="AV34" s="132"/>
      <c r="AW34" s="133"/>
      <c r="AX34" s="158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64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x14ac:dyDescent="0.45">
      <c r="A35" s="29"/>
      <c r="B35" s="44"/>
      <c r="C35" s="29"/>
      <c r="D35" s="37">
        <v>25</v>
      </c>
      <c r="E35" s="155" t="s">
        <v>120</v>
      </c>
      <c r="F35" s="156"/>
      <c r="G35" s="156"/>
      <c r="H35" s="156"/>
      <c r="I35" s="156"/>
      <c r="J35" s="156"/>
      <c r="K35" s="156"/>
      <c r="L35" s="157"/>
      <c r="M35" s="131" t="s">
        <v>38</v>
      </c>
      <c r="N35" s="132"/>
      <c r="O35" s="132"/>
      <c r="P35" s="131" t="s">
        <v>126</v>
      </c>
      <c r="Q35" s="132"/>
      <c r="R35" s="132"/>
      <c r="S35" s="165">
        <v>96</v>
      </c>
      <c r="T35" s="166"/>
      <c r="U35" s="166"/>
      <c r="V35" s="158" t="s">
        <v>149</v>
      </c>
      <c r="W35" s="159"/>
      <c r="X35" s="159"/>
      <c r="Y35" s="159"/>
      <c r="Z35" s="159"/>
      <c r="AA35" s="160"/>
      <c r="AB35" s="171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3"/>
      <c r="AR35" s="131" t="s">
        <v>128</v>
      </c>
      <c r="AS35" s="132"/>
      <c r="AT35" s="132"/>
      <c r="AU35" s="132"/>
      <c r="AV35" s="132"/>
      <c r="AW35" s="133"/>
      <c r="AX35" s="158" t="s">
        <v>127</v>
      </c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64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155" t="s">
        <v>121</v>
      </c>
      <c r="F36" s="156"/>
      <c r="G36" s="156"/>
      <c r="H36" s="156"/>
      <c r="I36" s="156"/>
      <c r="J36" s="156"/>
      <c r="K36" s="156"/>
      <c r="L36" s="157"/>
      <c r="M36" s="131" t="s">
        <v>47</v>
      </c>
      <c r="N36" s="132"/>
      <c r="O36" s="132"/>
      <c r="P36" s="131" t="s">
        <v>125</v>
      </c>
      <c r="Q36" s="132"/>
      <c r="R36" s="132"/>
      <c r="S36" s="131"/>
      <c r="T36" s="132"/>
      <c r="U36" s="132"/>
      <c r="V36" s="158" t="s">
        <v>130</v>
      </c>
      <c r="W36" s="159"/>
      <c r="X36" s="159"/>
      <c r="Y36" s="159"/>
      <c r="Z36" s="159"/>
      <c r="AA36" s="160"/>
      <c r="AB36" s="161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3"/>
      <c r="AR36" s="131"/>
      <c r="AS36" s="132"/>
      <c r="AT36" s="132"/>
      <c r="AU36" s="132"/>
      <c r="AV36" s="132"/>
      <c r="AW36" s="133"/>
      <c r="AX36" s="158" t="s">
        <v>127</v>
      </c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64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x14ac:dyDescent="0.45">
      <c r="A37" s="29"/>
      <c r="B37" s="44"/>
      <c r="C37" s="29"/>
      <c r="D37" s="37">
        <v>27</v>
      </c>
      <c r="E37" s="155" t="s">
        <v>122</v>
      </c>
      <c r="F37" s="156"/>
      <c r="G37" s="156"/>
      <c r="H37" s="156"/>
      <c r="I37" s="156"/>
      <c r="J37" s="156"/>
      <c r="K37" s="156"/>
      <c r="L37" s="157"/>
      <c r="M37" s="131" t="s">
        <v>47</v>
      </c>
      <c r="N37" s="132"/>
      <c r="O37" s="132"/>
      <c r="P37" s="131" t="s">
        <v>125</v>
      </c>
      <c r="Q37" s="132"/>
      <c r="R37" s="132"/>
      <c r="S37" s="131"/>
      <c r="T37" s="132"/>
      <c r="U37" s="132"/>
      <c r="V37" s="158" t="s">
        <v>130</v>
      </c>
      <c r="W37" s="159"/>
      <c r="X37" s="159"/>
      <c r="Y37" s="159"/>
      <c r="Z37" s="159"/>
      <c r="AA37" s="160"/>
      <c r="AB37" s="161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3"/>
      <c r="AR37" s="131"/>
      <c r="AS37" s="132"/>
      <c r="AT37" s="132"/>
      <c r="AU37" s="132"/>
      <c r="AV37" s="132"/>
      <c r="AW37" s="133"/>
      <c r="AX37" s="158" t="s">
        <v>127</v>
      </c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64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155" t="s">
        <v>123</v>
      </c>
      <c r="F38" s="156"/>
      <c r="G38" s="156"/>
      <c r="H38" s="156"/>
      <c r="I38" s="156"/>
      <c r="J38" s="156"/>
      <c r="K38" s="156"/>
      <c r="L38" s="157"/>
      <c r="M38" s="131" t="s">
        <v>47</v>
      </c>
      <c r="N38" s="132"/>
      <c r="O38" s="132"/>
      <c r="P38" s="131" t="s">
        <v>125</v>
      </c>
      <c r="Q38" s="132"/>
      <c r="R38" s="132"/>
      <c r="S38" s="131"/>
      <c r="T38" s="132"/>
      <c r="U38" s="132"/>
      <c r="V38" s="158" t="s">
        <v>130</v>
      </c>
      <c r="W38" s="159"/>
      <c r="X38" s="159"/>
      <c r="Y38" s="159"/>
      <c r="Z38" s="159"/>
      <c r="AA38" s="160"/>
      <c r="AB38" s="161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3"/>
      <c r="AR38" s="131"/>
      <c r="AS38" s="132"/>
      <c r="AT38" s="132"/>
      <c r="AU38" s="132"/>
      <c r="AV38" s="132"/>
      <c r="AW38" s="133"/>
      <c r="AX38" s="158" t="s">
        <v>127</v>
      </c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64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155" t="s">
        <v>124</v>
      </c>
      <c r="F39" s="156"/>
      <c r="G39" s="156"/>
      <c r="H39" s="156"/>
      <c r="I39" s="156"/>
      <c r="J39" s="156"/>
      <c r="K39" s="156"/>
      <c r="L39" s="157"/>
      <c r="M39" s="131" t="s">
        <v>47</v>
      </c>
      <c r="N39" s="132"/>
      <c r="O39" s="132"/>
      <c r="P39" s="131" t="s">
        <v>125</v>
      </c>
      <c r="Q39" s="132"/>
      <c r="R39" s="132"/>
      <c r="S39" s="131"/>
      <c r="T39" s="132"/>
      <c r="U39" s="132"/>
      <c r="V39" s="158" t="s">
        <v>130</v>
      </c>
      <c r="W39" s="159"/>
      <c r="X39" s="159"/>
      <c r="Y39" s="159"/>
      <c r="Z39" s="159"/>
      <c r="AA39" s="160"/>
      <c r="AB39" s="161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3"/>
      <c r="AR39" s="131"/>
      <c r="AS39" s="132"/>
      <c r="AT39" s="132"/>
      <c r="AU39" s="132"/>
      <c r="AV39" s="132"/>
      <c r="AW39" s="133"/>
      <c r="AX39" s="158" t="s">
        <v>127</v>
      </c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64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thickBot="1" x14ac:dyDescent="0.5">
      <c r="A40" s="29"/>
      <c r="B40" s="44"/>
      <c r="C40" s="29"/>
      <c r="D40" s="37">
        <v>30</v>
      </c>
      <c r="E40" s="155"/>
      <c r="F40" s="156"/>
      <c r="G40" s="156"/>
      <c r="H40" s="156"/>
      <c r="I40" s="156"/>
      <c r="J40" s="156"/>
      <c r="K40" s="156"/>
      <c r="L40" s="157"/>
      <c r="M40" s="165"/>
      <c r="N40" s="166"/>
      <c r="O40" s="167"/>
      <c r="P40" s="165"/>
      <c r="Q40" s="166"/>
      <c r="R40" s="166"/>
      <c r="S40" s="165"/>
      <c r="T40" s="166"/>
      <c r="U40" s="166"/>
      <c r="V40" s="168"/>
      <c r="W40" s="169"/>
      <c r="X40" s="169"/>
      <c r="Y40" s="169"/>
      <c r="Z40" s="169"/>
      <c r="AA40" s="170"/>
      <c r="AB40" s="171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3"/>
      <c r="AR40" s="165"/>
      <c r="AS40" s="166"/>
      <c r="AT40" s="166"/>
      <c r="AU40" s="166"/>
      <c r="AV40" s="166"/>
      <c r="AW40" s="167"/>
      <c r="AX40" s="158" t="s">
        <v>127</v>
      </c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64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20.100000000000001" customHeight="1" thickTop="1" thickBot="1" x14ac:dyDescent="0.5">
      <c r="A41" s="29"/>
      <c r="B41" s="40"/>
      <c r="C41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46"/>
      <c r="BR41" s="46"/>
      <c r="BS41" s="46"/>
      <c r="BT41" s="46"/>
      <c r="BU41" s="28"/>
    </row>
    <row r="42" spans="1:85" ht="20.100000000000001" customHeight="1" thickTop="1" x14ac:dyDescent="0.45">
      <c r="A42" s="29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33"/>
      <c r="BD42" s="33"/>
      <c r="BE42" s="33"/>
      <c r="BF42" s="33"/>
      <c r="BG42" s="33"/>
      <c r="BH42" s="33"/>
      <c r="BI42" s="42"/>
      <c r="BJ42" s="42"/>
      <c r="BK42" s="42"/>
      <c r="BL42" s="42"/>
      <c r="BM42" s="42"/>
      <c r="BN42" s="42"/>
      <c r="BO42" s="42"/>
      <c r="BP42" s="4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3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A59" s="29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A60" s="29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  <row r="62" spans="1:68" ht="20.100000000000001" customHeight="1" x14ac:dyDescent="0.4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  <row r="63" spans="1:68" ht="20.100000000000001" customHeight="1" x14ac:dyDescent="0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</sheetData>
  <mergeCells count="26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0"/>
  <sheetViews>
    <sheetView zoomScaleNormal="100" zoomScaleSheetLayoutView="100" workbookViewId="0">
      <selection activeCell="B7" sqref="B7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153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5"/>
    </row>
    <row r="3" spans="2:65" ht="20.100000000000001" customHeight="1" x14ac:dyDescent="0.45">
      <c r="B3" s="189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KH0500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KH0500_EXCEL仕訳TXT_帳票設計書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45576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45576</v>
      </c>
      <c r="BG3" s="138"/>
      <c r="BH3" s="138"/>
      <c r="BI3" s="138"/>
      <c r="BJ3" s="139" t="str">
        <f>変更履歴!BJ3</f>
        <v>大谷</v>
      </c>
      <c r="BK3" s="139"/>
      <c r="BL3" s="139"/>
      <c r="BM3" s="193"/>
    </row>
    <row r="4" spans="2:65" ht="20.100000000000001" customHeight="1" thickBot="1" x14ac:dyDescent="0.5"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2"/>
      <c r="AY4" s="192"/>
      <c r="AZ4" s="192"/>
      <c r="BA4" s="192"/>
      <c r="BB4" s="191"/>
      <c r="BC4" s="191"/>
      <c r="BD4" s="191"/>
      <c r="BE4" s="191"/>
      <c r="BF4" s="192"/>
      <c r="BG4" s="192"/>
      <c r="BH4" s="192"/>
      <c r="BI4" s="192"/>
      <c r="BJ4" s="191"/>
      <c r="BK4" s="191"/>
      <c r="BL4" s="191"/>
      <c r="BM4" s="194"/>
    </row>
    <row r="5" spans="2:65" ht="5.0999999999999996" customHeight="1" thickBot="1" x14ac:dyDescent="0.5"/>
    <row r="6" spans="2:65" ht="20.100000000000001" customHeight="1" x14ac:dyDescent="0.45">
      <c r="B6" s="89" t="s">
        <v>150</v>
      </c>
      <c r="C6" s="90"/>
      <c r="D6" s="90"/>
      <c r="E6" s="90"/>
      <c r="F6" s="90"/>
      <c r="G6" s="91"/>
      <c r="H6" s="92" t="s">
        <v>84</v>
      </c>
      <c r="I6" s="90"/>
      <c r="J6" s="120"/>
      <c r="K6" s="121"/>
      <c r="L6" s="121"/>
      <c r="M6" s="121"/>
      <c r="N6" s="121"/>
      <c r="O6" s="121"/>
      <c r="P6" s="121"/>
      <c r="Q6" s="122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/>
      <c r="K7" s="52"/>
      <c r="L7" s="52"/>
      <c r="M7" s="52"/>
      <c r="N7" s="52"/>
      <c r="O7" s="52"/>
      <c r="P7" s="52"/>
      <c r="Q7" s="125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/>
      <c r="K8" s="52"/>
      <c r="L8" s="52"/>
      <c r="M8" s="52"/>
      <c r="N8" s="52"/>
      <c r="O8" s="52"/>
      <c r="P8" s="52"/>
      <c r="Q8" s="125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/>
      <c r="K9" s="52"/>
      <c r="L9" s="52"/>
      <c r="M9" s="52"/>
      <c r="N9" s="52"/>
      <c r="O9" s="52"/>
      <c r="P9" s="52"/>
      <c r="Q9" s="125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/>
      <c r="K10" s="52"/>
      <c r="L10" s="52"/>
      <c r="M10" s="52"/>
      <c r="N10" s="52"/>
      <c r="O10" s="52"/>
      <c r="P10" s="52"/>
      <c r="Q10" s="125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/>
      <c r="K11" s="52"/>
      <c r="L11" s="52"/>
      <c r="M11" s="52"/>
      <c r="N11" s="52"/>
      <c r="O11" s="52"/>
      <c r="P11" s="52"/>
      <c r="Q11" s="125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/>
      <c r="K12" s="52"/>
      <c r="L12" s="52"/>
      <c r="M12" s="52"/>
      <c r="N12" s="52"/>
      <c r="O12" s="52"/>
      <c r="P12" s="52"/>
      <c r="Q12" s="125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I13" s="31"/>
      <c r="J13" s="124"/>
      <c r="K13" s="52"/>
      <c r="L13" s="52"/>
      <c r="M13" s="52"/>
      <c r="N13" s="52"/>
      <c r="O13" s="52"/>
      <c r="P13" s="52"/>
      <c r="Q13" s="125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100" t="s">
        <v>53</v>
      </c>
      <c r="I14" s="55"/>
      <c r="J14" s="100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97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95"/>
      <c r="C16" s="31"/>
      <c r="D16" s="31"/>
      <c r="E16" s="31"/>
      <c r="F16" s="31"/>
      <c r="G16" s="96"/>
      <c r="I16" s="31"/>
      <c r="J16" s="97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95"/>
      <c r="C19" s="31"/>
      <c r="D19" s="31"/>
      <c r="E19" s="31"/>
      <c r="F19" s="31"/>
      <c r="G19" s="96"/>
      <c r="H19" s="100" t="s">
        <v>54</v>
      </c>
      <c r="I19" s="55"/>
      <c r="J19" s="100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01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02"/>
    </row>
    <row r="20" spans="2:61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97"/>
      <c r="I22" s="31"/>
      <c r="J22" s="9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97"/>
      <c r="I23" s="31"/>
      <c r="J23" s="9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03"/>
      <c r="I24" s="104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5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6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97" t="s">
        <v>55</v>
      </c>
      <c r="I25" s="31"/>
      <c r="J25" s="97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thickBot="1" x14ac:dyDescent="0.5">
      <c r="B29" s="95"/>
      <c r="C29" s="31"/>
      <c r="D29" s="31"/>
      <c r="E29" s="31"/>
      <c r="F29" s="31"/>
      <c r="G29" s="96"/>
      <c r="H29" s="103"/>
      <c r="I29" s="104"/>
      <c r="J29" s="103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3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6"/>
    </row>
    <row r="30" spans="2:61" ht="5.0999999999999996" customHeight="1" x14ac:dyDescent="0.45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5"/>
    </row>
    <row r="3" spans="2:65" ht="20.100000000000001" customHeight="1" x14ac:dyDescent="0.45">
      <c r="B3" s="189" t="str">
        <f>変更履歴!B3</f>
        <v>受発注システム</v>
      </c>
      <c r="C3" s="139"/>
      <c r="D3" s="139"/>
      <c r="E3" s="139"/>
      <c r="F3" s="139"/>
      <c r="G3" s="139"/>
      <c r="H3" s="139" t="str">
        <f ca="1">変更履歴!H3</f>
        <v>KH0500</v>
      </c>
      <c r="I3" s="139"/>
      <c r="J3" s="139"/>
      <c r="K3" s="139"/>
      <c r="L3" s="139" t="str">
        <f>変更履歴!L3</f>
        <v>受発注</v>
      </c>
      <c r="M3" s="139"/>
      <c r="N3" s="139"/>
      <c r="O3" s="139"/>
      <c r="P3" s="139"/>
      <c r="Q3" s="139"/>
      <c r="R3" s="139" t="str">
        <f ca="1">変更履歴!R3</f>
        <v>帳票設計書</v>
      </c>
      <c r="S3" s="139"/>
      <c r="T3" s="139"/>
      <c r="U3" s="139"/>
      <c r="V3" s="139"/>
      <c r="W3" s="139"/>
      <c r="X3" s="142" t="str">
        <f ca="1">変更履歴!X3</f>
        <v>KH0500_EXCEL仕訳TXT_帳票設計書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4"/>
      <c r="AK3" s="142" t="str">
        <f ca="1">変更履歴!AK3</f>
        <v>EXCEL仕訳TXT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4"/>
      <c r="AX3" s="138">
        <f>変更履歴!AX3</f>
        <v>45576</v>
      </c>
      <c r="AY3" s="138"/>
      <c r="AZ3" s="138"/>
      <c r="BA3" s="138"/>
      <c r="BB3" s="139" t="str">
        <f>変更履歴!BB3</f>
        <v>大谷</v>
      </c>
      <c r="BC3" s="139"/>
      <c r="BD3" s="139"/>
      <c r="BE3" s="139"/>
      <c r="BF3" s="138">
        <f>変更履歴!BF3</f>
        <v>45576</v>
      </c>
      <c r="BG3" s="138"/>
      <c r="BH3" s="138"/>
      <c r="BI3" s="138"/>
      <c r="BJ3" s="139" t="str">
        <f>変更履歴!BJ3</f>
        <v>大谷</v>
      </c>
      <c r="BK3" s="139"/>
      <c r="BL3" s="139"/>
      <c r="BM3" s="193"/>
    </row>
    <row r="4" spans="2:65" ht="20.100000000000001" customHeight="1" thickBot="1" x14ac:dyDescent="0.5"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2"/>
      <c r="AY4" s="192"/>
      <c r="AZ4" s="192"/>
      <c r="BA4" s="192"/>
      <c r="BB4" s="191"/>
      <c r="BC4" s="191"/>
      <c r="BD4" s="191"/>
      <c r="BE4" s="191"/>
      <c r="BF4" s="192"/>
      <c r="BG4" s="192"/>
      <c r="BH4" s="192"/>
      <c r="BI4" s="192"/>
      <c r="BJ4" s="191"/>
      <c r="BK4" s="191"/>
      <c r="BL4" s="191"/>
      <c r="BM4" s="194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2025-05-24T05:29:14Z</dcterms:modified>
</cp:coreProperties>
</file>