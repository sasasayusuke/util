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21" r:id="rId8"/>
    <sheet name="別紙_印刷レイアウト" sheetId="22" r:id="rId9"/>
    <sheet name="参照" sheetId="12" state="hidden" r:id="rId10"/>
  </sheets>
  <definedNames>
    <definedName name="CoreCells" localSheetId="7">別紙_テンプレート!$8:$59</definedName>
    <definedName name="CoreCells">#REF!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処理詳細!$A$1:$BR$31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別紙_テンプレート!$1:$7</definedName>
    <definedName name="_xlnm.Print_Titles" localSheetId="0">変更履歴!$1:$5</definedName>
    <definedName name="月度" localSheetId="7">別紙_テンプレート!$D$1</definedName>
    <definedName name="月度">#REF!</definedName>
    <definedName name="請求年">別紙_テンプレート!$C$1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<sst xmlns="http://schemas.openxmlformats.org/spreadsheetml/2006/main" count="320" uniqueCount="211">
  <si>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</si>
  <si>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</si>
  <si>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</si>
  <si>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</si>
  <si>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</si>
  <si>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</si>
  <si>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</si>
  <si>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</si>
  <si>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</si>
  <si>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</si>
  <si>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</si>
  <si>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</si>
  <si>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</si>
  <si>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</si>
  <si>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</si>
  <si>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</si>
  <si>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</si>
  <si>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</si>
  <si>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</si>
  <si>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</si>
  <si>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</si>
  <si>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</si>
  <si>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</si>
  <si>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</si>
  <si>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</si>
  <si>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</si>
  <si>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</si>
  <si>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</si>
  <si>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</si>
  <si>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</si>
  <si>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</si>
  <si>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</si>
  <si>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</si>
  <si>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</si>
  <si>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</si>
  <si>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</si>
  <si>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</si>
  <si>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</si>
  <si>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</si>
  <si>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</si>
  <si>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</si>
  <si>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</si>
  <si>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</si>
  <si>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</si>
  <si>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</si>
  <si>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</si>
  <si>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</si>
  <si>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</si>
  <si>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</si>
  <si>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</si>
  <si>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</si>
  <si>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</si>
  <si>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</si>
  <si>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Temp_MM請求明細</t>
    <phoneticPr fontId="2"/>
  </si>
  <si>
    <t>Excel</t>
    <phoneticPr fontId="2"/>
  </si>
  <si>
    <t>-</t>
    <phoneticPr fontId="2"/>
  </si>
  <si>
    <t>月度</t>
    <rPh sb="0" eb="1">
      <t>ツキ</t>
    </rPh>
    <rPh sb="1" eb="2">
      <t>ド</t>
    </rPh>
    <phoneticPr fontId="1"/>
  </si>
  <si>
    <t>No</t>
    <phoneticPr fontId="1"/>
  </si>
  <si>
    <t>注文請日</t>
    <phoneticPr fontId="1"/>
  </si>
  <si>
    <t>店名</t>
    <rPh sb="0" eb="2">
      <t>テンメイ</t>
    </rPh>
    <phoneticPr fontId="1"/>
  </si>
  <si>
    <t>内容</t>
    <rPh sb="0" eb="2">
      <t>ナイヨウ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</si>
  <si>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</si>
  <si>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</si>
  <si>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合計</t>
    <rPh sb="0" eb="2">
      <t>ゴウケイ</t>
    </rPh>
    <phoneticPr fontId="1"/>
  </si>
  <si>
    <t>完了日</t>
    <rPh sb="0" eb="3">
      <t>カンリョウビ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</si>
  <si>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</si>
  <si>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</si>
  <si>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</si>
  <si>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6">
      <t>ゼンタイ</t>
    </rPh>
    <rPh sb="6" eb="8">
      <t>ヒョウジ</t>
    </rPh>
    <phoneticPr fontId="1"/>
  </si>
  <si>
    <t>一般修繕</t>
    <rPh sb="0" eb="2">
      <t>イッパン</t>
    </rPh>
    <rPh sb="2" eb="4">
      <t>シュウゼン</t>
    </rPh>
    <phoneticPr fontId="12"/>
  </si>
  <si>
    <t>販売消耗品</t>
    <rPh sb="0" eb="2">
      <t>ハンバイ</t>
    </rPh>
    <rPh sb="2" eb="4">
      <t>ショウモウ</t>
    </rPh>
    <rPh sb="4" eb="5">
      <t>ヒン</t>
    </rPh>
    <phoneticPr fontId="12"/>
  </si>
  <si>
    <t>会</t>
    <rPh sb="0" eb="1">
      <t>カイ</t>
    </rPh>
    <phoneticPr fontId="12"/>
  </si>
  <si>
    <t>保守契約</t>
    <rPh sb="0" eb="2">
      <t>ホシュ</t>
    </rPh>
    <rPh sb="2" eb="4">
      <t>ケイヤク</t>
    </rPh>
    <phoneticPr fontId="12"/>
  </si>
  <si>
    <t>その他雑費</t>
    <rPh sb="2" eb="3">
      <t>タ</t>
    </rPh>
    <rPh sb="3" eb="5">
      <t>ザッピ</t>
    </rPh>
    <phoneticPr fontId="12"/>
  </si>
  <si>
    <t>社</t>
    <rPh sb="0" eb="1">
      <t>シャ</t>
    </rPh>
    <phoneticPr fontId="12"/>
  </si>
  <si>
    <r>
      <t>保安</t>
    </r>
    <r>
      <rPr>
        <sz val="7"/>
        <rFont val="ＭＳ Ｐゴシック"/>
        <family val="3"/>
        <charset val="128"/>
      </rPr>
      <t>（ビル管：電気保安）</t>
    </r>
    <rPh sb="0" eb="2">
      <t>ホアン</t>
    </rPh>
    <rPh sb="5" eb="6">
      <t>カン</t>
    </rPh>
    <rPh sb="7" eb="9">
      <t>デンキ</t>
    </rPh>
    <rPh sb="9" eb="11">
      <t>ホアン</t>
    </rPh>
    <phoneticPr fontId="12"/>
  </si>
  <si>
    <t>支払手数料</t>
    <rPh sb="0" eb="2">
      <t>シハライ</t>
    </rPh>
    <rPh sb="2" eb="5">
      <t>テスウリョウ</t>
    </rPh>
    <phoneticPr fontId="12"/>
  </si>
  <si>
    <t>名</t>
    <rPh sb="0" eb="1">
      <t>メイ</t>
    </rPh>
    <phoneticPr fontId="12"/>
  </si>
  <si>
    <t>稟議案件</t>
    <rPh sb="0" eb="2">
      <t>リンギ</t>
    </rPh>
    <rPh sb="2" eb="4">
      <t>アンケン</t>
    </rPh>
    <phoneticPr fontId="12"/>
  </si>
  <si>
    <t>No</t>
    <phoneticPr fontId="12"/>
  </si>
  <si>
    <t>注文請日</t>
    <rPh sb="0" eb="2">
      <t>チュウモン</t>
    </rPh>
    <rPh sb="2" eb="3">
      <t>ウ</t>
    </rPh>
    <rPh sb="3" eb="4">
      <t>ビ</t>
    </rPh>
    <phoneticPr fontId="12"/>
  </si>
  <si>
    <t>店　名</t>
    <rPh sb="0" eb="1">
      <t>ミセ</t>
    </rPh>
    <rPh sb="2" eb="3">
      <t>メイ</t>
    </rPh>
    <phoneticPr fontId="12"/>
  </si>
  <si>
    <t>発注者名</t>
    <rPh sb="0" eb="3">
      <t>ハッチュウシャ</t>
    </rPh>
    <rPh sb="3" eb="4">
      <t>メイ</t>
    </rPh>
    <phoneticPr fontId="12"/>
  </si>
  <si>
    <t>内　容</t>
    <rPh sb="0" eb="1">
      <t>ウチ</t>
    </rPh>
    <rPh sb="2" eb="3">
      <t>カタチ</t>
    </rPh>
    <phoneticPr fontId="12"/>
  </si>
  <si>
    <t>数　量</t>
    <rPh sb="0" eb="1">
      <t>カズ</t>
    </rPh>
    <rPh sb="2" eb="3">
      <t>リョウ</t>
    </rPh>
    <phoneticPr fontId="12"/>
  </si>
  <si>
    <t>単　価</t>
    <rPh sb="0" eb="1">
      <t>タン</t>
    </rPh>
    <rPh sb="2" eb="3">
      <t>アタイ</t>
    </rPh>
    <phoneticPr fontId="12"/>
  </si>
  <si>
    <t>完了日</t>
    <rPh sb="0" eb="3">
      <t>カンリョウビ</t>
    </rPh>
    <phoneticPr fontId="12"/>
  </si>
  <si>
    <t>備考</t>
    <rPh sb="0" eb="2">
      <t>ビコウ</t>
    </rPh>
    <phoneticPr fontId="12"/>
  </si>
  <si>
    <t>TD売上請求H.見積番号</t>
    <rPh sb="8" eb="10">
      <t>ミツモリ</t>
    </rPh>
    <rPh sb="10" eb="12">
      <t>バンゴウ</t>
    </rPh>
    <phoneticPr fontId="1"/>
  </si>
  <si>
    <t>TD見積.受付日付</t>
    <rPh sb="5" eb="7">
      <t>ウケツケ</t>
    </rPh>
    <rPh sb="7" eb="9">
      <t>ヒヅケ</t>
    </rPh>
    <phoneticPr fontId="1"/>
  </si>
  <si>
    <t>TM納入先.表示用店舗名</t>
    <rPh sb="6" eb="9">
      <t>ヒョウジヨウ</t>
    </rPh>
    <rPh sb="9" eb="11">
      <t>テンポ</t>
    </rPh>
    <rPh sb="11" eb="12">
      <t>メイ</t>
    </rPh>
    <phoneticPr fontId="1"/>
  </si>
  <si>
    <t>発注者名</t>
    <rPh sb="0" eb="2">
      <t>ハッチュウ</t>
    </rPh>
    <rPh sb="2" eb="3">
      <t>シャ</t>
    </rPh>
    <rPh sb="3" eb="4">
      <t>メイ</t>
    </rPh>
    <phoneticPr fontId="1"/>
  </si>
  <si>
    <t>TD見積.発注担当者名</t>
    <rPh sb="2" eb="4">
      <t>ミツ</t>
    </rPh>
    <rPh sb="5" eb="7">
      <t>ハッチュウ</t>
    </rPh>
    <rPh sb="7" eb="10">
      <t>タントウシャ</t>
    </rPh>
    <rPh sb="10" eb="11">
      <t>メイ</t>
    </rPh>
    <phoneticPr fontId="1"/>
  </si>
  <si>
    <t>TD見積.作業内容</t>
    <rPh sb="2" eb="4">
      <t>ミツ</t>
    </rPh>
    <rPh sb="5" eb="7">
      <t>サギョウ</t>
    </rPh>
    <rPh sb="7" eb="9">
      <t>ナイヨウ</t>
    </rPh>
    <phoneticPr fontId="1"/>
  </si>
  <si>
    <t>ソース上では入力なし</t>
    <rPh sb="3" eb="4">
      <t>ジョウ</t>
    </rPh>
    <rPh sb="6" eb="8">
      <t>ニュウリョク</t>
    </rPh>
    <phoneticPr fontId="1"/>
  </si>
  <si>
    <t>TD売上請求H.合計金額</t>
    <rPh sb="8" eb="10">
      <t>ゴウケイ</t>
    </rPh>
    <rPh sb="10" eb="12">
      <t>キンガク</t>
    </rPh>
    <phoneticPr fontId="1"/>
  </si>
  <si>
    <t>TD見積.完工日付</t>
    <rPh sb="5" eb="7">
      <t>カンコウ</t>
    </rPh>
    <rPh sb="7" eb="9">
      <t>ヒヅケ</t>
    </rPh>
    <phoneticPr fontId="1"/>
  </si>
  <si>
    <t>m/d</t>
    <phoneticPr fontId="1"/>
  </si>
  <si>
    <t>項目一覧</t>
    <rPh sb="0" eb="2">
      <t>コウモク</t>
    </rPh>
    <rPh sb="2" eb="4">
      <t>イチラン</t>
    </rPh>
    <phoneticPr fontId="2"/>
  </si>
  <si>
    <t>会社名項目について</t>
    <rPh sb="0" eb="3">
      <t>カイシャメイ</t>
    </rPh>
    <rPh sb="3" eb="5">
      <t>コウモク</t>
    </rPh>
    <phoneticPr fontId="2"/>
  </si>
  <si>
    <t>「株式会社　三和商研」で固定か</t>
    <rPh sb="1" eb="5">
      <t>カブシキガイシャ</t>
    </rPh>
    <rPh sb="6" eb="8">
      <t>サンワ</t>
    </rPh>
    <rPh sb="8" eb="9">
      <t>ショウ</t>
    </rPh>
    <rPh sb="9" eb="10">
      <t>ケン</t>
    </rPh>
    <rPh sb="12" eb="14">
      <t>コテイ</t>
    </rPh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</si>
  <si>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</si>
  <si>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</si>
  <si>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</si>
  <si>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</si>
  <si>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</si>
  <si>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</si>
  <si>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</si>
  <si>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</si>
  <si>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</si>
  <si>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</si>
  <si>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</si>
  <si>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</si>
  <si>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</si>
  <si>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</si>
  <si>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</si>
  <si>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</si>
  <si>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</si>
  <si>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</si>
  <si>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</si>
  <si>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</si>
  <si>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</si>
  <si>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</si>
  <si>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</si>
  <si>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</si>
  <si>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</si>
  <si>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</si>
  <si>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</si>
  <si>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</si>
  <si>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</si>
  <si>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</si>
  <si>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</si>
  <si>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</si>
  <si>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</si>
  <si>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</si>
  <si>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</si>
  <si>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</si>
  <si>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</si>
  <si>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xlsx</t>
    <phoneticPr fontId="2"/>
  </si>
  <si>
    <t>発注者ごとにシートができる</t>
    <rPh sb="0" eb="3">
      <t>ハッチュウシャ</t>
    </rPh>
    <phoneticPr fontId="2"/>
  </si>
  <si>
    <t>回答</t>
    <rPh sb="0" eb="2">
      <t>カイトウ</t>
    </rPh>
    <phoneticPr fontId="2"/>
  </si>
  <si>
    <t>合っている</t>
    <rPh sb="0" eb="1">
      <t>ア</t>
    </rPh>
    <phoneticPr fontId="2"/>
  </si>
  <si>
    <t>〇</t>
    <phoneticPr fontId="2"/>
  </si>
  <si>
    <t>2023年　</t>
    <rPh sb="4" eb="5">
      <t>ネン</t>
    </rPh>
    <phoneticPr fontId="12"/>
  </si>
  <si>
    <t>月度分　　請求明細書</t>
    <rPh sb="5" eb="10">
      <t>セイキュウメイサイショ</t>
    </rPh>
    <phoneticPr fontId="12"/>
  </si>
  <si>
    <t>●</t>
    <phoneticPr fontId="12"/>
  </si>
  <si>
    <t>株式会社三和商研</t>
    <rPh sb="0" eb="4">
      <t>カブシキガイシャ</t>
    </rPh>
    <rPh sb="4" eb="8">
      <t>サンワショウケン</t>
    </rPh>
    <phoneticPr fontId="12"/>
  </si>
  <si>
    <t>軽減税率対象</t>
    <rPh sb="0" eb="4">
      <t>ケイゲンゼイリツ</t>
    </rPh>
    <rPh sb="4" eb="6">
      <t>タイショウ</t>
    </rPh>
    <phoneticPr fontId="12"/>
  </si>
  <si>
    <t>計</t>
    <rPh sb="0" eb="1">
      <t>ケイ</t>
    </rPh>
    <phoneticPr fontId="12"/>
  </si>
  <si>
    <t>年度</t>
    <rPh sb="0" eb="1">
      <t>ネン</t>
    </rPh>
    <rPh sb="1" eb="2">
      <t>ド</t>
    </rPh>
    <phoneticPr fontId="1"/>
  </si>
  <si>
    <t>-</t>
    <phoneticPr fontId="1"/>
  </si>
  <si>
    <t>-</t>
    <phoneticPr fontId="1"/>
  </si>
  <si>
    <t>yyyy年</t>
    <rPh sb="4" eb="5">
      <t>ネン</t>
    </rPh>
    <phoneticPr fontId="1"/>
  </si>
  <si>
    <t>m月度分</t>
    <phoneticPr fontId="1"/>
  </si>
  <si>
    <t>固定値で1</t>
    <phoneticPr fontId="1"/>
  </si>
  <si>
    <t>空欄</t>
    <rPh sb="0" eb="2">
      <t>クウラン</t>
    </rPh>
    <phoneticPr fontId="1"/>
  </si>
  <si>
    <t>軽減税率対象</t>
    <rPh sb="0" eb="4">
      <t>ケイゲンゼイリツ</t>
    </rPh>
    <rPh sb="4" eb="6">
      <t>タイショウ</t>
    </rPh>
    <phoneticPr fontId="1"/>
  </si>
  <si>
    <t>軽減税率対象項目について</t>
    <rPh sb="0" eb="6">
      <t>ケイゲンゼイリツタイショウ</t>
    </rPh>
    <rPh sb="6" eb="8">
      <t>コウモク</t>
    </rPh>
    <phoneticPr fontId="2"/>
  </si>
  <si>
    <t>前レイアウトにてソース上でデータを入れていないが何か値を入れる必要があるか</t>
    <rPh sb="0" eb="1">
      <t>ゼン</t>
    </rPh>
    <rPh sb="11" eb="12">
      <t>ジョウ</t>
    </rPh>
    <rPh sb="17" eb="18">
      <t>イ</t>
    </rPh>
    <rPh sb="24" eb="25">
      <t>ナニ</t>
    </rPh>
    <rPh sb="26" eb="27">
      <t>アタイ</t>
    </rPh>
    <rPh sb="28" eb="29">
      <t>イ</t>
    </rPh>
    <rPh sb="31" eb="33">
      <t>ヒツヨウ</t>
    </rPh>
    <phoneticPr fontId="2"/>
  </si>
  <si>
    <t>新レイアウトにて増えた項目。どのようなデータが入るのか</t>
    <rPh sb="0" eb="1">
      <t>シン</t>
    </rPh>
    <rPh sb="8" eb="9">
      <t>フ</t>
    </rPh>
    <rPh sb="11" eb="13">
      <t>コウモク</t>
    </rPh>
    <rPh sb="23" eb="24">
      <t>ハイ</t>
    </rPh>
    <phoneticPr fontId="2"/>
  </si>
  <si>
    <t>単価、備考項目について</t>
    <rPh sb="0" eb="2">
      <t>タンカ</t>
    </rPh>
    <rPh sb="3" eb="5">
      <t>ビコウ</t>
    </rPh>
    <rPh sb="5" eb="7">
      <t>コウモク</t>
    </rPh>
    <phoneticPr fontId="2"/>
  </si>
  <si>
    <t>画面.請求期間to</t>
    <rPh sb="0" eb="2">
      <t>ガメン</t>
    </rPh>
    <rPh sb="3" eb="5">
      <t>セイキュウ</t>
    </rPh>
    <rPh sb="5" eb="7">
      <t>キカン</t>
    </rPh>
    <phoneticPr fontId="1"/>
  </si>
  <si>
    <t>画面.請求期間to</t>
    <phoneticPr fontId="1"/>
  </si>
  <si>
    <t>[画面.請求期間to]の日付</t>
    <rPh sb="12" eb="14">
      <t>ヒヅケ</t>
    </rPh>
    <phoneticPr fontId="1"/>
  </si>
  <si>
    <t>MH.納入得意先CD</t>
  </si>
  <si>
    <t>MH.納入先CD</t>
  </si>
  <si>
    <t>NY.表示用店舗名</t>
  </si>
  <si>
    <t>USH.見積番号</t>
  </si>
  <si>
    <t>MH.受付日付</t>
  </si>
  <si>
    <t>MH.完工日付</t>
  </si>
  <si>
    <t>MH.発注担当者名</t>
  </si>
  <si>
    <t>USH.合計金額</t>
  </si>
  <si>
    <t>MH.作業内容</t>
  </si>
  <si>
    <t>COUNT(USH.見積番号) OVER (PARTITION BY MH.発注担当者名)</t>
    <phoneticPr fontId="2"/>
  </si>
  <si>
    <t>納入得意先CD</t>
  </si>
  <si>
    <t>納入先CD</t>
  </si>
  <si>
    <t>表示用店舗名</t>
  </si>
  <si>
    <t>見積番号</t>
  </si>
  <si>
    <t>受付日付</t>
  </si>
  <si>
    <t>完工日付</t>
  </si>
  <si>
    <t>発注担当者名</t>
  </si>
  <si>
    <t>合計金額</t>
  </si>
  <si>
    <t>作業内容</t>
  </si>
  <si>
    <t>Count</t>
  </si>
  <si>
    <t>TD売上請求H AS USH</t>
    <phoneticPr fontId="2"/>
  </si>
  <si>
    <t>TD見積 AS MH</t>
    <phoneticPr fontId="2"/>
  </si>
  <si>
    <t>TM納入先 AS NY</t>
    <phoneticPr fontId="2"/>
  </si>
  <si>
    <t>INNER JOIN</t>
    <phoneticPr fontId="2"/>
  </si>
  <si>
    <t>TD見積</t>
    <phoneticPr fontId="2"/>
  </si>
  <si>
    <t>USH.見積番号 = MH.見積番号</t>
    <phoneticPr fontId="2"/>
  </si>
  <si>
    <t>TM納入先</t>
    <phoneticPr fontId="2"/>
  </si>
  <si>
    <t>MH.納入得意先CD = NY.得意先CD</t>
    <phoneticPr fontId="2"/>
  </si>
  <si>
    <t>MH.納入先CD = NY.納入先CD</t>
    <phoneticPr fontId="2"/>
  </si>
  <si>
    <t>AND</t>
    <phoneticPr fontId="2"/>
  </si>
  <si>
    <t>MH.得意先CD = '7001'</t>
    <phoneticPr fontId="2"/>
  </si>
  <si>
    <t>order by</t>
    <phoneticPr fontId="2"/>
  </si>
  <si>
    <t>MH.発注担当者名,MH.受付日付,USH.見積番号</t>
    <phoneticPr fontId="2"/>
  </si>
  <si>
    <t>USH.請求日付 &gt;= [画面.請求期間from]</t>
    <rPh sb="13" eb="15">
      <t>ガメン</t>
    </rPh>
    <rPh sb="16" eb="20">
      <t>セイキュウキカン</t>
    </rPh>
    <phoneticPr fontId="2"/>
  </si>
  <si>
    <t>USH.請求日付 &lt;= [画面.請求期間to]</t>
    <phoneticPr fontId="2"/>
  </si>
  <si>
    <t>MH.発注担当者名 = COALESCE([画面.発注担当者],MH.発注担当者名)</t>
    <rPh sb="25" eb="30">
      <t>ハッチュウタントウシャ</t>
    </rPh>
    <phoneticPr fontId="2"/>
  </si>
  <si>
    <t>数量項目について</t>
    <rPh sb="0" eb="4">
      <t>スウリョウコウモク</t>
    </rPh>
    <phoneticPr fontId="2"/>
  </si>
  <si>
    <t>現行ソースにて固定で１を入れている。</t>
    <rPh sb="0" eb="2">
      <t>ゲンコウ</t>
    </rPh>
    <rPh sb="7" eb="9">
      <t>コテイ</t>
    </rPh>
    <rPh sb="12" eb="13">
      <t>イ</t>
    </rPh>
    <phoneticPr fontId="2"/>
  </si>
  <si>
    <t>空でよい</t>
    <rPh sb="0" eb="1">
      <t>カラ</t>
    </rPh>
    <phoneticPr fontId="2"/>
  </si>
  <si>
    <t>空欄</t>
    <rPh sb="0" eb="2">
      <t>クウラン</t>
    </rPh>
    <phoneticPr fontId="1"/>
  </si>
  <si>
    <t>１でよい</t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</si>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</sst>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8"/>
      <name val="ＭＳ Ｐゴシック"/>
      <family val="3"/>
      <charset val="128"/>
    </font>
    <font>
      <sz val="7"/>
      <name val="ＭＳ Ｐゴシック"/>
      <family val="3"/>
      <charset val="128"/>
    </font>
    <font>
      <b/>
      <u/>
      <sz val="11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7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38" fontId="1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14" fillId="0" borderId="0" applyFont="0" applyFill="0" applyBorder="0" applyAlignment="0" applyProtection="0">
      <alignment vertical="center"/>
    </xf>
  </cellStyleXfs>
  <cellXfs count="2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62" xfId="0" applyFont="1" applyFill="1" applyBorder="1" applyAlignment="1">
      <alignment horizontal="left"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5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21" fillId="2" borderId="2" xfId="0" applyFont="1" applyFill="1" applyBorder="1">
      <alignment vertical="center"/>
    </xf>
    <xf numFmtId="0" fontId="21" fillId="2" borderId="45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45" xfId="0" applyFont="1" applyFill="1" applyBorder="1">
      <alignment vertical="center"/>
    </xf>
    <xf numFmtId="0" fontId="20" fillId="2" borderId="45" xfId="0" quotePrefix="1" applyFont="1" applyFill="1" applyBorder="1">
      <alignment vertical="center"/>
    </xf>
    <xf numFmtId="0" fontId="3" fillId="2" borderId="45" xfId="0" quotePrefix="1" applyFont="1" applyFill="1" applyBorder="1" applyAlignment="1">
      <alignment vertical="center"/>
    </xf>
    <xf numFmtId="0" fontId="3" fillId="2" borderId="71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20" fillId="2" borderId="0" xfId="0" applyFont="1" applyFill="1">
      <alignment vertical="center"/>
    </xf>
    <xf numFmtId="0" fontId="3" fillId="2" borderId="50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67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20" fillId="2" borderId="5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10" fillId="0" borderId="0" xfId="4" applyFont="1">
      <alignment vertical="center"/>
    </xf>
    <xf numFmtId="0" fontId="11" fillId="0" borderId="0" xfId="4" applyFont="1">
      <alignment vertical="center"/>
    </xf>
    <xf numFmtId="0" fontId="9" fillId="0" borderId="0" xfId="4">
      <alignment vertical="center"/>
    </xf>
    <xf numFmtId="0" fontId="15" fillId="0" borderId="41" xfId="4" applyFont="1" applyBorder="1" applyAlignment="1">
      <alignment horizontal="center" vertical="center"/>
    </xf>
    <xf numFmtId="38" fontId="16" fillId="0" borderId="42" xfId="5" applyFont="1" applyBorder="1" applyAlignment="1">
      <alignment vertical="center"/>
    </xf>
    <xf numFmtId="38" fontId="16" fillId="0" borderId="43" xfId="5" applyFont="1" applyBorder="1" applyAlignment="1"/>
    <xf numFmtId="0" fontId="16" fillId="0" borderId="43" xfId="4" applyFont="1" applyBorder="1">
      <alignment vertical="center"/>
    </xf>
    <xf numFmtId="0" fontId="4" fillId="0" borderId="11" xfId="4" applyFont="1" applyBorder="1" applyAlignment="1">
      <alignment horizontal="center"/>
    </xf>
    <xf numFmtId="0" fontId="4" fillId="0" borderId="44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0" xfId="4" applyFont="1">
      <alignment vertical="center"/>
    </xf>
    <xf numFmtId="0" fontId="19" fillId="0" borderId="0" xfId="4" applyFont="1">
      <alignment vertical="center"/>
    </xf>
    <xf numFmtId="38" fontId="14" fillId="0" borderId="0" xfId="5" applyFont="1" applyAlignment="1"/>
    <xf numFmtId="0" fontId="16" fillId="0" borderId="0" xfId="4" applyFont="1">
      <alignment vertical="center"/>
    </xf>
    <xf numFmtId="0" fontId="16" fillId="0" borderId="73" xfId="4" applyFont="1" applyBorder="1" applyAlignment="1">
      <alignment horizontal="center" vertical="center"/>
    </xf>
    <xf numFmtId="0" fontId="16" fillId="0" borderId="74" xfId="4" applyFont="1" applyBorder="1" applyAlignment="1">
      <alignment horizontal="center" vertical="center"/>
    </xf>
    <xf numFmtId="0" fontId="16" fillId="0" borderId="75" xfId="4" applyFont="1" applyBorder="1" applyAlignment="1">
      <alignment horizontal="center" vertical="center"/>
    </xf>
    <xf numFmtId="38" fontId="16" fillId="0" borderId="73" xfId="5" applyFont="1" applyBorder="1" applyAlignment="1">
      <alignment horizontal="center" vertical="center"/>
    </xf>
    <xf numFmtId="0" fontId="15" fillId="0" borderId="76" xfId="4" applyFont="1" applyBorder="1" applyAlignment="1">
      <alignment vertical="center" shrinkToFit="1"/>
    </xf>
    <xf numFmtId="177" fontId="16" fillId="0" borderId="76" xfId="4" applyNumberFormat="1" applyFont="1" applyBorder="1">
      <alignment vertical="center"/>
    </xf>
    <xf numFmtId="0" fontId="16" fillId="0" borderId="76" xfId="4" applyFont="1" applyBorder="1">
      <alignment vertical="center"/>
    </xf>
    <xf numFmtId="0" fontId="15" fillId="0" borderId="77" xfId="4" applyFont="1" applyBorder="1">
      <alignment vertical="center"/>
    </xf>
    <xf numFmtId="0" fontId="15" fillId="0" borderId="78" xfId="4" applyFont="1" applyBorder="1">
      <alignment vertical="center"/>
    </xf>
    <xf numFmtId="3" fontId="16" fillId="0" borderId="76" xfId="4" applyNumberFormat="1" applyFont="1" applyBorder="1">
      <alignment vertical="center"/>
    </xf>
    <xf numFmtId="3" fontId="15" fillId="0" borderId="76" xfId="4" applyNumberFormat="1" applyFont="1" applyBorder="1">
      <alignment vertical="center"/>
    </xf>
    <xf numFmtId="0" fontId="15" fillId="0" borderId="76" xfId="4" applyFont="1" applyBorder="1">
      <alignment vertical="center"/>
    </xf>
    <xf numFmtId="0" fontId="16" fillId="0" borderId="77" xfId="4" applyFont="1" applyBorder="1">
      <alignment vertical="center"/>
    </xf>
    <xf numFmtId="0" fontId="16" fillId="0" borderId="78" xfId="4" applyFont="1" applyBorder="1">
      <alignment vertical="center"/>
    </xf>
    <xf numFmtId="0" fontId="16" fillId="0" borderId="79" xfId="4" applyFont="1" applyBorder="1">
      <alignment vertical="center"/>
    </xf>
    <xf numFmtId="177" fontId="16" fillId="0" borderId="79" xfId="4" applyNumberFormat="1" applyFont="1" applyBorder="1">
      <alignment vertical="center"/>
    </xf>
    <xf numFmtId="0" fontId="16" fillId="0" borderId="80" xfId="4" applyFont="1" applyBorder="1">
      <alignment vertical="center"/>
    </xf>
    <xf numFmtId="0" fontId="16" fillId="0" borderId="81" xfId="4" applyFont="1" applyBorder="1">
      <alignment vertical="center"/>
    </xf>
    <xf numFmtId="3" fontId="16" fillId="0" borderId="79" xfId="4" applyNumberFormat="1" applyFont="1" applyBorder="1">
      <alignment vertical="center"/>
    </xf>
    <xf numFmtId="3" fontId="15" fillId="0" borderId="79" xfId="4" applyNumberFormat="1" applyFont="1" applyBorder="1">
      <alignment vertical="center"/>
    </xf>
    <xf numFmtId="38" fontId="10" fillId="0" borderId="0" xfId="5" applyFont="1" applyAlignment="1">
      <alignment vertical="center"/>
    </xf>
    <xf numFmtId="38" fontId="10" fillId="0" borderId="0" xfId="5" applyFont="1" applyAlignment="1"/>
    <xf numFmtId="0" fontId="10" fillId="0" borderId="0" xfId="4" applyFont="1" applyAlignment="1"/>
    <xf numFmtId="38" fontId="16" fillId="0" borderId="0" xfId="5" applyFont="1" applyBorder="1" applyAlignment="1"/>
    <xf numFmtId="0" fontId="15" fillId="0" borderId="0" xfId="4" applyFont="1">
      <alignment vertical="center"/>
    </xf>
    <xf numFmtId="38" fontId="10" fillId="0" borderId="0" xfId="5" applyFont="1" applyBorder="1" applyAlignment="1"/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14" fontId="3" fillId="2" borderId="57" xfId="0" applyNumberFormat="1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3" fillId="3" borderId="53" xfId="0" applyFont="1" applyFill="1" applyBorder="1" applyAlignment="1">
      <alignment horizontal="center" vertical="center"/>
    </xf>
    <xf numFmtId="0" fontId="15" fillId="0" borderId="80" xfId="4" applyFont="1" applyBorder="1" applyAlignment="1">
      <alignment horizontal="center" vertical="center"/>
    </xf>
    <xf numFmtId="0" fontId="15" fillId="0" borderId="81" xfId="4" applyFont="1" applyBorder="1" applyAlignment="1">
      <alignment horizontal="center" vertical="center"/>
    </xf>
    <xf numFmtId="0" fontId="15" fillId="0" borderId="77" xfId="4" applyFont="1" applyBorder="1" applyAlignment="1">
      <alignment horizontal="center" vertical="center"/>
    </xf>
    <xf numFmtId="0" fontId="15" fillId="0" borderId="78" xfId="4" applyFont="1" applyBorder="1" applyAlignment="1">
      <alignment horizontal="center" vertical="center"/>
    </xf>
    <xf numFmtId="38" fontId="13" fillId="0" borderId="0" xfId="5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7" fillId="0" borderId="2" xfId="4" applyFont="1" applyBorder="1" applyAlignment="1">
      <alignment horizontal="center" vertical="center"/>
    </xf>
    <xf numFmtId="0" fontId="17" fillId="0" borderId="3" xfId="4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0" fontId="17" fillId="0" borderId="45" xfId="4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7" fillId="0" borderId="46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17" fillId="0" borderId="47" xfId="4" applyFont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0" fontId="22" fillId="0" borderId="74" xfId="4" applyFont="1" applyBorder="1" applyAlignment="1">
      <alignment horizontal="center" vertical="center"/>
    </xf>
    <xf numFmtId="0" fontId="22" fillId="0" borderId="75" xfId="4" applyFont="1" applyBorder="1" applyAlignment="1">
      <alignment horizontal="center" vertical="center"/>
    </xf>
  </cellXfs>
  <cellStyles count="6">
    <cellStyle name="桁区切り 2" xfId="3"/>
    <cellStyle name="桁区切り 2 2" xfId="5"/>
    <cellStyle name="標準" xfId="0" builtinId="0"/>
    <cellStyle name="標準 2" xfId="2"/>
    <cellStyle name="標準 2 2" xfId="1"/>
    <cellStyle name="標準 2 2 2" xfId="4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87084</xdr:colOff>
      <xdr:row>6</xdr:row>
      <xdr:rowOff>217713</xdr:rowOff>
    </xdr:from>
    <xdr:to>
      <xdr:col>62</xdr:col>
      <xdr:colOff>66555</xdr:colOff>
      <xdr:row>46</xdr:row>
      <xdr:rowOff>21771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227" y="1349827"/>
          <a:ext cx="16678157" cy="9818915"/>
        </a:xfrm>
        <a:prstGeom prst="rect">
          <a:avLst/>
        </a:prstGeom>
      </xdr:spPr>
    </xdr:pic>
    <xdr:clientData/>
  </xdr:twoCellAnchor>
  <xdr:twoCellAnchor>
    <xdr:from>
      <xdr:col>3</xdr:col>
      <xdr:colOff>25827</xdr:colOff>
      <xdr:row>7</xdr:row>
      <xdr:rowOff>225397</xdr:rowOff>
    </xdr:from>
    <xdr:to>
      <xdr:col>4</xdr:col>
      <xdr:colOff>88579</xdr:colOff>
      <xdr:row>9</xdr:row>
      <xdr:rowOff>49733</xdr:rowOff>
    </xdr:to>
    <xdr:sp macro="" textlink="">
      <xdr:nvSpPr>
        <xdr:cNvPr id="5" name="正方形/長方形 4"/>
        <xdr:cNvSpPr/>
      </xdr:nvSpPr>
      <xdr:spPr>
        <a:xfrm>
          <a:off x="678970" y="1607883"/>
          <a:ext cx="345780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54856</xdr:colOff>
      <xdr:row>21</xdr:row>
      <xdr:rowOff>78334</xdr:rowOff>
    </xdr:from>
    <xdr:to>
      <xdr:col>5</xdr:col>
      <xdr:colOff>124226</xdr:colOff>
      <xdr:row>22</xdr:row>
      <xdr:rowOff>153041</xdr:rowOff>
    </xdr:to>
    <xdr:sp macro="" textlink="">
      <xdr:nvSpPr>
        <xdr:cNvPr id="7" name="正方形/長方形 6"/>
        <xdr:cNvSpPr/>
      </xdr:nvSpPr>
      <xdr:spPr>
        <a:xfrm>
          <a:off x="991027" y="4966020"/>
          <a:ext cx="352399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34439</xdr:colOff>
      <xdr:row>21</xdr:row>
      <xdr:rowOff>78448</xdr:rowOff>
    </xdr:from>
    <xdr:to>
      <xdr:col>9</xdr:col>
      <xdr:colOff>99203</xdr:colOff>
      <xdr:row>22</xdr:row>
      <xdr:rowOff>153155</xdr:rowOff>
    </xdr:to>
    <xdr:sp macro="" textlink="">
      <xdr:nvSpPr>
        <xdr:cNvPr id="8" name="正方形/長方形 7"/>
        <xdr:cNvSpPr/>
      </xdr:nvSpPr>
      <xdr:spPr>
        <a:xfrm>
          <a:off x="2102725" y="4966134"/>
          <a:ext cx="347792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83524</xdr:colOff>
      <xdr:row>21</xdr:row>
      <xdr:rowOff>94332</xdr:rowOff>
    </xdr:from>
    <xdr:to>
      <xdr:col>15</xdr:col>
      <xdr:colOff>148287</xdr:colOff>
      <xdr:row>22</xdr:row>
      <xdr:rowOff>169039</xdr:rowOff>
    </xdr:to>
    <xdr:sp macro="" textlink="">
      <xdr:nvSpPr>
        <xdr:cNvPr id="9" name="正方形/長方形 8"/>
        <xdr:cNvSpPr/>
      </xdr:nvSpPr>
      <xdr:spPr>
        <a:xfrm>
          <a:off x="3849981" y="4982018"/>
          <a:ext cx="347792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245092</xdr:colOff>
      <xdr:row>21</xdr:row>
      <xdr:rowOff>72675</xdr:rowOff>
    </xdr:from>
    <xdr:to>
      <xdr:col>19</xdr:col>
      <xdr:colOff>26828</xdr:colOff>
      <xdr:row>22</xdr:row>
      <xdr:rowOff>147382</xdr:rowOff>
    </xdr:to>
    <xdr:sp macro="" textlink="">
      <xdr:nvSpPr>
        <xdr:cNvPr id="10" name="正方形/長方形 9"/>
        <xdr:cNvSpPr/>
      </xdr:nvSpPr>
      <xdr:spPr>
        <a:xfrm>
          <a:off x="4860635" y="4960361"/>
          <a:ext cx="347793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102044</xdr:colOff>
      <xdr:row>21</xdr:row>
      <xdr:rowOff>101424</xdr:rowOff>
    </xdr:from>
    <xdr:to>
      <xdr:col>35</xdr:col>
      <xdr:colOff>166808</xdr:colOff>
      <xdr:row>22</xdr:row>
      <xdr:rowOff>176131</xdr:rowOff>
    </xdr:to>
    <xdr:sp macro="" textlink="">
      <xdr:nvSpPr>
        <xdr:cNvPr id="11" name="正方形/長方形 10"/>
        <xdr:cNvSpPr/>
      </xdr:nvSpPr>
      <xdr:spPr>
        <a:xfrm>
          <a:off x="9529073" y="4989110"/>
          <a:ext cx="347792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98276</xdr:colOff>
      <xdr:row>21</xdr:row>
      <xdr:rowOff>91514</xdr:rowOff>
    </xdr:from>
    <xdr:to>
      <xdr:col>40</xdr:col>
      <xdr:colOff>167645</xdr:colOff>
      <xdr:row>22</xdr:row>
      <xdr:rowOff>166221</xdr:rowOff>
    </xdr:to>
    <xdr:sp macro="" textlink="">
      <xdr:nvSpPr>
        <xdr:cNvPr id="12" name="正方形/長方形 11"/>
        <xdr:cNvSpPr/>
      </xdr:nvSpPr>
      <xdr:spPr>
        <a:xfrm>
          <a:off x="10940447" y="4979200"/>
          <a:ext cx="352398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27099</xdr:colOff>
      <xdr:row>21</xdr:row>
      <xdr:rowOff>86490</xdr:rowOff>
    </xdr:from>
    <xdr:to>
      <xdr:col>43</xdr:col>
      <xdr:colOff>91862</xdr:colOff>
      <xdr:row>22</xdr:row>
      <xdr:rowOff>161197</xdr:rowOff>
    </xdr:to>
    <xdr:sp macro="" textlink="">
      <xdr:nvSpPr>
        <xdr:cNvPr id="13" name="正方形/長方形 12"/>
        <xdr:cNvSpPr/>
      </xdr:nvSpPr>
      <xdr:spPr>
        <a:xfrm>
          <a:off x="11718356" y="4974176"/>
          <a:ext cx="347792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44</xdr:col>
      <xdr:colOff>254022</xdr:colOff>
      <xdr:row>21</xdr:row>
      <xdr:rowOff>82581</xdr:rowOff>
    </xdr:from>
    <xdr:to>
      <xdr:col>46</xdr:col>
      <xdr:colOff>35758</xdr:colOff>
      <xdr:row>22</xdr:row>
      <xdr:rowOff>157288</xdr:rowOff>
    </xdr:to>
    <xdr:sp macro="" textlink="">
      <xdr:nvSpPr>
        <xdr:cNvPr id="14" name="正方形/長方形 13"/>
        <xdr:cNvSpPr/>
      </xdr:nvSpPr>
      <xdr:spPr>
        <a:xfrm>
          <a:off x="12511336" y="4970267"/>
          <a:ext cx="347793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280399</xdr:colOff>
      <xdr:row>21</xdr:row>
      <xdr:rowOff>83559</xdr:rowOff>
    </xdr:from>
    <xdr:to>
      <xdr:col>51</xdr:col>
      <xdr:colOff>62135</xdr:colOff>
      <xdr:row>22</xdr:row>
      <xdr:rowOff>158266</xdr:rowOff>
    </xdr:to>
    <xdr:sp macro="" textlink="">
      <xdr:nvSpPr>
        <xdr:cNvPr id="15" name="正方形/長方形 14"/>
        <xdr:cNvSpPr/>
      </xdr:nvSpPr>
      <xdr:spPr>
        <a:xfrm>
          <a:off x="13952856" y="4971245"/>
          <a:ext cx="347793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204199</xdr:colOff>
      <xdr:row>21</xdr:row>
      <xdr:rowOff>83558</xdr:rowOff>
    </xdr:from>
    <xdr:to>
      <xdr:col>53</xdr:col>
      <xdr:colOff>268964</xdr:colOff>
      <xdr:row>22</xdr:row>
      <xdr:rowOff>158265</xdr:rowOff>
    </xdr:to>
    <xdr:sp macro="" textlink="">
      <xdr:nvSpPr>
        <xdr:cNvPr id="17" name="正方形/長方形 16"/>
        <xdr:cNvSpPr/>
      </xdr:nvSpPr>
      <xdr:spPr>
        <a:xfrm>
          <a:off x="14725742" y="4971244"/>
          <a:ext cx="347793" cy="3250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254427</xdr:colOff>
      <xdr:row>7</xdr:row>
      <xdr:rowOff>214512</xdr:rowOff>
    </xdr:from>
    <xdr:to>
      <xdr:col>13</xdr:col>
      <xdr:colOff>34149</xdr:colOff>
      <xdr:row>9</xdr:row>
      <xdr:rowOff>38848</xdr:rowOff>
    </xdr:to>
    <xdr:sp macro="" textlink="">
      <xdr:nvSpPr>
        <xdr:cNvPr id="18" name="正方形/長方形 17"/>
        <xdr:cNvSpPr/>
      </xdr:nvSpPr>
      <xdr:spPr>
        <a:xfrm>
          <a:off x="3171798" y="1596998"/>
          <a:ext cx="345780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467726</xdr:colOff>
      <xdr:row>45</xdr:row>
      <xdr:rowOff>87141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73326" cy="1014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208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31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4"/>
    </row>
    <row r="3" spans="1:66" ht="20.100000000000001" customHeight="1" x14ac:dyDescent="0.45">
      <c r="A3" s="8"/>
      <c r="B3" s="174" t="s">
        <v>206</v>
      </c>
      <c r="C3" s="175"/>
      <c r="D3" s="175"/>
      <c r="E3" s="175"/>
      <c r="F3" s="175"/>
      <c r="G3" s="175"/>
      <c r="H3" s="175" t="str">
        <f ca="1">LEFT($X$3,FIND("_",$X$3)-1)</f>
        <v>SU0900</v>
      </c>
      <c r="I3" s="175"/>
      <c r="J3" s="175"/>
      <c r="K3" s="175"/>
      <c r="L3" s="175" t="s">
        <v>207</v>
      </c>
      <c r="M3" s="175"/>
      <c r="N3" s="175"/>
      <c r="O3" s="175"/>
      <c r="P3" s="175"/>
      <c r="Q3" s="175"/>
      <c r="R3" s="178" t="str">
        <f ca="1">MID($X$3,FIND("_",$X$3,FIND("_",$X$3)+1)+1,LEN($X$3)-FIND("_",$X$3,FIND("_",$X$3)+1))</f>
        <v>帳票設計書</v>
      </c>
      <c r="S3" s="175"/>
      <c r="T3" s="175"/>
      <c r="U3" s="175"/>
      <c r="V3" s="175"/>
      <c r="W3" s="175"/>
      <c r="X3" s="179" t="str">
        <f ca="1">REPLACE(LEFT(CELL("filename",$B$2),FIND(".x",CELL("filename",$B$2))-1),1,FIND("[",CELL("filename",$B$2)),)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MID($X$3,FIND("_",$X$3)+1,FIND("_",$X$3,FIND("_",$X$3)+1)-FIND("_",$X$3)-1)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v>45581</v>
      </c>
      <c r="AY3" s="175"/>
      <c r="AZ3" s="175"/>
      <c r="BA3" s="175"/>
      <c r="BB3" s="175" t="s">
        <v>209</v>
      </c>
      <c r="BC3" s="175"/>
      <c r="BD3" s="175"/>
      <c r="BE3" s="175"/>
      <c r="BF3" s="186">
        <v>45581</v>
      </c>
      <c r="BG3" s="175"/>
      <c r="BH3" s="175"/>
      <c r="BI3" s="175"/>
      <c r="BJ3" s="175" t="s">
        <v>210</v>
      </c>
      <c r="BK3" s="175"/>
      <c r="BL3" s="175"/>
      <c r="BM3" s="187"/>
      <c r="BN3" s="14"/>
    </row>
    <row r="4" spans="1:66" ht="20.100000000000001" customHeight="1" thickBot="1" x14ac:dyDescent="0.5">
      <c r="A4" s="8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85" t="s">
        <v>8</v>
      </c>
      <c r="D8" s="185"/>
      <c r="E8" s="185"/>
      <c r="F8" s="185"/>
      <c r="G8" s="185" t="s">
        <v>9</v>
      </c>
      <c r="H8" s="185"/>
      <c r="I8" s="185"/>
      <c r="J8" s="185"/>
      <c r="K8" s="185" t="s">
        <v>10</v>
      </c>
      <c r="L8" s="185"/>
      <c r="M8" s="185"/>
      <c r="N8" s="185"/>
      <c r="O8" s="185" t="s">
        <v>11</v>
      </c>
      <c r="P8" s="185"/>
      <c r="Q8" s="185"/>
      <c r="R8" s="185"/>
      <c r="S8" s="185"/>
      <c r="T8" s="185"/>
      <c r="U8" s="185"/>
      <c r="V8" s="185"/>
      <c r="W8" s="185"/>
      <c r="X8" s="185"/>
      <c r="Y8" s="185" t="s">
        <v>12</v>
      </c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7"/>
      <c r="BN8" s="14"/>
    </row>
    <row r="9" spans="1:66" ht="20.100000000000001" customHeight="1" x14ac:dyDescent="0.45">
      <c r="A9" s="8"/>
      <c r="B9" s="7"/>
      <c r="C9" s="188">
        <v>45581</v>
      </c>
      <c r="D9" s="189"/>
      <c r="E9" s="189"/>
      <c r="F9" s="190"/>
      <c r="G9" s="191" t="s">
        <v>16</v>
      </c>
      <c r="H9" s="192"/>
      <c r="I9" s="192"/>
      <c r="J9" s="193"/>
      <c r="K9" s="194" t="s">
        <v>210</v>
      </c>
      <c r="L9" s="189"/>
      <c r="M9" s="189"/>
      <c r="N9" s="19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88"/>
      <c r="D10" s="189"/>
      <c r="E10" s="189"/>
      <c r="F10" s="190"/>
      <c r="G10" s="191"/>
      <c r="H10" s="192"/>
      <c r="I10" s="192"/>
      <c r="J10" s="193"/>
      <c r="K10" s="194"/>
      <c r="L10" s="189"/>
      <c r="M10" s="189"/>
      <c r="N10" s="19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88"/>
      <c r="D11" s="189"/>
      <c r="E11" s="189"/>
      <c r="F11" s="190"/>
      <c r="G11" s="191"/>
      <c r="H11" s="192"/>
      <c r="I11" s="192"/>
      <c r="J11" s="193"/>
      <c r="K11" s="194"/>
      <c r="L11" s="189"/>
      <c r="M11" s="189"/>
      <c r="N11" s="19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88"/>
      <c r="D36" s="189"/>
      <c r="E36" s="189"/>
      <c r="F36" s="190"/>
      <c r="G36" s="191"/>
      <c r="H36" s="192"/>
      <c r="I36" s="192"/>
      <c r="J36" s="193"/>
      <c r="K36" s="194"/>
      <c r="L36" s="189"/>
      <c r="M36" s="189"/>
      <c r="N36" s="19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88"/>
      <c r="D37" s="189"/>
      <c r="E37" s="189"/>
      <c r="F37" s="190"/>
      <c r="G37" s="191"/>
      <c r="H37" s="192"/>
      <c r="I37" s="192"/>
      <c r="J37" s="193"/>
      <c r="K37" s="194"/>
      <c r="L37" s="189"/>
      <c r="M37" s="189"/>
      <c r="N37" s="19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88"/>
      <c r="D38" s="189"/>
      <c r="E38" s="189"/>
      <c r="F38" s="190"/>
      <c r="G38" s="191"/>
      <c r="H38" s="192"/>
      <c r="I38" s="192"/>
      <c r="J38" s="193"/>
      <c r="K38" s="194"/>
      <c r="L38" s="189"/>
      <c r="M38" s="189"/>
      <c r="N38" s="19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88"/>
      <c r="D39" s="189"/>
      <c r="E39" s="189"/>
      <c r="F39" s="190"/>
      <c r="G39" s="191"/>
      <c r="H39" s="192"/>
      <c r="I39" s="192"/>
      <c r="J39" s="193"/>
      <c r="K39" s="194"/>
      <c r="L39" s="189"/>
      <c r="M39" s="189"/>
      <c r="N39" s="19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88"/>
      <c r="D40" s="189"/>
      <c r="E40" s="189"/>
      <c r="F40" s="190"/>
      <c r="G40" s="191"/>
      <c r="H40" s="192"/>
      <c r="I40" s="192"/>
      <c r="J40" s="193"/>
      <c r="K40" s="194"/>
      <c r="L40" s="189"/>
      <c r="M40" s="189"/>
      <c r="N40" s="19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88"/>
      <c r="D41" s="189"/>
      <c r="E41" s="189"/>
      <c r="F41" s="190"/>
      <c r="G41" s="191"/>
      <c r="H41" s="192"/>
      <c r="I41" s="192"/>
      <c r="J41" s="193"/>
      <c r="K41" s="194"/>
      <c r="L41" s="189"/>
      <c r="M41" s="189"/>
      <c r="N41" s="19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88"/>
      <c r="D42" s="189"/>
      <c r="E42" s="189"/>
      <c r="F42" s="190"/>
      <c r="G42" s="191"/>
      <c r="H42" s="192"/>
      <c r="I42" s="192"/>
      <c r="J42" s="193"/>
      <c r="K42" s="194"/>
      <c r="L42" s="189"/>
      <c r="M42" s="189"/>
      <c r="N42" s="19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88"/>
      <c r="D43" s="189"/>
      <c r="E43" s="189"/>
      <c r="F43" s="190"/>
      <c r="G43" s="191"/>
      <c r="H43" s="192"/>
      <c r="I43" s="192"/>
      <c r="J43" s="193"/>
      <c r="K43" s="194"/>
      <c r="L43" s="189"/>
      <c r="M43" s="189"/>
      <c r="N43" s="19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88"/>
      <c r="D44" s="189"/>
      <c r="E44" s="189"/>
      <c r="F44" s="190"/>
      <c r="G44" s="191"/>
      <c r="H44" s="192"/>
      <c r="I44" s="192"/>
      <c r="J44" s="193"/>
      <c r="K44" s="194"/>
      <c r="L44" s="189"/>
      <c r="M44" s="189"/>
      <c r="N44" s="19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88"/>
      <c r="D45" s="189"/>
      <c r="E45" s="189"/>
      <c r="F45" s="190"/>
      <c r="G45" s="191"/>
      <c r="H45" s="192"/>
      <c r="I45" s="192"/>
      <c r="J45" s="193"/>
      <c r="K45" s="194"/>
      <c r="L45" s="189"/>
      <c r="M45" s="189"/>
      <c r="N45" s="19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88"/>
      <c r="D46" s="189"/>
      <c r="E46" s="189"/>
      <c r="F46" s="190"/>
      <c r="G46" s="191"/>
      <c r="H46" s="192"/>
      <c r="I46" s="192"/>
      <c r="J46" s="193"/>
      <c r="K46" s="194"/>
      <c r="L46" s="189"/>
      <c r="M46" s="189"/>
      <c r="N46" s="19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88"/>
      <c r="D47" s="189"/>
      <c r="E47" s="189"/>
      <c r="F47" s="190"/>
      <c r="G47" s="191"/>
      <c r="H47" s="192"/>
      <c r="I47" s="192"/>
      <c r="J47" s="193"/>
      <c r="K47" s="194"/>
      <c r="L47" s="189"/>
      <c r="M47" s="189"/>
      <c r="N47" s="19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208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35"/>
    </row>
    <row r="3" spans="1:66" ht="20.100000000000001" customHeight="1" x14ac:dyDescent="0.45">
      <c r="A3" s="32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SU0900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35"/>
    </row>
    <row r="4" spans="1:66" ht="20.100000000000001" customHeight="1" thickBot="1" x14ac:dyDescent="0.5">
      <c r="A4" s="32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マミーマート請求明細表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138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205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139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208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5"/>
    </row>
    <row r="3" spans="1:66" ht="20.100000000000001" customHeight="1" x14ac:dyDescent="0.45">
      <c r="A3" s="9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SU0900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15"/>
    </row>
    <row r="4" spans="1:66" ht="20.100000000000001" customHeight="1" thickBot="1" x14ac:dyDescent="0.5">
      <c r="A4" s="9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69" t="s">
        <v>0</v>
      </c>
      <c r="C2" s="170"/>
      <c r="D2" s="170"/>
      <c r="E2" s="170"/>
      <c r="F2" s="170"/>
      <c r="G2" s="170"/>
      <c r="H2" s="170" t="s">
        <v>17</v>
      </c>
      <c r="I2" s="170"/>
      <c r="J2" s="170"/>
      <c r="K2" s="170"/>
      <c r="L2" s="170" t="s">
        <v>208</v>
      </c>
      <c r="M2" s="170"/>
      <c r="N2" s="170"/>
      <c r="O2" s="170"/>
      <c r="P2" s="170"/>
      <c r="Q2" s="170"/>
      <c r="R2" s="170" t="s">
        <v>2</v>
      </c>
      <c r="S2" s="170"/>
      <c r="T2" s="170"/>
      <c r="U2" s="170"/>
      <c r="V2" s="170"/>
      <c r="W2" s="170"/>
      <c r="X2" s="171" t="s">
        <v>3</v>
      </c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3"/>
      <c r="AK2" s="171" t="s">
        <v>32</v>
      </c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3"/>
      <c r="AX2" s="170" t="s">
        <v>5</v>
      </c>
      <c r="AY2" s="170"/>
      <c r="AZ2" s="170"/>
      <c r="BA2" s="170"/>
      <c r="BB2" s="170" t="s">
        <v>4</v>
      </c>
      <c r="BC2" s="170"/>
      <c r="BD2" s="170"/>
      <c r="BE2" s="170"/>
      <c r="BF2" s="170" t="s">
        <v>6</v>
      </c>
      <c r="BG2" s="170"/>
      <c r="BH2" s="170"/>
      <c r="BI2" s="170"/>
      <c r="BJ2" s="170" t="s">
        <v>7</v>
      </c>
      <c r="BK2" s="170"/>
      <c r="BL2" s="170"/>
      <c r="BM2" s="184"/>
      <c r="BN2" s="15"/>
    </row>
    <row r="3" spans="1:85" ht="20.100000000000001" customHeight="1" x14ac:dyDescent="0.45">
      <c r="A3" s="9"/>
      <c r="B3" s="174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SU0900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187"/>
      <c r="BN3" s="15"/>
    </row>
    <row r="4" spans="1:85" ht="20.100000000000001" customHeight="1" thickBot="1" x14ac:dyDescent="0.5">
      <c r="A4" s="9"/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81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1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3"/>
      <c r="AX4" s="195"/>
      <c r="AY4" s="195"/>
      <c r="AZ4" s="195"/>
      <c r="BA4" s="195"/>
      <c r="BB4" s="177"/>
      <c r="BC4" s="177"/>
      <c r="BD4" s="177"/>
      <c r="BE4" s="177"/>
      <c r="BF4" s="195"/>
      <c r="BG4" s="195"/>
      <c r="BH4" s="195"/>
      <c r="BI4" s="195"/>
      <c r="BJ4" s="177"/>
      <c r="BK4" s="177"/>
      <c r="BL4" s="177"/>
      <c r="BM4" s="17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21" t="s">
        <v>20</v>
      </c>
      <c r="F10" s="222"/>
      <c r="G10" s="222"/>
      <c r="H10" s="222"/>
      <c r="I10" s="222"/>
      <c r="J10" s="222"/>
      <c r="K10" s="222"/>
      <c r="L10" s="223"/>
      <c r="M10" s="199" t="s">
        <v>24</v>
      </c>
      <c r="N10" s="200"/>
      <c r="O10" s="200"/>
      <c r="P10" s="199" t="s">
        <v>33</v>
      </c>
      <c r="Q10" s="200"/>
      <c r="R10" s="200"/>
      <c r="S10" s="199" t="s">
        <v>34</v>
      </c>
      <c r="T10" s="200"/>
      <c r="U10" s="200"/>
      <c r="V10" s="199" t="s">
        <v>36</v>
      </c>
      <c r="W10" s="200"/>
      <c r="X10" s="200"/>
      <c r="Y10" s="200"/>
      <c r="Z10" s="200"/>
      <c r="AA10" s="201"/>
      <c r="AB10" s="199" t="s">
        <v>35</v>
      </c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1"/>
      <c r="AR10" s="199" t="s">
        <v>42</v>
      </c>
      <c r="AS10" s="200"/>
      <c r="AT10" s="200"/>
      <c r="AU10" s="200"/>
      <c r="AV10" s="200"/>
      <c r="AW10" s="201"/>
      <c r="AX10" s="199" t="s">
        <v>43</v>
      </c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21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18" t="s">
        <v>149</v>
      </c>
      <c r="F11" s="219"/>
      <c r="G11" s="219"/>
      <c r="H11" s="219"/>
      <c r="I11" s="219"/>
      <c r="J11" s="219"/>
      <c r="K11" s="219"/>
      <c r="L11" s="220"/>
      <c r="M11" s="194" t="s">
        <v>8</v>
      </c>
      <c r="N11" s="189"/>
      <c r="O11" s="189"/>
      <c r="P11" s="194" t="s">
        <v>66</v>
      </c>
      <c r="Q11" s="189"/>
      <c r="R11" s="189"/>
      <c r="S11" s="194" t="s">
        <v>150</v>
      </c>
      <c r="T11" s="189"/>
      <c r="U11" s="189"/>
      <c r="V11" s="212" t="s">
        <v>161</v>
      </c>
      <c r="W11" s="213"/>
      <c r="X11" s="213"/>
      <c r="Y11" s="213"/>
      <c r="Z11" s="213"/>
      <c r="AA11" s="216"/>
      <c r="AB11" s="203" t="s">
        <v>163</v>
      </c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5"/>
      <c r="AR11" s="194" t="s">
        <v>152</v>
      </c>
      <c r="AS11" s="189"/>
      <c r="AT11" s="189"/>
      <c r="AU11" s="189"/>
      <c r="AV11" s="189"/>
      <c r="AW11" s="190"/>
      <c r="AX11" s="212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4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18" t="s">
        <v>56</v>
      </c>
      <c r="F12" s="219"/>
      <c r="G12" s="219"/>
      <c r="H12" s="219"/>
      <c r="I12" s="219"/>
      <c r="J12" s="219"/>
      <c r="K12" s="219"/>
      <c r="L12" s="220"/>
      <c r="M12" s="194" t="s">
        <v>8</v>
      </c>
      <c r="N12" s="189"/>
      <c r="O12" s="189"/>
      <c r="P12" s="194" t="s">
        <v>66</v>
      </c>
      <c r="Q12" s="189"/>
      <c r="R12" s="189"/>
      <c r="S12" s="194" t="s">
        <v>151</v>
      </c>
      <c r="T12" s="189"/>
      <c r="U12" s="189"/>
      <c r="V12" s="212" t="s">
        <v>162</v>
      </c>
      <c r="W12" s="213"/>
      <c r="X12" s="213"/>
      <c r="Y12" s="213"/>
      <c r="Z12" s="213"/>
      <c r="AA12" s="216"/>
      <c r="AB12" s="203" t="s">
        <v>163</v>
      </c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5"/>
      <c r="AR12" s="194" t="s">
        <v>153</v>
      </c>
      <c r="AS12" s="189"/>
      <c r="AT12" s="189"/>
      <c r="AU12" s="189"/>
      <c r="AV12" s="189"/>
      <c r="AW12" s="190"/>
      <c r="AX12" s="212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4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18" t="s">
        <v>57</v>
      </c>
      <c r="F13" s="219"/>
      <c r="G13" s="219"/>
      <c r="H13" s="219"/>
      <c r="I13" s="219"/>
      <c r="J13" s="219"/>
      <c r="K13" s="219"/>
      <c r="L13" s="220"/>
      <c r="M13" s="194" t="s">
        <v>47</v>
      </c>
      <c r="N13" s="189"/>
      <c r="O13" s="189"/>
      <c r="P13" s="194" t="s">
        <v>66</v>
      </c>
      <c r="Q13" s="189"/>
      <c r="R13" s="189"/>
      <c r="S13" s="194" t="s">
        <v>68</v>
      </c>
      <c r="T13" s="189"/>
      <c r="U13" s="189"/>
      <c r="V13" s="212" t="s">
        <v>88</v>
      </c>
      <c r="W13" s="213"/>
      <c r="X13" s="213"/>
      <c r="Y13" s="213"/>
      <c r="Z13" s="213"/>
      <c r="AA13" s="216"/>
      <c r="AB13" s="203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5"/>
      <c r="AR13" s="194"/>
      <c r="AS13" s="189"/>
      <c r="AT13" s="189"/>
      <c r="AU13" s="189"/>
      <c r="AV13" s="189"/>
      <c r="AW13" s="190"/>
      <c r="AX13" s="212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4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18" t="s">
        <v>58</v>
      </c>
      <c r="F14" s="219"/>
      <c r="G14" s="219"/>
      <c r="H14" s="219"/>
      <c r="I14" s="219"/>
      <c r="J14" s="219"/>
      <c r="K14" s="219"/>
      <c r="L14" s="220"/>
      <c r="M14" s="194" t="s">
        <v>8</v>
      </c>
      <c r="N14" s="189"/>
      <c r="O14" s="189"/>
      <c r="P14" s="194" t="s">
        <v>66</v>
      </c>
      <c r="Q14" s="189"/>
      <c r="R14" s="189"/>
      <c r="S14" s="194" t="s">
        <v>68</v>
      </c>
      <c r="T14" s="189"/>
      <c r="U14" s="189"/>
      <c r="V14" s="212" t="s">
        <v>89</v>
      </c>
      <c r="W14" s="213"/>
      <c r="X14" s="213"/>
      <c r="Y14" s="213"/>
      <c r="Z14" s="213"/>
      <c r="AA14" s="216"/>
      <c r="AB14" s="203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5"/>
      <c r="AR14" s="194" t="s">
        <v>97</v>
      </c>
      <c r="AS14" s="189"/>
      <c r="AT14" s="189"/>
      <c r="AU14" s="189"/>
      <c r="AV14" s="189"/>
      <c r="AW14" s="190"/>
      <c r="AX14" s="212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4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18" t="s">
        <v>59</v>
      </c>
      <c r="F15" s="219"/>
      <c r="G15" s="219"/>
      <c r="H15" s="219"/>
      <c r="I15" s="219"/>
      <c r="J15" s="219"/>
      <c r="K15" s="219"/>
      <c r="L15" s="220"/>
      <c r="M15" s="194" t="s">
        <v>38</v>
      </c>
      <c r="N15" s="189"/>
      <c r="O15" s="189"/>
      <c r="P15" s="194" t="s">
        <v>67</v>
      </c>
      <c r="Q15" s="189"/>
      <c r="R15" s="189"/>
      <c r="S15" s="194" t="s">
        <v>68</v>
      </c>
      <c r="T15" s="189"/>
      <c r="U15" s="189"/>
      <c r="V15" s="212" t="s">
        <v>90</v>
      </c>
      <c r="W15" s="213"/>
      <c r="X15" s="213"/>
      <c r="Y15" s="213"/>
      <c r="Z15" s="213"/>
      <c r="AA15" s="216"/>
      <c r="AB15" s="203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5"/>
      <c r="AR15" s="194"/>
      <c r="AS15" s="189"/>
      <c r="AT15" s="189"/>
      <c r="AU15" s="189"/>
      <c r="AV15" s="189"/>
      <c r="AW15" s="190"/>
      <c r="AX15" s="212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4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18" t="s">
        <v>91</v>
      </c>
      <c r="F16" s="219"/>
      <c r="G16" s="219"/>
      <c r="H16" s="219"/>
      <c r="I16" s="219"/>
      <c r="J16" s="219"/>
      <c r="K16" s="219"/>
      <c r="L16" s="220"/>
      <c r="M16" s="194" t="s">
        <v>38</v>
      </c>
      <c r="N16" s="189"/>
      <c r="O16" s="189"/>
      <c r="P16" s="194" t="s">
        <v>67</v>
      </c>
      <c r="Q16" s="189"/>
      <c r="R16" s="189"/>
      <c r="S16" s="194" t="s">
        <v>68</v>
      </c>
      <c r="T16" s="189"/>
      <c r="U16" s="189"/>
      <c r="V16" s="212" t="s">
        <v>92</v>
      </c>
      <c r="W16" s="213"/>
      <c r="X16" s="213"/>
      <c r="Y16" s="213"/>
      <c r="Z16" s="213"/>
      <c r="AA16" s="216"/>
      <c r="AB16" s="203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5"/>
      <c r="AR16" s="194"/>
      <c r="AS16" s="189"/>
      <c r="AT16" s="189"/>
      <c r="AU16" s="189"/>
      <c r="AV16" s="189"/>
      <c r="AW16" s="190"/>
      <c r="AX16" s="212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4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18" t="s">
        <v>60</v>
      </c>
      <c r="F17" s="219"/>
      <c r="G17" s="219"/>
      <c r="H17" s="219"/>
      <c r="I17" s="219"/>
      <c r="J17" s="219"/>
      <c r="K17" s="219"/>
      <c r="L17" s="220"/>
      <c r="M17" s="194" t="s">
        <v>38</v>
      </c>
      <c r="N17" s="189"/>
      <c r="O17" s="189"/>
      <c r="P17" s="194" t="s">
        <v>67</v>
      </c>
      <c r="Q17" s="189"/>
      <c r="R17" s="189"/>
      <c r="S17" s="194" t="s">
        <v>68</v>
      </c>
      <c r="T17" s="189"/>
      <c r="U17" s="189"/>
      <c r="V17" s="212" t="s">
        <v>93</v>
      </c>
      <c r="W17" s="213"/>
      <c r="X17" s="213"/>
      <c r="Y17" s="213"/>
      <c r="Z17" s="213"/>
      <c r="AA17" s="216"/>
      <c r="AB17" s="203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5"/>
      <c r="AR17" s="194"/>
      <c r="AS17" s="189"/>
      <c r="AT17" s="189"/>
      <c r="AU17" s="189"/>
      <c r="AV17" s="189"/>
      <c r="AW17" s="190"/>
      <c r="AX17" s="212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4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18" t="s">
        <v>156</v>
      </c>
      <c r="F18" s="219"/>
      <c r="G18" s="219"/>
      <c r="H18" s="219"/>
      <c r="I18" s="219"/>
      <c r="J18" s="219"/>
      <c r="K18" s="219"/>
      <c r="L18" s="220"/>
      <c r="M18" s="194"/>
      <c r="N18" s="189"/>
      <c r="O18" s="189"/>
      <c r="P18" s="194"/>
      <c r="Q18" s="189"/>
      <c r="R18" s="189"/>
      <c r="S18" s="194"/>
      <c r="T18" s="189"/>
      <c r="U18" s="189"/>
      <c r="V18" s="212" t="s">
        <v>203</v>
      </c>
      <c r="W18" s="213"/>
      <c r="X18" s="213"/>
      <c r="Y18" s="213"/>
      <c r="Z18" s="213"/>
      <c r="AA18" s="216"/>
      <c r="AB18" s="203"/>
      <c r="AC18" s="204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  <c r="AO18" s="204"/>
      <c r="AP18" s="204"/>
      <c r="AQ18" s="205"/>
      <c r="AR18" s="194"/>
      <c r="AS18" s="189"/>
      <c r="AT18" s="189"/>
      <c r="AU18" s="189"/>
      <c r="AV18" s="189"/>
      <c r="AW18" s="190"/>
      <c r="AX18" s="212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4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18" t="s">
        <v>61</v>
      </c>
      <c r="F19" s="219"/>
      <c r="G19" s="219"/>
      <c r="H19" s="219"/>
      <c r="I19" s="219"/>
      <c r="J19" s="219"/>
      <c r="K19" s="219"/>
      <c r="L19" s="220"/>
      <c r="M19" s="194" t="s">
        <v>47</v>
      </c>
      <c r="N19" s="189"/>
      <c r="O19" s="189"/>
      <c r="P19" s="194" t="s">
        <v>66</v>
      </c>
      <c r="Q19" s="189"/>
      <c r="R19" s="189"/>
      <c r="S19" s="194" t="s">
        <v>68</v>
      </c>
      <c r="T19" s="189"/>
      <c r="U19" s="189"/>
      <c r="V19" s="212" t="s">
        <v>154</v>
      </c>
      <c r="W19" s="213"/>
      <c r="X19" s="213"/>
      <c r="Y19" s="213"/>
      <c r="Z19" s="213"/>
      <c r="AA19" s="216"/>
      <c r="AB19" s="203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4"/>
      <c r="AP19" s="204"/>
      <c r="AQ19" s="205"/>
      <c r="AR19" s="194"/>
      <c r="AS19" s="189"/>
      <c r="AT19" s="189"/>
      <c r="AU19" s="189"/>
      <c r="AV19" s="189"/>
      <c r="AW19" s="190"/>
      <c r="AX19" s="212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4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18" t="s">
        <v>62</v>
      </c>
      <c r="F20" s="219"/>
      <c r="G20" s="219"/>
      <c r="H20" s="219"/>
      <c r="I20" s="219"/>
      <c r="J20" s="219"/>
      <c r="K20" s="219"/>
      <c r="L20" s="220"/>
      <c r="M20" s="194" t="s">
        <v>47</v>
      </c>
      <c r="N20" s="189"/>
      <c r="O20" s="189"/>
      <c r="P20" s="194" t="s">
        <v>66</v>
      </c>
      <c r="Q20" s="189"/>
      <c r="R20" s="189"/>
      <c r="S20" s="194" t="s">
        <v>68</v>
      </c>
      <c r="T20" s="189"/>
      <c r="U20" s="189"/>
      <c r="V20" s="212" t="s">
        <v>155</v>
      </c>
      <c r="W20" s="213"/>
      <c r="X20" s="213"/>
      <c r="Y20" s="213"/>
      <c r="Z20" s="213"/>
      <c r="AA20" s="216"/>
      <c r="AB20" s="203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5"/>
      <c r="AR20" s="202">
        <v>999999</v>
      </c>
      <c r="AS20" s="189"/>
      <c r="AT20" s="189"/>
      <c r="AU20" s="189"/>
      <c r="AV20" s="189"/>
      <c r="AW20" s="190"/>
      <c r="AX20" s="212" t="s">
        <v>94</v>
      </c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3"/>
      <c r="BK20" s="213"/>
      <c r="BL20" s="213"/>
      <c r="BM20" s="213"/>
      <c r="BN20" s="213"/>
      <c r="BO20" s="213"/>
      <c r="BP20" s="213"/>
      <c r="BQ20" s="213"/>
      <c r="BR20" s="213"/>
      <c r="BS20" s="213"/>
      <c r="BT20" s="214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18" t="s">
        <v>63</v>
      </c>
      <c r="F21" s="219"/>
      <c r="G21" s="219"/>
      <c r="H21" s="219"/>
      <c r="I21" s="219"/>
      <c r="J21" s="219"/>
      <c r="K21" s="219"/>
      <c r="L21" s="220"/>
      <c r="M21" s="194" t="s">
        <v>47</v>
      </c>
      <c r="N21" s="189"/>
      <c r="O21" s="189"/>
      <c r="P21" s="194" t="s">
        <v>66</v>
      </c>
      <c r="Q21" s="189"/>
      <c r="R21" s="189"/>
      <c r="S21" s="194" t="s">
        <v>68</v>
      </c>
      <c r="T21" s="189"/>
      <c r="U21" s="189"/>
      <c r="V21" s="212" t="s">
        <v>95</v>
      </c>
      <c r="W21" s="213"/>
      <c r="X21" s="213"/>
      <c r="Y21" s="213"/>
      <c r="Z21" s="213"/>
      <c r="AA21" s="216"/>
      <c r="AB21" s="203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5"/>
      <c r="AR21" s="202">
        <v>999999</v>
      </c>
      <c r="AS21" s="189"/>
      <c r="AT21" s="189"/>
      <c r="AU21" s="189"/>
      <c r="AV21" s="189"/>
      <c r="AW21" s="190"/>
      <c r="AX21" s="212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4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18" t="s">
        <v>64</v>
      </c>
      <c r="F22" s="219"/>
      <c r="G22" s="219"/>
      <c r="H22" s="219"/>
      <c r="I22" s="219"/>
      <c r="J22" s="219"/>
      <c r="K22" s="219"/>
      <c r="L22" s="220"/>
      <c r="M22" s="194" t="s">
        <v>8</v>
      </c>
      <c r="N22" s="189"/>
      <c r="O22" s="189"/>
      <c r="P22" s="194" t="s">
        <v>66</v>
      </c>
      <c r="Q22" s="189"/>
      <c r="R22" s="189"/>
      <c r="S22" s="194" t="s">
        <v>68</v>
      </c>
      <c r="T22" s="189"/>
      <c r="U22" s="189"/>
      <c r="V22" s="212" t="s">
        <v>96</v>
      </c>
      <c r="W22" s="213"/>
      <c r="X22" s="213"/>
      <c r="Y22" s="213"/>
      <c r="Z22" s="213"/>
      <c r="AA22" s="216"/>
      <c r="AB22" s="203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5"/>
      <c r="AR22" s="194" t="s">
        <v>97</v>
      </c>
      <c r="AS22" s="189"/>
      <c r="AT22" s="189"/>
      <c r="AU22" s="189"/>
      <c r="AV22" s="189"/>
      <c r="AW22" s="190"/>
      <c r="AX22" s="212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3"/>
      <c r="BK22" s="213"/>
      <c r="BL22" s="213"/>
      <c r="BM22" s="213"/>
      <c r="BN22" s="213"/>
      <c r="BO22" s="213"/>
      <c r="BP22" s="213"/>
      <c r="BQ22" s="213"/>
      <c r="BR22" s="213"/>
      <c r="BS22" s="213"/>
      <c r="BT22" s="214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18" t="s">
        <v>43</v>
      </c>
      <c r="F23" s="219"/>
      <c r="G23" s="219"/>
      <c r="H23" s="219"/>
      <c r="I23" s="219"/>
      <c r="J23" s="219"/>
      <c r="K23" s="219"/>
      <c r="L23" s="220"/>
      <c r="M23" s="194" t="s">
        <v>38</v>
      </c>
      <c r="N23" s="189"/>
      <c r="O23" s="189"/>
      <c r="P23" s="194" t="s">
        <v>65</v>
      </c>
      <c r="Q23" s="189"/>
      <c r="R23" s="189"/>
      <c r="S23" s="194" t="s">
        <v>68</v>
      </c>
      <c r="T23" s="189"/>
      <c r="U23" s="189"/>
      <c r="V23" s="212" t="s">
        <v>155</v>
      </c>
      <c r="W23" s="213"/>
      <c r="X23" s="213"/>
      <c r="Y23" s="213"/>
      <c r="Z23" s="213"/>
      <c r="AA23" s="216"/>
      <c r="AB23" s="203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4"/>
      <c r="AQ23" s="205"/>
      <c r="AR23" s="194"/>
      <c r="AS23" s="189"/>
      <c r="AT23" s="189"/>
      <c r="AU23" s="189"/>
      <c r="AV23" s="189"/>
      <c r="AW23" s="190"/>
      <c r="AX23" s="212" t="s">
        <v>94</v>
      </c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214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18"/>
      <c r="F24" s="219"/>
      <c r="G24" s="219"/>
      <c r="H24" s="219"/>
      <c r="I24" s="219"/>
      <c r="J24" s="219"/>
      <c r="K24" s="219"/>
      <c r="L24" s="220"/>
      <c r="M24" s="194"/>
      <c r="N24" s="189"/>
      <c r="O24" s="189"/>
      <c r="P24" s="194"/>
      <c r="Q24" s="189"/>
      <c r="R24" s="189"/>
      <c r="S24" s="194"/>
      <c r="T24" s="189"/>
      <c r="U24" s="189"/>
      <c r="V24" s="212"/>
      <c r="W24" s="213"/>
      <c r="X24" s="213"/>
      <c r="Y24" s="213"/>
      <c r="Z24" s="213"/>
      <c r="AA24" s="216"/>
      <c r="AB24" s="203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5"/>
      <c r="AR24" s="194"/>
      <c r="AS24" s="189"/>
      <c r="AT24" s="189"/>
      <c r="AU24" s="189"/>
      <c r="AV24" s="189"/>
      <c r="AW24" s="190"/>
      <c r="AX24" s="212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4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18"/>
      <c r="F25" s="219"/>
      <c r="G25" s="219"/>
      <c r="H25" s="219"/>
      <c r="I25" s="219"/>
      <c r="J25" s="219"/>
      <c r="K25" s="219"/>
      <c r="L25" s="220"/>
      <c r="M25" s="194"/>
      <c r="N25" s="189"/>
      <c r="O25" s="189"/>
      <c r="P25" s="194"/>
      <c r="Q25" s="189"/>
      <c r="R25" s="189"/>
      <c r="S25" s="194"/>
      <c r="T25" s="189"/>
      <c r="U25" s="189"/>
      <c r="V25" s="212"/>
      <c r="W25" s="213"/>
      <c r="X25" s="213"/>
      <c r="Y25" s="213"/>
      <c r="Z25" s="213"/>
      <c r="AA25" s="216"/>
      <c r="AB25" s="203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4"/>
      <c r="AQ25" s="205"/>
      <c r="AR25" s="194"/>
      <c r="AS25" s="189"/>
      <c r="AT25" s="189"/>
      <c r="AU25" s="189"/>
      <c r="AV25" s="189"/>
      <c r="AW25" s="190"/>
      <c r="AX25" s="212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214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18"/>
      <c r="F26" s="219"/>
      <c r="G26" s="219"/>
      <c r="H26" s="219"/>
      <c r="I26" s="219"/>
      <c r="J26" s="219"/>
      <c r="K26" s="219"/>
      <c r="L26" s="220"/>
      <c r="M26" s="194"/>
      <c r="N26" s="189"/>
      <c r="O26" s="189"/>
      <c r="P26" s="194"/>
      <c r="Q26" s="189"/>
      <c r="R26" s="189"/>
      <c r="S26" s="194"/>
      <c r="T26" s="189"/>
      <c r="U26" s="189"/>
      <c r="V26" s="212"/>
      <c r="W26" s="213"/>
      <c r="X26" s="213"/>
      <c r="Y26" s="213"/>
      <c r="Z26" s="213"/>
      <c r="AA26" s="216"/>
      <c r="AB26" s="203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5"/>
      <c r="AR26" s="194"/>
      <c r="AS26" s="189"/>
      <c r="AT26" s="189"/>
      <c r="AU26" s="189"/>
      <c r="AV26" s="189"/>
      <c r="AW26" s="190"/>
      <c r="AX26" s="212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3"/>
      <c r="BK26" s="213"/>
      <c r="BL26" s="213"/>
      <c r="BM26" s="213"/>
      <c r="BN26" s="213"/>
      <c r="BO26" s="213"/>
      <c r="BP26" s="213"/>
      <c r="BQ26" s="213"/>
      <c r="BR26" s="213"/>
      <c r="BS26" s="213"/>
      <c r="BT26" s="214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18"/>
      <c r="F27" s="219"/>
      <c r="G27" s="219"/>
      <c r="H27" s="219"/>
      <c r="I27" s="219"/>
      <c r="J27" s="219"/>
      <c r="K27" s="219"/>
      <c r="L27" s="220"/>
      <c r="M27" s="194"/>
      <c r="N27" s="189"/>
      <c r="O27" s="189"/>
      <c r="P27" s="194"/>
      <c r="Q27" s="189"/>
      <c r="R27" s="189"/>
      <c r="S27" s="194"/>
      <c r="T27" s="189"/>
      <c r="U27" s="189"/>
      <c r="V27" s="212"/>
      <c r="W27" s="213"/>
      <c r="X27" s="213"/>
      <c r="Y27" s="213"/>
      <c r="Z27" s="213"/>
      <c r="AA27" s="216"/>
      <c r="AB27" s="203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5"/>
      <c r="AR27" s="194"/>
      <c r="AS27" s="189"/>
      <c r="AT27" s="189"/>
      <c r="AU27" s="189"/>
      <c r="AV27" s="189"/>
      <c r="AW27" s="190"/>
      <c r="AX27" s="212"/>
      <c r="AY27" s="213"/>
      <c r="AZ27" s="213"/>
      <c r="BA27" s="213"/>
      <c r="BB27" s="213"/>
      <c r="BC27" s="213"/>
      <c r="BD27" s="213"/>
      <c r="BE27" s="213"/>
      <c r="BF27" s="213"/>
      <c r="BG27" s="213"/>
      <c r="BH27" s="213"/>
      <c r="BI27" s="213"/>
      <c r="BJ27" s="213"/>
      <c r="BK27" s="213"/>
      <c r="BL27" s="213"/>
      <c r="BM27" s="213"/>
      <c r="BN27" s="213"/>
      <c r="BO27" s="213"/>
      <c r="BP27" s="213"/>
      <c r="BQ27" s="213"/>
      <c r="BR27" s="213"/>
      <c r="BS27" s="213"/>
      <c r="BT27" s="214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18"/>
      <c r="F28" s="219"/>
      <c r="G28" s="219"/>
      <c r="H28" s="219"/>
      <c r="I28" s="219"/>
      <c r="J28" s="219"/>
      <c r="K28" s="219"/>
      <c r="L28" s="220"/>
      <c r="M28" s="194"/>
      <c r="N28" s="189"/>
      <c r="O28" s="189"/>
      <c r="P28" s="194"/>
      <c r="Q28" s="189"/>
      <c r="R28" s="189"/>
      <c r="S28" s="194"/>
      <c r="T28" s="189"/>
      <c r="U28" s="189"/>
      <c r="V28" s="212"/>
      <c r="W28" s="213"/>
      <c r="X28" s="213"/>
      <c r="Y28" s="213"/>
      <c r="Z28" s="213"/>
      <c r="AA28" s="216"/>
      <c r="AB28" s="203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205"/>
      <c r="AR28" s="194"/>
      <c r="AS28" s="189"/>
      <c r="AT28" s="189"/>
      <c r="AU28" s="189"/>
      <c r="AV28" s="189"/>
      <c r="AW28" s="190"/>
      <c r="AX28" s="212"/>
      <c r="AY28" s="213"/>
      <c r="AZ28" s="213"/>
      <c r="BA28" s="213"/>
      <c r="BB28" s="213"/>
      <c r="BC28" s="213"/>
      <c r="BD28" s="213"/>
      <c r="BE28" s="213"/>
      <c r="BF28" s="213"/>
      <c r="BG28" s="213"/>
      <c r="BH28" s="213"/>
      <c r="BI28" s="213"/>
      <c r="BJ28" s="213"/>
      <c r="BK28" s="213"/>
      <c r="BL28" s="213"/>
      <c r="BM28" s="213"/>
      <c r="BN28" s="213"/>
      <c r="BO28" s="213"/>
      <c r="BP28" s="213"/>
      <c r="BQ28" s="213"/>
      <c r="BR28" s="213"/>
      <c r="BS28" s="213"/>
      <c r="BT28" s="214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18"/>
      <c r="F29" s="219"/>
      <c r="G29" s="219"/>
      <c r="H29" s="219"/>
      <c r="I29" s="219"/>
      <c r="J29" s="219"/>
      <c r="K29" s="219"/>
      <c r="L29" s="220"/>
      <c r="M29" s="194"/>
      <c r="N29" s="189"/>
      <c r="O29" s="189"/>
      <c r="P29" s="194"/>
      <c r="Q29" s="189"/>
      <c r="R29" s="189"/>
      <c r="S29" s="194"/>
      <c r="T29" s="189"/>
      <c r="U29" s="189"/>
      <c r="V29" s="212"/>
      <c r="W29" s="213"/>
      <c r="X29" s="213"/>
      <c r="Y29" s="213"/>
      <c r="Z29" s="213"/>
      <c r="AA29" s="216"/>
      <c r="AB29" s="203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5"/>
      <c r="AR29" s="194"/>
      <c r="AS29" s="189"/>
      <c r="AT29" s="189"/>
      <c r="AU29" s="189"/>
      <c r="AV29" s="189"/>
      <c r="AW29" s="190"/>
      <c r="AX29" s="212"/>
      <c r="AY29" s="213"/>
      <c r="AZ29" s="213"/>
      <c r="BA29" s="213"/>
      <c r="BB29" s="213"/>
      <c r="BC29" s="213"/>
      <c r="BD29" s="213"/>
      <c r="BE29" s="213"/>
      <c r="BF29" s="213"/>
      <c r="BG29" s="213"/>
      <c r="BH29" s="213"/>
      <c r="BI29" s="213"/>
      <c r="BJ29" s="213"/>
      <c r="BK29" s="213"/>
      <c r="BL29" s="213"/>
      <c r="BM29" s="213"/>
      <c r="BN29" s="213"/>
      <c r="BO29" s="213"/>
      <c r="BP29" s="213"/>
      <c r="BQ29" s="213"/>
      <c r="BR29" s="213"/>
      <c r="BS29" s="213"/>
      <c r="BT29" s="214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24"/>
      <c r="F30" s="225"/>
      <c r="G30" s="225"/>
      <c r="H30" s="225"/>
      <c r="I30" s="225"/>
      <c r="J30" s="225"/>
      <c r="K30" s="225"/>
      <c r="L30" s="226"/>
      <c r="M30" s="196"/>
      <c r="N30" s="197"/>
      <c r="O30" s="198"/>
      <c r="P30" s="196"/>
      <c r="Q30" s="197"/>
      <c r="R30" s="197"/>
      <c r="S30" s="196"/>
      <c r="T30" s="197"/>
      <c r="U30" s="197"/>
      <c r="V30" s="209"/>
      <c r="W30" s="210"/>
      <c r="X30" s="210"/>
      <c r="Y30" s="210"/>
      <c r="Z30" s="210"/>
      <c r="AA30" s="217"/>
      <c r="AB30" s="206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8"/>
      <c r="AR30" s="196"/>
      <c r="AS30" s="197"/>
      <c r="AT30" s="197"/>
      <c r="AU30" s="197"/>
      <c r="AV30" s="197"/>
      <c r="AW30" s="198"/>
      <c r="AX30" s="209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0" t="s">
        <v>0</v>
      </c>
      <c r="C2" s="231"/>
      <c r="D2" s="231"/>
      <c r="E2" s="231"/>
      <c r="F2" s="231"/>
      <c r="G2" s="231"/>
      <c r="H2" s="231" t="s">
        <v>17</v>
      </c>
      <c r="I2" s="231"/>
      <c r="J2" s="231"/>
      <c r="K2" s="231"/>
      <c r="L2" s="231" t="s">
        <v>208</v>
      </c>
      <c r="M2" s="231"/>
      <c r="N2" s="231"/>
      <c r="O2" s="231"/>
      <c r="P2" s="231"/>
      <c r="Q2" s="231"/>
      <c r="R2" s="231" t="s">
        <v>2</v>
      </c>
      <c r="S2" s="231"/>
      <c r="T2" s="231"/>
      <c r="U2" s="231"/>
      <c r="V2" s="231"/>
      <c r="W2" s="231"/>
      <c r="X2" s="232" t="s">
        <v>3</v>
      </c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4"/>
      <c r="AK2" s="232" t="s">
        <v>32</v>
      </c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4"/>
      <c r="AX2" s="231" t="s">
        <v>5</v>
      </c>
      <c r="AY2" s="231"/>
      <c r="AZ2" s="231"/>
      <c r="BA2" s="231"/>
      <c r="BB2" s="231" t="s">
        <v>4</v>
      </c>
      <c r="BC2" s="231"/>
      <c r="BD2" s="231"/>
      <c r="BE2" s="231"/>
      <c r="BF2" s="231" t="s">
        <v>6</v>
      </c>
      <c r="BG2" s="231"/>
      <c r="BH2" s="231"/>
      <c r="BI2" s="231"/>
      <c r="BJ2" s="231" t="s">
        <v>7</v>
      </c>
      <c r="BK2" s="231"/>
      <c r="BL2" s="231"/>
      <c r="BM2" s="241"/>
    </row>
    <row r="3" spans="2:65" ht="20.100000000000001" customHeight="1" x14ac:dyDescent="0.45">
      <c r="B3" s="235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SU0900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239"/>
    </row>
    <row r="4" spans="2:65" ht="20.100000000000001" customHeight="1" thickBot="1" x14ac:dyDescent="0.5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38"/>
      <c r="AY4" s="238"/>
      <c r="AZ4" s="238"/>
      <c r="BA4" s="238"/>
      <c r="BB4" s="237"/>
      <c r="BC4" s="237"/>
      <c r="BD4" s="237"/>
      <c r="BE4" s="237"/>
      <c r="BF4" s="238"/>
      <c r="BG4" s="238"/>
      <c r="BH4" s="238"/>
      <c r="BI4" s="238"/>
      <c r="BJ4" s="237"/>
      <c r="BK4" s="237"/>
      <c r="BL4" s="237"/>
      <c r="BM4" s="240"/>
    </row>
    <row r="5" spans="2:65" ht="5.0999999999999996" customHeight="1" thickBot="1" x14ac:dyDescent="0.5"/>
    <row r="6" spans="2:65" ht="20.100000000000001" customHeight="1" x14ac:dyDescent="0.45">
      <c r="B6" s="89">
        <v>1</v>
      </c>
      <c r="C6" s="90"/>
      <c r="D6" s="90"/>
      <c r="E6" s="90"/>
      <c r="F6" s="90"/>
      <c r="G6" s="91"/>
      <c r="H6" s="92" t="s">
        <v>132</v>
      </c>
      <c r="I6" s="90"/>
      <c r="J6" s="120" t="s">
        <v>174</v>
      </c>
      <c r="K6" s="121"/>
      <c r="L6" s="121"/>
      <c r="M6" s="121"/>
      <c r="N6" s="121"/>
      <c r="O6" s="121"/>
      <c r="P6" s="121"/>
      <c r="Q6" s="122"/>
      <c r="R6" s="121" t="s">
        <v>164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175</v>
      </c>
      <c r="K7" s="52"/>
      <c r="L7" s="52"/>
      <c r="M7" s="52"/>
      <c r="N7" s="52"/>
      <c r="O7" s="52"/>
      <c r="P7" s="52"/>
      <c r="Q7" s="125"/>
      <c r="R7" s="52" t="s">
        <v>165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176</v>
      </c>
      <c r="K8" s="52"/>
      <c r="L8" s="52"/>
      <c r="M8" s="52"/>
      <c r="N8" s="52"/>
      <c r="O8" s="52"/>
      <c r="P8" s="52"/>
      <c r="Q8" s="125"/>
      <c r="R8" s="52" t="s">
        <v>166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177</v>
      </c>
      <c r="K9" s="52"/>
      <c r="L9" s="52"/>
      <c r="M9" s="52"/>
      <c r="N9" s="52"/>
      <c r="O9" s="52"/>
      <c r="P9" s="52"/>
      <c r="Q9" s="125"/>
      <c r="R9" s="52" t="s">
        <v>167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178</v>
      </c>
      <c r="K10" s="52"/>
      <c r="L10" s="52"/>
      <c r="M10" s="52"/>
      <c r="N10" s="52"/>
      <c r="O10" s="52"/>
      <c r="P10" s="52"/>
      <c r="Q10" s="125"/>
      <c r="R10" s="52" t="s">
        <v>168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179</v>
      </c>
      <c r="K11" s="52"/>
      <c r="L11" s="52"/>
      <c r="M11" s="52"/>
      <c r="N11" s="52"/>
      <c r="O11" s="52"/>
      <c r="P11" s="52"/>
      <c r="Q11" s="125"/>
      <c r="R11" s="52" t="s">
        <v>169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180</v>
      </c>
      <c r="K12" s="52"/>
      <c r="L12" s="52"/>
      <c r="M12" s="52"/>
      <c r="N12" s="52"/>
      <c r="O12" s="52"/>
      <c r="P12" s="52"/>
      <c r="Q12" s="125"/>
      <c r="R12" s="52" t="s">
        <v>170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181</v>
      </c>
      <c r="K13" s="52"/>
      <c r="L13" s="52"/>
      <c r="M13" s="52"/>
      <c r="N13" s="52"/>
      <c r="O13" s="52"/>
      <c r="P13" s="52"/>
      <c r="Q13" s="125"/>
      <c r="R13" s="52" t="s">
        <v>171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182</v>
      </c>
      <c r="K14" s="52"/>
      <c r="L14" s="52"/>
      <c r="M14" s="52"/>
      <c r="N14" s="52"/>
      <c r="O14" s="52"/>
      <c r="P14" s="52"/>
      <c r="Q14" s="125"/>
      <c r="R14" s="52" t="s">
        <v>172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I15" s="31"/>
      <c r="J15" s="124" t="s">
        <v>183</v>
      </c>
      <c r="K15" s="52"/>
      <c r="L15" s="52"/>
      <c r="M15" s="52"/>
      <c r="N15" s="52"/>
      <c r="O15" s="52"/>
      <c r="P15" s="52"/>
      <c r="Q15" s="125"/>
      <c r="R15" s="52" t="s">
        <v>173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100" t="s">
        <v>101</v>
      </c>
      <c r="I16" s="55"/>
      <c r="J16" s="100" t="s">
        <v>184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01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02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97"/>
      <c r="I17" s="31"/>
      <c r="J17" s="97" t="s">
        <v>185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95"/>
      <c r="C18" s="31"/>
      <c r="D18" s="31"/>
      <c r="E18" s="31"/>
      <c r="F18" s="31"/>
      <c r="G18" s="96"/>
      <c r="I18" s="31"/>
      <c r="J18" s="97" t="s">
        <v>186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95"/>
      <c r="C19" s="31"/>
      <c r="D19" s="31"/>
      <c r="E19" s="31"/>
      <c r="F19" s="31"/>
      <c r="G19" s="96"/>
      <c r="H19" s="100" t="s">
        <v>102</v>
      </c>
      <c r="I19" s="55"/>
      <c r="J19" s="100" t="s">
        <v>187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101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102"/>
    </row>
    <row r="20" spans="2:61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188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31"/>
      <c r="L21" s="31"/>
      <c r="M21" s="31" t="s">
        <v>189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97"/>
      <c r="I22" s="31"/>
      <c r="J22" s="97" t="s">
        <v>187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97"/>
      <c r="I23" s="31"/>
      <c r="J23" s="97"/>
      <c r="K23" s="31" t="s">
        <v>190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97"/>
      <c r="K24" s="31"/>
      <c r="L24" s="31"/>
      <c r="M24" s="31" t="s">
        <v>191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97"/>
      <c r="K25" s="31"/>
      <c r="L25" s="31" t="s">
        <v>193</v>
      </c>
      <c r="M25" s="31" t="s">
        <v>192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100" t="s">
        <v>103</v>
      </c>
      <c r="I26" s="55"/>
      <c r="J26" s="100"/>
      <c r="K26" s="55" t="s">
        <v>194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01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02"/>
    </row>
    <row r="27" spans="2:61" ht="19.8" customHeight="1" x14ac:dyDescent="0.45">
      <c r="B27" s="95"/>
      <c r="C27" s="31"/>
      <c r="D27" s="31"/>
      <c r="E27" s="31"/>
      <c r="F27" s="31"/>
      <c r="G27" s="96"/>
      <c r="H27" s="97"/>
      <c r="I27" s="31"/>
      <c r="J27" s="97" t="s">
        <v>193</v>
      </c>
      <c r="K27" s="31" t="s">
        <v>197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19.8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193</v>
      </c>
      <c r="K28" s="31" t="s">
        <v>198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19.8" customHeight="1" x14ac:dyDescent="0.45">
      <c r="B29" s="95"/>
      <c r="C29" s="31"/>
      <c r="D29" s="31"/>
      <c r="E29" s="31"/>
      <c r="F29" s="31"/>
      <c r="G29" s="96"/>
      <c r="H29" s="97"/>
      <c r="I29" s="31"/>
      <c r="J29" s="97" t="s">
        <v>193</v>
      </c>
      <c r="K29" s="31" t="s">
        <v>199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19.8" customHeight="1" thickBot="1" x14ac:dyDescent="0.5">
      <c r="B30" s="95"/>
      <c r="C30" s="31"/>
      <c r="D30" s="31"/>
      <c r="E30" s="31"/>
      <c r="F30" s="31"/>
      <c r="G30" s="96"/>
      <c r="H30" s="100" t="s">
        <v>195</v>
      </c>
      <c r="I30" s="55"/>
      <c r="J30" s="100" t="s">
        <v>196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100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102"/>
    </row>
    <row r="31" spans="2:61" ht="5.0999999999999996" customHeight="1" x14ac:dyDescent="0.45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30" t="s">
        <v>0</v>
      </c>
      <c r="C2" s="231"/>
      <c r="D2" s="231"/>
      <c r="E2" s="231"/>
      <c r="F2" s="231"/>
      <c r="G2" s="231"/>
      <c r="H2" s="231" t="s">
        <v>17</v>
      </c>
      <c r="I2" s="231"/>
      <c r="J2" s="231"/>
      <c r="K2" s="231"/>
      <c r="L2" s="231" t="s">
        <v>1</v>
      </c>
      <c r="M2" s="231"/>
      <c r="N2" s="231"/>
      <c r="O2" s="231"/>
      <c r="P2" s="231"/>
      <c r="Q2" s="231"/>
      <c r="R2" s="231" t="s">
        <v>2</v>
      </c>
      <c r="S2" s="231"/>
      <c r="T2" s="231"/>
      <c r="U2" s="231"/>
      <c r="V2" s="231"/>
      <c r="W2" s="231"/>
      <c r="X2" s="232" t="s">
        <v>3</v>
      </c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4"/>
      <c r="AK2" s="232" t="s">
        <v>32</v>
      </c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4"/>
      <c r="AX2" s="231" t="s">
        <v>5</v>
      </c>
      <c r="AY2" s="231"/>
      <c r="AZ2" s="231"/>
      <c r="BA2" s="231"/>
      <c r="BB2" s="231" t="s">
        <v>4</v>
      </c>
      <c r="BC2" s="231"/>
      <c r="BD2" s="231"/>
      <c r="BE2" s="231"/>
      <c r="BF2" s="231" t="s">
        <v>6</v>
      </c>
      <c r="BG2" s="231"/>
      <c r="BH2" s="231"/>
      <c r="BI2" s="231"/>
      <c r="BJ2" s="231" t="s">
        <v>7</v>
      </c>
      <c r="BK2" s="231"/>
      <c r="BL2" s="231"/>
      <c r="BM2" s="241"/>
    </row>
    <row r="3" spans="2:65" ht="20.100000000000001" customHeight="1" x14ac:dyDescent="0.45">
      <c r="B3" s="235" t="str">
        <f>変更履歴!B3</f>
        <v>受発注システム</v>
      </c>
      <c r="C3" s="175"/>
      <c r="D3" s="175"/>
      <c r="E3" s="175"/>
      <c r="F3" s="175"/>
      <c r="G3" s="175"/>
      <c r="H3" s="175" t="str">
        <f ca="1">変更履歴!H3</f>
        <v>SU0900</v>
      </c>
      <c r="I3" s="175"/>
      <c r="J3" s="175"/>
      <c r="K3" s="175"/>
      <c r="L3" s="175" t="str">
        <f>変更履歴!L3</f>
        <v>受発注</v>
      </c>
      <c r="M3" s="175"/>
      <c r="N3" s="175"/>
      <c r="O3" s="175"/>
      <c r="P3" s="175"/>
      <c r="Q3" s="175"/>
      <c r="R3" s="175" t="str">
        <f ca="1">変更履歴!R3</f>
        <v>帳票設計書</v>
      </c>
      <c r="S3" s="175"/>
      <c r="T3" s="175"/>
      <c r="U3" s="175"/>
      <c r="V3" s="175"/>
      <c r="W3" s="175"/>
      <c r="X3" s="179" t="str">
        <f ca="1">変更履歴!X3</f>
        <v>SU0900_マミーマート請求明細表_帳票設計書</v>
      </c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76"/>
      <c r="AK3" s="179" t="str">
        <f ca="1">変更履歴!AK3</f>
        <v>マミーマート請求明細表</v>
      </c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76"/>
      <c r="AX3" s="186">
        <f>変更履歴!AX3</f>
        <v>45581</v>
      </c>
      <c r="AY3" s="186"/>
      <c r="AZ3" s="186"/>
      <c r="BA3" s="186"/>
      <c r="BB3" s="175" t="str">
        <f>変更履歴!BB3</f>
        <v>大谷</v>
      </c>
      <c r="BC3" s="175"/>
      <c r="BD3" s="175"/>
      <c r="BE3" s="175"/>
      <c r="BF3" s="186">
        <f>変更履歴!BF3</f>
        <v>45581</v>
      </c>
      <c r="BG3" s="186"/>
      <c r="BH3" s="186"/>
      <c r="BI3" s="186"/>
      <c r="BJ3" s="175" t="str">
        <f>変更履歴!BJ3</f>
        <v>大谷</v>
      </c>
      <c r="BK3" s="175"/>
      <c r="BL3" s="175"/>
      <c r="BM3" s="239"/>
    </row>
    <row r="4" spans="2:65" ht="20.100000000000001" customHeight="1" thickBot="1" x14ac:dyDescent="0.5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38"/>
      <c r="AY4" s="238"/>
      <c r="AZ4" s="238"/>
      <c r="BA4" s="238"/>
      <c r="BB4" s="237"/>
      <c r="BC4" s="237"/>
      <c r="BD4" s="237"/>
      <c r="BE4" s="237"/>
      <c r="BF4" s="238"/>
      <c r="BG4" s="238"/>
      <c r="BH4" s="238"/>
      <c r="BI4" s="238"/>
      <c r="BJ4" s="237"/>
      <c r="BK4" s="237"/>
      <c r="BL4" s="237"/>
      <c r="BM4" s="240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104</v>
      </c>
      <c r="C7" s="90"/>
      <c r="D7" s="90"/>
      <c r="E7" s="90"/>
      <c r="F7" s="90"/>
      <c r="G7" s="90"/>
      <c r="H7" s="92" t="s">
        <v>132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133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134</v>
      </c>
      <c r="K8" s="52"/>
      <c r="L8" s="52"/>
      <c r="M8" s="52"/>
      <c r="N8" s="52"/>
      <c r="O8" s="52"/>
      <c r="P8" s="52"/>
      <c r="Q8" s="52"/>
      <c r="R8" s="124" t="s">
        <v>135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136</v>
      </c>
      <c r="K9" s="52"/>
      <c r="L9" s="52"/>
      <c r="M9" s="52"/>
      <c r="N9" s="52"/>
      <c r="O9" s="52"/>
      <c r="P9" s="52"/>
      <c r="Q9" s="52"/>
      <c r="R9" s="124" t="s">
        <v>137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105</v>
      </c>
      <c r="I10" s="31"/>
      <c r="J10" s="111" t="s">
        <v>106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107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108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109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110</v>
      </c>
      <c r="I14" s="55"/>
      <c r="J14" s="107" t="s">
        <v>111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112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113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114</v>
      </c>
      <c r="M17" s="109" t="s">
        <v>113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115</v>
      </c>
      <c r="M18" s="109" t="s">
        <v>113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116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117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118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114</v>
      </c>
      <c r="M22" s="104" t="s">
        <v>119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120</v>
      </c>
      <c r="I23" s="31"/>
      <c r="J23" s="111"/>
      <c r="K23" s="109" t="s">
        <v>121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122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114</v>
      </c>
      <c r="K24" s="109" t="s">
        <v>123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115</v>
      </c>
      <c r="K25" s="109" t="s">
        <v>123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124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125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126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114</v>
      </c>
      <c r="K28" s="31" t="s">
        <v>127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128</v>
      </c>
      <c r="I32" s="31"/>
      <c r="J32" s="111" t="s">
        <v>129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130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131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ColWidth="8.796875" defaultRowHeight="18" x14ac:dyDescent="0.45"/>
  <cols>
    <col min="1" max="2" width="8.796875" style="29"/>
    <col min="3" max="3" width="8.59765625" style="29" bestFit="1" customWidth="1"/>
    <col min="4" max="4" width="24.09765625" style="29" bestFit="1" customWidth="1"/>
    <col min="5" max="5" width="72.8984375" style="29" bestFit="1" customWidth="1"/>
    <col min="6" max="6" width="30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28" t="s">
        <v>140</v>
      </c>
      <c r="G3" s="78" t="s">
        <v>51</v>
      </c>
    </row>
    <row r="4" spans="2:7" x14ac:dyDescent="0.45">
      <c r="B4" s="37">
        <v>1</v>
      </c>
      <c r="C4" s="79" t="s">
        <v>98</v>
      </c>
      <c r="D4" s="79" t="s">
        <v>99</v>
      </c>
      <c r="E4" s="80" t="s">
        <v>100</v>
      </c>
      <c r="F4" s="80" t="s">
        <v>141</v>
      </c>
      <c r="G4" s="81" t="s">
        <v>142</v>
      </c>
    </row>
    <row r="5" spans="2:7" x14ac:dyDescent="0.45">
      <c r="B5" s="37">
        <v>2</v>
      </c>
      <c r="C5" s="79" t="s">
        <v>18</v>
      </c>
      <c r="D5" s="79" t="s">
        <v>160</v>
      </c>
      <c r="E5" s="82" t="s">
        <v>158</v>
      </c>
      <c r="F5" s="82" t="s">
        <v>202</v>
      </c>
      <c r="G5" s="81" t="s">
        <v>142</v>
      </c>
    </row>
    <row r="6" spans="2:7" x14ac:dyDescent="0.45">
      <c r="B6" s="37">
        <v>3</v>
      </c>
      <c r="C6" s="79" t="s">
        <v>18</v>
      </c>
      <c r="D6" s="79" t="s">
        <v>157</v>
      </c>
      <c r="E6" s="82" t="s">
        <v>159</v>
      </c>
      <c r="F6" s="82" t="s">
        <v>202</v>
      </c>
      <c r="G6" s="81" t="s">
        <v>142</v>
      </c>
    </row>
    <row r="7" spans="2:7" x14ac:dyDescent="0.45">
      <c r="B7" s="37">
        <v>4</v>
      </c>
      <c r="C7" s="79" t="s">
        <v>18</v>
      </c>
      <c r="D7" s="79" t="s">
        <v>200</v>
      </c>
      <c r="E7" s="82" t="s">
        <v>201</v>
      </c>
      <c r="F7" s="82" t="s">
        <v>204</v>
      </c>
      <c r="G7" s="81" t="s">
        <v>142</v>
      </c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zoomScaleNormal="100" zoomScaleSheetLayoutView="100" workbookViewId="0"/>
  </sheetViews>
  <sheetFormatPr defaultRowHeight="13.2" x14ac:dyDescent="0.15"/>
  <cols>
    <col min="1" max="1" width="1.19921875" style="129" customWidth="1"/>
    <col min="2" max="2" width="2.09765625" style="129" hidden="1" customWidth="1"/>
    <col min="3" max="3" width="6.19921875" style="129" customWidth="1"/>
    <col min="4" max="4" width="9.796875" style="129" bestFit="1" customWidth="1"/>
    <col min="5" max="5" width="5.69921875" style="129" customWidth="1"/>
    <col min="6" max="6" width="26.296875" style="129" customWidth="1"/>
    <col min="7" max="7" width="5.19921875" style="129" customWidth="1"/>
    <col min="8" max="8" width="2.69921875" style="129" customWidth="1"/>
    <col min="9" max="9" width="4.296875" style="129" customWidth="1"/>
    <col min="10" max="10" width="4.5" style="164" customWidth="1"/>
    <col min="11" max="11" width="8.09765625" style="164" customWidth="1"/>
    <col min="12" max="12" width="4.296875" style="129" customWidth="1"/>
    <col min="13" max="13" width="13.69921875" style="165" customWidth="1"/>
    <col min="14" max="256" width="8.796875" style="131"/>
    <col min="257" max="257" width="1.19921875" style="131" customWidth="1"/>
    <col min="258" max="258" width="0" style="131" hidden="1" customWidth="1"/>
    <col min="259" max="259" width="6.19921875" style="131" customWidth="1"/>
    <col min="260" max="260" width="9.796875" style="131" bestFit="1" customWidth="1"/>
    <col min="261" max="261" width="5.69921875" style="131" customWidth="1"/>
    <col min="262" max="262" width="26.296875" style="131" customWidth="1"/>
    <col min="263" max="263" width="5.19921875" style="131" customWidth="1"/>
    <col min="264" max="264" width="2.69921875" style="131" customWidth="1"/>
    <col min="265" max="265" width="4.296875" style="131" customWidth="1"/>
    <col min="266" max="266" width="4.5" style="131" customWidth="1"/>
    <col min="267" max="267" width="8.09765625" style="131" customWidth="1"/>
    <col min="268" max="268" width="4.296875" style="131" customWidth="1"/>
    <col min="269" max="269" width="13.69921875" style="131" customWidth="1"/>
    <col min="270" max="512" width="8.796875" style="131"/>
    <col min="513" max="513" width="1.19921875" style="131" customWidth="1"/>
    <col min="514" max="514" width="0" style="131" hidden="1" customWidth="1"/>
    <col min="515" max="515" width="6.19921875" style="131" customWidth="1"/>
    <col min="516" max="516" width="9.796875" style="131" bestFit="1" customWidth="1"/>
    <col min="517" max="517" width="5.69921875" style="131" customWidth="1"/>
    <col min="518" max="518" width="26.296875" style="131" customWidth="1"/>
    <col min="519" max="519" width="5.19921875" style="131" customWidth="1"/>
    <col min="520" max="520" width="2.69921875" style="131" customWidth="1"/>
    <col min="521" max="521" width="4.296875" style="131" customWidth="1"/>
    <col min="522" max="522" width="4.5" style="131" customWidth="1"/>
    <col min="523" max="523" width="8.09765625" style="131" customWidth="1"/>
    <col min="524" max="524" width="4.296875" style="131" customWidth="1"/>
    <col min="525" max="525" width="13.69921875" style="131" customWidth="1"/>
    <col min="526" max="768" width="8.796875" style="131"/>
    <col min="769" max="769" width="1.19921875" style="131" customWidth="1"/>
    <col min="770" max="770" width="0" style="131" hidden="1" customWidth="1"/>
    <col min="771" max="771" width="6.19921875" style="131" customWidth="1"/>
    <col min="772" max="772" width="9.796875" style="131" bestFit="1" customWidth="1"/>
    <col min="773" max="773" width="5.69921875" style="131" customWidth="1"/>
    <col min="774" max="774" width="26.296875" style="131" customWidth="1"/>
    <col min="775" max="775" width="5.19921875" style="131" customWidth="1"/>
    <col min="776" max="776" width="2.69921875" style="131" customWidth="1"/>
    <col min="777" max="777" width="4.296875" style="131" customWidth="1"/>
    <col min="778" max="778" width="4.5" style="131" customWidth="1"/>
    <col min="779" max="779" width="8.09765625" style="131" customWidth="1"/>
    <col min="780" max="780" width="4.296875" style="131" customWidth="1"/>
    <col min="781" max="781" width="13.69921875" style="131" customWidth="1"/>
    <col min="782" max="1024" width="8.796875" style="131"/>
    <col min="1025" max="1025" width="1.19921875" style="131" customWidth="1"/>
    <col min="1026" max="1026" width="0" style="131" hidden="1" customWidth="1"/>
    <col min="1027" max="1027" width="6.19921875" style="131" customWidth="1"/>
    <col min="1028" max="1028" width="9.796875" style="131" bestFit="1" customWidth="1"/>
    <col min="1029" max="1029" width="5.69921875" style="131" customWidth="1"/>
    <col min="1030" max="1030" width="26.296875" style="131" customWidth="1"/>
    <col min="1031" max="1031" width="5.19921875" style="131" customWidth="1"/>
    <col min="1032" max="1032" width="2.69921875" style="131" customWidth="1"/>
    <col min="1033" max="1033" width="4.296875" style="131" customWidth="1"/>
    <col min="1034" max="1034" width="4.5" style="131" customWidth="1"/>
    <col min="1035" max="1035" width="8.09765625" style="131" customWidth="1"/>
    <col min="1036" max="1036" width="4.296875" style="131" customWidth="1"/>
    <col min="1037" max="1037" width="13.69921875" style="131" customWidth="1"/>
    <col min="1038" max="1280" width="8.796875" style="131"/>
    <col min="1281" max="1281" width="1.19921875" style="131" customWidth="1"/>
    <col min="1282" max="1282" width="0" style="131" hidden="1" customWidth="1"/>
    <col min="1283" max="1283" width="6.19921875" style="131" customWidth="1"/>
    <col min="1284" max="1284" width="9.796875" style="131" bestFit="1" customWidth="1"/>
    <col min="1285" max="1285" width="5.69921875" style="131" customWidth="1"/>
    <col min="1286" max="1286" width="26.296875" style="131" customWidth="1"/>
    <col min="1287" max="1287" width="5.19921875" style="131" customWidth="1"/>
    <col min="1288" max="1288" width="2.69921875" style="131" customWidth="1"/>
    <col min="1289" max="1289" width="4.296875" style="131" customWidth="1"/>
    <col min="1290" max="1290" width="4.5" style="131" customWidth="1"/>
    <col min="1291" max="1291" width="8.09765625" style="131" customWidth="1"/>
    <col min="1292" max="1292" width="4.296875" style="131" customWidth="1"/>
    <col min="1293" max="1293" width="13.69921875" style="131" customWidth="1"/>
    <col min="1294" max="1536" width="8.796875" style="131"/>
    <col min="1537" max="1537" width="1.19921875" style="131" customWidth="1"/>
    <col min="1538" max="1538" width="0" style="131" hidden="1" customWidth="1"/>
    <col min="1539" max="1539" width="6.19921875" style="131" customWidth="1"/>
    <col min="1540" max="1540" width="9.796875" style="131" bestFit="1" customWidth="1"/>
    <col min="1541" max="1541" width="5.69921875" style="131" customWidth="1"/>
    <col min="1542" max="1542" width="26.296875" style="131" customWidth="1"/>
    <col min="1543" max="1543" width="5.19921875" style="131" customWidth="1"/>
    <col min="1544" max="1544" width="2.69921875" style="131" customWidth="1"/>
    <col min="1545" max="1545" width="4.296875" style="131" customWidth="1"/>
    <col min="1546" max="1546" width="4.5" style="131" customWidth="1"/>
    <col min="1547" max="1547" width="8.09765625" style="131" customWidth="1"/>
    <col min="1548" max="1548" width="4.296875" style="131" customWidth="1"/>
    <col min="1549" max="1549" width="13.69921875" style="131" customWidth="1"/>
    <col min="1550" max="1792" width="8.796875" style="131"/>
    <col min="1793" max="1793" width="1.19921875" style="131" customWidth="1"/>
    <col min="1794" max="1794" width="0" style="131" hidden="1" customWidth="1"/>
    <col min="1795" max="1795" width="6.19921875" style="131" customWidth="1"/>
    <col min="1796" max="1796" width="9.796875" style="131" bestFit="1" customWidth="1"/>
    <col min="1797" max="1797" width="5.69921875" style="131" customWidth="1"/>
    <col min="1798" max="1798" width="26.296875" style="131" customWidth="1"/>
    <col min="1799" max="1799" width="5.19921875" style="131" customWidth="1"/>
    <col min="1800" max="1800" width="2.69921875" style="131" customWidth="1"/>
    <col min="1801" max="1801" width="4.296875" style="131" customWidth="1"/>
    <col min="1802" max="1802" width="4.5" style="131" customWidth="1"/>
    <col min="1803" max="1803" width="8.09765625" style="131" customWidth="1"/>
    <col min="1804" max="1804" width="4.296875" style="131" customWidth="1"/>
    <col min="1805" max="1805" width="13.69921875" style="131" customWidth="1"/>
    <col min="1806" max="2048" width="8.796875" style="131"/>
    <col min="2049" max="2049" width="1.19921875" style="131" customWidth="1"/>
    <col min="2050" max="2050" width="0" style="131" hidden="1" customWidth="1"/>
    <col min="2051" max="2051" width="6.19921875" style="131" customWidth="1"/>
    <col min="2052" max="2052" width="9.796875" style="131" bestFit="1" customWidth="1"/>
    <col min="2053" max="2053" width="5.69921875" style="131" customWidth="1"/>
    <col min="2054" max="2054" width="26.296875" style="131" customWidth="1"/>
    <col min="2055" max="2055" width="5.19921875" style="131" customWidth="1"/>
    <col min="2056" max="2056" width="2.69921875" style="131" customWidth="1"/>
    <col min="2057" max="2057" width="4.296875" style="131" customWidth="1"/>
    <col min="2058" max="2058" width="4.5" style="131" customWidth="1"/>
    <col min="2059" max="2059" width="8.09765625" style="131" customWidth="1"/>
    <col min="2060" max="2060" width="4.296875" style="131" customWidth="1"/>
    <col min="2061" max="2061" width="13.69921875" style="131" customWidth="1"/>
    <col min="2062" max="2304" width="8.796875" style="131"/>
    <col min="2305" max="2305" width="1.19921875" style="131" customWidth="1"/>
    <col min="2306" max="2306" width="0" style="131" hidden="1" customWidth="1"/>
    <col min="2307" max="2307" width="6.19921875" style="131" customWidth="1"/>
    <col min="2308" max="2308" width="9.796875" style="131" bestFit="1" customWidth="1"/>
    <col min="2309" max="2309" width="5.69921875" style="131" customWidth="1"/>
    <col min="2310" max="2310" width="26.296875" style="131" customWidth="1"/>
    <col min="2311" max="2311" width="5.19921875" style="131" customWidth="1"/>
    <col min="2312" max="2312" width="2.69921875" style="131" customWidth="1"/>
    <col min="2313" max="2313" width="4.296875" style="131" customWidth="1"/>
    <col min="2314" max="2314" width="4.5" style="131" customWidth="1"/>
    <col min="2315" max="2315" width="8.09765625" style="131" customWidth="1"/>
    <col min="2316" max="2316" width="4.296875" style="131" customWidth="1"/>
    <col min="2317" max="2317" width="13.69921875" style="131" customWidth="1"/>
    <col min="2318" max="2560" width="8.796875" style="131"/>
    <col min="2561" max="2561" width="1.19921875" style="131" customWidth="1"/>
    <col min="2562" max="2562" width="0" style="131" hidden="1" customWidth="1"/>
    <col min="2563" max="2563" width="6.19921875" style="131" customWidth="1"/>
    <col min="2564" max="2564" width="9.796875" style="131" bestFit="1" customWidth="1"/>
    <col min="2565" max="2565" width="5.69921875" style="131" customWidth="1"/>
    <col min="2566" max="2566" width="26.296875" style="131" customWidth="1"/>
    <col min="2567" max="2567" width="5.19921875" style="131" customWidth="1"/>
    <col min="2568" max="2568" width="2.69921875" style="131" customWidth="1"/>
    <col min="2569" max="2569" width="4.296875" style="131" customWidth="1"/>
    <col min="2570" max="2570" width="4.5" style="131" customWidth="1"/>
    <col min="2571" max="2571" width="8.09765625" style="131" customWidth="1"/>
    <col min="2572" max="2572" width="4.296875" style="131" customWidth="1"/>
    <col min="2573" max="2573" width="13.69921875" style="131" customWidth="1"/>
    <col min="2574" max="2816" width="8.796875" style="131"/>
    <col min="2817" max="2817" width="1.19921875" style="131" customWidth="1"/>
    <col min="2818" max="2818" width="0" style="131" hidden="1" customWidth="1"/>
    <col min="2819" max="2819" width="6.19921875" style="131" customWidth="1"/>
    <col min="2820" max="2820" width="9.796875" style="131" bestFit="1" customWidth="1"/>
    <col min="2821" max="2821" width="5.69921875" style="131" customWidth="1"/>
    <col min="2822" max="2822" width="26.296875" style="131" customWidth="1"/>
    <col min="2823" max="2823" width="5.19921875" style="131" customWidth="1"/>
    <col min="2824" max="2824" width="2.69921875" style="131" customWidth="1"/>
    <col min="2825" max="2825" width="4.296875" style="131" customWidth="1"/>
    <col min="2826" max="2826" width="4.5" style="131" customWidth="1"/>
    <col min="2827" max="2827" width="8.09765625" style="131" customWidth="1"/>
    <col min="2828" max="2828" width="4.296875" style="131" customWidth="1"/>
    <col min="2829" max="2829" width="13.69921875" style="131" customWidth="1"/>
    <col min="2830" max="3072" width="8.796875" style="131"/>
    <col min="3073" max="3073" width="1.19921875" style="131" customWidth="1"/>
    <col min="3074" max="3074" width="0" style="131" hidden="1" customWidth="1"/>
    <col min="3075" max="3075" width="6.19921875" style="131" customWidth="1"/>
    <col min="3076" max="3076" width="9.796875" style="131" bestFit="1" customWidth="1"/>
    <col min="3077" max="3077" width="5.69921875" style="131" customWidth="1"/>
    <col min="3078" max="3078" width="26.296875" style="131" customWidth="1"/>
    <col min="3079" max="3079" width="5.19921875" style="131" customWidth="1"/>
    <col min="3080" max="3080" width="2.69921875" style="131" customWidth="1"/>
    <col min="3081" max="3081" width="4.296875" style="131" customWidth="1"/>
    <col min="3082" max="3082" width="4.5" style="131" customWidth="1"/>
    <col min="3083" max="3083" width="8.09765625" style="131" customWidth="1"/>
    <col min="3084" max="3084" width="4.296875" style="131" customWidth="1"/>
    <col min="3085" max="3085" width="13.69921875" style="131" customWidth="1"/>
    <col min="3086" max="3328" width="8.796875" style="131"/>
    <col min="3329" max="3329" width="1.19921875" style="131" customWidth="1"/>
    <col min="3330" max="3330" width="0" style="131" hidden="1" customWidth="1"/>
    <col min="3331" max="3331" width="6.19921875" style="131" customWidth="1"/>
    <col min="3332" max="3332" width="9.796875" style="131" bestFit="1" customWidth="1"/>
    <col min="3333" max="3333" width="5.69921875" style="131" customWidth="1"/>
    <col min="3334" max="3334" width="26.296875" style="131" customWidth="1"/>
    <col min="3335" max="3335" width="5.19921875" style="131" customWidth="1"/>
    <col min="3336" max="3336" width="2.69921875" style="131" customWidth="1"/>
    <col min="3337" max="3337" width="4.296875" style="131" customWidth="1"/>
    <col min="3338" max="3338" width="4.5" style="131" customWidth="1"/>
    <col min="3339" max="3339" width="8.09765625" style="131" customWidth="1"/>
    <col min="3340" max="3340" width="4.296875" style="131" customWidth="1"/>
    <col min="3341" max="3341" width="13.69921875" style="131" customWidth="1"/>
    <col min="3342" max="3584" width="8.796875" style="131"/>
    <col min="3585" max="3585" width="1.19921875" style="131" customWidth="1"/>
    <col min="3586" max="3586" width="0" style="131" hidden="1" customWidth="1"/>
    <col min="3587" max="3587" width="6.19921875" style="131" customWidth="1"/>
    <col min="3588" max="3588" width="9.796875" style="131" bestFit="1" customWidth="1"/>
    <col min="3589" max="3589" width="5.69921875" style="131" customWidth="1"/>
    <col min="3590" max="3590" width="26.296875" style="131" customWidth="1"/>
    <col min="3591" max="3591" width="5.19921875" style="131" customWidth="1"/>
    <col min="3592" max="3592" width="2.69921875" style="131" customWidth="1"/>
    <col min="3593" max="3593" width="4.296875" style="131" customWidth="1"/>
    <col min="3594" max="3594" width="4.5" style="131" customWidth="1"/>
    <col min="3595" max="3595" width="8.09765625" style="131" customWidth="1"/>
    <col min="3596" max="3596" width="4.296875" style="131" customWidth="1"/>
    <col min="3597" max="3597" width="13.69921875" style="131" customWidth="1"/>
    <col min="3598" max="3840" width="8.796875" style="131"/>
    <col min="3841" max="3841" width="1.19921875" style="131" customWidth="1"/>
    <col min="3842" max="3842" width="0" style="131" hidden="1" customWidth="1"/>
    <col min="3843" max="3843" width="6.19921875" style="131" customWidth="1"/>
    <col min="3844" max="3844" width="9.796875" style="131" bestFit="1" customWidth="1"/>
    <col min="3845" max="3845" width="5.69921875" style="131" customWidth="1"/>
    <col min="3846" max="3846" width="26.296875" style="131" customWidth="1"/>
    <col min="3847" max="3847" width="5.19921875" style="131" customWidth="1"/>
    <col min="3848" max="3848" width="2.69921875" style="131" customWidth="1"/>
    <col min="3849" max="3849" width="4.296875" style="131" customWidth="1"/>
    <col min="3850" max="3850" width="4.5" style="131" customWidth="1"/>
    <col min="3851" max="3851" width="8.09765625" style="131" customWidth="1"/>
    <col min="3852" max="3852" width="4.296875" style="131" customWidth="1"/>
    <col min="3853" max="3853" width="13.69921875" style="131" customWidth="1"/>
    <col min="3854" max="4096" width="8.796875" style="131"/>
    <col min="4097" max="4097" width="1.19921875" style="131" customWidth="1"/>
    <col min="4098" max="4098" width="0" style="131" hidden="1" customWidth="1"/>
    <col min="4099" max="4099" width="6.19921875" style="131" customWidth="1"/>
    <col min="4100" max="4100" width="9.796875" style="131" bestFit="1" customWidth="1"/>
    <col min="4101" max="4101" width="5.69921875" style="131" customWidth="1"/>
    <col min="4102" max="4102" width="26.296875" style="131" customWidth="1"/>
    <col min="4103" max="4103" width="5.19921875" style="131" customWidth="1"/>
    <col min="4104" max="4104" width="2.69921875" style="131" customWidth="1"/>
    <col min="4105" max="4105" width="4.296875" style="131" customWidth="1"/>
    <col min="4106" max="4106" width="4.5" style="131" customWidth="1"/>
    <col min="4107" max="4107" width="8.09765625" style="131" customWidth="1"/>
    <col min="4108" max="4108" width="4.296875" style="131" customWidth="1"/>
    <col min="4109" max="4109" width="13.69921875" style="131" customWidth="1"/>
    <col min="4110" max="4352" width="8.796875" style="131"/>
    <col min="4353" max="4353" width="1.19921875" style="131" customWidth="1"/>
    <col min="4354" max="4354" width="0" style="131" hidden="1" customWidth="1"/>
    <col min="4355" max="4355" width="6.19921875" style="131" customWidth="1"/>
    <col min="4356" max="4356" width="9.796875" style="131" bestFit="1" customWidth="1"/>
    <col min="4357" max="4357" width="5.69921875" style="131" customWidth="1"/>
    <col min="4358" max="4358" width="26.296875" style="131" customWidth="1"/>
    <col min="4359" max="4359" width="5.19921875" style="131" customWidth="1"/>
    <col min="4360" max="4360" width="2.69921875" style="131" customWidth="1"/>
    <col min="4361" max="4361" width="4.296875" style="131" customWidth="1"/>
    <col min="4362" max="4362" width="4.5" style="131" customWidth="1"/>
    <col min="4363" max="4363" width="8.09765625" style="131" customWidth="1"/>
    <col min="4364" max="4364" width="4.296875" style="131" customWidth="1"/>
    <col min="4365" max="4365" width="13.69921875" style="131" customWidth="1"/>
    <col min="4366" max="4608" width="8.796875" style="131"/>
    <col min="4609" max="4609" width="1.19921875" style="131" customWidth="1"/>
    <col min="4610" max="4610" width="0" style="131" hidden="1" customWidth="1"/>
    <col min="4611" max="4611" width="6.19921875" style="131" customWidth="1"/>
    <col min="4612" max="4612" width="9.796875" style="131" bestFit="1" customWidth="1"/>
    <col min="4613" max="4613" width="5.69921875" style="131" customWidth="1"/>
    <col min="4614" max="4614" width="26.296875" style="131" customWidth="1"/>
    <col min="4615" max="4615" width="5.19921875" style="131" customWidth="1"/>
    <col min="4616" max="4616" width="2.69921875" style="131" customWidth="1"/>
    <col min="4617" max="4617" width="4.296875" style="131" customWidth="1"/>
    <col min="4618" max="4618" width="4.5" style="131" customWidth="1"/>
    <col min="4619" max="4619" width="8.09765625" style="131" customWidth="1"/>
    <col min="4620" max="4620" width="4.296875" style="131" customWidth="1"/>
    <col min="4621" max="4621" width="13.69921875" style="131" customWidth="1"/>
    <col min="4622" max="4864" width="8.796875" style="131"/>
    <col min="4865" max="4865" width="1.19921875" style="131" customWidth="1"/>
    <col min="4866" max="4866" width="0" style="131" hidden="1" customWidth="1"/>
    <col min="4867" max="4867" width="6.19921875" style="131" customWidth="1"/>
    <col min="4868" max="4868" width="9.796875" style="131" bestFit="1" customWidth="1"/>
    <col min="4869" max="4869" width="5.69921875" style="131" customWidth="1"/>
    <col min="4870" max="4870" width="26.296875" style="131" customWidth="1"/>
    <col min="4871" max="4871" width="5.19921875" style="131" customWidth="1"/>
    <col min="4872" max="4872" width="2.69921875" style="131" customWidth="1"/>
    <col min="4873" max="4873" width="4.296875" style="131" customWidth="1"/>
    <col min="4874" max="4874" width="4.5" style="131" customWidth="1"/>
    <col min="4875" max="4875" width="8.09765625" style="131" customWidth="1"/>
    <col min="4876" max="4876" width="4.296875" style="131" customWidth="1"/>
    <col min="4877" max="4877" width="13.69921875" style="131" customWidth="1"/>
    <col min="4878" max="5120" width="8.796875" style="131"/>
    <col min="5121" max="5121" width="1.19921875" style="131" customWidth="1"/>
    <col min="5122" max="5122" width="0" style="131" hidden="1" customWidth="1"/>
    <col min="5123" max="5123" width="6.19921875" style="131" customWidth="1"/>
    <col min="5124" max="5124" width="9.796875" style="131" bestFit="1" customWidth="1"/>
    <col min="5125" max="5125" width="5.69921875" style="131" customWidth="1"/>
    <col min="5126" max="5126" width="26.296875" style="131" customWidth="1"/>
    <col min="5127" max="5127" width="5.19921875" style="131" customWidth="1"/>
    <col min="5128" max="5128" width="2.69921875" style="131" customWidth="1"/>
    <col min="5129" max="5129" width="4.296875" style="131" customWidth="1"/>
    <col min="5130" max="5130" width="4.5" style="131" customWidth="1"/>
    <col min="5131" max="5131" width="8.09765625" style="131" customWidth="1"/>
    <col min="5132" max="5132" width="4.296875" style="131" customWidth="1"/>
    <col min="5133" max="5133" width="13.69921875" style="131" customWidth="1"/>
    <col min="5134" max="5376" width="8.796875" style="131"/>
    <col min="5377" max="5377" width="1.19921875" style="131" customWidth="1"/>
    <col min="5378" max="5378" width="0" style="131" hidden="1" customWidth="1"/>
    <col min="5379" max="5379" width="6.19921875" style="131" customWidth="1"/>
    <col min="5380" max="5380" width="9.796875" style="131" bestFit="1" customWidth="1"/>
    <col min="5381" max="5381" width="5.69921875" style="131" customWidth="1"/>
    <col min="5382" max="5382" width="26.296875" style="131" customWidth="1"/>
    <col min="5383" max="5383" width="5.19921875" style="131" customWidth="1"/>
    <col min="5384" max="5384" width="2.69921875" style="131" customWidth="1"/>
    <col min="5385" max="5385" width="4.296875" style="131" customWidth="1"/>
    <col min="5386" max="5386" width="4.5" style="131" customWidth="1"/>
    <col min="5387" max="5387" width="8.09765625" style="131" customWidth="1"/>
    <col min="5388" max="5388" width="4.296875" style="131" customWidth="1"/>
    <col min="5389" max="5389" width="13.69921875" style="131" customWidth="1"/>
    <col min="5390" max="5632" width="8.796875" style="131"/>
    <col min="5633" max="5633" width="1.19921875" style="131" customWidth="1"/>
    <col min="5634" max="5634" width="0" style="131" hidden="1" customWidth="1"/>
    <col min="5635" max="5635" width="6.19921875" style="131" customWidth="1"/>
    <col min="5636" max="5636" width="9.796875" style="131" bestFit="1" customWidth="1"/>
    <col min="5637" max="5637" width="5.69921875" style="131" customWidth="1"/>
    <col min="5638" max="5638" width="26.296875" style="131" customWidth="1"/>
    <col min="5639" max="5639" width="5.19921875" style="131" customWidth="1"/>
    <col min="5640" max="5640" width="2.69921875" style="131" customWidth="1"/>
    <col min="5641" max="5641" width="4.296875" style="131" customWidth="1"/>
    <col min="5642" max="5642" width="4.5" style="131" customWidth="1"/>
    <col min="5643" max="5643" width="8.09765625" style="131" customWidth="1"/>
    <col min="5644" max="5644" width="4.296875" style="131" customWidth="1"/>
    <col min="5645" max="5645" width="13.69921875" style="131" customWidth="1"/>
    <col min="5646" max="5888" width="8.796875" style="131"/>
    <col min="5889" max="5889" width="1.19921875" style="131" customWidth="1"/>
    <col min="5890" max="5890" width="0" style="131" hidden="1" customWidth="1"/>
    <col min="5891" max="5891" width="6.19921875" style="131" customWidth="1"/>
    <col min="5892" max="5892" width="9.796875" style="131" bestFit="1" customWidth="1"/>
    <col min="5893" max="5893" width="5.69921875" style="131" customWidth="1"/>
    <col min="5894" max="5894" width="26.296875" style="131" customWidth="1"/>
    <col min="5895" max="5895" width="5.19921875" style="131" customWidth="1"/>
    <col min="5896" max="5896" width="2.69921875" style="131" customWidth="1"/>
    <col min="5897" max="5897" width="4.296875" style="131" customWidth="1"/>
    <col min="5898" max="5898" width="4.5" style="131" customWidth="1"/>
    <col min="5899" max="5899" width="8.09765625" style="131" customWidth="1"/>
    <col min="5900" max="5900" width="4.296875" style="131" customWidth="1"/>
    <col min="5901" max="5901" width="13.69921875" style="131" customWidth="1"/>
    <col min="5902" max="6144" width="8.796875" style="131"/>
    <col min="6145" max="6145" width="1.19921875" style="131" customWidth="1"/>
    <col min="6146" max="6146" width="0" style="131" hidden="1" customWidth="1"/>
    <col min="6147" max="6147" width="6.19921875" style="131" customWidth="1"/>
    <col min="6148" max="6148" width="9.796875" style="131" bestFit="1" customWidth="1"/>
    <col min="6149" max="6149" width="5.69921875" style="131" customWidth="1"/>
    <col min="6150" max="6150" width="26.296875" style="131" customWidth="1"/>
    <col min="6151" max="6151" width="5.19921875" style="131" customWidth="1"/>
    <col min="6152" max="6152" width="2.69921875" style="131" customWidth="1"/>
    <col min="6153" max="6153" width="4.296875" style="131" customWidth="1"/>
    <col min="6154" max="6154" width="4.5" style="131" customWidth="1"/>
    <col min="6155" max="6155" width="8.09765625" style="131" customWidth="1"/>
    <col min="6156" max="6156" width="4.296875" style="131" customWidth="1"/>
    <col min="6157" max="6157" width="13.69921875" style="131" customWidth="1"/>
    <col min="6158" max="6400" width="8.796875" style="131"/>
    <col min="6401" max="6401" width="1.19921875" style="131" customWidth="1"/>
    <col min="6402" max="6402" width="0" style="131" hidden="1" customWidth="1"/>
    <col min="6403" max="6403" width="6.19921875" style="131" customWidth="1"/>
    <col min="6404" max="6404" width="9.796875" style="131" bestFit="1" customWidth="1"/>
    <col min="6405" max="6405" width="5.69921875" style="131" customWidth="1"/>
    <col min="6406" max="6406" width="26.296875" style="131" customWidth="1"/>
    <col min="6407" max="6407" width="5.19921875" style="131" customWidth="1"/>
    <col min="6408" max="6408" width="2.69921875" style="131" customWidth="1"/>
    <col min="6409" max="6409" width="4.296875" style="131" customWidth="1"/>
    <col min="6410" max="6410" width="4.5" style="131" customWidth="1"/>
    <col min="6411" max="6411" width="8.09765625" style="131" customWidth="1"/>
    <col min="6412" max="6412" width="4.296875" style="131" customWidth="1"/>
    <col min="6413" max="6413" width="13.69921875" style="131" customWidth="1"/>
    <col min="6414" max="6656" width="8.796875" style="131"/>
    <col min="6657" max="6657" width="1.19921875" style="131" customWidth="1"/>
    <col min="6658" max="6658" width="0" style="131" hidden="1" customWidth="1"/>
    <col min="6659" max="6659" width="6.19921875" style="131" customWidth="1"/>
    <col min="6660" max="6660" width="9.796875" style="131" bestFit="1" customWidth="1"/>
    <col min="6661" max="6661" width="5.69921875" style="131" customWidth="1"/>
    <col min="6662" max="6662" width="26.296875" style="131" customWidth="1"/>
    <col min="6663" max="6663" width="5.19921875" style="131" customWidth="1"/>
    <col min="6664" max="6664" width="2.69921875" style="131" customWidth="1"/>
    <col min="6665" max="6665" width="4.296875" style="131" customWidth="1"/>
    <col min="6666" max="6666" width="4.5" style="131" customWidth="1"/>
    <col min="6667" max="6667" width="8.09765625" style="131" customWidth="1"/>
    <col min="6668" max="6668" width="4.296875" style="131" customWidth="1"/>
    <col min="6669" max="6669" width="13.69921875" style="131" customWidth="1"/>
    <col min="6670" max="6912" width="8.796875" style="131"/>
    <col min="6913" max="6913" width="1.19921875" style="131" customWidth="1"/>
    <col min="6914" max="6914" width="0" style="131" hidden="1" customWidth="1"/>
    <col min="6915" max="6915" width="6.19921875" style="131" customWidth="1"/>
    <col min="6916" max="6916" width="9.796875" style="131" bestFit="1" customWidth="1"/>
    <col min="6917" max="6917" width="5.69921875" style="131" customWidth="1"/>
    <col min="6918" max="6918" width="26.296875" style="131" customWidth="1"/>
    <col min="6919" max="6919" width="5.19921875" style="131" customWidth="1"/>
    <col min="6920" max="6920" width="2.69921875" style="131" customWidth="1"/>
    <col min="6921" max="6921" width="4.296875" style="131" customWidth="1"/>
    <col min="6922" max="6922" width="4.5" style="131" customWidth="1"/>
    <col min="6923" max="6923" width="8.09765625" style="131" customWidth="1"/>
    <col min="6924" max="6924" width="4.296875" style="131" customWidth="1"/>
    <col min="6925" max="6925" width="13.69921875" style="131" customWidth="1"/>
    <col min="6926" max="7168" width="8.796875" style="131"/>
    <col min="7169" max="7169" width="1.19921875" style="131" customWidth="1"/>
    <col min="7170" max="7170" width="0" style="131" hidden="1" customWidth="1"/>
    <col min="7171" max="7171" width="6.19921875" style="131" customWidth="1"/>
    <col min="7172" max="7172" width="9.796875" style="131" bestFit="1" customWidth="1"/>
    <col min="7173" max="7173" width="5.69921875" style="131" customWidth="1"/>
    <col min="7174" max="7174" width="26.296875" style="131" customWidth="1"/>
    <col min="7175" max="7175" width="5.19921875" style="131" customWidth="1"/>
    <col min="7176" max="7176" width="2.69921875" style="131" customWidth="1"/>
    <col min="7177" max="7177" width="4.296875" style="131" customWidth="1"/>
    <col min="7178" max="7178" width="4.5" style="131" customWidth="1"/>
    <col min="7179" max="7179" width="8.09765625" style="131" customWidth="1"/>
    <col min="7180" max="7180" width="4.296875" style="131" customWidth="1"/>
    <col min="7181" max="7181" width="13.69921875" style="131" customWidth="1"/>
    <col min="7182" max="7424" width="8.796875" style="131"/>
    <col min="7425" max="7425" width="1.19921875" style="131" customWidth="1"/>
    <col min="7426" max="7426" width="0" style="131" hidden="1" customWidth="1"/>
    <col min="7427" max="7427" width="6.19921875" style="131" customWidth="1"/>
    <col min="7428" max="7428" width="9.796875" style="131" bestFit="1" customWidth="1"/>
    <col min="7429" max="7429" width="5.69921875" style="131" customWidth="1"/>
    <col min="7430" max="7430" width="26.296875" style="131" customWidth="1"/>
    <col min="7431" max="7431" width="5.19921875" style="131" customWidth="1"/>
    <col min="7432" max="7432" width="2.69921875" style="131" customWidth="1"/>
    <col min="7433" max="7433" width="4.296875" style="131" customWidth="1"/>
    <col min="7434" max="7434" width="4.5" style="131" customWidth="1"/>
    <col min="7435" max="7435" width="8.09765625" style="131" customWidth="1"/>
    <col min="7436" max="7436" width="4.296875" style="131" customWidth="1"/>
    <col min="7437" max="7437" width="13.69921875" style="131" customWidth="1"/>
    <col min="7438" max="7680" width="8.796875" style="131"/>
    <col min="7681" max="7681" width="1.19921875" style="131" customWidth="1"/>
    <col min="7682" max="7682" width="0" style="131" hidden="1" customWidth="1"/>
    <col min="7683" max="7683" width="6.19921875" style="131" customWidth="1"/>
    <col min="7684" max="7684" width="9.796875" style="131" bestFit="1" customWidth="1"/>
    <col min="7685" max="7685" width="5.69921875" style="131" customWidth="1"/>
    <col min="7686" max="7686" width="26.296875" style="131" customWidth="1"/>
    <col min="7687" max="7687" width="5.19921875" style="131" customWidth="1"/>
    <col min="7688" max="7688" width="2.69921875" style="131" customWidth="1"/>
    <col min="7689" max="7689" width="4.296875" style="131" customWidth="1"/>
    <col min="7690" max="7690" width="4.5" style="131" customWidth="1"/>
    <col min="7691" max="7691" width="8.09765625" style="131" customWidth="1"/>
    <col min="7692" max="7692" width="4.296875" style="131" customWidth="1"/>
    <col min="7693" max="7693" width="13.69921875" style="131" customWidth="1"/>
    <col min="7694" max="7936" width="8.796875" style="131"/>
    <col min="7937" max="7937" width="1.19921875" style="131" customWidth="1"/>
    <col min="7938" max="7938" width="0" style="131" hidden="1" customWidth="1"/>
    <col min="7939" max="7939" width="6.19921875" style="131" customWidth="1"/>
    <col min="7940" max="7940" width="9.796875" style="131" bestFit="1" customWidth="1"/>
    <col min="7941" max="7941" width="5.69921875" style="131" customWidth="1"/>
    <col min="7942" max="7942" width="26.296875" style="131" customWidth="1"/>
    <col min="7943" max="7943" width="5.19921875" style="131" customWidth="1"/>
    <col min="7944" max="7944" width="2.69921875" style="131" customWidth="1"/>
    <col min="7945" max="7945" width="4.296875" style="131" customWidth="1"/>
    <col min="7946" max="7946" width="4.5" style="131" customWidth="1"/>
    <col min="7947" max="7947" width="8.09765625" style="131" customWidth="1"/>
    <col min="7948" max="7948" width="4.296875" style="131" customWidth="1"/>
    <col min="7949" max="7949" width="13.69921875" style="131" customWidth="1"/>
    <col min="7950" max="8192" width="8.796875" style="131"/>
    <col min="8193" max="8193" width="1.19921875" style="131" customWidth="1"/>
    <col min="8194" max="8194" width="0" style="131" hidden="1" customWidth="1"/>
    <col min="8195" max="8195" width="6.19921875" style="131" customWidth="1"/>
    <col min="8196" max="8196" width="9.796875" style="131" bestFit="1" customWidth="1"/>
    <col min="8197" max="8197" width="5.69921875" style="131" customWidth="1"/>
    <col min="8198" max="8198" width="26.296875" style="131" customWidth="1"/>
    <col min="8199" max="8199" width="5.19921875" style="131" customWidth="1"/>
    <col min="8200" max="8200" width="2.69921875" style="131" customWidth="1"/>
    <col min="8201" max="8201" width="4.296875" style="131" customWidth="1"/>
    <col min="8202" max="8202" width="4.5" style="131" customWidth="1"/>
    <col min="8203" max="8203" width="8.09765625" style="131" customWidth="1"/>
    <col min="8204" max="8204" width="4.296875" style="131" customWidth="1"/>
    <col min="8205" max="8205" width="13.69921875" style="131" customWidth="1"/>
    <col min="8206" max="8448" width="8.796875" style="131"/>
    <col min="8449" max="8449" width="1.19921875" style="131" customWidth="1"/>
    <col min="8450" max="8450" width="0" style="131" hidden="1" customWidth="1"/>
    <col min="8451" max="8451" width="6.19921875" style="131" customWidth="1"/>
    <col min="8452" max="8452" width="9.796875" style="131" bestFit="1" customWidth="1"/>
    <col min="8453" max="8453" width="5.69921875" style="131" customWidth="1"/>
    <col min="8454" max="8454" width="26.296875" style="131" customWidth="1"/>
    <col min="8455" max="8455" width="5.19921875" style="131" customWidth="1"/>
    <col min="8456" max="8456" width="2.69921875" style="131" customWidth="1"/>
    <col min="8457" max="8457" width="4.296875" style="131" customWidth="1"/>
    <col min="8458" max="8458" width="4.5" style="131" customWidth="1"/>
    <col min="8459" max="8459" width="8.09765625" style="131" customWidth="1"/>
    <col min="8460" max="8460" width="4.296875" style="131" customWidth="1"/>
    <col min="8461" max="8461" width="13.69921875" style="131" customWidth="1"/>
    <col min="8462" max="8704" width="8.796875" style="131"/>
    <col min="8705" max="8705" width="1.19921875" style="131" customWidth="1"/>
    <col min="8706" max="8706" width="0" style="131" hidden="1" customWidth="1"/>
    <col min="8707" max="8707" width="6.19921875" style="131" customWidth="1"/>
    <col min="8708" max="8708" width="9.796875" style="131" bestFit="1" customWidth="1"/>
    <col min="8709" max="8709" width="5.69921875" style="131" customWidth="1"/>
    <col min="8710" max="8710" width="26.296875" style="131" customWidth="1"/>
    <col min="8711" max="8711" width="5.19921875" style="131" customWidth="1"/>
    <col min="8712" max="8712" width="2.69921875" style="131" customWidth="1"/>
    <col min="8713" max="8713" width="4.296875" style="131" customWidth="1"/>
    <col min="8714" max="8714" width="4.5" style="131" customWidth="1"/>
    <col min="8715" max="8715" width="8.09765625" style="131" customWidth="1"/>
    <col min="8716" max="8716" width="4.296875" style="131" customWidth="1"/>
    <col min="8717" max="8717" width="13.69921875" style="131" customWidth="1"/>
    <col min="8718" max="8960" width="8.796875" style="131"/>
    <col min="8961" max="8961" width="1.19921875" style="131" customWidth="1"/>
    <col min="8962" max="8962" width="0" style="131" hidden="1" customWidth="1"/>
    <col min="8963" max="8963" width="6.19921875" style="131" customWidth="1"/>
    <col min="8964" max="8964" width="9.796875" style="131" bestFit="1" customWidth="1"/>
    <col min="8965" max="8965" width="5.69921875" style="131" customWidth="1"/>
    <col min="8966" max="8966" width="26.296875" style="131" customWidth="1"/>
    <col min="8967" max="8967" width="5.19921875" style="131" customWidth="1"/>
    <col min="8968" max="8968" width="2.69921875" style="131" customWidth="1"/>
    <col min="8969" max="8969" width="4.296875" style="131" customWidth="1"/>
    <col min="8970" max="8970" width="4.5" style="131" customWidth="1"/>
    <col min="8971" max="8971" width="8.09765625" style="131" customWidth="1"/>
    <col min="8972" max="8972" width="4.296875" style="131" customWidth="1"/>
    <col min="8973" max="8973" width="13.69921875" style="131" customWidth="1"/>
    <col min="8974" max="9216" width="8.796875" style="131"/>
    <col min="9217" max="9217" width="1.19921875" style="131" customWidth="1"/>
    <col min="9218" max="9218" width="0" style="131" hidden="1" customWidth="1"/>
    <col min="9219" max="9219" width="6.19921875" style="131" customWidth="1"/>
    <col min="9220" max="9220" width="9.796875" style="131" bestFit="1" customWidth="1"/>
    <col min="9221" max="9221" width="5.69921875" style="131" customWidth="1"/>
    <col min="9222" max="9222" width="26.296875" style="131" customWidth="1"/>
    <col min="9223" max="9223" width="5.19921875" style="131" customWidth="1"/>
    <col min="9224" max="9224" width="2.69921875" style="131" customWidth="1"/>
    <col min="9225" max="9225" width="4.296875" style="131" customWidth="1"/>
    <col min="9226" max="9226" width="4.5" style="131" customWidth="1"/>
    <col min="9227" max="9227" width="8.09765625" style="131" customWidth="1"/>
    <col min="9228" max="9228" width="4.296875" style="131" customWidth="1"/>
    <col min="9229" max="9229" width="13.69921875" style="131" customWidth="1"/>
    <col min="9230" max="9472" width="8.796875" style="131"/>
    <col min="9473" max="9473" width="1.19921875" style="131" customWidth="1"/>
    <col min="9474" max="9474" width="0" style="131" hidden="1" customWidth="1"/>
    <col min="9475" max="9475" width="6.19921875" style="131" customWidth="1"/>
    <col min="9476" max="9476" width="9.796875" style="131" bestFit="1" customWidth="1"/>
    <col min="9477" max="9477" width="5.69921875" style="131" customWidth="1"/>
    <col min="9478" max="9478" width="26.296875" style="131" customWidth="1"/>
    <col min="9479" max="9479" width="5.19921875" style="131" customWidth="1"/>
    <col min="9480" max="9480" width="2.69921875" style="131" customWidth="1"/>
    <col min="9481" max="9481" width="4.296875" style="131" customWidth="1"/>
    <col min="9482" max="9482" width="4.5" style="131" customWidth="1"/>
    <col min="9483" max="9483" width="8.09765625" style="131" customWidth="1"/>
    <col min="9484" max="9484" width="4.296875" style="131" customWidth="1"/>
    <col min="9485" max="9485" width="13.69921875" style="131" customWidth="1"/>
    <col min="9486" max="9728" width="8.796875" style="131"/>
    <col min="9729" max="9729" width="1.19921875" style="131" customWidth="1"/>
    <col min="9730" max="9730" width="0" style="131" hidden="1" customWidth="1"/>
    <col min="9731" max="9731" width="6.19921875" style="131" customWidth="1"/>
    <col min="9732" max="9732" width="9.796875" style="131" bestFit="1" customWidth="1"/>
    <col min="9733" max="9733" width="5.69921875" style="131" customWidth="1"/>
    <col min="9734" max="9734" width="26.296875" style="131" customWidth="1"/>
    <col min="9735" max="9735" width="5.19921875" style="131" customWidth="1"/>
    <col min="9736" max="9736" width="2.69921875" style="131" customWidth="1"/>
    <col min="9737" max="9737" width="4.296875" style="131" customWidth="1"/>
    <col min="9738" max="9738" width="4.5" style="131" customWidth="1"/>
    <col min="9739" max="9739" width="8.09765625" style="131" customWidth="1"/>
    <col min="9740" max="9740" width="4.296875" style="131" customWidth="1"/>
    <col min="9741" max="9741" width="13.69921875" style="131" customWidth="1"/>
    <col min="9742" max="9984" width="8.796875" style="131"/>
    <col min="9985" max="9985" width="1.19921875" style="131" customWidth="1"/>
    <col min="9986" max="9986" width="0" style="131" hidden="1" customWidth="1"/>
    <col min="9987" max="9987" width="6.19921875" style="131" customWidth="1"/>
    <col min="9988" max="9988" width="9.796875" style="131" bestFit="1" customWidth="1"/>
    <col min="9989" max="9989" width="5.69921875" style="131" customWidth="1"/>
    <col min="9990" max="9990" width="26.296875" style="131" customWidth="1"/>
    <col min="9991" max="9991" width="5.19921875" style="131" customWidth="1"/>
    <col min="9992" max="9992" width="2.69921875" style="131" customWidth="1"/>
    <col min="9993" max="9993" width="4.296875" style="131" customWidth="1"/>
    <col min="9994" max="9994" width="4.5" style="131" customWidth="1"/>
    <col min="9995" max="9995" width="8.09765625" style="131" customWidth="1"/>
    <col min="9996" max="9996" width="4.296875" style="131" customWidth="1"/>
    <col min="9997" max="9997" width="13.69921875" style="131" customWidth="1"/>
    <col min="9998" max="10240" width="8.796875" style="131"/>
    <col min="10241" max="10241" width="1.19921875" style="131" customWidth="1"/>
    <col min="10242" max="10242" width="0" style="131" hidden="1" customWidth="1"/>
    <col min="10243" max="10243" width="6.19921875" style="131" customWidth="1"/>
    <col min="10244" max="10244" width="9.796875" style="131" bestFit="1" customWidth="1"/>
    <col min="10245" max="10245" width="5.69921875" style="131" customWidth="1"/>
    <col min="10246" max="10246" width="26.296875" style="131" customWidth="1"/>
    <col min="10247" max="10247" width="5.19921875" style="131" customWidth="1"/>
    <col min="10248" max="10248" width="2.69921875" style="131" customWidth="1"/>
    <col min="10249" max="10249" width="4.296875" style="131" customWidth="1"/>
    <col min="10250" max="10250" width="4.5" style="131" customWidth="1"/>
    <col min="10251" max="10251" width="8.09765625" style="131" customWidth="1"/>
    <col min="10252" max="10252" width="4.296875" style="131" customWidth="1"/>
    <col min="10253" max="10253" width="13.69921875" style="131" customWidth="1"/>
    <col min="10254" max="10496" width="8.796875" style="131"/>
    <col min="10497" max="10497" width="1.19921875" style="131" customWidth="1"/>
    <col min="10498" max="10498" width="0" style="131" hidden="1" customWidth="1"/>
    <col min="10499" max="10499" width="6.19921875" style="131" customWidth="1"/>
    <col min="10500" max="10500" width="9.796875" style="131" bestFit="1" customWidth="1"/>
    <col min="10501" max="10501" width="5.69921875" style="131" customWidth="1"/>
    <col min="10502" max="10502" width="26.296875" style="131" customWidth="1"/>
    <col min="10503" max="10503" width="5.19921875" style="131" customWidth="1"/>
    <col min="10504" max="10504" width="2.69921875" style="131" customWidth="1"/>
    <col min="10505" max="10505" width="4.296875" style="131" customWidth="1"/>
    <col min="10506" max="10506" width="4.5" style="131" customWidth="1"/>
    <col min="10507" max="10507" width="8.09765625" style="131" customWidth="1"/>
    <col min="10508" max="10508" width="4.296875" style="131" customWidth="1"/>
    <col min="10509" max="10509" width="13.69921875" style="131" customWidth="1"/>
    <col min="10510" max="10752" width="8.796875" style="131"/>
    <col min="10753" max="10753" width="1.19921875" style="131" customWidth="1"/>
    <col min="10754" max="10754" width="0" style="131" hidden="1" customWidth="1"/>
    <col min="10755" max="10755" width="6.19921875" style="131" customWidth="1"/>
    <col min="10756" max="10756" width="9.796875" style="131" bestFit="1" customWidth="1"/>
    <col min="10757" max="10757" width="5.69921875" style="131" customWidth="1"/>
    <col min="10758" max="10758" width="26.296875" style="131" customWidth="1"/>
    <col min="10759" max="10759" width="5.19921875" style="131" customWidth="1"/>
    <col min="10760" max="10760" width="2.69921875" style="131" customWidth="1"/>
    <col min="10761" max="10761" width="4.296875" style="131" customWidth="1"/>
    <col min="10762" max="10762" width="4.5" style="131" customWidth="1"/>
    <col min="10763" max="10763" width="8.09765625" style="131" customWidth="1"/>
    <col min="10764" max="10764" width="4.296875" style="131" customWidth="1"/>
    <col min="10765" max="10765" width="13.69921875" style="131" customWidth="1"/>
    <col min="10766" max="11008" width="8.796875" style="131"/>
    <col min="11009" max="11009" width="1.19921875" style="131" customWidth="1"/>
    <col min="11010" max="11010" width="0" style="131" hidden="1" customWidth="1"/>
    <col min="11011" max="11011" width="6.19921875" style="131" customWidth="1"/>
    <col min="11012" max="11012" width="9.796875" style="131" bestFit="1" customWidth="1"/>
    <col min="11013" max="11013" width="5.69921875" style="131" customWidth="1"/>
    <col min="11014" max="11014" width="26.296875" style="131" customWidth="1"/>
    <col min="11015" max="11015" width="5.19921875" style="131" customWidth="1"/>
    <col min="11016" max="11016" width="2.69921875" style="131" customWidth="1"/>
    <col min="11017" max="11017" width="4.296875" style="131" customWidth="1"/>
    <col min="11018" max="11018" width="4.5" style="131" customWidth="1"/>
    <col min="11019" max="11019" width="8.09765625" style="131" customWidth="1"/>
    <col min="11020" max="11020" width="4.296875" style="131" customWidth="1"/>
    <col min="11021" max="11021" width="13.69921875" style="131" customWidth="1"/>
    <col min="11022" max="11264" width="8.796875" style="131"/>
    <col min="11265" max="11265" width="1.19921875" style="131" customWidth="1"/>
    <col min="11266" max="11266" width="0" style="131" hidden="1" customWidth="1"/>
    <col min="11267" max="11267" width="6.19921875" style="131" customWidth="1"/>
    <col min="11268" max="11268" width="9.796875" style="131" bestFit="1" customWidth="1"/>
    <col min="11269" max="11269" width="5.69921875" style="131" customWidth="1"/>
    <col min="11270" max="11270" width="26.296875" style="131" customWidth="1"/>
    <col min="11271" max="11271" width="5.19921875" style="131" customWidth="1"/>
    <col min="11272" max="11272" width="2.69921875" style="131" customWidth="1"/>
    <col min="11273" max="11273" width="4.296875" style="131" customWidth="1"/>
    <col min="11274" max="11274" width="4.5" style="131" customWidth="1"/>
    <col min="11275" max="11275" width="8.09765625" style="131" customWidth="1"/>
    <col min="11276" max="11276" width="4.296875" style="131" customWidth="1"/>
    <col min="11277" max="11277" width="13.69921875" style="131" customWidth="1"/>
    <col min="11278" max="11520" width="8.796875" style="131"/>
    <col min="11521" max="11521" width="1.19921875" style="131" customWidth="1"/>
    <col min="11522" max="11522" width="0" style="131" hidden="1" customWidth="1"/>
    <col min="11523" max="11523" width="6.19921875" style="131" customWidth="1"/>
    <col min="11524" max="11524" width="9.796875" style="131" bestFit="1" customWidth="1"/>
    <col min="11525" max="11525" width="5.69921875" style="131" customWidth="1"/>
    <col min="11526" max="11526" width="26.296875" style="131" customWidth="1"/>
    <col min="11527" max="11527" width="5.19921875" style="131" customWidth="1"/>
    <col min="11528" max="11528" width="2.69921875" style="131" customWidth="1"/>
    <col min="11529" max="11529" width="4.296875" style="131" customWidth="1"/>
    <col min="11530" max="11530" width="4.5" style="131" customWidth="1"/>
    <col min="11531" max="11531" width="8.09765625" style="131" customWidth="1"/>
    <col min="11532" max="11532" width="4.296875" style="131" customWidth="1"/>
    <col min="11533" max="11533" width="13.69921875" style="131" customWidth="1"/>
    <col min="11534" max="11776" width="8.796875" style="131"/>
    <col min="11777" max="11777" width="1.19921875" style="131" customWidth="1"/>
    <col min="11778" max="11778" width="0" style="131" hidden="1" customWidth="1"/>
    <col min="11779" max="11779" width="6.19921875" style="131" customWidth="1"/>
    <col min="11780" max="11780" width="9.796875" style="131" bestFit="1" customWidth="1"/>
    <col min="11781" max="11781" width="5.69921875" style="131" customWidth="1"/>
    <col min="11782" max="11782" width="26.296875" style="131" customWidth="1"/>
    <col min="11783" max="11783" width="5.19921875" style="131" customWidth="1"/>
    <col min="11784" max="11784" width="2.69921875" style="131" customWidth="1"/>
    <col min="11785" max="11785" width="4.296875" style="131" customWidth="1"/>
    <col min="11786" max="11786" width="4.5" style="131" customWidth="1"/>
    <col min="11787" max="11787" width="8.09765625" style="131" customWidth="1"/>
    <col min="11788" max="11788" width="4.296875" style="131" customWidth="1"/>
    <col min="11789" max="11789" width="13.69921875" style="131" customWidth="1"/>
    <col min="11790" max="12032" width="8.796875" style="131"/>
    <col min="12033" max="12033" width="1.19921875" style="131" customWidth="1"/>
    <col min="12034" max="12034" width="0" style="131" hidden="1" customWidth="1"/>
    <col min="12035" max="12035" width="6.19921875" style="131" customWidth="1"/>
    <col min="12036" max="12036" width="9.796875" style="131" bestFit="1" customWidth="1"/>
    <col min="12037" max="12037" width="5.69921875" style="131" customWidth="1"/>
    <col min="12038" max="12038" width="26.296875" style="131" customWidth="1"/>
    <col min="12039" max="12039" width="5.19921875" style="131" customWidth="1"/>
    <col min="12040" max="12040" width="2.69921875" style="131" customWidth="1"/>
    <col min="12041" max="12041" width="4.296875" style="131" customWidth="1"/>
    <col min="12042" max="12042" width="4.5" style="131" customWidth="1"/>
    <col min="12043" max="12043" width="8.09765625" style="131" customWidth="1"/>
    <col min="12044" max="12044" width="4.296875" style="131" customWidth="1"/>
    <col min="12045" max="12045" width="13.69921875" style="131" customWidth="1"/>
    <col min="12046" max="12288" width="8.796875" style="131"/>
    <col min="12289" max="12289" width="1.19921875" style="131" customWidth="1"/>
    <col min="12290" max="12290" width="0" style="131" hidden="1" customWidth="1"/>
    <col min="12291" max="12291" width="6.19921875" style="131" customWidth="1"/>
    <col min="12292" max="12292" width="9.796875" style="131" bestFit="1" customWidth="1"/>
    <col min="12293" max="12293" width="5.69921875" style="131" customWidth="1"/>
    <col min="12294" max="12294" width="26.296875" style="131" customWidth="1"/>
    <col min="12295" max="12295" width="5.19921875" style="131" customWidth="1"/>
    <col min="12296" max="12296" width="2.69921875" style="131" customWidth="1"/>
    <col min="12297" max="12297" width="4.296875" style="131" customWidth="1"/>
    <col min="12298" max="12298" width="4.5" style="131" customWidth="1"/>
    <col min="12299" max="12299" width="8.09765625" style="131" customWidth="1"/>
    <col min="12300" max="12300" width="4.296875" style="131" customWidth="1"/>
    <col min="12301" max="12301" width="13.69921875" style="131" customWidth="1"/>
    <col min="12302" max="12544" width="8.796875" style="131"/>
    <col min="12545" max="12545" width="1.19921875" style="131" customWidth="1"/>
    <col min="12546" max="12546" width="0" style="131" hidden="1" customWidth="1"/>
    <col min="12547" max="12547" width="6.19921875" style="131" customWidth="1"/>
    <col min="12548" max="12548" width="9.796875" style="131" bestFit="1" customWidth="1"/>
    <col min="12549" max="12549" width="5.69921875" style="131" customWidth="1"/>
    <col min="12550" max="12550" width="26.296875" style="131" customWidth="1"/>
    <col min="12551" max="12551" width="5.19921875" style="131" customWidth="1"/>
    <col min="12552" max="12552" width="2.69921875" style="131" customWidth="1"/>
    <col min="12553" max="12553" width="4.296875" style="131" customWidth="1"/>
    <col min="12554" max="12554" width="4.5" style="131" customWidth="1"/>
    <col min="12555" max="12555" width="8.09765625" style="131" customWidth="1"/>
    <col min="12556" max="12556" width="4.296875" style="131" customWidth="1"/>
    <col min="12557" max="12557" width="13.69921875" style="131" customWidth="1"/>
    <col min="12558" max="12800" width="8.796875" style="131"/>
    <col min="12801" max="12801" width="1.19921875" style="131" customWidth="1"/>
    <col min="12802" max="12802" width="0" style="131" hidden="1" customWidth="1"/>
    <col min="12803" max="12803" width="6.19921875" style="131" customWidth="1"/>
    <col min="12804" max="12804" width="9.796875" style="131" bestFit="1" customWidth="1"/>
    <col min="12805" max="12805" width="5.69921875" style="131" customWidth="1"/>
    <col min="12806" max="12806" width="26.296875" style="131" customWidth="1"/>
    <col min="12807" max="12807" width="5.19921875" style="131" customWidth="1"/>
    <col min="12808" max="12808" width="2.69921875" style="131" customWidth="1"/>
    <col min="12809" max="12809" width="4.296875" style="131" customWidth="1"/>
    <col min="12810" max="12810" width="4.5" style="131" customWidth="1"/>
    <col min="12811" max="12811" width="8.09765625" style="131" customWidth="1"/>
    <col min="12812" max="12812" width="4.296875" style="131" customWidth="1"/>
    <col min="12813" max="12813" width="13.69921875" style="131" customWidth="1"/>
    <col min="12814" max="13056" width="8.796875" style="131"/>
    <col min="13057" max="13057" width="1.19921875" style="131" customWidth="1"/>
    <col min="13058" max="13058" width="0" style="131" hidden="1" customWidth="1"/>
    <col min="13059" max="13059" width="6.19921875" style="131" customWidth="1"/>
    <col min="13060" max="13060" width="9.796875" style="131" bestFit="1" customWidth="1"/>
    <col min="13061" max="13061" width="5.69921875" style="131" customWidth="1"/>
    <col min="13062" max="13062" width="26.296875" style="131" customWidth="1"/>
    <col min="13063" max="13063" width="5.19921875" style="131" customWidth="1"/>
    <col min="13064" max="13064" width="2.69921875" style="131" customWidth="1"/>
    <col min="13065" max="13065" width="4.296875" style="131" customWidth="1"/>
    <col min="13066" max="13066" width="4.5" style="131" customWidth="1"/>
    <col min="13067" max="13067" width="8.09765625" style="131" customWidth="1"/>
    <col min="13068" max="13068" width="4.296875" style="131" customWidth="1"/>
    <col min="13069" max="13069" width="13.69921875" style="131" customWidth="1"/>
    <col min="13070" max="13312" width="8.796875" style="131"/>
    <col min="13313" max="13313" width="1.19921875" style="131" customWidth="1"/>
    <col min="13314" max="13314" width="0" style="131" hidden="1" customWidth="1"/>
    <col min="13315" max="13315" width="6.19921875" style="131" customWidth="1"/>
    <col min="13316" max="13316" width="9.796875" style="131" bestFit="1" customWidth="1"/>
    <col min="13317" max="13317" width="5.69921875" style="131" customWidth="1"/>
    <col min="13318" max="13318" width="26.296875" style="131" customWidth="1"/>
    <col min="13319" max="13319" width="5.19921875" style="131" customWidth="1"/>
    <col min="13320" max="13320" width="2.69921875" style="131" customWidth="1"/>
    <col min="13321" max="13321" width="4.296875" style="131" customWidth="1"/>
    <col min="13322" max="13322" width="4.5" style="131" customWidth="1"/>
    <col min="13323" max="13323" width="8.09765625" style="131" customWidth="1"/>
    <col min="13324" max="13324" width="4.296875" style="131" customWidth="1"/>
    <col min="13325" max="13325" width="13.69921875" style="131" customWidth="1"/>
    <col min="13326" max="13568" width="8.796875" style="131"/>
    <col min="13569" max="13569" width="1.19921875" style="131" customWidth="1"/>
    <col min="13570" max="13570" width="0" style="131" hidden="1" customWidth="1"/>
    <col min="13571" max="13571" width="6.19921875" style="131" customWidth="1"/>
    <col min="13572" max="13572" width="9.796875" style="131" bestFit="1" customWidth="1"/>
    <col min="13573" max="13573" width="5.69921875" style="131" customWidth="1"/>
    <col min="13574" max="13574" width="26.296875" style="131" customWidth="1"/>
    <col min="13575" max="13575" width="5.19921875" style="131" customWidth="1"/>
    <col min="13576" max="13576" width="2.69921875" style="131" customWidth="1"/>
    <col min="13577" max="13577" width="4.296875" style="131" customWidth="1"/>
    <col min="13578" max="13578" width="4.5" style="131" customWidth="1"/>
    <col min="13579" max="13579" width="8.09765625" style="131" customWidth="1"/>
    <col min="13580" max="13580" width="4.296875" style="131" customWidth="1"/>
    <col min="13581" max="13581" width="13.69921875" style="131" customWidth="1"/>
    <col min="13582" max="13824" width="8.796875" style="131"/>
    <col min="13825" max="13825" width="1.19921875" style="131" customWidth="1"/>
    <col min="13826" max="13826" width="0" style="131" hidden="1" customWidth="1"/>
    <col min="13827" max="13827" width="6.19921875" style="131" customWidth="1"/>
    <col min="13828" max="13828" width="9.796875" style="131" bestFit="1" customWidth="1"/>
    <col min="13829" max="13829" width="5.69921875" style="131" customWidth="1"/>
    <col min="13830" max="13830" width="26.296875" style="131" customWidth="1"/>
    <col min="13831" max="13831" width="5.19921875" style="131" customWidth="1"/>
    <col min="13832" max="13832" width="2.69921875" style="131" customWidth="1"/>
    <col min="13833" max="13833" width="4.296875" style="131" customWidth="1"/>
    <col min="13834" max="13834" width="4.5" style="131" customWidth="1"/>
    <col min="13835" max="13835" width="8.09765625" style="131" customWidth="1"/>
    <col min="13836" max="13836" width="4.296875" style="131" customWidth="1"/>
    <col min="13837" max="13837" width="13.69921875" style="131" customWidth="1"/>
    <col min="13838" max="14080" width="8.796875" style="131"/>
    <col min="14081" max="14081" width="1.19921875" style="131" customWidth="1"/>
    <col min="14082" max="14082" width="0" style="131" hidden="1" customWidth="1"/>
    <col min="14083" max="14083" width="6.19921875" style="131" customWidth="1"/>
    <col min="14084" max="14084" width="9.796875" style="131" bestFit="1" customWidth="1"/>
    <col min="14085" max="14085" width="5.69921875" style="131" customWidth="1"/>
    <col min="14086" max="14086" width="26.296875" style="131" customWidth="1"/>
    <col min="14087" max="14087" width="5.19921875" style="131" customWidth="1"/>
    <col min="14088" max="14088" width="2.69921875" style="131" customWidth="1"/>
    <col min="14089" max="14089" width="4.296875" style="131" customWidth="1"/>
    <col min="14090" max="14090" width="4.5" style="131" customWidth="1"/>
    <col min="14091" max="14091" width="8.09765625" style="131" customWidth="1"/>
    <col min="14092" max="14092" width="4.296875" style="131" customWidth="1"/>
    <col min="14093" max="14093" width="13.69921875" style="131" customWidth="1"/>
    <col min="14094" max="14336" width="8.796875" style="131"/>
    <col min="14337" max="14337" width="1.19921875" style="131" customWidth="1"/>
    <col min="14338" max="14338" width="0" style="131" hidden="1" customWidth="1"/>
    <col min="14339" max="14339" width="6.19921875" style="131" customWidth="1"/>
    <col min="14340" max="14340" width="9.796875" style="131" bestFit="1" customWidth="1"/>
    <col min="14341" max="14341" width="5.69921875" style="131" customWidth="1"/>
    <col min="14342" max="14342" width="26.296875" style="131" customWidth="1"/>
    <col min="14343" max="14343" width="5.19921875" style="131" customWidth="1"/>
    <col min="14344" max="14344" width="2.69921875" style="131" customWidth="1"/>
    <col min="14345" max="14345" width="4.296875" style="131" customWidth="1"/>
    <col min="14346" max="14346" width="4.5" style="131" customWidth="1"/>
    <col min="14347" max="14347" width="8.09765625" style="131" customWidth="1"/>
    <col min="14348" max="14348" width="4.296875" style="131" customWidth="1"/>
    <col min="14349" max="14349" width="13.69921875" style="131" customWidth="1"/>
    <col min="14350" max="14592" width="8.796875" style="131"/>
    <col min="14593" max="14593" width="1.19921875" style="131" customWidth="1"/>
    <col min="14594" max="14594" width="0" style="131" hidden="1" customWidth="1"/>
    <col min="14595" max="14595" width="6.19921875" style="131" customWidth="1"/>
    <col min="14596" max="14596" width="9.796875" style="131" bestFit="1" customWidth="1"/>
    <col min="14597" max="14597" width="5.69921875" style="131" customWidth="1"/>
    <col min="14598" max="14598" width="26.296875" style="131" customWidth="1"/>
    <col min="14599" max="14599" width="5.19921875" style="131" customWidth="1"/>
    <col min="14600" max="14600" width="2.69921875" style="131" customWidth="1"/>
    <col min="14601" max="14601" width="4.296875" style="131" customWidth="1"/>
    <col min="14602" max="14602" width="4.5" style="131" customWidth="1"/>
    <col min="14603" max="14603" width="8.09765625" style="131" customWidth="1"/>
    <col min="14604" max="14604" width="4.296875" style="131" customWidth="1"/>
    <col min="14605" max="14605" width="13.69921875" style="131" customWidth="1"/>
    <col min="14606" max="14848" width="8.796875" style="131"/>
    <col min="14849" max="14849" width="1.19921875" style="131" customWidth="1"/>
    <col min="14850" max="14850" width="0" style="131" hidden="1" customWidth="1"/>
    <col min="14851" max="14851" width="6.19921875" style="131" customWidth="1"/>
    <col min="14852" max="14852" width="9.796875" style="131" bestFit="1" customWidth="1"/>
    <col min="14853" max="14853" width="5.69921875" style="131" customWidth="1"/>
    <col min="14854" max="14854" width="26.296875" style="131" customWidth="1"/>
    <col min="14855" max="14855" width="5.19921875" style="131" customWidth="1"/>
    <col min="14856" max="14856" width="2.69921875" style="131" customWidth="1"/>
    <col min="14857" max="14857" width="4.296875" style="131" customWidth="1"/>
    <col min="14858" max="14858" width="4.5" style="131" customWidth="1"/>
    <col min="14859" max="14859" width="8.09765625" style="131" customWidth="1"/>
    <col min="14860" max="14860" width="4.296875" style="131" customWidth="1"/>
    <col min="14861" max="14861" width="13.69921875" style="131" customWidth="1"/>
    <col min="14862" max="15104" width="8.796875" style="131"/>
    <col min="15105" max="15105" width="1.19921875" style="131" customWidth="1"/>
    <col min="15106" max="15106" width="0" style="131" hidden="1" customWidth="1"/>
    <col min="15107" max="15107" width="6.19921875" style="131" customWidth="1"/>
    <col min="15108" max="15108" width="9.796875" style="131" bestFit="1" customWidth="1"/>
    <col min="15109" max="15109" width="5.69921875" style="131" customWidth="1"/>
    <col min="15110" max="15110" width="26.296875" style="131" customWidth="1"/>
    <col min="15111" max="15111" width="5.19921875" style="131" customWidth="1"/>
    <col min="15112" max="15112" width="2.69921875" style="131" customWidth="1"/>
    <col min="15113" max="15113" width="4.296875" style="131" customWidth="1"/>
    <col min="15114" max="15114" width="4.5" style="131" customWidth="1"/>
    <col min="15115" max="15115" width="8.09765625" style="131" customWidth="1"/>
    <col min="15116" max="15116" width="4.296875" style="131" customWidth="1"/>
    <col min="15117" max="15117" width="13.69921875" style="131" customWidth="1"/>
    <col min="15118" max="15360" width="8.796875" style="131"/>
    <col min="15361" max="15361" width="1.19921875" style="131" customWidth="1"/>
    <col min="15362" max="15362" width="0" style="131" hidden="1" customWidth="1"/>
    <col min="15363" max="15363" width="6.19921875" style="131" customWidth="1"/>
    <col min="15364" max="15364" width="9.796875" style="131" bestFit="1" customWidth="1"/>
    <col min="15365" max="15365" width="5.69921875" style="131" customWidth="1"/>
    <col min="15366" max="15366" width="26.296875" style="131" customWidth="1"/>
    <col min="15367" max="15367" width="5.19921875" style="131" customWidth="1"/>
    <col min="15368" max="15368" width="2.69921875" style="131" customWidth="1"/>
    <col min="15369" max="15369" width="4.296875" style="131" customWidth="1"/>
    <col min="15370" max="15370" width="4.5" style="131" customWidth="1"/>
    <col min="15371" max="15371" width="8.09765625" style="131" customWidth="1"/>
    <col min="15372" max="15372" width="4.296875" style="131" customWidth="1"/>
    <col min="15373" max="15373" width="13.69921875" style="131" customWidth="1"/>
    <col min="15374" max="15616" width="8.796875" style="131"/>
    <col min="15617" max="15617" width="1.19921875" style="131" customWidth="1"/>
    <col min="15618" max="15618" width="0" style="131" hidden="1" customWidth="1"/>
    <col min="15619" max="15619" width="6.19921875" style="131" customWidth="1"/>
    <col min="15620" max="15620" width="9.796875" style="131" bestFit="1" customWidth="1"/>
    <col min="15621" max="15621" width="5.69921875" style="131" customWidth="1"/>
    <col min="15622" max="15622" width="26.296875" style="131" customWidth="1"/>
    <col min="15623" max="15623" width="5.19921875" style="131" customWidth="1"/>
    <col min="15624" max="15624" width="2.69921875" style="131" customWidth="1"/>
    <col min="15625" max="15625" width="4.296875" style="131" customWidth="1"/>
    <col min="15626" max="15626" width="4.5" style="131" customWidth="1"/>
    <col min="15627" max="15627" width="8.09765625" style="131" customWidth="1"/>
    <col min="15628" max="15628" width="4.296875" style="131" customWidth="1"/>
    <col min="15629" max="15629" width="13.69921875" style="131" customWidth="1"/>
    <col min="15630" max="15872" width="8.796875" style="131"/>
    <col min="15873" max="15873" width="1.19921875" style="131" customWidth="1"/>
    <col min="15874" max="15874" width="0" style="131" hidden="1" customWidth="1"/>
    <col min="15875" max="15875" width="6.19921875" style="131" customWidth="1"/>
    <col min="15876" max="15876" width="9.796875" style="131" bestFit="1" customWidth="1"/>
    <col min="15877" max="15877" width="5.69921875" style="131" customWidth="1"/>
    <col min="15878" max="15878" width="26.296875" style="131" customWidth="1"/>
    <col min="15879" max="15879" width="5.19921875" style="131" customWidth="1"/>
    <col min="15880" max="15880" width="2.69921875" style="131" customWidth="1"/>
    <col min="15881" max="15881" width="4.296875" style="131" customWidth="1"/>
    <col min="15882" max="15882" width="4.5" style="131" customWidth="1"/>
    <col min="15883" max="15883" width="8.09765625" style="131" customWidth="1"/>
    <col min="15884" max="15884" width="4.296875" style="131" customWidth="1"/>
    <col min="15885" max="15885" width="13.69921875" style="131" customWidth="1"/>
    <col min="15886" max="16128" width="8.796875" style="131"/>
    <col min="16129" max="16129" width="1.19921875" style="131" customWidth="1"/>
    <col min="16130" max="16130" width="0" style="131" hidden="1" customWidth="1"/>
    <col min="16131" max="16131" width="6.19921875" style="131" customWidth="1"/>
    <col min="16132" max="16132" width="9.796875" style="131" bestFit="1" customWidth="1"/>
    <col min="16133" max="16133" width="5.69921875" style="131" customWidth="1"/>
    <col min="16134" max="16134" width="26.296875" style="131" customWidth="1"/>
    <col min="16135" max="16135" width="5.19921875" style="131" customWidth="1"/>
    <col min="16136" max="16136" width="2.69921875" style="131" customWidth="1"/>
    <col min="16137" max="16137" width="4.296875" style="131" customWidth="1"/>
    <col min="16138" max="16138" width="4.5" style="131" customWidth="1"/>
    <col min="16139" max="16139" width="8.09765625" style="131" customWidth="1"/>
    <col min="16140" max="16140" width="4.296875" style="131" customWidth="1"/>
    <col min="16141" max="16141" width="13.69921875" style="131" customWidth="1"/>
    <col min="16142" max="16384" width="8.796875" style="131"/>
  </cols>
  <sheetData>
    <row r="1" spans="1:13" ht="13.8" thickBot="1" x14ac:dyDescent="0.5">
      <c r="C1" s="130" t="s">
        <v>143</v>
      </c>
      <c r="D1" s="130">
        <v>7</v>
      </c>
      <c r="E1" s="130" t="s">
        <v>144</v>
      </c>
      <c r="J1" s="246"/>
      <c r="K1" s="247"/>
      <c r="L1" s="247"/>
      <c r="M1" s="247"/>
    </row>
    <row r="2" spans="1:13" ht="13.8" thickBot="1" x14ac:dyDescent="0.2">
      <c r="I2" s="132" t="s">
        <v>145</v>
      </c>
      <c r="J2" s="133" t="s">
        <v>69</v>
      </c>
      <c r="K2" s="134"/>
      <c r="L2" s="132"/>
      <c r="M2" s="135" t="s">
        <v>70</v>
      </c>
    </row>
    <row r="3" spans="1:13" ht="21.6" customHeight="1" thickBot="1" x14ac:dyDescent="0.25">
      <c r="C3" s="136" t="s">
        <v>71</v>
      </c>
      <c r="D3" s="248" t="s">
        <v>146</v>
      </c>
      <c r="E3" s="249"/>
      <c r="F3" s="249"/>
      <c r="G3" s="250"/>
      <c r="I3" s="132"/>
      <c r="J3" s="133" t="s">
        <v>72</v>
      </c>
      <c r="K3" s="134"/>
      <c r="L3" s="132"/>
      <c r="M3" s="135" t="s">
        <v>73</v>
      </c>
    </row>
    <row r="4" spans="1:13" ht="21.6" customHeight="1" thickBot="1" x14ac:dyDescent="0.25">
      <c r="C4" s="137" t="s">
        <v>74</v>
      </c>
      <c r="D4" s="251"/>
      <c r="E4" s="252"/>
      <c r="F4" s="252"/>
      <c r="G4" s="253"/>
      <c r="I4" s="132"/>
      <c r="J4" s="133" t="s">
        <v>75</v>
      </c>
      <c r="K4" s="134"/>
      <c r="L4" s="132"/>
      <c r="M4" s="135" t="s">
        <v>76</v>
      </c>
    </row>
    <row r="5" spans="1:13" ht="21.6" customHeight="1" thickBot="1" x14ac:dyDescent="0.25">
      <c r="C5" s="138" t="s">
        <v>77</v>
      </c>
      <c r="D5" s="254"/>
      <c r="E5" s="255"/>
      <c r="F5" s="255"/>
      <c r="G5" s="256"/>
      <c r="I5" s="132"/>
      <c r="J5" s="133" t="s">
        <v>78</v>
      </c>
      <c r="K5" s="134"/>
      <c r="L5" s="132"/>
      <c r="M5" s="135"/>
    </row>
    <row r="6" spans="1:13" x14ac:dyDescent="0.2">
      <c r="D6" s="139"/>
      <c r="E6" s="139"/>
      <c r="I6" s="140"/>
      <c r="J6" s="141"/>
      <c r="K6" s="141"/>
      <c r="M6" s="130"/>
    </row>
    <row r="7" spans="1:13" ht="18.600000000000001" customHeight="1" thickBot="1" x14ac:dyDescent="0.5">
      <c r="A7" s="142"/>
      <c r="B7" s="143" t="s">
        <v>79</v>
      </c>
      <c r="C7" s="143" t="s">
        <v>80</v>
      </c>
      <c r="D7" s="143" t="s">
        <v>81</v>
      </c>
      <c r="E7" s="143" t="s">
        <v>82</v>
      </c>
      <c r="F7" s="144" t="s">
        <v>83</v>
      </c>
      <c r="G7" s="257" t="s">
        <v>147</v>
      </c>
      <c r="H7" s="258"/>
      <c r="I7" s="145" t="s">
        <v>84</v>
      </c>
      <c r="J7" s="146" t="s">
        <v>85</v>
      </c>
      <c r="K7" s="146" t="s">
        <v>148</v>
      </c>
      <c r="L7" s="143" t="s">
        <v>86</v>
      </c>
      <c r="M7" s="143" t="s">
        <v>87</v>
      </c>
    </row>
    <row r="8" spans="1:13" ht="13.8" thickTop="1" x14ac:dyDescent="0.45">
      <c r="A8" s="142"/>
      <c r="B8" s="147"/>
      <c r="C8" s="148"/>
      <c r="D8" s="147"/>
      <c r="E8" s="149"/>
      <c r="F8" s="150"/>
      <c r="G8" s="244"/>
      <c r="H8" s="245"/>
      <c r="I8" s="151"/>
      <c r="J8" s="152"/>
      <c r="K8" s="153"/>
      <c r="L8" s="148"/>
      <c r="M8" s="149"/>
    </row>
    <row r="9" spans="1:13" x14ac:dyDescent="0.45">
      <c r="A9" s="142"/>
      <c r="B9" s="147"/>
      <c r="C9" s="148"/>
      <c r="D9" s="147"/>
      <c r="E9" s="149"/>
      <c r="F9" s="150"/>
      <c r="G9" s="244"/>
      <c r="H9" s="245"/>
      <c r="I9" s="151"/>
      <c r="J9" s="152"/>
      <c r="K9" s="153"/>
      <c r="L9" s="148"/>
      <c r="M9" s="149"/>
    </row>
    <row r="10" spans="1:13" x14ac:dyDescent="0.45">
      <c r="A10" s="142"/>
      <c r="B10" s="154"/>
      <c r="C10" s="148"/>
      <c r="D10" s="154"/>
      <c r="E10" s="149"/>
      <c r="F10" s="150"/>
      <c r="G10" s="244"/>
      <c r="H10" s="245"/>
      <c r="I10" s="151"/>
      <c r="J10" s="152"/>
      <c r="K10" s="153"/>
      <c r="L10" s="148"/>
      <c r="M10" s="149"/>
    </row>
    <row r="11" spans="1:13" x14ac:dyDescent="0.45">
      <c r="A11" s="142"/>
      <c r="B11" s="154"/>
      <c r="C11" s="148"/>
      <c r="D11" s="154"/>
      <c r="E11" s="149"/>
      <c r="F11" s="150"/>
      <c r="G11" s="244"/>
      <c r="H11" s="245"/>
      <c r="I11" s="151"/>
      <c r="J11" s="152"/>
      <c r="K11" s="153"/>
      <c r="L11" s="148"/>
      <c r="M11" s="149"/>
    </row>
    <row r="12" spans="1:13" x14ac:dyDescent="0.45">
      <c r="A12" s="142"/>
      <c r="B12" s="154"/>
      <c r="C12" s="148"/>
      <c r="D12" s="154"/>
      <c r="E12" s="149"/>
      <c r="F12" s="150"/>
      <c r="G12" s="244"/>
      <c r="H12" s="245"/>
      <c r="I12" s="151"/>
      <c r="J12" s="152"/>
      <c r="K12" s="153"/>
      <c r="L12" s="148"/>
      <c r="M12" s="149"/>
    </row>
    <row r="13" spans="1:13" x14ac:dyDescent="0.45">
      <c r="A13" s="142"/>
      <c r="B13" s="154"/>
      <c r="C13" s="148"/>
      <c r="D13" s="154"/>
      <c r="E13" s="149"/>
      <c r="F13" s="150"/>
      <c r="G13" s="244"/>
      <c r="H13" s="245"/>
      <c r="I13" s="151"/>
      <c r="J13" s="152"/>
      <c r="K13" s="153"/>
      <c r="L13" s="148"/>
      <c r="M13" s="149"/>
    </row>
    <row r="14" spans="1:13" x14ac:dyDescent="0.45">
      <c r="A14" s="142"/>
      <c r="B14" s="154"/>
      <c r="C14" s="148"/>
      <c r="D14" s="154"/>
      <c r="E14" s="149"/>
      <c r="F14" s="150"/>
      <c r="G14" s="244"/>
      <c r="H14" s="245"/>
      <c r="I14" s="151"/>
      <c r="J14" s="152"/>
      <c r="K14" s="153"/>
      <c r="L14" s="148"/>
      <c r="M14" s="149"/>
    </row>
    <row r="15" spans="1:13" x14ac:dyDescent="0.45">
      <c r="A15" s="142"/>
      <c r="B15" s="149"/>
      <c r="C15" s="148"/>
      <c r="D15" s="149"/>
      <c r="E15" s="149"/>
      <c r="F15" s="155"/>
      <c r="G15" s="244"/>
      <c r="H15" s="245"/>
      <c r="I15" s="156"/>
      <c r="J15" s="152"/>
      <c r="K15" s="149"/>
      <c r="L15" s="148"/>
      <c r="M15" s="149"/>
    </row>
    <row r="16" spans="1:13" x14ac:dyDescent="0.45">
      <c r="A16" s="142"/>
      <c r="B16" s="149"/>
      <c r="C16" s="148"/>
      <c r="D16" s="149"/>
      <c r="E16" s="149"/>
      <c r="F16" s="155"/>
      <c r="G16" s="244"/>
      <c r="H16" s="245"/>
      <c r="I16" s="156"/>
      <c r="J16" s="152"/>
      <c r="K16" s="153"/>
      <c r="L16" s="148"/>
      <c r="M16" s="149"/>
    </row>
    <row r="17" spans="1:13" x14ac:dyDescent="0.45">
      <c r="A17" s="130"/>
      <c r="B17" s="149"/>
      <c r="C17" s="148"/>
      <c r="D17" s="149"/>
      <c r="E17" s="149"/>
      <c r="F17" s="155"/>
      <c r="G17" s="244"/>
      <c r="H17" s="245"/>
      <c r="I17" s="156"/>
      <c r="J17" s="152"/>
      <c r="K17" s="153"/>
      <c r="L17" s="148"/>
      <c r="M17" s="149"/>
    </row>
    <row r="18" spans="1:13" x14ac:dyDescent="0.45">
      <c r="A18" s="142"/>
      <c r="B18" s="149"/>
      <c r="C18" s="148"/>
      <c r="D18" s="149"/>
      <c r="E18" s="149"/>
      <c r="F18" s="155"/>
      <c r="G18" s="244"/>
      <c r="H18" s="245"/>
      <c r="I18" s="156"/>
      <c r="J18" s="152"/>
      <c r="K18" s="153"/>
      <c r="L18" s="148"/>
      <c r="M18" s="149"/>
    </row>
    <row r="19" spans="1:13" x14ac:dyDescent="0.45">
      <c r="A19" s="142"/>
      <c r="B19" s="149"/>
      <c r="C19" s="148"/>
      <c r="D19" s="149"/>
      <c r="E19" s="149"/>
      <c r="F19" s="155"/>
      <c r="G19" s="244"/>
      <c r="H19" s="245"/>
      <c r="I19" s="156"/>
      <c r="J19" s="152"/>
      <c r="K19" s="153"/>
      <c r="L19" s="148"/>
      <c r="M19" s="149"/>
    </row>
    <row r="20" spans="1:13" x14ac:dyDescent="0.45">
      <c r="A20" s="142"/>
      <c r="B20" s="149"/>
      <c r="C20" s="148"/>
      <c r="D20" s="149"/>
      <c r="E20" s="149"/>
      <c r="F20" s="155"/>
      <c r="G20" s="244"/>
      <c r="H20" s="245"/>
      <c r="I20" s="156"/>
      <c r="J20" s="152"/>
      <c r="K20" s="153"/>
      <c r="L20" s="148"/>
      <c r="M20" s="149"/>
    </row>
    <row r="21" spans="1:13" x14ac:dyDescent="0.45">
      <c r="A21" s="142"/>
      <c r="B21" s="149"/>
      <c r="C21" s="148"/>
      <c r="D21" s="149"/>
      <c r="E21" s="149"/>
      <c r="F21" s="155"/>
      <c r="G21" s="244"/>
      <c r="H21" s="245"/>
      <c r="I21" s="156"/>
      <c r="J21" s="152"/>
      <c r="K21" s="153"/>
      <c r="L21" s="148"/>
      <c r="M21" s="149"/>
    </row>
    <row r="22" spans="1:13" x14ac:dyDescent="0.45">
      <c r="A22" s="142"/>
      <c r="B22" s="149"/>
      <c r="C22" s="148"/>
      <c r="D22" s="149"/>
      <c r="E22" s="149"/>
      <c r="F22" s="155"/>
      <c r="G22" s="244"/>
      <c r="H22" s="245"/>
      <c r="I22" s="156"/>
      <c r="J22" s="152"/>
      <c r="K22" s="153"/>
      <c r="L22" s="148"/>
      <c r="M22" s="149"/>
    </row>
    <row r="23" spans="1:13" x14ac:dyDescent="0.45">
      <c r="A23" s="142"/>
      <c r="B23" s="149"/>
      <c r="C23" s="148"/>
      <c r="D23" s="149"/>
      <c r="E23" s="149"/>
      <c r="F23" s="155"/>
      <c r="G23" s="244"/>
      <c r="H23" s="245"/>
      <c r="I23" s="156"/>
      <c r="J23" s="152"/>
      <c r="K23" s="153"/>
      <c r="L23" s="148"/>
      <c r="M23" s="149"/>
    </row>
    <row r="24" spans="1:13" x14ac:dyDescent="0.45">
      <c r="A24" s="142"/>
      <c r="B24" s="149"/>
      <c r="C24" s="148"/>
      <c r="D24" s="149"/>
      <c r="E24" s="149"/>
      <c r="F24" s="155"/>
      <c r="G24" s="244"/>
      <c r="H24" s="245"/>
      <c r="I24" s="156"/>
      <c r="J24" s="152"/>
      <c r="K24" s="153"/>
      <c r="L24" s="148"/>
      <c r="M24" s="149"/>
    </row>
    <row r="25" spans="1:13" x14ac:dyDescent="0.45">
      <c r="A25" s="142"/>
      <c r="B25" s="149"/>
      <c r="C25" s="148"/>
      <c r="D25" s="149"/>
      <c r="E25" s="149"/>
      <c r="F25" s="155"/>
      <c r="G25" s="244"/>
      <c r="H25" s="245"/>
      <c r="I25" s="156"/>
      <c r="J25" s="152"/>
      <c r="K25" s="153"/>
      <c r="L25" s="148"/>
      <c r="M25" s="149"/>
    </row>
    <row r="26" spans="1:13" x14ac:dyDescent="0.45">
      <c r="B26" s="149"/>
      <c r="C26" s="148"/>
      <c r="D26" s="149"/>
      <c r="E26" s="149"/>
      <c r="F26" s="155"/>
      <c r="G26" s="244"/>
      <c r="H26" s="245"/>
      <c r="I26" s="156"/>
      <c r="J26" s="152"/>
      <c r="K26" s="153"/>
      <c r="L26" s="148"/>
      <c r="M26" s="149"/>
    </row>
    <row r="27" spans="1:13" x14ac:dyDescent="0.45">
      <c r="B27" s="149"/>
      <c r="C27" s="148"/>
      <c r="D27" s="149"/>
      <c r="E27" s="149"/>
      <c r="F27" s="155"/>
      <c r="G27" s="244"/>
      <c r="H27" s="245"/>
      <c r="I27" s="156"/>
      <c r="J27" s="152"/>
      <c r="K27" s="153"/>
      <c r="L27" s="148"/>
      <c r="M27" s="149"/>
    </row>
    <row r="28" spans="1:13" x14ac:dyDescent="0.45">
      <c r="B28" s="149"/>
      <c r="C28" s="148"/>
      <c r="D28" s="149"/>
      <c r="E28" s="149"/>
      <c r="F28" s="155"/>
      <c r="G28" s="244"/>
      <c r="H28" s="245"/>
      <c r="I28" s="156"/>
      <c r="J28" s="152"/>
      <c r="K28" s="153"/>
      <c r="L28" s="148"/>
      <c r="M28" s="149"/>
    </row>
    <row r="29" spans="1:13" x14ac:dyDescent="0.45">
      <c r="B29" s="149"/>
      <c r="C29" s="148"/>
      <c r="D29" s="149"/>
      <c r="E29" s="149"/>
      <c r="F29" s="155"/>
      <c r="G29" s="244"/>
      <c r="H29" s="245"/>
      <c r="I29" s="156"/>
      <c r="J29" s="152"/>
      <c r="K29" s="153"/>
      <c r="L29" s="148"/>
      <c r="M29" s="149"/>
    </row>
    <row r="30" spans="1:13" x14ac:dyDescent="0.45">
      <c r="B30" s="149"/>
      <c r="C30" s="148"/>
      <c r="D30" s="149"/>
      <c r="E30" s="149"/>
      <c r="F30" s="155"/>
      <c r="G30" s="244"/>
      <c r="H30" s="245"/>
      <c r="I30" s="156"/>
      <c r="J30" s="152"/>
      <c r="K30" s="153"/>
      <c r="L30" s="148"/>
      <c r="M30" s="149"/>
    </row>
    <row r="31" spans="1:13" x14ac:dyDescent="0.45">
      <c r="B31" s="149"/>
      <c r="C31" s="148"/>
      <c r="D31" s="149"/>
      <c r="E31" s="149"/>
      <c r="F31" s="155"/>
      <c r="G31" s="244"/>
      <c r="H31" s="245"/>
      <c r="I31" s="156"/>
      <c r="J31" s="152"/>
      <c r="K31" s="153"/>
      <c r="L31" s="148"/>
      <c r="M31" s="149"/>
    </row>
    <row r="32" spans="1:13" x14ac:dyDescent="0.45">
      <c r="B32" s="149"/>
      <c r="C32" s="148"/>
      <c r="D32" s="149"/>
      <c r="E32" s="149"/>
      <c r="F32" s="155"/>
      <c r="G32" s="244"/>
      <c r="H32" s="245"/>
      <c r="I32" s="156"/>
      <c r="J32" s="152"/>
      <c r="K32" s="153"/>
      <c r="L32" s="148"/>
      <c r="M32" s="149"/>
    </row>
    <row r="33" spans="2:13" x14ac:dyDescent="0.45">
      <c r="B33" s="149"/>
      <c r="C33" s="148"/>
      <c r="D33" s="149"/>
      <c r="E33" s="149"/>
      <c r="F33" s="155"/>
      <c r="G33" s="244"/>
      <c r="H33" s="245"/>
      <c r="I33" s="156"/>
      <c r="J33" s="152"/>
      <c r="K33" s="153"/>
      <c r="L33" s="148"/>
      <c r="M33" s="149"/>
    </row>
    <row r="34" spans="2:13" x14ac:dyDescent="0.45">
      <c r="B34" s="149"/>
      <c r="C34" s="148"/>
      <c r="D34" s="149"/>
      <c r="E34" s="149"/>
      <c r="F34" s="155"/>
      <c r="G34" s="244"/>
      <c r="H34" s="245"/>
      <c r="I34" s="156"/>
      <c r="J34" s="152"/>
      <c r="K34" s="153"/>
      <c r="L34" s="148"/>
      <c r="M34" s="149"/>
    </row>
    <row r="35" spans="2:13" x14ac:dyDescent="0.45">
      <c r="B35" s="149"/>
      <c r="C35" s="148"/>
      <c r="D35" s="149"/>
      <c r="E35" s="149"/>
      <c r="F35" s="155"/>
      <c r="G35" s="244"/>
      <c r="H35" s="245"/>
      <c r="I35" s="156"/>
      <c r="J35" s="152"/>
      <c r="K35" s="153"/>
      <c r="L35" s="148"/>
      <c r="M35" s="149"/>
    </row>
    <row r="36" spans="2:13" x14ac:dyDescent="0.45">
      <c r="B36" s="149"/>
      <c r="C36" s="148"/>
      <c r="D36" s="149"/>
      <c r="E36" s="149"/>
      <c r="F36" s="155"/>
      <c r="G36" s="244"/>
      <c r="H36" s="245"/>
      <c r="I36" s="156"/>
      <c r="J36" s="152"/>
      <c r="K36" s="153"/>
      <c r="L36" s="148"/>
      <c r="M36" s="149"/>
    </row>
    <row r="37" spans="2:13" x14ac:dyDescent="0.45">
      <c r="B37" s="149"/>
      <c r="C37" s="148"/>
      <c r="D37" s="149"/>
      <c r="E37" s="149"/>
      <c r="F37" s="155"/>
      <c r="G37" s="244"/>
      <c r="H37" s="245"/>
      <c r="I37" s="156"/>
      <c r="J37" s="152"/>
      <c r="K37" s="153"/>
      <c r="L37" s="148"/>
      <c r="M37" s="149"/>
    </row>
    <row r="38" spans="2:13" x14ac:dyDescent="0.45">
      <c r="B38" s="149"/>
      <c r="C38" s="148"/>
      <c r="D38" s="149"/>
      <c r="E38" s="149"/>
      <c r="F38" s="155"/>
      <c r="G38" s="244"/>
      <c r="H38" s="245"/>
      <c r="I38" s="156"/>
      <c r="J38" s="152"/>
      <c r="K38" s="153"/>
      <c r="L38" s="148"/>
      <c r="M38" s="149"/>
    </row>
    <row r="39" spans="2:13" x14ac:dyDescent="0.45">
      <c r="B39" s="149"/>
      <c r="C39" s="148"/>
      <c r="D39" s="149"/>
      <c r="E39" s="149"/>
      <c r="F39" s="155"/>
      <c r="G39" s="244"/>
      <c r="H39" s="245"/>
      <c r="I39" s="156"/>
      <c r="J39" s="152"/>
      <c r="K39" s="153"/>
      <c r="L39" s="148"/>
      <c r="M39" s="149"/>
    </row>
    <row r="40" spans="2:13" x14ac:dyDescent="0.45">
      <c r="B40" s="149"/>
      <c r="C40" s="148"/>
      <c r="D40" s="149"/>
      <c r="E40" s="149"/>
      <c r="F40" s="155"/>
      <c r="G40" s="244"/>
      <c r="H40" s="245"/>
      <c r="I40" s="156"/>
      <c r="J40" s="152"/>
      <c r="K40" s="153"/>
      <c r="L40" s="148"/>
      <c r="M40" s="149"/>
    </row>
    <row r="41" spans="2:13" x14ac:dyDescent="0.45">
      <c r="B41" s="149"/>
      <c r="C41" s="148"/>
      <c r="D41" s="149"/>
      <c r="E41" s="149"/>
      <c r="F41" s="155"/>
      <c r="G41" s="244"/>
      <c r="H41" s="245"/>
      <c r="I41" s="156"/>
      <c r="J41" s="152"/>
      <c r="K41" s="153"/>
      <c r="L41" s="148"/>
      <c r="M41" s="149"/>
    </row>
    <row r="42" spans="2:13" x14ac:dyDescent="0.45">
      <c r="B42" s="149"/>
      <c r="C42" s="148"/>
      <c r="D42" s="149"/>
      <c r="E42" s="149"/>
      <c r="F42" s="155"/>
      <c r="G42" s="244"/>
      <c r="H42" s="245"/>
      <c r="I42" s="156"/>
      <c r="J42" s="152"/>
      <c r="K42" s="153"/>
      <c r="L42" s="148"/>
      <c r="M42" s="149"/>
    </row>
    <row r="43" spans="2:13" x14ac:dyDescent="0.45">
      <c r="B43" s="149"/>
      <c r="C43" s="148"/>
      <c r="D43" s="149"/>
      <c r="E43" s="149"/>
      <c r="F43" s="155"/>
      <c r="G43" s="244"/>
      <c r="H43" s="245"/>
      <c r="I43" s="156"/>
      <c r="J43" s="152"/>
      <c r="K43" s="153"/>
      <c r="L43" s="148"/>
      <c r="M43" s="149"/>
    </row>
    <row r="44" spans="2:13" x14ac:dyDescent="0.45">
      <c r="B44" s="149"/>
      <c r="C44" s="148"/>
      <c r="D44" s="149"/>
      <c r="E44" s="149"/>
      <c r="F44" s="155"/>
      <c r="G44" s="244"/>
      <c r="H44" s="245"/>
      <c r="I44" s="156"/>
      <c r="J44" s="152"/>
      <c r="K44" s="153"/>
      <c r="L44" s="148"/>
      <c r="M44" s="149"/>
    </row>
    <row r="45" spans="2:13" x14ac:dyDescent="0.45">
      <c r="B45" s="149"/>
      <c r="C45" s="148"/>
      <c r="D45" s="149"/>
      <c r="E45" s="149"/>
      <c r="F45" s="155"/>
      <c r="G45" s="244"/>
      <c r="H45" s="245"/>
      <c r="I45" s="156"/>
      <c r="J45" s="152"/>
      <c r="K45" s="153"/>
      <c r="L45" s="148"/>
      <c r="M45" s="149"/>
    </row>
    <row r="46" spans="2:13" x14ac:dyDescent="0.45">
      <c r="B46" s="149"/>
      <c r="C46" s="148"/>
      <c r="D46" s="149"/>
      <c r="E46" s="149"/>
      <c r="F46" s="155"/>
      <c r="G46" s="244"/>
      <c r="H46" s="245"/>
      <c r="I46" s="156"/>
      <c r="J46" s="152"/>
      <c r="K46" s="153"/>
      <c r="L46" s="148"/>
      <c r="M46" s="149"/>
    </row>
    <row r="47" spans="2:13" x14ac:dyDescent="0.45">
      <c r="B47" s="149"/>
      <c r="C47" s="148"/>
      <c r="D47" s="149"/>
      <c r="E47" s="149"/>
      <c r="F47" s="155"/>
      <c r="G47" s="244"/>
      <c r="H47" s="245"/>
      <c r="I47" s="156"/>
      <c r="J47" s="152"/>
      <c r="K47" s="153"/>
      <c r="L47" s="148"/>
      <c r="M47" s="149"/>
    </row>
    <row r="48" spans="2:13" x14ac:dyDescent="0.45">
      <c r="B48" s="149"/>
      <c r="C48" s="148"/>
      <c r="D48" s="149"/>
      <c r="E48" s="149"/>
      <c r="F48" s="155"/>
      <c r="G48" s="244"/>
      <c r="H48" s="245"/>
      <c r="I48" s="156"/>
      <c r="J48" s="152"/>
      <c r="K48" s="153"/>
      <c r="L48" s="148"/>
      <c r="M48" s="149"/>
    </row>
    <row r="49" spans="2:13" x14ac:dyDescent="0.45">
      <c r="B49" s="149"/>
      <c r="C49" s="148"/>
      <c r="D49" s="149"/>
      <c r="E49" s="149"/>
      <c r="F49" s="155"/>
      <c r="G49" s="244"/>
      <c r="H49" s="245"/>
      <c r="I49" s="156"/>
      <c r="J49" s="152"/>
      <c r="K49" s="153"/>
      <c r="L49" s="148"/>
      <c r="M49" s="149"/>
    </row>
    <row r="50" spans="2:13" x14ac:dyDescent="0.45">
      <c r="B50" s="149"/>
      <c r="C50" s="148"/>
      <c r="D50" s="149"/>
      <c r="E50" s="149"/>
      <c r="F50" s="155"/>
      <c r="G50" s="244"/>
      <c r="H50" s="245"/>
      <c r="I50" s="156"/>
      <c r="J50" s="152"/>
      <c r="K50" s="153"/>
      <c r="L50" s="148"/>
      <c r="M50" s="149"/>
    </row>
    <row r="51" spans="2:13" x14ac:dyDescent="0.45">
      <c r="B51" s="149"/>
      <c r="C51" s="148"/>
      <c r="D51" s="149"/>
      <c r="E51" s="149"/>
      <c r="F51" s="155"/>
      <c r="G51" s="244"/>
      <c r="H51" s="245"/>
      <c r="I51" s="156"/>
      <c r="J51" s="152"/>
      <c r="K51" s="153"/>
      <c r="L51" s="148"/>
      <c r="M51" s="149"/>
    </row>
    <row r="52" spans="2:13" x14ac:dyDescent="0.45">
      <c r="B52" s="149"/>
      <c r="C52" s="148"/>
      <c r="D52" s="149"/>
      <c r="E52" s="149"/>
      <c r="F52" s="155"/>
      <c r="G52" s="244"/>
      <c r="H52" s="245"/>
      <c r="I52" s="156"/>
      <c r="J52" s="152"/>
      <c r="K52" s="153"/>
      <c r="L52" s="148"/>
      <c r="M52" s="149"/>
    </row>
    <row r="53" spans="2:13" x14ac:dyDescent="0.45">
      <c r="B53" s="149"/>
      <c r="C53" s="148"/>
      <c r="D53" s="149"/>
      <c r="E53" s="149"/>
      <c r="F53" s="155"/>
      <c r="G53" s="244"/>
      <c r="H53" s="245"/>
      <c r="I53" s="156"/>
      <c r="J53" s="152"/>
      <c r="K53" s="153"/>
      <c r="L53" s="148"/>
      <c r="M53" s="149"/>
    </row>
    <row r="54" spans="2:13" x14ac:dyDescent="0.45">
      <c r="B54" s="149"/>
      <c r="C54" s="148"/>
      <c r="D54" s="149"/>
      <c r="E54" s="149"/>
      <c r="F54" s="155"/>
      <c r="G54" s="244"/>
      <c r="H54" s="245"/>
      <c r="I54" s="156"/>
      <c r="J54" s="152"/>
      <c r="K54" s="153"/>
      <c r="L54" s="148"/>
      <c r="M54" s="149"/>
    </row>
    <row r="55" spans="2:13" x14ac:dyDescent="0.45">
      <c r="B55" s="149"/>
      <c r="C55" s="148"/>
      <c r="D55" s="149"/>
      <c r="E55" s="149"/>
      <c r="F55" s="155"/>
      <c r="G55" s="244"/>
      <c r="H55" s="245"/>
      <c r="I55" s="156"/>
      <c r="J55" s="152"/>
      <c r="K55" s="153"/>
      <c r="L55" s="148"/>
      <c r="M55" s="149"/>
    </row>
    <row r="56" spans="2:13" x14ac:dyDescent="0.45">
      <c r="B56" s="149"/>
      <c r="C56" s="148"/>
      <c r="D56" s="149"/>
      <c r="E56" s="149"/>
      <c r="F56" s="155"/>
      <c r="G56" s="244"/>
      <c r="H56" s="245"/>
      <c r="I56" s="156"/>
      <c r="J56" s="152"/>
      <c r="K56" s="153"/>
      <c r="L56" s="148"/>
      <c r="M56" s="149"/>
    </row>
    <row r="57" spans="2:13" x14ac:dyDescent="0.45">
      <c r="B57" s="149"/>
      <c r="C57" s="148"/>
      <c r="D57" s="149"/>
      <c r="E57" s="149"/>
      <c r="F57" s="155"/>
      <c r="G57" s="244"/>
      <c r="H57" s="245"/>
      <c r="I57" s="156"/>
      <c r="J57" s="152"/>
      <c r="K57" s="153"/>
      <c r="L57" s="148"/>
      <c r="M57" s="149"/>
    </row>
    <row r="58" spans="2:13" x14ac:dyDescent="0.45">
      <c r="B58" s="149"/>
      <c r="C58" s="148"/>
      <c r="D58" s="149"/>
      <c r="E58" s="149"/>
      <c r="F58" s="155"/>
      <c r="G58" s="244"/>
      <c r="H58" s="245"/>
      <c r="I58" s="156"/>
      <c r="J58" s="152"/>
      <c r="K58" s="153"/>
      <c r="L58" s="148"/>
      <c r="M58" s="149"/>
    </row>
    <row r="59" spans="2:13" x14ac:dyDescent="0.45">
      <c r="B59" s="157"/>
      <c r="C59" s="158"/>
      <c r="D59" s="157"/>
      <c r="E59" s="157"/>
      <c r="F59" s="159"/>
      <c r="G59" s="242"/>
      <c r="H59" s="243"/>
      <c r="I59" s="160"/>
      <c r="J59" s="161"/>
      <c r="K59" s="162"/>
      <c r="L59" s="158"/>
      <c r="M59" s="157"/>
    </row>
    <row r="60" spans="2:13" x14ac:dyDescent="0.45">
      <c r="J60" s="163"/>
      <c r="K60" s="163"/>
      <c r="M60" s="129"/>
    </row>
    <row r="68" spans="1:13" s="164" customFormat="1" ht="10.8" x14ac:dyDescent="0.15">
      <c r="A68" s="129"/>
      <c r="B68" s="129"/>
      <c r="C68" s="129"/>
      <c r="D68" s="129"/>
      <c r="E68" s="129"/>
      <c r="F68" s="129"/>
      <c r="G68" s="129"/>
      <c r="H68" s="129"/>
      <c r="I68" s="129"/>
      <c r="J68" s="142"/>
      <c r="L68" s="129"/>
      <c r="M68" s="165"/>
    </row>
    <row r="69" spans="1:13" s="164" customFormat="1" ht="10.8" x14ac:dyDescent="0.15">
      <c r="A69" s="129"/>
      <c r="B69" s="129"/>
      <c r="C69" s="129"/>
      <c r="D69" s="129"/>
      <c r="E69" s="129"/>
      <c r="F69" s="129"/>
      <c r="G69" s="129"/>
      <c r="H69" s="129"/>
      <c r="I69" s="129"/>
      <c r="J69" s="166"/>
      <c r="L69" s="129"/>
      <c r="M69" s="165"/>
    </row>
    <row r="73" spans="1:13" s="164" customFormat="1" ht="12" x14ac:dyDescent="0.15">
      <c r="A73" s="129"/>
      <c r="B73" s="129"/>
      <c r="C73" s="167"/>
      <c r="D73" s="167"/>
      <c r="E73" s="167"/>
      <c r="F73" s="167"/>
      <c r="G73" s="167"/>
      <c r="H73" s="167"/>
      <c r="I73" s="129"/>
      <c r="J73" s="168"/>
      <c r="L73" s="129"/>
      <c r="M73" s="165"/>
    </row>
  </sheetData>
  <mergeCells count="55">
    <mergeCell ref="G16:H16"/>
    <mergeCell ref="J1:M1"/>
    <mergeCell ref="D3:G5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28:H28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40:H40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52:H52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9:H59"/>
    <mergeCell ref="G53:H53"/>
    <mergeCell ref="G54:H54"/>
    <mergeCell ref="G55:H55"/>
    <mergeCell ref="G56:H56"/>
    <mergeCell ref="G57:H57"/>
    <mergeCell ref="G58:H58"/>
  </mergeCells>
  <phoneticPr fontId="2"/>
  <pageMargins left="0" right="0" top="0.74803149606299213" bottom="0" header="0.31496062992125984" footer="0.31496062992125984"/>
  <pageSetup paperSize="9" scale="9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別紙_テンプレート!CoreCells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別紙_テンプレート!月度</vt:lpstr>
      <vt:lpstr>請求年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2024-10-16T05:51:24Z</cp:lastPrinted>
  <dcterms:created xsi:type="dcterms:W3CDTF">2021-04-12T04:47:05Z</dcterms:created>
  <dcterms:modified xsi:type="dcterms:W3CDTF">2025-05-24T05:33:51Z</dcterms:modified>
</cp:coreProperties>
</file>