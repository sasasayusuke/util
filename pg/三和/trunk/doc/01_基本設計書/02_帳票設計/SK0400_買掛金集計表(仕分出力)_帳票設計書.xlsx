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3040" windowHeight="861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8" r:id="rId5"/>
    <sheet name="処理詳細_書き方" sheetId="19" state="hidden" r:id="rId6"/>
    <sheet name="確認事項" sheetId="15" r:id="rId7"/>
    <sheet name="参照" sheetId="12" state="hidden" r:id="rId8"/>
  </sheets>
  <definedNames>
    <definedName name="_xlnm.Print_Area" localSheetId="1">概要!$A$1:$BN$31</definedName>
    <definedName name="_xlnm.Print_Area" localSheetId="3">項目一覧!$A$1:$BX$61</definedName>
    <definedName name="_xlnm.Print_Area" localSheetId="4">処理詳細!$A$1:$BR$277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J3" i="18"/>
  <c r="BF3" i="18"/>
  <c r="BB3" i="18"/>
  <c r="AX3" i="18"/>
  <c r="L3" i="18"/>
  <c r="B3" i="18"/>
  <c r="BJ3" i="14" l="1"/>
  <c r="BF3" i="14"/>
  <c r="BB3" i="14"/>
  <c r="AX3" i="14"/>
  <c r="L3" i="14"/>
  <c r="B3" i="14"/>
  <c r="X3" i="1" l="1"/>
  <c r="X3" i="18" l="1"/>
  <c r="X3" i="19"/>
  <c r="X3" i="14"/>
  <c r="H3" i="1"/>
  <c r="R3" i="1"/>
  <c r="AK3" i="1"/>
  <c r="AK3" i="18" l="1"/>
  <c r="AK3" i="19"/>
  <c r="R3" i="18"/>
  <c r="R3" i="19"/>
  <c r="H3" i="18"/>
  <c r="H3" i="19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<sst xmlns="http://schemas.openxmlformats.org/spreadsheetml/2006/main" count="793" uniqueCount="293">
  <si>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</si>
  <si>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</si>
  <si>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</si>
  <si>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</si>
  <si>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</si>
  <si>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</si>
  <si>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</si>
  <si>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</si>
  <si>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</si>
  <si>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</si>
  <si>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</si>
  <si>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</si>
  <si>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</si>
  <si>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</si>
  <si>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</si>
  <si>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</si>
  <si>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</si>
  <si>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</si>
  <si>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</si>
  <si>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</si>
  <si>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</si>
  <si>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</si>
  <si>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</si>
  <si>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</si>
  <si>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</si>
  <si>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</si>
  <si>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</si>
  <si>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</si>
  <si>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</si>
  <si>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</si>
  <si>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</si>
  <si>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</si>
  <si>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</si>
  <si>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</si>
  <si>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</si>
  <si>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</si>
  <si>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</si>
  <si>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</si>
  <si>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</si>
  <si>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</si>
  <si>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</si>
  <si>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</si>
  <si>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</si>
  <si>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</si>
  <si>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</si>
  <si>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</si>
  <si>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</si>
  <si>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</si>
  <si>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</si>
  <si>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</si>
  <si>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</si>
  <si>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</si>
  <si>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</si>
  <si>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</si>
  <si>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</si>
  <si>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</si>
  <si>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</si>
  <si>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</si>
  <si>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</si>
  <si>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</si>
  <si>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</si>
  <si>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</si>
  <si>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</si>
  <si>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</si>
  <si>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</si>
  <si>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</si>
  <si>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</si>
  <si>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</si>
  <si>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</si>
  <si>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</si>
  <si>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</si>
  <si>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</si>
  <si>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</si>
  <si>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</si>
  <si>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</si>
  <si>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</si>
  <si>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</si>
  <si>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</si>
  <si>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</si>
  <si>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</si>
  <si>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</si>
  <si>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</si>
  <si>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</si>
  <si>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</si>
  <si>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</si>
  <si>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</si>
  <si>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</si>
  <si>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SQL1</t>
    <phoneticPr fontId="2"/>
  </si>
  <si>
    <t>-</t>
  </si>
  <si>
    <t>CSV</t>
    <phoneticPr fontId="2"/>
  </si>
  <si>
    <t>csv</t>
    <phoneticPr fontId="2"/>
  </si>
  <si>
    <t>年</t>
    <rPh sb="0" eb="1">
      <t>ネン</t>
    </rPh>
    <phoneticPr fontId="1"/>
  </si>
  <si>
    <t>月</t>
    <rPh sb="0" eb="1">
      <t>ツキ</t>
    </rPh>
    <phoneticPr fontId="1"/>
  </si>
  <si>
    <t>日</t>
    <rPh sb="0" eb="1">
      <t>ヒ</t>
    </rPh>
    <phoneticPr fontId="1"/>
  </si>
  <si>
    <t>伝票番号</t>
    <rPh sb="0" eb="4">
      <t>デンピョウバンゴウ</t>
    </rPh>
    <phoneticPr fontId="1"/>
  </si>
  <si>
    <t>借方金額</t>
    <rPh sb="0" eb="1">
      <t>カ</t>
    </rPh>
    <rPh sb="1" eb="2">
      <t>カタ</t>
    </rPh>
    <rPh sb="2" eb="4">
      <t>キンガク</t>
    </rPh>
    <phoneticPr fontId="1"/>
  </si>
  <si>
    <t>借方勘定科目CD</t>
    <rPh sb="0" eb="2">
      <t>カリカタ</t>
    </rPh>
    <rPh sb="2" eb="4">
      <t>カンジョウ</t>
    </rPh>
    <rPh sb="4" eb="6">
      <t>カモク</t>
    </rPh>
    <phoneticPr fontId="1"/>
  </si>
  <si>
    <t>借方勘定科目名</t>
    <rPh sb="0" eb="2">
      <t>カリカタ</t>
    </rPh>
    <rPh sb="2" eb="4">
      <t>カンジョウ</t>
    </rPh>
    <rPh sb="4" eb="6">
      <t>カモク</t>
    </rPh>
    <rPh sb="6" eb="7">
      <t>メイ</t>
    </rPh>
    <phoneticPr fontId="1"/>
  </si>
  <si>
    <t>借方消費税CD</t>
    <rPh sb="0" eb="5">
      <t>カリカタショウヒゼイ</t>
    </rPh>
    <phoneticPr fontId="1"/>
  </si>
  <si>
    <t>借方消費税率</t>
    <rPh sb="0" eb="5">
      <t>カリカタショウヒゼイ</t>
    </rPh>
    <rPh sb="5" eb="6">
      <t>リツ</t>
    </rPh>
    <phoneticPr fontId="1"/>
  </si>
  <si>
    <t>借方業種</t>
    <rPh sb="0" eb="4">
      <t>カリカタギョウシュ</t>
    </rPh>
    <phoneticPr fontId="1"/>
  </si>
  <si>
    <t>借方補助科目CD</t>
    <rPh sb="0" eb="2">
      <t>カリカタ</t>
    </rPh>
    <rPh sb="2" eb="6">
      <t>ホジョカモク</t>
    </rPh>
    <phoneticPr fontId="1"/>
  </si>
  <si>
    <t>借方補助科目名</t>
    <rPh sb="0" eb="2">
      <t>カリカタ</t>
    </rPh>
    <rPh sb="2" eb="6">
      <t>ホジョカモク</t>
    </rPh>
    <rPh sb="6" eb="7">
      <t>メイ</t>
    </rPh>
    <phoneticPr fontId="1"/>
  </si>
  <si>
    <t>借方部門CD</t>
    <rPh sb="0" eb="4">
      <t>カリカタブモン</t>
    </rPh>
    <phoneticPr fontId="1"/>
  </si>
  <si>
    <t>借方部門名</t>
    <rPh sb="0" eb="2">
      <t>カリカタ</t>
    </rPh>
    <rPh sb="2" eb="4">
      <t>ブモン</t>
    </rPh>
    <rPh sb="4" eb="5">
      <t>メイ</t>
    </rPh>
    <phoneticPr fontId="1"/>
  </si>
  <si>
    <t>貸方勘定科目CD</t>
    <rPh sb="0" eb="2">
      <t>カシカタ</t>
    </rPh>
    <rPh sb="2" eb="6">
      <t>カンジョウカモク</t>
    </rPh>
    <phoneticPr fontId="1"/>
  </si>
  <si>
    <t>貸方勘定科目名</t>
  </si>
  <si>
    <t>貸方勘定科目名</t>
    <rPh sb="0" eb="7">
      <t>カシカタカンジョウカモクメイ</t>
    </rPh>
    <phoneticPr fontId="1"/>
  </si>
  <si>
    <t>貸方消費税CD</t>
    <rPh sb="0" eb="5">
      <t>カシカタショウヒゼイ</t>
    </rPh>
    <phoneticPr fontId="1"/>
  </si>
  <si>
    <t>貸方消費税率</t>
    <rPh sb="0" eb="6">
      <t>カシカタショウヒゼイリツ</t>
    </rPh>
    <phoneticPr fontId="1"/>
  </si>
  <si>
    <t>貸方業種</t>
    <phoneticPr fontId="1"/>
  </si>
  <si>
    <t>貸方補助科目CD</t>
    <phoneticPr fontId="1"/>
  </si>
  <si>
    <t>貸方補助科目名</t>
    <phoneticPr fontId="1"/>
  </si>
  <si>
    <t>貸方部門CD</t>
    <phoneticPr fontId="1"/>
  </si>
  <si>
    <t>貸方部門名</t>
    <phoneticPr fontId="1"/>
  </si>
  <si>
    <t>貸方金額</t>
    <phoneticPr fontId="1"/>
  </si>
  <si>
    <t>摘要</t>
    <phoneticPr fontId="1"/>
  </si>
  <si>
    <t>期日_年</t>
    <phoneticPr fontId="1"/>
  </si>
  <si>
    <t>期日_月</t>
    <phoneticPr fontId="1"/>
  </si>
  <si>
    <t>期日_日</t>
    <phoneticPr fontId="1"/>
  </si>
  <si>
    <t>手形番号</t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</si>
  <si>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</si>
  <si>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</si>
  <si>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yyyy</t>
    <phoneticPr fontId="1"/>
  </si>
  <si>
    <t>mm</t>
    <phoneticPr fontId="1"/>
  </si>
  <si>
    <t>dd</t>
    <phoneticPr fontId="1"/>
  </si>
  <si>
    <t>insert</t>
    <phoneticPr fontId="2"/>
  </si>
  <si>
    <t>区分</t>
    <rPh sb="0" eb="2">
      <t>クブン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</si>
  <si>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</si>
  <si>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</si>
  <si>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ヒ</t>
    </rPh>
    <phoneticPr fontId="2"/>
  </si>
  <si>
    <t>伝票番号</t>
    <rPh sb="0" eb="4">
      <t>デンピョウバンゴウ</t>
    </rPh>
    <phoneticPr fontId="2"/>
  </si>
  <si>
    <t>借方金額</t>
    <rPh sb="0" eb="4">
      <t>カリカタキンガク</t>
    </rPh>
    <phoneticPr fontId="2"/>
  </si>
  <si>
    <t>借方勘定科目名CD</t>
    <rPh sb="0" eb="6">
      <t>カリカタカンジョウカモク</t>
    </rPh>
    <rPh sb="6" eb="7">
      <t>メイ</t>
    </rPh>
    <phoneticPr fontId="2"/>
  </si>
  <si>
    <t>借方勘定科目名</t>
    <phoneticPr fontId="2"/>
  </si>
  <si>
    <t>借方消費税CD</t>
    <phoneticPr fontId="2"/>
  </si>
  <si>
    <t>借方消費税率</t>
    <phoneticPr fontId="2"/>
  </si>
  <si>
    <t>借方業種</t>
    <phoneticPr fontId="2"/>
  </si>
  <si>
    <t>借方補助科目CD</t>
    <phoneticPr fontId="2"/>
  </si>
  <si>
    <t>借方補助科目名</t>
    <phoneticPr fontId="2"/>
  </si>
  <si>
    <t>借方部門CD</t>
    <phoneticPr fontId="2"/>
  </si>
  <si>
    <t>借方部門名</t>
    <phoneticPr fontId="2"/>
  </si>
  <si>
    <t>貸方勘定科目CD</t>
    <phoneticPr fontId="2"/>
  </si>
  <si>
    <t>貸方消費税CD</t>
    <phoneticPr fontId="2"/>
  </si>
  <si>
    <t>貸方消費税率</t>
    <phoneticPr fontId="2"/>
  </si>
  <si>
    <t>貸方業種</t>
    <phoneticPr fontId="2"/>
  </si>
  <si>
    <t>貸方補助科目CD</t>
    <phoneticPr fontId="2"/>
  </si>
  <si>
    <t>貸方補助科目名</t>
    <phoneticPr fontId="2"/>
  </si>
  <si>
    <t>貸方部門CD</t>
    <phoneticPr fontId="2"/>
  </si>
  <si>
    <t>貸方部門名</t>
    <phoneticPr fontId="2"/>
  </si>
  <si>
    <t>貸方金額</t>
    <phoneticPr fontId="2"/>
  </si>
  <si>
    <t>摘要</t>
    <phoneticPr fontId="2"/>
  </si>
  <si>
    <t>期日_年</t>
    <phoneticPr fontId="2"/>
  </si>
  <si>
    <t>期日_月</t>
    <phoneticPr fontId="2"/>
  </si>
  <si>
    <t>期日_日</t>
    <phoneticPr fontId="2"/>
  </si>
  <si>
    <t>手形番号</t>
    <phoneticPr fontId="2"/>
  </si>
  <si>
    <t>YEAR(画面.仕訳日付)</t>
    <rPh sb="5" eb="7">
      <t>ガメン</t>
    </rPh>
    <phoneticPr fontId="2"/>
  </si>
  <si>
    <t>MONTH(画面.仕訳日付)</t>
    <rPh sb="6" eb="8">
      <t>ガメン</t>
    </rPh>
    <phoneticPr fontId="2"/>
  </si>
  <si>
    <t>DAY(画面.仕訳日付)</t>
    <rPh sb="4" eb="6">
      <t>ガメン</t>
    </rPh>
    <phoneticPr fontId="2"/>
  </si>
  <si>
    <t>NULL</t>
  </si>
  <si>
    <t>NULL</t>
    <phoneticPr fontId="2"/>
  </si>
  <si>
    <t>from</t>
    <phoneticPr fontId="2"/>
  </si>
  <si>
    <t>FROM  TM売掛金額 AS SK</t>
    <phoneticPr fontId="2"/>
  </si>
  <si>
    <t>join</t>
    <phoneticPr fontId="2"/>
  </si>
  <si>
    <t>LEFT JOIN TM得意先 AS TK</t>
    <phoneticPr fontId="2"/>
  </si>
  <si>
    <t>ON SK.得意先CD = TK.得意先CD</t>
    <phoneticPr fontId="2"/>
  </si>
  <si>
    <t>where</t>
    <phoneticPr fontId="2"/>
  </si>
  <si>
    <t>order by</t>
    <phoneticPr fontId="2"/>
  </si>
  <si>
    <t>SQL2</t>
    <phoneticPr fontId="2"/>
  </si>
  <si>
    <t>データ抽出（税抜き分）</t>
    <phoneticPr fontId="2"/>
  </si>
  <si>
    <t>SQL3</t>
    <phoneticPr fontId="2"/>
  </si>
  <si>
    <t>AND ISNULL(SK.消費税額,0) &lt;&gt; 0</t>
    <phoneticPr fontId="2"/>
  </si>
  <si>
    <t>AND ISNULL(SK.消費税額,0) &gt; 0</t>
    <phoneticPr fontId="2"/>
  </si>
  <si>
    <t>データ抽出(消費税分)</t>
    <phoneticPr fontId="2"/>
  </si>
  <si>
    <t>データ抽出（税抜き分・通常仕訳）</t>
    <phoneticPr fontId="2"/>
  </si>
  <si>
    <t>逆仕訳</t>
    <phoneticPr fontId="2"/>
  </si>
  <si>
    <t>SQL4</t>
    <phoneticPr fontId="2"/>
  </si>
  <si>
    <t>AND ISNULL(SK.消費税額,0) &lt; 0</t>
    <phoneticPr fontId="2"/>
  </si>
  <si>
    <t>SQL5</t>
    <phoneticPr fontId="2"/>
  </si>
  <si>
    <t>データ抽出（非課税分）</t>
    <phoneticPr fontId="2"/>
  </si>
  <si>
    <t>AND ISNULL(SK.非課税金額,0) &lt;&gt; 0</t>
    <phoneticPr fontId="2"/>
  </si>
  <si>
    <t>AND ISNULL(SK.非課税金額,0) &gt; 0</t>
    <phoneticPr fontId="2"/>
  </si>
  <si>
    <t>SQL6</t>
    <phoneticPr fontId="2"/>
  </si>
  <si>
    <t>AND ISNULL(SK.非課税金額,0) &lt; 0</t>
    <phoneticPr fontId="2"/>
  </si>
  <si>
    <t>SQL7</t>
    <phoneticPr fontId="2"/>
  </si>
  <si>
    <t>select</t>
    <phoneticPr fontId="2"/>
  </si>
  <si>
    <t>データ出力</t>
    <phoneticPr fontId="2"/>
  </si>
  <si>
    <t>SQL7.年</t>
    <rPh sb="5" eb="6">
      <t>ネン</t>
    </rPh>
    <phoneticPr fontId="1"/>
  </si>
  <si>
    <t>SQL7.貸方勘定科目名</t>
    <phoneticPr fontId="1"/>
  </si>
  <si>
    <t>SQL7.貸方消費税CD</t>
    <phoneticPr fontId="1"/>
  </si>
  <si>
    <t>SQL7.貸方消費税率</t>
    <phoneticPr fontId="1"/>
  </si>
  <si>
    <t>SQL7.貸方業種</t>
    <phoneticPr fontId="1"/>
  </si>
  <si>
    <t>SQL7.貸方補助科目CD</t>
    <phoneticPr fontId="1"/>
  </si>
  <si>
    <t>SQL7.貸方補助科目名</t>
    <phoneticPr fontId="1"/>
  </si>
  <si>
    <t>SQL7.貸方部門CD</t>
    <phoneticPr fontId="1"/>
  </si>
  <si>
    <t>SQL7.貸方部門名</t>
    <phoneticPr fontId="1"/>
  </si>
  <si>
    <t>SQL7.貸方金額</t>
    <phoneticPr fontId="1"/>
  </si>
  <si>
    <t>SQL7.摘要</t>
    <phoneticPr fontId="1"/>
  </si>
  <si>
    <t>SQL7.期日_年</t>
    <phoneticPr fontId="1"/>
  </si>
  <si>
    <t>SQL7.期日_月</t>
    <phoneticPr fontId="1"/>
  </si>
  <si>
    <t>SQL7.期日_日</t>
    <phoneticPr fontId="1"/>
  </si>
  <si>
    <t>SQL7.手形番号</t>
    <phoneticPr fontId="1"/>
  </si>
  <si>
    <t>SQL7.月</t>
    <phoneticPr fontId="1"/>
  </si>
  <si>
    <t>SQL7.日</t>
    <phoneticPr fontId="1"/>
  </si>
  <si>
    <t>SQL7.伝票番号</t>
    <rPh sb="5" eb="9">
      <t>デンピョウバンゴウ</t>
    </rPh>
    <phoneticPr fontId="1"/>
  </si>
  <si>
    <t>SQL7.借方金額</t>
    <phoneticPr fontId="1"/>
  </si>
  <si>
    <t>SQL7.借方勘定科目CD</t>
    <phoneticPr fontId="1"/>
  </si>
  <si>
    <t>SQL7.借方勘定科目名</t>
    <phoneticPr fontId="1"/>
  </si>
  <si>
    <t>SQL7.借方消費税CD</t>
    <phoneticPr fontId="1"/>
  </si>
  <si>
    <t>SQL7.借方消費税率</t>
    <phoneticPr fontId="1"/>
  </si>
  <si>
    <t>SQL7.借方業種</t>
    <phoneticPr fontId="1"/>
  </si>
  <si>
    <t>SQL7.借方補助科目CD</t>
    <phoneticPr fontId="1"/>
  </si>
  <si>
    <t>SQL7.借方補助科目名</t>
    <phoneticPr fontId="1"/>
  </si>
  <si>
    <t>SQL7.借方部門CD</t>
    <phoneticPr fontId="1"/>
  </si>
  <si>
    <t>SQL7.借方部門名</t>
    <phoneticPr fontId="1"/>
  </si>
  <si>
    <t>SQL7.貸方勘定科目CD</t>
    <phoneticPr fontId="1"/>
  </si>
  <si>
    <t>ダブルコーテーション</t>
    <phoneticPr fontId="2"/>
  </si>
  <si>
    <t>可変長</t>
    <rPh sb="0" eb="3">
      <t>カヘンチョウ</t>
    </rPh>
    <phoneticPr fontId="2"/>
  </si>
  <si>
    <t>カンマ</t>
    <phoneticPr fontId="2"/>
  </si>
  <si>
    <t>画面.仕分日付時点の税率</t>
    <phoneticPr fontId="2"/>
  </si>
  <si>
    <t>NULL</t>
    <phoneticPr fontId="2"/>
  </si>
  <si>
    <t>CONVERT(VARCHAR(96), SI.仕入先名1)</t>
    <phoneticPr fontId="2"/>
  </si>
  <si>
    <t>LEFT JOIN TM仕入先 AS SI</t>
    <phoneticPr fontId="2"/>
  </si>
  <si>
    <t>ON SK.仕入先CD = SI.仕入先CD</t>
    <phoneticPr fontId="2"/>
  </si>
  <si>
    <t>WHERE  SK.買掛日付  = CONVERT(VARCHAR(10),画面.仕分日付,111)</t>
    <rPh sb="10" eb="12">
      <t>カイカケ</t>
    </rPh>
    <rPh sb="38" eb="40">
      <t>ガメン</t>
    </rPh>
    <rPh sb="41" eb="45">
      <t>シワケヒヅケ</t>
    </rPh>
    <phoneticPr fontId="2"/>
  </si>
  <si>
    <t>AND SK.仕入先CD  &gt;= COALESCE(CONVERT(VARCHAR(4),画面.開始仕入先),SK.仕入先CD)</t>
    <rPh sb="7" eb="9">
      <t>シイレ</t>
    </rPh>
    <rPh sb="45" eb="47">
      <t>ガメン</t>
    </rPh>
    <rPh sb="50" eb="53">
      <t>シイレサキ</t>
    </rPh>
    <rPh sb="58" eb="60">
      <t>シイレ</t>
    </rPh>
    <phoneticPr fontId="2"/>
  </si>
  <si>
    <t>AND SK.仕入先CD  &lt;= COALESCE(CONVERT(VARCHAR(4),画面.終了仕入先),SK.仕入先CD)</t>
    <rPh sb="7" eb="9">
      <t>シイレ</t>
    </rPh>
    <rPh sb="45" eb="47">
      <t>ガメン</t>
    </rPh>
    <rPh sb="50" eb="52">
      <t>シイレ</t>
    </rPh>
    <rPh sb="52" eb="53">
      <t>サキ</t>
    </rPh>
    <rPh sb="58" eb="61">
      <t>シイレサキ</t>
    </rPh>
    <phoneticPr fontId="2"/>
  </si>
  <si>
    <t>AND ISNULL(SK.仕入金額,0)+ISNULL(SK.返品金額,0)+ISNULL(SK.訂正金額,0)-ISNULL(SK.非課税金額,0) &lt;&gt; 0</t>
    <phoneticPr fontId="2"/>
  </si>
  <si>
    <t>AND ISNULL(SK.仕入金額,0)+ISNULL(SK.返品金額,0)+ISNULL(SK.訂正金額,0)-ISNULL(SK.非課税金額,0) &gt; 0</t>
    <phoneticPr fontId="2"/>
  </si>
  <si>
    <t>ORDER BY SK.仕入先CD　の昇順でソート</t>
    <rPh sb="19" eb="21">
      <t>ショウジュン</t>
    </rPh>
    <phoneticPr fontId="2"/>
  </si>
  <si>
    <t>TM仕入先.税集計区分が3の場合71、それ以外の場合31</t>
    <rPh sb="14" eb="16">
      <t>バアイ</t>
    </rPh>
    <rPh sb="21" eb="23">
      <t>イガイ</t>
    </rPh>
    <rPh sb="24" eb="26">
      <t>バアイ</t>
    </rPh>
    <phoneticPr fontId="2"/>
  </si>
  <si>
    <t>CONVERT(VARCHAR(96), TM仕入先.仕入先名1)</t>
  </si>
  <si>
    <t>CONVERT(VARCHAR(96), TM仕入先.仕入先名1)</t>
    <phoneticPr fontId="2"/>
  </si>
  <si>
    <t>CONVERT(INT,TM買掛金額.仕入先CD)</t>
  </si>
  <si>
    <t>CONVERT(INT,TM買掛金額.仕入先CD)</t>
    <rPh sb="14" eb="16">
      <t>カイカケ</t>
    </rPh>
    <rPh sb="19" eb="21">
      <t>シイレ</t>
    </rPh>
    <phoneticPr fontId="2"/>
  </si>
  <si>
    <t>ABS(CONVERT(INT,ISNULL(TM買掛金額.仕入金額,0)+ISNULL(TM買掛金額.返品金額,0)+ISNULL(TM買掛金額.訂正金額,0)-ISNULL(TM買掛金額.非課税金額,0)))</t>
  </si>
  <si>
    <t>ABS(CONVERT(INT,ISNULL(TM買掛金額.仕入金額,0)+ISNULL(TM買掛金額.返品金額,0)+ISNULL(TM買掛金額.訂正金額,0)-ISNULL(TM買掛金額.非課税金額,0)))</t>
    <rPh sb="25" eb="27">
      <t>カイカケ</t>
    </rPh>
    <rPh sb="47" eb="49">
      <t>カイカケ</t>
    </rPh>
    <rPh sb="69" eb="71">
      <t>カイカケ</t>
    </rPh>
    <rPh sb="91" eb="93">
      <t>カイカケ</t>
    </rPh>
    <phoneticPr fontId="2"/>
  </si>
  <si>
    <t>CONVERT(INT,TM買掛金額.仕入先CD),</t>
  </si>
  <si>
    <t>CONVERT(INT,TM買掛金額.仕入先CD),</t>
    <rPh sb="14" eb="16">
      <t>カイカケ</t>
    </rPh>
    <phoneticPr fontId="2"/>
  </si>
  <si>
    <t>ABS(CONVERT(INT,ISNULL(TM買掛金額.仕入金額,0)+ISNULL(TM買掛金額.返品金額,0)+ISNULL(TM買掛金額.訂正金額,0)-ISNULL(TM買掛金額.非課税金額,0)))</t>
    <rPh sb="25" eb="27">
      <t>カイカケ</t>
    </rPh>
    <rPh sb="47" eb="49">
      <t>カイカケ</t>
    </rPh>
    <phoneticPr fontId="2"/>
  </si>
  <si>
    <t>FROM  TM買掛金額 AS SK</t>
    <phoneticPr fontId="2"/>
  </si>
  <si>
    <t>AND SK.仕入先CD  &gt;= COALESCE(CONVERT(VARCHAR(4),画面.開始仕入先),SK.仕入先CD)</t>
    <rPh sb="45" eb="47">
      <t>ガメン</t>
    </rPh>
    <rPh sb="50" eb="52">
      <t>シイレ</t>
    </rPh>
    <rPh sb="58" eb="60">
      <t>シイレ</t>
    </rPh>
    <phoneticPr fontId="2"/>
  </si>
  <si>
    <t>AND SK.仕入先CD  &lt;= COALESCE(CONVERT(VARCHAR(4),画面.終了仕入先),SK.仕入先CD)</t>
    <rPh sb="7" eb="9">
      <t>シイレ</t>
    </rPh>
    <rPh sb="45" eb="47">
      <t>ガメン</t>
    </rPh>
    <rPh sb="50" eb="52">
      <t>シイレ</t>
    </rPh>
    <rPh sb="58" eb="60">
      <t>シイレ</t>
    </rPh>
    <phoneticPr fontId="2"/>
  </si>
  <si>
    <t>AND ISNULL(SK.仕入金額,0)+ISNULL(SK.返品金額,0)+ISNULL(SK.訂正金額,0)-ISNULL(SK.非課税金額,0) &lt; 0</t>
    <phoneticPr fontId="2"/>
  </si>
  <si>
    <t>TM仕入先.税集計区分が3の場合71、 それ以外の場合31</t>
    <rPh sb="14" eb="16">
      <t>バアイ</t>
    </rPh>
    <rPh sb="22" eb="24">
      <t>イガイ</t>
    </rPh>
    <rPh sb="25" eb="27">
      <t>バアイ</t>
    </rPh>
    <phoneticPr fontId="2"/>
  </si>
  <si>
    <t>AND SK.仕入先CD  &gt;= COALESCE(CONVERT(VARCHAR(4),画面.開始仕入先),SK.仕入先CD)</t>
    <rPh sb="7" eb="9">
      <t>シイレ</t>
    </rPh>
    <rPh sb="45" eb="47">
      <t>ガメン</t>
    </rPh>
    <phoneticPr fontId="2"/>
  </si>
  <si>
    <t>AND SK.仕入先CD  &lt;= COALESCE(CONVERT(VARCHAR(4),画面.終了仕入先),SK.仕入先CD)</t>
    <rPh sb="45" eb="47">
      <t>ガメン</t>
    </rPh>
    <phoneticPr fontId="2"/>
  </si>
  <si>
    <t>ABS(CONVERT(INT,ISNULL(TM買掛金額.消費税額,0)))</t>
  </si>
  <si>
    <t>AND SK.仕入先CD  &gt;= COALESCE(CONVERT(VARCHAR(4),画面.開始仕入先),SK.仕入先CD)</t>
    <rPh sb="45" eb="47">
      <t>ガメン</t>
    </rPh>
    <rPh sb="50" eb="52">
      <t>シイレ</t>
    </rPh>
    <phoneticPr fontId="2"/>
  </si>
  <si>
    <t>CONVERT(INT,TM買掛金額.仕入先CD)</t>
    <phoneticPr fontId="2"/>
  </si>
  <si>
    <t>ABS(CONVERT(INT,ABS(ISNULL(TM買掛金額.非課税金額,0))))</t>
  </si>
  <si>
    <t>ABS(CONVERT(INT,ISNULL(TM買掛金額.非課税金額,0)))</t>
  </si>
  <si>
    <t>#TMP_SK0101.年</t>
    <rPh sb="12" eb="13">
      <t>ネン</t>
    </rPh>
    <phoneticPr fontId="2"/>
  </si>
  <si>
    <t>#TMP_SK0101.月</t>
    <rPh sb="12" eb="13">
      <t>ツキ</t>
    </rPh>
    <phoneticPr fontId="2"/>
  </si>
  <si>
    <t>#TMP_SK0101.日</t>
    <rPh sb="12" eb="13">
      <t>ヒ</t>
    </rPh>
    <phoneticPr fontId="2"/>
  </si>
  <si>
    <t>#TMP_SK0101.伝票番号</t>
    <rPh sb="12" eb="16">
      <t>デンピョウバンゴウ</t>
    </rPh>
    <phoneticPr fontId="2"/>
  </si>
  <si>
    <t>#TMP_SK0101.借方金額</t>
    <rPh sb="12" eb="16">
      <t>カリカタキンガク</t>
    </rPh>
    <phoneticPr fontId="2"/>
  </si>
  <si>
    <t>#TMP_SK0101.借方勘定科目名CD</t>
    <rPh sb="12" eb="18">
      <t>カリカタカンジョウカモク</t>
    </rPh>
    <rPh sb="18" eb="19">
      <t>メイ</t>
    </rPh>
    <phoneticPr fontId="2"/>
  </si>
  <si>
    <t>#TMP_SK0101.借方勘定科目名</t>
  </si>
  <si>
    <t>#TMP_SK0101.借方消費税CD</t>
  </si>
  <si>
    <t>#TMP_SK0101.借方消費税率</t>
  </si>
  <si>
    <t>#TMP_SK0101.借方業種</t>
  </si>
  <si>
    <t>#TMP_SK0101.借方補助科目CD</t>
  </si>
  <si>
    <t>#TMP_SK0101.借方補助科目名</t>
  </si>
  <si>
    <t>#TMP_SK0101.借方部門CD</t>
  </si>
  <si>
    <t>#TMP_SK0101.借方部門名</t>
  </si>
  <si>
    <t>#TMP_SK0101.貸方勘定科目CD</t>
  </si>
  <si>
    <t>#TMP_SK0101.貸方勘定科目名</t>
  </si>
  <si>
    <t>#TMP_SK0101.貸方消費税CD</t>
  </si>
  <si>
    <t>#TMP_SK0101.貸方消費税率</t>
  </si>
  <si>
    <t>#TMP_SK0101.貸方業種</t>
  </si>
  <si>
    <t>#TMP_SK0101.貸方補助科目CD</t>
  </si>
  <si>
    <t>#TMP_SK0101.貸方補助科目名</t>
  </si>
  <si>
    <t>#TMP_SK0101.貸方部門CD</t>
  </si>
  <si>
    <t>#TMP_SK0101.貸方部門名</t>
  </si>
  <si>
    <t>#TMP_SK0101.貸方金額</t>
  </si>
  <si>
    <t>#TMP_SK0101.摘要</t>
  </si>
  <si>
    <t>#TMP_SK0101.期日_年</t>
  </si>
  <si>
    <t>#TMP_SK0101.期日_月</t>
  </si>
  <si>
    <t>#TMP_SK0101.期日_日</t>
  </si>
  <si>
    <t>#TMP_SK0101.手形番号</t>
  </si>
  <si>
    <t>ORDER BY 仕入先CD,区分　の昇順でソート</t>
    <rPh sb="9" eb="11">
      <t>シイレ</t>
    </rPh>
    <rPh sb="19" eb="21">
      <t>ショウジュン</t>
    </rPh>
    <phoneticPr fontId="2"/>
  </si>
  <si>
    <t>FROM  #TMP_SK0101</t>
  </si>
  <si>
    <t>SJIS</t>
    <phoneticPr fontId="2"/>
  </si>
  <si>
    <t>ダブルコーテーションで囲う</t>
    <rPh sb="11" eb="12">
      <t>カコ</t>
    </rPh>
    <phoneticPr fontId="1"/>
  </si>
  <si>
    <t>NULL</t>
    <phoneticPr fontId="1"/>
  </si>
  <si>
    <t>NULL</t>
    <phoneticPr fontId="1"/>
  </si>
  <si>
    <t>NULL</t>
    <phoneticPr fontId="1"/>
  </si>
  <si>
    <t>NULL</t>
    <phoneticPr fontId="1"/>
  </si>
  <si>
    <t>受発注システム</t>
    <phoneticPr fontId="2"/>
  </si>
  <si>
    <t>システム分類</t>
    <phoneticPr fontId="2"/>
  </si>
  <si>
    <t>受発注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</si>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</sst>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0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10" fillId="2" borderId="62" xfId="0" applyFont="1" applyFill="1" applyBorder="1">
      <alignment vertical="center"/>
    </xf>
    <xf numFmtId="0" fontId="9" fillId="2" borderId="0" xfId="0" applyFont="1" applyFill="1" applyBorder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62" xfId="0" applyFont="1" applyFill="1" applyBorder="1">
      <alignment vertical="center"/>
    </xf>
    <xf numFmtId="0" fontId="9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9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9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69" xfId="0" quotePrefix="1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6" xfId="0" quotePrefix="1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6" xfId="0" applyFont="1" applyFill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163290</xdr:colOff>
      <xdr:row>12</xdr:row>
      <xdr:rowOff>76208</xdr:rowOff>
    </xdr:from>
    <xdr:to>
      <xdr:col>62</xdr:col>
      <xdr:colOff>228600</xdr:colOff>
      <xdr:row>16</xdr:row>
      <xdr:rowOff>119411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433" y="2710551"/>
          <a:ext cx="16763996" cy="1044689"/>
        </a:xfrm>
        <a:prstGeom prst="rect">
          <a:avLst/>
        </a:prstGeom>
      </xdr:spPr>
    </xdr:pic>
    <xdr:clientData/>
  </xdr:twoCellAnchor>
  <xdr:twoCellAnchor>
    <xdr:from>
      <xdr:col>3</xdr:col>
      <xdr:colOff>254214</xdr:colOff>
      <xdr:row>12</xdr:row>
      <xdr:rowOff>124225</xdr:rowOff>
    </xdr:from>
    <xdr:to>
      <xdr:col>5</xdr:col>
      <xdr:colOff>33937</xdr:colOff>
      <xdr:row>13</xdr:row>
      <xdr:rowOff>195304</xdr:rowOff>
    </xdr:to>
    <xdr:sp macro="" textlink="">
      <xdr:nvSpPr>
        <xdr:cNvPr id="12" name="正方形/長方形 11"/>
        <xdr:cNvSpPr/>
      </xdr:nvSpPr>
      <xdr:spPr>
        <a:xfrm>
          <a:off x="907357" y="275856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217714</xdr:colOff>
      <xdr:row>12</xdr:row>
      <xdr:rowOff>130627</xdr:rowOff>
    </xdr:from>
    <xdr:to>
      <xdr:col>8</xdr:col>
      <xdr:colOff>280465</xdr:colOff>
      <xdr:row>13</xdr:row>
      <xdr:rowOff>201706</xdr:rowOff>
    </xdr:to>
    <xdr:sp macro="" textlink="">
      <xdr:nvSpPr>
        <xdr:cNvPr id="37" name="正方形/長方形 36"/>
        <xdr:cNvSpPr/>
      </xdr:nvSpPr>
      <xdr:spPr>
        <a:xfrm>
          <a:off x="2002971" y="276497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283028</xdr:colOff>
      <xdr:row>12</xdr:row>
      <xdr:rowOff>119743</xdr:rowOff>
    </xdr:from>
    <xdr:to>
      <xdr:col>11</xdr:col>
      <xdr:colOff>62751</xdr:colOff>
      <xdr:row>13</xdr:row>
      <xdr:rowOff>190822</xdr:rowOff>
    </xdr:to>
    <xdr:sp macro="" textlink="">
      <xdr:nvSpPr>
        <xdr:cNvPr id="38" name="正方形/長方形 37"/>
        <xdr:cNvSpPr/>
      </xdr:nvSpPr>
      <xdr:spPr>
        <a:xfrm>
          <a:off x="2634342" y="275408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206828</xdr:colOff>
      <xdr:row>12</xdr:row>
      <xdr:rowOff>130629</xdr:rowOff>
    </xdr:from>
    <xdr:to>
      <xdr:col>12</xdr:col>
      <xdr:colOff>269579</xdr:colOff>
      <xdr:row>13</xdr:row>
      <xdr:rowOff>201708</xdr:rowOff>
    </xdr:to>
    <xdr:sp macro="" textlink="">
      <xdr:nvSpPr>
        <xdr:cNvPr id="39" name="正方形/長方形 38"/>
        <xdr:cNvSpPr/>
      </xdr:nvSpPr>
      <xdr:spPr>
        <a:xfrm>
          <a:off x="3124199" y="276497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195943</xdr:colOff>
      <xdr:row>12</xdr:row>
      <xdr:rowOff>97972</xdr:rowOff>
    </xdr:from>
    <xdr:to>
      <xdr:col>16</xdr:col>
      <xdr:colOff>258695</xdr:colOff>
      <xdr:row>13</xdr:row>
      <xdr:rowOff>169051</xdr:rowOff>
    </xdr:to>
    <xdr:sp macro="" textlink="">
      <xdr:nvSpPr>
        <xdr:cNvPr id="40" name="正方形/長方形 39"/>
        <xdr:cNvSpPr/>
      </xdr:nvSpPr>
      <xdr:spPr>
        <a:xfrm>
          <a:off x="4245429" y="273231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20</xdr:col>
      <xdr:colOff>272143</xdr:colOff>
      <xdr:row>12</xdr:row>
      <xdr:rowOff>163285</xdr:rowOff>
    </xdr:from>
    <xdr:to>
      <xdr:col>22</xdr:col>
      <xdr:colOff>51866</xdr:colOff>
      <xdr:row>13</xdr:row>
      <xdr:rowOff>234364</xdr:rowOff>
    </xdr:to>
    <xdr:sp macro="" textlink="">
      <xdr:nvSpPr>
        <xdr:cNvPr id="41" name="正方形/長方形 40"/>
        <xdr:cNvSpPr/>
      </xdr:nvSpPr>
      <xdr:spPr>
        <a:xfrm>
          <a:off x="5736772" y="2797628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21772</xdr:colOff>
      <xdr:row>12</xdr:row>
      <xdr:rowOff>130629</xdr:rowOff>
    </xdr:from>
    <xdr:to>
      <xdr:col>24</xdr:col>
      <xdr:colOff>84523</xdr:colOff>
      <xdr:row>13</xdr:row>
      <xdr:rowOff>201708</xdr:rowOff>
    </xdr:to>
    <xdr:sp macro="" textlink="">
      <xdr:nvSpPr>
        <xdr:cNvPr id="42" name="正方形/長方形 41"/>
        <xdr:cNvSpPr/>
      </xdr:nvSpPr>
      <xdr:spPr>
        <a:xfrm>
          <a:off x="6335486" y="276497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261258</xdr:colOff>
      <xdr:row>12</xdr:row>
      <xdr:rowOff>130628</xdr:rowOff>
    </xdr:from>
    <xdr:to>
      <xdr:col>26</xdr:col>
      <xdr:colOff>40981</xdr:colOff>
      <xdr:row>13</xdr:row>
      <xdr:rowOff>201707</xdr:rowOff>
    </xdr:to>
    <xdr:sp macro="" textlink="">
      <xdr:nvSpPr>
        <xdr:cNvPr id="43" name="正方形/長方形 42"/>
        <xdr:cNvSpPr/>
      </xdr:nvSpPr>
      <xdr:spPr>
        <a:xfrm>
          <a:off x="6858001" y="276497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10886</xdr:colOff>
      <xdr:row>12</xdr:row>
      <xdr:rowOff>108857</xdr:rowOff>
    </xdr:from>
    <xdr:to>
      <xdr:col>28</xdr:col>
      <xdr:colOff>73638</xdr:colOff>
      <xdr:row>13</xdr:row>
      <xdr:rowOff>179936</xdr:rowOff>
    </xdr:to>
    <xdr:sp macro="" textlink="">
      <xdr:nvSpPr>
        <xdr:cNvPr id="44" name="正方形/長方形 43"/>
        <xdr:cNvSpPr/>
      </xdr:nvSpPr>
      <xdr:spPr>
        <a:xfrm>
          <a:off x="7456715" y="274320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76202</xdr:colOff>
      <xdr:row>12</xdr:row>
      <xdr:rowOff>108858</xdr:rowOff>
    </xdr:from>
    <xdr:to>
      <xdr:col>29</xdr:col>
      <xdr:colOff>138953</xdr:colOff>
      <xdr:row>13</xdr:row>
      <xdr:rowOff>179937</xdr:rowOff>
    </xdr:to>
    <xdr:sp macro="" textlink="">
      <xdr:nvSpPr>
        <xdr:cNvPr id="45" name="正方形/長方形 44"/>
        <xdr:cNvSpPr/>
      </xdr:nvSpPr>
      <xdr:spPr>
        <a:xfrm>
          <a:off x="7805059" y="274320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43542</xdr:colOff>
      <xdr:row>12</xdr:row>
      <xdr:rowOff>97972</xdr:rowOff>
    </xdr:from>
    <xdr:to>
      <xdr:col>30</xdr:col>
      <xdr:colOff>106294</xdr:colOff>
      <xdr:row>13</xdr:row>
      <xdr:rowOff>169051</xdr:rowOff>
    </xdr:to>
    <xdr:sp macro="" textlink="">
      <xdr:nvSpPr>
        <xdr:cNvPr id="46" name="正方形/長方形 45"/>
        <xdr:cNvSpPr/>
      </xdr:nvSpPr>
      <xdr:spPr>
        <a:xfrm>
          <a:off x="8055428" y="273231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10885</xdr:colOff>
      <xdr:row>12</xdr:row>
      <xdr:rowOff>97972</xdr:rowOff>
    </xdr:from>
    <xdr:to>
      <xdr:col>31</xdr:col>
      <xdr:colOff>73636</xdr:colOff>
      <xdr:row>13</xdr:row>
      <xdr:rowOff>169051</xdr:rowOff>
    </xdr:to>
    <xdr:sp macro="" textlink="">
      <xdr:nvSpPr>
        <xdr:cNvPr id="47" name="正方形/長方形 46"/>
        <xdr:cNvSpPr/>
      </xdr:nvSpPr>
      <xdr:spPr>
        <a:xfrm>
          <a:off x="8305799" y="2732315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30</xdr:col>
      <xdr:colOff>272143</xdr:colOff>
      <xdr:row>12</xdr:row>
      <xdr:rowOff>97971</xdr:rowOff>
    </xdr:from>
    <xdr:to>
      <xdr:col>32</xdr:col>
      <xdr:colOff>51866</xdr:colOff>
      <xdr:row>13</xdr:row>
      <xdr:rowOff>169050</xdr:rowOff>
    </xdr:to>
    <xdr:sp macro="" textlink="">
      <xdr:nvSpPr>
        <xdr:cNvPr id="48" name="正方形/長方形 47"/>
        <xdr:cNvSpPr/>
      </xdr:nvSpPr>
      <xdr:spPr>
        <a:xfrm>
          <a:off x="8567057" y="273231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250371</xdr:colOff>
      <xdr:row>12</xdr:row>
      <xdr:rowOff>97971</xdr:rowOff>
    </xdr:from>
    <xdr:to>
      <xdr:col>33</xdr:col>
      <xdr:colOff>30094</xdr:colOff>
      <xdr:row>13</xdr:row>
      <xdr:rowOff>169050</xdr:rowOff>
    </xdr:to>
    <xdr:sp macro="" textlink="">
      <xdr:nvSpPr>
        <xdr:cNvPr id="49" name="正方形/長方形 48"/>
        <xdr:cNvSpPr/>
      </xdr:nvSpPr>
      <xdr:spPr>
        <a:xfrm>
          <a:off x="8828314" y="273231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34</xdr:col>
      <xdr:colOff>10885</xdr:colOff>
      <xdr:row>12</xdr:row>
      <xdr:rowOff>97971</xdr:rowOff>
    </xdr:from>
    <xdr:to>
      <xdr:col>35</xdr:col>
      <xdr:colOff>73637</xdr:colOff>
      <xdr:row>13</xdr:row>
      <xdr:rowOff>169050</xdr:rowOff>
    </xdr:to>
    <xdr:sp macro="" textlink="">
      <xdr:nvSpPr>
        <xdr:cNvPr id="50" name="正方形/長方形 49"/>
        <xdr:cNvSpPr/>
      </xdr:nvSpPr>
      <xdr:spPr>
        <a:xfrm>
          <a:off x="9437914" y="273231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36</xdr:col>
      <xdr:colOff>43543</xdr:colOff>
      <xdr:row>12</xdr:row>
      <xdr:rowOff>87086</xdr:rowOff>
    </xdr:from>
    <xdr:to>
      <xdr:col>37</xdr:col>
      <xdr:colOff>106295</xdr:colOff>
      <xdr:row>13</xdr:row>
      <xdr:rowOff>158165</xdr:rowOff>
    </xdr:to>
    <xdr:sp macro="" textlink="">
      <xdr:nvSpPr>
        <xdr:cNvPr id="51" name="正方形/長方形 50"/>
        <xdr:cNvSpPr/>
      </xdr:nvSpPr>
      <xdr:spPr>
        <a:xfrm>
          <a:off x="10036629" y="272142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185057</xdr:colOff>
      <xdr:row>12</xdr:row>
      <xdr:rowOff>97971</xdr:rowOff>
    </xdr:from>
    <xdr:to>
      <xdr:col>38</xdr:col>
      <xdr:colOff>247808</xdr:colOff>
      <xdr:row>13</xdr:row>
      <xdr:rowOff>169050</xdr:rowOff>
    </xdr:to>
    <xdr:sp macro="" textlink="">
      <xdr:nvSpPr>
        <xdr:cNvPr id="52" name="正方形/長方形 51"/>
        <xdr:cNvSpPr/>
      </xdr:nvSpPr>
      <xdr:spPr>
        <a:xfrm>
          <a:off x="10461171" y="2732314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87085</xdr:colOff>
      <xdr:row>12</xdr:row>
      <xdr:rowOff>108857</xdr:rowOff>
    </xdr:from>
    <xdr:to>
      <xdr:col>40</xdr:col>
      <xdr:colOff>149836</xdr:colOff>
      <xdr:row>13</xdr:row>
      <xdr:rowOff>179936</xdr:rowOff>
    </xdr:to>
    <xdr:sp macro="" textlink="">
      <xdr:nvSpPr>
        <xdr:cNvPr id="53" name="正方形/長方形 52"/>
        <xdr:cNvSpPr/>
      </xdr:nvSpPr>
      <xdr:spPr>
        <a:xfrm>
          <a:off x="10929256" y="274320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217713</xdr:colOff>
      <xdr:row>12</xdr:row>
      <xdr:rowOff>108857</xdr:rowOff>
    </xdr:from>
    <xdr:to>
      <xdr:col>41</xdr:col>
      <xdr:colOff>280464</xdr:colOff>
      <xdr:row>13</xdr:row>
      <xdr:rowOff>179936</xdr:rowOff>
    </xdr:to>
    <xdr:sp macro="" textlink="">
      <xdr:nvSpPr>
        <xdr:cNvPr id="54" name="正方形/長方形 53"/>
        <xdr:cNvSpPr/>
      </xdr:nvSpPr>
      <xdr:spPr>
        <a:xfrm>
          <a:off x="11342913" y="274320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97970</xdr:colOff>
      <xdr:row>12</xdr:row>
      <xdr:rowOff>130628</xdr:rowOff>
    </xdr:from>
    <xdr:to>
      <xdr:col>44</xdr:col>
      <xdr:colOff>160722</xdr:colOff>
      <xdr:row>13</xdr:row>
      <xdr:rowOff>201707</xdr:rowOff>
    </xdr:to>
    <xdr:sp macro="" textlink="">
      <xdr:nvSpPr>
        <xdr:cNvPr id="55" name="正方形/長方形 54"/>
        <xdr:cNvSpPr/>
      </xdr:nvSpPr>
      <xdr:spPr>
        <a:xfrm>
          <a:off x="12072256" y="276497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217714</xdr:colOff>
      <xdr:row>12</xdr:row>
      <xdr:rowOff>108856</xdr:rowOff>
    </xdr:from>
    <xdr:to>
      <xdr:col>46</xdr:col>
      <xdr:colOff>280466</xdr:colOff>
      <xdr:row>13</xdr:row>
      <xdr:rowOff>179935</xdr:rowOff>
    </xdr:to>
    <xdr:sp macro="" textlink="">
      <xdr:nvSpPr>
        <xdr:cNvPr id="56" name="正方形/長方形 55"/>
        <xdr:cNvSpPr/>
      </xdr:nvSpPr>
      <xdr:spPr>
        <a:xfrm>
          <a:off x="12758057" y="274319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206827</xdr:colOff>
      <xdr:row>12</xdr:row>
      <xdr:rowOff>108857</xdr:rowOff>
    </xdr:from>
    <xdr:to>
      <xdr:col>47</xdr:col>
      <xdr:colOff>269578</xdr:colOff>
      <xdr:row>13</xdr:row>
      <xdr:rowOff>179936</xdr:rowOff>
    </xdr:to>
    <xdr:sp macro="" textlink="">
      <xdr:nvSpPr>
        <xdr:cNvPr id="57" name="正方形/長方形 56"/>
        <xdr:cNvSpPr/>
      </xdr:nvSpPr>
      <xdr:spPr>
        <a:xfrm>
          <a:off x="13030198" y="274320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185056</xdr:colOff>
      <xdr:row>12</xdr:row>
      <xdr:rowOff>108857</xdr:rowOff>
    </xdr:from>
    <xdr:to>
      <xdr:col>48</xdr:col>
      <xdr:colOff>247807</xdr:colOff>
      <xdr:row>13</xdr:row>
      <xdr:rowOff>179936</xdr:rowOff>
    </xdr:to>
    <xdr:sp macro="" textlink="">
      <xdr:nvSpPr>
        <xdr:cNvPr id="58" name="正方形/長方形 57"/>
        <xdr:cNvSpPr/>
      </xdr:nvSpPr>
      <xdr:spPr>
        <a:xfrm>
          <a:off x="13291456" y="274320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51</xdr:col>
      <xdr:colOff>174172</xdr:colOff>
      <xdr:row>12</xdr:row>
      <xdr:rowOff>108858</xdr:rowOff>
    </xdr:from>
    <xdr:to>
      <xdr:col>52</xdr:col>
      <xdr:colOff>236923</xdr:colOff>
      <xdr:row>13</xdr:row>
      <xdr:rowOff>179937</xdr:rowOff>
    </xdr:to>
    <xdr:sp macro="" textlink="">
      <xdr:nvSpPr>
        <xdr:cNvPr id="59" name="正方形/長方形 58"/>
        <xdr:cNvSpPr/>
      </xdr:nvSpPr>
      <xdr:spPr>
        <a:xfrm>
          <a:off x="14412686" y="274320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185056</xdr:colOff>
      <xdr:row>12</xdr:row>
      <xdr:rowOff>119743</xdr:rowOff>
    </xdr:from>
    <xdr:to>
      <xdr:col>57</xdr:col>
      <xdr:colOff>247807</xdr:colOff>
      <xdr:row>13</xdr:row>
      <xdr:rowOff>190822</xdr:rowOff>
    </xdr:to>
    <xdr:sp macro="" textlink="">
      <xdr:nvSpPr>
        <xdr:cNvPr id="60" name="正方形/長方形 59"/>
        <xdr:cNvSpPr/>
      </xdr:nvSpPr>
      <xdr:spPr>
        <a:xfrm>
          <a:off x="15838713" y="275408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58</xdr:col>
      <xdr:colOff>21772</xdr:colOff>
      <xdr:row>12</xdr:row>
      <xdr:rowOff>119743</xdr:rowOff>
    </xdr:from>
    <xdr:to>
      <xdr:col>59</xdr:col>
      <xdr:colOff>84523</xdr:colOff>
      <xdr:row>13</xdr:row>
      <xdr:rowOff>190822</xdr:rowOff>
    </xdr:to>
    <xdr:sp macro="" textlink="">
      <xdr:nvSpPr>
        <xdr:cNvPr id="61" name="正方形/長方形 60"/>
        <xdr:cNvSpPr/>
      </xdr:nvSpPr>
      <xdr:spPr>
        <a:xfrm>
          <a:off x="16241486" y="275408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58</xdr:col>
      <xdr:colOff>283028</xdr:colOff>
      <xdr:row>12</xdr:row>
      <xdr:rowOff>108858</xdr:rowOff>
    </xdr:from>
    <xdr:to>
      <xdr:col>60</xdr:col>
      <xdr:colOff>62751</xdr:colOff>
      <xdr:row>13</xdr:row>
      <xdr:rowOff>179937</xdr:rowOff>
    </xdr:to>
    <xdr:sp macro="" textlink="">
      <xdr:nvSpPr>
        <xdr:cNvPr id="62" name="正方形/長方形 61"/>
        <xdr:cNvSpPr/>
      </xdr:nvSpPr>
      <xdr:spPr>
        <a:xfrm>
          <a:off x="16502742" y="2743201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60</xdr:col>
      <xdr:colOff>0</xdr:colOff>
      <xdr:row>12</xdr:row>
      <xdr:rowOff>119743</xdr:rowOff>
    </xdr:from>
    <xdr:to>
      <xdr:col>61</xdr:col>
      <xdr:colOff>62751</xdr:colOff>
      <xdr:row>13</xdr:row>
      <xdr:rowOff>190822</xdr:rowOff>
    </xdr:to>
    <xdr:sp macro="" textlink="">
      <xdr:nvSpPr>
        <xdr:cNvPr id="63" name="正方形/長方形 62"/>
        <xdr:cNvSpPr/>
      </xdr:nvSpPr>
      <xdr:spPr>
        <a:xfrm>
          <a:off x="16785771" y="275408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61</xdr:col>
      <xdr:colOff>43542</xdr:colOff>
      <xdr:row>12</xdr:row>
      <xdr:rowOff>130629</xdr:rowOff>
    </xdr:from>
    <xdr:to>
      <xdr:col>62</xdr:col>
      <xdr:colOff>106293</xdr:colOff>
      <xdr:row>13</xdr:row>
      <xdr:rowOff>201708</xdr:rowOff>
    </xdr:to>
    <xdr:sp macro="" textlink="">
      <xdr:nvSpPr>
        <xdr:cNvPr id="64" name="正方形/長方形 63"/>
        <xdr:cNvSpPr/>
      </xdr:nvSpPr>
      <xdr:spPr>
        <a:xfrm>
          <a:off x="17112342" y="2764972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59" t="s">
        <v>0</v>
      </c>
      <c r="C2" s="142"/>
      <c r="D2" s="142"/>
      <c r="E2" s="142"/>
      <c r="F2" s="142"/>
      <c r="G2" s="142"/>
      <c r="H2" s="142" t="s">
        <v>17</v>
      </c>
      <c r="I2" s="142"/>
      <c r="J2" s="142"/>
      <c r="K2" s="142"/>
      <c r="L2" s="142" t="s">
        <v>290</v>
      </c>
      <c r="M2" s="142"/>
      <c r="N2" s="142"/>
      <c r="O2" s="142"/>
      <c r="P2" s="142"/>
      <c r="Q2" s="142"/>
      <c r="R2" s="142" t="s">
        <v>2</v>
      </c>
      <c r="S2" s="142"/>
      <c r="T2" s="142"/>
      <c r="U2" s="142"/>
      <c r="V2" s="142"/>
      <c r="W2" s="142"/>
      <c r="X2" s="154" t="s">
        <v>3</v>
      </c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6"/>
      <c r="AK2" s="154" t="s">
        <v>31</v>
      </c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6"/>
      <c r="AX2" s="142" t="s">
        <v>5</v>
      </c>
      <c r="AY2" s="142"/>
      <c r="AZ2" s="142"/>
      <c r="BA2" s="142"/>
      <c r="BB2" s="142" t="s">
        <v>4</v>
      </c>
      <c r="BC2" s="142"/>
      <c r="BD2" s="142"/>
      <c r="BE2" s="142"/>
      <c r="BF2" s="142" t="s">
        <v>6</v>
      </c>
      <c r="BG2" s="142"/>
      <c r="BH2" s="142"/>
      <c r="BI2" s="142"/>
      <c r="BJ2" s="142" t="s">
        <v>7</v>
      </c>
      <c r="BK2" s="142"/>
      <c r="BL2" s="142"/>
      <c r="BM2" s="143"/>
      <c r="BN2" s="14"/>
    </row>
    <row r="3" spans="1:66" ht="20.100000000000001" customHeight="1" x14ac:dyDescent="0.45">
      <c r="A3" s="8"/>
      <c r="B3" s="157" t="s">
        <v>289</v>
      </c>
      <c r="C3" s="145"/>
      <c r="D3" s="145"/>
      <c r="E3" s="145"/>
      <c r="F3" s="145"/>
      <c r="G3" s="145"/>
      <c r="H3" s="145" t="str">
        <f ca="1">LEFT($X$3,FIND("_",$X$3)-1)</f>
        <v>SK0400</v>
      </c>
      <c r="I3" s="145"/>
      <c r="J3" s="145"/>
      <c r="K3" s="145"/>
      <c r="L3" s="145" t="s">
        <v>291</v>
      </c>
      <c r="M3" s="145"/>
      <c r="N3" s="145"/>
      <c r="O3" s="145"/>
      <c r="P3" s="145"/>
      <c r="Q3" s="145"/>
      <c r="R3" s="158" t="str">
        <f ca="1">MID($X$3,FIND("_",$X$3,FIND("_",$X$3)+1)+1,LEN($X$3)-FIND("_",$X$3,FIND("_",$X$3)+1))</f>
        <v>帳票設計書</v>
      </c>
      <c r="S3" s="145"/>
      <c r="T3" s="145"/>
      <c r="U3" s="145"/>
      <c r="V3" s="145"/>
      <c r="W3" s="145"/>
      <c r="X3" s="148" t="str">
        <f ca="1">REPLACE(LEFT(CELL("filename",$B$2),FIND(".x",CELL("filename",$B$2))-1),1,FIND("[",CELL("filename",$B$2)),)</f>
        <v>SK0400_買掛金集計表(仕分出力)_帳票設計書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50"/>
      <c r="AK3" s="148" t="str">
        <f ca="1">MID($X$3,FIND("_",$X$3)+1,FIND("_",$X$3,FIND("_",$X$3)+1)-FIND("_",$X$3)-1)</f>
        <v>買掛金集計表(仕分出力)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50"/>
      <c r="AX3" s="144">
        <v>45539</v>
      </c>
      <c r="AY3" s="145"/>
      <c r="AZ3" s="145"/>
      <c r="BA3" s="145"/>
      <c r="BB3" s="145" t="s">
        <v>292</v>
      </c>
      <c r="BC3" s="145"/>
      <c r="BD3" s="145"/>
      <c r="BE3" s="145"/>
      <c r="BF3" s="144">
        <v>45539</v>
      </c>
      <c r="BG3" s="145"/>
      <c r="BH3" s="145"/>
      <c r="BI3" s="145"/>
      <c r="BJ3" s="145" t="s">
        <v>292</v>
      </c>
      <c r="BK3" s="145"/>
      <c r="BL3" s="145"/>
      <c r="BM3" s="147"/>
      <c r="BN3" s="14"/>
    </row>
    <row r="4" spans="1:66" ht="20.100000000000001" customHeight="1" thickBot="1" x14ac:dyDescent="0.5">
      <c r="A4" s="8"/>
      <c r="B4" s="150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51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3"/>
      <c r="AK4" s="151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8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41" t="s">
        <v>8</v>
      </c>
      <c r="D8" s="141"/>
      <c r="E8" s="141"/>
      <c r="F8" s="141"/>
      <c r="G8" s="141" t="s">
        <v>9</v>
      </c>
      <c r="H8" s="141"/>
      <c r="I8" s="141"/>
      <c r="J8" s="141"/>
      <c r="K8" s="141" t="s">
        <v>10</v>
      </c>
      <c r="L8" s="141"/>
      <c r="M8" s="141"/>
      <c r="N8" s="141"/>
      <c r="O8" s="141" t="s">
        <v>11</v>
      </c>
      <c r="P8" s="141"/>
      <c r="Q8" s="141"/>
      <c r="R8" s="141"/>
      <c r="S8" s="141"/>
      <c r="T8" s="141"/>
      <c r="U8" s="141"/>
      <c r="V8" s="141"/>
      <c r="W8" s="141"/>
      <c r="X8" s="141"/>
      <c r="Y8" s="141" t="s">
        <v>12</v>
      </c>
      <c r="Z8" s="141"/>
      <c r="AA8" s="141"/>
      <c r="AB8" s="141"/>
      <c r="AC8" s="141"/>
      <c r="AD8" s="141"/>
      <c r="AE8" s="141"/>
      <c r="AF8" s="141"/>
      <c r="AG8" s="141"/>
      <c r="AH8" s="141"/>
      <c r="AI8" s="141"/>
      <c r="AJ8" s="141"/>
      <c r="AK8" s="141"/>
      <c r="AL8" s="141"/>
      <c r="AM8" s="141"/>
      <c r="AN8" s="141"/>
      <c r="AO8" s="141"/>
      <c r="AP8" s="141"/>
      <c r="AQ8" s="141"/>
      <c r="AR8" s="141"/>
      <c r="AS8" s="141"/>
      <c r="AT8" s="141"/>
      <c r="AU8" s="141"/>
      <c r="AV8" s="141"/>
      <c r="AW8" s="141"/>
      <c r="AX8" s="141"/>
      <c r="AY8" s="141"/>
      <c r="AZ8" s="141"/>
      <c r="BA8" s="141"/>
      <c r="BB8" s="141"/>
      <c r="BC8" s="141"/>
      <c r="BD8" s="141"/>
      <c r="BE8" s="141"/>
      <c r="BF8" s="141"/>
      <c r="BG8" s="141"/>
      <c r="BH8" s="141"/>
      <c r="BI8" s="141"/>
      <c r="BJ8" s="141"/>
      <c r="BK8" s="141"/>
      <c r="BL8" s="141"/>
      <c r="BM8" s="7"/>
      <c r="BN8" s="14"/>
    </row>
    <row r="9" spans="1:66" ht="20.100000000000001" customHeight="1" x14ac:dyDescent="0.45">
      <c r="A9" s="8"/>
      <c r="B9" s="7"/>
      <c r="C9" s="140">
        <v>45539</v>
      </c>
      <c r="D9" s="138"/>
      <c r="E9" s="138"/>
      <c r="F9" s="139"/>
      <c r="G9" s="134" t="s">
        <v>16</v>
      </c>
      <c r="H9" s="135"/>
      <c r="I9" s="135"/>
      <c r="J9" s="136"/>
      <c r="K9" s="137" t="s">
        <v>292</v>
      </c>
      <c r="L9" s="138"/>
      <c r="M9" s="138"/>
      <c r="N9" s="139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40"/>
      <c r="D10" s="138"/>
      <c r="E10" s="138"/>
      <c r="F10" s="139"/>
      <c r="G10" s="134"/>
      <c r="H10" s="135"/>
      <c r="I10" s="135"/>
      <c r="J10" s="136"/>
      <c r="K10" s="137"/>
      <c r="L10" s="138"/>
      <c r="M10" s="138"/>
      <c r="N10" s="139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40"/>
      <c r="D11" s="138"/>
      <c r="E11" s="138"/>
      <c r="F11" s="139"/>
      <c r="G11" s="134"/>
      <c r="H11" s="135"/>
      <c r="I11" s="135"/>
      <c r="J11" s="136"/>
      <c r="K11" s="137"/>
      <c r="L11" s="138"/>
      <c r="M11" s="138"/>
      <c r="N11" s="139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40"/>
      <c r="D36" s="138"/>
      <c r="E36" s="138"/>
      <c r="F36" s="139"/>
      <c r="G36" s="134"/>
      <c r="H36" s="135"/>
      <c r="I36" s="135"/>
      <c r="J36" s="136"/>
      <c r="K36" s="137"/>
      <c r="L36" s="138"/>
      <c r="M36" s="138"/>
      <c r="N36" s="139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40"/>
      <c r="D37" s="138"/>
      <c r="E37" s="138"/>
      <c r="F37" s="139"/>
      <c r="G37" s="134"/>
      <c r="H37" s="135"/>
      <c r="I37" s="135"/>
      <c r="J37" s="136"/>
      <c r="K37" s="137"/>
      <c r="L37" s="138"/>
      <c r="M37" s="138"/>
      <c r="N37" s="139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40"/>
      <c r="D38" s="138"/>
      <c r="E38" s="138"/>
      <c r="F38" s="139"/>
      <c r="G38" s="134"/>
      <c r="H38" s="135"/>
      <c r="I38" s="135"/>
      <c r="J38" s="136"/>
      <c r="K38" s="137"/>
      <c r="L38" s="138"/>
      <c r="M38" s="138"/>
      <c r="N38" s="139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40"/>
      <c r="D39" s="138"/>
      <c r="E39" s="138"/>
      <c r="F39" s="139"/>
      <c r="G39" s="134"/>
      <c r="H39" s="135"/>
      <c r="I39" s="135"/>
      <c r="J39" s="136"/>
      <c r="K39" s="137"/>
      <c r="L39" s="138"/>
      <c r="M39" s="138"/>
      <c r="N39" s="139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40"/>
      <c r="D40" s="138"/>
      <c r="E40" s="138"/>
      <c r="F40" s="139"/>
      <c r="G40" s="134"/>
      <c r="H40" s="135"/>
      <c r="I40" s="135"/>
      <c r="J40" s="136"/>
      <c r="K40" s="137"/>
      <c r="L40" s="138"/>
      <c r="M40" s="138"/>
      <c r="N40" s="139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40"/>
      <c r="D41" s="138"/>
      <c r="E41" s="138"/>
      <c r="F41" s="139"/>
      <c r="G41" s="134"/>
      <c r="H41" s="135"/>
      <c r="I41" s="135"/>
      <c r="J41" s="136"/>
      <c r="K41" s="137"/>
      <c r="L41" s="138"/>
      <c r="M41" s="138"/>
      <c r="N41" s="139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40"/>
      <c r="D42" s="138"/>
      <c r="E42" s="138"/>
      <c r="F42" s="139"/>
      <c r="G42" s="134"/>
      <c r="H42" s="135"/>
      <c r="I42" s="135"/>
      <c r="J42" s="136"/>
      <c r="K42" s="137"/>
      <c r="L42" s="138"/>
      <c r="M42" s="138"/>
      <c r="N42" s="139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40"/>
      <c r="D43" s="138"/>
      <c r="E43" s="138"/>
      <c r="F43" s="139"/>
      <c r="G43" s="134"/>
      <c r="H43" s="135"/>
      <c r="I43" s="135"/>
      <c r="J43" s="136"/>
      <c r="K43" s="137"/>
      <c r="L43" s="138"/>
      <c r="M43" s="138"/>
      <c r="N43" s="139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40"/>
      <c r="D44" s="138"/>
      <c r="E44" s="138"/>
      <c r="F44" s="139"/>
      <c r="G44" s="134"/>
      <c r="H44" s="135"/>
      <c r="I44" s="135"/>
      <c r="J44" s="136"/>
      <c r="K44" s="137"/>
      <c r="L44" s="138"/>
      <c r="M44" s="138"/>
      <c r="N44" s="139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40"/>
      <c r="D45" s="138"/>
      <c r="E45" s="138"/>
      <c r="F45" s="139"/>
      <c r="G45" s="134"/>
      <c r="H45" s="135"/>
      <c r="I45" s="135"/>
      <c r="J45" s="136"/>
      <c r="K45" s="137"/>
      <c r="L45" s="138"/>
      <c r="M45" s="138"/>
      <c r="N45" s="139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40"/>
      <c r="D46" s="138"/>
      <c r="E46" s="138"/>
      <c r="F46" s="139"/>
      <c r="G46" s="134"/>
      <c r="H46" s="135"/>
      <c r="I46" s="135"/>
      <c r="J46" s="136"/>
      <c r="K46" s="137"/>
      <c r="L46" s="138"/>
      <c r="M46" s="138"/>
      <c r="N46" s="139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40"/>
      <c r="D47" s="138"/>
      <c r="E47" s="138"/>
      <c r="F47" s="139"/>
      <c r="G47" s="134"/>
      <c r="H47" s="135"/>
      <c r="I47" s="135"/>
      <c r="J47" s="136"/>
      <c r="K47" s="137"/>
      <c r="L47" s="138"/>
      <c r="M47" s="138"/>
      <c r="N47" s="139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>
      <selection activeCell="B3" sqref="B3:G4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59" t="s">
        <v>0</v>
      </c>
      <c r="C2" s="142"/>
      <c r="D2" s="142"/>
      <c r="E2" s="142"/>
      <c r="F2" s="142"/>
      <c r="G2" s="142"/>
      <c r="H2" s="142" t="s">
        <v>17</v>
      </c>
      <c r="I2" s="142"/>
      <c r="J2" s="142"/>
      <c r="K2" s="142"/>
      <c r="L2" s="142" t="s">
        <v>290</v>
      </c>
      <c r="M2" s="142"/>
      <c r="N2" s="142"/>
      <c r="O2" s="142"/>
      <c r="P2" s="142"/>
      <c r="Q2" s="142"/>
      <c r="R2" s="142" t="s">
        <v>2</v>
      </c>
      <c r="S2" s="142"/>
      <c r="T2" s="142"/>
      <c r="U2" s="142"/>
      <c r="V2" s="142"/>
      <c r="W2" s="142"/>
      <c r="X2" s="154" t="s">
        <v>3</v>
      </c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6"/>
      <c r="AK2" s="154" t="s">
        <v>32</v>
      </c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6"/>
      <c r="AX2" s="142" t="s">
        <v>5</v>
      </c>
      <c r="AY2" s="142"/>
      <c r="AZ2" s="142"/>
      <c r="BA2" s="142"/>
      <c r="BB2" s="142" t="s">
        <v>4</v>
      </c>
      <c r="BC2" s="142"/>
      <c r="BD2" s="142"/>
      <c r="BE2" s="142"/>
      <c r="BF2" s="142" t="s">
        <v>6</v>
      </c>
      <c r="BG2" s="142"/>
      <c r="BH2" s="142"/>
      <c r="BI2" s="142"/>
      <c r="BJ2" s="142" t="s">
        <v>7</v>
      </c>
      <c r="BK2" s="142"/>
      <c r="BL2" s="142"/>
      <c r="BM2" s="143"/>
      <c r="BN2" s="35"/>
    </row>
    <row r="3" spans="1:66" ht="20.100000000000001" customHeight="1" x14ac:dyDescent="0.45">
      <c r="A3" s="32"/>
      <c r="B3" s="157" t="str">
        <f>変更履歴!B3</f>
        <v>受発注システム</v>
      </c>
      <c r="C3" s="145"/>
      <c r="D3" s="145"/>
      <c r="E3" s="145"/>
      <c r="F3" s="145"/>
      <c r="G3" s="145"/>
      <c r="H3" s="145" t="str">
        <f ca="1">変更履歴!H3</f>
        <v>SK0400</v>
      </c>
      <c r="I3" s="145"/>
      <c r="J3" s="145"/>
      <c r="K3" s="145"/>
      <c r="L3" s="145" t="str">
        <f>変更履歴!L3</f>
        <v>受発注</v>
      </c>
      <c r="M3" s="145"/>
      <c r="N3" s="145"/>
      <c r="O3" s="145"/>
      <c r="P3" s="145"/>
      <c r="Q3" s="145"/>
      <c r="R3" s="145" t="str">
        <f ca="1">変更履歴!R3</f>
        <v>帳票設計書</v>
      </c>
      <c r="S3" s="145"/>
      <c r="T3" s="145"/>
      <c r="U3" s="145"/>
      <c r="V3" s="145"/>
      <c r="W3" s="145"/>
      <c r="X3" s="148" t="str">
        <f ca="1">変更履歴!X3</f>
        <v>SK0400_買掛金集計表(仕分出力)_帳票設計書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50"/>
      <c r="AK3" s="148" t="str">
        <f ca="1">変更履歴!AK3</f>
        <v>買掛金集計表(仕分出力)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50"/>
      <c r="AX3" s="144">
        <f>変更履歴!AX3</f>
        <v>45539</v>
      </c>
      <c r="AY3" s="144"/>
      <c r="AZ3" s="144"/>
      <c r="BA3" s="144"/>
      <c r="BB3" s="145" t="str">
        <f>変更履歴!BB3</f>
        <v>大谷</v>
      </c>
      <c r="BC3" s="145"/>
      <c r="BD3" s="145"/>
      <c r="BE3" s="145"/>
      <c r="BF3" s="144">
        <f>変更履歴!BF3</f>
        <v>45539</v>
      </c>
      <c r="BG3" s="144"/>
      <c r="BH3" s="144"/>
      <c r="BI3" s="144"/>
      <c r="BJ3" s="145" t="str">
        <f>変更履歴!BJ3</f>
        <v>大谷</v>
      </c>
      <c r="BK3" s="145"/>
      <c r="BL3" s="145"/>
      <c r="BM3" s="147"/>
      <c r="BN3" s="35"/>
    </row>
    <row r="4" spans="1:66" ht="20.100000000000001" customHeight="1" thickBot="1" x14ac:dyDescent="0.5">
      <c r="A4" s="32"/>
      <c r="B4" s="150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51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3"/>
      <c r="AK4" s="151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  <c r="AX4" s="160"/>
      <c r="AY4" s="160"/>
      <c r="AZ4" s="160"/>
      <c r="BA4" s="160"/>
      <c r="BB4" s="146"/>
      <c r="BC4" s="146"/>
      <c r="BD4" s="146"/>
      <c r="BE4" s="146"/>
      <c r="BF4" s="160"/>
      <c r="BG4" s="160"/>
      <c r="BH4" s="160"/>
      <c r="BI4" s="160"/>
      <c r="BJ4" s="146"/>
      <c r="BK4" s="146"/>
      <c r="BL4" s="146"/>
      <c r="BM4" s="148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買掛金集計表(仕分出力)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88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89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90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283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216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217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218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/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59" t="s">
        <v>0</v>
      </c>
      <c r="C2" s="142"/>
      <c r="D2" s="142"/>
      <c r="E2" s="142"/>
      <c r="F2" s="142"/>
      <c r="G2" s="142"/>
      <c r="H2" s="142" t="s">
        <v>17</v>
      </c>
      <c r="I2" s="142"/>
      <c r="J2" s="142"/>
      <c r="K2" s="142"/>
      <c r="L2" s="142" t="s">
        <v>290</v>
      </c>
      <c r="M2" s="142"/>
      <c r="N2" s="142"/>
      <c r="O2" s="142"/>
      <c r="P2" s="142"/>
      <c r="Q2" s="142"/>
      <c r="R2" s="142" t="s">
        <v>2</v>
      </c>
      <c r="S2" s="142"/>
      <c r="T2" s="142"/>
      <c r="U2" s="142"/>
      <c r="V2" s="142"/>
      <c r="W2" s="142"/>
      <c r="X2" s="154" t="s">
        <v>3</v>
      </c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6"/>
      <c r="AK2" s="154" t="s">
        <v>32</v>
      </c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6"/>
      <c r="AX2" s="142" t="s">
        <v>5</v>
      </c>
      <c r="AY2" s="142"/>
      <c r="AZ2" s="142"/>
      <c r="BA2" s="142"/>
      <c r="BB2" s="142" t="s">
        <v>4</v>
      </c>
      <c r="BC2" s="142"/>
      <c r="BD2" s="142"/>
      <c r="BE2" s="142"/>
      <c r="BF2" s="142" t="s">
        <v>6</v>
      </c>
      <c r="BG2" s="142"/>
      <c r="BH2" s="142"/>
      <c r="BI2" s="142"/>
      <c r="BJ2" s="142" t="s">
        <v>7</v>
      </c>
      <c r="BK2" s="142"/>
      <c r="BL2" s="142"/>
      <c r="BM2" s="143"/>
      <c r="BN2" s="15"/>
    </row>
    <row r="3" spans="1:66" ht="20.100000000000001" customHeight="1" x14ac:dyDescent="0.45">
      <c r="A3" s="9"/>
      <c r="B3" s="157" t="str">
        <f>変更履歴!B3</f>
        <v>受発注システム</v>
      </c>
      <c r="C3" s="145"/>
      <c r="D3" s="145"/>
      <c r="E3" s="145"/>
      <c r="F3" s="145"/>
      <c r="G3" s="145"/>
      <c r="H3" s="145" t="str">
        <f ca="1">変更履歴!H3</f>
        <v>SK0400</v>
      </c>
      <c r="I3" s="145"/>
      <c r="J3" s="145"/>
      <c r="K3" s="145"/>
      <c r="L3" s="145" t="str">
        <f>変更履歴!L3</f>
        <v>受発注</v>
      </c>
      <c r="M3" s="145"/>
      <c r="N3" s="145"/>
      <c r="O3" s="145"/>
      <c r="P3" s="145"/>
      <c r="Q3" s="145"/>
      <c r="R3" s="145" t="str">
        <f ca="1">変更履歴!R3</f>
        <v>帳票設計書</v>
      </c>
      <c r="S3" s="145"/>
      <c r="T3" s="145"/>
      <c r="U3" s="145"/>
      <c r="V3" s="145"/>
      <c r="W3" s="145"/>
      <c r="X3" s="148" t="str">
        <f ca="1">変更履歴!X3</f>
        <v>SK0400_買掛金集計表(仕分出力)_帳票設計書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50"/>
      <c r="AK3" s="148" t="str">
        <f ca="1">変更履歴!AK3</f>
        <v>買掛金集計表(仕分出力)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50"/>
      <c r="AX3" s="144">
        <f>変更履歴!AX3</f>
        <v>45539</v>
      </c>
      <c r="AY3" s="144"/>
      <c r="AZ3" s="144"/>
      <c r="BA3" s="144"/>
      <c r="BB3" s="145" t="str">
        <f>変更履歴!BB3</f>
        <v>大谷</v>
      </c>
      <c r="BC3" s="145"/>
      <c r="BD3" s="145"/>
      <c r="BE3" s="145"/>
      <c r="BF3" s="144">
        <f>変更履歴!BF3</f>
        <v>45539</v>
      </c>
      <c r="BG3" s="144"/>
      <c r="BH3" s="144"/>
      <c r="BI3" s="144"/>
      <c r="BJ3" s="145" t="str">
        <f>変更履歴!BJ3</f>
        <v>大谷</v>
      </c>
      <c r="BK3" s="145"/>
      <c r="BL3" s="145"/>
      <c r="BM3" s="147"/>
      <c r="BN3" s="15"/>
    </row>
    <row r="4" spans="1:66" ht="20.100000000000001" customHeight="1" thickBot="1" x14ac:dyDescent="0.5">
      <c r="A4" s="9"/>
      <c r="B4" s="150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51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3"/>
      <c r="AK4" s="151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  <c r="AX4" s="160"/>
      <c r="AY4" s="160"/>
      <c r="AZ4" s="160"/>
      <c r="BA4" s="160"/>
      <c r="BB4" s="146"/>
      <c r="BC4" s="146"/>
      <c r="BD4" s="146"/>
      <c r="BE4" s="146"/>
      <c r="BF4" s="160"/>
      <c r="BG4" s="160"/>
      <c r="BH4" s="160"/>
      <c r="BI4" s="160"/>
      <c r="BJ4" s="146"/>
      <c r="BK4" s="146"/>
      <c r="BL4" s="146"/>
      <c r="BM4" s="148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6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59" t="s">
        <v>0</v>
      </c>
      <c r="C2" s="142"/>
      <c r="D2" s="142"/>
      <c r="E2" s="142"/>
      <c r="F2" s="142"/>
      <c r="G2" s="142"/>
      <c r="H2" s="142" t="s">
        <v>17</v>
      </c>
      <c r="I2" s="142"/>
      <c r="J2" s="142"/>
      <c r="K2" s="142"/>
      <c r="L2" s="142" t="s">
        <v>290</v>
      </c>
      <c r="M2" s="142"/>
      <c r="N2" s="142"/>
      <c r="O2" s="142"/>
      <c r="P2" s="142"/>
      <c r="Q2" s="142"/>
      <c r="R2" s="142" t="s">
        <v>2</v>
      </c>
      <c r="S2" s="142"/>
      <c r="T2" s="142"/>
      <c r="U2" s="142"/>
      <c r="V2" s="142"/>
      <c r="W2" s="142"/>
      <c r="X2" s="154" t="s">
        <v>3</v>
      </c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6"/>
      <c r="AK2" s="154" t="s">
        <v>32</v>
      </c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6"/>
      <c r="AX2" s="142" t="s">
        <v>5</v>
      </c>
      <c r="AY2" s="142"/>
      <c r="AZ2" s="142"/>
      <c r="BA2" s="142"/>
      <c r="BB2" s="142" t="s">
        <v>4</v>
      </c>
      <c r="BC2" s="142"/>
      <c r="BD2" s="142"/>
      <c r="BE2" s="142"/>
      <c r="BF2" s="142" t="s">
        <v>6</v>
      </c>
      <c r="BG2" s="142"/>
      <c r="BH2" s="142"/>
      <c r="BI2" s="142"/>
      <c r="BJ2" s="142" t="s">
        <v>7</v>
      </c>
      <c r="BK2" s="142"/>
      <c r="BL2" s="142"/>
      <c r="BM2" s="143"/>
      <c r="BN2" s="15"/>
    </row>
    <row r="3" spans="1:85" ht="20.100000000000001" customHeight="1" x14ac:dyDescent="0.45">
      <c r="A3" s="9"/>
      <c r="B3" s="157" t="str">
        <f>変更履歴!B3</f>
        <v>受発注システム</v>
      </c>
      <c r="C3" s="145"/>
      <c r="D3" s="145"/>
      <c r="E3" s="145"/>
      <c r="F3" s="145"/>
      <c r="G3" s="145"/>
      <c r="H3" s="145" t="str">
        <f ca="1">変更履歴!H3</f>
        <v>SK0400</v>
      </c>
      <c r="I3" s="145"/>
      <c r="J3" s="145"/>
      <c r="K3" s="145"/>
      <c r="L3" s="145" t="str">
        <f>変更履歴!L3</f>
        <v>受発注</v>
      </c>
      <c r="M3" s="145"/>
      <c r="N3" s="145"/>
      <c r="O3" s="145"/>
      <c r="P3" s="145"/>
      <c r="Q3" s="145"/>
      <c r="R3" s="145" t="str">
        <f ca="1">変更履歴!R3</f>
        <v>帳票設計書</v>
      </c>
      <c r="S3" s="145"/>
      <c r="T3" s="145"/>
      <c r="U3" s="145"/>
      <c r="V3" s="145"/>
      <c r="W3" s="145"/>
      <c r="X3" s="148" t="str">
        <f ca="1">変更履歴!X3</f>
        <v>SK0400_買掛金集計表(仕分出力)_帳票設計書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50"/>
      <c r="AK3" s="148" t="str">
        <f ca="1">変更履歴!AK3</f>
        <v>買掛金集計表(仕分出力)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50"/>
      <c r="AX3" s="144">
        <f>変更履歴!AX3</f>
        <v>45539</v>
      </c>
      <c r="AY3" s="144"/>
      <c r="AZ3" s="144"/>
      <c r="BA3" s="144"/>
      <c r="BB3" s="145" t="str">
        <f>変更履歴!BB3</f>
        <v>大谷</v>
      </c>
      <c r="BC3" s="145"/>
      <c r="BD3" s="145"/>
      <c r="BE3" s="145"/>
      <c r="BF3" s="144">
        <f>変更履歴!BF3</f>
        <v>45539</v>
      </c>
      <c r="BG3" s="144"/>
      <c r="BH3" s="144"/>
      <c r="BI3" s="144"/>
      <c r="BJ3" s="145" t="str">
        <f>変更履歴!BJ3</f>
        <v>大谷</v>
      </c>
      <c r="BK3" s="145"/>
      <c r="BL3" s="145"/>
      <c r="BM3" s="147"/>
      <c r="BN3" s="15"/>
    </row>
    <row r="4" spans="1:85" ht="20.100000000000001" customHeight="1" thickBot="1" x14ac:dyDescent="0.5">
      <c r="A4" s="9"/>
      <c r="B4" s="150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51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3"/>
      <c r="AK4" s="151"/>
      <c r="AL4" s="152"/>
      <c r="AM4" s="152"/>
      <c r="AN4" s="152"/>
      <c r="AO4" s="152"/>
      <c r="AP4" s="152"/>
      <c r="AQ4" s="152"/>
      <c r="AR4" s="152"/>
      <c r="AS4" s="152"/>
      <c r="AT4" s="152"/>
      <c r="AU4" s="152"/>
      <c r="AV4" s="152"/>
      <c r="AW4" s="153"/>
      <c r="AX4" s="160"/>
      <c r="AY4" s="160"/>
      <c r="AZ4" s="160"/>
      <c r="BA4" s="160"/>
      <c r="BB4" s="146"/>
      <c r="BC4" s="146"/>
      <c r="BD4" s="146"/>
      <c r="BE4" s="146"/>
      <c r="BF4" s="160"/>
      <c r="BG4" s="160"/>
      <c r="BH4" s="160"/>
      <c r="BI4" s="160"/>
      <c r="BJ4" s="146"/>
      <c r="BK4" s="146"/>
      <c r="BL4" s="146"/>
      <c r="BM4" s="148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83" t="s">
        <v>20</v>
      </c>
      <c r="F10" s="184"/>
      <c r="G10" s="184"/>
      <c r="H10" s="184"/>
      <c r="I10" s="184"/>
      <c r="J10" s="184"/>
      <c r="K10" s="184"/>
      <c r="L10" s="185"/>
      <c r="M10" s="186" t="s">
        <v>24</v>
      </c>
      <c r="N10" s="187"/>
      <c r="O10" s="187"/>
      <c r="P10" s="186" t="s">
        <v>33</v>
      </c>
      <c r="Q10" s="187"/>
      <c r="R10" s="187"/>
      <c r="S10" s="186" t="s">
        <v>34</v>
      </c>
      <c r="T10" s="187"/>
      <c r="U10" s="187"/>
      <c r="V10" s="186" t="s">
        <v>36</v>
      </c>
      <c r="W10" s="187"/>
      <c r="X10" s="187"/>
      <c r="Y10" s="187"/>
      <c r="Z10" s="187"/>
      <c r="AA10" s="189"/>
      <c r="AB10" s="186" t="s">
        <v>35</v>
      </c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9"/>
      <c r="AR10" s="186" t="s">
        <v>42</v>
      </c>
      <c r="AS10" s="187"/>
      <c r="AT10" s="187"/>
      <c r="AU10" s="187"/>
      <c r="AV10" s="187"/>
      <c r="AW10" s="189"/>
      <c r="AX10" s="186" t="s">
        <v>43</v>
      </c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8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61" t="s">
        <v>91</v>
      </c>
      <c r="F11" s="162"/>
      <c r="G11" s="162"/>
      <c r="H11" s="162"/>
      <c r="I11" s="162"/>
      <c r="J11" s="162"/>
      <c r="K11" s="162"/>
      <c r="L11" s="163"/>
      <c r="M11" s="137" t="s">
        <v>8</v>
      </c>
      <c r="N11" s="138"/>
      <c r="O11" s="138"/>
      <c r="P11" s="137" t="s">
        <v>121</v>
      </c>
      <c r="Q11" s="138"/>
      <c r="R11" s="138"/>
      <c r="S11" s="137"/>
      <c r="T11" s="138"/>
      <c r="U11" s="138"/>
      <c r="V11" s="164" t="s">
        <v>187</v>
      </c>
      <c r="W11" s="165"/>
      <c r="X11" s="165"/>
      <c r="Y11" s="165"/>
      <c r="Z11" s="165"/>
      <c r="AA11" s="166"/>
      <c r="AB11" s="167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9"/>
      <c r="AR11" s="137" t="s">
        <v>123</v>
      </c>
      <c r="AS11" s="138"/>
      <c r="AT11" s="138"/>
      <c r="AU11" s="138"/>
      <c r="AV11" s="138"/>
      <c r="AW11" s="139"/>
      <c r="AX11" s="164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5"/>
      <c r="BT11" s="171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61" t="s">
        <v>92</v>
      </c>
      <c r="F12" s="162"/>
      <c r="G12" s="162"/>
      <c r="H12" s="162"/>
      <c r="I12" s="162"/>
      <c r="J12" s="162"/>
      <c r="K12" s="162"/>
      <c r="L12" s="163"/>
      <c r="M12" s="137" t="s">
        <v>8</v>
      </c>
      <c r="N12" s="138"/>
      <c r="O12" s="138"/>
      <c r="P12" s="137" t="s">
        <v>121</v>
      </c>
      <c r="Q12" s="138"/>
      <c r="R12" s="138"/>
      <c r="S12" s="137"/>
      <c r="T12" s="138"/>
      <c r="U12" s="138"/>
      <c r="V12" s="164" t="s">
        <v>202</v>
      </c>
      <c r="W12" s="165"/>
      <c r="X12" s="165"/>
      <c r="Y12" s="165"/>
      <c r="Z12" s="165"/>
      <c r="AA12" s="166"/>
      <c r="AB12" s="167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9"/>
      <c r="AR12" s="137" t="s">
        <v>124</v>
      </c>
      <c r="AS12" s="138"/>
      <c r="AT12" s="138"/>
      <c r="AU12" s="138"/>
      <c r="AV12" s="138"/>
      <c r="AW12" s="139"/>
      <c r="AX12" s="164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71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61" t="s">
        <v>93</v>
      </c>
      <c r="F13" s="162"/>
      <c r="G13" s="162"/>
      <c r="H13" s="162"/>
      <c r="I13" s="162"/>
      <c r="J13" s="162"/>
      <c r="K13" s="162"/>
      <c r="L13" s="163"/>
      <c r="M13" s="137" t="s">
        <v>8</v>
      </c>
      <c r="N13" s="138"/>
      <c r="O13" s="138"/>
      <c r="P13" s="137" t="s">
        <v>121</v>
      </c>
      <c r="Q13" s="138"/>
      <c r="R13" s="138"/>
      <c r="S13" s="137"/>
      <c r="T13" s="138"/>
      <c r="U13" s="138"/>
      <c r="V13" s="164" t="s">
        <v>203</v>
      </c>
      <c r="W13" s="165"/>
      <c r="X13" s="165"/>
      <c r="Y13" s="165"/>
      <c r="Z13" s="165"/>
      <c r="AA13" s="166"/>
      <c r="AB13" s="167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9"/>
      <c r="AR13" s="137" t="s">
        <v>125</v>
      </c>
      <c r="AS13" s="138"/>
      <c r="AT13" s="138"/>
      <c r="AU13" s="138"/>
      <c r="AV13" s="138"/>
      <c r="AW13" s="139"/>
      <c r="AX13" s="164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71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61" t="s">
        <v>94</v>
      </c>
      <c r="F14" s="162"/>
      <c r="G14" s="162"/>
      <c r="H14" s="162"/>
      <c r="I14" s="162"/>
      <c r="J14" s="162"/>
      <c r="K14" s="162"/>
      <c r="L14" s="163"/>
      <c r="M14" s="137" t="s">
        <v>47</v>
      </c>
      <c r="N14" s="138"/>
      <c r="O14" s="138"/>
      <c r="P14" s="137" t="s">
        <v>121</v>
      </c>
      <c r="Q14" s="138"/>
      <c r="R14" s="138"/>
      <c r="S14" s="137"/>
      <c r="T14" s="138"/>
      <c r="U14" s="138"/>
      <c r="V14" s="164" t="s">
        <v>204</v>
      </c>
      <c r="W14" s="165"/>
      <c r="X14" s="165"/>
      <c r="Y14" s="165"/>
      <c r="Z14" s="165"/>
      <c r="AA14" s="166"/>
      <c r="AB14" s="167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9"/>
      <c r="AR14" s="140"/>
      <c r="AS14" s="138"/>
      <c r="AT14" s="138"/>
      <c r="AU14" s="138"/>
      <c r="AV14" s="138"/>
      <c r="AW14" s="139"/>
      <c r="AX14" s="164"/>
      <c r="AY14" s="165"/>
      <c r="AZ14" s="165"/>
      <c r="BA14" s="165"/>
      <c r="BB14" s="165"/>
      <c r="BC14" s="165"/>
      <c r="BD14" s="165"/>
      <c r="BE14" s="165"/>
      <c r="BF14" s="165"/>
      <c r="BG14" s="165"/>
      <c r="BH14" s="165"/>
      <c r="BI14" s="165"/>
      <c r="BJ14" s="165"/>
      <c r="BK14" s="165"/>
      <c r="BL14" s="165"/>
      <c r="BM14" s="165"/>
      <c r="BN14" s="165"/>
      <c r="BO14" s="165"/>
      <c r="BP14" s="165"/>
      <c r="BQ14" s="165"/>
      <c r="BR14" s="165"/>
      <c r="BS14" s="165"/>
      <c r="BT14" s="171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61" t="s">
        <v>95</v>
      </c>
      <c r="F15" s="162"/>
      <c r="G15" s="162"/>
      <c r="H15" s="162"/>
      <c r="I15" s="162"/>
      <c r="J15" s="162"/>
      <c r="K15" s="162"/>
      <c r="L15" s="163"/>
      <c r="M15" s="137" t="s">
        <v>47</v>
      </c>
      <c r="N15" s="138"/>
      <c r="O15" s="138"/>
      <c r="P15" s="137" t="s">
        <v>121</v>
      </c>
      <c r="Q15" s="138"/>
      <c r="R15" s="138"/>
      <c r="S15" s="137"/>
      <c r="T15" s="138"/>
      <c r="U15" s="138"/>
      <c r="V15" s="164" t="s">
        <v>205</v>
      </c>
      <c r="W15" s="165"/>
      <c r="X15" s="165"/>
      <c r="Y15" s="165"/>
      <c r="Z15" s="165"/>
      <c r="AA15" s="166"/>
      <c r="AB15" s="167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9"/>
      <c r="AR15" s="137">
        <v>9999</v>
      </c>
      <c r="AS15" s="138"/>
      <c r="AT15" s="138"/>
      <c r="AU15" s="138"/>
      <c r="AV15" s="138"/>
      <c r="AW15" s="139"/>
      <c r="AX15" s="164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5"/>
      <c r="BK15" s="165"/>
      <c r="BL15" s="165"/>
      <c r="BM15" s="165"/>
      <c r="BN15" s="165"/>
      <c r="BO15" s="165"/>
      <c r="BP15" s="165"/>
      <c r="BQ15" s="165"/>
      <c r="BR15" s="165"/>
      <c r="BS15" s="165"/>
      <c r="BT15" s="171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61" t="s">
        <v>96</v>
      </c>
      <c r="F16" s="162"/>
      <c r="G16" s="162"/>
      <c r="H16" s="162"/>
      <c r="I16" s="162"/>
      <c r="J16" s="162"/>
      <c r="K16" s="162"/>
      <c r="L16" s="163"/>
      <c r="M16" s="137" t="s">
        <v>47</v>
      </c>
      <c r="N16" s="138"/>
      <c r="O16" s="138"/>
      <c r="P16" s="137" t="s">
        <v>121</v>
      </c>
      <c r="Q16" s="138"/>
      <c r="R16" s="138"/>
      <c r="S16" s="137"/>
      <c r="T16" s="138"/>
      <c r="U16" s="138"/>
      <c r="V16" s="164" t="s">
        <v>206</v>
      </c>
      <c r="W16" s="165"/>
      <c r="X16" s="165"/>
      <c r="Y16" s="165"/>
      <c r="Z16" s="165"/>
      <c r="AA16" s="166"/>
      <c r="AB16" s="167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9"/>
      <c r="AR16" s="137"/>
      <c r="AS16" s="138"/>
      <c r="AT16" s="138"/>
      <c r="AU16" s="138"/>
      <c r="AV16" s="138"/>
      <c r="AW16" s="139"/>
      <c r="AX16" s="164"/>
      <c r="AY16" s="165"/>
      <c r="AZ16" s="165"/>
      <c r="BA16" s="165"/>
      <c r="BB16" s="165"/>
      <c r="BC16" s="165"/>
      <c r="BD16" s="165"/>
      <c r="BE16" s="165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71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61" t="s">
        <v>97</v>
      </c>
      <c r="F17" s="162"/>
      <c r="G17" s="162"/>
      <c r="H17" s="162"/>
      <c r="I17" s="162"/>
      <c r="J17" s="162"/>
      <c r="K17" s="162"/>
      <c r="L17" s="163"/>
      <c r="M17" s="137" t="s">
        <v>38</v>
      </c>
      <c r="N17" s="138"/>
      <c r="O17" s="138"/>
      <c r="P17" s="137" t="s">
        <v>122</v>
      </c>
      <c r="Q17" s="138"/>
      <c r="R17" s="138"/>
      <c r="S17" s="137"/>
      <c r="T17" s="138"/>
      <c r="U17" s="138"/>
      <c r="V17" s="164" t="s">
        <v>207</v>
      </c>
      <c r="W17" s="165"/>
      <c r="X17" s="165"/>
      <c r="Y17" s="165"/>
      <c r="Z17" s="165"/>
      <c r="AA17" s="166"/>
      <c r="AB17" s="167" t="s">
        <v>285</v>
      </c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9"/>
      <c r="AR17" s="137"/>
      <c r="AS17" s="138"/>
      <c r="AT17" s="138"/>
      <c r="AU17" s="138"/>
      <c r="AV17" s="138"/>
      <c r="AW17" s="139"/>
      <c r="AX17" s="164"/>
      <c r="AY17" s="165"/>
      <c r="AZ17" s="165"/>
      <c r="BA17" s="165"/>
      <c r="BB17" s="165"/>
      <c r="BC17" s="165"/>
      <c r="BD17" s="165"/>
      <c r="BE17" s="165"/>
      <c r="BF17" s="165"/>
      <c r="BG17" s="165"/>
      <c r="BH17" s="165"/>
      <c r="BI17" s="165"/>
      <c r="BJ17" s="165"/>
      <c r="BK17" s="165"/>
      <c r="BL17" s="165"/>
      <c r="BM17" s="165"/>
      <c r="BN17" s="165"/>
      <c r="BO17" s="165"/>
      <c r="BP17" s="165"/>
      <c r="BQ17" s="165"/>
      <c r="BR17" s="165"/>
      <c r="BS17" s="165"/>
      <c r="BT17" s="171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61" t="s">
        <v>98</v>
      </c>
      <c r="F18" s="162"/>
      <c r="G18" s="162"/>
      <c r="H18" s="162"/>
      <c r="I18" s="162"/>
      <c r="J18" s="162"/>
      <c r="K18" s="162"/>
      <c r="L18" s="163"/>
      <c r="M18" s="137" t="s">
        <v>47</v>
      </c>
      <c r="N18" s="138"/>
      <c r="O18" s="138"/>
      <c r="P18" s="137" t="s">
        <v>121</v>
      </c>
      <c r="Q18" s="138"/>
      <c r="R18" s="138"/>
      <c r="S18" s="137"/>
      <c r="T18" s="138"/>
      <c r="U18" s="138"/>
      <c r="V18" s="164" t="s">
        <v>208</v>
      </c>
      <c r="W18" s="165"/>
      <c r="X18" s="165"/>
      <c r="Y18" s="165"/>
      <c r="Z18" s="165"/>
      <c r="AA18" s="166"/>
      <c r="AB18" s="167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9"/>
      <c r="AR18" s="170"/>
      <c r="AS18" s="138"/>
      <c r="AT18" s="138"/>
      <c r="AU18" s="138"/>
      <c r="AV18" s="138"/>
      <c r="AW18" s="139"/>
      <c r="AX18" s="164"/>
      <c r="AY18" s="165"/>
      <c r="AZ18" s="165"/>
      <c r="BA18" s="165"/>
      <c r="BB18" s="165"/>
      <c r="BC18" s="165"/>
      <c r="BD18" s="165"/>
      <c r="BE18" s="165"/>
      <c r="BF18" s="165"/>
      <c r="BG18" s="165"/>
      <c r="BH18" s="165"/>
      <c r="BI18" s="165"/>
      <c r="BJ18" s="165"/>
      <c r="BK18" s="165"/>
      <c r="BL18" s="165"/>
      <c r="BM18" s="165"/>
      <c r="BN18" s="165"/>
      <c r="BO18" s="165"/>
      <c r="BP18" s="165"/>
      <c r="BQ18" s="165"/>
      <c r="BR18" s="165"/>
      <c r="BS18" s="165"/>
      <c r="BT18" s="171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61" t="s">
        <v>99</v>
      </c>
      <c r="F19" s="162"/>
      <c r="G19" s="162"/>
      <c r="H19" s="162"/>
      <c r="I19" s="162"/>
      <c r="J19" s="162"/>
      <c r="K19" s="162"/>
      <c r="L19" s="163"/>
      <c r="M19" s="137" t="s">
        <v>47</v>
      </c>
      <c r="N19" s="138"/>
      <c r="O19" s="138"/>
      <c r="P19" s="137" t="s">
        <v>121</v>
      </c>
      <c r="Q19" s="138"/>
      <c r="R19" s="138"/>
      <c r="S19" s="137"/>
      <c r="T19" s="138"/>
      <c r="U19" s="138"/>
      <c r="V19" s="164" t="s">
        <v>209</v>
      </c>
      <c r="W19" s="165"/>
      <c r="X19" s="165"/>
      <c r="Y19" s="165"/>
      <c r="Z19" s="165"/>
      <c r="AA19" s="166"/>
      <c r="AB19" s="167">
        <v>0</v>
      </c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9"/>
      <c r="AR19" s="170"/>
      <c r="AS19" s="138"/>
      <c r="AT19" s="138"/>
      <c r="AU19" s="138"/>
      <c r="AV19" s="138"/>
      <c r="AW19" s="139"/>
      <c r="AX19" s="164"/>
      <c r="AY19" s="165"/>
      <c r="AZ19" s="165"/>
      <c r="BA19" s="165"/>
      <c r="BB19" s="165"/>
      <c r="BC19" s="165"/>
      <c r="BD19" s="165"/>
      <c r="BE19" s="165"/>
      <c r="BF19" s="165"/>
      <c r="BG19" s="165"/>
      <c r="BH19" s="165"/>
      <c r="BI19" s="165"/>
      <c r="BJ19" s="165"/>
      <c r="BK19" s="165"/>
      <c r="BL19" s="165"/>
      <c r="BM19" s="165"/>
      <c r="BN19" s="165"/>
      <c r="BO19" s="165"/>
      <c r="BP19" s="165"/>
      <c r="BQ19" s="165"/>
      <c r="BR19" s="165"/>
      <c r="BS19" s="165"/>
      <c r="BT19" s="171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61" t="s">
        <v>100</v>
      </c>
      <c r="F20" s="162"/>
      <c r="G20" s="162"/>
      <c r="H20" s="162"/>
      <c r="I20" s="162"/>
      <c r="J20" s="162"/>
      <c r="K20" s="162"/>
      <c r="L20" s="163"/>
      <c r="M20" s="137" t="s">
        <v>47</v>
      </c>
      <c r="N20" s="138"/>
      <c r="O20" s="138"/>
      <c r="P20" s="137" t="s">
        <v>121</v>
      </c>
      <c r="Q20" s="138"/>
      <c r="R20" s="138"/>
      <c r="S20" s="137"/>
      <c r="T20" s="138"/>
      <c r="U20" s="138"/>
      <c r="V20" s="164" t="s">
        <v>210</v>
      </c>
      <c r="W20" s="165"/>
      <c r="X20" s="165"/>
      <c r="Y20" s="165"/>
      <c r="Z20" s="165"/>
      <c r="AA20" s="166"/>
      <c r="AB20" s="167" t="s">
        <v>286</v>
      </c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9"/>
      <c r="AR20" s="170"/>
      <c r="AS20" s="138"/>
      <c r="AT20" s="138"/>
      <c r="AU20" s="138"/>
      <c r="AV20" s="138"/>
      <c r="AW20" s="139"/>
      <c r="AX20" s="164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5"/>
      <c r="BK20" s="165"/>
      <c r="BL20" s="165"/>
      <c r="BM20" s="165"/>
      <c r="BN20" s="165"/>
      <c r="BO20" s="165"/>
      <c r="BP20" s="165"/>
      <c r="BQ20" s="165"/>
      <c r="BR20" s="165"/>
      <c r="BS20" s="165"/>
      <c r="BT20" s="171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61" t="s">
        <v>101</v>
      </c>
      <c r="F21" s="162"/>
      <c r="G21" s="162"/>
      <c r="H21" s="162"/>
      <c r="I21" s="162"/>
      <c r="J21" s="162"/>
      <c r="K21" s="162"/>
      <c r="L21" s="163"/>
      <c r="M21" s="137" t="s">
        <v>47</v>
      </c>
      <c r="N21" s="138"/>
      <c r="O21" s="138"/>
      <c r="P21" s="137" t="s">
        <v>121</v>
      </c>
      <c r="Q21" s="138"/>
      <c r="R21" s="138"/>
      <c r="S21" s="137"/>
      <c r="T21" s="138"/>
      <c r="U21" s="138"/>
      <c r="V21" s="164" t="s">
        <v>211</v>
      </c>
      <c r="W21" s="165"/>
      <c r="X21" s="165"/>
      <c r="Y21" s="165"/>
      <c r="Z21" s="165"/>
      <c r="AA21" s="166"/>
      <c r="AB21" s="167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9"/>
      <c r="AR21" s="170"/>
      <c r="AS21" s="138"/>
      <c r="AT21" s="138"/>
      <c r="AU21" s="138"/>
      <c r="AV21" s="138"/>
      <c r="AW21" s="139"/>
      <c r="AX21" s="164"/>
      <c r="AY21" s="165"/>
      <c r="AZ21" s="165"/>
      <c r="BA21" s="165"/>
      <c r="BB21" s="165"/>
      <c r="BC21" s="165"/>
      <c r="BD21" s="165"/>
      <c r="BE21" s="165"/>
      <c r="BF21" s="165"/>
      <c r="BG21" s="165"/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71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61" t="s">
        <v>102</v>
      </c>
      <c r="F22" s="162"/>
      <c r="G22" s="162"/>
      <c r="H22" s="162"/>
      <c r="I22" s="162"/>
      <c r="J22" s="162"/>
      <c r="K22" s="162"/>
      <c r="L22" s="163"/>
      <c r="M22" s="137" t="s">
        <v>38</v>
      </c>
      <c r="N22" s="138"/>
      <c r="O22" s="138"/>
      <c r="P22" s="137" t="s">
        <v>122</v>
      </c>
      <c r="Q22" s="138"/>
      <c r="R22" s="138"/>
      <c r="S22" s="137"/>
      <c r="T22" s="138"/>
      <c r="U22" s="138"/>
      <c r="V22" s="164" t="s">
        <v>212</v>
      </c>
      <c r="W22" s="165"/>
      <c r="X22" s="165"/>
      <c r="Y22" s="165"/>
      <c r="Z22" s="165"/>
      <c r="AA22" s="166"/>
      <c r="AB22" s="167" t="s">
        <v>285</v>
      </c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9"/>
      <c r="AR22" s="170"/>
      <c r="AS22" s="138"/>
      <c r="AT22" s="138"/>
      <c r="AU22" s="138"/>
      <c r="AV22" s="138"/>
      <c r="AW22" s="139"/>
      <c r="AX22" s="164"/>
      <c r="AY22" s="165"/>
      <c r="AZ22" s="165"/>
      <c r="BA22" s="165"/>
      <c r="BB22" s="165"/>
      <c r="BC22" s="165"/>
      <c r="BD22" s="165"/>
      <c r="BE22" s="165"/>
      <c r="BF22" s="165"/>
      <c r="BG22" s="165"/>
      <c r="BH22" s="165"/>
      <c r="BI22" s="165"/>
      <c r="BJ22" s="165"/>
      <c r="BK22" s="165"/>
      <c r="BL22" s="165"/>
      <c r="BM22" s="165"/>
      <c r="BN22" s="165"/>
      <c r="BO22" s="165"/>
      <c r="BP22" s="165"/>
      <c r="BQ22" s="165"/>
      <c r="BR22" s="165"/>
      <c r="BS22" s="165"/>
      <c r="BT22" s="171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61" t="s">
        <v>103</v>
      </c>
      <c r="F23" s="162"/>
      <c r="G23" s="162"/>
      <c r="H23" s="162"/>
      <c r="I23" s="162"/>
      <c r="J23" s="162"/>
      <c r="K23" s="162"/>
      <c r="L23" s="163"/>
      <c r="M23" s="137" t="s">
        <v>47</v>
      </c>
      <c r="N23" s="138"/>
      <c r="O23" s="138"/>
      <c r="P23" s="137" t="s">
        <v>121</v>
      </c>
      <c r="Q23" s="138"/>
      <c r="R23" s="138"/>
      <c r="S23" s="137"/>
      <c r="T23" s="138"/>
      <c r="U23" s="138"/>
      <c r="V23" s="164" t="s">
        <v>213</v>
      </c>
      <c r="W23" s="165"/>
      <c r="X23" s="165"/>
      <c r="Y23" s="165"/>
      <c r="Z23" s="165"/>
      <c r="AA23" s="166"/>
      <c r="AB23" s="167" t="s">
        <v>285</v>
      </c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9"/>
      <c r="AR23" s="170"/>
      <c r="AS23" s="138"/>
      <c r="AT23" s="138"/>
      <c r="AU23" s="138"/>
      <c r="AV23" s="138"/>
      <c r="AW23" s="139"/>
      <c r="AX23" s="164"/>
      <c r="AY23" s="165"/>
      <c r="AZ23" s="165"/>
      <c r="BA23" s="165"/>
      <c r="BB23" s="165"/>
      <c r="BC23" s="165"/>
      <c r="BD23" s="165"/>
      <c r="BE23" s="165"/>
      <c r="BF23" s="165"/>
      <c r="BG23" s="165"/>
      <c r="BH23" s="165"/>
      <c r="BI23" s="165"/>
      <c r="BJ23" s="165"/>
      <c r="BK23" s="165"/>
      <c r="BL23" s="165"/>
      <c r="BM23" s="165"/>
      <c r="BN23" s="165"/>
      <c r="BO23" s="165"/>
      <c r="BP23" s="165"/>
      <c r="BQ23" s="165"/>
      <c r="BR23" s="165"/>
      <c r="BS23" s="165"/>
      <c r="BT23" s="171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61" t="s">
        <v>104</v>
      </c>
      <c r="F24" s="162"/>
      <c r="G24" s="162"/>
      <c r="H24" s="162"/>
      <c r="I24" s="162"/>
      <c r="J24" s="162"/>
      <c r="K24" s="162"/>
      <c r="L24" s="163"/>
      <c r="M24" s="137" t="s">
        <v>38</v>
      </c>
      <c r="N24" s="138"/>
      <c r="O24" s="138"/>
      <c r="P24" s="137" t="s">
        <v>122</v>
      </c>
      <c r="Q24" s="138"/>
      <c r="R24" s="138"/>
      <c r="S24" s="137"/>
      <c r="T24" s="138"/>
      <c r="U24" s="138"/>
      <c r="V24" s="164" t="s">
        <v>214</v>
      </c>
      <c r="W24" s="165"/>
      <c r="X24" s="165"/>
      <c r="Y24" s="165"/>
      <c r="Z24" s="165"/>
      <c r="AA24" s="166"/>
      <c r="AB24" s="167" t="s">
        <v>285</v>
      </c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9"/>
      <c r="AR24" s="170"/>
      <c r="AS24" s="138"/>
      <c r="AT24" s="138"/>
      <c r="AU24" s="138"/>
      <c r="AV24" s="138"/>
      <c r="AW24" s="139"/>
      <c r="AX24" s="164"/>
      <c r="AY24" s="165"/>
      <c r="AZ24" s="165"/>
      <c r="BA24" s="165"/>
      <c r="BB24" s="165"/>
      <c r="BC24" s="165"/>
      <c r="BD24" s="165"/>
      <c r="BE24" s="165"/>
      <c r="BF24" s="165"/>
      <c r="BG24" s="165"/>
      <c r="BH24" s="165"/>
      <c r="BI24" s="165"/>
      <c r="BJ24" s="165"/>
      <c r="BK24" s="165"/>
      <c r="BL24" s="165"/>
      <c r="BM24" s="165"/>
      <c r="BN24" s="165"/>
      <c r="BO24" s="165"/>
      <c r="BP24" s="165"/>
      <c r="BQ24" s="165"/>
      <c r="BR24" s="165"/>
      <c r="BS24" s="165"/>
      <c r="BT24" s="171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61" t="s">
        <v>105</v>
      </c>
      <c r="F25" s="162"/>
      <c r="G25" s="162"/>
      <c r="H25" s="162"/>
      <c r="I25" s="162"/>
      <c r="J25" s="162"/>
      <c r="K25" s="162"/>
      <c r="L25" s="163"/>
      <c r="M25" s="137" t="s">
        <v>47</v>
      </c>
      <c r="N25" s="138"/>
      <c r="O25" s="138"/>
      <c r="P25" s="137" t="s">
        <v>121</v>
      </c>
      <c r="Q25" s="138"/>
      <c r="R25" s="138"/>
      <c r="S25" s="137"/>
      <c r="T25" s="138"/>
      <c r="U25" s="138"/>
      <c r="V25" s="164" t="s">
        <v>215</v>
      </c>
      <c r="W25" s="165"/>
      <c r="X25" s="165"/>
      <c r="Y25" s="165"/>
      <c r="Z25" s="165"/>
      <c r="AA25" s="166"/>
      <c r="AB25" s="167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9"/>
      <c r="AR25" s="170"/>
      <c r="AS25" s="138"/>
      <c r="AT25" s="138"/>
      <c r="AU25" s="138"/>
      <c r="AV25" s="138"/>
      <c r="AW25" s="139"/>
      <c r="AX25" s="164"/>
      <c r="AY25" s="165"/>
      <c r="AZ25" s="165"/>
      <c r="BA25" s="165"/>
      <c r="BB25" s="165"/>
      <c r="BC25" s="165"/>
      <c r="BD25" s="165"/>
      <c r="BE25" s="165"/>
      <c r="BF25" s="165"/>
      <c r="BG25" s="165"/>
      <c r="BH25" s="165"/>
      <c r="BI25" s="165"/>
      <c r="BJ25" s="165"/>
      <c r="BK25" s="165"/>
      <c r="BL25" s="165"/>
      <c r="BM25" s="165"/>
      <c r="BN25" s="165"/>
      <c r="BO25" s="165"/>
      <c r="BP25" s="165"/>
      <c r="BQ25" s="165"/>
      <c r="BR25" s="165"/>
      <c r="BS25" s="165"/>
      <c r="BT25" s="171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61" t="s">
        <v>107</v>
      </c>
      <c r="F26" s="162"/>
      <c r="G26" s="162"/>
      <c r="H26" s="162"/>
      <c r="I26" s="162"/>
      <c r="J26" s="162"/>
      <c r="K26" s="162"/>
      <c r="L26" s="163"/>
      <c r="M26" s="137" t="s">
        <v>38</v>
      </c>
      <c r="N26" s="138"/>
      <c r="O26" s="138"/>
      <c r="P26" s="137" t="s">
        <v>122</v>
      </c>
      <c r="Q26" s="138"/>
      <c r="R26" s="138"/>
      <c r="S26" s="137"/>
      <c r="T26" s="138"/>
      <c r="U26" s="138"/>
      <c r="V26" s="164" t="s">
        <v>188</v>
      </c>
      <c r="W26" s="165"/>
      <c r="X26" s="165"/>
      <c r="Y26" s="165"/>
      <c r="Z26" s="165"/>
      <c r="AA26" s="166"/>
      <c r="AB26" s="167" t="s">
        <v>285</v>
      </c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9"/>
      <c r="AR26" s="170"/>
      <c r="AS26" s="138"/>
      <c r="AT26" s="138"/>
      <c r="AU26" s="138"/>
      <c r="AV26" s="138"/>
      <c r="AW26" s="139"/>
      <c r="AX26" s="164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71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61" t="s">
        <v>108</v>
      </c>
      <c r="F27" s="162"/>
      <c r="G27" s="162"/>
      <c r="H27" s="162"/>
      <c r="I27" s="162"/>
      <c r="J27" s="162"/>
      <c r="K27" s="162"/>
      <c r="L27" s="163"/>
      <c r="M27" s="137" t="s">
        <v>47</v>
      </c>
      <c r="N27" s="138"/>
      <c r="O27" s="138"/>
      <c r="P27" s="137" t="s">
        <v>121</v>
      </c>
      <c r="Q27" s="138"/>
      <c r="R27" s="138"/>
      <c r="S27" s="137"/>
      <c r="T27" s="138"/>
      <c r="U27" s="138"/>
      <c r="V27" s="164" t="s">
        <v>189</v>
      </c>
      <c r="W27" s="165"/>
      <c r="X27" s="165"/>
      <c r="Y27" s="165"/>
      <c r="Z27" s="165"/>
      <c r="AA27" s="166"/>
      <c r="AB27" s="167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9"/>
      <c r="AR27" s="170"/>
      <c r="AS27" s="138"/>
      <c r="AT27" s="138"/>
      <c r="AU27" s="138"/>
      <c r="AV27" s="138"/>
      <c r="AW27" s="139"/>
      <c r="AX27" s="164"/>
      <c r="AY27" s="165"/>
      <c r="AZ27" s="165"/>
      <c r="BA27" s="165"/>
      <c r="BB27" s="165"/>
      <c r="BC27" s="165"/>
      <c r="BD27" s="165"/>
      <c r="BE27" s="165"/>
      <c r="BF27" s="165"/>
      <c r="BG27" s="165"/>
      <c r="BH27" s="165"/>
      <c r="BI27" s="165"/>
      <c r="BJ27" s="165"/>
      <c r="BK27" s="165"/>
      <c r="BL27" s="165"/>
      <c r="BM27" s="165"/>
      <c r="BN27" s="165"/>
      <c r="BO27" s="165"/>
      <c r="BP27" s="165"/>
      <c r="BQ27" s="165"/>
      <c r="BR27" s="165"/>
      <c r="BS27" s="165"/>
      <c r="BT27" s="171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61" t="s">
        <v>109</v>
      </c>
      <c r="F28" s="162"/>
      <c r="G28" s="162"/>
      <c r="H28" s="162"/>
      <c r="I28" s="162"/>
      <c r="J28" s="162"/>
      <c r="K28" s="162"/>
      <c r="L28" s="163"/>
      <c r="M28" s="137" t="s">
        <v>47</v>
      </c>
      <c r="N28" s="138"/>
      <c r="O28" s="138"/>
      <c r="P28" s="137" t="s">
        <v>121</v>
      </c>
      <c r="Q28" s="138"/>
      <c r="R28" s="138"/>
      <c r="S28" s="137"/>
      <c r="T28" s="138"/>
      <c r="U28" s="138"/>
      <c r="V28" s="164" t="s">
        <v>190</v>
      </c>
      <c r="W28" s="165"/>
      <c r="X28" s="165"/>
      <c r="Y28" s="165"/>
      <c r="Z28" s="165"/>
      <c r="AA28" s="166"/>
      <c r="AB28" s="167">
        <v>0</v>
      </c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9"/>
      <c r="AR28" s="170"/>
      <c r="AS28" s="138"/>
      <c r="AT28" s="138"/>
      <c r="AU28" s="138"/>
      <c r="AV28" s="138"/>
      <c r="AW28" s="139"/>
      <c r="AX28" s="164"/>
      <c r="AY28" s="165"/>
      <c r="AZ28" s="165"/>
      <c r="BA28" s="165"/>
      <c r="BB28" s="165"/>
      <c r="BC28" s="165"/>
      <c r="BD28" s="165"/>
      <c r="BE28" s="165"/>
      <c r="BF28" s="165"/>
      <c r="BG28" s="165"/>
      <c r="BH28" s="165"/>
      <c r="BI28" s="165"/>
      <c r="BJ28" s="165"/>
      <c r="BK28" s="165"/>
      <c r="BL28" s="165"/>
      <c r="BM28" s="165"/>
      <c r="BN28" s="165"/>
      <c r="BO28" s="165"/>
      <c r="BP28" s="165"/>
      <c r="BQ28" s="165"/>
      <c r="BR28" s="165"/>
      <c r="BS28" s="165"/>
      <c r="BT28" s="171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61" t="s">
        <v>110</v>
      </c>
      <c r="F29" s="162"/>
      <c r="G29" s="162"/>
      <c r="H29" s="162"/>
      <c r="I29" s="162"/>
      <c r="J29" s="162"/>
      <c r="K29" s="162"/>
      <c r="L29" s="163"/>
      <c r="M29" s="137" t="s">
        <v>47</v>
      </c>
      <c r="N29" s="138"/>
      <c r="O29" s="138"/>
      <c r="P29" s="137" t="s">
        <v>121</v>
      </c>
      <c r="Q29" s="138"/>
      <c r="R29" s="138"/>
      <c r="S29" s="137"/>
      <c r="T29" s="138"/>
      <c r="U29" s="138"/>
      <c r="V29" s="164" t="s">
        <v>191</v>
      </c>
      <c r="W29" s="165"/>
      <c r="X29" s="165"/>
      <c r="Y29" s="165"/>
      <c r="Z29" s="165"/>
      <c r="AA29" s="166"/>
      <c r="AB29" s="167" t="s">
        <v>285</v>
      </c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9"/>
      <c r="AR29" s="170"/>
      <c r="AS29" s="138"/>
      <c r="AT29" s="138"/>
      <c r="AU29" s="138"/>
      <c r="AV29" s="138"/>
      <c r="AW29" s="139"/>
      <c r="AX29" s="164"/>
      <c r="AY29" s="165"/>
      <c r="AZ29" s="165"/>
      <c r="BA29" s="165"/>
      <c r="BB29" s="165"/>
      <c r="BC29" s="165"/>
      <c r="BD29" s="165"/>
      <c r="BE29" s="165"/>
      <c r="BF29" s="165"/>
      <c r="BG29" s="165"/>
      <c r="BH29" s="165"/>
      <c r="BI29" s="165"/>
      <c r="BJ29" s="165"/>
      <c r="BK29" s="165"/>
      <c r="BL29" s="165"/>
      <c r="BM29" s="165"/>
      <c r="BN29" s="165"/>
      <c r="BO29" s="165"/>
      <c r="BP29" s="165"/>
      <c r="BQ29" s="165"/>
      <c r="BR29" s="165"/>
      <c r="BS29" s="165"/>
      <c r="BT29" s="171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19.8" customHeight="1" x14ac:dyDescent="0.45">
      <c r="A30" s="29"/>
      <c r="B30" s="44"/>
      <c r="C30"/>
      <c r="D30" s="37">
        <v>20</v>
      </c>
      <c r="E30" s="172" t="s">
        <v>111</v>
      </c>
      <c r="F30" s="173"/>
      <c r="G30" s="173"/>
      <c r="H30" s="173"/>
      <c r="I30" s="173"/>
      <c r="J30" s="173"/>
      <c r="K30" s="173"/>
      <c r="L30" s="174"/>
      <c r="M30" s="137" t="s">
        <v>47</v>
      </c>
      <c r="N30" s="138"/>
      <c r="O30" s="138"/>
      <c r="P30" s="137" t="s">
        <v>121</v>
      </c>
      <c r="Q30" s="138"/>
      <c r="R30" s="138"/>
      <c r="S30" s="175"/>
      <c r="T30" s="176"/>
      <c r="U30" s="176"/>
      <c r="V30" s="164" t="s">
        <v>192</v>
      </c>
      <c r="W30" s="165"/>
      <c r="X30" s="165"/>
      <c r="Y30" s="165"/>
      <c r="Z30" s="165"/>
      <c r="AA30" s="166"/>
      <c r="AB30" s="177" t="s">
        <v>285</v>
      </c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  <c r="AO30" s="178"/>
      <c r="AP30" s="178"/>
      <c r="AQ30" s="179"/>
      <c r="AR30" s="170"/>
      <c r="AS30" s="138"/>
      <c r="AT30" s="138"/>
      <c r="AU30" s="138"/>
      <c r="AV30" s="138"/>
      <c r="AW30" s="139"/>
      <c r="AX30" s="180"/>
      <c r="AY30" s="181"/>
      <c r="AZ30" s="181"/>
      <c r="BA30" s="181"/>
      <c r="BB30" s="181"/>
      <c r="BC30" s="181"/>
      <c r="BD30" s="181"/>
      <c r="BE30" s="181"/>
      <c r="BF30" s="181"/>
      <c r="BG30" s="181"/>
      <c r="BH30" s="181"/>
      <c r="BI30" s="181"/>
      <c r="BJ30" s="181"/>
      <c r="BK30" s="181"/>
      <c r="BL30" s="181"/>
      <c r="BM30" s="181"/>
      <c r="BN30" s="181"/>
      <c r="BO30" s="181"/>
      <c r="BP30" s="181"/>
      <c r="BQ30" s="181"/>
      <c r="BR30" s="181"/>
      <c r="BS30" s="181"/>
      <c r="BT30" s="182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29"/>
      <c r="B31" s="35"/>
      <c r="C31" s="29"/>
      <c r="D31" s="37">
        <v>21</v>
      </c>
      <c r="E31" s="161" t="s">
        <v>112</v>
      </c>
      <c r="F31" s="162"/>
      <c r="G31" s="162"/>
      <c r="H31" s="162"/>
      <c r="I31" s="162"/>
      <c r="J31" s="162"/>
      <c r="K31" s="162"/>
      <c r="L31" s="163"/>
      <c r="M31" s="137" t="s">
        <v>38</v>
      </c>
      <c r="N31" s="138"/>
      <c r="O31" s="138"/>
      <c r="P31" s="137" t="s">
        <v>122</v>
      </c>
      <c r="Q31" s="138"/>
      <c r="R31" s="138"/>
      <c r="S31" s="137"/>
      <c r="T31" s="138"/>
      <c r="U31" s="138"/>
      <c r="V31" s="164" t="s">
        <v>193</v>
      </c>
      <c r="W31" s="165"/>
      <c r="X31" s="165"/>
      <c r="Y31" s="165"/>
      <c r="Z31" s="165"/>
      <c r="AA31" s="166"/>
      <c r="AB31" s="167" t="s">
        <v>285</v>
      </c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9"/>
      <c r="AR31" s="170"/>
      <c r="AS31" s="138"/>
      <c r="AT31" s="138"/>
      <c r="AU31" s="138"/>
      <c r="AV31" s="138"/>
      <c r="AW31" s="139"/>
      <c r="AX31" s="164"/>
      <c r="AY31" s="165"/>
      <c r="AZ31" s="165"/>
      <c r="BA31" s="165"/>
      <c r="BB31" s="165"/>
      <c r="BC31" s="165"/>
      <c r="BD31" s="165"/>
      <c r="BE31" s="165"/>
      <c r="BF31" s="165"/>
      <c r="BG31" s="165"/>
      <c r="BH31" s="165"/>
      <c r="BI31" s="165"/>
      <c r="BJ31" s="165"/>
      <c r="BK31" s="165"/>
      <c r="BL31" s="165"/>
      <c r="BM31" s="165"/>
      <c r="BN31" s="165"/>
      <c r="BO31" s="165"/>
      <c r="BP31" s="165"/>
      <c r="BQ31" s="165"/>
      <c r="BR31" s="165"/>
      <c r="BS31" s="165"/>
      <c r="BT31" s="171"/>
      <c r="BU31" s="41"/>
      <c r="BV31" s="40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</row>
    <row r="32" spans="1:85" ht="20.100000000000001" customHeight="1" x14ac:dyDescent="0.45">
      <c r="A32" s="29"/>
      <c r="B32" s="44"/>
      <c r="C32" s="29"/>
      <c r="D32" s="37">
        <v>22</v>
      </c>
      <c r="E32" s="161" t="s">
        <v>113</v>
      </c>
      <c r="F32" s="162"/>
      <c r="G32" s="162"/>
      <c r="H32" s="162"/>
      <c r="I32" s="162"/>
      <c r="J32" s="162"/>
      <c r="K32" s="162"/>
      <c r="L32" s="163"/>
      <c r="M32" s="137" t="s">
        <v>47</v>
      </c>
      <c r="N32" s="138"/>
      <c r="O32" s="138"/>
      <c r="P32" s="137" t="s">
        <v>121</v>
      </c>
      <c r="Q32" s="138"/>
      <c r="R32" s="138"/>
      <c r="S32" s="137"/>
      <c r="T32" s="138"/>
      <c r="U32" s="138"/>
      <c r="V32" s="164" t="s">
        <v>194</v>
      </c>
      <c r="W32" s="165"/>
      <c r="X32" s="165"/>
      <c r="Y32" s="165"/>
      <c r="Z32" s="165"/>
      <c r="AA32" s="166"/>
      <c r="AB32" s="167" t="s">
        <v>287</v>
      </c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9"/>
      <c r="AR32" s="170"/>
      <c r="AS32" s="138"/>
      <c r="AT32" s="138"/>
      <c r="AU32" s="138"/>
      <c r="AV32" s="138"/>
      <c r="AW32" s="139"/>
      <c r="AX32" s="164"/>
      <c r="AY32" s="165"/>
      <c r="AZ32" s="165"/>
      <c r="BA32" s="165"/>
      <c r="BB32" s="165"/>
      <c r="BC32" s="165"/>
      <c r="BD32" s="165"/>
      <c r="BE32" s="165"/>
      <c r="BF32" s="165"/>
      <c r="BG32" s="165"/>
      <c r="BH32" s="165"/>
      <c r="BI32" s="165"/>
      <c r="BJ32" s="165"/>
      <c r="BK32" s="165"/>
      <c r="BL32" s="165"/>
      <c r="BM32" s="165"/>
      <c r="BN32" s="165"/>
      <c r="BO32" s="165"/>
      <c r="BP32" s="165"/>
      <c r="BQ32" s="165"/>
      <c r="BR32" s="165"/>
      <c r="BS32" s="165"/>
      <c r="BT32" s="171"/>
      <c r="BU32" s="41"/>
      <c r="BV32" s="40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</row>
    <row r="33" spans="1:85" ht="19.5" customHeight="1" x14ac:dyDescent="0.45">
      <c r="A33" s="29"/>
      <c r="B33" s="44"/>
      <c r="C33" s="29"/>
      <c r="D33" s="37">
        <v>23</v>
      </c>
      <c r="E33" s="161" t="s">
        <v>114</v>
      </c>
      <c r="F33" s="162"/>
      <c r="G33" s="162"/>
      <c r="H33" s="162"/>
      <c r="I33" s="162"/>
      <c r="J33" s="162"/>
      <c r="K33" s="162"/>
      <c r="L33" s="163"/>
      <c r="M33" s="137" t="s">
        <v>38</v>
      </c>
      <c r="N33" s="138"/>
      <c r="O33" s="138"/>
      <c r="P33" s="137" t="s">
        <v>122</v>
      </c>
      <c r="Q33" s="138"/>
      <c r="R33" s="138"/>
      <c r="S33" s="137"/>
      <c r="T33" s="138"/>
      <c r="U33" s="138"/>
      <c r="V33" s="164" t="s">
        <v>195</v>
      </c>
      <c r="W33" s="165"/>
      <c r="X33" s="165"/>
      <c r="Y33" s="165"/>
      <c r="Z33" s="165"/>
      <c r="AA33" s="166"/>
      <c r="AB33" s="167" t="s">
        <v>288</v>
      </c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9"/>
      <c r="AR33" s="170"/>
      <c r="AS33" s="138"/>
      <c r="AT33" s="138"/>
      <c r="AU33" s="138"/>
      <c r="AV33" s="138"/>
      <c r="AW33" s="139"/>
      <c r="AX33" s="164"/>
      <c r="AY33" s="165"/>
      <c r="AZ33" s="165"/>
      <c r="BA33" s="165"/>
      <c r="BB33" s="165"/>
      <c r="BC33" s="165"/>
      <c r="BD33" s="165"/>
      <c r="BE33" s="165"/>
      <c r="BF33" s="165"/>
      <c r="BG33" s="165"/>
      <c r="BH33" s="165"/>
      <c r="BI33" s="165"/>
      <c r="BJ33" s="165"/>
      <c r="BK33" s="165"/>
      <c r="BL33" s="165"/>
      <c r="BM33" s="165"/>
      <c r="BN33" s="165"/>
      <c r="BO33" s="165"/>
      <c r="BP33" s="165"/>
      <c r="BQ33" s="165"/>
      <c r="BR33" s="165"/>
      <c r="BS33" s="165"/>
      <c r="BT33" s="171"/>
      <c r="BU33" s="41"/>
      <c r="BV33" s="40"/>
      <c r="BW33" s="41"/>
      <c r="BX33" s="41"/>
      <c r="BY33" s="41"/>
      <c r="BZ33" s="41"/>
      <c r="CA33" s="41"/>
      <c r="CB33" s="41"/>
      <c r="CC33" s="41"/>
      <c r="CD33" s="41"/>
      <c r="CE33" s="41"/>
      <c r="CF33" s="41"/>
      <c r="CG33" s="41"/>
    </row>
    <row r="34" spans="1:85" ht="19.5" customHeight="1" x14ac:dyDescent="0.45">
      <c r="A34" s="29"/>
      <c r="B34" s="44"/>
      <c r="C34" s="29"/>
      <c r="D34" s="37">
        <v>24</v>
      </c>
      <c r="E34" s="161" t="s">
        <v>115</v>
      </c>
      <c r="F34" s="162"/>
      <c r="G34" s="162"/>
      <c r="H34" s="162"/>
      <c r="I34" s="162"/>
      <c r="J34" s="162"/>
      <c r="K34" s="162"/>
      <c r="L34" s="163"/>
      <c r="M34" s="137" t="s">
        <v>47</v>
      </c>
      <c r="N34" s="138"/>
      <c r="O34" s="138"/>
      <c r="P34" s="137" t="s">
        <v>121</v>
      </c>
      <c r="Q34" s="138"/>
      <c r="R34" s="138"/>
      <c r="S34" s="137"/>
      <c r="T34" s="138"/>
      <c r="U34" s="138"/>
      <c r="V34" s="164" t="s">
        <v>196</v>
      </c>
      <c r="W34" s="165"/>
      <c r="X34" s="165"/>
      <c r="Y34" s="165"/>
      <c r="Z34" s="165"/>
      <c r="AA34" s="166"/>
      <c r="AB34" s="167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9"/>
      <c r="AR34" s="170">
        <v>9999</v>
      </c>
      <c r="AS34" s="138"/>
      <c r="AT34" s="138"/>
      <c r="AU34" s="138"/>
      <c r="AV34" s="138"/>
      <c r="AW34" s="139"/>
      <c r="AX34" s="164"/>
      <c r="AY34" s="165"/>
      <c r="AZ34" s="165"/>
      <c r="BA34" s="165"/>
      <c r="BB34" s="165"/>
      <c r="BC34" s="165"/>
      <c r="BD34" s="165"/>
      <c r="BE34" s="165"/>
      <c r="BF34" s="165"/>
      <c r="BG34" s="165"/>
      <c r="BH34" s="165"/>
      <c r="BI34" s="165"/>
      <c r="BJ34" s="165"/>
      <c r="BK34" s="165"/>
      <c r="BL34" s="165"/>
      <c r="BM34" s="165"/>
      <c r="BN34" s="165"/>
      <c r="BO34" s="165"/>
      <c r="BP34" s="165"/>
      <c r="BQ34" s="165"/>
      <c r="BR34" s="165"/>
      <c r="BS34" s="165"/>
      <c r="BT34" s="171"/>
      <c r="BU34" s="41"/>
      <c r="BV34" s="40"/>
      <c r="BW34" s="41"/>
      <c r="BX34" s="41"/>
      <c r="BY34" s="41"/>
      <c r="BZ34" s="41"/>
      <c r="CA34" s="41"/>
      <c r="CB34" s="41"/>
      <c r="CC34" s="41"/>
      <c r="CD34" s="41"/>
      <c r="CE34" s="41"/>
      <c r="CF34" s="41"/>
      <c r="CG34" s="41"/>
    </row>
    <row r="35" spans="1:85" ht="20.100000000000001" customHeight="1" x14ac:dyDescent="0.45">
      <c r="A35" s="29"/>
      <c r="B35" s="44"/>
      <c r="C35" s="29"/>
      <c r="D35" s="37">
        <v>25</v>
      </c>
      <c r="E35" s="172" t="s">
        <v>116</v>
      </c>
      <c r="F35" s="173"/>
      <c r="G35" s="173"/>
      <c r="H35" s="173"/>
      <c r="I35" s="173"/>
      <c r="J35" s="173"/>
      <c r="K35" s="173"/>
      <c r="L35" s="174"/>
      <c r="M35" s="137" t="s">
        <v>38</v>
      </c>
      <c r="N35" s="138"/>
      <c r="O35" s="138"/>
      <c r="P35" s="137" t="s">
        <v>122</v>
      </c>
      <c r="Q35" s="138"/>
      <c r="R35" s="138"/>
      <c r="S35" s="175"/>
      <c r="T35" s="176"/>
      <c r="U35" s="176"/>
      <c r="V35" s="164" t="s">
        <v>197</v>
      </c>
      <c r="W35" s="165"/>
      <c r="X35" s="165"/>
      <c r="Y35" s="165"/>
      <c r="Z35" s="165"/>
      <c r="AA35" s="166"/>
      <c r="AB35" s="177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8"/>
      <c r="AQ35" s="179"/>
      <c r="AR35" s="170"/>
      <c r="AS35" s="138"/>
      <c r="AT35" s="138"/>
      <c r="AU35" s="138"/>
      <c r="AV35" s="138"/>
      <c r="AW35" s="139"/>
      <c r="AX35" s="180" t="s">
        <v>284</v>
      </c>
      <c r="AY35" s="181"/>
      <c r="AZ35" s="181"/>
      <c r="BA35" s="181"/>
      <c r="BB35" s="181"/>
      <c r="BC35" s="181"/>
      <c r="BD35" s="181"/>
      <c r="BE35" s="181"/>
      <c r="BF35" s="181"/>
      <c r="BG35" s="181"/>
      <c r="BH35" s="181"/>
      <c r="BI35" s="181"/>
      <c r="BJ35" s="181"/>
      <c r="BK35" s="181"/>
      <c r="BL35" s="181"/>
      <c r="BM35" s="181"/>
      <c r="BN35" s="181"/>
      <c r="BO35" s="181"/>
      <c r="BP35" s="181"/>
      <c r="BQ35" s="181"/>
      <c r="BR35" s="181"/>
      <c r="BS35" s="181"/>
      <c r="BT35" s="182"/>
      <c r="BU35" s="41"/>
      <c r="BV35" s="40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</row>
    <row r="36" spans="1:85" s="5" customFormat="1" ht="20.100000000000001" customHeight="1" x14ac:dyDescent="0.45">
      <c r="A36" s="29"/>
      <c r="B36" s="35"/>
      <c r="C36" s="29"/>
      <c r="D36" s="37">
        <v>26</v>
      </c>
      <c r="E36" s="161" t="s">
        <v>117</v>
      </c>
      <c r="F36" s="162"/>
      <c r="G36" s="162"/>
      <c r="H36" s="162"/>
      <c r="I36" s="162"/>
      <c r="J36" s="162"/>
      <c r="K36" s="162"/>
      <c r="L36" s="163"/>
      <c r="M36" s="137" t="s">
        <v>8</v>
      </c>
      <c r="N36" s="138"/>
      <c r="O36" s="138"/>
      <c r="P36" s="137" t="s">
        <v>121</v>
      </c>
      <c r="Q36" s="138"/>
      <c r="R36" s="138"/>
      <c r="S36" s="137"/>
      <c r="T36" s="138"/>
      <c r="U36" s="138"/>
      <c r="V36" s="164" t="s">
        <v>198</v>
      </c>
      <c r="W36" s="165"/>
      <c r="X36" s="165"/>
      <c r="Y36" s="165"/>
      <c r="Z36" s="165"/>
      <c r="AA36" s="166"/>
      <c r="AB36" s="167" t="s">
        <v>285</v>
      </c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9"/>
      <c r="AR36" s="170"/>
      <c r="AS36" s="138"/>
      <c r="AT36" s="138"/>
      <c r="AU36" s="138"/>
      <c r="AV36" s="138"/>
      <c r="AW36" s="139"/>
      <c r="AX36" s="164"/>
      <c r="AY36" s="165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71"/>
      <c r="BU36" s="41"/>
      <c r="BV36" s="40"/>
      <c r="BW36" s="41"/>
      <c r="BX36" s="41"/>
      <c r="BY36" s="41"/>
      <c r="BZ36" s="41"/>
      <c r="CA36" s="41"/>
      <c r="CB36" s="41"/>
      <c r="CC36" s="41"/>
      <c r="CD36" s="41"/>
      <c r="CE36" s="41"/>
      <c r="CF36" s="41"/>
      <c r="CG36" s="41"/>
    </row>
    <row r="37" spans="1:85" ht="20.100000000000001" customHeight="1" x14ac:dyDescent="0.45">
      <c r="A37" s="29"/>
      <c r="B37" s="44"/>
      <c r="C37" s="29"/>
      <c r="D37" s="37">
        <v>27</v>
      </c>
      <c r="E37" s="161" t="s">
        <v>118</v>
      </c>
      <c r="F37" s="162"/>
      <c r="G37" s="162"/>
      <c r="H37" s="162"/>
      <c r="I37" s="162"/>
      <c r="J37" s="162"/>
      <c r="K37" s="162"/>
      <c r="L37" s="163"/>
      <c r="M37" s="137" t="s">
        <v>8</v>
      </c>
      <c r="N37" s="138"/>
      <c r="O37" s="138"/>
      <c r="P37" s="137" t="s">
        <v>121</v>
      </c>
      <c r="Q37" s="138"/>
      <c r="R37" s="138"/>
      <c r="S37" s="137"/>
      <c r="T37" s="138"/>
      <c r="U37" s="138"/>
      <c r="V37" s="164" t="s">
        <v>199</v>
      </c>
      <c r="W37" s="165"/>
      <c r="X37" s="165"/>
      <c r="Y37" s="165"/>
      <c r="Z37" s="165"/>
      <c r="AA37" s="166"/>
      <c r="AB37" s="167" t="s">
        <v>285</v>
      </c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9"/>
      <c r="AR37" s="170"/>
      <c r="AS37" s="138"/>
      <c r="AT37" s="138"/>
      <c r="AU37" s="138"/>
      <c r="AV37" s="138"/>
      <c r="AW37" s="139"/>
      <c r="AX37" s="164"/>
      <c r="AY37" s="165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71"/>
      <c r="BU37" s="41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41"/>
      <c r="CG37" s="41"/>
    </row>
    <row r="38" spans="1:85" ht="19.5" customHeight="1" x14ac:dyDescent="0.45">
      <c r="A38" s="29"/>
      <c r="B38" s="44"/>
      <c r="C38" s="29"/>
      <c r="D38" s="37">
        <v>28</v>
      </c>
      <c r="E38" s="161" t="s">
        <v>119</v>
      </c>
      <c r="F38" s="162"/>
      <c r="G38" s="162"/>
      <c r="H38" s="162"/>
      <c r="I38" s="162"/>
      <c r="J38" s="162"/>
      <c r="K38" s="162"/>
      <c r="L38" s="163"/>
      <c r="M38" s="137" t="s">
        <v>8</v>
      </c>
      <c r="N38" s="138"/>
      <c r="O38" s="138"/>
      <c r="P38" s="137" t="s">
        <v>121</v>
      </c>
      <c r="Q38" s="138"/>
      <c r="R38" s="138"/>
      <c r="S38" s="137"/>
      <c r="T38" s="138"/>
      <c r="U38" s="138"/>
      <c r="V38" s="164" t="s">
        <v>200</v>
      </c>
      <c r="W38" s="165"/>
      <c r="X38" s="165"/>
      <c r="Y38" s="165"/>
      <c r="Z38" s="165"/>
      <c r="AA38" s="166"/>
      <c r="AB38" s="167" t="s">
        <v>285</v>
      </c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9"/>
      <c r="AR38" s="170"/>
      <c r="AS38" s="138"/>
      <c r="AT38" s="138"/>
      <c r="AU38" s="138"/>
      <c r="AV38" s="138"/>
      <c r="AW38" s="139"/>
      <c r="AX38" s="164"/>
      <c r="AY38" s="165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71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ht="19.5" customHeight="1" thickBot="1" x14ac:dyDescent="0.5">
      <c r="A39" s="29"/>
      <c r="B39" s="44"/>
      <c r="C39" s="29"/>
      <c r="D39" s="37">
        <v>29</v>
      </c>
      <c r="E39" s="161" t="s">
        <v>120</v>
      </c>
      <c r="F39" s="162"/>
      <c r="G39" s="162"/>
      <c r="H39" s="162"/>
      <c r="I39" s="162"/>
      <c r="J39" s="162"/>
      <c r="K39" s="162"/>
      <c r="L39" s="163"/>
      <c r="M39" s="137" t="s">
        <v>47</v>
      </c>
      <c r="N39" s="138"/>
      <c r="O39" s="138"/>
      <c r="P39" s="137" t="s">
        <v>121</v>
      </c>
      <c r="Q39" s="138"/>
      <c r="R39" s="138"/>
      <c r="S39" s="137"/>
      <c r="T39" s="138"/>
      <c r="U39" s="138"/>
      <c r="V39" s="164" t="s">
        <v>201</v>
      </c>
      <c r="W39" s="165"/>
      <c r="X39" s="165"/>
      <c r="Y39" s="165"/>
      <c r="Z39" s="165"/>
      <c r="AA39" s="166"/>
      <c r="AB39" s="167" t="s">
        <v>285</v>
      </c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9"/>
      <c r="AR39" s="170"/>
      <c r="AS39" s="138"/>
      <c r="AT39" s="138"/>
      <c r="AU39" s="138"/>
      <c r="AV39" s="138"/>
      <c r="AW39" s="139"/>
      <c r="AX39" s="164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71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ht="20.100000000000001" customHeight="1" thickTop="1" thickBot="1" x14ac:dyDescent="0.5">
      <c r="A40" s="29"/>
      <c r="B40" s="40"/>
      <c r="C40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  <c r="AS40" s="73"/>
      <c r="AT40" s="73"/>
      <c r="AU40" s="73"/>
      <c r="AV40" s="73"/>
      <c r="AW40" s="73"/>
      <c r="AX40" s="73"/>
      <c r="AY40" s="73"/>
      <c r="AZ40" s="73"/>
      <c r="BA40" s="73"/>
      <c r="BB40" s="73"/>
      <c r="BC40" s="73"/>
      <c r="BD40" s="73"/>
      <c r="BE40" s="73"/>
      <c r="BF40" s="73"/>
      <c r="BG40" s="73"/>
      <c r="BH40" s="73"/>
      <c r="BI40" s="73"/>
      <c r="BJ40" s="73"/>
      <c r="BK40" s="73"/>
      <c r="BL40" s="73"/>
      <c r="BM40" s="73"/>
      <c r="BN40" s="73"/>
      <c r="BO40" s="73"/>
      <c r="BP40" s="73"/>
      <c r="BQ40" s="46"/>
      <c r="BR40" s="46"/>
      <c r="BS40" s="46"/>
      <c r="BT40" s="46"/>
      <c r="BU40" s="28"/>
    </row>
    <row r="41" spans="1:85" ht="20.100000000000001" customHeight="1" thickTop="1" x14ac:dyDescent="0.45">
      <c r="A41" s="29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33"/>
      <c r="BD41" s="33"/>
      <c r="BE41" s="33"/>
      <c r="BF41" s="33"/>
      <c r="BG41" s="33"/>
      <c r="BH41" s="33"/>
      <c r="BI41" s="42"/>
      <c r="BJ41" s="42"/>
      <c r="BK41" s="42"/>
      <c r="BL41" s="42"/>
      <c r="BM41" s="42"/>
      <c r="BN41" s="42"/>
      <c r="BO41" s="42"/>
      <c r="BP41" s="41"/>
    </row>
    <row r="42" spans="1:85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</row>
    <row r="43" spans="1:85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1:85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1:85" ht="20.100000000000001" customHeight="1" x14ac:dyDescent="0.45"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1:85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31"/>
      <c r="BH46" s="31"/>
      <c r="BI46" s="31"/>
      <c r="BJ46" s="31"/>
      <c r="BK46" s="31"/>
      <c r="BL46" s="31"/>
      <c r="BM46" s="31"/>
      <c r="BN46" s="31"/>
      <c r="BO46" s="31"/>
      <c r="BP46" s="31"/>
    </row>
    <row r="47" spans="1:85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31"/>
      <c r="BH47" s="31"/>
      <c r="BI47" s="31"/>
      <c r="BJ47" s="31"/>
      <c r="BK47" s="31"/>
      <c r="BL47" s="31"/>
      <c r="BM47" s="31"/>
      <c r="BN47" s="31"/>
      <c r="BO47" s="31"/>
      <c r="BP47" s="31"/>
    </row>
    <row r="48" spans="1:85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spans="1:68" ht="20.100000000000001" customHeight="1" x14ac:dyDescent="0.45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31"/>
      <c r="BH49" s="31"/>
      <c r="BI49" s="31"/>
      <c r="BJ49" s="31"/>
      <c r="BK49" s="31"/>
      <c r="BL49" s="31"/>
      <c r="BM49" s="31"/>
      <c r="BN49" s="31"/>
      <c r="BO49" s="31"/>
      <c r="BP49" s="31"/>
    </row>
    <row r="50" spans="1:68" ht="20.100000000000001" customHeight="1" x14ac:dyDescent="0.45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31"/>
      <c r="BH50" s="31"/>
      <c r="BI50" s="31"/>
      <c r="BJ50" s="31"/>
      <c r="BK50" s="31"/>
      <c r="BL50" s="31"/>
      <c r="BM50" s="31"/>
      <c r="BN50" s="31"/>
      <c r="BO50" s="31"/>
      <c r="BP50" s="31"/>
    </row>
    <row r="51" spans="1:68" ht="20.100000000000001" customHeight="1" x14ac:dyDescent="0.45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spans="1:68" ht="20.100000000000001" customHeight="1" x14ac:dyDescent="0.45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31"/>
      <c r="BH52" s="31"/>
      <c r="BI52" s="31"/>
      <c r="BJ52" s="31"/>
      <c r="BK52" s="31"/>
      <c r="BL52" s="31"/>
      <c r="BM52" s="31"/>
      <c r="BN52" s="31"/>
      <c r="BO52" s="31"/>
      <c r="BP52" s="31"/>
    </row>
    <row r="53" spans="1:68" ht="20.100000000000001" customHeight="1" x14ac:dyDescent="0.45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</row>
    <row r="54" spans="1:68" ht="20.100000000000001" customHeight="1" x14ac:dyDescent="0.45">
      <c r="B54" s="3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</row>
    <row r="55" spans="1:68" ht="20.100000000000001" customHeight="1" x14ac:dyDescent="0.45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31"/>
      <c r="BP55" s="31"/>
    </row>
    <row r="56" spans="1:68" ht="20.100000000000001" customHeight="1" x14ac:dyDescent="0.45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31"/>
      <c r="BP56" s="31"/>
    </row>
    <row r="57" spans="1:68" ht="20.100000000000001" customHeight="1" x14ac:dyDescent="0.45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31"/>
      <c r="BP57" s="31"/>
    </row>
    <row r="58" spans="1:68" ht="20.100000000000001" customHeight="1" x14ac:dyDescent="0.45">
      <c r="A58" s="29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31"/>
      <c r="BP58" s="31"/>
    </row>
    <row r="59" spans="1:68" ht="20.100000000000001" customHeight="1" x14ac:dyDescent="0.45">
      <c r="A59" s="29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31"/>
      <c r="BP59" s="31"/>
    </row>
    <row r="60" spans="1:68" ht="20.100000000000001" customHeight="1" x14ac:dyDescent="0.4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</row>
    <row r="61" spans="1:68" ht="20.100000000000001" customHeight="1" x14ac:dyDescent="0.4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</row>
    <row r="62" spans="1:68" ht="20.100000000000001" customHeight="1" x14ac:dyDescent="0.4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</row>
  </sheetData>
  <mergeCells count="260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B1:BM277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17" width="3.59765625" style="6"/>
    <col min="18" max="18" width="4.09765625" style="6" bestFit="1" customWidth="1"/>
    <col min="19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3" t="s">
        <v>0</v>
      </c>
      <c r="C2" s="194"/>
      <c r="D2" s="194"/>
      <c r="E2" s="194"/>
      <c r="F2" s="194"/>
      <c r="G2" s="194"/>
      <c r="H2" s="194" t="s">
        <v>17</v>
      </c>
      <c r="I2" s="194"/>
      <c r="J2" s="194"/>
      <c r="K2" s="194"/>
      <c r="L2" s="194" t="s">
        <v>290</v>
      </c>
      <c r="M2" s="194"/>
      <c r="N2" s="194"/>
      <c r="O2" s="194"/>
      <c r="P2" s="194"/>
      <c r="Q2" s="194"/>
      <c r="R2" s="194" t="s">
        <v>2</v>
      </c>
      <c r="S2" s="194"/>
      <c r="T2" s="194"/>
      <c r="U2" s="194"/>
      <c r="V2" s="194"/>
      <c r="W2" s="194"/>
      <c r="X2" s="195" t="s">
        <v>3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32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94" t="s">
        <v>5</v>
      </c>
      <c r="AY2" s="194"/>
      <c r="AZ2" s="194"/>
      <c r="BA2" s="194"/>
      <c r="BB2" s="194" t="s">
        <v>4</v>
      </c>
      <c r="BC2" s="194"/>
      <c r="BD2" s="194"/>
      <c r="BE2" s="194"/>
      <c r="BF2" s="194" t="s">
        <v>6</v>
      </c>
      <c r="BG2" s="194"/>
      <c r="BH2" s="194"/>
      <c r="BI2" s="194"/>
      <c r="BJ2" s="194" t="s">
        <v>7</v>
      </c>
      <c r="BK2" s="194"/>
      <c r="BL2" s="194"/>
      <c r="BM2" s="204"/>
    </row>
    <row r="3" spans="2:65" ht="20.100000000000001" customHeight="1" x14ac:dyDescent="0.45">
      <c r="B3" s="198" t="str">
        <f>変更履歴!B3</f>
        <v>受発注システム</v>
      </c>
      <c r="C3" s="145"/>
      <c r="D3" s="145"/>
      <c r="E3" s="145"/>
      <c r="F3" s="145"/>
      <c r="G3" s="145"/>
      <c r="H3" s="145" t="str">
        <f ca="1">変更履歴!H3</f>
        <v>SK0400</v>
      </c>
      <c r="I3" s="145"/>
      <c r="J3" s="145"/>
      <c r="K3" s="145"/>
      <c r="L3" s="145" t="str">
        <f>変更履歴!L3</f>
        <v>受発注</v>
      </c>
      <c r="M3" s="145"/>
      <c r="N3" s="145"/>
      <c r="O3" s="145"/>
      <c r="P3" s="145"/>
      <c r="Q3" s="145"/>
      <c r="R3" s="145" t="str">
        <f ca="1">変更履歴!R3</f>
        <v>帳票設計書</v>
      </c>
      <c r="S3" s="145"/>
      <c r="T3" s="145"/>
      <c r="U3" s="145"/>
      <c r="V3" s="145"/>
      <c r="W3" s="145"/>
      <c r="X3" s="148" t="str">
        <f ca="1">変更履歴!X3</f>
        <v>SK0400_買掛金集計表(仕分出力)_帳票設計書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50"/>
      <c r="AK3" s="148" t="str">
        <f ca="1">変更履歴!AK3</f>
        <v>買掛金集計表(仕分出力)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50"/>
      <c r="AX3" s="144">
        <f>変更履歴!AX3</f>
        <v>45539</v>
      </c>
      <c r="AY3" s="144"/>
      <c r="AZ3" s="144"/>
      <c r="BA3" s="144"/>
      <c r="BB3" s="145" t="str">
        <f>変更履歴!BB3</f>
        <v>大谷</v>
      </c>
      <c r="BC3" s="145"/>
      <c r="BD3" s="145"/>
      <c r="BE3" s="145"/>
      <c r="BF3" s="144">
        <f>変更履歴!BF3</f>
        <v>45539</v>
      </c>
      <c r="BG3" s="144"/>
      <c r="BH3" s="144"/>
      <c r="BI3" s="144"/>
      <c r="BJ3" s="145" t="str">
        <f>変更履歴!BJ3</f>
        <v>大谷</v>
      </c>
      <c r="BK3" s="145"/>
      <c r="BL3" s="145"/>
      <c r="BM3" s="202"/>
    </row>
    <row r="4" spans="2:65" ht="20.100000000000001" customHeight="1" thickBot="1" x14ac:dyDescent="0.5">
      <c r="B4" s="199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190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2"/>
      <c r="AK4" s="190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2"/>
      <c r="AX4" s="201"/>
      <c r="AY4" s="201"/>
      <c r="AZ4" s="201"/>
      <c r="BA4" s="201"/>
      <c r="BB4" s="200"/>
      <c r="BC4" s="200"/>
      <c r="BD4" s="200"/>
      <c r="BE4" s="200"/>
      <c r="BF4" s="201"/>
      <c r="BG4" s="201"/>
      <c r="BH4" s="201"/>
      <c r="BI4" s="201"/>
      <c r="BJ4" s="200"/>
      <c r="BK4" s="200"/>
      <c r="BL4" s="200"/>
      <c r="BM4" s="203"/>
    </row>
    <row r="5" spans="2:65" ht="5.0999999999999996" customHeight="1" thickBot="1" x14ac:dyDescent="0.5"/>
    <row r="6" spans="2:65" ht="20.100000000000001" customHeight="1" x14ac:dyDescent="0.45">
      <c r="B6" s="89" t="s">
        <v>87</v>
      </c>
      <c r="C6" s="90"/>
      <c r="D6" s="90"/>
      <c r="E6" s="90"/>
      <c r="F6" s="90"/>
      <c r="G6" s="91"/>
      <c r="H6" s="92" t="s">
        <v>126</v>
      </c>
      <c r="I6" s="90"/>
      <c r="J6" s="120" t="s">
        <v>127</v>
      </c>
      <c r="K6" s="121"/>
      <c r="L6" s="121"/>
      <c r="M6" s="121"/>
      <c r="N6" s="121"/>
      <c r="O6" s="121"/>
      <c r="P6" s="121"/>
      <c r="Q6" s="122"/>
      <c r="R6" s="121">
        <v>0</v>
      </c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2"/>
      <c r="AK6" s="93" t="s">
        <v>174</v>
      </c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4"/>
    </row>
    <row r="7" spans="2:65" ht="20.100000000000001" customHeight="1" x14ac:dyDescent="0.45">
      <c r="B7" s="123"/>
      <c r="C7" s="31"/>
      <c r="D7" s="31"/>
      <c r="E7" s="31"/>
      <c r="F7" s="31"/>
      <c r="G7" s="96"/>
      <c r="H7" s="97"/>
      <c r="I7" s="31"/>
      <c r="J7" s="124" t="s">
        <v>83</v>
      </c>
      <c r="K7" s="52"/>
      <c r="L7" s="52"/>
      <c r="M7" s="52"/>
      <c r="N7" s="52"/>
      <c r="O7" s="52"/>
      <c r="P7" s="52"/>
      <c r="Q7" s="125"/>
      <c r="R7" s="52" t="s">
        <v>234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25"/>
      <c r="AK7" s="98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99"/>
    </row>
    <row r="8" spans="2:65" ht="20.100000000000001" customHeight="1" x14ac:dyDescent="0.45">
      <c r="B8" s="123"/>
      <c r="C8" s="31"/>
      <c r="D8" s="31"/>
      <c r="E8" s="31"/>
      <c r="F8" s="31"/>
      <c r="G8" s="96"/>
      <c r="H8" s="97"/>
      <c r="I8" s="31"/>
      <c r="J8" s="124" t="s">
        <v>128</v>
      </c>
      <c r="K8" s="52"/>
      <c r="L8" s="52"/>
      <c r="M8" s="52"/>
      <c r="N8" s="52"/>
      <c r="O8" s="52"/>
      <c r="P8" s="52"/>
      <c r="Q8" s="125"/>
      <c r="R8" s="52" t="s">
        <v>156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</row>
    <row r="9" spans="2:65" ht="20.100000000000001" customHeight="1" x14ac:dyDescent="0.45">
      <c r="B9" s="123"/>
      <c r="C9" s="31"/>
      <c r="D9" s="31"/>
      <c r="E9" s="31"/>
      <c r="F9" s="31"/>
      <c r="G9" s="96"/>
      <c r="H9" s="97"/>
      <c r="I9" s="31"/>
      <c r="J9" s="124" t="s">
        <v>129</v>
      </c>
      <c r="K9" s="52"/>
      <c r="L9" s="52"/>
      <c r="M9" s="52"/>
      <c r="N9" s="52"/>
      <c r="O9" s="52"/>
      <c r="P9" s="52"/>
      <c r="Q9" s="125"/>
      <c r="R9" s="52" t="s">
        <v>157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98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9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31"/>
      <c r="I10" s="31"/>
      <c r="J10" s="124" t="s">
        <v>130</v>
      </c>
      <c r="K10" s="52"/>
      <c r="L10" s="52"/>
      <c r="M10" s="52"/>
      <c r="N10" s="52"/>
      <c r="O10" s="52"/>
      <c r="P10" s="52"/>
      <c r="Q10" s="125"/>
      <c r="R10" s="52" t="s">
        <v>158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25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</row>
    <row r="11" spans="2:65" ht="20.100000000000001" customHeight="1" x14ac:dyDescent="0.45">
      <c r="B11" s="123"/>
      <c r="C11" s="31"/>
      <c r="D11" s="31"/>
      <c r="E11" s="31"/>
      <c r="F11" s="31"/>
      <c r="G11" s="96"/>
      <c r="H11" s="31"/>
      <c r="I11" s="31"/>
      <c r="J11" s="124" t="s">
        <v>131</v>
      </c>
      <c r="K11" s="52"/>
      <c r="L11" s="52"/>
      <c r="M11" s="52"/>
      <c r="N11" s="52"/>
      <c r="O11" s="52"/>
      <c r="P11" s="52"/>
      <c r="Q11" s="125"/>
      <c r="R11" s="52" t="s">
        <v>160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25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</row>
    <row r="12" spans="2:65" ht="20.100000000000001" customHeight="1" x14ac:dyDescent="0.45">
      <c r="B12" s="123"/>
      <c r="C12" s="31"/>
      <c r="D12" s="31"/>
      <c r="E12" s="31"/>
      <c r="F12" s="31"/>
      <c r="G12" s="96"/>
      <c r="H12" s="31"/>
      <c r="I12" s="31"/>
      <c r="J12" s="124" t="s">
        <v>132</v>
      </c>
      <c r="K12" s="52"/>
      <c r="L12" s="52"/>
      <c r="M12" s="52"/>
      <c r="N12" s="52"/>
      <c r="O12" s="52"/>
      <c r="P12" s="52"/>
      <c r="Q12" s="125"/>
      <c r="R12" s="52" t="s">
        <v>236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25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</row>
    <row r="13" spans="2:65" ht="20.100000000000001" customHeight="1" x14ac:dyDescent="0.45">
      <c r="B13" s="123"/>
      <c r="C13" s="31"/>
      <c r="D13" s="31"/>
      <c r="E13" s="31"/>
      <c r="F13" s="31"/>
      <c r="G13" s="96"/>
      <c r="H13" s="97"/>
      <c r="I13" s="31"/>
      <c r="J13" s="124" t="s">
        <v>133</v>
      </c>
      <c r="K13" s="52"/>
      <c r="L13" s="52"/>
      <c r="M13" s="52"/>
      <c r="N13" s="52"/>
      <c r="O13" s="52"/>
      <c r="P13" s="52"/>
      <c r="Q13" s="125"/>
      <c r="R13" s="52">
        <v>461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25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</row>
    <row r="14" spans="2:65" ht="20.100000000000001" customHeight="1" x14ac:dyDescent="0.45">
      <c r="B14" s="123"/>
      <c r="C14" s="31"/>
      <c r="D14" s="31"/>
      <c r="E14" s="31"/>
      <c r="F14" s="31"/>
      <c r="G14" s="96"/>
      <c r="H14" s="97"/>
      <c r="I14" s="31"/>
      <c r="J14" s="124" t="s">
        <v>134</v>
      </c>
      <c r="K14" s="52"/>
      <c r="L14" s="52"/>
      <c r="M14" s="52"/>
      <c r="N14" s="52"/>
      <c r="O14" s="52"/>
      <c r="P14" s="52"/>
      <c r="Q14" s="125"/>
      <c r="R14" s="52" t="s">
        <v>160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25"/>
      <c r="AK14" s="98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99"/>
    </row>
    <row r="15" spans="2:65" ht="20.100000000000001" customHeight="1" x14ac:dyDescent="0.45">
      <c r="B15" s="123"/>
      <c r="C15" s="31"/>
      <c r="D15" s="31"/>
      <c r="E15" s="31"/>
      <c r="F15" s="31"/>
      <c r="G15" s="96"/>
      <c r="H15" s="31"/>
      <c r="I15" s="31"/>
      <c r="J15" s="124" t="s">
        <v>135</v>
      </c>
      <c r="K15" s="52"/>
      <c r="L15" s="52"/>
      <c r="M15" s="52"/>
      <c r="N15" s="52"/>
      <c r="O15" s="52"/>
      <c r="P15" s="52"/>
      <c r="Q15" s="125"/>
      <c r="R15" s="52" t="s">
        <v>230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25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</row>
    <row r="16" spans="2:65" ht="20.100000000000001" customHeight="1" x14ac:dyDescent="0.45">
      <c r="B16" s="123"/>
      <c r="C16" s="31"/>
      <c r="D16" s="31"/>
      <c r="E16" s="31"/>
      <c r="F16" s="31"/>
      <c r="G16" s="96"/>
      <c r="H16" s="31"/>
      <c r="I16" s="31"/>
      <c r="J16" s="124" t="s">
        <v>136</v>
      </c>
      <c r="K16" s="52"/>
      <c r="L16" s="52"/>
      <c r="M16" s="52"/>
      <c r="N16" s="52"/>
      <c r="O16" s="52"/>
      <c r="P16" s="52"/>
      <c r="Q16" s="125"/>
      <c r="R16" s="52" t="s">
        <v>219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25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</row>
    <row r="17" spans="2:61" ht="20.100000000000001" customHeight="1" x14ac:dyDescent="0.45">
      <c r="B17" s="123"/>
      <c r="C17" s="31"/>
      <c r="D17" s="31"/>
      <c r="E17" s="31"/>
      <c r="F17" s="31"/>
      <c r="G17" s="96"/>
      <c r="H17" s="31"/>
      <c r="I17" s="31"/>
      <c r="J17" s="124" t="s">
        <v>137</v>
      </c>
      <c r="K17" s="52"/>
      <c r="L17" s="52"/>
      <c r="M17" s="52"/>
      <c r="N17" s="52"/>
      <c r="O17" s="52"/>
      <c r="P17" s="52"/>
      <c r="Q17" s="125"/>
      <c r="R17" s="52" t="s">
        <v>160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25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</row>
    <row r="18" spans="2:61" ht="20.100000000000001" customHeight="1" x14ac:dyDescent="0.45">
      <c r="B18" s="123"/>
      <c r="C18" s="31"/>
      <c r="D18" s="31"/>
      <c r="E18" s="31"/>
      <c r="F18" s="31"/>
      <c r="G18" s="96"/>
      <c r="H18" s="97"/>
      <c r="I18" s="31"/>
      <c r="J18" s="124" t="s">
        <v>138</v>
      </c>
      <c r="K18" s="52"/>
      <c r="L18" s="52"/>
      <c r="M18" s="52"/>
      <c r="N18" s="52"/>
      <c r="O18" s="52"/>
      <c r="P18" s="52"/>
      <c r="Q18" s="125"/>
      <c r="R18" s="52" t="s">
        <v>220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25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</row>
    <row r="19" spans="2:61" ht="20.100000000000001" customHeight="1" x14ac:dyDescent="0.45">
      <c r="B19" s="123"/>
      <c r="C19" s="31"/>
      <c r="D19" s="31"/>
      <c r="E19" s="31"/>
      <c r="F19" s="31"/>
      <c r="G19" s="96"/>
      <c r="H19" s="97"/>
      <c r="I19" s="31"/>
      <c r="J19" s="124" t="s">
        <v>139</v>
      </c>
      <c r="K19" s="52"/>
      <c r="L19" s="52"/>
      <c r="M19" s="52"/>
      <c r="N19" s="52"/>
      <c r="O19" s="52"/>
      <c r="P19" s="52"/>
      <c r="Q19" s="125"/>
      <c r="R19" s="52" t="s">
        <v>160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25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</row>
    <row r="20" spans="2:61" ht="20.100000000000001" customHeight="1" x14ac:dyDescent="0.45">
      <c r="B20" s="123"/>
      <c r="C20" s="31"/>
      <c r="D20" s="31"/>
      <c r="E20" s="31"/>
      <c r="F20" s="31"/>
      <c r="G20" s="96"/>
      <c r="H20" s="31"/>
      <c r="I20" s="31"/>
      <c r="J20" s="124" t="s">
        <v>140</v>
      </c>
      <c r="K20" s="52"/>
      <c r="L20" s="52"/>
      <c r="M20" s="52"/>
      <c r="N20" s="52"/>
      <c r="O20" s="52"/>
      <c r="P20" s="52"/>
      <c r="Q20" s="125"/>
      <c r="R20" s="52" t="s">
        <v>160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25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</row>
    <row r="21" spans="2:61" ht="20.100000000000001" customHeight="1" x14ac:dyDescent="0.45">
      <c r="B21" s="123"/>
      <c r="C21" s="31"/>
      <c r="D21" s="31"/>
      <c r="E21" s="31"/>
      <c r="F21" s="31"/>
      <c r="G21" s="96"/>
      <c r="H21" s="31"/>
      <c r="I21" s="31"/>
      <c r="J21" s="124" t="s">
        <v>141</v>
      </c>
      <c r="K21" s="52"/>
      <c r="L21" s="52"/>
      <c r="M21" s="52"/>
      <c r="N21" s="52"/>
      <c r="O21" s="52"/>
      <c r="P21" s="52"/>
      <c r="Q21" s="125"/>
      <c r="R21" s="52" t="s">
        <v>160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25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1" ht="20.100000000000001" customHeight="1" x14ac:dyDescent="0.45">
      <c r="B22" s="123"/>
      <c r="C22" s="31"/>
      <c r="D22" s="31"/>
      <c r="E22" s="31"/>
      <c r="F22" s="31"/>
      <c r="G22" s="96"/>
      <c r="H22" s="97"/>
      <c r="I22" s="31"/>
      <c r="J22" s="124" t="s">
        <v>142</v>
      </c>
      <c r="K22" s="52"/>
      <c r="L22" s="52"/>
      <c r="M22" s="52"/>
      <c r="N22" s="52"/>
      <c r="O22" s="52"/>
      <c r="P22" s="52"/>
      <c r="Q22" s="125"/>
      <c r="R22" s="52">
        <v>201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25"/>
      <c r="AK22" s="98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99"/>
    </row>
    <row r="23" spans="2:61" ht="20.100000000000001" customHeight="1" x14ac:dyDescent="0.45">
      <c r="B23" s="123"/>
      <c r="C23" s="31"/>
      <c r="D23" s="31"/>
      <c r="E23" s="31"/>
      <c r="F23" s="31"/>
      <c r="G23" s="96"/>
      <c r="H23" s="97"/>
      <c r="I23" s="31"/>
      <c r="J23" s="124" t="s">
        <v>106</v>
      </c>
      <c r="K23" s="52"/>
      <c r="L23" s="52"/>
      <c r="M23" s="52"/>
      <c r="N23" s="52"/>
      <c r="O23" s="52"/>
      <c r="P23" s="52"/>
      <c r="Q23" s="125"/>
      <c r="R23" s="52" t="s">
        <v>160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25"/>
      <c r="AK23" s="98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1" ht="20.100000000000001" customHeight="1" x14ac:dyDescent="0.45">
      <c r="B24" s="123"/>
      <c r="C24" s="31"/>
      <c r="D24" s="31"/>
      <c r="E24" s="31"/>
      <c r="F24" s="31"/>
      <c r="G24" s="96"/>
      <c r="H24" s="31"/>
      <c r="I24" s="31"/>
      <c r="J24" s="124" t="s">
        <v>143</v>
      </c>
      <c r="K24" s="52"/>
      <c r="L24" s="52"/>
      <c r="M24" s="52"/>
      <c r="N24" s="52"/>
      <c r="O24" s="52"/>
      <c r="P24" s="52"/>
      <c r="Q24" s="125"/>
      <c r="R24" s="52">
        <v>0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25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1" ht="20.100000000000001" customHeight="1" x14ac:dyDescent="0.45">
      <c r="B25" s="123"/>
      <c r="C25" s="31"/>
      <c r="D25" s="31"/>
      <c r="E25" s="31"/>
      <c r="F25" s="31"/>
      <c r="G25" s="96"/>
      <c r="H25" s="31"/>
      <c r="I25" s="31"/>
      <c r="J25" s="124" t="s">
        <v>144</v>
      </c>
      <c r="K25" s="52"/>
      <c r="L25" s="52"/>
      <c r="M25" s="52"/>
      <c r="N25" s="52"/>
      <c r="O25" s="52"/>
      <c r="P25" s="52"/>
      <c r="Q25" s="125"/>
      <c r="R25" s="133">
        <v>0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25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1" ht="20.100000000000001" customHeight="1" x14ac:dyDescent="0.45">
      <c r="B26" s="123"/>
      <c r="C26" s="31"/>
      <c r="D26" s="31"/>
      <c r="E26" s="31"/>
      <c r="F26" s="31"/>
      <c r="G26" s="96"/>
      <c r="H26" s="31"/>
      <c r="I26" s="31"/>
      <c r="J26" s="124" t="s">
        <v>145</v>
      </c>
      <c r="K26" s="52"/>
      <c r="L26" s="52"/>
      <c r="M26" s="52"/>
      <c r="N26" s="52"/>
      <c r="O26" s="52"/>
      <c r="P26" s="52"/>
      <c r="Q26" s="125"/>
      <c r="R26" s="52" t="s">
        <v>159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25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1" ht="20.100000000000001" customHeight="1" x14ac:dyDescent="0.45">
      <c r="B27" s="123"/>
      <c r="C27" s="31"/>
      <c r="D27" s="31"/>
      <c r="E27" s="31"/>
      <c r="F27" s="31"/>
      <c r="G27" s="96"/>
      <c r="H27" s="97"/>
      <c r="I27" s="31"/>
      <c r="J27" s="124" t="s">
        <v>146</v>
      </c>
      <c r="K27" s="52"/>
      <c r="L27" s="52"/>
      <c r="M27" s="52"/>
      <c r="N27" s="52"/>
      <c r="O27" s="52"/>
      <c r="P27" s="52"/>
      <c r="Q27" s="125"/>
      <c r="R27" s="52" t="s">
        <v>238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25"/>
      <c r="AK27" s="98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1" ht="20.100000000000001" customHeight="1" x14ac:dyDescent="0.45">
      <c r="B28" s="123"/>
      <c r="C28" s="31"/>
      <c r="D28" s="31"/>
      <c r="E28" s="31"/>
      <c r="F28" s="31"/>
      <c r="G28" s="96"/>
      <c r="H28" s="97"/>
      <c r="I28" s="31"/>
      <c r="J28" s="124" t="s">
        <v>147</v>
      </c>
      <c r="K28" s="52"/>
      <c r="L28" s="52"/>
      <c r="M28" s="52"/>
      <c r="N28" s="52"/>
      <c r="O28" s="52"/>
      <c r="P28" s="52"/>
      <c r="Q28" s="125"/>
      <c r="R28" s="52" t="s">
        <v>159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25"/>
      <c r="AK28" s="98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1" ht="20.100000000000001" customHeight="1" x14ac:dyDescent="0.45">
      <c r="B29" s="123"/>
      <c r="C29" s="31"/>
      <c r="D29" s="31"/>
      <c r="E29" s="31"/>
      <c r="F29" s="31"/>
      <c r="G29" s="96"/>
      <c r="H29" s="31"/>
      <c r="I29" s="31"/>
      <c r="J29" s="124" t="s">
        <v>148</v>
      </c>
      <c r="K29" s="52"/>
      <c r="L29" s="52"/>
      <c r="M29" s="52"/>
      <c r="N29" s="52"/>
      <c r="O29" s="52"/>
      <c r="P29" s="52"/>
      <c r="Q29" s="125"/>
      <c r="R29" s="52" t="s">
        <v>159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25"/>
      <c r="AK29" s="98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1" ht="20.100000000000001" customHeight="1" x14ac:dyDescent="0.45">
      <c r="B30" s="123"/>
      <c r="C30" s="31"/>
      <c r="D30" s="31"/>
      <c r="E30" s="31"/>
      <c r="F30" s="31"/>
      <c r="G30" s="96"/>
      <c r="H30" s="31"/>
      <c r="I30" s="31"/>
      <c r="J30" s="124" t="s">
        <v>149</v>
      </c>
      <c r="K30" s="52"/>
      <c r="L30" s="52"/>
      <c r="M30" s="52"/>
      <c r="N30" s="52"/>
      <c r="O30" s="52"/>
      <c r="P30" s="52"/>
      <c r="Q30" s="125"/>
      <c r="R30" s="52" t="s">
        <v>160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25"/>
      <c r="AK30" s="98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1" ht="20.100000000000001" customHeight="1" x14ac:dyDescent="0.45">
      <c r="B31" s="123"/>
      <c r="C31" s="31"/>
      <c r="D31" s="31"/>
      <c r="E31" s="31"/>
      <c r="F31" s="31"/>
      <c r="G31" s="96"/>
      <c r="H31" s="31"/>
      <c r="I31" s="31"/>
      <c r="J31" s="124" t="s">
        <v>150</v>
      </c>
      <c r="K31" s="52"/>
      <c r="L31" s="52"/>
      <c r="M31" s="52"/>
      <c r="N31" s="52"/>
      <c r="O31" s="52"/>
      <c r="P31" s="52"/>
      <c r="Q31" s="125"/>
      <c r="R31" s="52" t="s">
        <v>239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25"/>
      <c r="AK31" s="98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99"/>
    </row>
    <row r="32" spans="2:61" ht="20.100000000000001" customHeight="1" x14ac:dyDescent="0.45">
      <c r="B32" s="123"/>
      <c r="C32" s="31"/>
      <c r="D32" s="31"/>
      <c r="E32" s="31"/>
      <c r="F32" s="31"/>
      <c r="G32" s="96"/>
      <c r="H32" s="97"/>
      <c r="I32" s="31"/>
      <c r="J32" s="124" t="s">
        <v>151</v>
      </c>
      <c r="K32" s="52"/>
      <c r="L32" s="52"/>
      <c r="M32" s="52"/>
      <c r="N32" s="52"/>
      <c r="O32" s="52"/>
      <c r="P32" s="52"/>
      <c r="Q32" s="125"/>
      <c r="R32" s="52" t="s">
        <v>232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25"/>
      <c r="AK32" s="98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123"/>
      <c r="C33" s="31"/>
      <c r="D33" s="31"/>
      <c r="E33" s="31"/>
      <c r="F33" s="31"/>
      <c r="G33" s="96"/>
      <c r="H33" s="97"/>
      <c r="I33" s="31"/>
      <c r="J33" s="124" t="s">
        <v>152</v>
      </c>
      <c r="K33" s="52"/>
      <c r="L33" s="52"/>
      <c r="M33" s="52"/>
      <c r="N33" s="52"/>
      <c r="O33" s="52"/>
      <c r="P33" s="52"/>
      <c r="Q33" s="125"/>
      <c r="R33" s="52" t="s">
        <v>160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25"/>
      <c r="AK33" s="98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x14ac:dyDescent="0.45">
      <c r="B34" s="123"/>
      <c r="C34" s="31"/>
      <c r="D34" s="31"/>
      <c r="E34" s="31"/>
      <c r="F34" s="31"/>
      <c r="G34" s="96"/>
      <c r="H34" s="31"/>
      <c r="I34" s="31"/>
      <c r="J34" s="124" t="s">
        <v>153</v>
      </c>
      <c r="K34" s="52"/>
      <c r="L34" s="52"/>
      <c r="M34" s="52"/>
      <c r="N34" s="52"/>
      <c r="O34" s="52"/>
      <c r="P34" s="52"/>
      <c r="Q34" s="125"/>
      <c r="R34" s="52" t="s">
        <v>160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25"/>
      <c r="AK34" s="98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99"/>
    </row>
    <row r="35" spans="2:61" ht="20.100000000000001" customHeight="1" x14ac:dyDescent="0.45">
      <c r="B35" s="123"/>
      <c r="C35" s="31"/>
      <c r="D35" s="31"/>
      <c r="E35" s="31"/>
      <c r="F35" s="31"/>
      <c r="G35" s="96"/>
      <c r="H35" s="31"/>
      <c r="I35" s="31"/>
      <c r="J35" s="124" t="s">
        <v>154</v>
      </c>
      <c r="K35" s="52"/>
      <c r="L35" s="52"/>
      <c r="M35" s="52"/>
      <c r="N35" s="52"/>
      <c r="O35" s="52"/>
      <c r="P35" s="52"/>
      <c r="Q35" s="125"/>
      <c r="R35" s="52" t="s">
        <v>160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25"/>
      <c r="AK35" s="98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99"/>
    </row>
    <row r="36" spans="2:61" ht="20.100000000000001" customHeight="1" x14ac:dyDescent="0.45">
      <c r="B36" s="123"/>
      <c r="C36" s="31"/>
      <c r="D36" s="31"/>
      <c r="E36" s="31"/>
      <c r="F36" s="31"/>
      <c r="G36" s="96"/>
      <c r="H36" s="31"/>
      <c r="I36" s="31"/>
      <c r="J36" s="124" t="s">
        <v>155</v>
      </c>
      <c r="K36" s="52"/>
      <c r="L36" s="52"/>
      <c r="M36" s="52"/>
      <c r="N36" s="52"/>
      <c r="O36" s="52"/>
      <c r="P36" s="52"/>
      <c r="Q36" s="125"/>
      <c r="R36" s="52" t="s">
        <v>160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25"/>
      <c r="AK36" s="98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99"/>
    </row>
    <row r="37" spans="2:61" ht="20.100000000000001" customHeight="1" x14ac:dyDescent="0.45">
      <c r="B37" s="123"/>
      <c r="C37" s="31"/>
      <c r="D37" s="31"/>
      <c r="E37" s="31"/>
      <c r="F37" s="31"/>
      <c r="G37" s="96"/>
      <c r="H37" s="100" t="s">
        <v>161</v>
      </c>
      <c r="I37" s="55"/>
      <c r="J37" s="100" t="s">
        <v>240</v>
      </c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101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102"/>
    </row>
    <row r="38" spans="2:61" ht="20.100000000000001" customHeight="1" x14ac:dyDescent="0.45">
      <c r="B38" s="95"/>
      <c r="C38" s="31"/>
      <c r="D38" s="31"/>
      <c r="E38" s="31"/>
      <c r="F38" s="31"/>
      <c r="G38" s="96"/>
      <c r="H38" s="100" t="s">
        <v>163</v>
      </c>
      <c r="I38" s="55"/>
      <c r="J38" s="100" t="s">
        <v>222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101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102"/>
    </row>
    <row r="39" spans="2:61" ht="20.100000000000001" customHeight="1" x14ac:dyDescent="0.45">
      <c r="B39" s="95"/>
      <c r="C39" s="31"/>
      <c r="D39" s="31"/>
      <c r="E39" s="31"/>
      <c r="F39" s="31"/>
      <c r="G39" s="96"/>
      <c r="H39" s="97"/>
      <c r="I39" s="31"/>
      <c r="J39" s="97"/>
      <c r="K39" s="31" t="s">
        <v>223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98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99"/>
    </row>
    <row r="40" spans="2:61" ht="20.100000000000001" customHeight="1" x14ac:dyDescent="0.45">
      <c r="B40" s="95"/>
      <c r="C40" s="31"/>
      <c r="D40" s="31"/>
      <c r="E40" s="31"/>
      <c r="F40" s="31"/>
      <c r="G40" s="96"/>
      <c r="H40" s="100" t="s">
        <v>166</v>
      </c>
      <c r="I40" s="55"/>
      <c r="J40" s="100" t="s">
        <v>224</v>
      </c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128"/>
      <c r="AK40" s="101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102"/>
    </row>
    <row r="41" spans="2:61" ht="20.100000000000001" customHeight="1" x14ac:dyDescent="0.45">
      <c r="B41" s="95"/>
      <c r="C41" s="31"/>
      <c r="D41" s="31"/>
      <c r="E41" s="31"/>
      <c r="F41" s="31"/>
      <c r="G41" s="96"/>
      <c r="H41" s="97"/>
      <c r="I41" s="31"/>
      <c r="J41" s="97"/>
      <c r="K41" s="31" t="s">
        <v>225</v>
      </c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97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99"/>
    </row>
    <row r="42" spans="2:61" ht="20.100000000000001" customHeight="1" x14ac:dyDescent="0.45">
      <c r="B42" s="95"/>
      <c r="C42" s="31"/>
      <c r="D42" s="31"/>
      <c r="E42" s="31"/>
      <c r="F42" s="31"/>
      <c r="G42" s="96"/>
      <c r="H42" s="97"/>
      <c r="I42" s="31"/>
      <c r="J42" s="97"/>
      <c r="K42" s="31" t="s">
        <v>226</v>
      </c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97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99"/>
    </row>
    <row r="43" spans="2:61" ht="20.100000000000001" customHeight="1" x14ac:dyDescent="0.45">
      <c r="B43" s="95"/>
      <c r="C43" s="31"/>
      <c r="D43" s="31"/>
      <c r="E43" s="31"/>
      <c r="F43" s="31"/>
      <c r="G43" s="96"/>
      <c r="H43" s="97"/>
      <c r="I43" s="31"/>
      <c r="J43" s="97"/>
      <c r="K43" s="31" t="s">
        <v>227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97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99"/>
    </row>
    <row r="44" spans="2:61" ht="20.100000000000001" customHeight="1" x14ac:dyDescent="0.45">
      <c r="B44" s="95"/>
      <c r="C44" s="31"/>
      <c r="D44" s="31"/>
      <c r="E44" s="31"/>
      <c r="F44" s="31"/>
      <c r="G44" s="96"/>
      <c r="H44" s="97"/>
      <c r="I44" s="31"/>
      <c r="J44" s="97"/>
      <c r="K44" s="31" t="s">
        <v>228</v>
      </c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97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99"/>
    </row>
    <row r="45" spans="2:61" ht="20.100000000000001" customHeight="1" thickBot="1" x14ac:dyDescent="0.5">
      <c r="B45" s="95"/>
      <c r="C45" s="31"/>
      <c r="D45" s="31"/>
      <c r="E45" s="31"/>
      <c r="F45" s="31"/>
      <c r="G45" s="96"/>
      <c r="H45" s="129" t="s">
        <v>167</v>
      </c>
      <c r="I45" s="130"/>
      <c r="J45" s="129" t="s">
        <v>229</v>
      </c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1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2"/>
    </row>
    <row r="46" spans="2:61" ht="20.100000000000001" customHeight="1" x14ac:dyDescent="0.45">
      <c r="B46" s="89" t="s">
        <v>168</v>
      </c>
      <c r="C46" s="90"/>
      <c r="D46" s="90"/>
      <c r="E46" s="90"/>
      <c r="F46" s="90"/>
      <c r="G46" s="91"/>
      <c r="H46" s="92" t="s">
        <v>126</v>
      </c>
      <c r="I46" s="90"/>
      <c r="J46" s="120" t="s">
        <v>127</v>
      </c>
      <c r="K46" s="121"/>
      <c r="L46" s="121"/>
      <c r="M46" s="121"/>
      <c r="N46" s="121"/>
      <c r="O46" s="121"/>
      <c r="P46" s="121"/>
      <c r="Q46" s="122"/>
      <c r="R46" s="121">
        <v>0</v>
      </c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2"/>
      <c r="AK46" s="93" t="s">
        <v>169</v>
      </c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4"/>
    </row>
    <row r="47" spans="2:61" ht="20.100000000000001" customHeight="1" x14ac:dyDescent="0.45">
      <c r="B47" s="123"/>
      <c r="C47" s="31"/>
      <c r="D47" s="31"/>
      <c r="E47" s="31"/>
      <c r="F47" s="31"/>
      <c r="G47" s="96"/>
      <c r="H47" s="97"/>
      <c r="I47" s="31"/>
      <c r="J47" s="124" t="s">
        <v>83</v>
      </c>
      <c r="K47" s="52"/>
      <c r="L47" s="52"/>
      <c r="M47" s="52"/>
      <c r="N47" s="52"/>
      <c r="O47" s="52"/>
      <c r="P47" s="52"/>
      <c r="Q47" s="125"/>
      <c r="R47" s="52" t="s">
        <v>237</v>
      </c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125"/>
      <c r="AK47" s="98" t="s">
        <v>175</v>
      </c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99"/>
    </row>
    <row r="48" spans="2:61" ht="20.100000000000001" customHeight="1" x14ac:dyDescent="0.45">
      <c r="B48" s="123"/>
      <c r="C48" s="31"/>
      <c r="D48" s="31"/>
      <c r="E48" s="31"/>
      <c r="F48" s="31"/>
      <c r="G48" s="96"/>
      <c r="H48" s="97"/>
      <c r="I48" s="31"/>
      <c r="J48" s="124" t="s">
        <v>128</v>
      </c>
      <c r="K48" s="52"/>
      <c r="L48" s="52"/>
      <c r="M48" s="52"/>
      <c r="N48" s="52"/>
      <c r="O48" s="52"/>
      <c r="P48" s="52"/>
      <c r="Q48" s="125"/>
      <c r="R48" s="52" t="s">
        <v>156</v>
      </c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125"/>
      <c r="AK48" s="98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99"/>
    </row>
    <row r="49" spans="2:61" ht="20.100000000000001" customHeight="1" x14ac:dyDescent="0.45">
      <c r="B49" s="123"/>
      <c r="C49" s="31"/>
      <c r="D49" s="31"/>
      <c r="E49" s="31"/>
      <c r="F49" s="31"/>
      <c r="G49" s="96"/>
      <c r="H49" s="97"/>
      <c r="I49" s="31"/>
      <c r="J49" s="124" t="s">
        <v>129</v>
      </c>
      <c r="K49" s="52"/>
      <c r="L49" s="52"/>
      <c r="M49" s="52"/>
      <c r="N49" s="52"/>
      <c r="O49" s="52"/>
      <c r="P49" s="52"/>
      <c r="Q49" s="125"/>
      <c r="R49" s="52" t="s">
        <v>157</v>
      </c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125"/>
      <c r="AK49" s="98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99"/>
    </row>
    <row r="50" spans="2:61" ht="20.100000000000001" customHeight="1" x14ac:dyDescent="0.45">
      <c r="B50" s="123"/>
      <c r="C50" s="31"/>
      <c r="D50" s="31"/>
      <c r="E50" s="31"/>
      <c r="F50" s="31"/>
      <c r="G50" s="96"/>
      <c r="H50" s="31"/>
      <c r="I50" s="31"/>
      <c r="J50" s="124" t="s">
        <v>130</v>
      </c>
      <c r="K50" s="52"/>
      <c r="L50" s="52"/>
      <c r="M50" s="52"/>
      <c r="N50" s="52"/>
      <c r="O50" s="52"/>
      <c r="P50" s="52"/>
      <c r="Q50" s="125"/>
      <c r="R50" s="52" t="s">
        <v>158</v>
      </c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125"/>
      <c r="AK50" s="98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99"/>
    </row>
    <row r="51" spans="2:61" ht="20.100000000000001" customHeight="1" x14ac:dyDescent="0.45">
      <c r="B51" s="123"/>
      <c r="C51" s="31"/>
      <c r="D51" s="31"/>
      <c r="E51" s="31"/>
      <c r="F51" s="31"/>
      <c r="G51" s="96"/>
      <c r="H51" s="31"/>
      <c r="I51" s="31"/>
      <c r="J51" s="124" t="s">
        <v>131</v>
      </c>
      <c r="K51" s="52"/>
      <c r="L51" s="52"/>
      <c r="M51" s="52"/>
      <c r="N51" s="52"/>
      <c r="O51" s="52"/>
      <c r="P51" s="52"/>
      <c r="Q51" s="125"/>
      <c r="R51" s="52" t="s">
        <v>160</v>
      </c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125"/>
      <c r="AK51" s="98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99"/>
    </row>
    <row r="52" spans="2:61" ht="20.100000000000001" customHeight="1" x14ac:dyDescent="0.45">
      <c r="B52" s="123"/>
      <c r="C52" s="31"/>
      <c r="D52" s="31"/>
      <c r="E52" s="31"/>
      <c r="F52" s="31"/>
      <c r="G52" s="96"/>
      <c r="H52" s="31"/>
      <c r="I52" s="31"/>
      <c r="J52" s="124" t="s">
        <v>132</v>
      </c>
      <c r="K52" s="52"/>
      <c r="L52" s="52"/>
      <c r="M52" s="52"/>
      <c r="N52" s="52"/>
      <c r="O52" s="52"/>
      <c r="P52" s="52"/>
      <c r="Q52" s="125"/>
      <c r="R52" s="52" t="s">
        <v>235</v>
      </c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125"/>
      <c r="AK52" s="98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99"/>
    </row>
    <row r="53" spans="2:61" ht="20.100000000000001" customHeight="1" x14ac:dyDescent="0.45">
      <c r="B53" s="123"/>
      <c r="C53" s="31"/>
      <c r="D53" s="31"/>
      <c r="E53" s="31"/>
      <c r="F53" s="31"/>
      <c r="G53" s="96"/>
      <c r="H53" s="97"/>
      <c r="I53" s="31"/>
      <c r="J53" s="124" t="s">
        <v>133</v>
      </c>
      <c r="K53" s="52"/>
      <c r="L53" s="52"/>
      <c r="M53" s="52"/>
      <c r="N53" s="52"/>
      <c r="O53" s="52"/>
      <c r="P53" s="52"/>
      <c r="Q53" s="125"/>
      <c r="R53" s="52">
        <v>201</v>
      </c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125"/>
      <c r="AK53" s="98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99"/>
    </row>
    <row r="54" spans="2:61" ht="20.100000000000001" customHeight="1" x14ac:dyDescent="0.45">
      <c r="B54" s="123"/>
      <c r="C54" s="31"/>
      <c r="D54" s="31"/>
      <c r="E54" s="31"/>
      <c r="F54" s="31"/>
      <c r="G54" s="96"/>
      <c r="H54" s="97"/>
      <c r="I54" s="31"/>
      <c r="J54" s="124" t="s">
        <v>134</v>
      </c>
      <c r="K54" s="52"/>
      <c r="L54" s="52"/>
      <c r="M54" s="52"/>
      <c r="N54" s="52"/>
      <c r="O54" s="52"/>
      <c r="P54" s="52"/>
      <c r="Q54" s="125"/>
      <c r="R54" s="52" t="s">
        <v>160</v>
      </c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125"/>
      <c r="AK54" s="98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99"/>
    </row>
    <row r="55" spans="2:61" ht="20.100000000000001" customHeight="1" x14ac:dyDescent="0.45">
      <c r="B55" s="123"/>
      <c r="C55" s="31"/>
      <c r="D55" s="31"/>
      <c r="E55" s="31"/>
      <c r="F55" s="31"/>
      <c r="G55" s="96"/>
      <c r="H55" s="31"/>
      <c r="I55" s="31"/>
      <c r="J55" s="124" t="s">
        <v>135</v>
      </c>
      <c r="K55" s="52"/>
      <c r="L55" s="52"/>
      <c r="M55" s="52"/>
      <c r="N55" s="52"/>
      <c r="O55" s="52"/>
      <c r="P55" s="52"/>
      <c r="Q55" s="125"/>
      <c r="R55" s="52">
        <v>0</v>
      </c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125"/>
      <c r="AK55" s="98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99"/>
    </row>
    <row r="56" spans="2:61" ht="20.100000000000001" customHeight="1" x14ac:dyDescent="0.45">
      <c r="B56" s="123"/>
      <c r="C56" s="31"/>
      <c r="D56" s="31"/>
      <c r="E56" s="31"/>
      <c r="F56" s="31"/>
      <c r="G56" s="96"/>
      <c r="H56" s="31"/>
      <c r="I56" s="31"/>
      <c r="J56" s="124" t="s">
        <v>136</v>
      </c>
      <c r="K56" s="52"/>
      <c r="L56" s="52"/>
      <c r="M56" s="52"/>
      <c r="N56" s="52"/>
      <c r="O56" s="52"/>
      <c r="P56" s="52"/>
      <c r="Q56" s="125"/>
      <c r="R56" s="52">
        <v>0</v>
      </c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125"/>
      <c r="AK56" s="98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99"/>
    </row>
    <row r="57" spans="2:61" ht="20.100000000000001" customHeight="1" x14ac:dyDescent="0.45">
      <c r="B57" s="123"/>
      <c r="C57" s="31"/>
      <c r="D57" s="31"/>
      <c r="E57" s="31"/>
      <c r="F57" s="31"/>
      <c r="G57" s="96"/>
      <c r="H57" s="31"/>
      <c r="I57" s="31"/>
      <c r="J57" s="124" t="s">
        <v>137</v>
      </c>
      <c r="K57" s="52"/>
      <c r="L57" s="52"/>
      <c r="M57" s="52"/>
      <c r="N57" s="52"/>
      <c r="O57" s="52"/>
      <c r="P57" s="52"/>
      <c r="Q57" s="125"/>
      <c r="R57" s="52" t="s">
        <v>160</v>
      </c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125"/>
      <c r="AK57" s="98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99"/>
    </row>
    <row r="58" spans="2:61" ht="20.100000000000001" customHeight="1" x14ac:dyDescent="0.45">
      <c r="B58" s="123"/>
      <c r="C58" s="31"/>
      <c r="D58" s="31"/>
      <c r="E58" s="31"/>
      <c r="F58" s="31"/>
      <c r="G58" s="96"/>
      <c r="H58" s="97"/>
      <c r="I58" s="31"/>
      <c r="J58" s="124" t="s">
        <v>138</v>
      </c>
      <c r="K58" s="52"/>
      <c r="L58" s="52"/>
      <c r="M58" s="52"/>
      <c r="N58" s="52"/>
      <c r="O58" s="52"/>
      <c r="P58" s="52"/>
      <c r="Q58" s="125"/>
      <c r="R58" s="52" t="s">
        <v>233</v>
      </c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125"/>
      <c r="AK58" s="98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99"/>
    </row>
    <row r="59" spans="2:61" ht="20.100000000000001" customHeight="1" x14ac:dyDescent="0.45">
      <c r="B59" s="123"/>
      <c r="C59" s="31"/>
      <c r="D59" s="31"/>
      <c r="E59" s="31"/>
      <c r="F59" s="31"/>
      <c r="G59" s="96"/>
      <c r="H59" s="97"/>
      <c r="I59" s="31"/>
      <c r="J59" s="124" t="s">
        <v>139</v>
      </c>
      <c r="K59" s="52"/>
      <c r="L59" s="52"/>
      <c r="M59" s="52"/>
      <c r="N59" s="52"/>
      <c r="O59" s="52"/>
      <c r="P59" s="52"/>
      <c r="Q59" s="125"/>
      <c r="R59" s="52" t="s">
        <v>160</v>
      </c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125"/>
      <c r="AK59" s="98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99"/>
    </row>
    <row r="60" spans="2:61" ht="20.100000000000001" customHeight="1" x14ac:dyDescent="0.45">
      <c r="B60" s="123"/>
      <c r="C60" s="31"/>
      <c r="D60" s="31"/>
      <c r="E60" s="31"/>
      <c r="F60" s="31"/>
      <c r="G60" s="96"/>
      <c r="H60" s="31"/>
      <c r="I60" s="31"/>
      <c r="J60" s="124" t="s">
        <v>140</v>
      </c>
      <c r="K60" s="52"/>
      <c r="L60" s="52"/>
      <c r="M60" s="52"/>
      <c r="N60" s="52"/>
      <c r="O60" s="52"/>
      <c r="P60" s="52"/>
      <c r="Q60" s="125"/>
      <c r="R60" s="52" t="s">
        <v>160</v>
      </c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125"/>
      <c r="AK60" s="98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99"/>
    </row>
    <row r="61" spans="2:61" ht="20.100000000000001" customHeight="1" x14ac:dyDescent="0.45">
      <c r="B61" s="123"/>
      <c r="C61" s="31"/>
      <c r="D61" s="31"/>
      <c r="E61" s="31"/>
      <c r="F61" s="31"/>
      <c r="G61" s="96"/>
      <c r="H61" s="31"/>
      <c r="I61" s="31"/>
      <c r="J61" s="124" t="s">
        <v>141</v>
      </c>
      <c r="K61" s="52"/>
      <c r="L61" s="52"/>
      <c r="M61" s="52"/>
      <c r="N61" s="52"/>
      <c r="O61" s="52"/>
      <c r="P61" s="52"/>
      <c r="Q61" s="125"/>
      <c r="R61" s="52" t="s">
        <v>160</v>
      </c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125"/>
      <c r="AK61" s="98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99"/>
    </row>
    <row r="62" spans="2:61" ht="20.100000000000001" customHeight="1" x14ac:dyDescent="0.45">
      <c r="B62" s="123"/>
      <c r="C62" s="31"/>
      <c r="D62" s="31"/>
      <c r="E62" s="31"/>
      <c r="F62" s="31"/>
      <c r="G62" s="96"/>
      <c r="H62" s="97"/>
      <c r="I62" s="31"/>
      <c r="J62" s="124" t="s">
        <v>142</v>
      </c>
      <c r="K62" s="52"/>
      <c r="L62" s="52"/>
      <c r="M62" s="52"/>
      <c r="N62" s="52"/>
      <c r="O62" s="52"/>
      <c r="P62" s="52"/>
      <c r="Q62" s="125"/>
      <c r="R62" s="52">
        <v>461</v>
      </c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125"/>
      <c r="AK62" s="98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99"/>
    </row>
    <row r="63" spans="2:61" ht="20.100000000000001" customHeight="1" x14ac:dyDescent="0.45">
      <c r="B63" s="123"/>
      <c r="C63" s="31"/>
      <c r="D63" s="31"/>
      <c r="E63" s="31"/>
      <c r="F63" s="31"/>
      <c r="G63" s="96"/>
      <c r="H63" s="97"/>
      <c r="I63" s="31"/>
      <c r="J63" s="124" t="s">
        <v>106</v>
      </c>
      <c r="K63" s="52"/>
      <c r="L63" s="52"/>
      <c r="M63" s="52"/>
      <c r="N63" s="52"/>
      <c r="O63" s="52"/>
      <c r="P63" s="52"/>
      <c r="Q63" s="125"/>
      <c r="R63" s="52" t="s">
        <v>160</v>
      </c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125"/>
      <c r="AK63" s="98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99"/>
    </row>
    <row r="64" spans="2:61" ht="20.100000000000001" customHeight="1" x14ac:dyDescent="0.45">
      <c r="B64" s="123"/>
      <c r="C64" s="31"/>
      <c r="D64" s="31"/>
      <c r="E64" s="31"/>
      <c r="F64" s="31"/>
      <c r="G64" s="96"/>
      <c r="H64" s="31"/>
      <c r="I64" s="31"/>
      <c r="J64" s="124" t="s">
        <v>143</v>
      </c>
      <c r="K64" s="52"/>
      <c r="L64" s="52"/>
      <c r="M64" s="52"/>
      <c r="N64" s="52"/>
      <c r="O64" s="52"/>
      <c r="P64" s="52"/>
      <c r="Q64" s="125"/>
      <c r="R64" s="52" t="s">
        <v>244</v>
      </c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125"/>
      <c r="AK64" s="98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99"/>
    </row>
    <row r="65" spans="2:61" ht="20.100000000000001" customHeight="1" x14ac:dyDescent="0.45">
      <c r="B65" s="123"/>
      <c r="C65" s="31"/>
      <c r="D65" s="31"/>
      <c r="E65" s="31"/>
      <c r="F65" s="31"/>
      <c r="G65" s="96"/>
      <c r="H65" s="31"/>
      <c r="I65" s="31"/>
      <c r="J65" s="124" t="s">
        <v>144</v>
      </c>
      <c r="K65" s="52"/>
      <c r="L65" s="52"/>
      <c r="M65" s="52"/>
      <c r="N65" s="52"/>
      <c r="O65" s="52"/>
      <c r="P65" s="52"/>
      <c r="Q65" s="125"/>
      <c r="R65" s="133" t="s">
        <v>219</v>
      </c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125"/>
      <c r="AK65" s="98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99"/>
    </row>
    <row r="66" spans="2:61" ht="20.100000000000001" customHeight="1" x14ac:dyDescent="0.45">
      <c r="B66" s="123"/>
      <c r="C66" s="31"/>
      <c r="D66" s="31"/>
      <c r="E66" s="31"/>
      <c r="F66" s="31"/>
      <c r="G66" s="96"/>
      <c r="H66" s="31"/>
      <c r="I66" s="31"/>
      <c r="J66" s="124" t="s">
        <v>145</v>
      </c>
      <c r="K66" s="52"/>
      <c r="L66" s="52"/>
      <c r="M66" s="52"/>
      <c r="N66" s="52"/>
      <c r="O66" s="52"/>
      <c r="P66" s="52"/>
      <c r="Q66" s="125"/>
      <c r="R66" s="52" t="s">
        <v>159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25"/>
      <c r="AK66" s="98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99"/>
    </row>
    <row r="67" spans="2:61" ht="20.100000000000001" customHeight="1" x14ac:dyDescent="0.45">
      <c r="B67" s="123"/>
      <c r="C67" s="31"/>
      <c r="D67" s="31"/>
      <c r="E67" s="31"/>
      <c r="F67" s="31"/>
      <c r="G67" s="96"/>
      <c r="H67" s="97"/>
      <c r="I67" s="31"/>
      <c r="J67" s="124" t="s">
        <v>146</v>
      </c>
      <c r="K67" s="52"/>
      <c r="L67" s="52"/>
      <c r="M67" s="52"/>
      <c r="N67" s="52"/>
      <c r="O67" s="52"/>
      <c r="P67" s="52"/>
      <c r="Q67" s="125"/>
      <c r="R67" s="52" t="s">
        <v>160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125"/>
      <c r="AK67" s="98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99"/>
    </row>
    <row r="68" spans="2:61" ht="20.100000000000001" customHeight="1" x14ac:dyDescent="0.45">
      <c r="B68" s="123"/>
      <c r="C68" s="31"/>
      <c r="D68" s="31"/>
      <c r="E68" s="31"/>
      <c r="F68" s="31"/>
      <c r="G68" s="96"/>
      <c r="H68" s="97"/>
      <c r="I68" s="31"/>
      <c r="J68" s="124" t="s">
        <v>147</v>
      </c>
      <c r="K68" s="52"/>
      <c r="L68" s="52"/>
      <c r="M68" s="52"/>
      <c r="N68" s="52"/>
      <c r="O68" s="52"/>
      <c r="P68" s="52"/>
      <c r="Q68" s="125"/>
      <c r="R68" s="52" t="s">
        <v>159</v>
      </c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125"/>
      <c r="AK68" s="98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99"/>
    </row>
    <row r="69" spans="2:61" ht="20.100000000000001" customHeight="1" x14ac:dyDescent="0.45">
      <c r="B69" s="123"/>
      <c r="C69" s="31"/>
      <c r="D69" s="31"/>
      <c r="E69" s="31"/>
      <c r="F69" s="31"/>
      <c r="G69" s="96"/>
      <c r="H69" s="31"/>
      <c r="I69" s="31"/>
      <c r="J69" s="124" t="s">
        <v>148</v>
      </c>
      <c r="K69" s="52"/>
      <c r="L69" s="52"/>
      <c r="M69" s="52"/>
      <c r="N69" s="52"/>
      <c r="O69" s="52"/>
      <c r="P69" s="52"/>
      <c r="Q69" s="125"/>
      <c r="R69" s="52" t="s">
        <v>159</v>
      </c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125"/>
      <c r="AK69" s="98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99"/>
    </row>
    <row r="70" spans="2:61" ht="20.100000000000001" customHeight="1" x14ac:dyDescent="0.45">
      <c r="B70" s="123"/>
      <c r="C70" s="31"/>
      <c r="D70" s="31"/>
      <c r="E70" s="31"/>
      <c r="F70" s="31"/>
      <c r="G70" s="96"/>
      <c r="H70" s="31"/>
      <c r="I70" s="31"/>
      <c r="J70" s="124" t="s">
        <v>149</v>
      </c>
      <c r="K70" s="52"/>
      <c r="L70" s="52"/>
      <c r="M70" s="52"/>
      <c r="N70" s="52"/>
      <c r="O70" s="52"/>
      <c r="P70" s="52"/>
      <c r="Q70" s="125"/>
      <c r="R70" s="52" t="s">
        <v>160</v>
      </c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125"/>
      <c r="AK70" s="98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99"/>
    </row>
    <row r="71" spans="2:61" ht="20.100000000000001" customHeight="1" x14ac:dyDescent="0.45">
      <c r="B71" s="123"/>
      <c r="C71" s="31"/>
      <c r="D71" s="31"/>
      <c r="E71" s="31"/>
      <c r="F71" s="31"/>
      <c r="G71" s="96"/>
      <c r="H71" s="31"/>
      <c r="I71" s="31"/>
      <c r="J71" s="124" t="s">
        <v>150</v>
      </c>
      <c r="K71" s="52"/>
      <c r="L71" s="52"/>
      <c r="M71" s="52"/>
      <c r="N71" s="52"/>
      <c r="O71" s="52"/>
      <c r="P71" s="52"/>
      <c r="Q71" s="125"/>
      <c r="R71" s="52" t="s">
        <v>235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125"/>
      <c r="AK71" s="98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99"/>
    </row>
    <row r="72" spans="2:61" ht="20.100000000000001" customHeight="1" x14ac:dyDescent="0.45">
      <c r="B72" s="123"/>
      <c r="C72" s="31"/>
      <c r="D72" s="31"/>
      <c r="E72" s="31"/>
      <c r="F72" s="31"/>
      <c r="G72" s="96"/>
      <c r="H72" s="97"/>
      <c r="I72" s="31"/>
      <c r="J72" s="124" t="s">
        <v>151</v>
      </c>
      <c r="K72" s="52"/>
      <c r="L72" s="52"/>
      <c r="M72" s="52"/>
      <c r="N72" s="52"/>
      <c r="O72" s="52"/>
      <c r="P72" s="52"/>
      <c r="Q72" s="125"/>
      <c r="R72" s="52" t="s">
        <v>231</v>
      </c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25"/>
      <c r="AK72" s="98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99"/>
    </row>
    <row r="73" spans="2:61" ht="20.100000000000001" customHeight="1" x14ac:dyDescent="0.45">
      <c r="B73" s="123"/>
      <c r="C73" s="31"/>
      <c r="D73" s="31"/>
      <c r="E73" s="31"/>
      <c r="F73" s="31"/>
      <c r="G73" s="96"/>
      <c r="H73" s="97"/>
      <c r="I73" s="31"/>
      <c r="J73" s="124" t="s">
        <v>152</v>
      </c>
      <c r="K73" s="52"/>
      <c r="L73" s="52"/>
      <c r="M73" s="52"/>
      <c r="N73" s="52"/>
      <c r="O73" s="52"/>
      <c r="P73" s="52"/>
      <c r="Q73" s="125"/>
      <c r="R73" s="52" t="s">
        <v>160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25"/>
      <c r="AK73" s="98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99"/>
    </row>
    <row r="74" spans="2:61" ht="20.100000000000001" customHeight="1" x14ac:dyDescent="0.45">
      <c r="B74" s="123"/>
      <c r="C74" s="31"/>
      <c r="D74" s="31"/>
      <c r="E74" s="31"/>
      <c r="F74" s="31"/>
      <c r="G74" s="96"/>
      <c r="H74" s="31"/>
      <c r="I74" s="31"/>
      <c r="J74" s="124" t="s">
        <v>153</v>
      </c>
      <c r="K74" s="52"/>
      <c r="L74" s="52"/>
      <c r="M74" s="52"/>
      <c r="N74" s="52"/>
      <c r="O74" s="52"/>
      <c r="P74" s="52"/>
      <c r="Q74" s="125"/>
      <c r="R74" s="52" t="s">
        <v>160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25"/>
      <c r="AK74" s="98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99"/>
    </row>
    <row r="75" spans="2:61" ht="20.100000000000001" customHeight="1" x14ac:dyDescent="0.45">
      <c r="B75" s="123"/>
      <c r="C75" s="31"/>
      <c r="D75" s="31"/>
      <c r="E75" s="31"/>
      <c r="F75" s="31"/>
      <c r="G75" s="96"/>
      <c r="H75" s="31"/>
      <c r="I75" s="31"/>
      <c r="J75" s="124" t="s">
        <v>154</v>
      </c>
      <c r="K75" s="52"/>
      <c r="L75" s="52"/>
      <c r="M75" s="52"/>
      <c r="N75" s="52"/>
      <c r="O75" s="52"/>
      <c r="P75" s="52"/>
      <c r="Q75" s="125"/>
      <c r="R75" s="52" t="s">
        <v>160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25"/>
      <c r="AK75" s="98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99"/>
    </row>
    <row r="76" spans="2:61" ht="20.100000000000001" customHeight="1" x14ac:dyDescent="0.45">
      <c r="B76" s="123"/>
      <c r="C76" s="31"/>
      <c r="D76" s="31"/>
      <c r="E76" s="31"/>
      <c r="F76" s="31"/>
      <c r="G76" s="96"/>
      <c r="H76" s="31"/>
      <c r="I76" s="31"/>
      <c r="J76" s="124" t="s">
        <v>155</v>
      </c>
      <c r="K76" s="52"/>
      <c r="L76" s="52"/>
      <c r="M76" s="52"/>
      <c r="N76" s="52"/>
      <c r="O76" s="52"/>
      <c r="P76" s="52"/>
      <c r="Q76" s="125"/>
      <c r="R76" s="52" t="s">
        <v>160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25"/>
      <c r="AK76" s="98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99"/>
    </row>
    <row r="77" spans="2:61" ht="20.100000000000001" customHeight="1" x14ac:dyDescent="0.45">
      <c r="B77" s="123"/>
      <c r="C77" s="31"/>
      <c r="D77" s="31"/>
      <c r="E77" s="31"/>
      <c r="F77" s="31"/>
      <c r="G77" s="96"/>
      <c r="H77" s="100" t="s">
        <v>161</v>
      </c>
      <c r="I77" s="55"/>
      <c r="J77" s="100" t="s">
        <v>240</v>
      </c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101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102"/>
    </row>
    <row r="78" spans="2:61" ht="20.100000000000001" customHeight="1" x14ac:dyDescent="0.45">
      <c r="B78" s="95"/>
      <c r="C78" s="31"/>
      <c r="D78" s="31"/>
      <c r="E78" s="31"/>
      <c r="F78" s="31"/>
      <c r="G78" s="96"/>
      <c r="H78" s="100" t="s">
        <v>163</v>
      </c>
      <c r="I78" s="55"/>
      <c r="J78" s="100" t="s">
        <v>222</v>
      </c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101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102"/>
    </row>
    <row r="79" spans="2:61" ht="20.100000000000001" customHeight="1" x14ac:dyDescent="0.45">
      <c r="B79" s="95"/>
      <c r="C79" s="31"/>
      <c r="D79" s="31"/>
      <c r="E79" s="31"/>
      <c r="F79" s="31"/>
      <c r="G79" s="96"/>
      <c r="H79" s="97"/>
      <c r="I79" s="31"/>
      <c r="J79" s="97"/>
      <c r="K79" s="31" t="s">
        <v>223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98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99"/>
    </row>
    <row r="80" spans="2:61" ht="20.100000000000001" customHeight="1" x14ac:dyDescent="0.45">
      <c r="B80" s="95"/>
      <c r="C80" s="31"/>
      <c r="D80" s="31"/>
      <c r="E80" s="31"/>
      <c r="F80" s="31"/>
      <c r="G80" s="96"/>
      <c r="H80" s="100" t="s">
        <v>166</v>
      </c>
      <c r="I80" s="55"/>
      <c r="J80" s="100" t="s">
        <v>224</v>
      </c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128"/>
      <c r="AK80" s="101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102"/>
    </row>
    <row r="81" spans="2:61" ht="20.100000000000001" customHeight="1" x14ac:dyDescent="0.45">
      <c r="B81" s="95"/>
      <c r="C81" s="31"/>
      <c r="D81" s="31"/>
      <c r="E81" s="31"/>
      <c r="F81" s="31"/>
      <c r="G81" s="96"/>
      <c r="H81" s="97"/>
      <c r="I81" s="31"/>
      <c r="J81" s="97"/>
      <c r="K81" s="31" t="s">
        <v>241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97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99"/>
    </row>
    <row r="82" spans="2:61" ht="20.100000000000001" customHeight="1" x14ac:dyDescent="0.45">
      <c r="B82" s="95"/>
      <c r="C82" s="31"/>
      <c r="D82" s="31"/>
      <c r="E82" s="31"/>
      <c r="F82" s="31"/>
      <c r="G82" s="96"/>
      <c r="H82" s="97"/>
      <c r="I82" s="31"/>
      <c r="J82" s="97"/>
      <c r="K82" s="31" t="s">
        <v>242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97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99"/>
    </row>
    <row r="83" spans="2:61" ht="20.100000000000001" customHeight="1" x14ac:dyDescent="0.45">
      <c r="B83" s="95"/>
      <c r="C83" s="31"/>
      <c r="D83" s="31"/>
      <c r="E83" s="31"/>
      <c r="F83" s="31"/>
      <c r="G83" s="96"/>
      <c r="H83" s="97"/>
      <c r="I83" s="31"/>
      <c r="J83" s="97"/>
      <c r="K83" s="31" t="s">
        <v>227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97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99"/>
    </row>
    <row r="84" spans="2:61" ht="20.100000000000001" customHeight="1" x14ac:dyDescent="0.45">
      <c r="B84" s="95"/>
      <c r="C84" s="31"/>
      <c r="D84" s="31"/>
      <c r="E84" s="31"/>
      <c r="F84" s="31"/>
      <c r="G84" s="96"/>
      <c r="H84" s="97"/>
      <c r="I84" s="31"/>
      <c r="J84" s="97"/>
      <c r="K84" s="31" t="s">
        <v>243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97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99"/>
    </row>
    <row r="85" spans="2:61" ht="20.100000000000001" customHeight="1" thickBot="1" x14ac:dyDescent="0.5">
      <c r="B85" s="95"/>
      <c r="C85" s="31"/>
      <c r="D85" s="31"/>
      <c r="E85" s="31"/>
      <c r="F85" s="31"/>
      <c r="G85" s="96"/>
      <c r="H85" s="129" t="s">
        <v>167</v>
      </c>
      <c r="I85" s="130"/>
      <c r="J85" s="129" t="s">
        <v>229</v>
      </c>
      <c r="K85" s="130"/>
      <c r="L85" s="130"/>
      <c r="M85" s="130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1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2"/>
    </row>
    <row r="86" spans="2:61" ht="20.100000000000001" customHeight="1" x14ac:dyDescent="0.45">
      <c r="B86" s="89" t="s">
        <v>170</v>
      </c>
      <c r="C86" s="90"/>
      <c r="D86" s="90"/>
      <c r="E86" s="90"/>
      <c r="F86" s="90"/>
      <c r="G86" s="91"/>
      <c r="H86" s="92" t="s">
        <v>126</v>
      </c>
      <c r="I86" s="90"/>
      <c r="J86" s="120" t="s">
        <v>127</v>
      </c>
      <c r="K86" s="121"/>
      <c r="L86" s="121"/>
      <c r="M86" s="121"/>
      <c r="N86" s="121"/>
      <c r="O86" s="121"/>
      <c r="P86" s="121"/>
      <c r="Q86" s="122"/>
      <c r="R86" s="121">
        <v>1</v>
      </c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2"/>
      <c r="AK86" s="93" t="s">
        <v>173</v>
      </c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4"/>
    </row>
    <row r="87" spans="2:61" ht="20.100000000000001" customHeight="1" x14ac:dyDescent="0.45">
      <c r="B87" s="123"/>
      <c r="C87" s="31"/>
      <c r="D87" s="31"/>
      <c r="E87" s="31"/>
      <c r="F87" s="31"/>
      <c r="G87" s="96"/>
      <c r="H87" s="97"/>
      <c r="I87" s="31"/>
      <c r="J87" s="124" t="s">
        <v>83</v>
      </c>
      <c r="K87" s="52"/>
      <c r="L87" s="52"/>
      <c r="M87" s="52"/>
      <c r="N87" s="52"/>
      <c r="O87" s="52"/>
      <c r="P87" s="52"/>
      <c r="Q87" s="125"/>
      <c r="R87" s="52" t="s">
        <v>233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125"/>
      <c r="AK87" s="98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99"/>
    </row>
    <row r="88" spans="2:61" ht="20.100000000000001" customHeight="1" x14ac:dyDescent="0.45">
      <c r="B88" s="123"/>
      <c r="C88" s="31"/>
      <c r="D88" s="31"/>
      <c r="E88" s="31"/>
      <c r="F88" s="31"/>
      <c r="G88" s="96"/>
      <c r="H88" s="97"/>
      <c r="I88" s="31"/>
      <c r="J88" s="124" t="s">
        <v>128</v>
      </c>
      <c r="K88" s="52"/>
      <c r="L88" s="52"/>
      <c r="M88" s="52"/>
      <c r="N88" s="52"/>
      <c r="O88" s="52"/>
      <c r="P88" s="52"/>
      <c r="Q88" s="125"/>
      <c r="R88" s="52" t="s">
        <v>156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25"/>
      <c r="AK88" s="98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99"/>
    </row>
    <row r="89" spans="2:61" ht="20.100000000000001" customHeight="1" x14ac:dyDescent="0.45">
      <c r="B89" s="123"/>
      <c r="C89" s="31"/>
      <c r="D89" s="31"/>
      <c r="E89" s="31"/>
      <c r="F89" s="31"/>
      <c r="G89" s="96"/>
      <c r="H89" s="97"/>
      <c r="I89" s="31"/>
      <c r="J89" s="124" t="s">
        <v>129</v>
      </c>
      <c r="K89" s="52"/>
      <c r="L89" s="52"/>
      <c r="M89" s="52"/>
      <c r="N89" s="52"/>
      <c r="O89" s="52"/>
      <c r="P89" s="52"/>
      <c r="Q89" s="125"/>
      <c r="R89" s="52" t="s">
        <v>157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25"/>
      <c r="AK89" s="98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99"/>
    </row>
    <row r="90" spans="2:61" ht="20.100000000000001" customHeight="1" x14ac:dyDescent="0.45">
      <c r="B90" s="123"/>
      <c r="C90" s="31"/>
      <c r="D90" s="31"/>
      <c r="E90" s="31"/>
      <c r="F90" s="31"/>
      <c r="G90" s="96"/>
      <c r="H90" s="31"/>
      <c r="I90" s="31"/>
      <c r="J90" s="124" t="s">
        <v>130</v>
      </c>
      <c r="K90" s="52"/>
      <c r="L90" s="52"/>
      <c r="M90" s="52"/>
      <c r="N90" s="52"/>
      <c r="O90" s="52"/>
      <c r="P90" s="52"/>
      <c r="Q90" s="125"/>
      <c r="R90" s="52" t="s">
        <v>158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25"/>
      <c r="AK90" s="98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99"/>
    </row>
    <row r="91" spans="2:61" ht="20.100000000000001" customHeight="1" x14ac:dyDescent="0.45">
      <c r="B91" s="123"/>
      <c r="C91" s="31"/>
      <c r="D91" s="31"/>
      <c r="E91" s="31"/>
      <c r="F91" s="31"/>
      <c r="G91" s="96"/>
      <c r="H91" s="31"/>
      <c r="I91" s="31"/>
      <c r="J91" s="124" t="s">
        <v>131</v>
      </c>
      <c r="K91" s="52"/>
      <c r="L91" s="52"/>
      <c r="M91" s="52"/>
      <c r="N91" s="52"/>
      <c r="O91" s="52"/>
      <c r="P91" s="52"/>
      <c r="Q91" s="125"/>
      <c r="R91" s="52" t="s">
        <v>160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25"/>
      <c r="AK91" s="98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99"/>
    </row>
    <row r="92" spans="2:61" ht="20.100000000000001" customHeight="1" x14ac:dyDescent="0.45">
      <c r="B92" s="123"/>
      <c r="C92" s="31"/>
      <c r="D92" s="31"/>
      <c r="E92" s="31"/>
      <c r="F92" s="31"/>
      <c r="G92" s="96"/>
      <c r="H92" s="31"/>
      <c r="I92" s="31"/>
      <c r="J92" s="124" t="s">
        <v>132</v>
      </c>
      <c r="K92" s="52"/>
      <c r="L92" s="52"/>
      <c r="M92" s="52"/>
      <c r="N92" s="52"/>
      <c r="O92" s="52"/>
      <c r="P92" s="52"/>
      <c r="Q92" s="125"/>
      <c r="R92" s="52" t="s">
        <v>247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25"/>
      <c r="AK92" s="98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99"/>
    </row>
    <row r="93" spans="2:61" ht="20.100000000000001" customHeight="1" x14ac:dyDescent="0.45">
      <c r="B93" s="123"/>
      <c r="C93" s="31"/>
      <c r="D93" s="31"/>
      <c r="E93" s="31"/>
      <c r="F93" s="31"/>
      <c r="G93" s="96"/>
      <c r="H93" s="97"/>
      <c r="I93" s="31"/>
      <c r="J93" s="124" t="s">
        <v>133</v>
      </c>
      <c r="K93" s="52"/>
      <c r="L93" s="52"/>
      <c r="M93" s="52"/>
      <c r="N93" s="52"/>
      <c r="O93" s="52"/>
      <c r="P93" s="52"/>
      <c r="Q93" s="125"/>
      <c r="R93" s="52">
        <v>158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25"/>
      <c r="AK93" s="98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99"/>
    </row>
    <row r="94" spans="2:61" ht="20.100000000000001" customHeight="1" x14ac:dyDescent="0.45">
      <c r="B94" s="123"/>
      <c r="C94" s="31"/>
      <c r="D94" s="31"/>
      <c r="E94" s="31"/>
      <c r="F94" s="31"/>
      <c r="G94" s="96"/>
      <c r="H94" s="97"/>
      <c r="I94" s="31"/>
      <c r="J94" s="124" t="s">
        <v>134</v>
      </c>
      <c r="K94" s="52"/>
      <c r="L94" s="52"/>
      <c r="M94" s="52"/>
      <c r="N94" s="52"/>
      <c r="O94" s="52"/>
      <c r="P94" s="52"/>
      <c r="Q94" s="125"/>
      <c r="R94" s="52" t="s">
        <v>160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25"/>
      <c r="AK94" s="98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99"/>
    </row>
    <row r="95" spans="2:61" ht="20.100000000000001" customHeight="1" x14ac:dyDescent="0.45">
      <c r="B95" s="123"/>
      <c r="C95" s="31"/>
      <c r="D95" s="31"/>
      <c r="E95" s="31"/>
      <c r="F95" s="31"/>
      <c r="G95" s="96"/>
      <c r="H95" s="31"/>
      <c r="I95" s="31"/>
      <c r="J95" s="124" t="s">
        <v>135</v>
      </c>
      <c r="K95" s="52"/>
      <c r="L95" s="52"/>
      <c r="M95" s="52"/>
      <c r="N95" s="52"/>
      <c r="O95" s="52"/>
      <c r="P95" s="52"/>
      <c r="Q95" s="125"/>
      <c r="R95" s="52">
        <v>31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25"/>
      <c r="AK95" s="98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99"/>
    </row>
    <row r="96" spans="2:61" ht="20.100000000000001" customHeight="1" x14ac:dyDescent="0.45">
      <c r="B96" s="123"/>
      <c r="C96" s="31"/>
      <c r="D96" s="31"/>
      <c r="E96" s="31"/>
      <c r="F96" s="31"/>
      <c r="G96" s="96"/>
      <c r="H96" s="31"/>
      <c r="I96" s="31"/>
      <c r="J96" s="124" t="s">
        <v>136</v>
      </c>
      <c r="K96" s="52"/>
      <c r="L96" s="52"/>
      <c r="M96" s="52"/>
      <c r="N96" s="52"/>
      <c r="O96" s="52"/>
      <c r="P96" s="52"/>
      <c r="Q96" s="125"/>
      <c r="R96" s="52" t="s">
        <v>219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25"/>
      <c r="AK96" s="98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99"/>
    </row>
    <row r="97" spans="2:61" ht="20.100000000000001" customHeight="1" x14ac:dyDescent="0.45">
      <c r="B97" s="123"/>
      <c r="C97" s="31"/>
      <c r="D97" s="31"/>
      <c r="E97" s="31"/>
      <c r="F97" s="31"/>
      <c r="G97" s="96"/>
      <c r="H97" s="31"/>
      <c r="I97" s="31"/>
      <c r="J97" s="124" t="s">
        <v>137</v>
      </c>
      <c r="K97" s="52"/>
      <c r="L97" s="52"/>
      <c r="M97" s="52"/>
      <c r="N97" s="52"/>
      <c r="O97" s="52"/>
      <c r="P97" s="52"/>
      <c r="Q97" s="125"/>
      <c r="R97" s="52" t="s">
        <v>160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25"/>
      <c r="AK97" s="98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99"/>
    </row>
    <row r="98" spans="2:61" ht="20.100000000000001" customHeight="1" x14ac:dyDescent="0.45">
      <c r="B98" s="123"/>
      <c r="C98" s="31"/>
      <c r="D98" s="31"/>
      <c r="E98" s="31"/>
      <c r="F98" s="31"/>
      <c r="G98" s="96"/>
      <c r="H98" s="97"/>
      <c r="I98" s="31"/>
      <c r="J98" s="124" t="s">
        <v>138</v>
      </c>
      <c r="K98" s="52"/>
      <c r="L98" s="52"/>
      <c r="M98" s="52"/>
      <c r="N98" s="52"/>
      <c r="O98" s="52"/>
      <c r="P98" s="52"/>
      <c r="Q98" s="125"/>
      <c r="R98" s="52" t="s">
        <v>160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25"/>
      <c r="AK98" s="98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99"/>
    </row>
    <row r="99" spans="2:61" ht="20.100000000000001" customHeight="1" x14ac:dyDescent="0.45">
      <c r="B99" s="123"/>
      <c r="C99" s="31"/>
      <c r="D99" s="31"/>
      <c r="E99" s="31"/>
      <c r="F99" s="31"/>
      <c r="G99" s="96"/>
      <c r="H99" s="97"/>
      <c r="I99" s="31"/>
      <c r="J99" s="124" t="s">
        <v>139</v>
      </c>
      <c r="K99" s="52"/>
      <c r="L99" s="52"/>
      <c r="M99" s="52"/>
      <c r="N99" s="52"/>
      <c r="O99" s="52"/>
      <c r="P99" s="52"/>
      <c r="Q99" s="125"/>
      <c r="R99" s="52" t="s">
        <v>160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125"/>
      <c r="AK99" s="98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99"/>
    </row>
    <row r="100" spans="2:61" ht="20.100000000000001" customHeight="1" x14ac:dyDescent="0.45">
      <c r="B100" s="123"/>
      <c r="C100" s="31"/>
      <c r="D100" s="31"/>
      <c r="E100" s="31"/>
      <c r="F100" s="31"/>
      <c r="G100" s="96"/>
      <c r="H100" s="31"/>
      <c r="I100" s="31"/>
      <c r="J100" s="124" t="s">
        <v>140</v>
      </c>
      <c r="K100" s="52"/>
      <c r="L100" s="52"/>
      <c r="M100" s="52"/>
      <c r="N100" s="52"/>
      <c r="O100" s="52"/>
      <c r="P100" s="52"/>
      <c r="Q100" s="125"/>
      <c r="R100" s="52" t="s">
        <v>160</v>
      </c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125"/>
      <c r="AK100" s="98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99"/>
    </row>
    <row r="101" spans="2:61" ht="20.100000000000001" customHeight="1" x14ac:dyDescent="0.45">
      <c r="B101" s="123"/>
      <c r="C101" s="31"/>
      <c r="D101" s="31"/>
      <c r="E101" s="31"/>
      <c r="F101" s="31"/>
      <c r="G101" s="96"/>
      <c r="H101" s="31"/>
      <c r="I101" s="31"/>
      <c r="J101" s="124" t="s">
        <v>141</v>
      </c>
      <c r="K101" s="52"/>
      <c r="L101" s="52"/>
      <c r="M101" s="52"/>
      <c r="N101" s="52"/>
      <c r="O101" s="52"/>
      <c r="P101" s="52"/>
      <c r="Q101" s="125"/>
      <c r="R101" s="52" t="s">
        <v>160</v>
      </c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125"/>
      <c r="AK101" s="98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99"/>
    </row>
    <row r="102" spans="2:61" ht="20.100000000000001" customHeight="1" x14ac:dyDescent="0.45">
      <c r="B102" s="123"/>
      <c r="C102" s="31"/>
      <c r="D102" s="31"/>
      <c r="E102" s="31"/>
      <c r="F102" s="31"/>
      <c r="G102" s="96"/>
      <c r="H102" s="97"/>
      <c r="I102" s="31"/>
      <c r="J102" s="124" t="s">
        <v>142</v>
      </c>
      <c r="K102" s="52"/>
      <c r="L102" s="52"/>
      <c r="M102" s="52"/>
      <c r="N102" s="52"/>
      <c r="O102" s="52"/>
      <c r="P102" s="52"/>
      <c r="Q102" s="125"/>
      <c r="R102" s="52">
        <v>201</v>
      </c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125"/>
      <c r="AK102" s="98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99"/>
    </row>
    <row r="103" spans="2:61" ht="20.100000000000001" customHeight="1" x14ac:dyDescent="0.45">
      <c r="B103" s="123"/>
      <c r="C103" s="31"/>
      <c r="D103" s="31"/>
      <c r="E103" s="31"/>
      <c r="F103" s="31"/>
      <c r="G103" s="96"/>
      <c r="H103" s="97"/>
      <c r="I103" s="31"/>
      <c r="J103" s="124" t="s">
        <v>106</v>
      </c>
      <c r="K103" s="52"/>
      <c r="L103" s="52"/>
      <c r="M103" s="52"/>
      <c r="N103" s="52"/>
      <c r="O103" s="52"/>
      <c r="P103" s="52"/>
      <c r="Q103" s="125"/>
      <c r="R103" s="52" t="s">
        <v>160</v>
      </c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125"/>
      <c r="AK103" s="98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99"/>
    </row>
    <row r="104" spans="2:61" ht="20.100000000000001" customHeight="1" x14ac:dyDescent="0.45">
      <c r="B104" s="123"/>
      <c r="C104" s="31"/>
      <c r="D104" s="31"/>
      <c r="E104" s="31"/>
      <c r="F104" s="31"/>
      <c r="G104" s="96"/>
      <c r="H104" s="31"/>
      <c r="I104" s="31"/>
      <c r="J104" s="124" t="s">
        <v>143</v>
      </c>
      <c r="K104" s="52"/>
      <c r="L104" s="52"/>
      <c r="M104" s="52"/>
      <c r="N104" s="52"/>
      <c r="O104" s="52"/>
      <c r="P104" s="52"/>
      <c r="Q104" s="125"/>
      <c r="R104" s="52">
        <v>0</v>
      </c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125"/>
      <c r="AK104" s="98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99"/>
    </row>
    <row r="105" spans="2:61" ht="20.100000000000001" customHeight="1" x14ac:dyDescent="0.45">
      <c r="B105" s="123"/>
      <c r="C105" s="31"/>
      <c r="D105" s="31"/>
      <c r="E105" s="31"/>
      <c r="F105" s="31"/>
      <c r="G105" s="96"/>
      <c r="H105" s="31"/>
      <c r="I105" s="31"/>
      <c r="J105" s="124" t="s">
        <v>144</v>
      </c>
      <c r="K105" s="52"/>
      <c r="L105" s="52"/>
      <c r="M105" s="52"/>
      <c r="N105" s="52"/>
      <c r="O105" s="52"/>
      <c r="P105" s="52"/>
      <c r="Q105" s="125"/>
      <c r="R105" s="133">
        <v>0</v>
      </c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125"/>
      <c r="AK105" s="98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99"/>
    </row>
    <row r="106" spans="2:61" ht="20.100000000000001" customHeight="1" x14ac:dyDescent="0.45">
      <c r="B106" s="123"/>
      <c r="C106" s="31"/>
      <c r="D106" s="31"/>
      <c r="E106" s="31"/>
      <c r="F106" s="31"/>
      <c r="G106" s="96"/>
      <c r="H106" s="31"/>
      <c r="I106" s="31"/>
      <c r="J106" s="124" t="s">
        <v>145</v>
      </c>
      <c r="K106" s="52"/>
      <c r="L106" s="52"/>
      <c r="M106" s="52"/>
      <c r="N106" s="52"/>
      <c r="O106" s="52"/>
      <c r="P106" s="52"/>
      <c r="Q106" s="125"/>
      <c r="R106" s="52" t="s">
        <v>159</v>
      </c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125"/>
      <c r="AK106" s="98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99"/>
    </row>
    <row r="107" spans="2:61" ht="20.100000000000001" customHeight="1" x14ac:dyDescent="0.45">
      <c r="B107" s="123"/>
      <c r="C107" s="31"/>
      <c r="D107" s="31"/>
      <c r="E107" s="31"/>
      <c r="F107" s="31"/>
      <c r="G107" s="96"/>
      <c r="H107" s="97"/>
      <c r="I107" s="31"/>
      <c r="J107" s="124" t="s">
        <v>146</v>
      </c>
      <c r="K107" s="52"/>
      <c r="L107" s="52"/>
      <c r="M107" s="52"/>
      <c r="N107" s="52"/>
      <c r="O107" s="52"/>
      <c r="P107" s="52"/>
      <c r="Q107" s="125"/>
      <c r="R107" s="52" t="s">
        <v>233</v>
      </c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125"/>
      <c r="AK107" s="98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99"/>
    </row>
    <row r="108" spans="2:61" ht="20.100000000000001" customHeight="1" x14ac:dyDescent="0.45">
      <c r="B108" s="123"/>
      <c r="C108" s="31"/>
      <c r="D108" s="31"/>
      <c r="E108" s="31"/>
      <c r="F108" s="31"/>
      <c r="G108" s="96"/>
      <c r="H108" s="97"/>
      <c r="I108" s="31"/>
      <c r="J108" s="124" t="s">
        <v>147</v>
      </c>
      <c r="K108" s="52"/>
      <c r="L108" s="52"/>
      <c r="M108" s="52"/>
      <c r="N108" s="52"/>
      <c r="O108" s="52"/>
      <c r="P108" s="52"/>
      <c r="Q108" s="125"/>
      <c r="R108" s="52" t="s">
        <v>159</v>
      </c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125"/>
      <c r="AK108" s="98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99"/>
    </row>
    <row r="109" spans="2:61" ht="20.100000000000001" customHeight="1" x14ac:dyDescent="0.45">
      <c r="B109" s="123"/>
      <c r="C109" s="31"/>
      <c r="D109" s="31"/>
      <c r="E109" s="31"/>
      <c r="F109" s="31"/>
      <c r="G109" s="96"/>
      <c r="H109" s="31"/>
      <c r="I109" s="31"/>
      <c r="J109" s="124" t="s">
        <v>148</v>
      </c>
      <c r="K109" s="52"/>
      <c r="L109" s="52"/>
      <c r="M109" s="52"/>
      <c r="N109" s="52"/>
      <c r="O109" s="52"/>
      <c r="P109" s="52"/>
      <c r="Q109" s="125"/>
      <c r="R109" s="52" t="s">
        <v>159</v>
      </c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125"/>
      <c r="AK109" s="98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99"/>
    </row>
    <row r="110" spans="2:61" ht="20.100000000000001" customHeight="1" x14ac:dyDescent="0.45">
      <c r="B110" s="123"/>
      <c r="C110" s="31"/>
      <c r="D110" s="31"/>
      <c r="E110" s="31"/>
      <c r="F110" s="31"/>
      <c r="G110" s="96"/>
      <c r="H110" s="31"/>
      <c r="I110" s="31"/>
      <c r="J110" s="124" t="s">
        <v>149</v>
      </c>
      <c r="K110" s="52"/>
      <c r="L110" s="52"/>
      <c r="M110" s="52"/>
      <c r="N110" s="52"/>
      <c r="O110" s="52"/>
      <c r="P110" s="52"/>
      <c r="Q110" s="125"/>
      <c r="R110" s="52" t="s">
        <v>160</v>
      </c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125"/>
      <c r="AK110" s="98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99"/>
    </row>
    <row r="111" spans="2:61" ht="20.100000000000001" customHeight="1" x14ac:dyDescent="0.45">
      <c r="B111" s="123"/>
      <c r="C111" s="31"/>
      <c r="D111" s="31"/>
      <c r="E111" s="31"/>
      <c r="F111" s="31"/>
      <c r="G111" s="96"/>
      <c r="H111" s="31"/>
      <c r="I111" s="31"/>
      <c r="J111" s="124" t="s">
        <v>150</v>
      </c>
      <c r="K111" s="52"/>
      <c r="L111" s="52"/>
      <c r="M111" s="52"/>
      <c r="N111" s="52"/>
      <c r="O111" s="52"/>
      <c r="P111" s="52"/>
      <c r="Q111" s="125"/>
      <c r="R111" s="52" t="s">
        <v>247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125"/>
      <c r="AK111" s="98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99"/>
    </row>
    <row r="112" spans="2:61" ht="20.100000000000001" customHeight="1" x14ac:dyDescent="0.45">
      <c r="B112" s="123"/>
      <c r="C112" s="31"/>
      <c r="D112" s="31"/>
      <c r="E112" s="31"/>
      <c r="F112" s="31"/>
      <c r="G112" s="96"/>
      <c r="H112" s="97"/>
      <c r="I112" s="31"/>
      <c r="J112" s="124" t="s">
        <v>151</v>
      </c>
      <c r="K112" s="52"/>
      <c r="L112" s="52"/>
      <c r="M112" s="52"/>
      <c r="N112" s="52"/>
      <c r="O112" s="52"/>
      <c r="P112" s="52"/>
      <c r="Q112" s="125"/>
      <c r="R112" s="52" t="s">
        <v>231</v>
      </c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125"/>
      <c r="AK112" s="98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99"/>
    </row>
    <row r="113" spans="2:61" ht="20.100000000000001" customHeight="1" x14ac:dyDescent="0.45">
      <c r="B113" s="123"/>
      <c r="C113" s="31"/>
      <c r="D113" s="31"/>
      <c r="E113" s="31"/>
      <c r="F113" s="31"/>
      <c r="G113" s="96"/>
      <c r="H113" s="97"/>
      <c r="I113" s="31"/>
      <c r="J113" s="124" t="s">
        <v>152</v>
      </c>
      <c r="K113" s="52"/>
      <c r="L113" s="52"/>
      <c r="M113" s="52"/>
      <c r="N113" s="52"/>
      <c r="O113" s="52"/>
      <c r="P113" s="52"/>
      <c r="Q113" s="125"/>
      <c r="R113" s="52" t="s">
        <v>160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125"/>
      <c r="AK113" s="98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99"/>
    </row>
    <row r="114" spans="2:61" ht="20.100000000000001" customHeight="1" x14ac:dyDescent="0.45">
      <c r="B114" s="123"/>
      <c r="C114" s="31"/>
      <c r="D114" s="31"/>
      <c r="E114" s="31"/>
      <c r="F114" s="31"/>
      <c r="G114" s="96"/>
      <c r="H114" s="31"/>
      <c r="I114" s="31"/>
      <c r="J114" s="124" t="s">
        <v>153</v>
      </c>
      <c r="K114" s="52"/>
      <c r="L114" s="52"/>
      <c r="M114" s="52"/>
      <c r="N114" s="52"/>
      <c r="O114" s="52"/>
      <c r="P114" s="52"/>
      <c r="Q114" s="125"/>
      <c r="R114" s="52" t="s">
        <v>160</v>
      </c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125"/>
      <c r="AK114" s="98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99"/>
    </row>
    <row r="115" spans="2:61" ht="20.100000000000001" customHeight="1" x14ac:dyDescent="0.45">
      <c r="B115" s="123"/>
      <c r="C115" s="31"/>
      <c r="D115" s="31"/>
      <c r="E115" s="31"/>
      <c r="F115" s="31"/>
      <c r="G115" s="96"/>
      <c r="H115" s="31"/>
      <c r="I115" s="31"/>
      <c r="J115" s="124" t="s">
        <v>154</v>
      </c>
      <c r="K115" s="52"/>
      <c r="L115" s="52"/>
      <c r="M115" s="52"/>
      <c r="N115" s="52"/>
      <c r="O115" s="52"/>
      <c r="P115" s="52"/>
      <c r="Q115" s="125"/>
      <c r="R115" s="52" t="s">
        <v>160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125"/>
      <c r="AK115" s="98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99"/>
    </row>
    <row r="116" spans="2:61" ht="20.100000000000001" customHeight="1" x14ac:dyDescent="0.45">
      <c r="B116" s="123"/>
      <c r="C116" s="31"/>
      <c r="D116" s="31"/>
      <c r="E116" s="31"/>
      <c r="F116" s="31"/>
      <c r="G116" s="96"/>
      <c r="H116" s="31"/>
      <c r="I116" s="31"/>
      <c r="J116" s="124" t="s">
        <v>155</v>
      </c>
      <c r="K116" s="52"/>
      <c r="L116" s="52"/>
      <c r="M116" s="52"/>
      <c r="N116" s="52"/>
      <c r="O116" s="52"/>
      <c r="P116" s="52"/>
      <c r="Q116" s="125"/>
      <c r="R116" s="52" t="s">
        <v>160</v>
      </c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125"/>
      <c r="AK116" s="98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99"/>
    </row>
    <row r="117" spans="2:61" ht="20.100000000000001" customHeight="1" x14ac:dyDescent="0.45">
      <c r="B117" s="123"/>
      <c r="C117" s="31"/>
      <c r="D117" s="31"/>
      <c r="E117" s="31"/>
      <c r="F117" s="31"/>
      <c r="G117" s="96"/>
      <c r="H117" s="100" t="s">
        <v>161</v>
      </c>
      <c r="I117" s="55"/>
      <c r="J117" s="100" t="s">
        <v>240</v>
      </c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101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102"/>
    </row>
    <row r="118" spans="2:61" ht="20.100000000000001" customHeight="1" x14ac:dyDescent="0.45">
      <c r="B118" s="95"/>
      <c r="C118" s="31"/>
      <c r="D118" s="31"/>
      <c r="E118" s="31"/>
      <c r="F118" s="31"/>
      <c r="G118" s="96"/>
      <c r="H118" s="100" t="s">
        <v>163</v>
      </c>
      <c r="I118" s="55"/>
      <c r="J118" s="100" t="s">
        <v>222</v>
      </c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101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102"/>
    </row>
    <row r="119" spans="2:61" ht="20.100000000000001" customHeight="1" x14ac:dyDescent="0.45">
      <c r="B119" s="95"/>
      <c r="C119" s="31"/>
      <c r="D119" s="31"/>
      <c r="E119" s="31"/>
      <c r="F119" s="31"/>
      <c r="G119" s="96"/>
      <c r="H119" s="97"/>
      <c r="I119" s="31"/>
      <c r="J119" s="97"/>
      <c r="K119" s="31" t="s">
        <v>223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98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99"/>
    </row>
    <row r="120" spans="2:61" ht="20.100000000000001" customHeight="1" x14ac:dyDescent="0.45">
      <c r="B120" s="95"/>
      <c r="C120" s="31"/>
      <c r="D120" s="31"/>
      <c r="E120" s="31"/>
      <c r="F120" s="31"/>
      <c r="G120" s="96"/>
      <c r="H120" s="100" t="s">
        <v>166</v>
      </c>
      <c r="I120" s="55"/>
      <c r="J120" s="100" t="s">
        <v>224</v>
      </c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128"/>
      <c r="AK120" s="101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102"/>
    </row>
    <row r="121" spans="2:61" ht="20.100000000000001" customHeight="1" x14ac:dyDescent="0.45">
      <c r="B121" s="95"/>
      <c r="C121" s="31"/>
      <c r="D121" s="31"/>
      <c r="E121" s="31"/>
      <c r="F121" s="31"/>
      <c r="G121" s="96"/>
      <c r="H121" s="97"/>
      <c r="I121" s="31"/>
      <c r="J121" s="97"/>
      <c r="K121" s="31" t="s">
        <v>245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97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99"/>
    </row>
    <row r="122" spans="2:61" ht="20.100000000000001" customHeight="1" x14ac:dyDescent="0.45">
      <c r="B122" s="95"/>
      <c r="C122" s="31"/>
      <c r="D122" s="31"/>
      <c r="E122" s="31"/>
      <c r="F122" s="31"/>
      <c r="G122" s="96"/>
      <c r="H122" s="97"/>
      <c r="I122" s="31"/>
      <c r="J122" s="97"/>
      <c r="K122" s="31" t="s">
        <v>246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97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99"/>
    </row>
    <row r="123" spans="2:61" ht="20.100000000000001" customHeight="1" x14ac:dyDescent="0.45">
      <c r="B123" s="95"/>
      <c r="C123" s="31"/>
      <c r="D123" s="31"/>
      <c r="E123" s="31"/>
      <c r="F123" s="31"/>
      <c r="G123" s="96"/>
      <c r="H123" s="97"/>
      <c r="I123" s="31"/>
      <c r="J123" s="97"/>
      <c r="K123" s="31" t="s">
        <v>171</v>
      </c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97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99"/>
    </row>
    <row r="124" spans="2:61" ht="20.100000000000001" customHeight="1" x14ac:dyDescent="0.45">
      <c r="B124" s="95"/>
      <c r="C124" s="31"/>
      <c r="D124" s="31"/>
      <c r="E124" s="31"/>
      <c r="F124" s="31"/>
      <c r="G124" s="96"/>
      <c r="H124" s="97"/>
      <c r="I124" s="31"/>
      <c r="J124" s="97"/>
      <c r="K124" s="31" t="s">
        <v>172</v>
      </c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97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99"/>
    </row>
    <row r="125" spans="2:61" ht="20.100000000000001" customHeight="1" thickBot="1" x14ac:dyDescent="0.5">
      <c r="B125" s="95"/>
      <c r="C125" s="31"/>
      <c r="D125" s="31"/>
      <c r="E125" s="31"/>
      <c r="F125" s="31"/>
      <c r="G125" s="96"/>
      <c r="H125" s="129" t="s">
        <v>167</v>
      </c>
      <c r="I125" s="130"/>
      <c r="J125" s="129" t="s">
        <v>229</v>
      </c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  <c r="AG125" s="130"/>
      <c r="AH125" s="130"/>
      <c r="AI125" s="130"/>
      <c r="AJ125" s="130"/>
      <c r="AK125" s="131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2"/>
    </row>
    <row r="126" spans="2:61" ht="20.100000000000001" customHeight="1" x14ac:dyDescent="0.45">
      <c r="B126" s="89" t="s">
        <v>176</v>
      </c>
      <c r="C126" s="90"/>
      <c r="D126" s="90"/>
      <c r="E126" s="90"/>
      <c r="F126" s="90"/>
      <c r="G126" s="91"/>
      <c r="H126" s="92" t="s">
        <v>126</v>
      </c>
      <c r="I126" s="90"/>
      <c r="J126" s="120" t="s">
        <v>127</v>
      </c>
      <c r="K126" s="121"/>
      <c r="L126" s="121"/>
      <c r="M126" s="121"/>
      <c r="N126" s="121"/>
      <c r="O126" s="121"/>
      <c r="P126" s="121"/>
      <c r="Q126" s="122"/>
      <c r="R126" s="121">
        <v>1</v>
      </c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2"/>
      <c r="AK126" s="93" t="s">
        <v>173</v>
      </c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4"/>
    </row>
    <row r="127" spans="2:61" ht="20.100000000000001" customHeight="1" x14ac:dyDescent="0.45">
      <c r="B127" s="123"/>
      <c r="C127" s="31"/>
      <c r="D127" s="31"/>
      <c r="E127" s="31"/>
      <c r="F127" s="31"/>
      <c r="G127" s="96"/>
      <c r="H127" s="97"/>
      <c r="I127" s="31"/>
      <c r="J127" s="124" t="s">
        <v>83</v>
      </c>
      <c r="K127" s="52"/>
      <c r="L127" s="52"/>
      <c r="M127" s="52"/>
      <c r="N127" s="52"/>
      <c r="O127" s="52"/>
      <c r="P127" s="52"/>
      <c r="Q127" s="125"/>
      <c r="R127" s="52" t="s">
        <v>249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25"/>
      <c r="AK127" s="98" t="s">
        <v>175</v>
      </c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99"/>
    </row>
    <row r="128" spans="2:61" ht="20.100000000000001" customHeight="1" x14ac:dyDescent="0.45">
      <c r="B128" s="123"/>
      <c r="C128" s="31"/>
      <c r="D128" s="31"/>
      <c r="E128" s="31"/>
      <c r="F128" s="31"/>
      <c r="G128" s="96"/>
      <c r="H128" s="97"/>
      <c r="I128" s="31"/>
      <c r="J128" s="124" t="s">
        <v>128</v>
      </c>
      <c r="K128" s="52"/>
      <c r="L128" s="52"/>
      <c r="M128" s="52"/>
      <c r="N128" s="52"/>
      <c r="O128" s="52"/>
      <c r="P128" s="52"/>
      <c r="Q128" s="125"/>
      <c r="R128" s="52" t="s">
        <v>156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125"/>
      <c r="AK128" s="98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99"/>
    </row>
    <row r="129" spans="2:61" ht="20.100000000000001" customHeight="1" x14ac:dyDescent="0.45">
      <c r="B129" s="123"/>
      <c r="C129" s="31"/>
      <c r="D129" s="31"/>
      <c r="E129" s="31"/>
      <c r="F129" s="31"/>
      <c r="G129" s="96"/>
      <c r="H129" s="97"/>
      <c r="I129" s="31"/>
      <c r="J129" s="124" t="s">
        <v>129</v>
      </c>
      <c r="K129" s="52"/>
      <c r="L129" s="52"/>
      <c r="M129" s="52"/>
      <c r="N129" s="52"/>
      <c r="O129" s="52"/>
      <c r="P129" s="52"/>
      <c r="Q129" s="125"/>
      <c r="R129" s="52" t="s">
        <v>157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125"/>
      <c r="AK129" s="98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99"/>
    </row>
    <row r="130" spans="2:61" ht="20.100000000000001" customHeight="1" x14ac:dyDescent="0.45">
      <c r="B130" s="123"/>
      <c r="C130" s="31"/>
      <c r="D130" s="31"/>
      <c r="E130" s="31"/>
      <c r="F130" s="31"/>
      <c r="G130" s="96"/>
      <c r="H130" s="31"/>
      <c r="I130" s="31"/>
      <c r="J130" s="124" t="s">
        <v>130</v>
      </c>
      <c r="K130" s="52"/>
      <c r="L130" s="52"/>
      <c r="M130" s="52"/>
      <c r="N130" s="52"/>
      <c r="O130" s="52"/>
      <c r="P130" s="52"/>
      <c r="Q130" s="125"/>
      <c r="R130" s="52" t="s">
        <v>158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125"/>
      <c r="AK130" s="98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99"/>
    </row>
    <row r="131" spans="2:61" ht="20.100000000000001" customHeight="1" x14ac:dyDescent="0.45">
      <c r="B131" s="123"/>
      <c r="C131" s="31"/>
      <c r="D131" s="31"/>
      <c r="E131" s="31"/>
      <c r="F131" s="31"/>
      <c r="G131" s="96"/>
      <c r="H131" s="31"/>
      <c r="I131" s="31"/>
      <c r="J131" s="124" t="s">
        <v>131</v>
      </c>
      <c r="K131" s="52"/>
      <c r="L131" s="52"/>
      <c r="M131" s="52"/>
      <c r="N131" s="52"/>
      <c r="O131" s="52"/>
      <c r="P131" s="52"/>
      <c r="Q131" s="125"/>
      <c r="R131" s="52" t="s">
        <v>160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25"/>
      <c r="AK131" s="98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99"/>
    </row>
    <row r="132" spans="2:61" ht="20.100000000000001" customHeight="1" x14ac:dyDescent="0.45">
      <c r="B132" s="123"/>
      <c r="C132" s="31"/>
      <c r="D132" s="31"/>
      <c r="E132" s="31"/>
      <c r="F132" s="31"/>
      <c r="G132" s="96"/>
      <c r="H132" s="31"/>
      <c r="I132" s="31"/>
      <c r="J132" s="124" t="s">
        <v>132</v>
      </c>
      <c r="K132" s="52"/>
      <c r="L132" s="52"/>
      <c r="M132" s="52"/>
      <c r="N132" s="52"/>
      <c r="O132" s="52"/>
      <c r="P132" s="52"/>
      <c r="Q132" s="125"/>
      <c r="R132" s="52" t="s">
        <v>247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125"/>
      <c r="AK132" s="98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99"/>
    </row>
    <row r="133" spans="2:61" ht="20.100000000000001" customHeight="1" x14ac:dyDescent="0.45">
      <c r="B133" s="123"/>
      <c r="C133" s="31"/>
      <c r="D133" s="31"/>
      <c r="E133" s="31"/>
      <c r="F133" s="31"/>
      <c r="G133" s="96"/>
      <c r="H133" s="97"/>
      <c r="I133" s="31"/>
      <c r="J133" s="124" t="s">
        <v>133</v>
      </c>
      <c r="K133" s="52"/>
      <c r="L133" s="52"/>
      <c r="M133" s="52"/>
      <c r="N133" s="52"/>
      <c r="O133" s="52"/>
      <c r="P133" s="52"/>
      <c r="Q133" s="125"/>
      <c r="R133" s="52">
        <v>201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125"/>
      <c r="AK133" s="98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99"/>
    </row>
    <row r="134" spans="2:61" ht="20.100000000000001" customHeight="1" x14ac:dyDescent="0.45">
      <c r="B134" s="123"/>
      <c r="C134" s="31"/>
      <c r="D134" s="31"/>
      <c r="E134" s="31"/>
      <c r="F134" s="31"/>
      <c r="G134" s="96"/>
      <c r="H134" s="97"/>
      <c r="I134" s="31"/>
      <c r="J134" s="124" t="s">
        <v>134</v>
      </c>
      <c r="K134" s="52"/>
      <c r="L134" s="52"/>
      <c r="M134" s="52"/>
      <c r="N134" s="52"/>
      <c r="O134" s="52"/>
      <c r="P134" s="52"/>
      <c r="Q134" s="125"/>
      <c r="R134" s="52" t="s">
        <v>160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125"/>
      <c r="AK134" s="98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99"/>
    </row>
    <row r="135" spans="2:61" ht="20.100000000000001" customHeight="1" x14ac:dyDescent="0.45">
      <c r="B135" s="123"/>
      <c r="C135" s="31"/>
      <c r="D135" s="31"/>
      <c r="E135" s="31"/>
      <c r="F135" s="31"/>
      <c r="G135" s="96"/>
      <c r="H135" s="31"/>
      <c r="I135" s="31"/>
      <c r="J135" s="124" t="s">
        <v>135</v>
      </c>
      <c r="K135" s="52"/>
      <c r="L135" s="52"/>
      <c r="M135" s="52"/>
      <c r="N135" s="52"/>
      <c r="O135" s="52"/>
      <c r="P135" s="52"/>
      <c r="Q135" s="125"/>
      <c r="R135" s="52">
        <v>0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125"/>
      <c r="AK135" s="98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99"/>
    </row>
    <row r="136" spans="2:61" ht="20.100000000000001" customHeight="1" x14ac:dyDescent="0.45">
      <c r="B136" s="123"/>
      <c r="C136" s="31"/>
      <c r="D136" s="31"/>
      <c r="E136" s="31"/>
      <c r="F136" s="31"/>
      <c r="G136" s="96"/>
      <c r="H136" s="31"/>
      <c r="I136" s="31"/>
      <c r="J136" s="124" t="s">
        <v>136</v>
      </c>
      <c r="K136" s="52"/>
      <c r="L136" s="52"/>
      <c r="M136" s="52"/>
      <c r="N136" s="52"/>
      <c r="O136" s="52"/>
      <c r="P136" s="52"/>
      <c r="Q136" s="125"/>
      <c r="R136" s="52">
        <v>0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125"/>
      <c r="AK136" s="98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99"/>
    </row>
    <row r="137" spans="2:61" ht="20.100000000000001" customHeight="1" x14ac:dyDescent="0.45">
      <c r="B137" s="123"/>
      <c r="C137" s="31"/>
      <c r="D137" s="31"/>
      <c r="E137" s="31"/>
      <c r="F137" s="31"/>
      <c r="G137" s="96"/>
      <c r="H137" s="31"/>
      <c r="I137" s="31"/>
      <c r="J137" s="124" t="s">
        <v>137</v>
      </c>
      <c r="K137" s="52"/>
      <c r="L137" s="52"/>
      <c r="M137" s="52"/>
      <c r="N137" s="52"/>
      <c r="O137" s="52"/>
      <c r="P137" s="52"/>
      <c r="Q137" s="125"/>
      <c r="R137" s="52" t="s">
        <v>160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125"/>
      <c r="AK137" s="98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99"/>
    </row>
    <row r="138" spans="2:61" ht="20.100000000000001" customHeight="1" x14ac:dyDescent="0.45">
      <c r="B138" s="123"/>
      <c r="C138" s="31"/>
      <c r="D138" s="31"/>
      <c r="E138" s="31"/>
      <c r="F138" s="31"/>
      <c r="G138" s="96"/>
      <c r="H138" s="97"/>
      <c r="I138" s="31"/>
      <c r="J138" s="124" t="s">
        <v>138</v>
      </c>
      <c r="K138" s="52"/>
      <c r="L138" s="52"/>
      <c r="M138" s="52"/>
      <c r="N138" s="52"/>
      <c r="O138" s="52"/>
      <c r="P138" s="52"/>
      <c r="Q138" s="125"/>
      <c r="R138" s="52" t="s">
        <v>233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25"/>
      <c r="AK138" s="98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99"/>
    </row>
    <row r="139" spans="2:61" ht="20.100000000000001" customHeight="1" x14ac:dyDescent="0.45">
      <c r="B139" s="123"/>
      <c r="C139" s="31"/>
      <c r="D139" s="31"/>
      <c r="E139" s="31"/>
      <c r="F139" s="31"/>
      <c r="G139" s="96"/>
      <c r="H139" s="97"/>
      <c r="I139" s="31"/>
      <c r="J139" s="124" t="s">
        <v>139</v>
      </c>
      <c r="K139" s="52"/>
      <c r="L139" s="52"/>
      <c r="M139" s="52"/>
      <c r="N139" s="52"/>
      <c r="O139" s="52"/>
      <c r="P139" s="52"/>
      <c r="Q139" s="125"/>
      <c r="R139" s="52" t="s">
        <v>160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125"/>
      <c r="AK139" s="98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99"/>
    </row>
    <row r="140" spans="2:61" ht="20.100000000000001" customHeight="1" x14ac:dyDescent="0.45">
      <c r="B140" s="123"/>
      <c r="C140" s="31"/>
      <c r="D140" s="31"/>
      <c r="E140" s="31"/>
      <c r="F140" s="31"/>
      <c r="G140" s="96"/>
      <c r="H140" s="31"/>
      <c r="I140" s="31"/>
      <c r="J140" s="124" t="s">
        <v>140</v>
      </c>
      <c r="K140" s="52"/>
      <c r="L140" s="52"/>
      <c r="M140" s="52"/>
      <c r="N140" s="52"/>
      <c r="O140" s="52"/>
      <c r="P140" s="52"/>
      <c r="Q140" s="125"/>
      <c r="R140" s="52" t="s">
        <v>160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125"/>
      <c r="AK140" s="98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99"/>
    </row>
    <row r="141" spans="2:61" ht="20.100000000000001" customHeight="1" x14ac:dyDescent="0.45">
      <c r="B141" s="123"/>
      <c r="C141" s="31"/>
      <c r="D141" s="31"/>
      <c r="E141" s="31"/>
      <c r="F141" s="31"/>
      <c r="G141" s="96"/>
      <c r="H141" s="31"/>
      <c r="I141" s="31"/>
      <c r="J141" s="124" t="s">
        <v>141</v>
      </c>
      <c r="K141" s="52"/>
      <c r="L141" s="52"/>
      <c r="M141" s="52"/>
      <c r="N141" s="52"/>
      <c r="O141" s="52"/>
      <c r="P141" s="52"/>
      <c r="Q141" s="125"/>
      <c r="R141" s="52" t="s">
        <v>160</v>
      </c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125"/>
      <c r="AK141" s="98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99"/>
    </row>
    <row r="142" spans="2:61" ht="20.100000000000001" customHeight="1" x14ac:dyDescent="0.45">
      <c r="B142" s="123"/>
      <c r="C142" s="31"/>
      <c r="D142" s="31"/>
      <c r="E142" s="31"/>
      <c r="F142" s="31"/>
      <c r="G142" s="96"/>
      <c r="H142" s="97"/>
      <c r="I142" s="31"/>
      <c r="J142" s="124" t="s">
        <v>142</v>
      </c>
      <c r="K142" s="52"/>
      <c r="L142" s="52"/>
      <c r="M142" s="52"/>
      <c r="N142" s="52"/>
      <c r="O142" s="52"/>
      <c r="P142" s="52"/>
      <c r="Q142" s="125"/>
      <c r="R142" s="52">
        <v>158</v>
      </c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125"/>
      <c r="AK142" s="98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99"/>
    </row>
    <row r="143" spans="2:61" ht="20.100000000000001" customHeight="1" x14ac:dyDescent="0.45">
      <c r="B143" s="123"/>
      <c r="C143" s="31"/>
      <c r="D143" s="31"/>
      <c r="E143" s="31"/>
      <c r="F143" s="31"/>
      <c r="G143" s="96"/>
      <c r="H143" s="97"/>
      <c r="I143" s="31"/>
      <c r="J143" s="124" t="s">
        <v>106</v>
      </c>
      <c r="K143" s="52"/>
      <c r="L143" s="52"/>
      <c r="M143" s="52"/>
      <c r="N143" s="52"/>
      <c r="O143" s="52"/>
      <c r="P143" s="52"/>
      <c r="Q143" s="125"/>
      <c r="R143" s="52" t="s">
        <v>160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25"/>
      <c r="AK143" s="98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99"/>
    </row>
    <row r="144" spans="2:61" ht="20.100000000000001" customHeight="1" x14ac:dyDescent="0.45">
      <c r="B144" s="123"/>
      <c r="C144" s="31"/>
      <c r="D144" s="31"/>
      <c r="E144" s="31"/>
      <c r="F144" s="31"/>
      <c r="G144" s="96"/>
      <c r="H144" s="31"/>
      <c r="I144" s="31"/>
      <c r="J144" s="124" t="s">
        <v>143</v>
      </c>
      <c r="K144" s="52"/>
      <c r="L144" s="52"/>
      <c r="M144" s="52"/>
      <c r="N144" s="52"/>
      <c r="O144" s="52"/>
      <c r="P144" s="52"/>
      <c r="Q144" s="125"/>
      <c r="R144" s="52">
        <v>31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25"/>
      <c r="AK144" s="98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99"/>
    </row>
    <row r="145" spans="2:61" ht="20.100000000000001" customHeight="1" x14ac:dyDescent="0.45">
      <c r="B145" s="123"/>
      <c r="C145" s="31"/>
      <c r="D145" s="31"/>
      <c r="E145" s="31"/>
      <c r="F145" s="31"/>
      <c r="G145" s="96"/>
      <c r="H145" s="31"/>
      <c r="I145" s="31"/>
      <c r="J145" s="124" t="s">
        <v>144</v>
      </c>
      <c r="K145" s="52"/>
      <c r="L145" s="52"/>
      <c r="M145" s="52"/>
      <c r="N145" s="52"/>
      <c r="O145" s="52"/>
      <c r="P145" s="52"/>
      <c r="Q145" s="125"/>
      <c r="R145" s="133" t="s">
        <v>219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25"/>
      <c r="AK145" s="98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99"/>
    </row>
    <row r="146" spans="2:61" ht="20.100000000000001" customHeight="1" x14ac:dyDescent="0.45">
      <c r="B146" s="123"/>
      <c r="C146" s="31"/>
      <c r="D146" s="31"/>
      <c r="E146" s="31"/>
      <c r="F146" s="31"/>
      <c r="G146" s="96"/>
      <c r="H146" s="31"/>
      <c r="I146" s="31"/>
      <c r="J146" s="124" t="s">
        <v>145</v>
      </c>
      <c r="K146" s="52"/>
      <c r="L146" s="52"/>
      <c r="M146" s="52"/>
      <c r="N146" s="52"/>
      <c r="O146" s="52"/>
      <c r="P146" s="52"/>
      <c r="Q146" s="125"/>
      <c r="R146" s="52" t="s">
        <v>159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25"/>
      <c r="AK146" s="98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99"/>
    </row>
    <row r="147" spans="2:61" ht="20.100000000000001" customHeight="1" x14ac:dyDescent="0.45">
      <c r="B147" s="123"/>
      <c r="C147" s="31"/>
      <c r="D147" s="31"/>
      <c r="E147" s="31"/>
      <c r="F147" s="31"/>
      <c r="G147" s="96"/>
      <c r="H147" s="97"/>
      <c r="I147" s="31"/>
      <c r="J147" s="124" t="s">
        <v>146</v>
      </c>
      <c r="K147" s="52"/>
      <c r="L147" s="52"/>
      <c r="M147" s="52"/>
      <c r="N147" s="52"/>
      <c r="O147" s="52"/>
      <c r="P147" s="52"/>
      <c r="Q147" s="125"/>
      <c r="R147" s="52" t="s">
        <v>160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25"/>
      <c r="AK147" s="98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99"/>
    </row>
    <row r="148" spans="2:61" ht="20.100000000000001" customHeight="1" x14ac:dyDescent="0.45">
      <c r="B148" s="123"/>
      <c r="C148" s="31"/>
      <c r="D148" s="31"/>
      <c r="E148" s="31"/>
      <c r="F148" s="31"/>
      <c r="G148" s="96"/>
      <c r="H148" s="97"/>
      <c r="I148" s="31"/>
      <c r="J148" s="124" t="s">
        <v>147</v>
      </c>
      <c r="K148" s="52"/>
      <c r="L148" s="52"/>
      <c r="M148" s="52"/>
      <c r="N148" s="52"/>
      <c r="O148" s="52"/>
      <c r="P148" s="52"/>
      <c r="Q148" s="125"/>
      <c r="R148" s="52" t="s">
        <v>159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25"/>
      <c r="AK148" s="98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99"/>
    </row>
    <row r="149" spans="2:61" ht="20.100000000000001" customHeight="1" x14ac:dyDescent="0.45">
      <c r="B149" s="123"/>
      <c r="C149" s="31"/>
      <c r="D149" s="31"/>
      <c r="E149" s="31"/>
      <c r="F149" s="31"/>
      <c r="G149" s="96"/>
      <c r="H149" s="31"/>
      <c r="I149" s="31"/>
      <c r="J149" s="124" t="s">
        <v>148</v>
      </c>
      <c r="K149" s="52"/>
      <c r="L149" s="52"/>
      <c r="M149" s="52"/>
      <c r="N149" s="52"/>
      <c r="O149" s="52"/>
      <c r="P149" s="52"/>
      <c r="Q149" s="125"/>
      <c r="R149" s="52" t="s">
        <v>159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25"/>
      <c r="AK149" s="98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99"/>
    </row>
    <row r="150" spans="2:61" ht="20.100000000000001" customHeight="1" x14ac:dyDescent="0.45">
      <c r="B150" s="123"/>
      <c r="C150" s="31"/>
      <c r="D150" s="31"/>
      <c r="E150" s="31"/>
      <c r="F150" s="31"/>
      <c r="G150" s="96"/>
      <c r="H150" s="31"/>
      <c r="I150" s="31"/>
      <c r="J150" s="124" t="s">
        <v>149</v>
      </c>
      <c r="K150" s="52"/>
      <c r="L150" s="52"/>
      <c r="M150" s="52"/>
      <c r="N150" s="52"/>
      <c r="O150" s="52"/>
      <c r="P150" s="52"/>
      <c r="Q150" s="125"/>
      <c r="R150" s="52" t="s">
        <v>160</v>
      </c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125"/>
      <c r="AK150" s="98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99"/>
    </row>
    <row r="151" spans="2:61" ht="20.100000000000001" customHeight="1" x14ac:dyDescent="0.45">
      <c r="B151" s="123"/>
      <c r="C151" s="31"/>
      <c r="D151" s="31"/>
      <c r="E151" s="31"/>
      <c r="F151" s="31"/>
      <c r="G151" s="96"/>
      <c r="H151" s="31"/>
      <c r="I151" s="31"/>
      <c r="J151" s="124" t="s">
        <v>150</v>
      </c>
      <c r="K151" s="52"/>
      <c r="L151" s="52"/>
      <c r="M151" s="52"/>
      <c r="N151" s="52"/>
      <c r="O151" s="52"/>
      <c r="P151" s="52"/>
      <c r="Q151" s="125"/>
      <c r="R151" s="52" t="s">
        <v>247</v>
      </c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125"/>
      <c r="AK151" s="98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99"/>
    </row>
    <row r="152" spans="2:61" ht="20.100000000000001" customHeight="1" x14ac:dyDescent="0.45">
      <c r="B152" s="123"/>
      <c r="C152" s="31"/>
      <c r="D152" s="31"/>
      <c r="E152" s="31"/>
      <c r="F152" s="31"/>
      <c r="G152" s="96"/>
      <c r="H152" s="97"/>
      <c r="I152" s="31"/>
      <c r="J152" s="124" t="s">
        <v>151</v>
      </c>
      <c r="K152" s="52"/>
      <c r="L152" s="52"/>
      <c r="M152" s="52"/>
      <c r="N152" s="52"/>
      <c r="O152" s="52"/>
      <c r="P152" s="52"/>
      <c r="Q152" s="125"/>
      <c r="R152" s="52" t="s">
        <v>231</v>
      </c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125"/>
      <c r="AK152" s="98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99"/>
    </row>
    <row r="153" spans="2:61" ht="20.100000000000001" customHeight="1" x14ac:dyDescent="0.45">
      <c r="B153" s="123"/>
      <c r="C153" s="31"/>
      <c r="D153" s="31"/>
      <c r="E153" s="31"/>
      <c r="F153" s="31"/>
      <c r="G153" s="96"/>
      <c r="H153" s="97"/>
      <c r="I153" s="31"/>
      <c r="J153" s="124" t="s">
        <v>152</v>
      </c>
      <c r="K153" s="52"/>
      <c r="L153" s="52"/>
      <c r="M153" s="52"/>
      <c r="N153" s="52"/>
      <c r="O153" s="52"/>
      <c r="P153" s="52"/>
      <c r="Q153" s="125"/>
      <c r="R153" s="52" t="s">
        <v>160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125"/>
      <c r="AK153" s="98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99"/>
    </row>
    <row r="154" spans="2:61" ht="20.100000000000001" customHeight="1" x14ac:dyDescent="0.45">
      <c r="B154" s="123"/>
      <c r="C154" s="31"/>
      <c r="D154" s="31"/>
      <c r="E154" s="31"/>
      <c r="F154" s="31"/>
      <c r="G154" s="96"/>
      <c r="H154" s="31"/>
      <c r="I154" s="31"/>
      <c r="J154" s="124" t="s">
        <v>153</v>
      </c>
      <c r="K154" s="52"/>
      <c r="L154" s="52"/>
      <c r="M154" s="52"/>
      <c r="N154" s="52"/>
      <c r="O154" s="52"/>
      <c r="P154" s="52"/>
      <c r="Q154" s="125"/>
      <c r="R154" s="52" t="s">
        <v>160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125"/>
      <c r="AK154" s="98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99"/>
    </row>
    <row r="155" spans="2:61" ht="20.100000000000001" customHeight="1" x14ac:dyDescent="0.45">
      <c r="B155" s="123"/>
      <c r="C155" s="31"/>
      <c r="D155" s="31"/>
      <c r="E155" s="31"/>
      <c r="F155" s="31"/>
      <c r="G155" s="96"/>
      <c r="H155" s="31"/>
      <c r="I155" s="31"/>
      <c r="J155" s="124" t="s">
        <v>154</v>
      </c>
      <c r="K155" s="52"/>
      <c r="L155" s="52"/>
      <c r="M155" s="52"/>
      <c r="N155" s="52"/>
      <c r="O155" s="52"/>
      <c r="P155" s="52"/>
      <c r="Q155" s="125"/>
      <c r="R155" s="52" t="s">
        <v>160</v>
      </c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125"/>
      <c r="AK155" s="98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99"/>
    </row>
    <row r="156" spans="2:61" ht="20.100000000000001" customHeight="1" x14ac:dyDescent="0.45">
      <c r="B156" s="123"/>
      <c r="C156" s="31"/>
      <c r="D156" s="31"/>
      <c r="E156" s="31"/>
      <c r="F156" s="31"/>
      <c r="G156" s="96"/>
      <c r="H156" s="31"/>
      <c r="I156" s="31"/>
      <c r="J156" s="124" t="s">
        <v>155</v>
      </c>
      <c r="K156" s="52"/>
      <c r="L156" s="52"/>
      <c r="M156" s="52"/>
      <c r="N156" s="52"/>
      <c r="O156" s="52"/>
      <c r="P156" s="52"/>
      <c r="Q156" s="125"/>
      <c r="R156" s="52" t="s">
        <v>160</v>
      </c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125"/>
      <c r="AK156" s="98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99"/>
    </row>
    <row r="157" spans="2:61" ht="20.100000000000001" customHeight="1" x14ac:dyDescent="0.45">
      <c r="B157" s="123"/>
      <c r="C157" s="31"/>
      <c r="D157" s="31"/>
      <c r="E157" s="31"/>
      <c r="F157" s="31"/>
      <c r="G157" s="96"/>
      <c r="H157" s="100" t="s">
        <v>161</v>
      </c>
      <c r="I157" s="55"/>
      <c r="J157" s="100" t="s">
        <v>240</v>
      </c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101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102"/>
    </row>
    <row r="158" spans="2:61" ht="20.100000000000001" customHeight="1" x14ac:dyDescent="0.45">
      <c r="B158" s="95"/>
      <c r="C158" s="31"/>
      <c r="D158" s="31"/>
      <c r="E158" s="31"/>
      <c r="F158" s="31"/>
      <c r="G158" s="96"/>
      <c r="H158" s="100" t="s">
        <v>163</v>
      </c>
      <c r="I158" s="55"/>
      <c r="J158" s="100" t="s">
        <v>222</v>
      </c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101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102"/>
    </row>
    <row r="159" spans="2:61" ht="20.100000000000001" customHeight="1" x14ac:dyDescent="0.45">
      <c r="B159" s="95"/>
      <c r="C159" s="31"/>
      <c r="D159" s="31"/>
      <c r="E159" s="31"/>
      <c r="F159" s="31"/>
      <c r="G159" s="96"/>
      <c r="H159" s="97"/>
      <c r="I159" s="31"/>
      <c r="J159" s="97"/>
      <c r="K159" s="31" t="s">
        <v>223</v>
      </c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98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99"/>
    </row>
    <row r="160" spans="2:61" ht="20.100000000000001" customHeight="1" x14ac:dyDescent="0.45">
      <c r="B160" s="95"/>
      <c r="C160" s="31"/>
      <c r="D160" s="31"/>
      <c r="E160" s="31"/>
      <c r="F160" s="31"/>
      <c r="G160" s="96"/>
      <c r="H160" s="100" t="s">
        <v>166</v>
      </c>
      <c r="I160" s="55"/>
      <c r="J160" s="100" t="s">
        <v>224</v>
      </c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128"/>
      <c r="AK160" s="101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102"/>
    </row>
    <row r="161" spans="2:61" ht="20.100000000000001" customHeight="1" x14ac:dyDescent="0.45">
      <c r="B161" s="95"/>
      <c r="C161" s="31"/>
      <c r="D161" s="31"/>
      <c r="E161" s="31"/>
      <c r="F161" s="31"/>
      <c r="G161" s="96"/>
      <c r="H161" s="97"/>
      <c r="I161" s="31"/>
      <c r="J161" s="97"/>
      <c r="K161" s="31" t="s">
        <v>248</v>
      </c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97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99"/>
    </row>
    <row r="162" spans="2:61" ht="20.100000000000001" customHeight="1" x14ac:dyDescent="0.45">
      <c r="B162" s="95"/>
      <c r="C162" s="31"/>
      <c r="D162" s="31"/>
      <c r="E162" s="31"/>
      <c r="F162" s="31"/>
      <c r="G162" s="96"/>
      <c r="H162" s="97"/>
      <c r="I162" s="31"/>
      <c r="J162" s="97"/>
      <c r="K162" s="31" t="s">
        <v>246</v>
      </c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97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99"/>
    </row>
    <row r="163" spans="2:61" ht="20.100000000000001" customHeight="1" x14ac:dyDescent="0.45">
      <c r="B163" s="95"/>
      <c r="C163" s="31"/>
      <c r="D163" s="31"/>
      <c r="E163" s="31"/>
      <c r="F163" s="31"/>
      <c r="G163" s="96"/>
      <c r="H163" s="97"/>
      <c r="I163" s="31"/>
      <c r="J163" s="97"/>
      <c r="K163" s="31" t="s">
        <v>171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97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99"/>
    </row>
    <row r="164" spans="2:61" ht="20.100000000000001" customHeight="1" x14ac:dyDescent="0.45">
      <c r="B164" s="95"/>
      <c r="C164" s="31"/>
      <c r="D164" s="31"/>
      <c r="E164" s="31"/>
      <c r="F164" s="31"/>
      <c r="G164" s="96"/>
      <c r="H164" s="97"/>
      <c r="I164" s="31"/>
      <c r="J164" s="97"/>
      <c r="K164" s="31" t="s">
        <v>177</v>
      </c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97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99"/>
    </row>
    <row r="165" spans="2:61" ht="20.100000000000001" customHeight="1" thickBot="1" x14ac:dyDescent="0.5">
      <c r="B165" s="95"/>
      <c r="C165" s="31"/>
      <c r="D165" s="31"/>
      <c r="E165" s="31"/>
      <c r="F165" s="31"/>
      <c r="G165" s="96"/>
      <c r="H165" s="129" t="s">
        <v>167</v>
      </c>
      <c r="I165" s="130"/>
      <c r="J165" s="129" t="s">
        <v>229</v>
      </c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  <c r="AG165" s="130"/>
      <c r="AH165" s="130"/>
      <c r="AI165" s="130"/>
      <c r="AJ165" s="130"/>
      <c r="AK165" s="131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2"/>
    </row>
    <row r="166" spans="2:61" ht="20.100000000000001" customHeight="1" x14ac:dyDescent="0.45">
      <c r="B166" s="89" t="s">
        <v>178</v>
      </c>
      <c r="C166" s="90"/>
      <c r="D166" s="90"/>
      <c r="E166" s="90"/>
      <c r="F166" s="90"/>
      <c r="G166" s="91"/>
      <c r="H166" s="92" t="s">
        <v>126</v>
      </c>
      <c r="I166" s="90"/>
      <c r="J166" s="120" t="s">
        <v>127</v>
      </c>
      <c r="K166" s="121"/>
      <c r="L166" s="121"/>
      <c r="M166" s="121"/>
      <c r="N166" s="121"/>
      <c r="O166" s="121"/>
      <c r="P166" s="121"/>
      <c r="Q166" s="122"/>
      <c r="R166" s="121">
        <v>2</v>
      </c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2"/>
      <c r="AK166" s="93" t="s">
        <v>179</v>
      </c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4"/>
    </row>
    <row r="167" spans="2:61" ht="20.100000000000001" customHeight="1" x14ac:dyDescent="0.45">
      <c r="B167" s="123"/>
      <c r="C167" s="31"/>
      <c r="D167" s="31"/>
      <c r="E167" s="31"/>
      <c r="F167" s="31"/>
      <c r="G167" s="96"/>
      <c r="H167" s="97"/>
      <c r="I167" s="31"/>
      <c r="J167" s="124" t="s">
        <v>83</v>
      </c>
      <c r="K167" s="52"/>
      <c r="L167" s="52"/>
      <c r="M167" s="52"/>
      <c r="N167" s="52"/>
      <c r="O167" s="52"/>
      <c r="P167" s="52"/>
      <c r="Q167" s="125"/>
      <c r="R167" s="52" t="s">
        <v>249</v>
      </c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125"/>
      <c r="AK167" s="98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99"/>
    </row>
    <row r="168" spans="2:61" ht="20.100000000000001" customHeight="1" x14ac:dyDescent="0.45">
      <c r="B168" s="123"/>
      <c r="C168" s="31"/>
      <c r="D168" s="31"/>
      <c r="E168" s="31"/>
      <c r="F168" s="31"/>
      <c r="G168" s="96"/>
      <c r="H168" s="97"/>
      <c r="I168" s="31"/>
      <c r="J168" s="124" t="s">
        <v>128</v>
      </c>
      <c r="K168" s="52"/>
      <c r="L168" s="52"/>
      <c r="M168" s="52"/>
      <c r="N168" s="52"/>
      <c r="O168" s="52"/>
      <c r="P168" s="52"/>
      <c r="Q168" s="125"/>
      <c r="R168" s="52" t="s">
        <v>156</v>
      </c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125"/>
      <c r="AK168" s="98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99"/>
    </row>
    <row r="169" spans="2:61" ht="20.100000000000001" customHeight="1" x14ac:dyDescent="0.45">
      <c r="B169" s="123"/>
      <c r="C169" s="31"/>
      <c r="D169" s="31"/>
      <c r="E169" s="31"/>
      <c r="F169" s="31"/>
      <c r="G169" s="96"/>
      <c r="H169" s="97"/>
      <c r="I169" s="31"/>
      <c r="J169" s="124" t="s">
        <v>129</v>
      </c>
      <c r="K169" s="52"/>
      <c r="L169" s="52"/>
      <c r="M169" s="52"/>
      <c r="N169" s="52"/>
      <c r="O169" s="52"/>
      <c r="P169" s="52"/>
      <c r="Q169" s="125"/>
      <c r="R169" s="52" t="s">
        <v>157</v>
      </c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125"/>
      <c r="AK169" s="98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99"/>
    </row>
    <row r="170" spans="2:61" ht="20.100000000000001" customHeight="1" x14ac:dyDescent="0.45">
      <c r="B170" s="123"/>
      <c r="C170" s="31"/>
      <c r="D170" s="31"/>
      <c r="E170" s="31"/>
      <c r="F170" s="31"/>
      <c r="G170" s="96"/>
      <c r="H170" s="31"/>
      <c r="I170" s="31"/>
      <c r="J170" s="124" t="s">
        <v>130</v>
      </c>
      <c r="K170" s="52"/>
      <c r="L170" s="52"/>
      <c r="M170" s="52"/>
      <c r="N170" s="52"/>
      <c r="O170" s="52"/>
      <c r="P170" s="52"/>
      <c r="Q170" s="125"/>
      <c r="R170" s="52" t="s">
        <v>158</v>
      </c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125"/>
      <c r="AK170" s="98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99"/>
    </row>
    <row r="171" spans="2:61" ht="20.100000000000001" customHeight="1" x14ac:dyDescent="0.45">
      <c r="B171" s="123"/>
      <c r="C171" s="31"/>
      <c r="D171" s="31"/>
      <c r="E171" s="31"/>
      <c r="F171" s="31"/>
      <c r="G171" s="96"/>
      <c r="H171" s="31"/>
      <c r="I171" s="31"/>
      <c r="J171" s="124" t="s">
        <v>131</v>
      </c>
      <c r="K171" s="52"/>
      <c r="L171" s="52"/>
      <c r="M171" s="52"/>
      <c r="N171" s="52"/>
      <c r="O171" s="52"/>
      <c r="P171" s="52"/>
      <c r="Q171" s="125"/>
      <c r="R171" s="52" t="s">
        <v>160</v>
      </c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125"/>
      <c r="AK171" s="98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99"/>
    </row>
    <row r="172" spans="2:61" ht="20.100000000000001" customHeight="1" x14ac:dyDescent="0.45">
      <c r="B172" s="123"/>
      <c r="C172" s="31"/>
      <c r="D172" s="31"/>
      <c r="E172" s="31"/>
      <c r="F172" s="31"/>
      <c r="G172" s="96"/>
      <c r="H172" s="31"/>
      <c r="I172" s="31"/>
      <c r="J172" s="124" t="s">
        <v>132</v>
      </c>
      <c r="K172" s="52"/>
      <c r="L172" s="52"/>
      <c r="M172" s="52"/>
      <c r="N172" s="52"/>
      <c r="O172" s="52"/>
      <c r="P172" s="52"/>
      <c r="Q172" s="125"/>
      <c r="R172" s="52" t="s">
        <v>250</v>
      </c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125"/>
      <c r="AK172" s="98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99"/>
    </row>
    <row r="173" spans="2:61" ht="20.100000000000001" customHeight="1" x14ac:dyDescent="0.45">
      <c r="B173" s="123"/>
      <c r="C173" s="31"/>
      <c r="D173" s="31"/>
      <c r="E173" s="31"/>
      <c r="F173" s="31"/>
      <c r="G173" s="96"/>
      <c r="H173" s="97"/>
      <c r="I173" s="31"/>
      <c r="J173" s="124" t="s">
        <v>133</v>
      </c>
      <c r="K173" s="52"/>
      <c r="L173" s="52"/>
      <c r="M173" s="52"/>
      <c r="N173" s="52"/>
      <c r="O173" s="52"/>
      <c r="P173" s="52"/>
      <c r="Q173" s="125"/>
      <c r="R173" s="52">
        <v>461</v>
      </c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125"/>
      <c r="AK173" s="98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99"/>
    </row>
    <row r="174" spans="2:61" ht="20.100000000000001" customHeight="1" x14ac:dyDescent="0.45">
      <c r="B174" s="123"/>
      <c r="C174" s="31"/>
      <c r="D174" s="31"/>
      <c r="E174" s="31"/>
      <c r="F174" s="31"/>
      <c r="G174" s="96"/>
      <c r="H174" s="97"/>
      <c r="I174" s="31"/>
      <c r="J174" s="124" t="s">
        <v>134</v>
      </c>
      <c r="K174" s="52"/>
      <c r="L174" s="52"/>
      <c r="M174" s="52"/>
      <c r="N174" s="52"/>
      <c r="O174" s="52"/>
      <c r="P174" s="52"/>
      <c r="Q174" s="125"/>
      <c r="R174" s="52" t="s">
        <v>160</v>
      </c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125"/>
      <c r="AK174" s="98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99"/>
    </row>
    <row r="175" spans="2:61" ht="20.100000000000001" customHeight="1" x14ac:dyDescent="0.45">
      <c r="B175" s="123"/>
      <c r="C175" s="31"/>
      <c r="D175" s="31"/>
      <c r="E175" s="31"/>
      <c r="F175" s="31"/>
      <c r="G175" s="96"/>
      <c r="H175" s="31"/>
      <c r="I175" s="31"/>
      <c r="J175" s="124" t="s">
        <v>135</v>
      </c>
      <c r="K175" s="52"/>
      <c r="L175" s="52"/>
      <c r="M175" s="52"/>
      <c r="N175" s="52"/>
      <c r="O175" s="52"/>
      <c r="P175" s="52"/>
      <c r="Q175" s="125"/>
      <c r="R175" s="52">
        <v>30</v>
      </c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125"/>
      <c r="AK175" s="98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99"/>
    </row>
    <row r="176" spans="2:61" ht="20.100000000000001" customHeight="1" x14ac:dyDescent="0.45">
      <c r="B176" s="123"/>
      <c r="C176" s="31"/>
      <c r="D176" s="31"/>
      <c r="E176" s="31"/>
      <c r="F176" s="31"/>
      <c r="G176" s="96"/>
      <c r="H176" s="31"/>
      <c r="I176" s="31"/>
      <c r="J176" s="124" t="s">
        <v>136</v>
      </c>
      <c r="K176" s="52"/>
      <c r="L176" s="52"/>
      <c r="M176" s="52"/>
      <c r="N176" s="52"/>
      <c r="O176" s="52"/>
      <c r="P176" s="52"/>
      <c r="Q176" s="125"/>
      <c r="R176" s="52">
        <v>0</v>
      </c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125"/>
      <c r="AK176" s="98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99"/>
    </row>
    <row r="177" spans="2:61" ht="20.100000000000001" customHeight="1" x14ac:dyDescent="0.45">
      <c r="B177" s="123"/>
      <c r="C177" s="31"/>
      <c r="D177" s="31"/>
      <c r="E177" s="31"/>
      <c r="F177" s="31"/>
      <c r="G177" s="96"/>
      <c r="H177" s="31"/>
      <c r="I177" s="31"/>
      <c r="J177" s="124" t="s">
        <v>137</v>
      </c>
      <c r="K177" s="52"/>
      <c r="L177" s="52"/>
      <c r="M177" s="52"/>
      <c r="N177" s="52"/>
      <c r="O177" s="52"/>
      <c r="P177" s="52"/>
      <c r="Q177" s="125"/>
      <c r="R177" s="52" t="s">
        <v>160</v>
      </c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125"/>
      <c r="AK177" s="98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99"/>
    </row>
    <row r="178" spans="2:61" ht="20.100000000000001" customHeight="1" x14ac:dyDescent="0.45">
      <c r="B178" s="123"/>
      <c r="C178" s="31"/>
      <c r="D178" s="31"/>
      <c r="E178" s="31"/>
      <c r="F178" s="31"/>
      <c r="G178" s="96"/>
      <c r="H178" s="97"/>
      <c r="I178" s="31"/>
      <c r="J178" s="124" t="s">
        <v>138</v>
      </c>
      <c r="K178" s="52"/>
      <c r="L178" s="52"/>
      <c r="M178" s="52"/>
      <c r="N178" s="52"/>
      <c r="O178" s="52"/>
      <c r="P178" s="52"/>
      <c r="Q178" s="125"/>
      <c r="R178" s="52" t="s">
        <v>160</v>
      </c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125"/>
      <c r="AK178" s="98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99"/>
    </row>
    <row r="179" spans="2:61" ht="20.100000000000001" customHeight="1" x14ac:dyDescent="0.45">
      <c r="B179" s="123"/>
      <c r="C179" s="31"/>
      <c r="D179" s="31"/>
      <c r="E179" s="31"/>
      <c r="F179" s="31"/>
      <c r="G179" s="96"/>
      <c r="H179" s="97"/>
      <c r="I179" s="31"/>
      <c r="J179" s="124" t="s">
        <v>139</v>
      </c>
      <c r="K179" s="52"/>
      <c r="L179" s="52"/>
      <c r="M179" s="52"/>
      <c r="N179" s="52"/>
      <c r="O179" s="52"/>
      <c r="P179" s="52"/>
      <c r="Q179" s="125"/>
      <c r="R179" s="52" t="s">
        <v>160</v>
      </c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125"/>
      <c r="AK179" s="98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99"/>
    </row>
    <row r="180" spans="2:61" ht="20.100000000000001" customHeight="1" x14ac:dyDescent="0.45">
      <c r="B180" s="123"/>
      <c r="C180" s="31"/>
      <c r="D180" s="31"/>
      <c r="E180" s="31"/>
      <c r="F180" s="31"/>
      <c r="G180" s="96"/>
      <c r="H180" s="31"/>
      <c r="I180" s="31"/>
      <c r="J180" s="124" t="s">
        <v>140</v>
      </c>
      <c r="K180" s="52"/>
      <c r="L180" s="52"/>
      <c r="M180" s="52"/>
      <c r="N180" s="52"/>
      <c r="O180" s="52"/>
      <c r="P180" s="52"/>
      <c r="Q180" s="125"/>
      <c r="R180" s="52" t="s">
        <v>160</v>
      </c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125"/>
      <c r="AK180" s="98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99"/>
    </row>
    <row r="181" spans="2:61" ht="20.100000000000001" customHeight="1" x14ac:dyDescent="0.45">
      <c r="B181" s="123"/>
      <c r="C181" s="31"/>
      <c r="D181" s="31"/>
      <c r="E181" s="31"/>
      <c r="F181" s="31"/>
      <c r="G181" s="96"/>
      <c r="H181" s="31"/>
      <c r="I181" s="31"/>
      <c r="J181" s="124" t="s">
        <v>141</v>
      </c>
      <c r="K181" s="52"/>
      <c r="L181" s="52"/>
      <c r="M181" s="52"/>
      <c r="N181" s="52"/>
      <c r="O181" s="52"/>
      <c r="P181" s="52"/>
      <c r="Q181" s="125"/>
      <c r="R181" s="52" t="s">
        <v>160</v>
      </c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125"/>
      <c r="AK181" s="98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99"/>
    </row>
    <row r="182" spans="2:61" ht="20.100000000000001" customHeight="1" x14ac:dyDescent="0.45">
      <c r="B182" s="123"/>
      <c r="C182" s="31"/>
      <c r="D182" s="31"/>
      <c r="E182" s="31"/>
      <c r="F182" s="31"/>
      <c r="G182" s="96"/>
      <c r="H182" s="97"/>
      <c r="I182" s="31"/>
      <c r="J182" s="124" t="s">
        <v>142</v>
      </c>
      <c r="K182" s="52"/>
      <c r="L182" s="52"/>
      <c r="M182" s="52"/>
      <c r="N182" s="52"/>
      <c r="O182" s="52"/>
      <c r="P182" s="52"/>
      <c r="Q182" s="125"/>
      <c r="R182" s="52">
        <v>201</v>
      </c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125"/>
      <c r="AK182" s="98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99"/>
    </row>
    <row r="183" spans="2:61" ht="20.100000000000001" customHeight="1" x14ac:dyDescent="0.45">
      <c r="B183" s="123"/>
      <c r="C183" s="31"/>
      <c r="D183" s="31"/>
      <c r="E183" s="31"/>
      <c r="F183" s="31"/>
      <c r="G183" s="96"/>
      <c r="H183" s="97"/>
      <c r="I183" s="31"/>
      <c r="J183" s="124" t="s">
        <v>106</v>
      </c>
      <c r="K183" s="52"/>
      <c r="L183" s="52"/>
      <c r="M183" s="52"/>
      <c r="N183" s="52"/>
      <c r="O183" s="52"/>
      <c r="P183" s="52"/>
      <c r="Q183" s="125"/>
      <c r="R183" s="52" t="s">
        <v>160</v>
      </c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125"/>
      <c r="AK183" s="98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99"/>
    </row>
    <row r="184" spans="2:61" ht="20.100000000000001" customHeight="1" x14ac:dyDescent="0.45">
      <c r="B184" s="123"/>
      <c r="C184" s="31"/>
      <c r="D184" s="31"/>
      <c r="E184" s="31"/>
      <c r="F184" s="31"/>
      <c r="G184" s="96"/>
      <c r="H184" s="31"/>
      <c r="I184" s="31"/>
      <c r="J184" s="124" t="s">
        <v>143</v>
      </c>
      <c r="K184" s="52"/>
      <c r="L184" s="52"/>
      <c r="M184" s="52"/>
      <c r="N184" s="52"/>
      <c r="O184" s="52"/>
      <c r="P184" s="52"/>
      <c r="Q184" s="125"/>
      <c r="R184" s="52">
        <v>0</v>
      </c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125"/>
      <c r="AK184" s="98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99"/>
    </row>
    <row r="185" spans="2:61" ht="20.100000000000001" customHeight="1" x14ac:dyDescent="0.45">
      <c r="B185" s="123"/>
      <c r="C185" s="31"/>
      <c r="D185" s="31"/>
      <c r="E185" s="31"/>
      <c r="F185" s="31"/>
      <c r="G185" s="96"/>
      <c r="H185" s="31"/>
      <c r="I185" s="31"/>
      <c r="J185" s="124" t="s">
        <v>144</v>
      </c>
      <c r="K185" s="52"/>
      <c r="L185" s="52"/>
      <c r="M185" s="52"/>
      <c r="N185" s="52"/>
      <c r="O185" s="52"/>
      <c r="P185" s="52"/>
      <c r="Q185" s="125"/>
      <c r="R185" s="133">
        <v>0</v>
      </c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125"/>
      <c r="AK185" s="98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99"/>
    </row>
    <row r="186" spans="2:61" ht="20.100000000000001" customHeight="1" x14ac:dyDescent="0.45">
      <c r="B186" s="123"/>
      <c r="C186" s="31"/>
      <c r="D186" s="31"/>
      <c r="E186" s="31"/>
      <c r="F186" s="31"/>
      <c r="G186" s="96"/>
      <c r="H186" s="31"/>
      <c r="I186" s="31"/>
      <c r="J186" s="124" t="s">
        <v>145</v>
      </c>
      <c r="K186" s="52"/>
      <c r="L186" s="52"/>
      <c r="M186" s="52"/>
      <c r="N186" s="52"/>
      <c r="O186" s="52"/>
      <c r="P186" s="52"/>
      <c r="Q186" s="125"/>
      <c r="R186" s="52" t="s">
        <v>159</v>
      </c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125"/>
      <c r="AK186" s="98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99"/>
    </row>
    <row r="187" spans="2:61" ht="20.100000000000001" customHeight="1" x14ac:dyDescent="0.45">
      <c r="B187" s="123"/>
      <c r="C187" s="31"/>
      <c r="D187" s="31"/>
      <c r="E187" s="31"/>
      <c r="F187" s="31"/>
      <c r="G187" s="96"/>
      <c r="H187" s="97"/>
      <c r="I187" s="31"/>
      <c r="J187" s="124" t="s">
        <v>146</v>
      </c>
      <c r="K187" s="52"/>
      <c r="L187" s="52"/>
      <c r="M187" s="52"/>
      <c r="N187" s="52"/>
      <c r="O187" s="52"/>
      <c r="P187" s="52"/>
      <c r="Q187" s="125"/>
      <c r="R187" s="52" t="s">
        <v>233</v>
      </c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125"/>
      <c r="AK187" s="98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99"/>
    </row>
    <row r="188" spans="2:61" ht="20.100000000000001" customHeight="1" x14ac:dyDescent="0.45">
      <c r="B188" s="123"/>
      <c r="C188" s="31"/>
      <c r="D188" s="31"/>
      <c r="E188" s="31"/>
      <c r="F188" s="31"/>
      <c r="G188" s="96"/>
      <c r="H188" s="97"/>
      <c r="I188" s="31"/>
      <c r="J188" s="124" t="s">
        <v>147</v>
      </c>
      <c r="K188" s="52"/>
      <c r="L188" s="52"/>
      <c r="M188" s="52"/>
      <c r="N188" s="52"/>
      <c r="O188" s="52"/>
      <c r="P188" s="52"/>
      <c r="Q188" s="125"/>
      <c r="R188" s="52" t="s">
        <v>159</v>
      </c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125"/>
      <c r="AK188" s="98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99"/>
    </row>
    <row r="189" spans="2:61" ht="20.100000000000001" customHeight="1" x14ac:dyDescent="0.45">
      <c r="B189" s="123"/>
      <c r="C189" s="31"/>
      <c r="D189" s="31"/>
      <c r="E189" s="31"/>
      <c r="F189" s="31"/>
      <c r="G189" s="96"/>
      <c r="H189" s="31"/>
      <c r="I189" s="31"/>
      <c r="J189" s="124" t="s">
        <v>148</v>
      </c>
      <c r="K189" s="52"/>
      <c r="L189" s="52"/>
      <c r="M189" s="52"/>
      <c r="N189" s="52"/>
      <c r="O189" s="52"/>
      <c r="P189" s="52"/>
      <c r="Q189" s="125"/>
      <c r="R189" s="52" t="s">
        <v>159</v>
      </c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125"/>
      <c r="AK189" s="98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99"/>
    </row>
    <row r="190" spans="2:61" ht="20.100000000000001" customHeight="1" x14ac:dyDescent="0.45">
      <c r="B190" s="123"/>
      <c r="C190" s="31"/>
      <c r="D190" s="31"/>
      <c r="E190" s="31"/>
      <c r="F190" s="31"/>
      <c r="G190" s="96"/>
      <c r="H190" s="31"/>
      <c r="I190" s="31"/>
      <c r="J190" s="124" t="s">
        <v>149</v>
      </c>
      <c r="K190" s="52"/>
      <c r="L190" s="52"/>
      <c r="M190" s="52"/>
      <c r="N190" s="52"/>
      <c r="O190" s="52"/>
      <c r="P190" s="52"/>
      <c r="Q190" s="125"/>
      <c r="R190" s="52" t="s">
        <v>160</v>
      </c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125"/>
      <c r="AK190" s="98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99"/>
    </row>
    <row r="191" spans="2:61" ht="20.100000000000001" customHeight="1" x14ac:dyDescent="0.45">
      <c r="B191" s="123"/>
      <c r="C191" s="31"/>
      <c r="D191" s="31"/>
      <c r="E191" s="31"/>
      <c r="F191" s="31"/>
      <c r="G191" s="96"/>
      <c r="H191" s="31"/>
      <c r="I191" s="31"/>
      <c r="J191" s="124" t="s">
        <v>150</v>
      </c>
      <c r="K191" s="52"/>
      <c r="L191" s="52"/>
      <c r="M191" s="52"/>
      <c r="N191" s="52"/>
      <c r="O191" s="52"/>
      <c r="P191" s="52"/>
      <c r="Q191" s="125"/>
      <c r="R191" s="52" t="s">
        <v>251</v>
      </c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125"/>
      <c r="AK191" s="98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99"/>
    </row>
    <row r="192" spans="2:61" ht="20.100000000000001" customHeight="1" x14ac:dyDescent="0.45">
      <c r="B192" s="123"/>
      <c r="C192" s="31"/>
      <c r="D192" s="31"/>
      <c r="E192" s="31"/>
      <c r="F192" s="31"/>
      <c r="G192" s="96"/>
      <c r="H192" s="97"/>
      <c r="I192" s="31"/>
      <c r="J192" s="124" t="s">
        <v>151</v>
      </c>
      <c r="K192" s="52"/>
      <c r="L192" s="52"/>
      <c r="M192" s="52"/>
      <c r="N192" s="52"/>
      <c r="O192" s="52"/>
      <c r="P192" s="52"/>
      <c r="Q192" s="125"/>
      <c r="R192" s="52" t="s">
        <v>231</v>
      </c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125"/>
      <c r="AK192" s="98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99"/>
    </row>
    <row r="193" spans="2:61" ht="20.100000000000001" customHeight="1" x14ac:dyDescent="0.45">
      <c r="B193" s="123"/>
      <c r="C193" s="31"/>
      <c r="D193" s="31"/>
      <c r="E193" s="31"/>
      <c r="F193" s="31"/>
      <c r="G193" s="96"/>
      <c r="H193" s="97"/>
      <c r="I193" s="31"/>
      <c r="J193" s="124" t="s">
        <v>152</v>
      </c>
      <c r="K193" s="52"/>
      <c r="L193" s="52"/>
      <c r="M193" s="52"/>
      <c r="N193" s="52"/>
      <c r="O193" s="52"/>
      <c r="P193" s="52"/>
      <c r="Q193" s="125"/>
      <c r="R193" s="52" t="s">
        <v>160</v>
      </c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125"/>
      <c r="AK193" s="98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99"/>
    </row>
    <row r="194" spans="2:61" ht="20.100000000000001" customHeight="1" x14ac:dyDescent="0.45">
      <c r="B194" s="123"/>
      <c r="C194" s="31"/>
      <c r="D194" s="31"/>
      <c r="E194" s="31"/>
      <c r="F194" s="31"/>
      <c r="G194" s="96"/>
      <c r="H194" s="31"/>
      <c r="I194" s="31"/>
      <c r="J194" s="124" t="s">
        <v>153</v>
      </c>
      <c r="K194" s="52"/>
      <c r="L194" s="52"/>
      <c r="M194" s="52"/>
      <c r="N194" s="52"/>
      <c r="O194" s="52"/>
      <c r="P194" s="52"/>
      <c r="Q194" s="125"/>
      <c r="R194" s="52" t="s">
        <v>160</v>
      </c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125"/>
      <c r="AK194" s="98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99"/>
    </row>
    <row r="195" spans="2:61" ht="20.100000000000001" customHeight="1" x14ac:dyDescent="0.45">
      <c r="B195" s="123"/>
      <c r="C195" s="31"/>
      <c r="D195" s="31"/>
      <c r="E195" s="31"/>
      <c r="F195" s="31"/>
      <c r="G195" s="96"/>
      <c r="H195" s="31"/>
      <c r="I195" s="31"/>
      <c r="J195" s="124" t="s">
        <v>154</v>
      </c>
      <c r="K195" s="52"/>
      <c r="L195" s="52"/>
      <c r="M195" s="52"/>
      <c r="N195" s="52"/>
      <c r="O195" s="52"/>
      <c r="P195" s="52"/>
      <c r="Q195" s="125"/>
      <c r="R195" s="52" t="s">
        <v>160</v>
      </c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125"/>
      <c r="AK195" s="98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99"/>
    </row>
    <row r="196" spans="2:61" ht="20.100000000000001" customHeight="1" x14ac:dyDescent="0.45">
      <c r="B196" s="123"/>
      <c r="C196" s="31"/>
      <c r="D196" s="31"/>
      <c r="E196" s="31"/>
      <c r="F196" s="31"/>
      <c r="G196" s="96"/>
      <c r="H196" s="31"/>
      <c r="I196" s="31"/>
      <c r="J196" s="124" t="s">
        <v>155</v>
      </c>
      <c r="K196" s="52"/>
      <c r="L196" s="52"/>
      <c r="M196" s="52"/>
      <c r="N196" s="52"/>
      <c r="O196" s="52"/>
      <c r="P196" s="52"/>
      <c r="Q196" s="125"/>
      <c r="R196" s="52" t="s">
        <v>160</v>
      </c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125"/>
      <c r="AK196" s="98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99"/>
    </row>
    <row r="197" spans="2:61" ht="20.100000000000001" customHeight="1" x14ac:dyDescent="0.45">
      <c r="B197" s="123"/>
      <c r="C197" s="31"/>
      <c r="D197" s="31"/>
      <c r="E197" s="31"/>
      <c r="F197" s="31"/>
      <c r="G197" s="96"/>
      <c r="H197" s="100" t="s">
        <v>161</v>
      </c>
      <c r="I197" s="55"/>
      <c r="J197" s="100" t="s">
        <v>240</v>
      </c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101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102"/>
    </row>
    <row r="198" spans="2:61" ht="20.100000000000001" customHeight="1" x14ac:dyDescent="0.45">
      <c r="B198" s="95"/>
      <c r="C198" s="31"/>
      <c r="D198" s="31"/>
      <c r="E198" s="31"/>
      <c r="F198" s="31"/>
      <c r="G198" s="96"/>
      <c r="H198" s="100" t="s">
        <v>163</v>
      </c>
      <c r="I198" s="55"/>
      <c r="J198" s="100" t="s">
        <v>222</v>
      </c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101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102"/>
    </row>
    <row r="199" spans="2:61" ht="20.100000000000001" customHeight="1" x14ac:dyDescent="0.45">
      <c r="B199" s="95"/>
      <c r="C199" s="31"/>
      <c r="D199" s="31"/>
      <c r="E199" s="31"/>
      <c r="F199" s="31"/>
      <c r="G199" s="96"/>
      <c r="H199" s="97"/>
      <c r="I199" s="31"/>
      <c r="J199" s="97"/>
      <c r="K199" s="31" t="s">
        <v>223</v>
      </c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98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99"/>
    </row>
    <row r="200" spans="2:61" ht="20.100000000000001" customHeight="1" x14ac:dyDescent="0.45">
      <c r="B200" s="95"/>
      <c r="C200" s="31"/>
      <c r="D200" s="31"/>
      <c r="E200" s="31"/>
      <c r="F200" s="31"/>
      <c r="G200" s="96"/>
      <c r="H200" s="100" t="s">
        <v>166</v>
      </c>
      <c r="I200" s="55"/>
      <c r="J200" s="100" t="s">
        <v>224</v>
      </c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128"/>
      <c r="AK200" s="101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102"/>
    </row>
    <row r="201" spans="2:61" ht="20.100000000000001" customHeight="1" x14ac:dyDescent="0.45">
      <c r="B201" s="95"/>
      <c r="C201" s="31"/>
      <c r="D201" s="31"/>
      <c r="E201" s="31"/>
      <c r="F201" s="31"/>
      <c r="G201" s="96"/>
      <c r="H201" s="97"/>
      <c r="I201" s="31"/>
      <c r="J201" s="97"/>
      <c r="K201" s="31" t="s">
        <v>245</v>
      </c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97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99"/>
    </row>
    <row r="202" spans="2:61" ht="20.100000000000001" customHeight="1" x14ac:dyDescent="0.45">
      <c r="B202" s="95"/>
      <c r="C202" s="31"/>
      <c r="D202" s="31"/>
      <c r="E202" s="31"/>
      <c r="F202" s="31"/>
      <c r="G202" s="96"/>
      <c r="H202" s="97"/>
      <c r="I202" s="31"/>
      <c r="J202" s="97"/>
      <c r="K202" s="31" t="s">
        <v>246</v>
      </c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97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99"/>
    </row>
    <row r="203" spans="2:61" ht="20.100000000000001" customHeight="1" x14ac:dyDescent="0.45">
      <c r="B203" s="95"/>
      <c r="C203" s="31"/>
      <c r="D203" s="31"/>
      <c r="E203" s="31"/>
      <c r="F203" s="31"/>
      <c r="G203" s="96"/>
      <c r="H203" s="97"/>
      <c r="I203" s="31"/>
      <c r="J203" s="97"/>
      <c r="K203" s="31" t="s">
        <v>180</v>
      </c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97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99"/>
    </row>
    <row r="204" spans="2:61" ht="20.100000000000001" customHeight="1" x14ac:dyDescent="0.45">
      <c r="B204" s="95"/>
      <c r="C204" s="31"/>
      <c r="D204" s="31"/>
      <c r="E204" s="31"/>
      <c r="F204" s="31"/>
      <c r="G204" s="96"/>
      <c r="H204" s="97"/>
      <c r="I204" s="31"/>
      <c r="J204" s="97"/>
      <c r="K204" s="31" t="s">
        <v>181</v>
      </c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97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99"/>
    </row>
    <row r="205" spans="2:61" ht="20.100000000000001" customHeight="1" thickBot="1" x14ac:dyDescent="0.5">
      <c r="B205" s="95"/>
      <c r="C205" s="31"/>
      <c r="D205" s="31"/>
      <c r="E205" s="31"/>
      <c r="F205" s="31"/>
      <c r="G205" s="96"/>
      <c r="H205" s="129" t="s">
        <v>167</v>
      </c>
      <c r="I205" s="130"/>
      <c r="J205" s="129" t="s">
        <v>229</v>
      </c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  <c r="AG205" s="130"/>
      <c r="AH205" s="130"/>
      <c r="AI205" s="130"/>
      <c r="AJ205" s="130"/>
      <c r="AK205" s="131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  <c r="AV205" s="130"/>
      <c r="AW205" s="130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2"/>
    </row>
    <row r="206" spans="2:61" ht="20.100000000000001" customHeight="1" x14ac:dyDescent="0.45">
      <c r="B206" s="89" t="s">
        <v>182</v>
      </c>
      <c r="C206" s="90"/>
      <c r="D206" s="90"/>
      <c r="E206" s="90"/>
      <c r="F206" s="90"/>
      <c r="G206" s="91"/>
      <c r="H206" s="92" t="s">
        <v>126</v>
      </c>
      <c r="I206" s="90"/>
      <c r="J206" s="120" t="s">
        <v>127</v>
      </c>
      <c r="K206" s="121"/>
      <c r="L206" s="121"/>
      <c r="M206" s="121"/>
      <c r="N206" s="121"/>
      <c r="O206" s="121"/>
      <c r="P206" s="121"/>
      <c r="Q206" s="122"/>
      <c r="R206" s="121">
        <v>2</v>
      </c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2"/>
      <c r="AK206" s="93" t="s">
        <v>179</v>
      </c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4"/>
    </row>
    <row r="207" spans="2:61" ht="20.100000000000001" customHeight="1" x14ac:dyDescent="0.45">
      <c r="B207" s="123"/>
      <c r="C207" s="31"/>
      <c r="D207" s="31"/>
      <c r="E207" s="31"/>
      <c r="F207" s="31"/>
      <c r="G207" s="96"/>
      <c r="H207" s="97"/>
      <c r="I207" s="31"/>
      <c r="J207" s="124" t="s">
        <v>83</v>
      </c>
      <c r="K207" s="52"/>
      <c r="L207" s="52"/>
      <c r="M207" s="52"/>
      <c r="N207" s="52"/>
      <c r="O207" s="52"/>
      <c r="P207" s="52"/>
      <c r="Q207" s="125"/>
      <c r="R207" s="52" t="s">
        <v>233</v>
      </c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125"/>
      <c r="AK207" s="98" t="s">
        <v>175</v>
      </c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99"/>
    </row>
    <row r="208" spans="2:61" ht="20.100000000000001" customHeight="1" x14ac:dyDescent="0.45">
      <c r="B208" s="123"/>
      <c r="C208" s="31"/>
      <c r="D208" s="31"/>
      <c r="E208" s="31"/>
      <c r="F208" s="31"/>
      <c r="G208" s="96"/>
      <c r="H208" s="97"/>
      <c r="I208" s="31"/>
      <c r="J208" s="124" t="s">
        <v>128</v>
      </c>
      <c r="K208" s="52"/>
      <c r="L208" s="52"/>
      <c r="M208" s="52"/>
      <c r="N208" s="52"/>
      <c r="O208" s="52"/>
      <c r="P208" s="52"/>
      <c r="Q208" s="125"/>
      <c r="R208" s="52" t="s">
        <v>156</v>
      </c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125"/>
      <c r="AK208" s="98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99"/>
    </row>
    <row r="209" spans="2:61" ht="20.100000000000001" customHeight="1" x14ac:dyDescent="0.45">
      <c r="B209" s="123"/>
      <c r="C209" s="31"/>
      <c r="D209" s="31"/>
      <c r="E209" s="31"/>
      <c r="F209" s="31"/>
      <c r="G209" s="96"/>
      <c r="H209" s="97"/>
      <c r="I209" s="31"/>
      <c r="J209" s="124" t="s">
        <v>129</v>
      </c>
      <c r="K209" s="52"/>
      <c r="L209" s="52"/>
      <c r="M209" s="52"/>
      <c r="N209" s="52"/>
      <c r="O209" s="52"/>
      <c r="P209" s="52"/>
      <c r="Q209" s="125"/>
      <c r="R209" s="52" t="s">
        <v>157</v>
      </c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125"/>
      <c r="AK209" s="98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99"/>
    </row>
    <row r="210" spans="2:61" ht="20.100000000000001" customHeight="1" x14ac:dyDescent="0.45">
      <c r="B210" s="123"/>
      <c r="C210" s="31"/>
      <c r="D210" s="31"/>
      <c r="E210" s="31"/>
      <c r="F210" s="31"/>
      <c r="G210" s="96"/>
      <c r="H210" s="31"/>
      <c r="I210" s="31"/>
      <c r="J210" s="124" t="s">
        <v>130</v>
      </c>
      <c r="K210" s="52"/>
      <c r="L210" s="52"/>
      <c r="M210" s="52"/>
      <c r="N210" s="52"/>
      <c r="O210" s="52"/>
      <c r="P210" s="52"/>
      <c r="Q210" s="125"/>
      <c r="R210" s="52" t="s">
        <v>158</v>
      </c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125"/>
      <c r="AK210" s="98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99"/>
    </row>
    <row r="211" spans="2:61" ht="20.100000000000001" customHeight="1" x14ac:dyDescent="0.45">
      <c r="B211" s="123"/>
      <c r="C211" s="31"/>
      <c r="D211" s="31"/>
      <c r="E211" s="31"/>
      <c r="F211" s="31"/>
      <c r="G211" s="96"/>
      <c r="H211" s="31"/>
      <c r="I211" s="31"/>
      <c r="J211" s="124" t="s">
        <v>131</v>
      </c>
      <c r="K211" s="52"/>
      <c r="L211" s="52"/>
      <c r="M211" s="52"/>
      <c r="N211" s="52"/>
      <c r="O211" s="52"/>
      <c r="P211" s="52"/>
      <c r="Q211" s="125"/>
      <c r="R211" s="52" t="s">
        <v>160</v>
      </c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125"/>
      <c r="AK211" s="98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99"/>
    </row>
    <row r="212" spans="2:61" ht="20.100000000000001" customHeight="1" x14ac:dyDescent="0.45">
      <c r="B212" s="123"/>
      <c r="C212" s="31"/>
      <c r="D212" s="31"/>
      <c r="E212" s="31"/>
      <c r="F212" s="31"/>
      <c r="G212" s="96"/>
      <c r="H212" s="31"/>
      <c r="I212" s="31"/>
      <c r="J212" s="124" t="s">
        <v>132</v>
      </c>
      <c r="K212" s="52"/>
      <c r="L212" s="52"/>
      <c r="M212" s="52"/>
      <c r="N212" s="52"/>
      <c r="O212" s="52"/>
      <c r="P212" s="52"/>
      <c r="Q212" s="125"/>
      <c r="R212" s="52" t="s">
        <v>250</v>
      </c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125"/>
      <c r="AK212" s="98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99"/>
    </row>
    <row r="213" spans="2:61" ht="20.100000000000001" customHeight="1" x14ac:dyDescent="0.45">
      <c r="B213" s="123"/>
      <c r="C213" s="31"/>
      <c r="D213" s="31"/>
      <c r="E213" s="31"/>
      <c r="F213" s="31"/>
      <c r="G213" s="96"/>
      <c r="H213" s="97"/>
      <c r="I213" s="31"/>
      <c r="J213" s="124" t="s">
        <v>133</v>
      </c>
      <c r="K213" s="52"/>
      <c r="L213" s="52"/>
      <c r="M213" s="52"/>
      <c r="N213" s="52"/>
      <c r="O213" s="52"/>
      <c r="P213" s="52"/>
      <c r="Q213" s="125"/>
      <c r="R213" s="52">
        <v>201</v>
      </c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125"/>
      <c r="AK213" s="98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99"/>
    </row>
    <row r="214" spans="2:61" ht="20.100000000000001" customHeight="1" x14ac:dyDescent="0.45">
      <c r="B214" s="123"/>
      <c r="C214" s="31"/>
      <c r="D214" s="31"/>
      <c r="E214" s="31"/>
      <c r="F214" s="31"/>
      <c r="G214" s="96"/>
      <c r="H214" s="97"/>
      <c r="I214" s="31"/>
      <c r="J214" s="124" t="s">
        <v>134</v>
      </c>
      <c r="K214" s="52"/>
      <c r="L214" s="52"/>
      <c r="M214" s="52"/>
      <c r="N214" s="52"/>
      <c r="O214" s="52"/>
      <c r="P214" s="52"/>
      <c r="Q214" s="125"/>
      <c r="R214" s="52" t="s">
        <v>160</v>
      </c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125"/>
      <c r="AK214" s="98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99"/>
    </row>
    <row r="215" spans="2:61" ht="20.100000000000001" customHeight="1" x14ac:dyDescent="0.45">
      <c r="B215" s="123"/>
      <c r="C215" s="31"/>
      <c r="D215" s="31"/>
      <c r="E215" s="31"/>
      <c r="F215" s="31"/>
      <c r="G215" s="96"/>
      <c r="H215" s="31"/>
      <c r="I215" s="31"/>
      <c r="J215" s="124" t="s">
        <v>135</v>
      </c>
      <c r="K215" s="52"/>
      <c r="L215" s="52"/>
      <c r="M215" s="52"/>
      <c r="N215" s="52"/>
      <c r="O215" s="52"/>
      <c r="P215" s="52"/>
      <c r="Q215" s="125"/>
      <c r="R215" s="52">
        <v>0</v>
      </c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125"/>
      <c r="AK215" s="98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99"/>
    </row>
    <row r="216" spans="2:61" ht="20.100000000000001" customHeight="1" x14ac:dyDescent="0.45">
      <c r="B216" s="123"/>
      <c r="C216" s="31"/>
      <c r="D216" s="31"/>
      <c r="E216" s="31"/>
      <c r="F216" s="31"/>
      <c r="G216" s="96"/>
      <c r="H216" s="31"/>
      <c r="I216" s="31"/>
      <c r="J216" s="124" t="s">
        <v>136</v>
      </c>
      <c r="K216" s="52"/>
      <c r="L216" s="52"/>
      <c r="M216" s="52"/>
      <c r="N216" s="52"/>
      <c r="O216" s="52"/>
      <c r="P216" s="52"/>
      <c r="Q216" s="125"/>
      <c r="R216" s="52">
        <v>0</v>
      </c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125"/>
      <c r="AK216" s="98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99"/>
    </row>
    <row r="217" spans="2:61" ht="20.100000000000001" customHeight="1" x14ac:dyDescent="0.45">
      <c r="B217" s="123"/>
      <c r="C217" s="31"/>
      <c r="D217" s="31"/>
      <c r="E217" s="31"/>
      <c r="F217" s="31"/>
      <c r="G217" s="96"/>
      <c r="H217" s="31"/>
      <c r="I217" s="31"/>
      <c r="J217" s="124" t="s">
        <v>137</v>
      </c>
      <c r="K217" s="52"/>
      <c r="L217" s="52"/>
      <c r="M217" s="52"/>
      <c r="N217" s="52"/>
      <c r="O217" s="52"/>
      <c r="P217" s="52"/>
      <c r="Q217" s="125"/>
      <c r="R217" s="52" t="s">
        <v>160</v>
      </c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125"/>
      <c r="AK217" s="98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99"/>
    </row>
    <row r="218" spans="2:61" ht="20.100000000000001" customHeight="1" x14ac:dyDescent="0.45">
      <c r="B218" s="123"/>
      <c r="C218" s="31"/>
      <c r="D218" s="31"/>
      <c r="E218" s="31"/>
      <c r="F218" s="31"/>
      <c r="G218" s="96"/>
      <c r="H218" s="97"/>
      <c r="I218" s="31"/>
      <c r="J218" s="124" t="s">
        <v>138</v>
      </c>
      <c r="K218" s="52"/>
      <c r="L218" s="52"/>
      <c r="M218" s="52"/>
      <c r="N218" s="52"/>
      <c r="O218" s="52"/>
      <c r="P218" s="52"/>
      <c r="Q218" s="125"/>
      <c r="R218" s="52" t="s">
        <v>233</v>
      </c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125"/>
      <c r="AK218" s="98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99"/>
    </row>
    <row r="219" spans="2:61" ht="20.100000000000001" customHeight="1" x14ac:dyDescent="0.45">
      <c r="B219" s="123"/>
      <c r="C219" s="31"/>
      <c r="D219" s="31"/>
      <c r="E219" s="31"/>
      <c r="F219" s="31"/>
      <c r="G219" s="96"/>
      <c r="H219" s="97"/>
      <c r="I219" s="31"/>
      <c r="J219" s="124" t="s">
        <v>139</v>
      </c>
      <c r="K219" s="52"/>
      <c r="L219" s="52"/>
      <c r="M219" s="52"/>
      <c r="N219" s="52"/>
      <c r="O219" s="52"/>
      <c r="P219" s="52"/>
      <c r="Q219" s="125"/>
      <c r="R219" s="52" t="s">
        <v>160</v>
      </c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125"/>
      <c r="AK219" s="98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99"/>
    </row>
    <row r="220" spans="2:61" ht="20.100000000000001" customHeight="1" x14ac:dyDescent="0.45">
      <c r="B220" s="123"/>
      <c r="C220" s="31"/>
      <c r="D220" s="31"/>
      <c r="E220" s="31"/>
      <c r="F220" s="31"/>
      <c r="G220" s="96"/>
      <c r="H220" s="31"/>
      <c r="I220" s="31"/>
      <c r="J220" s="124" t="s">
        <v>140</v>
      </c>
      <c r="K220" s="52"/>
      <c r="L220" s="52"/>
      <c r="M220" s="52"/>
      <c r="N220" s="52"/>
      <c r="O220" s="52"/>
      <c r="P220" s="52"/>
      <c r="Q220" s="125"/>
      <c r="R220" s="52" t="s">
        <v>160</v>
      </c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125"/>
      <c r="AK220" s="98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99"/>
    </row>
    <row r="221" spans="2:61" ht="20.100000000000001" customHeight="1" x14ac:dyDescent="0.45">
      <c r="B221" s="123"/>
      <c r="C221" s="31"/>
      <c r="D221" s="31"/>
      <c r="E221" s="31"/>
      <c r="F221" s="31"/>
      <c r="G221" s="96"/>
      <c r="H221" s="31"/>
      <c r="I221" s="31"/>
      <c r="J221" s="124" t="s">
        <v>141</v>
      </c>
      <c r="K221" s="52"/>
      <c r="L221" s="52"/>
      <c r="M221" s="52"/>
      <c r="N221" s="52"/>
      <c r="O221" s="52"/>
      <c r="P221" s="52"/>
      <c r="Q221" s="125"/>
      <c r="R221" s="52" t="s">
        <v>160</v>
      </c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125"/>
      <c r="AK221" s="98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99"/>
    </row>
    <row r="222" spans="2:61" ht="20.100000000000001" customHeight="1" x14ac:dyDescent="0.45">
      <c r="B222" s="123"/>
      <c r="C222" s="31"/>
      <c r="D222" s="31"/>
      <c r="E222" s="31"/>
      <c r="F222" s="31"/>
      <c r="G222" s="96"/>
      <c r="H222" s="97"/>
      <c r="I222" s="31"/>
      <c r="J222" s="124" t="s">
        <v>142</v>
      </c>
      <c r="K222" s="52"/>
      <c r="L222" s="52"/>
      <c r="M222" s="52"/>
      <c r="N222" s="52"/>
      <c r="O222" s="52"/>
      <c r="P222" s="52"/>
      <c r="Q222" s="125"/>
      <c r="R222" s="52">
        <v>461</v>
      </c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125"/>
      <c r="AK222" s="98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99"/>
    </row>
    <row r="223" spans="2:61" ht="20.100000000000001" customHeight="1" x14ac:dyDescent="0.45">
      <c r="B223" s="123"/>
      <c r="C223" s="31"/>
      <c r="D223" s="31"/>
      <c r="E223" s="31"/>
      <c r="F223" s="31"/>
      <c r="G223" s="96"/>
      <c r="H223" s="97"/>
      <c r="I223" s="31"/>
      <c r="J223" s="124" t="s">
        <v>106</v>
      </c>
      <c r="K223" s="52"/>
      <c r="L223" s="52"/>
      <c r="M223" s="52"/>
      <c r="N223" s="52"/>
      <c r="O223" s="52"/>
      <c r="P223" s="52"/>
      <c r="Q223" s="125"/>
      <c r="R223" s="52" t="s">
        <v>160</v>
      </c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125"/>
      <c r="AK223" s="98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99"/>
    </row>
    <row r="224" spans="2:61" ht="20.100000000000001" customHeight="1" x14ac:dyDescent="0.45">
      <c r="B224" s="123"/>
      <c r="C224" s="31"/>
      <c r="D224" s="31"/>
      <c r="E224" s="31"/>
      <c r="F224" s="31"/>
      <c r="G224" s="96"/>
      <c r="H224" s="31"/>
      <c r="I224" s="31"/>
      <c r="J224" s="124" t="s">
        <v>143</v>
      </c>
      <c r="K224" s="52"/>
      <c r="L224" s="52"/>
      <c r="M224" s="52"/>
      <c r="N224" s="52"/>
      <c r="O224" s="52"/>
      <c r="P224" s="52"/>
      <c r="Q224" s="125"/>
      <c r="R224" s="52">
        <v>30</v>
      </c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125"/>
      <c r="AK224" s="98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99"/>
    </row>
    <row r="225" spans="2:61" ht="20.100000000000001" customHeight="1" x14ac:dyDescent="0.45">
      <c r="B225" s="123"/>
      <c r="C225" s="31"/>
      <c r="D225" s="31"/>
      <c r="E225" s="31"/>
      <c r="F225" s="31"/>
      <c r="G225" s="96"/>
      <c r="H225" s="31"/>
      <c r="I225" s="31"/>
      <c r="J225" s="124" t="s">
        <v>144</v>
      </c>
      <c r="K225" s="52"/>
      <c r="L225" s="52"/>
      <c r="M225" s="52"/>
      <c r="N225" s="52"/>
      <c r="O225" s="52"/>
      <c r="P225" s="52"/>
      <c r="Q225" s="125"/>
      <c r="R225" s="133">
        <v>0</v>
      </c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125"/>
      <c r="AK225" s="98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99"/>
    </row>
    <row r="226" spans="2:61" ht="20.100000000000001" customHeight="1" x14ac:dyDescent="0.45">
      <c r="B226" s="123"/>
      <c r="C226" s="31"/>
      <c r="D226" s="31"/>
      <c r="E226" s="31"/>
      <c r="F226" s="31"/>
      <c r="G226" s="96"/>
      <c r="H226" s="31"/>
      <c r="I226" s="31"/>
      <c r="J226" s="124" t="s">
        <v>145</v>
      </c>
      <c r="K226" s="52"/>
      <c r="L226" s="52"/>
      <c r="M226" s="52"/>
      <c r="N226" s="52"/>
      <c r="O226" s="52"/>
      <c r="P226" s="52"/>
      <c r="Q226" s="125"/>
      <c r="R226" s="52" t="s">
        <v>159</v>
      </c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125"/>
      <c r="AK226" s="98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99"/>
    </row>
    <row r="227" spans="2:61" ht="20.100000000000001" customHeight="1" x14ac:dyDescent="0.45">
      <c r="B227" s="123"/>
      <c r="C227" s="31"/>
      <c r="D227" s="31"/>
      <c r="E227" s="31"/>
      <c r="F227" s="31"/>
      <c r="G227" s="96"/>
      <c r="H227" s="97"/>
      <c r="I227" s="31"/>
      <c r="J227" s="124" t="s">
        <v>146</v>
      </c>
      <c r="K227" s="52"/>
      <c r="L227" s="52"/>
      <c r="M227" s="52"/>
      <c r="N227" s="52"/>
      <c r="O227" s="52"/>
      <c r="P227" s="52"/>
      <c r="Q227" s="125"/>
      <c r="R227" s="52" t="s">
        <v>160</v>
      </c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125"/>
      <c r="AK227" s="98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99"/>
    </row>
    <row r="228" spans="2:61" ht="20.100000000000001" customHeight="1" x14ac:dyDescent="0.45">
      <c r="B228" s="123"/>
      <c r="C228" s="31"/>
      <c r="D228" s="31"/>
      <c r="E228" s="31"/>
      <c r="F228" s="31"/>
      <c r="G228" s="96"/>
      <c r="H228" s="97"/>
      <c r="I228" s="31"/>
      <c r="J228" s="124" t="s">
        <v>147</v>
      </c>
      <c r="K228" s="52"/>
      <c r="L228" s="52"/>
      <c r="M228" s="52"/>
      <c r="N228" s="52"/>
      <c r="O228" s="52"/>
      <c r="P228" s="52"/>
      <c r="Q228" s="125"/>
      <c r="R228" s="52" t="s">
        <v>159</v>
      </c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125"/>
      <c r="AK228" s="98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99"/>
    </row>
    <row r="229" spans="2:61" ht="20.100000000000001" customHeight="1" x14ac:dyDescent="0.45">
      <c r="B229" s="123"/>
      <c r="C229" s="31"/>
      <c r="D229" s="31"/>
      <c r="E229" s="31"/>
      <c r="F229" s="31"/>
      <c r="G229" s="96"/>
      <c r="H229" s="31"/>
      <c r="I229" s="31"/>
      <c r="J229" s="124" t="s">
        <v>148</v>
      </c>
      <c r="K229" s="52"/>
      <c r="L229" s="52"/>
      <c r="M229" s="52"/>
      <c r="N229" s="52"/>
      <c r="O229" s="52"/>
      <c r="P229" s="52"/>
      <c r="Q229" s="125"/>
      <c r="R229" s="52" t="s">
        <v>159</v>
      </c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125"/>
      <c r="AK229" s="98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99"/>
    </row>
    <row r="230" spans="2:61" ht="20.100000000000001" customHeight="1" x14ac:dyDescent="0.45">
      <c r="B230" s="123"/>
      <c r="C230" s="31"/>
      <c r="D230" s="31"/>
      <c r="E230" s="31"/>
      <c r="F230" s="31"/>
      <c r="G230" s="96"/>
      <c r="H230" s="31"/>
      <c r="I230" s="31"/>
      <c r="J230" s="124" t="s">
        <v>149</v>
      </c>
      <c r="K230" s="52"/>
      <c r="L230" s="52"/>
      <c r="M230" s="52"/>
      <c r="N230" s="52"/>
      <c r="O230" s="52"/>
      <c r="P230" s="52"/>
      <c r="Q230" s="125"/>
      <c r="R230" s="52" t="s">
        <v>160</v>
      </c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125"/>
      <c r="AK230" s="98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99"/>
    </row>
    <row r="231" spans="2:61" ht="20.100000000000001" customHeight="1" x14ac:dyDescent="0.45">
      <c r="B231" s="123"/>
      <c r="C231" s="31"/>
      <c r="D231" s="31"/>
      <c r="E231" s="31"/>
      <c r="F231" s="31"/>
      <c r="G231" s="96"/>
      <c r="H231" s="31"/>
      <c r="I231" s="31"/>
      <c r="J231" s="124" t="s">
        <v>150</v>
      </c>
      <c r="K231" s="52"/>
      <c r="L231" s="52"/>
      <c r="M231" s="52"/>
      <c r="N231" s="52"/>
      <c r="O231" s="52"/>
      <c r="P231" s="52"/>
      <c r="Q231" s="125"/>
      <c r="R231" s="52" t="s">
        <v>251</v>
      </c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125"/>
      <c r="AK231" s="98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99"/>
    </row>
    <row r="232" spans="2:61" ht="20.100000000000001" customHeight="1" x14ac:dyDescent="0.45">
      <c r="B232" s="123"/>
      <c r="C232" s="31"/>
      <c r="D232" s="31"/>
      <c r="E232" s="31"/>
      <c r="F232" s="31"/>
      <c r="G232" s="96"/>
      <c r="H232" s="97"/>
      <c r="I232" s="31"/>
      <c r="J232" s="124" t="s">
        <v>151</v>
      </c>
      <c r="K232" s="52"/>
      <c r="L232" s="52"/>
      <c r="M232" s="52"/>
      <c r="N232" s="52"/>
      <c r="O232" s="52"/>
      <c r="P232" s="52"/>
      <c r="Q232" s="125"/>
      <c r="R232" s="52" t="s">
        <v>221</v>
      </c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125"/>
      <c r="AK232" s="98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99"/>
    </row>
    <row r="233" spans="2:61" ht="20.100000000000001" customHeight="1" x14ac:dyDescent="0.45">
      <c r="B233" s="123"/>
      <c r="C233" s="31"/>
      <c r="D233" s="31"/>
      <c r="E233" s="31"/>
      <c r="F233" s="31"/>
      <c r="G233" s="96"/>
      <c r="H233" s="97"/>
      <c r="I233" s="31"/>
      <c r="J233" s="124" t="s">
        <v>152</v>
      </c>
      <c r="K233" s="52"/>
      <c r="L233" s="52"/>
      <c r="M233" s="52"/>
      <c r="N233" s="52"/>
      <c r="O233" s="52"/>
      <c r="P233" s="52"/>
      <c r="Q233" s="125"/>
      <c r="R233" s="52" t="s">
        <v>160</v>
      </c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125"/>
      <c r="AK233" s="98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99"/>
    </row>
    <row r="234" spans="2:61" ht="20.100000000000001" customHeight="1" x14ac:dyDescent="0.45">
      <c r="B234" s="123"/>
      <c r="C234" s="31"/>
      <c r="D234" s="31"/>
      <c r="E234" s="31"/>
      <c r="F234" s="31"/>
      <c r="G234" s="96"/>
      <c r="H234" s="31"/>
      <c r="I234" s="31"/>
      <c r="J234" s="124" t="s">
        <v>153</v>
      </c>
      <c r="K234" s="52"/>
      <c r="L234" s="52"/>
      <c r="M234" s="52"/>
      <c r="N234" s="52"/>
      <c r="O234" s="52"/>
      <c r="P234" s="52"/>
      <c r="Q234" s="125"/>
      <c r="R234" s="52" t="s">
        <v>160</v>
      </c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125"/>
      <c r="AK234" s="98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99"/>
    </row>
    <row r="235" spans="2:61" ht="20.100000000000001" customHeight="1" x14ac:dyDescent="0.45">
      <c r="B235" s="123"/>
      <c r="C235" s="31"/>
      <c r="D235" s="31"/>
      <c r="E235" s="31"/>
      <c r="F235" s="31"/>
      <c r="G235" s="96"/>
      <c r="H235" s="31"/>
      <c r="I235" s="31"/>
      <c r="J235" s="124" t="s">
        <v>154</v>
      </c>
      <c r="K235" s="52"/>
      <c r="L235" s="52"/>
      <c r="M235" s="52"/>
      <c r="N235" s="52"/>
      <c r="O235" s="52"/>
      <c r="P235" s="52"/>
      <c r="Q235" s="125"/>
      <c r="R235" s="52" t="s">
        <v>160</v>
      </c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125"/>
      <c r="AK235" s="98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99"/>
    </row>
    <row r="236" spans="2:61" ht="20.100000000000001" customHeight="1" x14ac:dyDescent="0.45">
      <c r="B236" s="123"/>
      <c r="C236" s="31"/>
      <c r="D236" s="31"/>
      <c r="E236" s="31"/>
      <c r="F236" s="31"/>
      <c r="G236" s="96"/>
      <c r="H236" s="31"/>
      <c r="I236" s="31"/>
      <c r="J236" s="124" t="s">
        <v>155</v>
      </c>
      <c r="K236" s="52"/>
      <c r="L236" s="52"/>
      <c r="M236" s="52"/>
      <c r="N236" s="52"/>
      <c r="O236" s="52"/>
      <c r="P236" s="52"/>
      <c r="Q236" s="125"/>
      <c r="R236" s="52" t="s">
        <v>160</v>
      </c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125"/>
      <c r="AK236" s="98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99"/>
    </row>
    <row r="237" spans="2:61" ht="20.100000000000001" customHeight="1" x14ac:dyDescent="0.45">
      <c r="B237" s="123"/>
      <c r="C237" s="31"/>
      <c r="D237" s="31"/>
      <c r="E237" s="31"/>
      <c r="F237" s="31"/>
      <c r="G237" s="96"/>
      <c r="H237" s="100" t="s">
        <v>161</v>
      </c>
      <c r="I237" s="55"/>
      <c r="J237" s="100" t="s">
        <v>162</v>
      </c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101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102"/>
    </row>
    <row r="238" spans="2:61" ht="20.100000000000001" customHeight="1" x14ac:dyDescent="0.45">
      <c r="B238" s="95"/>
      <c r="C238" s="31"/>
      <c r="D238" s="31"/>
      <c r="E238" s="31"/>
      <c r="F238" s="31"/>
      <c r="G238" s="96"/>
      <c r="H238" s="100" t="s">
        <v>163</v>
      </c>
      <c r="I238" s="55"/>
      <c r="J238" s="100" t="s">
        <v>164</v>
      </c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101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102"/>
    </row>
    <row r="239" spans="2:61" ht="20.100000000000001" customHeight="1" x14ac:dyDescent="0.45">
      <c r="B239" s="95"/>
      <c r="C239" s="31"/>
      <c r="D239" s="31"/>
      <c r="E239" s="31"/>
      <c r="F239" s="31"/>
      <c r="G239" s="96"/>
      <c r="H239" s="97"/>
      <c r="I239" s="31"/>
      <c r="J239" s="97"/>
      <c r="K239" s="31" t="s">
        <v>165</v>
      </c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98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99"/>
    </row>
    <row r="240" spans="2:61" ht="20.100000000000001" customHeight="1" x14ac:dyDescent="0.45">
      <c r="B240" s="95"/>
      <c r="C240" s="31"/>
      <c r="D240" s="31"/>
      <c r="E240" s="31"/>
      <c r="F240" s="31"/>
      <c r="G240" s="96"/>
      <c r="H240" s="100" t="s">
        <v>166</v>
      </c>
      <c r="I240" s="55"/>
      <c r="J240" s="100" t="s">
        <v>224</v>
      </c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128"/>
      <c r="AK240" s="101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102"/>
    </row>
    <row r="241" spans="2:61" ht="20.100000000000001" customHeight="1" x14ac:dyDescent="0.45">
      <c r="B241" s="95"/>
      <c r="C241" s="31"/>
      <c r="D241" s="31"/>
      <c r="E241" s="31"/>
      <c r="F241" s="31"/>
      <c r="G241" s="96"/>
      <c r="H241" s="97"/>
      <c r="I241" s="31"/>
      <c r="J241" s="97"/>
      <c r="K241" s="31" t="s">
        <v>245</v>
      </c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97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99"/>
    </row>
    <row r="242" spans="2:61" ht="20.100000000000001" customHeight="1" x14ac:dyDescent="0.45">
      <c r="B242" s="95"/>
      <c r="C242" s="31"/>
      <c r="D242" s="31"/>
      <c r="E242" s="31"/>
      <c r="F242" s="31"/>
      <c r="G242" s="96"/>
      <c r="H242" s="97"/>
      <c r="I242" s="31"/>
      <c r="J242" s="97"/>
      <c r="K242" s="31" t="s">
        <v>246</v>
      </c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97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99"/>
    </row>
    <row r="243" spans="2:61" ht="20.100000000000001" customHeight="1" x14ac:dyDescent="0.45">
      <c r="B243" s="95"/>
      <c r="C243" s="31"/>
      <c r="D243" s="31"/>
      <c r="E243" s="31"/>
      <c r="F243" s="31"/>
      <c r="G243" s="96"/>
      <c r="H243" s="97"/>
      <c r="I243" s="31"/>
      <c r="J243" s="97"/>
      <c r="K243" s="31" t="s">
        <v>180</v>
      </c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97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99"/>
    </row>
    <row r="244" spans="2:61" ht="20.100000000000001" customHeight="1" x14ac:dyDescent="0.45">
      <c r="B244" s="95"/>
      <c r="C244" s="31"/>
      <c r="D244" s="31"/>
      <c r="E244" s="31"/>
      <c r="F244" s="31"/>
      <c r="G244" s="96"/>
      <c r="H244" s="97"/>
      <c r="I244" s="31"/>
      <c r="J244" s="97"/>
      <c r="K244" s="31" t="s">
        <v>183</v>
      </c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97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99"/>
    </row>
    <row r="245" spans="2:61" ht="20.100000000000001" customHeight="1" thickBot="1" x14ac:dyDescent="0.5">
      <c r="B245" s="95"/>
      <c r="C245" s="31"/>
      <c r="D245" s="31"/>
      <c r="E245" s="31"/>
      <c r="F245" s="31"/>
      <c r="G245" s="96"/>
      <c r="H245" s="129" t="s">
        <v>167</v>
      </c>
      <c r="I245" s="130"/>
      <c r="J245" s="129" t="s">
        <v>229</v>
      </c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  <c r="AH245" s="130"/>
      <c r="AI245" s="130"/>
      <c r="AJ245" s="130"/>
      <c r="AK245" s="131"/>
      <c r="AL245" s="130"/>
      <c r="AM245" s="130"/>
      <c r="AN245" s="130"/>
      <c r="AO245" s="130"/>
      <c r="AP245" s="130"/>
      <c r="AQ245" s="130"/>
      <c r="AR245" s="130"/>
      <c r="AS245" s="130"/>
      <c r="AT245" s="130"/>
      <c r="AU245" s="130"/>
      <c r="AV245" s="130"/>
      <c r="AW245" s="130"/>
      <c r="AX245" s="130"/>
      <c r="AY245" s="130"/>
      <c r="AZ245" s="130"/>
      <c r="BA245" s="130"/>
      <c r="BB245" s="130"/>
      <c r="BC245" s="130"/>
      <c r="BD245" s="130"/>
      <c r="BE245" s="130"/>
      <c r="BF245" s="130"/>
      <c r="BG245" s="130"/>
      <c r="BH245" s="130"/>
      <c r="BI245" s="132"/>
    </row>
    <row r="246" spans="2:61" ht="20.100000000000001" customHeight="1" x14ac:dyDescent="0.45">
      <c r="B246" s="89" t="s">
        <v>184</v>
      </c>
      <c r="C246" s="90"/>
      <c r="D246" s="90"/>
      <c r="E246" s="90"/>
      <c r="F246" s="90"/>
      <c r="G246" s="91"/>
      <c r="H246" s="97" t="s">
        <v>185</v>
      </c>
      <c r="I246" s="31"/>
      <c r="J246" s="124" t="s">
        <v>128</v>
      </c>
      <c r="K246" s="52"/>
      <c r="L246" s="52"/>
      <c r="M246" s="52"/>
      <c r="N246" s="52"/>
      <c r="O246" s="52"/>
      <c r="P246" s="52"/>
      <c r="Q246" s="125"/>
      <c r="R246" s="52" t="s">
        <v>252</v>
      </c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125"/>
      <c r="AK246" s="98" t="s">
        <v>186</v>
      </c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99"/>
    </row>
    <row r="247" spans="2:61" ht="20.100000000000001" customHeight="1" x14ac:dyDescent="0.45">
      <c r="B247" s="123"/>
      <c r="C247" s="31"/>
      <c r="D247" s="31"/>
      <c r="E247" s="31"/>
      <c r="F247" s="31"/>
      <c r="G247" s="96"/>
      <c r="H247" s="97"/>
      <c r="I247" s="31"/>
      <c r="J247" s="124" t="s">
        <v>129</v>
      </c>
      <c r="K247" s="52"/>
      <c r="L247" s="52"/>
      <c r="M247" s="52"/>
      <c r="N247" s="52"/>
      <c r="O247" s="52"/>
      <c r="P247" s="52"/>
      <c r="Q247" s="125"/>
      <c r="R247" s="52" t="s">
        <v>253</v>
      </c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125"/>
      <c r="AK247" s="98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99"/>
    </row>
    <row r="248" spans="2:61" ht="20.100000000000001" customHeight="1" x14ac:dyDescent="0.45">
      <c r="B248" s="123"/>
      <c r="C248" s="31"/>
      <c r="D248" s="31"/>
      <c r="E248" s="31"/>
      <c r="F248" s="31"/>
      <c r="G248" s="96"/>
      <c r="H248" s="31"/>
      <c r="I248" s="31"/>
      <c r="J248" s="124" t="s">
        <v>130</v>
      </c>
      <c r="K248" s="52"/>
      <c r="L248" s="52"/>
      <c r="M248" s="52"/>
      <c r="N248" s="52"/>
      <c r="O248" s="52"/>
      <c r="P248" s="52"/>
      <c r="Q248" s="125"/>
      <c r="R248" s="52" t="s">
        <v>254</v>
      </c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125"/>
      <c r="AK248" s="98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99"/>
    </row>
    <row r="249" spans="2:61" ht="20.100000000000001" customHeight="1" x14ac:dyDescent="0.45">
      <c r="B249" s="123"/>
      <c r="C249" s="31"/>
      <c r="D249" s="31"/>
      <c r="E249" s="31"/>
      <c r="F249" s="31"/>
      <c r="G249" s="96"/>
      <c r="H249" s="31"/>
      <c r="I249" s="31"/>
      <c r="J249" s="124" t="s">
        <v>131</v>
      </c>
      <c r="K249" s="52"/>
      <c r="L249" s="52"/>
      <c r="M249" s="52"/>
      <c r="N249" s="52"/>
      <c r="O249" s="52"/>
      <c r="P249" s="52"/>
      <c r="Q249" s="125"/>
      <c r="R249" s="52" t="s">
        <v>255</v>
      </c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125"/>
      <c r="AK249" s="98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99"/>
    </row>
    <row r="250" spans="2:61" ht="20.100000000000001" customHeight="1" x14ac:dyDescent="0.45">
      <c r="B250" s="123"/>
      <c r="C250" s="31"/>
      <c r="D250" s="31"/>
      <c r="E250" s="31"/>
      <c r="F250" s="31"/>
      <c r="G250" s="96"/>
      <c r="H250" s="31"/>
      <c r="I250" s="31"/>
      <c r="J250" s="124" t="s">
        <v>132</v>
      </c>
      <c r="K250" s="52"/>
      <c r="L250" s="52"/>
      <c r="M250" s="52"/>
      <c r="N250" s="52"/>
      <c r="O250" s="52"/>
      <c r="P250" s="52"/>
      <c r="Q250" s="125"/>
      <c r="R250" s="52" t="s">
        <v>256</v>
      </c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125"/>
      <c r="AK250" s="98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99"/>
    </row>
    <row r="251" spans="2:61" ht="20.100000000000001" customHeight="1" x14ac:dyDescent="0.45">
      <c r="B251" s="123"/>
      <c r="C251" s="31"/>
      <c r="D251" s="31"/>
      <c r="E251" s="31"/>
      <c r="F251" s="31"/>
      <c r="G251" s="96"/>
      <c r="H251" s="97"/>
      <c r="I251" s="31"/>
      <c r="J251" s="124" t="s">
        <v>133</v>
      </c>
      <c r="K251" s="52"/>
      <c r="L251" s="52"/>
      <c r="M251" s="52"/>
      <c r="N251" s="52"/>
      <c r="O251" s="52"/>
      <c r="P251" s="52"/>
      <c r="Q251" s="125"/>
      <c r="R251" s="52" t="s">
        <v>257</v>
      </c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125"/>
      <c r="AK251" s="98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99"/>
    </row>
    <row r="252" spans="2:61" ht="20.100000000000001" customHeight="1" x14ac:dyDescent="0.45">
      <c r="B252" s="123"/>
      <c r="C252" s="31"/>
      <c r="D252" s="31"/>
      <c r="E252" s="31"/>
      <c r="F252" s="31"/>
      <c r="G252" s="96"/>
      <c r="H252" s="97"/>
      <c r="I252" s="31"/>
      <c r="J252" s="124" t="s">
        <v>134</v>
      </c>
      <c r="K252" s="52"/>
      <c r="L252" s="52"/>
      <c r="M252" s="52"/>
      <c r="N252" s="52"/>
      <c r="O252" s="52"/>
      <c r="P252" s="52"/>
      <c r="Q252" s="125"/>
      <c r="R252" s="52" t="s">
        <v>258</v>
      </c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125"/>
      <c r="AK252" s="98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99"/>
    </row>
    <row r="253" spans="2:61" ht="20.100000000000001" customHeight="1" x14ac:dyDescent="0.45">
      <c r="B253" s="123"/>
      <c r="C253" s="31"/>
      <c r="D253" s="31"/>
      <c r="E253" s="31"/>
      <c r="F253" s="31"/>
      <c r="G253" s="96"/>
      <c r="H253" s="31"/>
      <c r="I253" s="31"/>
      <c r="J253" s="124" t="s">
        <v>135</v>
      </c>
      <c r="K253" s="52"/>
      <c r="L253" s="52"/>
      <c r="M253" s="52"/>
      <c r="N253" s="52"/>
      <c r="O253" s="52"/>
      <c r="P253" s="52"/>
      <c r="Q253" s="125"/>
      <c r="R253" s="52" t="s">
        <v>259</v>
      </c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125"/>
      <c r="AK253" s="98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99"/>
    </row>
    <row r="254" spans="2:61" ht="20.100000000000001" customHeight="1" x14ac:dyDescent="0.45">
      <c r="B254" s="123"/>
      <c r="C254" s="31"/>
      <c r="D254" s="31"/>
      <c r="E254" s="31"/>
      <c r="F254" s="31"/>
      <c r="G254" s="96"/>
      <c r="H254" s="31"/>
      <c r="I254" s="31"/>
      <c r="J254" s="124" t="s">
        <v>136</v>
      </c>
      <c r="K254" s="52"/>
      <c r="L254" s="52"/>
      <c r="M254" s="52"/>
      <c r="N254" s="52"/>
      <c r="O254" s="52"/>
      <c r="P254" s="52"/>
      <c r="Q254" s="125"/>
      <c r="R254" s="52" t="s">
        <v>260</v>
      </c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125"/>
      <c r="AK254" s="98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99"/>
    </row>
    <row r="255" spans="2:61" ht="20.100000000000001" customHeight="1" x14ac:dyDescent="0.45">
      <c r="B255" s="123"/>
      <c r="C255" s="31"/>
      <c r="D255" s="31"/>
      <c r="E255" s="31"/>
      <c r="F255" s="31"/>
      <c r="G255" s="96"/>
      <c r="H255" s="31"/>
      <c r="I255" s="31"/>
      <c r="J255" s="124" t="s">
        <v>137</v>
      </c>
      <c r="K255" s="52"/>
      <c r="L255" s="52"/>
      <c r="M255" s="52"/>
      <c r="N255" s="52"/>
      <c r="O255" s="52"/>
      <c r="P255" s="52"/>
      <c r="Q255" s="125"/>
      <c r="R255" s="52" t="s">
        <v>261</v>
      </c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125"/>
      <c r="AK255" s="98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99"/>
    </row>
    <row r="256" spans="2:61" ht="20.100000000000001" customHeight="1" x14ac:dyDescent="0.45">
      <c r="B256" s="123"/>
      <c r="C256" s="31"/>
      <c r="D256" s="31"/>
      <c r="E256" s="31"/>
      <c r="F256" s="31"/>
      <c r="G256" s="96"/>
      <c r="H256" s="97"/>
      <c r="I256" s="31"/>
      <c r="J256" s="124" t="s">
        <v>138</v>
      </c>
      <c r="K256" s="52"/>
      <c r="L256" s="52"/>
      <c r="M256" s="52"/>
      <c r="N256" s="52"/>
      <c r="O256" s="52"/>
      <c r="P256" s="52"/>
      <c r="Q256" s="125"/>
      <c r="R256" s="52" t="s">
        <v>262</v>
      </c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125"/>
      <c r="AK256" s="98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99"/>
    </row>
    <row r="257" spans="2:61" ht="20.100000000000001" customHeight="1" x14ac:dyDescent="0.45">
      <c r="B257" s="123"/>
      <c r="C257" s="31"/>
      <c r="D257" s="31"/>
      <c r="E257" s="31"/>
      <c r="F257" s="31"/>
      <c r="G257" s="96"/>
      <c r="H257" s="97"/>
      <c r="I257" s="31"/>
      <c r="J257" s="124" t="s">
        <v>139</v>
      </c>
      <c r="K257" s="52"/>
      <c r="L257" s="52"/>
      <c r="M257" s="52"/>
      <c r="N257" s="52"/>
      <c r="O257" s="52"/>
      <c r="P257" s="52"/>
      <c r="Q257" s="125"/>
      <c r="R257" s="52" t="s">
        <v>263</v>
      </c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125"/>
      <c r="AK257" s="98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99"/>
    </row>
    <row r="258" spans="2:61" ht="20.100000000000001" customHeight="1" x14ac:dyDescent="0.45">
      <c r="B258" s="123"/>
      <c r="C258" s="31"/>
      <c r="D258" s="31"/>
      <c r="E258" s="31"/>
      <c r="F258" s="31"/>
      <c r="G258" s="96"/>
      <c r="H258" s="31"/>
      <c r="I258" s="31"/>
      <c r="J258" s="124" t="s">
        <v>140</v>
      </c>
      <c r="K258" s="52"/>
      <c r="L258" s="52"/>
      <c r="M258" s="52"/>
      <c r="N258" s="52"/>
      <c r="O258" s="52"/>
      <c r="P258" s="52"/>
      <c r="Q258" s="125"/>
      <c r="R258" s="52" t="s">
        <v>264</v>
      </c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125"/>
      <c r="AK258" s="98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99"/>
    </row>
    <row r="259" spans="2:61" ht="20.100000000000001" customHeight="1" x14ac:dyDescent="0.45">
      <c r="B259" s="123"/>
      <c r="C259" s="31"/>
      <c r="D259" s="31"/>
      <c r="E259" s="31"/>
      <c r="F259" s="31"/>
      <c r="G259" s="96"/>
      <c r="H259" s="31"/>
      <c r="I259" s="31"/>
      <c r="J259" s="124" t="s">
        <v>141</v>
      </c>
      <c r="K259" s="52"/>
      <c r="L259" s="52"/>
      <c r="M259" s="52"/>
      <c r="N259" s="52"/>
      <c r="O259" s="52"/>
      <c r="P259" s="52"/>
      <c r="Q259" s="125"/>
      <c r="R259" s="52" t="s">
        <v>265</v>
      </c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125"/>
      <c r="AK259" s="98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99"/>
    </row>
    <row r="260" spans="2:61" ht="20.100000000000001" customHeight="1" x14ac:dyDescent="0.45">
      <c r="B260" s="123"/>
      <c r="C260" s="31"/>
      <c r="D260" s="31"/>
      <c r="E260" s="31"/>
      <c r="F260" s="31"/>
      <c r="G260" s="96"/>
      <c r="H260" s="97"/>
      <c r="I260" s="31"/>
      <c r="J260" s="124" t="s">
        <v>142</v>
      </c>
      <c r="K260" s="52"/>
      <c r="L260" s="52"/>
      <c r="M260" s="52"/>
      <c r="N260" s="52"/>
      <c r="O260" s="52"/>
      <c r="P260" s="52"/>
      <c r="Q260" s="125"/>
      <c r="R260" s="52" t="s">
        <v>266</v>
      </c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125"/>
      <c r="AK260" s="98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99"/>
    </row>
    <row r="261" spans="2:61" ht="20.100000000000001" customHeight="1" x14ac:dyDescent="0.45">
      <c r="B261" s="123"/>
      <c r="C261" s="31"/>
      <c r="D261" s="31"/>
      <c r="E261" s="31"/>
      <c r="F261" s="31"/>
      <c r="G261" s="96"/>
      <c r="H261" s="97"/>
      <c r="I261" s="31"/>
      <c r="J261" s="124" t="s">
        <v>106</v>
      </c>
      <c r="K261" s="52"/>
      <c r="L261" s="52"/>
      <c r="M261" s="52"/>
      <c r="N261" s="52"/>
      <c r="O261" s="52"/>
      <c r="P261" s="52"/>
      <c r="Q261" s="125"/>
      <c r="R261" s="52" t="s">
        <v>267</v>
      </c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125"/>
      <c r="AK261" s="98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99"/>
    </row>
    <row r="262" spans="2:61" ht="20.100000000000001" customHeight="1" x14ac:dyDescent="0.45">
      <c r="B262" s="123"/>
      <c r="C262" s="31"/>
      <c r="D262" s="31"/>
      <c r="E262" s="31"/>
      <c r="F262" s="31"/>
      <c r="G262" s="96"/>
      <c r="H262" s="31"/>
      <c r="I262" s="31"/>
      <c r="J262" s="124" t="s">
        <v>143</v>
      </c>
      <c r="K262" s="52"/>
      <c r="L262" s="52"/>
      <c r="M262" s="52"/>
      <c r="N262" s="52"/>
      <c r="O262" s="52"/>
      <c r="P262" s="52"/>
      <c r="Q262" s="125"/>
      <c r="R262" s="52" t="s">
        <v>268</v>
      </c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125"/>
      <c r="AK262" s="98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99"/>
    </row>
    <row r="263" spans="2:61" ht="20.100000000000001" customHeight="1" x14ac:dyDescent="0.45">
      <c r="B263" s="123"/>
      <c r="C263" s="31"/>
      <c r="D263" s="31"/>
      <c r="E263" s="31"/>
      <c r="F263" s="31"/>
      <c r="G263" s="96"/>
      <c r="H263" s="31"/>
      <c r="I263" s="31"/>
      <c r="J263" s="124" t="s">
        <v>144</v>
      </c>
      <c r="K263" s="52"/>
      <c r="L263" s="52"/>
      <c r="M263" s="52"/>
      <c r="N263" s="52"/>
      <c r="O263" s="52"/>
      <c r="P263" s="52"/>
      <c r="Q263" s="125"/>
      <c r="R263" s="133" t="s">
        <v>269</v>
      </c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125"/>
      <c r="AK263" s="98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99"/>
    </row>
    <row r="264" spans="2:61" ht="20.100000000000001" customHeight="1" x14ac:dyDescent="0.45">
      <c r="B264" s="123"/>
      <c r="C264" s="31"/>
      <c r="D264" s="31"/>
      <c r="E264" s="31"/>
      <c r="F264" s="31"/>
      <c r="G264" s="96"/>
      <c r="H264" s="31"/>
      <c r="I264" s="31"/>
      <c r="J264" s="124" t="s">
        <v>145</v>
      </c>
      <c r="K264" s="52"/>
      <c r="L264" s="52"/>
      <c r="M264" s="52"/>
      <c r="N264" s="52"/>
      <c r="O264" s="52"/>
      <c r="P264" s="52"/>
      <c r="Q264" s="125"/>
      <c r="R264" s="52" t="s">
        <v>270</v>
      </c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125"/>
      <c r="AK264" s="98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99"/>
    </row>
    <row r="265" spans="2:61" ht="20.100000000000001" customHeight="1" x14ac:dyDescent="0.45">
      <c r="B265" s="123"/>
      <c r="C265" s="31"/>
      <c r="D265" s="31"/>
      <c r="E265" s="31"/>
      <c r="F265" s="31"/>
      <c r="G265" s="96"/>
      <c r="H265" s="97"/>
      <c r="I265" s="31"/>
      <c r="J265" s="124" t="s">
        <v>146</v>
      </c>
      <c r="K265" s="52"/>
      <c r="L265" s="52"/>
      <c r="M265" s="52"/>
      <c r="N265" s="52"/>
      <c r="O265" s="52"/>
      <c r="P265" s="52"/>
      <c r="Q265" s="125"/>
      <c r="R265" s="52" t="s">
        <v>271</v>
      </c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125"/>
      <c r="AK265" s="98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99"/>
    </row>
    <row r="266" spans="2:61" ht="20.100000000000001" customHeight="1" x14ac:dyDescent="0.45">
      <c r="B266" s="123"/>
      <c r="C266" s="31"/>
      <c r="D266" s="31"/>
      <c r="E266" s="31"/>
      <c r="F266" s="31"/>
      <c r="G266" s="96"/>
      <c r="H266" s="97"/>
      <c r="I266" s="31"/>
      <c r="J266" s="124" t="s">
        <v>147</v>
      </c>
      <c r="K266" s="52"/>
      <c r="L266" s="52"/>
      <c r="M266" s="52"/>
      <c r="N266" s="52"/>
      <c r="O266" s="52"/>
      <c r="P266" s="52"/>
      <c r="Q266" s="125"/>
      <c r="R266" s="52" t="s">
        <v>272</v>
      </c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125"/>
      <c r="AK266" s="98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99"/>
    </row>
    <row r="267" spans="2:61" ht="20.100000000000001" customHeight="1" x14ac:dyDescent="0.45">
      <c r="B267" s="123"/>
      <c r="C267" s="31"/>
      <c r="D267" s="31"/>
      <c r="E267" s="31"/>
      <c r="F267" s="31"/>
      <c r="G267" s="96"/>
      <c r="H267" s="31"/>
      <c r="I267" s="31"/>
      <c r="J267" s="124" t="s">
        <v>148</v>
      </c>
      <c r="K267" s="52"/>
      <c r="L267" s="52"/>
      <c r="M267" s="52"/>
      <c r="N267" s="52"/>
      <c r="O267" s="52"/>
      <c r="P267" s="52"/>
      <c r="Q267" s="125"/>
      <c r="R267" s="52" t="s">
        <v>273</v>
      </c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125"/>
      <c r="AK267" s="98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99"/>
    </row>
    <row r="268" spans="2:61" ht="20.100000000000001" customHeight="1" x14ac:dyDescent="0.45">
      <c r="B268" s="123"/>
      <c r="C268" s="31"/>
      <c r="D268" s="31"/>
      <c r="E268" s="31"/>
      <c r="F268" s="31"/>
      <c r="G268" s="96"/>
      <c r="H268" s="31"/>
      <c r="I268" s="31"/>
      <c r="J268" s="124" t="s">
        <v>149</v>
      </c>
      <c r="K268" s="52"/>
      <c r="L268" s="52"/>
      <c r="M268" s="52"/>
      <c r="N268" s="52"/>
      <c r="O268" s="52"/>
      <c r="P268" s="52"/>
      <c r="Q268" s="125"/>
      <c r="R268" s="52" t="s">
        <v>274</v>
      </c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125"/>
      <c r="AK268" s="98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99"/>
    </row>
    <row r="269" spans="2:61" ht="20.100000000000001" customHeight="1" x14ac:dyDescent="0.45">
      <c r="B269" s="123"/>
      <c r="C269" s="31"/>
      <c r="D269" s="31"/>
      <c r="E269" s="31"/>
      <c r="F269" s="31"/>
      <c r="G269" s="96"/>
      <c r="H269" s="31"/>
      <c r="I269" s="31"/>
      <c r="J269" s="124" t="s">
        <v>150</v>
      </c>
      <c r="K269" s="52"/>
      <c r="L269" s="52"/>
      <c r="M269" s="52"/>
      <c r="N269" s="52"/>
      <c r="O269" s="52"/>
      <c r="P269" s="52"/>
      <c r="Q269" s="125"/>
      <c r="R269" s="52" t="s">
        <v>275</v>
      </c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125"/>
      <c r="AK269" s="98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99"/>
    </row>
    <row r="270" spans="2:61" ht="20.100000000000001" customHeight="1" x14ac:dyDescent="0.45">
      <c r="B270" s="123"/>
      <c r="C270" s="31"/>
      <c r="D270" s="31"/>
      <c r="E270" s="31"/>
      <c r="F270" s="31"/>
      <c r="G270" s="96"/>
      <c r="H270" s="97"/>
      <c r="I270" s="31"/>
      <c r="J270" s="124" t="s">
        <v>151</v>
      </c>
      <c r="K270" s="52"/>
      <c r="L270" s="52"/>
      <c r="M270" s="52"/>
      <c r="N270" s="52"/>
      <c r="O270" s="52"/>
      <c r="P270" s="52"/>
      <c r="Q270" s="125"/>
      <c r="R270" s="52" t="s">
        <v>276</v>
      </c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125"/>
      <c r="AK270" s="98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99"/>
    </row>
    <row r="271" spans="2:61" ht="20.100000000000001" customHeight="1" x14ac:dyDescent="0.45">
      <c r="B271" s="123"/>
      <c r="C271" s="31"/>
      <c r="D271" s="31"/>
      <c r="E271" s="31"/>
      <c r="F271" s="31"/>
      <c r="G271" s="96"/>
      <c r="H271" s="97"/>
      <c r="I271" s="31"/>
      <c r="J271" s="124" t="s">
        <v>152</v>
      </c>
      <c r="K271" s="52"/>
      <c r="L271" s="52"/>
      <c r="M271" s="52"/>
      <c r="N271" s="52"/>
      <c r="O271" s="52"/>
      <c r="P271" s="52"/>
      <c r="Q271" s="125"/>
      <c r="R271" s="52" t="s">
        <v>277</v>
      </c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125"/>
      <c r="AK271" s="98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99"/>
    </row>
    <row r="272" spans="2:61" ht="20.100000000000001" customHeight="1" x14ac:dyDescent="0.45">
      <c r="B272" s="123"/>
      <c r="C272" s="31"/>
      <c r="D272" s="31"/>
      <c r="E272" s="31"/>
      <c r="F272" s="31"/>
      <c r="G272" s="96"/>
      <c r="H272" s="31"/>
      <c r="I272" s="31"/>
      <c r="J272" s="124" t="s">
        <v>153</v>
      </c>
      <c r="K272" s="52"/>
      <c r="L272" s="52"/>
      <c r="M272" s="52"/>
      <c r="N272" s="52"/>
      <c r="O272" s="52"/>
      <c r="P272" s="52"/>
      <c r="Q272" s="125"/>
      <c r="R272" s="52" t="s">
        <v>278</v>
      </c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125"/>
      <c r="AK272" s="98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99"/>
    </row>
    <row r="273" spans="2:61" ht="20.100000000000001" customHeight="1" x14ac:dyDescent="0.45">
      <c r="B273" s="123"/>
      <c r="C273" s="31"/>
      <c r="D273" s="31"/>
      <c r="E273" s="31"/>
      <c r="F273" s="31"/>
      <c r="G273" s="96"/>
      <c r="H273" s="31"/>
      <c r="I273" s="31"/>
      <c r="J273" s="124" t="s">
        <v>154</v>
      </c>
      <c r="K273" s="52"/>
      <c r="L273" s="52"/>
      <c r="M273" s="52"/>
      <c r="N273" s="52"/>
      <c r="O273" s="52"/>
      <c r="P273" s="52"/>
      <c r="Q273" s="125"/>
      <c r="R273" s="52" t="s">
        <v>279</v>
      </c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125"/>
      <c r="AK273" s="98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99"/>
    </row>
    <row r="274" spans="2:61" ht="20.100000000000001" customHeight="1" x14ac:dyDescent="0.45">
      <c r="B274" s="123"/>
      <c r="C274" s="31"/>
      <c r="D274" s="31"/>
      <c r="E274" s="31"/>
      <c r="F274" s="31"/>
      <c r="G274" s="96"/>
      <c r="H274" s="31"/>
      <c r="I274" s="31"/>
      <c r="J274" s="124" t="s">
        <v>155</v>
      </c>
      <c r="K274" s="52"/>
      <c r="L274" s="52"/>
      <c r="M274" s="52"/>
      <c r="N274" s="52"/>
      <c r="O274" s="52"/>
      <c r="P274" s="52"/>
      <c r="Q274" s="125"/>
      <c r="R274" s="52" t="s">
        <v>280</v>
      </c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125"/>
      <c r="AK274" s="98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99"/>
    </row>
    <row r="275" spans="2:61" ht="20.100000000000001" customHeight="1" x14ac:dyDescent="0.45">
      <c r="B275" s="123"/>
      <c r="C275" s="31"/>
      <c r="D275" s="31"/>
      <c r="E275" s="31"/>
      <c r="F275" s="31"/>
      <c r="G275" s="96"/>
      <c r="H275" s="100" t="s">
        <v>161</v>
      </c>
      <c r="I275" s="55"/>
      <c r="J275" s="100" t="s">
        <v>282</v>
      </c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101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  <c r="BH275" s="55"/>
      <c r="BI275" s="102"/>
    </row>
    <row r="276" spans="2:61" ht="20.100000000000001" customHeight="1" thickBot="1" x14ac:dyDescent="0.5">
      <c r="B276" s="95"/>
      <c r="C276" s="31"/>
      <c r="D276" s="31"/>
      <c r="E276" s="31"/>
      <c r="F276" s="31"/>
      <c r="G276" s="96"/>
      <c r="H276" s="129" t="s">
        <v>167</v>
      </c>
      <c r="I276" s="130"/>
      <c r="J276" s="129" t="s">
        <v>281</v>
      </c>
      <c r="K276" s="130"/>
      <c r="L276" s="130"/>
      <c r="M276" s="130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  <c r="AG276" s="130"/>
      <c r="AH276" s="130"/>
      <c r="AI276" s="130"/>
      <c r="AJ276" s="130"/>
      <c r="AK276" s="131"/>
      <c r="AL276" s="130"/>
      <c r="AM276" s="130"/>
      <c r="AN276" s="130"/>
      <c r="AO276" s="130"/>
      <c r="AP276" s="130"/>
      <c r="AQ276" s="130"/>
      <c r="AR276" s="130"/>
      <c r="AS276" s="130"/>
      <c r="AT276" s="130"/>
      <c r="AU276" s="130"/>
      <c r="AV276" s="130"/>
      <c r="AW276" s="130"/>
      <c r="AX276" s="130"/>
      <c r="AY276" s="130"/>
      <c r="AZ276" s="130"/>
      <c r="BA276" s="130"/>
      <c r="BB276" s="130"/>
      <c r="BC276" s="130"/>
      <c r="BD276" s="130"/>
      <c r="BE276" s="130"/>
      <c r="BF276" s="130"/>
      <c r="BG276" s="130"/>
      <c r="BH276" s="130"/>
      <c r="BI276" s="132"/>
    </row>
    <row r="277" spans="2:61" ht="5.0999999999999996" customHeight="1" x14ac:dyDescent="0.45"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90"/>
      <c r="AW277" s="90"/>
      <c r="AX277" s="90"/>
      <c r="AY277" s="90"/>
      <c r="AZ277" s="90"/>
      <c r="BA277" s="90"/>
      <c r="BB277" s="90"/>
      <c r="BC277" s="90"/>
      <c r="BD277" s="90"/>
      <c r="BE277" s="90"/>
      <c r="BF277" s="90"/>
      <c r="BG277" s="90"/>
      <c r="BH277" s="90"/>
      <c r="BI277" s="90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36"/>
  <sheetViews>
    <sheetView showGridLines="0"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193" t="s">
        <v>0</v>
      </c>
      <c r="C2" s="194"/>
      <c r="D2" s="194"/>
      <c r="E2" s="194"/>
      <c r="F2" s="194"/>
      <c r="G2" s="194"/>
      <c r="H2" s="194" t="s">
        <v>17</v>
      </c>
      <c r="I2" s="194"/>
      <c r="J2" s="194"/>
      <c r="K2" s="194"/>
      <c r="L2" s="194" t="s">
        <v>1</v>
      </c>
      <c r="M2" s="194"/>
      <c r="N2" s="194"/>
      <c r="O2" s="194"/>
      <c r="P2" s="194"/>
      <c r="Q2" s="194"/>
      <c r="R2" s="194" t="s">
        <v>2</v>
      </c>
      <c r="S2" s="194"/>
      <c r="T2" s="194"/>
      <c r="U2" s="194"/>
      <c r="V2" s="194"/>
      <c r="W2" s="194"/>
      <c r="X2" s="195" t="s">
        <v>3</v>
      </c>
      <c r="Y2" s="196"/>
      <c r="Z2" s="196"/>
      <c r="AA2" s="196"/>
      <c r="AB2" s="196"/>
      <c r="AC2" s="196"/>
      <c r="AD2" s="196"/>
      <c r="AE2" s="196"/>
      <c r="AF2" s="196"/>
      <c r="AG2" s="196"/>
      <c r="AH2" s="196"/>
      <c r="AI2" s="196"/>
      <c r="AJ2" s="197"/>
      <c r="AK2" s="195" t="s">
        <v>32</v>
      </c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7"/>
      <c r="AX2" s="194" t="s">
        <v>5</v>
      </c>
      <c r="AY2" s="194"/>
      <c r="AZ2" s="194"/>
      <c r="BA2" s="194"/>
      <c r="BB2" s="194" t="s">
        <v>4</v>
      </c>
      <c r="BC2" s="194"/>
      <c r="BD2" s="194"/>
      <c r="BE2" s="194"/>
      <c r="BF2" s="194" t="s">
        <v>6</v>
      </c>
      <c r="BG2" s="194"/>
      <c r="BH2" s="194"/>
      <c r="BI2" s="194"/>
      <c r="BJ2" s="194" t="s">
        <v>7</v>
      </c>
      <c r="BK2" s="194"/>
      <c r="BL2" s="194"/>
      <c r="BM2" s="204"/>
    </row>
    <row r="3" spans="2:65" ht="20.100000000000001" customHeight="1" x14ac:dyDescent="0.45">
      <c r="B3" s="198" t="str">
        <f>変更履歴!B3</f>
        <v>受発注システム</v>
      </c>
      <c r="C3" s="145"/>
      <c r="D3" s="145"/>
      <c r="E3" s="145"/>
      <c r="F3" s="145"/>
      <c r="G3" s="145"/>
      <c r="H3" s="145" t="str">
        <f ca="1">変更履歴!H3</f>
        <v>SK0400</v>
      </c>
      <c r="I3" s="145"/>
      <c r="J3" s="145"/>
      <c r="K3" s="145"/>
      <c r="L3" s="145" t="str">
        <f>変更履歴!L3</f>
        <v>受発注</v>
      </c>
      <c r="M3" s="145"/>
      <c r="N3" s="145"/>
      <c r="O3" s="145"/>
      <c r="P3" s="145"/>
      <c r="Q3" s="145"/>
      <c r="R3" s="145" t="str">
        <f ca="1">変更履歴!R3</f>
        <v>帳票設計書</v>
      </c>
      <c r="S3" s="145"/>
      <c r="T3" s="145"/>
      <c r="U3" s="145"/>
      <c r="V3" s="145"/>
      <c r="W3" s="145"/>
      <c r="X3" s="148" t="str">
        <f ca="1">変更履歴!X3</f>
        <v>SK0400_買掛金集計表(仕分出力)_帳票設計書</v>
      </c>
      <c r="Y3" s="149"/>
      <c r="Z3" s="149"/>
      <c r="AA3" s="149"/>
      <c r="AB3" s="149"/>
      <c r="AC3" s="149"/>
      <c r="AD3" s="149"/>
      <c r="AE3" s="149"/>
      <c r="AF3" s="149"/>
      <c r="AG3" s="149"/>
      <c r="AH3" s="149"/>
      <c r="AI3" s="149"/>
      <c r="AJ3" s="150"/>
      <c r="AK3" s="148" t="str">
        <f ca="1">変更履歴!AK3</f>
        <v>買掛金集計表(仕分出力)</v>
      </c>
      <c r="AL3" s="149"/>
      <c r="AM3" s="149"/>
      <c r="AN3" s="149"/>
      <c r="AO3" s="149"/>
      <c r="AP3" s="149"/>
      <c r="AQ3" s="149"/>
      <c r="AR3" s="149"/>
      <c r="AS3" s="149"/>
      <c r="AT3" s="149"/>
      <c r="AU3" s="149"/>
      <c r="AV3" s="149"/>
      <c r="AW3" s="150"/>
      <c r="AX3" s="144">
        <f>変更履歴!AX3</f>
        <v>45539</v>
      </c>
      <c r="AY3" s="144"/>
      <c r="AZ3" s="144"/>
      <c r="BA3" s="144"/>
      <c r="BB3" s="145" t="str">
        <f>変更履歴!BB3</f>
        <v>大谷</v>
      </c>
      <c r="BC3" s="145"/>
      <c r="BD3" s="145"/>
      <c r="BE3" s="145"/>
      <c r="BF3" s="144">
        <f>変更履歴!BF3</f>
        <v>45539</v>
      </c>
      <c r="BG3" s="144"/>
      <c r="BH3" s="144"/>
      <c r="BI3" s="144"/>
      <c r="BJ3" s="145" t="str">
        <f>変更履歴!BJ3</f>
        <v>大谷</v>
      </c>
      <c r="BK3" s="145"/>
      <c r="BL3" s="145"/>
      <c r="BM3" s="202"/>
    </row>
    <row r="4" spans="2:65" ht="20.100000000000001" customHeight="1" thickBot="1" x14ac:dyDescent="0.5">
      <c r="B4" s="199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190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2"/>
      <c r="AK4" s="190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2"/>
      <c r="AX4" s="201"/>
      <c r="AY4" s="201"/>
      <c r="AZ4" s="201"/>
      <c r="BA4" s="201"/>
      <c r="BB4" s="200"/>
      <c r="BC4" s="200"/>
      <c r="BD4" s="200"/>
      <c r="BE4" s="200"/>
      <c r="BF4" s="201"/>
      <c r="BG4" s="201"/>
      <c r="BH4" s="201"/>
      <c r="BI4" s="201"/>
      <c r="BJ4" s="200"/>
      <c r="BK4" s="200"/>
      <c r="BL4" s="200"/>
      <c r="BM4" s="203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89" t="s">
        <v>53</v>
      </c>
      <c r="C7" s="90"/>
      <c r="D7" s="90"/>
      <c r="E7" s="90"/>
      <c r="F7" s="90"/>
      <c r="G7" s="90"/>
      <c r="H7" s="92" t="s">
        <v>81</v>
      </c>
      <c r="I7" s="91"/>
      <c r="J7" s="126" t="s">
        <v>20</v>
      </c>
      <c r="K7" s="121"/>
      <c r="L7" s="121"/>
      <c r="M7" s="121"/>
      <c r="N7" s="121"/>
      <c r="O7" s="121"/>
      <c r="P7" s="121"/>
      <c r="Q7" s="121"/>
      <c r="R7" s="126" t="s">
        <v>82</v>
      </c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2"/>
      <c r="AK7" s="93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4"/>
      <c r="BJ7" s="29"/>
      <c r="BK7" s="29"/>
      <c r="BL7" s="29"/>
      <c r="BM7" s="29"/>
    </row>
    <row r="8" spans="2:65" ht="20.100000000000001" customHeight="1" x14ac:dyDescent="0.45">
      <c r="B8" s="123"/>
      <c r="C8" s="31"/>
      <c r="D8" s="31"/>
      <c r="E8" s="31"/>
      <c r="F8" s="31"/>
      <c r="G8" s="31"/>
      <c r="H8" s="97"/>
      <c r="I8" s="96"/>
      <c r="J8" s="124" t="s">
        <v>83</v>
      </c>
      <c r="K8" s="52"/>
      <c r="L8" s="52"/>
      <c r="M8" s="52"/>
      <c r="N8" s="52"/>
      <c r="O8" s="52"/>
      <c r="P8" s="52"/>
      <c r="Q8" s="52"/>
      <c r="R8" s="124" t="s">
        <v>84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25"/>
      <c r="AK8" s="98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99"/>
      <c r="BJ8" s="29"/>
      <c r="BK8" s="29"/>
      <c r="BL8" s="29"/>
      <c r="BM8" s="29"/>
    </row>
    <row r="9" spans="2:65" ht="20.100000000000001" customHeight="1" x14ac:dyDescent="0.45">
      <c r="B9" s="123"/>
      <c r="C9" s="31"/>
      <c r="D9" s="31"/>
      <c r="E9" s="31"/>
      <c r="F9" s="31"/>
      <c r="G9" s="31"/>
      <c r="H9" s="103"/>
      <c r="I9" s="127"/>
      <c r="J9" s="124" t="s">
        <v>85</v>
      </c>
      <c r="K9" s="52"/>
      <c r="L9" s="52"/>
      <c r="M9" s="52"/>
      <c r="N9" s="52"/>
      <c r="O9" s="52"/>
      <c r="P9" s="52"/>
      <c r="Q9" s="52"/>
      <c r="R9" s="124" t="s">
        <v>86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25"/>
      <c r="AK9" s="105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6"/>
      <c r="BJ9" s="29"/>
      <c r="BK9" s="29"/>
      <c r="BL9" s="29"/>
      <c r="BM9" s="29"/>
    </row>
    <row r="10" spans="2:65" ht="20.100000000000001" customHeight="1" x14ac:dyDescent="0.45">
      <c r="B10" s="123"/>
      <c r="C10" s="31"/>
      <c r="D10" s="31"/>
      <c r="E10" s="31"/>
      <c r="F10" s="31"/>
      <c r="G10" s="96"/>
      <c r="H10" s="97" t="s">
        <v>54</v>
      </c>
      <c r="I10" s="31"/>
      <c r="J10" s="111" t="s">
        <v>55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98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99"/>
      <c r="BJ10" s="29"/>
      <c r="BK10" s="29"/>
      <c r="BL10" s="29"/>
      <c r="BM10" s="29"/>
    </row>
    <row r="11" spans="2:65" ht="20.100000000000001" customHeight="1" x14ac:dyDescent="0.45">
      <c r="B11" s="95"/>
      <c r="C11" s="31"/>
      <c r="D11" s="31"/>
      <c r="E11" s="31"/>
      <c r="F11" s="31"/>
      <c r="G11" s="96"/>
      <c r="H11" s="97"/>
      <c r="I11" s="31"/>
      <c r="J11" s="97" t="s">
        <v>56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98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99"/>
      <c r="BJ11" s="29"/>
      <c r="BK11" s="29"/>
      <c r="BL11" s="29"/>
      <c r="BM11" s="29"/>
    </row>
    <row r="12" spans="2:65" ht="20.100000000000001" customHeight="1" x14ac:dyDescent="0.45">
      <c r="B12" s="95"/>
      <c r="C12" s="31"/>
      <c r="D12" s="31"/>
      <c r="E12" s="31"/>
      <c r="F12" s="31"/>
      <c r="G12" s="96"/>
      <c r="H12" s="97"/>
      <c r="I12" s="31"/>
      <c r="J12" s="97" t="s">
        <v>57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98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99"/>
      <c r="BJ12" s="29"/>
      <c r="BK12" s="29"/>
      <c r="BL12" s="29"/>
      <c r="BM12" s="29"/>
    </row>
    <row r="13" spans="2:65" ht="20.100000000000001" customHeight="1" x14ac:dyDescent="0.45">
      <c r="B13" s="95"/>
      <c r="C13" s="31"/>
      <c r="D13" s="31"/>
      <c r="E13" s="31"/>
      <c r="F13" s="31"/>
      <c r="G13" s="96"/>
      <c r="H13" s="97"/>
      <c r="I13" s="31"/>
      <c r="J13" s="97" t="s">
        <v>58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98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99"/>
      <c r="BJ13" s="29"/>
      <c r="BK13" s="29"/>
      <c r="BL13" s="29"/>
      <c r="BM13" s="29"/>
    </row>
    <row r="14" spans="2:65" ht="20.100000000000001" customHeight="1" x14ac:dyDescent="0.45">
      <c r="B14" s="95"/>
      <c r="C14" s="31"/>
      <c r="D14" s="31"/>
      <c r="E14" s="31"/>
      <c r="F14" s="31"/>
      <c r="G14" s="96"/>
      <c r="H14" s="100" t="s">
        <v>59</v>
      </c>
      <c r="I14" s="55"/>
      <c r="J14" s="107" t="s">
        <v>60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01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02"/>
      <c r="BJ14" s="29"/>
      <c r="BK14" s="29"/>
      <c r="BL14" s="29"/>
      <c r="BM14" s="29"/>
    </row>
    <row r="15" spans="2:65" ht="20.100000000000001" customHeight="1" x14ac:dyDescent="0.45">
      <c r="B15" s="95"/>
      <c r="C15" s="31"/>
      <c r="D15" s="31"/>
      <c r="E15" s="31"/>
      <c r="F15" s="31"/>
      <c r="G15" s="96"/>
      <c r="H15" s="97"/>
      <c r="I15" s="31"/>
      <c r="J15" s="108"/>
      <c r="K15" s="109" t="s">
        <v>61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98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99"/>
      <c r="BJ15" s="29"/>
      <c r="BK15" s="29"/>
      <c r="BL15" s="29"/>
      <c r="BM15" s="29"/>
    </row>
    <row r="16" spans="2:65" ht="20.100000000000001" customHeight="1" x14ac:dyDescent="0.45">
      <c r="B16" s="95"/>
      <c r="C16" s="31"/>
      <c r="D16" s="31"/>
      <c r="E16" s="31"/>
      <c r="F16" s="31"/>
      <c r="G16" s="96"/>
      <c r="H16" s="97"/>
      <c r="I16" s="31"/>
      <c r="J16" s="97"/>
      <c r="K16" s="29"/>
      <c r="L16" s="110"/>
      <c r="M16" s="109" t="s">
        <v>62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98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99"/>
      <c r="BJ16" s="29"/>
      <c r="BK16" s="29"/>
      <c r="BL16" s="29"/>
      <c r="BM16" s="29"/>
    </row>
    <row r="17" spans="2:65" ht="20.100000000000001" customHeight="1" x14ac:dyDescent="0.45">
      <c r="B17" s="95"/>
      <c r="C17" s="31"/>
      <c r="D17" s="31"/>
      <c r="E17" s="31"/>
      <c r="F17" s="31"/>
      <c r="G17" s="96"/>
      <c r="H17" s="97"/>
      <c r="I17" s="31"/>
      <c r="J17" s="97"/>
      <c r="K17" s="29"/>
      <c r="L17" s="110" t="s">
        <v>63</v>
      </c>
      <c r="M17" s="109" t="s">
        <v>62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98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99"/>
      <c r="BJ17" s="29"/>
      <c r="BK17" s="29"/>
      <c r="BL17" s="29"/>
      <c r="BM17" s="29"/>
    </row>
    <row r="18" spans="2:65" ht="20.100000000000001" customHeight="1" x14ac:dyDescent="0.45">
      <c r="B18" s="95"/>
      <c r="C18" s="31"/>
      <c r="D18" s="31"/>
      <c r="E18" s="31"/>
      <c r="F18" s="31"/>
      <c r="G18" s="96"/>
      <c r="H18" s="97"/>
      <c r="I18" s="31"/>
      <c r="J18" s="97"/>
      <c r="K18" s="29"/>
      <c r="L18" s="110" t="s">
        <v>64</v>
      </c>
      <c r="M18" s="109" t="s">
        <v>62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98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99"/>
      <c r="BJ18" s="29"/>
      <c r="BK18" s="29"/>
      <c r="BL18" s="29"/>
      <c r="BM18" s="29"/>
    </row>
    <row r="19" spans="2:65" ht="20.100000000000001" customHeight="1" x14ac:dyDescent="0.45">
      <c r="B19" s="95"/>
      <c r="C19" s="31"/>
      <c r="D19" s="31"/>
      <c r="E19" s="31"/>
      <c r="F19" s="31"/>
      <c r="G19" s="96"/>
      <c r="H19" s="97"/>
      <c r="I19" s="31"/>
      <c r="J19" s="97" t="s">
        <v>65</v>
      </c>
      <c r="K19" s="110"/>
      <c r="L19" s="109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98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99"/>
      <c r="BJ19" s="29"/>
      <c r="BK19" s="29"/>
      <c r="BL19" s="29"/>
      <c r="BM19" s="29"/>
    </row>
    <row r="20" spans="2:65" ht="20.100000000000001" customHeight="1" x14ac:dyDescent="0.45">
      <c r="B20" s="95"/>
      <c r="C20" s="31"/>
      <c r="D20" s="31"/>
      <c r="E20" s="31"/>
      <c r="F20" s="31"/>
      <c r="G20" s="96"/>
      <c r="H20" s="97"/>
      <c r="I20" s="31"/>
      <c r="J20" s="97"/>
      <c r="K20" s="31" t="s">
        <v>66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98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99"/>
      <c r="BJ20" s="29"/>
      <c r="BK20" s="29"/>
      <c r="BL20" s="29"/>
      <c r="BM20" s="29"/>
    </row>
    <row r="21" spans="2:65" ht="20.100000000000001" customHeight="1" x14ac:dyDescent="0.45">
      <c r="B21" s="95"/>
      <c r="C21" s="31"/>
      <c r="D21" s="31"/>
      <c r="E21" s="31"/>
      <c r="F21" s="31"/>
      <c r="G21" s="96"/>
      <c r="H21" s="97"/>
      <c r="I21" s="31"/>
      <c r="J21" s="97"/>
      <c r="K21" s="29"/>
      <c r="L21" s="31"/>
      <c r="M21" s="31" t="s">
        <v>67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98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99"/>
    </row>
    <row r="22" spans="2:65" ht="20.100000000000001" customHeight="1" x14ac:dyDescent="0.45">
      <c r="B22" s="95"/>
      <c r="C22" s="31"/>
      <c r="D22" s="31"/>
      <c r="E22" s="31"/>
      <c r="F22" s="31"/>
      <c r="G22" s="96"/>
      <c r="H22" s="103"/>
      <c r="I22" s="104"/>
      <c r="J22" s="103"/>
      <c r="K22" s="104"/>
      <c r="L22" s="104" t="s">
        <v>63</v>
      </c>
      <c r="M22" s="104" t="s">
        <v>68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5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6"/>
    </row>
    <row r="23" spans="2:65" ht="20.100000000000001" customHeight="1" x14ac:dyDescent="0.45">
      <c r="B23" s="95"/>
      <c r="C23" s="31"/>
      <c r="D23" s="31"/>
      <c r="E23" s="31"/>
      <c r="F23" s="31"/>
      <c r="G23" s="96"/>
      <c r="H23" s="97" t="s">
        <v>69</v>
      </c>
      <c r="I23" s="31"/>
      <c r="J23" s="111"/>
      <c r="K23" s="109" t="s">
        <v>70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12" t="s">
        <v>71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99"/>
    </row>
    <row r="24" spans="2:65" ht="20.100000000000001" customHeight="1" x14ac:dyDescent="0.45">
      <c r="B24" s="95"/>
      <c r="C24" s="31"/>
      <c r="D24" s="31"/>
      <c r="E24" s="31"/>
      <c r="F24" s="31"/>
      <c r="G24" s="96"/>
      <c r="H24" s="97"/>
      <c r="I24" s="31"/>
      <c r="J24" s="111" t="s">
        <v>63</v>
      </c>
      <c r="K24" s="109" t="s">
        <v>72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98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99"/>
    </row>
    <row r="25" spans="2:65" ht="20.100000000000001" customHeight="1" x14ac:dyDescent="0.45">
      <c r="B25" s="95"/>
      <c r="C25" s="31"/>
      <c r="D25" s="31"/>
      <c r="E25" s="31"/>
      <c r="F25" s="31"/>
      <c r="G25" s="96"/>
      <c r="H25" s="97"/>
      <c r="I25" s="31"/>
      <c r="J25" s="111" t="s">
        <v>64</v>
      </c>
      <c r="K25" s="109" t="s">
        <v>72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98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99"/>
    </row>
    <row r="26" spans="2:65" ht="20.100000000000001" customHeight="1" x14ac:dyDescent="0.45">
      <c r="B26" s="95"/>
      <c r="C26" s="31"/>
      <c r="D26" s="31"/>
      <c r="E26" s="31"/>
      <c r="F26" s="31"/>
      <c r="G26" s="96"/>
      <c r="H26" s="97"/>
      <c r="I26" s="31"/>
      <c r="J26" s="111" t="s">
        <v>73</v>
      </c>
      <c r="K26" s="109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98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99"/>
    </row>
    <row r="27" spans="2:65" ht="20.100000000000001" customHeight="1" x14ac:dyDescent="0.45">
      <c r="B27" s="95"/>
      <c r="C27" s="31"/>
      <c r="D27" s="31"/>
      <c r="E27" s="31"/>
      <c r="F27" s="31"/>
      <c r="G27" s="96"/>
      <c r="H27" s="97"/>
      <c r="I27" s="31"/>
      <c r="J27" s="97"/>
      <c r="K27" s="31" t="s">
        <v>74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13" t="s">
        <v>75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99"/>
    </row>
    <row r="28" spans="2:65" ht="20.100000000000001" customHeight="1" x14ac:dyDescent="0.45">
      <c r="B28" s="95"/>
      <c r="C28" s="31"/>
      <c r="D28" s="31"/>
      <c r="E28" s="31"/>
      <c r="F28" s="31"/>
      <c r="G28" s="96"/>
      <c r="H28" s="97"/>
      <c r="I28" s="31"/>
      <c r="J28" s="97" t="s">
        <v>63</v>
      </c>
      <c r="K28" s="31" t="s">
        <v>76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97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99"/>
    </row>
    <row r="29" spans="2:65" ht="20.100000000000001" customHeight="1" x14ac:dyDescent="0.45">
      <c r="B29" s="95"/>
      <c r="C29" s="31"/>
      <c r="D29" s="31"/>
      <c r="E29" s="31"/>
      <c r="F29" s="31"/>
      <c r="G29" s="96"/>
      <c r="H29" s="97"/>
      <c r="I29" s="31"/>
      <c r="J29" s="11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97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99"/>
    </row>
    <row r="30" spans="2:65" ht="20.100000000000001" customHeight="1" x14ac:dyDescent="0.45">
      <c r="B30" s="95"/>
      <c r="C30" s="31"/>
      <c r="D30" s="31"/>
      <c r="E30" s="31"/>
      <c r="F30" s="31"/>
      <c r="G30" s="96"/>
      <c r="H30" s="97"/>
      <c r="I30" s="31"/>
      <c r="J30" s="97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97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99"/>
    </row>
    <row r="31" spans="2:65" ht="20.100000000000001" customHeight="1" x14ac:dyDescent="0.45">
      <c r="B31" s="95"/>
      <c r="C31" s="31"/>
      <c r="D31" s="31"/>
      <c r="E31" s="31"/>
      <c r="F31" s="31"/>
      <c r="G31" s="96"/>
      <c r="H31" s="103"/>
      <c r="I31" s="104"/>
      <c r="J31" s="103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3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6"/>
    </row>
    <row r="32" spans="2:65" ht="20.100000000000001" customHeight="1" x14ac:dyDescent="0.45">
      <c r="B32" s="95"/>
      <c r="C32" s="31"/>
      <c r="D32" s="31"/>
      <c r="E32" s="31"/>
      <c r="F32" s="31"/>
      <c r="G32" s="96"/>
      <c r="H32" s="97" t="s">
        <v>77</v>
      </c>
      <c r="I32" s="31"/>
      <c r="J32" s="111" t="s">
        <v>78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97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99"/>
    </row>
    <row r="33" spans="2:61" ht="20.100000000000001" customHeight="1" x14ac:dyDescent="0.45">
      <c r="B33" s="95"/>
      <c r="C33" s="31"/>
      <c r="D33" s="31"/>
      <c r="E33" s="31"/>
      <c r="F33" s="31"/>
      <c r="G33" s="96"/>
      <c r="H33" s="97"/>
      <c r="I33" s="31"/>
      <c r="J33" s="111" t="s">
        <v>79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97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99"/>
    </row>
    <row r="34" spans="2:61" ht="20.100000000000001" customHeight="1" thickBot="1" x14ac:dyDescent="0.5">
      <c r="B34" s="114"/>
      <c r="C34" s="115"/>
      <c r="D34" s="115"/>
      <c r="E34" s="115"/>
      <c r="F34" s="115"/>
      <c r="G34" s="116"/>
      <c r="H34" s="117"/>
      <c r="I34" s="115"/>
      <c r="J34" s="117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7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8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19" t="s">
        <v>80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0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参照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2025-05-24T05:31:31Z</dcterms:modified>
</cp:coreProperties>
</file>