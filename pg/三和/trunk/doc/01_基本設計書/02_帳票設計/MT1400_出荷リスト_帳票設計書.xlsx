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7288" windowHeight="10368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テンプレート" sheetId="24" r:id="rId8"/>
    <sheet name="別紙_出荷リスト案" sheetId="22" r:id="rId9"/>
    <sheet name="別紙_印刷レイアウト" sheetId="25" r:id="rId10"/>
    <sheet name="参照" sheetId="12" state="hidden" r:id="rId11"/>
  </sheets>
  <definedNames>
    <definedName name="CoreCells">#REF!</definedName>
    <definedName name="_xlnm.Print_Area" localSheetId="1">概要!$A$1:$BN$31</definedName>
    <definedName name="_xlnm.Print_Area" localSheetId="3">項目一覧!$A$1:$BX$57</definedName>
    <definedName name="_xlnm.Print_Area" localSheetId="4">処理詳細!$A$1:$BR$115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7">別紙_テンプレート!$A$1:$O$11</definedName>
    <definedName name="_xlnm.Print_Area" localSheetId="8">別紙_出荷リスト案!$A$1:$O$11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別紙_テンプレート!$B:$O,別紙_テンプレート!$1:$7</definedName>
    <definedName name="_xlnm.Print_Titles" localSheetId="8">別紙_出荷リスト案!$B:$O,別紙_出荷リスト案!$1:$7</definedName>
    <definedName name="_xlnm.Print_Titles" localSheetId="0">変更履歴!$1:$5</definedName>
    <definedName name="見積番号">#REF!</definedName>
    <definedName name="見積名称">#REF!</definedName>
    <definedName name="現場名">#REF!</definedName>
    <definedName name="受注先TEL">#REF!</definedName>
    <definedName name="受注先zip">#REF!</definedName>
    <definedName name="受注先住所1">#REF!</definedName>
    <definedName name="受注先住所2">#REF!</definedName>
    <definedName name="店番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comments1.xml><?xml version="1.0" encoding="utf-8"?>
<comments xmlns="http://schemas.openxmlformats.org/spreadsheetml/2006/main">
  <authors>
    <author>中澤 理恵</author>
    <author>時田 洋子</author>
  </authors>
  <commentList>
    <comment ref="E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納期を引用
曜日も自動で
回答：納期Sを取得</t>
        </r>
      </text>
    </comment>
    <comment ref="O3" authorId="1" shapeId="0">
      <text>
        <r>
          <rPr>
            <b/>
            <sz val="9"/>
            <color indexed="81"/>
            <rFont val="MS P ゴシック"/>
            <family val="3"/>
            <charset val="128"/>
          </rPr>
          <t>自動
回答：自動でユーザ名が入る</t>
        </r>
      </text>
    </comment>
    <comment ref="E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文字を折り返して表示</t>
        </r>
      </text>
    </comment>
    <comment ref="N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入庫日を引用
回答；現行と同じ取得元でよい</t>
        </r>
      </text>
    </comment>
    <comment ref="E10" authorId="1" shapeId="0">
      <text>
        <r>
          <rPr>
            <b/>
            <sz val="9"/>
            <color indexed="81"/>
            <rFont val="MS P ゴシック"/>
            <family val="3"/>
            <charset val="128"/>
          </rPr>
          <t>送料は表示しない
回答：送料も表示してよい</t>
        </r>
      </text>
    </comment>
  </commentList>
</comments>
</file>

<file path=xl/sharedStrings.xml><?xml version="1.0" encoding="utf-8"?>
<sst xmlns="http://schemas.openxmlformats.org/spreadsheetml/2006/main" count="639" uniqueCount="374">
  <si>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</si>
  <si>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</si>
  <si>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</si>
  <si>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</si>
  <si>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</si>
  <si>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</si>
  <si>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</si>
  <si>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</si>
  <si>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</si>
  <si>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</si>
  <si>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</si>
  <si>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</si>
  <si>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</si>
  <si>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</si>
  <si>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</si>
  <si>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</si>
  <si>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</si>
  <si>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</si>
  <si>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</si>
  <si>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</si>
  <si>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</si>
  <si>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</si>
  <si>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</si>
  <si>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</si>
  <si>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</si>
  <si>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</si>
  <si>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</si>
  <si>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</si>
  <si>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</si>
  <si>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</si>
  <si>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</si>
  <si>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</si>
  <si>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</si>
  <si>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</si>
  <si>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</si>
  <si>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</si>
  <si>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</si>
  <si>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</si>
  <si>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</si>
  <si>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</si>
  <si>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</si>
  <si>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</si>
  <si>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</si>
  <si>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</si>
  <si>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</si>
  <si>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</si>
  <si>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</si>
  <si>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</si>
  <si>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</si>
  <si>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</si>
  <si>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</si>
  <si>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</si>
  <si>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</si>
  <si>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</si>
  <si>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</si>
  <si>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</si>
  <si>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</si>
  <si>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</si>
  <si>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</si>
  <si>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</si>
  <si>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</si>
  <si>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</si>
  <si>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</si>
  <si>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</si>
  <si>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</si>
  <si>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</si>
  <si>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</si>
  <si>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</si>
  <si>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</si>
  <si>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</si>
  <si>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</si>
  <si>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</si>
  <si>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</si>
  <si>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</si>
  <si>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</si>
  <si>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</si>
  <si>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</si>
  <si>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</si>
  <si>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</si>
  <si>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</si>
  <si>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</si>
  <si>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</si>
  <si>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</si>
  <si>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</si>
  <si>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</si>
  <si>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</si>
  <si>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</si>
  <si>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</si>
  <si>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</si>
  <si>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Temp出荷リスト_梱包出荷用.xlsx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</si>
  <si>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</si>
  <si>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</si>
  <si>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</si>
  <si>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</si>
  <si>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</si>
  <si>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店番</t>
    <rPh sb="0" eb="2">
      <t>テンバン</t>
    </rPh>
    <phoneticPr fontId="12"/>
  </si>
  <si>
    <t>担当</t>
    <rPh sb="0" eb="2">
      <t>タントウ</t>
    </rPh>
    <phoneticPr fontId="12"/>
  </si>
  <si>
    <t>見積№</t>
  </si>
  <si>
    <t>住所</t>
    <rPh sb="0" eb="2">
      <t>ジュウショ</t>
    </rPh>
    <phoneticPr fontId="12"/>
  </si>
  <si>
    <t>見積名称</t>
  </si>
  <si>
    <t>項目</t>
    <rPh sb="0" eb="2">
      <t>コウモク</t>
    </rPh>
    <phoneticPr fontId="12"/>
  </si>
  <si>
    <t>棚番</t>
    <rPh sb="0" eb="2">
      <t>タナバン</t>
    </rPh>
    <phoneticPr fontId="12"/>
  </si>
  <si>
    <t>製品№</t>
  </si>
  <si>
    <t>仕様№</t>
  </si>
  <si>
    <t>名称</t>
  </si>
  <si>
    <t>Ｗ</t>
  </si>
  <si>
    <t>Ｄ</t>
  </si>
  <si>
    <t>発注量</t>
    <rPh sb="0" eb="3">
      <t>ハッチュウリョウ</t>
    </rPh>
    <phoneticPr fontId="12"/>
  </si>
  <si>
    <t>備考</t>
    <rPh sb="0" eb="2">
      <t>ビコウ</t>
    </rPh>
    <phoneticPr fontId="12"/>
  </si>
  <si>
    <t>入庫日</t>
    <rPh sb="0" eb="1">
      <t>ニュウ</t>
    </rPh>
    <rPh sb="1" eb="2">
      <t>クラ</t>
    </rPh>
    <rPh sb="2" eb="3">
      <t>ビ</t>
    </rPh>
    <phoneticPr fontId="12"/>
  </si>
  <si>
    <t>見積№</t>
    <phoneticPr fontId="1"/>
  </si>
  <si>
    <t>見積名称</t>
    <phoneticPr fontId="1"/>
  </si>
  <si>
    <t>現場名</t>
    <phoneticPr fontId="1"/>
  </si>
  <si>
    <t>店番</t>
    <phoneticPr fontId="1"/>
  </si>
  <si>
    <t>郵便番号</t>
    <rPh sb="0" eb="4">
      <t>ユウビンバンゴウ</t>
    </rPh>
    <phoneticPr fontId="1"/>
  </si>
  <si>
    <t>TEL</t>
    <phoneticPr fontId="1"/>
  </si>
  <si>
    <t>担当</t>
    <rPh sb="0" eb="2">
      <t>タントウ</t>
    </rPh>
    <phoneticPr fontId="1"/>
  </si>
  <si>
    <t>棚番</t>
    <rPh sb="0" eb="2">
      <t>タナバン</t>
    </rPh>
    <phoneticPr fontId="1"/>
  </si>
  <si>
    <t>製品№</t>
    <phoneticPr fontId="1"/>
  </si>
  <si>
    <t>仕様№</t>
    <phoneticPr fontId="1"/>
  </si>
  <si>
    <t>名称</t>
    <phoneticPr fontId="1"/>
  </si>
  <si>
    <t>W</t>
    <phoneticPr fontId="1"/>
  </si>
  <si>
    <t>D</t>
    <phoneticPr fontId="1"/>
  </si>
  <si>
    <t>H</t>
    <phoneticPr fontId="1"/>
  </si>
  <si>
    <t>発注数</t>
    <rPh sb="0" eb="2">
      <t>ハッチュウ</t>
    </rPh>
    <rPh sb="2" eb="3">
      <t>スウ</t>
    </rPh>
    <phoneticPr fontId="1"/>
  </si>
  <si>
    <t>単位名</t>
    <rPh sb="0" eb="3">
      <t>タンイメイ</t>
    </rPh>
    <phoneticPr fontId="1"/>
  </si>
  <si>
    <t>仕入先</t>
    <rPh sb="0" eb="2">
      <t>シイ</t>
    </rPh>
    <rPh sb="2" eb="3">
      <t>サキ</t>
    </rPh>
    <phoneticPr fontId="1"/>
  </si>
  <si>
    <t>入庫日</t>
    <rPh sb="0" eb="3">
      <t>ニュウコビ</t>
    </rPh>
    <phoneticPr fontId="1"/>
  </si>
  <si>
    <t>チェック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</si>
  <si>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</si>
  <si>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</si>
  <si>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</si>
  <si>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SQL1.見積番号</t>
    <phoneticPr fontId="1"/>
  </si>
  <si>
    <t>SQL1.見積件名</t>
    <phoneticPr fontId="1"/>
  </si>
  <si>
    <t>SQL1.現場名</t>
    <phoneticPr fontId="1"/>
  </si>
  <si>
    <t>SQL1.納入先CD</t>
    <phoneticPr fontId="1"/>
  </si>
  <si>
    <t>"〒" + [SQL1.郵便番号]</t>
    <phoneticPr fontId="1"/>
  </si>
  <si>
    <t>SQL1.郵便番号</t>
    <phoneticPr fontId="1"/>
  </si>
  <si>
    <t>"TEL:" + [SQL1.納TEL]</t>
    <phoneticPr fontId="1"/>
  </si>
  <si>
    <t>SQL1.納TEL</t>
    <phoneticPr fontId="1"/>
  </si>
  <si>
    <t>[SQL1.見積区分]が"C"、"A"、"S"以外の場合[SQL1.行番号]を表示</t>
    <phoneticPr fontId="1"/>
  </si>
  <si>
    <t>SQL1.見積区分,SQL1.行番号</t>
    <phoneticPr fontId="1"/>
  </si>
  <si>
    <t>SQL1.棚番名</t>
    <phoneticPr fontId="1"/>
  </si>
  <si>
    <t>SQL1.製品NO</t>
    <phoneticPr fontId="1"/>
  </si>
  <si>
    <t>SQL1.仕様NO</t>
    <phoneticPr fontId="1"/>
  </si>
  <si>
    <t>SQL1.漢字名称,SQL1.見積区分</t>
    <phoneticPr fontId="1"/>
  </si>
  <si>
    <t>[SQL1.見積区分]が"C"、"A"、"S"の場合[半角ブランク2つ]　＋　[SQL1.漢字名称]を表示
上記以外の場合は[SQL1.漢字名称]を表示</t>
    <rPh sb="27" eb="29">
      <t>ハンカク</t>
    </rPh>
    <rPh sb="54" eb="58">
      <t>ジョウキイガイ</t>
    </rPh>
    <rPh sb="59" eb="61">
      <t>バアイ</t>
    </rPh>
    <rPh sb="74" eb="76">
      <t>ヒョウジ</t>
    </rPh>
    <phoneticPr fontId="1"/>
  </si>
  <si>
    <t>[SQL1.D]が0でない場合は[SQL1.D]を表示
[SQL1.D]が0の場合、
[SQL1.D1],[SQL1.D2]どちらも0の場合は””を表示
[SQL1.D1],[SQL1.D2]どちらかが0でない場合は[SQL1.D1]&amp;”/”&amp;[SQL1.D2]を表示</t>
    <phoneticPr fontId="1"/>
  </si>
  <si>
    <t>SQL1.W</t>
    <phoneticPr fontId="1"/>
  </si>
  <si>
    <t>SQL1.D,SQL1.D1,SQL1.D2</t>
    <phoneticPr fontId="1"/>
  </si>
  <si>
    <t>[SQL1.H]が0でない場合は[SQL1.H]を表示
[SQL1.H]が0の場合、
[SQL1.H1],[SQL1.H2]どちらも0の場合は””を表示
[SQL1.H1],[SQL1.H2]どちらかが0でない場合は[SQL1.H1]&amp;”/”&amp;[SQL1.H2]を表示</t>
    <phoneticPr fontId="1"/>
  </si>
  <si>
    <t>SQL1.H,SQL1.H1,SQL1.H2</t>
    <phoneticPr fontId="1"/>
  </si>
  <si>
    <t>SQL1.発注数</t>
    <phoneticPr fontId="1"/>
  </si>
  <si>
    <t>SQL1.単位名</t>
    <phoneticPr fontId="1"/>
  </si>
  <si>
    <t>SQL1.明細備考</t>
    <phoneticPr fontId="1"/>
  </si>
  <si>
    <t>SQL1.入庫日</t>
    <phoneticPr fontId="1"/>
  </si>
  <si>
    <t>"yy/mm/dd"</t>
    <phoneticPr fontId="1"/>
  </si>
  <si>
    <t>SQL1.仕入先CD,SQL1.配送先CD,SQL1.仕入先名,SQL1.配送先名</t>
    <phoneticPr fontId="1"/>
  </si>
  <si>
    <t>[SQL1.仕入先CD]="3150"かつ[SQL1.配送先CD]="02"の場合は[SQL1.仕入先名] + "-" + [SQL1.配送先名]を表示
上記以外の場合は[SQL1.仕入先名]を表示</t>
    <rPh sb="74" eb="76">
      <t>ヒョウジ</t>
    </rPh>
    <phoneticPr fontId="1"/>
  </si>
  <si>
    <t>項目一覧</t>
    <rPh sb="0" eb="4">
      <t>コウモクイチラン</t>
    </rPh>
    <phoneticPr fontId="2"/>
  </si>
  <si>
    <t>出荷リスト
（梱包発送）</t>
    <rPh sb="0" eb="2">
      <t>シュッカ</t>
    </rPh>
    <rPh sb="7" eb="9">
      <t>コンポウ</t>
    </rPh>
    <rPh sb="9" eb="11">
      <t>ハッソウ</t>
    </rPh>
    <phoneticPr fontId="12"/>
  </si>
  <si>
    <t>納品日</t>
    <rPh sb="0" eb="3">
      <t>ノウヒンビ</t>
    </rPh>
    <phoneticPr fontId="20"/>
  </si>
  <si>
    <t>7/20（土）</t>
    <rPh sb="4" eb="7">
      <t>ド</t>
    </rPh>
    <phoneticPr fontId="20"/>
  </si>
  <si>
    <t>店着</t>
    <rPh sb="0" eb="2">
      <t>テンチャク</t>
    </rPh>
    <phoneticPr fontId="20"/>
  </si>
  <si>
    <t>送り先</t>
    <rPh sb="0" eb="1">
      <t>オク</t>
    </rPh>
    <rPh sb="2" eb="3">
      <t>サキ</t>
    </rPh>
    <phoneticPr fontId="12"/>
  </si>
  <si>
    <t>　ﾍﾞﾙｸ広瀬店</t>
    <phoneticPr fontId="20"/>
  </si>
  <si>
    <t>0007</t>
  </si>
  <si>
    <t>〒</t>
    <phoneticPr fontId="12"/>
  </si>
  <si>
    <t>360-0833</t>
    <phoneticPr fontId="20"/>
  </si>
  <si>
    <t>TEL:　　048-526-6800</t>
    <phoneticPr fontId="12"/>
  </si>
  <si>
    <t>時田よ</t>
    <rPh sb="0" eb="2">
      <t>トキタ</t>
    </rPh>
    <phoneticPr fontId="20"/>
  </si>
  <si>
    <t>ﾍﾞﾙｸ広瀬店　自転車空気入れ　65628</t>
  </si>
  <si>
    <t>　埼玉県熊谷市大字広瀬131</t>
    <phoneticPr fontId="12"/>
  </si>
  <si>
    <t/>
  </si>
  <si>
    <t>Ｈ</t>
    <phoneticPr fontId="12"/>
  </si>
  <si>
    <t>仕入先</t>
    <phoneticPr fontId="12"/>
  </si>
  <si>
    <t>ﾁｪｯｸ</t>
    <phoneticPr fontId="12"/>
  </si>
  <si>
    <t>HH-01-01-01-00</t>
  </si>
  <si>
    <t>0000116</t>
  </si>
  <si>
    <t xml:space="preserve">       </t>
  </si>
  <si>
    <t>自転車空気入れ　ステンワイヤー1ｍ</t>
  </si>
  <si>
    <t>台</t>
  </si>
  <si>
    <t>三和倉庫</t>
  </si>
  <si>
    <t>HH-01-01-02-00</t>
  </si>
  <si>
    <t>0000601</t>
  </si>
  <si>
    <t>ﾁｪｰﾝ･ﾆｯｻIW48 30m(空気入れ用)</t>
  </si>
  <si>
    <t>ｍ</t>
  </si>
  <si>
    <t>Z012015</t>
  </si>
  <si>
    <t>運搬費</t>
  </si>
  <si>
    <t>式</t>
  </si>
  <si>
    <t>三和商研</t>
  </si>
  <si>
    <t xml:space="preserve">  店長様あて</t>
  </si>
  <si>
    <t>納品日</t>
    <rPh sb="0" eb="3">
      <t>ノウヒンビ</t>
    </rPh>
    <phoneticPr fontId="1"/>
  </si>
  <si>
    <t>全角</t>
    <rPh sb="0" eb="2">
      <t>ゼンカク</t>
    </rPh>
    <phoneticPr fontId="1"/>
  </si>
  <si>
    <t>m/d（aaa）</t>
    <phoneticPr fontId="2"/>
  </si>
  <si>
    <t>帳票レイアウト</t>
    <rPh sb="0" eb="2">
      <t>チョウヒョウ</t>
    </rPh>
    <phoneticPr fontId="2"/>
  </si>
  <si>
    <t>SQL1</t>
    <phoneticPr fontId="2"/>
  </si>
  <si>
    <t>SQL2</t>
    <phoneticPr fontId="2"/>
  </si>
  <si>
    <t>SQL3</t>
    <phoneticPr fontId="2"/>
  </si>
  <si>
    <t>TB.棚番名</t>
  </si>
  <si>
    <t>MH.見積番号</t>
  </si>
  <si>
    <t>H.得意先名1</t>
  </si>
  <si>
    <t>MH.得意先名2</t>
  </si>
  <si>
    <t>MH.現場名</t>
  </si>
  <si>
    <t>MT.担当者名</t>
  </si>
  <si>
    <t>MH.納入先CD</t>
  </si>
  <si>
    <t>MH.販売先納得意先CD</t>
  </si>
  <si>
    <t>MH.販売先納入先CD</t>
  </si>
  <si>
    <t>MH.納入先名1</t>
  </si>
  <si>
    <t>MH.納入先名2</t>
  </si>
  <si>
    <t>MH.郵便番号</t>
  </si>
  <si>
    <t>MH.住所1</t>
  </si>
  <si>
    <t>MH.住所2</t>
  </si>
  <si>
    <t>MH.納TEL</t>
  </si>
  <si>
    <t>MH.納FAX</t>
  </si>
  <si>
    <t>MSM.行番号</t>
  </si>
  <si>
    <t>MSM.SP区分</t>
  </si>
  <si>
    <t>MSM.PC区分</t>
  </si>
  <si>
    <t>MSM.製品NO</t>
  </si>
  <si>
    <t>MSM.仕様NO</t>
  </si>
  <si>
    <t>MSM.漢字名称</t>
  </si>
  <si>
    <t>MSM.W</t>
  </si>
  <si>
    <t>MSM.D</t>
  </si>
  <si>
    <t>MSM.H</t>
  </si>
  <si>
    <t>MSM.D1</t>
  </si>
  <si>
    <t>MSM.D2</t>
  </si>
  <si>
    <t>MSM.H1</t>
  </si>
  <si>
    <t>MSM.H2</t>
  </si>
  <si>
    <t>MSM.総数量</t>
  </si>
  <si>
    <t>MSM.社内在庫数</t>
  </si>
  <si>
    <t>MSM.客先在庫数</t>
  </si>
  <si>
    <t>MSM.転用数</t>
  </si>
  <si>
    <t>MSM.発注調整数</t>
  </si>
  <si>
    <t>MSM.発注数</t>
  </si>
  <si>
    <t>製品区分</t>
  </si>
  <si>
    <t>MSM.単位名</t>
  </si>
  <si>
    <t>MSM.仕入先CD</t>
  </si>
  <si>
    <t>MSM.仕入先名</t>
  </si>
  <si>
    <t>MSM.配送先CD</t>
  </si>
  <si>
    <t>MSM.配送先名</t>
  </si>
  <si>
    <t>MSM.明細備考</t>
  </si>
  <si>
    <t>MSM.入庫日</t>
  </si>
  <si>
    <t>MSM.出庫日</t>
  </si>
  <si>
    <t>SE.入出庫用CD</t>
  </si>
  <si>
    <t>MSM.見積区分</t>
  </si>
  <si>
    <t>COUNT(MSM.見積明細連番) OVER (PARTITION BY MSM.見積番号)</t>
    <phoneticPr fontId="2"/>
  </si>
  <si>
    <t>棚番名</t>
  </si>
  <si>
    <t>見積番号</t>
  </si>
  <si>
    <t>見積件名</t>
  </si>
  <si>
    <t>得意先名1</t>
  </si>
  <si>
    <t>得意先名2</t>
  </si>
  <si>
    <t>現場名</t>
  </si>
  <si>
    <t>担当者名</t>
  </si>
  <si>
    <t>納入先CD</t>
  </si>
  <si>
    <t>販売先納得意先CD</t>
  </si>
  <si>
    <t>販売先納入先CD</t>
  </si>
  <si>
    <t>納入先名1</t>
  </si>
  <si>
    <t>納入先名2</t>
  </si>
  <si>
    <t>郵便番号</t>
  </si>
  <si>
    <t>住所1</t>
  </si>
  <si>
    <t>住所2</t>
  </si>
  <si>
    <t>納TEL</t>
  </si>
  <si>
    <t>納FAX</t>
  </si>
  <si>
    <t>行番号</t>
  </si>
  <si>
    <t>SP区分</t>
  </si>
  <si>
    <t>PC区分</t>
  </si>
  <si>
    <t>製品NO</t>
  </si>
  <si>
    <t>仕様NO</t>
  </si>
  <si>
    <t>漢字名称</t>
  </si>
  <si>
    <t>W</t>
  </si>
  <si>
    <t>D</t>
  </si>
  <si>
    <t>H</t>
  </si>
  <si>
    <t>D1</t>
  </si>
  <si>
    <t>D2</t>
  </si>
  <si>
    <t>H1</t>
  </si>
  <si>
    <t>H2</t>
  </si>
  <si>
    <t>総数量</t>
  </si>
  <si>
    <t>社内在庫数</t>
  </si>
  <si>
    <t>客先在庫数</t>
  </si>
  <si>
    <t>転用数</t>
  </si>
  <si>
    <t>発注調整数</t>
  </si>
  <si>
    <t>発注数</t>
  </si>
  <si>
    <t>単位名</t>
  </si>
  <si>
    <t>仕入先CD</t>
  </si>
  <si>
    <t>仕入先名</t>
  </si>
  <si>
    <t>配送先CD</t>
  </si>
  <si>
    <t>配送先名</t>
  </si>
  <si>
    <t>明細備考</t>
  </si>
  <si>
    <t>入庫日</t>
  </si>
  <si>
    <t>出庫日</t>
  </si>
  <si>
    <t>入出庫用CD</t>
  </si>
  <si>
    <t>Count</t>
  </si>
  <si>
    <t>見積区分</t>
  </si>
  <si>
    <t>TD見積 AS MH</t>
    <phoneticPr fontId="2"/>
  </si>
  <si>
    <t>VD見積シートM AS MSM</t>
    <phoneticPr fontId="2"/>
  </si>
  <si>
    <t>TM担当者 AS MT</t>
    <phoneticPr fontId="2"/>
  </si>
  <si>
    <t>TM製品 AS SE(NOLOCK)</t>
    <phoneticPr fontId="2"/>
  </si>
  <si>
    <t>SQL4</t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</si>
  <si>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</si>
  <si>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</si>
  <si>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行NO</t>
    <rPh sb="0" eb="1">
      <t>ギョウ</t>
    </rPh>
    <phoneticPr fontId="2"/>
  </si>
  <si>
    <t>棚番名</t>
    <rPh sb="0" eb="2">
      <t>タナバン</t>
    </rPh>
    <rPh sb="2" eb="3">
      <t>メイ</t>
    </rPh>
    <phoneticPr fontId="2"/>
  </si>
  <si>
    <t>TM棚番</t>
    <rPh sb="2" eb="4">
      <t>タナバン</t>
    </rPh>
    <phoneticPr fontId="2"/>
  </si>
  <si>
    <t>行NO = 1</t>
    <rPh sb="0" eb="1">
      <t>ギョウ</t>
    </rPh>
    <phoneticPr fontId="2"/>
  </si>
  <si>
    <t>SQL4 AS TB</t>
    <phoneticPr fontId="2"/>
  </si>
  <si>
    <t>INNER JOIN</t>
    <phoneticPr fontId="2"/>
  </si>
  <si>
    <t>VD見積シートM</t>
    <phoneticPr fontId="2"/>
  </si>
  <si>
    <t>MH.見積番号 = MSM.見積番号</t>
    <phoneticPr fontId="2"/>
  </si>
  <si>
    <t>TM担当者</t>
    <phoneticPr fontId="2"/>
  </si>
  <si>
    <t xml:space="preserve">MH.担当者CD = MT.担当者CD </t>
    <phoneticPr fontId="2"/>
  </si>
  <si>
    <t>LEFT JOIN</t>
    <phoneticPr fontId="2"/>
  </si>
  <si>
    <t>TM製品</t>
    <phoneticPr fontId="2"/>
  </si>
  <si>
    <t>MSM.製品NO = SE.製品NO</t>
    <phoneticPr fontId="2"/>
  </si>
  <si>
    <t>MSM.製品NO = TB.製品NO</t>
    <phoneticPr fontId="2"/>
  </si>
  <si>
    <t>MSM.仕様NO = SE.仕様NO</t>
    <phoneticPr fontId="2"/>
  </si>
  <si>
    <t>AND</t>
    <phoneticPr fontId="2"/>
  </si>
  <si>
    <t>MH.見積番号 = [画面.見積番号]</t>
    <rPh sb="11" eb="13">
      <t>ガメン</t>
    </rPh>
    <rPh sb="14" eb="16">
      <t>ミツモリ</t>
    </rPh>
    <rPh sb="16" eb="18">
      <t>バンゴウ</t>
    </rPh>
    <phoneticPr fontId="2"/>
  </si>
  <si>
    <t>(</t>
    <phoneticPr fontId="2"/>
  </si>
  <si>
    <t>MSM.仕入先CD IN ('3150','9999')</t>
    <phoneticPr fontId="2"/>
  </si>
  <si>
    <t>OR</t>
    <phoneticPr fontId="2"/>
  </si>
  <si>
    <t>MSM.配送先CD IN ('02','03')</t>
    <phoneticPr fontId="2"/>
  </si>
  <si>
    <t>)</t>
    <phoneticPr fontId="2"/>
  </si>
  <si>
    <t>MSM.見積区分 IN ('', '1', '2', '3', '4', '5', '6', '7', '8', '9')</t>
    <phoneticPr fontId="2"/>
  </si>
  <si>
    <t>AND NOT (</t>
    <phoneticPr fontId="2"/>
  </si>
  <si>
    <t>MSM.総数量 = 0</t>
    <phoneticPr fontId="2"/>
  </si>
  <si>
    <t xml:space="preserve">MSM.社内在庫数 = 0 </t>
    <phoneticPr fontId="2"/>
  </si>
  <si>
    <t>MSM.客先在庫数 = 0</t>
    <phoneticPr fontId="2"/>
  </si>
  <si>
    <t>MSM.転用数 = 0</t>
    <phoneticPr fontId="2"/>
  </si>
  <si>
    <t>)</t>
    <phoneticPr fontId="2"/>
  </si>
  <si>
    <t>OR</t>
    <phoneticPr fontId="2"/>
  </si>
  <si>
    <t>(</t>
    <phoneticPr fontId="2"/>
  </si>
  <si>
    <t>MSM.見積区分 IN ('A')</t>
    <phoneticPr fontId="2"/>
  </si>
  <si>
    <t xml:space="preserve">AND NOT </t>
    <phoneticPr fontId="2"/>
  </si>
  <si>
    <t>SQL2 = 0</t>
    <phoneticPr fontId="2"/>
  </si>
  <si>
    <t>MSM.見積区分 IN ('C', 'S')</t>
    <phoneticPr fontId="2"/>
  </si>
  <si>
    <t>SQL3 = 0</t>
    <phoneticPr fontId="2"/>
  </si>
  <si>
    <t>order by</t>
    <phoneticPr fontId="2"/>
  </si>
  <si>
    <t>MH.見積番号, MSM.行番号</t>
    <phoneticPr fontId="2"/>
  </si>
  <si>
    <t>TOP 1 MSM1.発注数</t>
    <phoneticPr fontId="2"/>
  </si>
  <si>
    <t>発注数</t>
    <phoneticPr fontId="2"/>
  </si>
  <si>
    <t>TD見積シートM AS MSM1</t>
    <phoneticPr fontId="2"/>
  </si>
  <si>
    <t>MSM1.見積番号 = MSM.見積番号</t>
    <phoneticPr fontId="2"/>
  </si>
  <si>
    <t>MSM1.見積区分 IN ('', '1', '2', '3', '4', '5', '6', '7', '8', '9')</t>
    <phoneticPr fontId="2"/>
  </si>
  <si>
    <t>MSM1.行番号 &gt;= MSM.行番号</t>
    <phoneticPr fontId="2"/>
  </si>
  <si>
    <t>AND</t>
    <phoneticPr fontId="2"/>
  </si>
  <si>
    <t>order by</t>
    <phoneticPr fontId="2"/>
  </si>
  <si>
    <t>MSM1.行番号 ASC</t>
    <phoneticPr fontId="2"/>
  </si>
  <si>
    <t>MSM1.行番号 &lt;= MSM.行番号</t>
    <phoneticPr fontId="2"/>
  </si>
  <si>
    <t>MSM1.行番号 DESC</t>
    <phoneticPr fontId="2"/>
  </si>
  <si>
    <t>MH.見積件名</t>
    <phoneticPr fontId="2"/>
  </si>
  <si>
    <t>別紙_出荷リスト案</t>
    <phoneticPr fontId="2"/>
  </si>
  <si>
    <t>コメント内容の確認</t>
    <rPh sb="4" eb="6">
      <t>ナイヨウ</t>
    </rPh>
    <rPh sb="7" eb="9">
      <t>カクニン</t>
    </rPh>
    <phoneticPr fontId="2"/>
  </si>
  <si>
    <t>空</t>
    <rPh sb="0" eb="1">
      <t>カラ</t>
    </rPh>
    <phoneticPr fontId="1"/>
  </si>
  <si>
    <t>新レイアウトで増えた項目の取得元確認。（項目一覧の赤文字の箇所）</t>
    <rPh sb="0" eb="1">
      <t>シン</t>
    </rPh>
    <rPh sb="7" eb="8">
      <t>フ</t>
    </rPh>
    <rPh sb="10" eb="12">
      <t>コウモク</t>
    </rPh>
    <rPh sb="13" eb="18">
      <t>シュトクモトカクニン</t>
    </rPh>
    <rPh sb="20" eb="24">
      <t>コウモクイチラン</t>
    </rPh>
    <rPh sb="25" eb="28">
      <t>アカモジ</t>
    </rPh>
    <rPh sb="29" eb="31">
      <t>カショ</t>
    </rPh>
    <phoneticPr fontId="2"/>
  </si>
  <si>
    <t>住所の3行目に何かデータが入る想定はあるか</t>
    <rPh sb="0" eb="2">
      <t>ジュウショ</t>
    </rPh>
    <rPh sb="4" eb="6">
      <t>ギョウメ</t>
    </rPh>
    <rPh sb="7" eb="8">
      <t>ナニ</t>
    </rPh>
    <rPh sb="13" eb="14">
      <t>ハイ</t>
    </rPh>
    <rPh sb="15" eb="17">
      <t>ソウテイ</t>
    </rPh>
    <phoneticPr fontId="2"/>
  </si>
  <si>
    <t>SQL1.納期S</t>
    <rPh sb="5" eb="7">
      <t>ノウキ</t>
    </rPh>
    <phoneticPr fontId="1"/>
  </si>
  <si>
    <t>出力者の名前</t>
    <rPh sb="0" eb="3">
      <t>シュツリョクシャ</t>
    </rPh>
    <rPh sb="4" eb="6">
      <t>ナマエ</t>
    </rPh>
    <phoneticPr fontId="1"/>
  </si>
  <si>
    <t>回答</t>
    <rPh sb="0" eb="2">
      <t>カイトウ</t>
    </rPh>
    <phoneticPr fontId="2"/>
  </si>
  <si>
    <t>納期S</t>
    <rPh sb="0" eb="2">
      <t>ノウキ</t>
    </rPh>
    <phoneticPr fontId="2"/>
  </si>
  <si>
    <t>MH.納期S</t>
    <rPh sb="3" eb="5">
      <t>ノウキ</t>
    </rPh>
    <phoneticPr fontId="2"/>
  </si>
  <si>
    <t>〇</t>
    <phoneticPr fontId="2"/>
  </si>
  <si>
    <t>納品日：納期S、担当：ActiveDirectoryユーザ、チェック：空</t>
    <rPh sb="4" eb="6">
      <t>ノウキ</t>
    </rPh>
    <rPh sb="8" eb="10">
      <t>タントウ</t>
    </rPh>
    <rPh sb="35" eb="36">
      <t>カラ</t>
    </rPh>
    <phoneticPr fontId="2"/>
  </si>
  <si>
    <t>現行はActiveDirectoryのユーザを取得している。新システムでの対応要検討。Pleasanterのユーザ？</t>
    <rPh sb="0" eb="2">
      <t>ゲンコウ</t>
    </rPh>
    <rPh sb="23" eb="25">
      <t>シュトク</t>
    </rPh>
    <rPh sb="30" eb="31">
      <t>シン</t>
    </rPh>
    <rPh sb="37" eb="39">
      <t>タイオウ</t>
    </rPh>
    <rPh sb="39" eb="40">
      <t>ヨウ</t>
    </rPh>
    <rPh sb="40" eb="42">
      <t>ケントウ</t>
    </rPh>
    <phoneticPr fontId="1"/>
  </si>
  <si>
    <t>「別紙_出荷リスト案」に対応する回答を記載</t>
    <rPh sb="1" eb="3">
      <t>ベッシ</t>
    </rPh>
    <rPh sb="4" eb="6">
      <t>シュッカ</t>
    </rPh>
    <rPh sb="9" eb="10">
      <t>アン</t>
    </rPh>
    <rPh sb="12" eb="14">
      <t>タイオウ</t>
    </rPh>
    <rPh sb="16" eb="18">
      <t>カイトウ</t>
    </rPh>
    <rPh sb="19" eb="21">
      <t>キサイ</t>
    </rPh>
    <phoneticPr fontId="2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</si>
  <si>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</si>
  <si>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</si>
  <si>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SQL1.住所1</t>
    <phoneticPr fontId="1"/>
  </si>
  <si>
    <t>SQL1.住所2</t>
    <phoneticPr fontId="1"/>
  </si>
  <si>
    <t>A4横</t>
    <rPh sb="2" eb="3">
      <t>ヨコ</t>
    </rPh>
    <phoneticPr fontId="2"/>
  </si>
  <si>
    <t>住所2を表示する。</t>
    <rPh sb="0" eb="2">
      <t>ジュウショ</t>
    </rPh>
    <rPh sb="4" eb="6">
      <t>ヒョウジ</t>
    </rPh>
    <phoneticPr fontId="2"/>
  </si>
  <si>
    <t>受発注システム</t>
    <phoneticPr fontId="2"/>
  </si>
  <si>
    <t>システム分類</t>
    <phoneticPr fontId="2"/>
  </si>
  <si>
    <t>大谷</t>
    <rPh sb="0" eb="2">
      <t>オオタニ</t>
    </rPh>
    <phoneticPr fontId="2"/>
  </si>
  <si>
    <t>受発注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</si>
</sst>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0_ "/>
    <numFmt numFmtId="178" formatCode="#,##0.00;[Red]\-#,##0.00;;"/>
    <numFmt numFmtId="179" formatCode="m/d"/>
  </numFmts>
  <fonts count="29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b/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28"/>
      <color rgb="FFFF000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color rgb="FFFF0000"/>
      <name val="ＭＳ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ゴシック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0" borderId="0" xfId="1"/>
    <xf numFmtId="0" fontId="11" fillId="0" borderId="0" xfId="1" applyFont="1"/>
    <xf numFmtId="0" fontId="13" fillId="0" borderId="41" xfId="1" applyFont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14" fillId="0" borderId="74" xfId="1" applyFont="1" applyBorder="1" applyAlignment="1">
      <alignment horizontal="center"/>
    </xf>
    <xf numFmtId="0" fontId="15" fillId="0" borderId="74" xfId="1" applyFont="1" applyBorder="1" applyAlignment="1">
      <alignment horizontal="center"/>
    </xf>
    <xf numFmtId="0" fontId="15" fillId="0" borderId="75" xfId="1" applyFont="1" applyBorder="1" applyAlignment="1">
      <alignment horizontal="center"/>
    </xf>
    <xf numFmtId="0" fontId="14" fillId="0" borderId="0" xfId="1" applyFont="1"/>
    <xf numFmtId="177" fontId="15" fillId="0" borderId="9" xfId="1" applyNumberFormat="1" applyFont="1" applyBorder="1"/>
    <xf numFmtId="49" fontId="15" fillId="0" borderId="9" xfId="1" applyNumberFormat="1" applyFont="1" applyBorder="1" applyAlignment="1">
      <alignment shrinkToFit="1"/>
    </xf>
    <xf numFmtId="49" fontId="15" fillId="0" borderId="9" xfId="1" applyNumberFormat="1" applyFont="1" applyBorder="1" applyAlignment="1">
      <alignment horizontal="right" shrinkToFit="1"/>
    </xf>
    <xf numFmtId="49" fontId="15" fillId="0" borderId="10" xfId="1" applyNumberFormat="1" applyFont="1" applyBorder="1" applyAlignment="1">
      <alignment horizontal="right" shrinkToFit="1"/>
    </xf>
    <xf numFmtId="178" fontId="16" fillId="0" borderId="10" xfId="1" applyNumberFormat="1" applyFont="1" applyBorder="1" applyAlignment="1">
      <alignment shrinkToFit="1"/>
    </xf>
    <xf numFmtId="49" fontId="15" fillId="0" borderId="10" xfId="1" applyNumberFormat="1" applyFont="1" applyBorder="1" applyAlignment="1">
      <alignment shrinkToFit="1"/>
    </xf>
    <xf numFmtId="0" fontId="11" fillId="0" borderId="0" xfId="1" applyFont="1" applyAlignment="1">
      <alignment wrapText="1"/>
    </xf>
    <xf numFmtId="0" fontId="19" fillId="0" borderId="0" xfId="1" applyFont="1" applyAlignment="1">
      <alignment horizontal="right" vertical="center"/>
    </xf>
    <xf numFmtId="0" fontId="21" fillId="0" borderId="77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13" fillId="0" borderId="42" xfId="1" applyFont="1" applyBorder="1" applyAlignment="1">
      <alignment horizontal="center" vertical="center"/>
    </xf>
    <xf numFmtId="0" fontId="12" fillId="0" borderId="69" xfId="1" applyFont="1" applyBorder="1" applyAlignment="1">
      <alignment horizontal="center" vertical="center" shrinkToFit="1"/>
    </xf>
    <xf numFmtId="0" fontId="23" fillId="0" borderId="5" xfId="1" applyFont="1" applyBorder="1" applyAlignment="1">
      <alignment horizontal="center" vertical="center"/>
    </xf>
    <xf numFmtId="0" fontId="23" fillId="0" borderId="0" xfId="1" applyFont="1"/>
    <xf numFmtId="0" fontId="23" fillId="0" borderId="10" xfId="1" applyFont="1" applyBorder="1" applyAlignment="1">
      <alignment horizontal="center" vertical="center" shrinkToFit="1"/>
    </xf>
    <xf numFmtId="0" fontId="24" fillId="0" borderId="65" xfId="1" applyFont="1" applyBorder="1" applyAlignment="1">
      <alignment vertical="center"/>
    </xf>
    <xf numFmtId="0" fontId="23" fillId="0" borderId="6" xfId="1" applyFont="1" applyBorder="1"/>
    <xf numFmtId="0" fontId="23" fillId="0" borderId="71" xfId="1" applyFont="1" applyBorder="1" applyAlignment="1">
      <alignment vertical="center"/>
    </xf>
    <xf numFmtId="0" fontId="23" fillId="0" borderId="1" xfId="1" applyFont="1" applyBorder="1" applyAlignment="1">
      <alignment horizontal="center" vertical="center"/>
    </xf>
    <xf numFmtId="0" fontId="4" fillId="0" borderId="52" xfId="1" applyBorder="1"/>
    <xf numFmtId="49" fontId="17" fillId="0" borderId="9" xfId="1" applyNumberFormat="1" applyFont="1" applyBorder="1" applyAlignment="1">
      <alignment horizontal="center" shrinkToFit="1"/>
    </xf>
    <xf numFmtId="49" fontId="17" fillId="0" borderId="9" xfId="1" applyNumberFormat="1" applyFont="1" applyBorder="1" applyAlignment="1">
      <alignment shrinkToFit="1"/>
    </xf>
    <xf numFmtId="49" fontId="17" fillId="0" borderId="8" xfId="1" applyNumberFormat="1" applyFont="1" applyBorder="1" applyAlignment="1">
      <alignment wrapText="1"/>
    </xf>
    <xf numFmtId="0" fontId="17" fillId="0" borderId="8" xfId="1" applyFont="1" applyBorder="1" applyAlignment="1">
      <alignment shrinkToFit="1"/>
    </xf>
    <xf numFmtId="179" fontId="18" fillId="0" borderId="9" xfId="1" applyNumberFormat="1" applyFont="1" applyBorder="1" applyAlignment="1">
      <alignment horizontal="center" shrinkToFit="1"/>
    </xf>
    <xf numFmtId="49" fontId="17" fillId="0" borderId="8" xfId="1" applyNumberFormat="1" applyFont="1" applyBorder="1" applyAlignment="1">
      <alignment wrapText="1" shrinkToFit="1"/>
    </xf>
    <xf numFmtId="49" fontId="17" fillId="0" borderId="9" xfId="1" applyNumberFormat="1" applyFont="1" applyBorder="1" applyAlignment="1">
      <alignment horizontal="center" vertical="center" shrinkToFit="1"/>
    </xf>
    <xf numFmtId="0" fontId="4" fillId="0" borderId="0" xfId="1" applyAlignment="1">
      <alignment horizontal="center"/>
    </xf>
    <xf numFmtId="49" fontId="25" fillId="0" borderId="0" xfId="1" applyNumberFormat="1" applyFont="1" applyAlignment="1">
      <alignment shrinkToFit="1"/>
    </xf>
    <xf numFmtId="14" fontId="3" fillId="2" borderId="0" xfId="0" applyNumberFormat="1" applyFont="1" applyFill="1">
      <alignment vertical="center"/>
    </xf>
    <xf numFmtId="0" fontId="3" fillId="2" borderId="5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27" fillId="0" borderId="0" xfId="0" applyFont="1">
      <alignment vertical="center"/>
    </xf>
    <xf numFmtId="0" fontId="3" fillId="2" borderId="79" xfId="0" applyFont="1" applyFill="1" applyBorder="1">
      <alignment vertical="center"/>
    </xf>
    <xf numFmtId="0" fontId="3" fillId="2" borderId="80" xfId="0" applyFont="1" applyFill="1" applyBorder="1">
      <alignment vertical="center"/>
    </xf>
    <xf numFmtId="0" fontId="3" fillId="2" borderId="81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28" fillId="2" borderId="2" xfId="0" applyFont="1" applyFill="1" applyBorder="1">
      <alignment vertical="center"/>
    </xf>
    <xf numFmtId="0" fontId="28" fillId="2" borderId="3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28" fillId="2" borderId="5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left" vertical="center"/>
    </xf>
    <xf numFmtId="0" fontId="2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49" fontId="17" fillId="0" borderId="0" xfId="1" applyNumberFormat="1" applyFont="1" applyAlignment="1">
      <alignment shrinkToFit="1"/>
    </xf>
    <xf numFmtId="0" fontId="23" fillId="0" borderId="0" xfId="1" applyFont="1"/>
    <xf numFmtId="0" fontId="16" fillId="0" borderId="75" xfId="1" applyFont="1" applyBorder="1" applyAlignment="1">
      <alignment horizontal="center" wrapText="1"/>
    </xf>
    <xf numFmtId="0" fontId="16" fillId="0" borderId="76" xfId="1" applyFont="1" applyBorder="1" applyAlignment="1">
      <alignment horizontal="center" wrapText="1"/>
    </xf>
    <xf numFmtId="0" fontId="15" fillId="0" borderId="75" xfId="1" applyFont="1" applyBorder="1" applyAlignment="1">
      <alignment horizontal="center"/>
    </xf>
    <xf numFmtId="0" fontId="4" fillId="0" borderId="76" xfId="1" applyBorder="1" applyAlignment="1">
      <alignment horizontal="center"/>
    </xf>
    <xf numFmtId="49" fontId="17" fillId="0" borderId="10" xfId="1" applyNumberFormat="1" applyFont="1" applyBorder="1" applyAlignment="1">
      <alignment shrinkToFit="1"/>
    </xf>
    <xf numFmtId="0" fontId="23" fillId="0" borderId="8" xfId="1" applyFont="1" applyBorder="1" applyAlignment="1">
      <alignment shrinkToFit="1"/>
    </xf>
    <xf numFmtId="49" fontId="17" fillId="0" borderId="5" xfId="1" applyNumberFormat="1" applyFont="1" applyBorder="1" applyAlignment="1">
      <alignment shrinkToFit="1"/>
    </xf>
    <xf numFmtId="0" fontId="23" fillId="0" borderId="7" xfId="1" applyFont="1" applyBorder="1"/>
    <xf numFmtId="0" fontId="12" fillId="0" borderId="43" xfId="1" applyFont="1" applyBorder="1" applyAlignment="1">
      <alignment horizontal="left" vertical="center" shrinkToFit="1"/>
    </xf>
    <xf numFmtId="0" fontId="12" fillId="0" borderId="44" xfId="1" applyFont="1" applyBorder="1" applyAlignment="1">
      <alignment horizontal="left" vertical="center" shrinkToFit="1"/>
    </xf>
    <xf numFmtId="0" fontId="12" fillId="0" borderId="45" xfId="1" applyFont="1" applyBorder="1" applyAlignment="1">
      <alignment horizontal="left" vertical="center" shrinkToFit="1"/>
    </xf>
    <xf numFmtId="0" fontId="23" fillId="0" borderId="2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4" fillId="0" borderId="70" xfId="1" applyBorder="1" applyAlignment="1">
      <alignment horizontal="center" vertical="center" shrinkToFit="1"/>
    </xf>
    <xf numFmtId="0" fontId="4" fillId="0" borderId="72" xfId="1" applyBorder="1" applyAlignment="1">
      <alignment horizontal="center" vertical="center" shrinkToFit="1"/>
    </xf>
    <xf numFmtId="0" fontId="4" fillId="0" borderId="73" xfId="1" applyBorder="1" applyAlignment="1">
      <alignment horizontal="center" vertical="center" shrinkToFit="1"/>
    </xf>
    <xf numFmtId="0" fontId="24" fillId="0" borderId="65" xfId="1" applyFont="1" applyBorder="1" applyAlignment="1">
      <alignment horizontal="center" vertical="center" shrinkToFit="1"/>
    </xf>
    <xf numFmtId="0" fontId="4" fillId="0" borderId="70" xfId="1" applyBorder="1" applyAlignment="1">
      <alignment horizontal="center" vertical="center" textRotation="255"/>
    </xf>
    <xf numFmtId="0" fontId="4" fillId="0" borderId="72" xfId="1" applyBorder="1" applyAlignment="1">
      <alignment horizontal="center" vertical="center" textRotation="255"/>
    </xf>
    <xf numFmtId="0" fontId="4" fillId="0" borderId="78" xfId="1" applyBorder="1" applyAlignment="1">
      <alignment horizontal="center" vertical="center" textRotation="255"/>
    </xf>
    <xf numFmtId="0" fontId="23" fillId="0" borderId="5" xfId="1" applyFont="1" applyBorder="1" applyAlignment="1">
      <alignment horizontal="left" vertical="center" shrinkToFit="1"/>
    </xf>
    <xf numFmtId="0" fontId="23" fillId="0" borderId="6" xfId="1" applyFont="1" applyBorder="1" applyAlignment="1">
      <alignment horizontal="left" vertical="center" shrinkToFit="1"/>
    </xf>
    <xf numFmtId="0" fontId="23" fillId="0" borderId="7" xfId="1" applyFont="1" applyBorder="1" applyAlignment="1">
      <alignment horizontal="left" vertical="center" shrinkToFit="1"/>
    </xf>
    <xf numFmtId="31" fontId="12" fillId="0" borderId="5" xfId="1" applyNumberFormat="1" applyFont="1" applyBorder="1" applyAlignment="1">
      <alignment horizontal="left" vertical="center" shrinkToFit="1"/>
    </xf>
    <xf numFmtId="31" fontId="12" fillId="0" borderId="6" xfId="1" applyNumberFormat="1" applyFont="1" applyBorder="1" applyAlignment="1">
      <alignment horizontal="left" vertical="center" shrinkToFit="1"/>
    </xf>
    <xf numFmtId="31" fontId="12" fillId="0" borderId="71" xfId="1" applyNumberFormat="1" applyFont="1" applyBorder="1" applyAlignment="1">
      <alignment horizontal="left" vertical="center" shrinkToFit="1"/>
    </xf>
    <xf numFmtId="0" fontId="12" fillId="0" borderId="79" xfId="1" applyFont="1" applyBorder="1" applyAlignment="1">
      <alignment horizontal="left" vertical="center" shrinkToFit="1"/>
    </xf>
    <xf numFmtId="0" fontId="12" fillId="0" borderId="80" xfId="1" applyFont="1" applyBorder="1" applyAlignment="1">
      <alignment horizontal="left" vertical="center" shrinkToFit="1"/>
    </xf>
    <xf numFmtId="0" fontId="12" fillId="0" borderId="81" xfId="1" applyFont="1" applyBorder="1" applyAlignment="1">
      <alignment horizontal="left" vertical="center" shrinkToFit="1"/>
    </xf>
    <xf numFmtId="0" fontId="12" fillId="0" borderId="51" xfId="1" applyFont="1" applyBorder="1" applyAlignment="1">
      <alignment horizontal="left" vertical="center" shrinkToFit="1"/>
    </xf>
    <xf numFmtId="0" fontId="12" fillId="0" borderId="52" xfId="1" applyFont="1" applyBorder="1" applyAlignment="1">
      <alignment horizontal="left" vertical="center" shrinkToFit="1"/>
    </xf>
    <xf numFmtId="0" fontId="12" fillId="0" borderId="68" xfId="1" applyFont="1" applyBorder="1" applyAlignment="1">
      <alignment horizontal="left" vertical="center" shrinkToFit="1"/>
    </xf>
  </cellXfs>
  <cellStyles count="2">
    <cellStyle name="標準" xfId="0" builtinId="0"/>
    <cellStyle name="標準 2 2" xfId="1"/>
  </cellStyles>
  <dxfs count="6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21772</xdr:colOff>
      <xdr:row>6</xdr:row>
      <xdr:rowOff>54428</xdr:rowOff>
    </xdr:from>
    <xdr:to>
      <xdr:col>57</xdr:col>
      <xdr:colOff>185057</xdr:colOff>
      <xdr:row>36</xdr:row>
      <xdr:rowOff>7157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3" y="1186542"/>
          <a:ext cx="15163800" cy="7463872"/>
        </a:xfrm>
        <a:prstGeom prst="rect">
          <a:avLst/>
        </a:prstGeom>
      </xdr:spPr>
    </xdr:pic>
    <xdr:clientData/>
  </xdr:twoCellAnchor>
  <xdr:twoCellAnchor>
    <xdr:from>
      <xdr:col>16</xdr:col>
      <xdr:colOff>242046</xdr:colOff>
      <xdr:row>7</xdr:row>
      <xdr:rowOff>97971</xdr:rowOff>
    </xdr:from>
    <xdr:to>
      <xdr:col>18</xdr:col>
      <xdr:colOff>21770</xdr:colOff>
      <xdr:row>8</xdr:row>
      <xdr:rowOff>169690</xdr:rowOff>
    </xdr:to>
    <xdr:sp macro="" textlink="">
      <xdr:nvSpPr>
        <xdr:cNvPr id="3" name="正方形/長方形 2"/>
        <xdr:cNvSpPr/>
      </xdr:nvSpPr>
      <xdr:spPr>
        <a:xfrm>
          <a:off x="4574560" y="1480457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154961</xdr:colOff>
      <xdr:row>12</xdr:row>
      <xdr:rowOff>224118</xdr:rowOff>
    </xdr:from>
    <xdr:to>
      <xdr:col>12</xdr:col>
      <xdr:colOff>217713</xdr:colOff>
      <xdr:row>14</xdr:row>
      <xdr:rowOff>45465</xdr:rowOff>
    </xdr:to>
    <xdr:sp macro="" textlink="">
      <xdr:nvSpPr>
        <xdr:cNvPr id="5" name="正方形/長方形 4"/>
        <xdr:cNvSpPr/>
      </xdr:nvSpPr>
      <xdr:spPr>
        <a:xfrm>
          <a:off x="3072332" y="2858461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251654</xdr:colOff>
      <xdr:row>10</xdr:row>
      <xdr:rowOff>209391</xdr:rowOff>
    </xdr:from>
    <xdr:to>
      <xdr:col>34</xdr:col>
      <xdr:colOff>31376</xdr:colOff>
      <xdr:row>12</xdr:row>
      <xdr:rowOff>30096</xdr:rowOff>
    </xdr:to>
    <xdr:sp macro="" textlink="">
      <xdr:nvSpPr>
        <xdr:cNvPr id="6" name="正方形/長方形 5"/>
        <xdr:cNvSpPr/>
      </xdr:nvSpPr>
      <xdr:spPr>
        <a:xfrm>
          <a:off x="9112625" y="2342991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261897</xdr:colOff>
      <xdr:row>12</xdr:row>
      <xdr:rowOff>230521</xdr:rowOff>
    </xdr:from>
    <xdr:to>
      <xdr:col>56</xdr:col>
      <xdr:colOff>41620</xdr:colOff>
      <xdr:row>14</xdr:row>
      <xdr:rowOff>51226</xdr:rowOff>
    </xdr:to>
    <xdr:sp macro="" textlink="">
      <xdr:nvSpPr>
        <xdr:cNvPr id="7" name="正方形/長方形 6"/>
        <xdr:cNvSpPr/>
      </xdr:nvSpPr>
      <xdr:spPr>
        <a:xfrm>
          <a:off x="15349497" y="2864864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251011</xdr:colOff>
      <xdr:row>15</xdr:row>
      <xdr:rowOff>12807</xdr:rowOff>
    </xdr:from>
    <xdr:to>
      <xdr:col>34</xdr:col>
      <xdr:colOff>30733</xdr:colOff>
      <xdr:row>16</xdr:row>
      <xdr:rowOff>83883</xdr:rowOff>
    </xdr:to>
    <xdr:sp macro="" textlink="">
      <xdr:nvSpPr>
        <xdr:cNvPr id="8" name="正方形/長方形 7"/>
        <xdr:cNvSpPr/>
      </xdr:nvSpPr>
      <xdr:spPr>
        <a:xfrm>
          <a:off x="9111982" y="3398264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196583</xdr:colOff>
      <xdr:row>12</xdr:row>
      <xdr:rowOff>230520</xdr:rowOff>
    </xdr:from>
    <xdr:to>
      <xdr:col>35</xdr:col>
      <xdr:colOff>259335</xdr:colOff>
      <xdr:row>14</xdr:row>
      <xdr:rowOff>51225</xdr:rowOff>
    </xdr:to>
    <xdr:sp macro="" textlink="">
      <xdr:nvSpPr>
        <xdr:cNvPr id="9" name="正方形/長方形 8"/>
        <xdr:cNvSpPr/>
      </xdr:nvSpPr>
      <xdr:spPr>
        <a:xfrm>
          <a:off x="9623612" y="2864863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98612</xdr:colOff>
      <xdr:row>12</xdr:row>
      <xdr:rowOff>230520</xdr:rowOff>
    </xdr:from>
    <xdr:to>
      <xdr:col>47</xdr:col>
      <xdr:colOff>161363</xdr:colOff>
      <xdr:row>14</xdr:row>
      <xdr:rowOff>51225</xdr:rowOff>
    </xdr:to>
    <xdr:sp macro="" textlink="">
      <xdr:nvSpPr>
        <xdr:cNvPr id="10" name="正方形/長方形 9"/>
        <xdr:cNvSpPr/>
      </xdr:nvSpPr>
      <xdr:spPr>
        <a:xfrm>
          <a:off x="12921983" y="2864863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196583</xdr:colOff>
      <xdr:row>10</xdr:row>
      <xdr:rowOff>219634</xdr:rowOff>
    </xdr:from>
    <xdr:to>
      <xdr:col>52</xdr:col>
      <xdr:colOff>259334</xdr:colOff>
      <xdr:row>12</xdr:row>
      <xdr:rowOff>40339</xdr:rowOff>
    </xdr:to>
    <xdr:sp macro="" textlink="">
      <xdr:nvSpPr>
        <xdr:cNvPr id="11" name="正方形/長方形 10"/>
        <xdr:cNvSpPr/>
      </xdr:nvSpPr>
      <xdr:spPr>
        <a:xfrm>
          <a:off x="14435097" y="2353234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152401</xdr:colOff>
      <xdr:row>15</xdr:row>
      <xdr:rowOff>10886</xdr:rowOff>
    </xdr:from>
    <xdr:to>
      <xdr:col>12</xdr:col>
      <xdr:colOff>215152</xdr:colOff>
      <xdr:row>16</xdr:row>
      <xdr:rowOff>81962</xdr:rowOff>
    </xdr:to>
    <xdr:sp macro="" textlink="">
      <xdr:nvSpPr>
        <xdr:cNvPr id="13" name="正方形/長方形 12"/>
        <xdr:cNvSpPr/>
      </xdr:nvSpPr>
      <xdr:spPr>
        <a:xfrm>
          <a:off x="3069772" y="3396343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152400</xdr:colOff>
      <xdr:row>23</xdr:row>
      <xdr:rowOff>65312</xdr:rowOff>
    </xdr:from>
    <xdr:to>
      <xdr:col>5</xdr:col>
      <xdr:colOff>215151</xdr:colOff>
      <xdr:row>24</xdr:row>
      <xdr:rowOff>136389</xdr:rowOff>
    </xdr:to>
    <xdr:sp macro="" textlink="">
      <xdr:nvSpPr>
        <xdr:cNvPr id="14" name="正方形/長方形 13"/>
        <xdr:cNvSpPr/>
      </xdr:nvSpPr>
      <xdr:spPr>
        <a:xfrm>
          <a:off x="1088571" y="5453741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152400</xdr:colOff>
      <xdr:row>23</xdr:row>
      <xdr:rowOff>65314</xdr:rowOff>
    </xdr:from>
    <xdr:to>
      <xdr:col>12</xdr:col>
      <xdr:colOff>215151</xdr:colOff>
      <xdr:row>24</xdr:row>
      <xdr:rowOff>136391</xdr:rowOff>
    </xdr:to>
    <xdr:sp macro="" textlink="">
      <xdr:nvSpPr>
        <xdr:cNvPr id="15" name="正方形/長方形 14"/>
        <xdr:cNvSpPr/>
      </xdr:nvSpPr>
      <xdr:spPr>
        <a:xfrm>
          <a:off x="3069771" y="5453743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97973</xdr:colOff>
      <xdr:row>23</xdr:row>
      <xdr:rowOff>65314</xdr:rowOff>
    </xdr:from>
    <xdr:to>
      <xdr:col>15</xdr:col>
      <xdr:colOff>160724</xdr:colOff>
      <xdr:row>24</xdr:row>
      <xdr:rowOff>136391</xdr:rowOff>
    </xdr:to>
    <xdr:sp macro="" textlink="">
      <xdr:nvSpPr>
        <xdr:cNvPr id="16" name="正方形/長方形 15"/>
        <xdr:cNvSpPr/>
      </xdr:nvSpPr>
      <xdr:spPr>
        <a:xfrm>
          <a:off x="3864430" y="5453743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239487</xdr:colOff>
      <xdr:row>23</xdr:row>
      <xdr:rowOff>76199</xdr:rowOff>
    </xdr:from>
    <xdr:to>
      <xdr:col>18</xdr:col>
      <xdr:colOff>19210</xdr:colOff>
      <xdr:row>24</xdr:row>
      <xdr:rowOff>147276</xdr:rowOff>
    </xdr:to>
    <xdr:sp macro="" textlink="">
      <xdr:nvSpPr>
        <xdr:cNvPr id="17" name="正方形/長方形 16"/>
        <xdr:cNvSpPr/>
      </xdr:nvSpPr>
      <xdr:spPr>
        <a:xfrm>
          <a:off x="4572001" y="5464628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87087</xdr:colOff>
      <xdr:row>23</xdr:row>
      <xdr:rowOff>76198</xdr:rowOff>
    </xdr:from>
    <xdr:to>
      <xdr:col>29</xdr:col>
      <xdr:colOff>149838</xdr:colOff>
      <xdr:row>24</xdr:row>
      <xdr:rowOff>147275</xdr:rowOff>
    </xdr:to>
    <xdr:sp macro="" textlink="">
      <xdr:nvSpPr>
        <xdr:cNvPr id="18" name="正方形/長方形 17"/>
        <xdr:cNvSpPr/>
      </xdr:nvSpPr>
      <xdr:spPr>
        <a:xfrm>
          <a:off x="7815944" y="5464627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163287</xdr:colOff>
      <xdr:row>23</xdr:row>
      <xdr:rowOff>65313</xdr:rowOff>
    </xdr:from>
    <xdr:to>
      <xdr:col>31</xdr:col>
      <xdr:colOff>226038</xdr:colOff>
      <xdr:row>24</xdr:row>
      <xdr:rowOff>136390</xdr:rowOff>
    </xdr:to>
    <xdr:sp macro="" textlink="">
      <xdr:nvSpPr>
        <xdr:cNvPr id="19" name="正方形/長方形 18"/>
        <xdr:cNvSpPr/>
      </xdr:nvSpPr>
      <xdr:spPr>
        <a:xfrm>
          <a:off x="8458201" y="5453742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250372</xdr:colOff>
      <xdr:row>23</xdr:row>
      <xdr:rowOff>54427</xdr:rowOff>
    </xdr:from>
    <xdr:to>
      <xdr:col>34</xdr:col>
      <xdr:colOff>30094</xdr:colOff>
      <xdr:row>24</xdr:row>
      <xdr:rowOff>125504</xdr:rowOff>
    </xdr:to>
    <xdr:sp macro="" textlink="">
      <xdr:nvSpPr>
        <xdr:cNvPr id="20" name="正方形/長方形 19"/>
        <xdr:cNvSpPr/>
      </xdr:nvSpPr>
      <xdr:spPr>
        <a:xfrm>
          <a:off x="9111343" y="5442856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250370</xdr:colOff>
      <xdr:row>23</xdr:row>
      <xdr:rowOff>65315</xdr:rowOff>
    </xdr:from>
    <xdr:to>
      <xdr:col>40</xdr:col>
      <xdr:colOff>30093</xdr:colOff>
      <xdr:row>24</xdr:row>
      <xdr:rowOff>136392</xdr:rowOff>
    </xdr:to>
    <xdr:sp macro="" textlink="">
      <xdr:nvSpPr>
        <xdr:cNvPr id="21" name="正方形/長方形 20"/>
        <xdr:cNvSpPr/>
      </xdr:nvSpPr>
      <xdr:spPr>
        <a:xfrm>
          <a:off x="10809513" y="5453744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206827</xdr:colOff>
      <xdr:row>23</xdr:row>
      <xdr:rowOff>65312</xdr:rowOff>
    </xdr:from>
    <xdr:to>
      <xdr:col>41</xdr:col>
      <xdr:colOff>269578</xdr:colOff>
      <xdr:row>24</xdr:row>
      <xdr:rowOff>136389</xdr:rowOff>
    </xdr:to>
    <xdr:sp macro="" textlink="">
      <xdr:nvSpPr>
        <xdr:cNvPr id="22" name="正方形/長方形 21"/>
        <xdr:cNvSpPr/>
      </xdr:nvSpPr>
      <xdr:spPr>
        <a:xfrm>
          <a:off x="11332027" y="5453741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10885</xdr:colOff>
      <xdr:row>23</xdr:row>
      <xdr:rowOff>54426</xdr:rowOff>
    </xdr:from>
    <xdr:to>
      <xdr:col>45</xdr:col>
      <xdr:colOff>73636</xdr:colOff>
      <xdr:row>24</xdr:row>
      <xdr:rowOff>125503</xdr:rowOff>
    </xdr:to>
    <xdr:sp macro="" textlink="">
      <xdr:nvSpPr>
        <xdr:cNvPr id="23" name="正方形/長方形 22"/>
        <xdr:cNvSpPr/>
      </xdr:nvSpPr>
      <xdr:spPr>
        <a:xfrm>
          <a:off x="12268199" y="5442855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185058</xdr:colOff>
      <xdr:row>23</xdr:row>
      <xdr:rowOff>65312</xdr:rowOff>
    </xdr:from>
    <xdr:to>
      <xdr:col>52</xdr:col>
      <xdr:colOff>247809</xdr:colOff>
      <xdr:row>24</xdr:row>
      <xdr:rowOff>136389</xdr:rowOff>
    </xdr:to>
    <xdr:sp macro="" textlink="">
      <xdr:nvSpPr>
        <xdr:cNvPr id="24" name="正方形/長方形 23"/>
        <xdr:cNvSpPr/>
      </xdr:nvSpPr>
      <xdr:spPr>
        <a:xfrm>
          <a:off x="14423572" y="5453741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43542</xdr:colOff>
      <xdr:row>23</xdr:row>
      <xdr:rowOff>65313</xdr:rowOff>
    </xdr:from>
    <xdr:to>
      <xdr:col>36</xdr:col>
      <xdr:colOff>106293</xdr:colOff>
      <xdr:row>24</xdr:row>
      <xdr:rowOff>136390</xdr:rowOff>
    </xdr:to>
    <xdr:sp macro="" textlink="">
      <xdr:nvSpPr>
        <xdr:cNvPr id="25" name="正方形/長方形 24"/>
        <xdr:cNvSpPr/>
      </xdr:nvSpPr>
      <xdr:spPr>
        <a:xfrm>
          <a:off x="9753599" y="5453742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0</xdr:colOff>
      <xdr:row>23</xdr:row>
      <xdr:rowOff>65312</xdr:rowOff>
    </xdr:from>
    <xdr:to>
      <xdr:col>56</xdr:col>
      <xdr:colOff>62752</xdr:colOff>
      <xdr:row>24</xdr:row>
      <xdr:rowOff>136389</xdr:rowOff>
    </xdr:to>
    <xdr:sp macro="" textlink="">
      <xdr:nvSpPr>
        <xdr:cNvPr id="27" name="正方形/長方形 26"/>
        <xdr:cNvSpPr/>
      </xdr:nvSpPr>
      <xdr:spPr>
        <a:xfrm>
          <a:off x="15370629" y="5453741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251011</xdr:colOff>
      <xdr:row>17</xdr:row>
      <xdr:rowOff>34578</xdr:rowOff>
    </xdr:from>
    <xdr:to>
      <xdr:col>34</xdr:col>
      <xdr:colOff>30733</xdr:colOff>
      <xdr:row>18</xdr:row>
      <xdr:rowOff>105655</xdr:rowOff>
    </xdr:to>
    <xdr:sp macro="" textlink="">
      <xdr:nvSpPr>
        <xdr:cNvPr id="28" name="正方形/長方形 27"/>
        <xdr:cNvSpPr/>
      </xdr:nvSpPr>
      <xdr:spPr>
        <a:xfrm>
          <a:off x="9111982" y="3920778"/>
          <a:ext cx="345780" cy="32144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179155</xdr:colOff>
      <xdr:row>45</xdr:row>
      <xdr:rowOff>29983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60915" cy="10088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>
      <c r="A2" s="8"/>
      <c r="B2" s="176" t="s">
        <v>0</v>
      </c>
      <c r="C2" s="177"/>
      <c r="D2" s="177"/>
      <c r="E2" s="177"/>
      <c r="F2" s="177"/>
      <c r="G2" s="177"/>
      <c r="H2" s="177" t="s">
        <v>17</v>
      </c>
      <c r="I2" s="177"/>
      <c r="J2" s="177"/>
      <c r="K2" s="177"/>
      <c r="L2" s="177" t="s">
        <v>371</v>
      </c>
      <c r="M2" s="177"/>
      <c r="N2" s="177"/>
      <c r="O2" s="177"/>
      <c r="P2" s="177"/>
      <c r="Q2" s="177"/>
      <c r="R2" s="177" t="s">
        <v>2</v>
      </c>
      <c r="S2" s="177"/>
      <c r="T2" s="177"/>
      <c r="U2" s="177"/>
      <c r="V2" s="177"/>
      <c r="W2" s="177"/>
      <c r="X2" s="178" t="s">
        <v>3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31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7" t="s">
        <v>5</v>
      </c>
      <c r="AY2" s="177"/>
      <c r="AZ2" s="177"/>
      <c r="BA2" s="177"/>
      <c r="BB2" s="177" t="s">
        <v>4</v>
      </c>
      <c r="BC2" s="177"/>
      <c r="BD2" s="177"/>
      <c r="BE2" s="177"/>
      <c r="BF2" s="177" t="s">
        <v>6</v>
      </c>
      <c r="BG2" s="177"/>
      <c r="BH2" s="177"/>
      <c r="BI2" s="177"/>
      <c r="BJ2" s="177" t="s">
        <v>7</v>
      </c>
      <c r="BK2" s="177"/>
      <c r="BL2" s="177"/>
      <c r="BM2" s="191"/>
      <c r="BN2" s="14"/>
    </row>
    <row r="3" spans="1:66" ht="20.100000000000001" customHeight="1">
      <c r="A3" s="8"/>
      <c r="B3" s="181" t="s">
        <v>370</v>
      </c>
      <c r="C3" s="182"/>
      <c r="D3" s="182"/>
      <c r="E3" s="182"/>
      <c r="F3" s="182"/>
      <c r="G3" s="182"/>
      <c r="H3" s="182" t="str">
        <f ca="1">LEFT($X$3,FIND("_",$X$3)-1)</f>
        <v>MT1400</v>
      </c>
      <c r="I3" s="182"/>
      <c r="J3" s="182"/>
      <c r="K3" s="182"/>
      <c r="L3" s="182" t="s">
        <v>373</v>
      </c>
      <c r="M3" s="182"/>
      <c r="N3" s="182"/>
      <c r="O3" s="182"/>
      <c r="P3" s="182"/>
      <c r="Q3" s="182"/>
      <c r="R3" s="185" t="str">
        <f ca="1">MID($X$3,FIND("_",$X$3,FIND("_",$X$3)+1)+1,LEN($X$3)-FIND("_",$X$3,FIND("_",$X$3)+1))</f>
        <v>帳票設計書</v>
      </c>
      <c r="S3" s="182"/>
      <c r="T3" s="182"/>
      <c r="U3" s="182"/>
      <c r="V3" s="182"/>
      <c r="W3" s="182"/>
      <c r="X3" s="186" t="str">
        <f ca="1">REPLACE(LEFT(CELL("filename",$B$2),FIND(".x",CELL("filename",$B$2))-1),1,FIND("[",CELL("filename",$B$2)),)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MID($X$3,FIND("_",$X$3)+1,FIND("_",$X$3,FIND("_",$X$3)+1)-FIND("_",$X$3)-1)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v>45582</v>
      </c>
      <c r="AY3" s="182"/>
      <c r="AZ3" s="182"/>
      <c r="BA3" s="182"/>
      <c r="BB3" s="182" t="s">
        <v>372</v>
      </c>
      <c r="BC3" s="182"/>
      <c r="BD3" s="182"/>
      <c r="BE3" s="182"/>
      <c r="BF3" s="193">
        <v>45582</v>
      </c>
      <c r="BG3" s="182"/>
      <c r="BH3" s="182"/>
      <c r="BI3" s="182"/>
      <c r="BJ3" s="182" t="s">
        <v>372</v>
      </c>
      <c r="BK3" s="182"/>
      <c r="BL3" s="182"/>
      <c r="BM3" s="194"/>
      <c r="BN3" s="14"/>
    </row>
    <row r="4" spans="1:66" ht="20.100000000000001" customHeight="1" thickBot="1">
      <c r="A4" s="8"/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4"/>
      <c r="BL4" s="184"/>
      <c r="BM4" s="186"/>
      <c r="BN4" s="14"/>
    </row>
    <row r="5" spans="1:66" ht="5.25" customHeight="1" thickTop="1" thickBo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>
      <c r="A8" s="8"/>
      <c r="B8" s="7"/>
      <c r="C8" s="192" t="s">
        <v>8</v>
      </c>
      <c r="D8" s="192"/>
      <c r="E8" s="192"/>
      <c r="F8" s="192"/>
      <c r="G8" s="192" t="s">
        <v>9</v>
      </c>
      <c r="H8" s="192"/>
      <c r="I8" s="192"/>
      <c r="J8" s="192"/>
      <c r="K8" s="192" t="s">
        <v>10</v>
      </c>
      <c r="L8" s="192"/>
      <c r="M8" s="192"/>
      <c r="N8" s="192"/>
      <c r="O8" s="192" t="s">
        <v>11</v>
      </c>
      <c r="P8" s="192"/>
      <c r="Q8" s="192"/>
      <c r="R8" s="192"/>
      <c r="S8" s="192"/>
      <c r="T8" s="192"/>
      <c r="U8" s="192"/>
      <c r="V8" s="192"/>
      <c r="W8" s="192"/>
      <c r="X8" s="192"/>
      <c r="Y8" s="192" t="s">
        <v>12</v>
      </c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7"/>
      <c r="BN8" s="14"/>
    </row>
    <row r="9" spans="1:66" ht="20.100000000000001" customHeight="1">
      <c r="A9" s="8"/>
      <c r="B9" s="7"/>
      <c r="C9" s="195">
        <v>45582</v>
      </c>
      <c r="D9" s="196"/>
      <c r="E9" s="196"/>
      <c r="F9" s="197"/>
      <c r="G9" s="198" t="s">
        <v>16</v>
      </c>
      <c r="H9" s="199"/>
      <c r="I9" s="199"/>
      <c r="J9" s="200"/>
      <c r="K9" s="201" t="s">
        <v>372</v>
      </c>
      <c r="L9" s="196"/>
      <c r="M9" s="196"/>
      <c r="N9" s="19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>
      <c r="A10" s="8"/>
      <c r="B10" s="7"/>
      <c r="C10" s="195"/>
      <c r="D10" s="196"/>
      <c r="E10" s="196"/>
      <c r="F10" s="197"/>
      <c r="G10" s="198"/>
      <c r="H10" s="199"/>
      <c r="I10" s="199"/>
      <c r="J10" s="200"/>
      <c r="K10" s="201"/>
      <c r="L10" s="196"/>
      <c r="M10" s="196"/>
      <c r="N10" s="19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>
      <c r="A11" s="8"/>
      <c r="B11" s="7"/>
      <c r="C11" s="195"/>
      <c r="D11" s="196"/>
      <c r="E11" s="196"/>
      <c r="F11" s="197"/>
      <c r="G11" s="198"/>
      <c r="H11" s="199"/>
      <c r="I11" s="199"/>
      <c r="J11" s="200"/>
      <c r="K11" s="201"/>
      <c r="L11" s="196"/>
      <c r="M11" s="196"/>
      <c r="N11" s="19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>
      <c r="A36" s="8"/>
      <c r="B36" s="7"/>
      <c r="C36" s="195"/>
      <c r="D36" s="196"/>
      <c r="E36" s="196"/>
      <c r="F36" s="197"/>
      <c r="G36" s="198"/>
      <c r="H36" s="199"/>
      <c r="I36" s="199"/>
      <c r="J36" s="200"/>
      <c r="K36" s="201"/>
      <c r="L36" s="196"/>
      <c r="M36" s="196"/>
      <c r="N36" s="19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>
      <c r="A37" s="8"/>
      <c r="B37" s="7"/>
      <c r="C37" s="195"/>
      <c r="D37" s="196"/>
      <c r="E37" s="196"/>
      <c r="F37" s="197"/>
      <c r="G37" s="198"/>
      <c r="H37" s="199"/>
      <c r="I37" s="199"/>
      <c r="J37" s="200"/>
      <c r="K37" s="201"/>
      <c r="L37" s="196"/>
      <c r="M37" s="196"/>
      <c r="N37" s="19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>
      <c r="A38" s="8"/>
      <c r="B38" s="7"/>
      <c r="C38" s="195"/>
      <c r="D38" s="196"/>
      <c r="E38" s="196"/>
      <c r="F38" s="197"/>
      <c r="G38" s="198"/>
      <c r="H38" s="199"/>
      <c r="I38" s="199"/>
      <c r="J38" s="200"/>
      <c r="K38" s="201"/>
      <c r="L38" s="196"/>
      <c r="M38" s="196"/>
      <c r="N38" s="19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>
      <c r="A39" s="8"/>
      <c r="B39" s="7"/>
      <c r="C39" s="195"/>
      <c r="D39" s="196"/>
      <c r="E39" s="196"/>
      <c r="F39" s="197"/>
      <c r="G39" s="198"/>
      <c r="H39" s="199"/>
      <c r="I39" s="199"/>
      <c r="J39" s="200"/>
      <c r="K39" s="201"/>
      <c r="L39" s="196"/>
      <c r="M39" s="196"/>
      <c r="N39" s="19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>
      <c r="A40" s="8"/>
      <c r="B40" s="7"/>
      <c r="C40" s="195"/>
      <c r="D40" s="196"/>
      <c r="E40" s="196"/>
      <c r="F40" s="197"/>
      <c r="G40" s="198"/>
      <c r="H40" s="199"/>
      <c r="I40" s="199"/>
      <c r="J40" s="200"/>
      <c r="K40" s="201"/>
      <c r="L40" s="196"/>
      <c r="M40" s="196"/>
      <c r="N40" s="19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>
      <c r="A41" s="8"/>
      <c r="B41" s="7"/>
      <c r="C41" s="195"/>
      <c r="D41" s="196"/>
      <c r="E41" s="196"/>
      <c r="F41" s="197"/>
      <c r="G41" s="198"/>
      <c r="H41" s="199"/>
      <c r="I41" s="199"/>
      <c r="J41" s="200"/>
      <c r="K41" s="201"/>
      <c r="L41" s="196"/>
      <c r="M41" s="196"/>
      <c r="N41" s="19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>
      <c r="A42" s="8"/>
      <c r="B42" s="7"/>
      <c r="C42" s="195"/>
      <c r="D42" s="196"/>
      <c r="E42" s="196"/>
      <c r="F42" s="197"/>
      <c r="G42" s="198"/>
      <c r="H42" s="199"/>
      <c r="I42" s="199"/>
      <c r="J42" s="200"/>
      <c r="K42" s="201"/>
      <c r="L42" s="196"/>
      <c r="M42" s="196"/>
      <c r="N42" s="19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>
      <c r="A43" s="8"/>
      <c r="B43" s="7"/>
      <c r="C43" s="195"/>
      <c r="D43" s="196"/>
      <c r="E43" s="196"/>
      <c r="F43" s="197"/>
      <c r="G43" s="198"/>
      <c r="H43" s="199"/>
      <c r="I43" s="199"/>
      <c r="J43" s="200"/>
      <c r="K43" s="201"/>
      <c r="L43" s="196"/>
      <c r="M43" s="196"/>
      <c r="N43" s="19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>
      <c r="A44" s="8"/>
      <c r="B44" s="7"/>
      <c r="C44" s="195"/>
      <c r="D44" s="196"/>
      <c r="E44" s="196"/>
      <c r="F44" s="197"/>
      <c r="G44" s="198"/>
      <c r="H44" s="199"/>
      <c r="I44" s="199"/>
      <c r="J44" s="200"/>
      <c r="K44" s="201"/>
      <c r="L44" s="196"/>
      <c r="M44" s="196"/>
      <c r="N44" s="19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>
      <c r="A45" s="8"/>
      <c r="B45" s="7"/>
      <c r="C45" s="195"/>
      <c r="D45" s="196"/>
      <c r="E45" s="196"/>
      <c r="F45" s="197"/>
      <c r="G45" s="198"/>
      <c r="H45" s="199"/>
      <c r="I45" s="199"/>
      <c r="J45" s="200"/>
      <c r="K45" s="201"/>
      <c r="L45" s="196"/>
      <c r="M45" s="196"/>
      <c r="N45" s="19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>
      <c r="A46" s="8"/>
      <c r="B46" s="7"/>
      <c r="C46" s="195"/>
      <c r="D46" s="196"/>
      <c r="E46" s="196"/>
      <c r="F46" s="197"/>
      <c r="G46" s="198"/>
      <c r="H46" s="199"/>
      <c r="I46" s="199"/>
      <c r="J46" s="200"/>
      <c r="K46" s="201"/>
      <c r="L46" s="196"/>
      <c r="M46" s="196"/>
      <c r="N46" s="19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>
      <c r="A47" s="8"/>
      <c r="B47" s="7"/>
      <c r="C47" s="195"/>
      <c r="D47" s="196"/>
      <c r="E47" s="196"/>
      <c r="F47" s="197"/>
      <c r="G47" s="198"/>
      <c r="H47" s="199"/>
      <c r="I47" s="199"/>
      <c r="J47" s="200"/>
      <c r="K47" s="201"/>
      <c r="L47" s="196"/>
      <c r="M47" s="196"/>
      <c r="N47" s="19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>
      <c r="A2" s="32"/>
      <c r="B2" s="176" t="s">
        <v>0</v>
      </c>
      <c r="C2" s="177"/>
      <c r="D2" s="177"/>
      <c r="E2" s="177"/>
      <c r="F2" s="177"/>
      <c r="G2" s="177"/>
      <c r="H2" s="177" t="s">
        <v>17</v>
      </c>
      <c r="I2" s="177"/>
      <c r="J2" s="177"/>
      <c r="K2" s="177"/>
      <c r="L2" s="177" t="s">
        <v>371</v>
      </c>
      <c r="M2" s="177"/>
      <c r="N2" s="177"/>
      <c r="O2" s="177"/>
      <c r="P2" s="177"/>
      <c r="Q2" s="177"/>
      <c r="R2" s="177" t="s">
        <v>2</v>
      </c>
      <c r="S2" s="177"/>
      <c r="T2" s="177"/>
      <c r="U2" s="177"/>
      <c r="V2" s="177"/>
      <c r="W2" s="177"/>
      <c r="X2" s="178" t="s">
        <v>3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32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7" t="s">
        <v>5</v>
      </c>
      <c r="AY2" s="177"/>
      <c r="AZ2" s="177"/>
      <c r="BA2" s="177"/>
      <c r="BB2" s="177" t="s">
        <v>4</v>
      </c>
      <c r="BC2" s="177"/>
      <c r="BD2" s="177"/>
      <c r="BE2" s="177"/>
      <c r="BF2" s="177" t="s">
        <v>6</v>
      </c>
      <c r="BG2" s="177"/>
      <c r="BH2" s="177"/>
      <c r="BI2" s="177"/>
      <c r="BJ2" s="177" t="s">
        <v>7</v>
      </c>
      <c r="BK2" s="177"/>
      <c r="BL2" s="177"/>
      <c r="BM2" s="191"/>
      <c r="BN2" s="35"/>
    </row>
    <row r="3" spans="1:66" ht="20.100000000000001" customHeight="1">
      <c r="A3" s="32"/>
      <c r="B3" s="181" t="str">
        <f>変更履歴!B3</f>
        <v>受発注システム</v>
      </c>
      <c r="C3" s="182"/>
      <c r="D3" s="182"/>
      <c r="E3" s="182"/>
      <c r="F3" s="182"/>
      <c r="G3" s="182"/>
      <c r="H3" s="182" t="str">
        <f ca="1">変更履歴!H3</f>
        <v>MT1400</v>
      </c>
      <c r="I3" s="182"/>
      <c r="J3" s="182"/>
      <c r="K3" s="182"/>
      <c r="L3" s="182" t="str">
        <f>変更履歴!L3</f>
        <v>受発注</v>
      </c>
      <c r="M3" s="182"/>
      <c r="N3" s="182"/>
      <c r="O3" s="182"/>
      <c r="P3" s="182"/>
      <c r="Q3" s="182"/>
      <c r="R3" s="182" t="str">
        <f ca="1">変更履歴!R3</f>
        <v>帳票設計書</v>
      </c>
      <c r="S3" s="182"/>
      <c r="T3" s="182"/>
      <c r="U3" s="182"/>
      <c r="V3" s="182"/>
      <c r="W3" s="182"/>
      <c r="X3" s="186" t="str">
        <f ca="1">変更履歴!X3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変更履歴!AK3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f>変更履歴!AX3</f>
        <v>45582</v>
      </c>
      <c r="AY3" s="193"/>
      <c r="AZ3" s="193"/>
      <c r="BA3" s="193"/>
      <c r="BB3" s="182" t="str">
        <f>変更履歴!BB3</f>
        <v>大谷</v>
      </c>
      <c r="BC3" s="182"/>
      <c r="BD3" s="182"/>
      <c r="BE3" s="182"/>
      <c r="BF3" s="193">
        <f>変更履歴!BF3</f>
        <v>45582</v>
      </c>
      <c r="BG3" s="193"/>
      <c r="BH3" s="193"/>
      <c r="BI3" s="193"/>
      <c r="BJ3" s="182" t="str">
        <f>変更履歴!BJ3</f>
        <v>大谷</v>
      </c>
      <c r="BK3" s="182"/>
      <c r="BL3" s="182"/>
      <c r="BM3" s="194"/>
      <c r="BN3" s="35"/>
    </row>
    <row r="4" spans="1:66" ht="20.100000000000001" customHeight="1" thickBot="1">
      <c r="A4" s="32"/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202"/>
      <c r="AY4" s="202"/>
      <c r="AZ4" s="202"/>
      <c r="BA4" s="202"/>
      <c r="BB4" s="184"/>
      <c r="BC4" s="184"/>
      <c r="BD4" s="184"/>
      <c r="BE4" s="184"/>
      <c r="BF4" s="202"/>
      <c r="BG4" s="202"/>
      <c r="BH4" s="202"/>
      <c r="BI4" s="202"/>
      <c r="BJ4" s="184"/>
      <c r="BK4" s="184"/>
      <c r="BL4" s="184"/>
      <c r="BM4" s="186"/>
      <c r="BN4" s="35"/>
    </row>
    <row r="5" spans="1:66" ht="5.25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出荷リスト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>
      <c r="A8" s="32"/>
      <c r="B8" s="31"/>
      <c r="C8" s="32"/>
      <c r="D8" s="59" t="s">
        <v>25</v>
      </c>
      <c r="E8" s="50"/>
      <c r="F8" s="50"/>
      <c r="G8" s="56"/>
      <c r="H8" s="51" t="s">
        <v>89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>
      <c r="A9" s="32"/>
      <c r="B9" s="31"/>
      <c r="C9" s="32"/>
      <c r="D9" s="59" t="s">
        <v>23</v>
      </c>
      <c r="E9" s="50"/>
      <c r="F9" s="50"/>
      <c r="G9" s="56"/>
      <c r="H9" s="51" t="s">
        <v>90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>
      <c r="A10" s="32"/>
      <c r="B10" s="31"/>
      <c r="C10" s="32"/>
      <c r="D10" s="59" t="s">
        <v>26</v>
      </c>
      <c r="E10" s="50"/>
      <c r="F10" s="50"/>
      <c r="G10" s="56"/>
      <c r="H10" s="54" t="s">
        <v>91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>
      <c r="A11" s="32"/>
      <c r="B11" s="31"/>
      <c r="C11" s="31"/>
      <c r="D11" s="59" t="s">
        <v>27</v>
      </c>
      <c r="E11" s="50"/>
      <c r="F11" s="50"/>
      <c r="G11" s="56"/>
      <c r="H11" s="54" t="s">
        <v>92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>
      <c r="A12" s="32"/>
      <c r="B12" s="31"/>
      <c r="C12" s="31"/>
      <c r="D12" s="59" t="s">
        <v>28</v>
      </c>
      <c r="E12" s="50"/>
      <c r="F12" s="50"/>
      <c r="G12" s="56"/>
      <c r="H12" s="54" t="s">
        <v>92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>
      <c r="A13" s="32"/>
      <c r="B13" s="31"/>
      <c r="C13" s="31"/>
      <c r="D13" s="59" t="s">
        <v>29</v>
      </c>
      <c r="E13" s="50"/>
      <c r="F13" s="50"/>
      <c r="G13" s="56"/>
      <c r="H13" s="54" t="s">
        <v>93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>
      <c r="A14" s="32"/>
      <c r="B14" s="31"/>
      <c r="C14" s="31"/>
      <c r="D14" s="59" t="s">
        <v>30</v>
      </c>
      <c r="E14" s="50"/>
      <c r="F14" s="50"/>
      <c r="G14" s="56"/>
      <c r="H14" s="51" t="s">
        <v>94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>
      <c r="A15" s="32"/>
      <c r="B15" s="31"/>
      <c r="C15" s="31"/>
      <c r="D15" s="59" t="s">
        <v>44</v>
      </c>
      <c r="E15" s="50"/>
      <c r="F15" s="50"/>
      <c r="G15" s="56"/>
      <c r="H15" s="54" t="s">
        <v>368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>
      <c r="A2" s="9"/>
      <c r="B2" s="176" t="s">
        <v>0</v>
      </c>
      <c r="C2" s="177"/>
      <c r="D2" s="177"/>
      <c r="E2" s="177"/>
      <c r="F2" s="177"/>
      <c r="G2" s="177"/>
      <c r="H2" s="177" t="s">
        <v>17</v>
      </c>
      <c r="I2" s="177"/>
      <c r="J2" s="177"/>
      <c r="K2" s="177"/>
      <c r="L2" s="177" t="s">
        <v>371</v>
      </c>
      <c r="M2" s="177"/>
      <c r="N2" s="177"/>
      <c r="O2" s="177"/>
      <c r="P2" s="177"/>
      <c r="Q2" s="177"/>
      <c r="R2" s="177" t="s">
        <v>2</v>
      </c>
      <c r="S2" s="177"/>
      <c r="T2" s="177"/>
      <c r="U2" s="177"/>
      <c r="V2" s="177"/>
      <c r="W2" s="177"/>
      <c r="X2" s="178" t="s">
        <v>3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32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7" t="s">
        <v>5</v>
      </c>
      <c r="AY2" s="177"/>
      <c r="AZ2" s="177"/>
      <c r="BA2" s="177"/>
      <c r="BB2" s="177" t="s">
        <v>4</v>
      </c>
      <c r="BC2" s="177"/>
      <c r="BD2" s="177"/>
      <c r="BE2" s="177"/>
      <c r="BF2" s="177" t="s">
        <v>6</v>
      </c>
      <c r="BG2" s="177"/>
      <c r="BH2" s="177"/>
      <c r="BI2" s="177"/>
      <c r="BJ2" s="177" t="s">
        <v>7</v>
      </c>
      <c r="BK2" s="177"/>
      <c r="BL2" s="177"/>
      <c r="BM2" s="191"/>
      <c r="BN2" s="15"/>
    </row>
    <row r="3" spans="1:66" ht="20.100000000000001" customHeight="1">
      <c r="A3" s="9"/>
      <c r="B3" s="181" t="str">
        <f>変更履歴!B3</f>
        <v>受発注システム</v>
      </c>
      <c r="C3" s="182"/>
      <c r="D3" s="182"/>
      <c r="E3" s="182"/>
      <c r="F3" s="182"/>
      <c r="G3" s="182"/>
      <c r="H3" s="182" t="str">
        <f ca="1">変更履歴!H3</f>
        <v>MT1400</v>
      </c>
      <c r="I3" s="182"/>
      <c r="J3" s="182"/>
      <c r="K3" s="182"/>
      <c r="L3" s="182" t="str">
        <f>変更履歴!L3</f>
        <v>受発注</v>
      </c>
      <c r="M3" s="182"/>
      <c r="N3" s="182"/>
      <c r="O3" s="182"/>
      <c r="P3" s="182"/>
      <c r="Q3" s="182"/>
      <c r="R3" s="182" t="str">
        <f ca="1">変更履歴!R3</f>
        <v>帳票設計書</v>
      </c>
      <c r="S3" s="182"/>
      <c r="T3" s="182"/>
      <c r="U3" s="182"/>
      <c r="V3" s="182"/>
      <c r="W3" s="182"/>
      <c r="X3" s="186" t="str">
        <f ca="1">変更履歴!X3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変更履歴!AK3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f>変更履歴!AX3</f>
        <v>45582</v>
      </c>
      <c r="AY3" s="193"/>
      <c r="AZ3" s="193"/>
      <c r="BA3" s="193"/>
      <c r="BB3" s="182" t="str">
        <f>変更履歴!BB3</f>
        <v>大谷</v>
      </c>
      <c r="BC3" s="182"/>
      <c r="BD3" s="182"/>
      <c r="BE3" s="182"/>
      <c r="BF3" s="193">
        <f>変更履歴!BF3</f>
        <v>45582</v>
      </c>
      <c r="BG3" s="193"/>
      <c r="BH3" s="193"/>
      <c r="BI3" s="193"/>
      <c r="BJ3" s="182" t="str">
        <f>変更履歴!BJ3</f>
        <v>大谷</v>
      </c>
      <c r="BK3" s="182"/>
      <c r="BL3" s="182"/>
      <c r="BM3" s="194"/>
      <c r="BN3" s="15"/>
    </row>
    <row r="4" spans="1:66" ht="20.100000000000001" customHeight="1" thickBot="1">
      <c r="A4" s="9"/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202"/>
      <c r="AY4" s="202"/>
      <c r="AZ4" s="202"/>
      <c r="BA4" s="202"/>
      <c r="BB4" s="184"/>
      <c r="BC4" s="184"/>
      <c r="BD4" s="184"/>
      <c r="BE4" s="184"/>
      <c r="BF4" s="202"/>
      <c r="BG4" s="202"/>
      <c r="BH4" s="202"/>
      <c r="BI4" s="202"/>
      <c r="BJ4" s="184"/>
      <c r="BK4" s="184"/>
      <c r="BL4" s="184"/>
      <c r="BM4" s="186"/>
      <c r="BN4" s="15"/>
    </row>
    <row r="5" spans="1:66" ht="5.25" customHeight="1" thickTop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Normal="100" zoomScaleSheetLayoutView="100" workbookViewId="0"/>
  </sheetViews>
  <sheetFormatPr defaultColWidth="3.59765625" defaultRowHeight="20.100000000000001" customHeight="1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>
      <c r="A2" s="9"/>
      <c r="B2" s="176" t="s">
        <v>0</v>
      </c>
      <c r="C2" s="177"/>
      <c r="D2" s="177"/>
      <c r="E2" s="177"/>
      <c r="F2" s="177"/>
      <c r="G2" s="177"/>
      <c r="H2" s="177" t="s">
        <v>17</v>
      </c>
      <c r="I2" s="177"/>
      <c r="J2" s="177"/>
      <c r="K2" s="177"/>
      <c r="L2" s="177" t="s">
        <v>371</v>
      </c>
      <c r="M2" s="177"/>
      <c r="N2" s="177"/>
      <c r="O2" s="177"/>
      <c r="P2" s="177"/>
      <c r="Q2" s="177"/>
      <c r="R2" s="177" t="s">
        <v>2</v>
      </c>
      <c r="S2" s="177"/>
      <c r="T2" s="177"/>
      <c r="U2" s="177"/>
      <c r="V2" s="177"/>
      <c r="W2" s="177"/>
      <c r="X2" s="178" t="s">
        <v>3</v>
      </c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K2" s="178" t="s">
        <v>32</v>
      </c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80"/>
      <c r="AX2" s="177" t="s">
        <v>5</v>
      </c>
      <c r="AY2" s="177"/>
      <c r="AZ2" s="177"/>
      <c r="BA2" s="177"/>
      <c r="BB2" s="177" t="s">
        <v>4</v>
      </c>
      <c r="BC2" s="177"/>
      <c r="BD2" s="177"/>
      <c r="BE2" s="177"/>
      <c r="BF2" s="177" t="s">
        <v>6</v>
      </c>
      <c r="BG2" s="177"/>
      <c r="BH2" s="177"/>
      <c r="BI2" s="177"/>
      <c r="BJ2" s="177" t="s">
        <v>7</v>
      </c>
      <c r="BK2" s="177"/>
      <c r="BL2" s="177"/>
      <c r="BM2" s="191"/>
      <c r="BN2" s="15"/>
    </row>
    <row r="3" spans="1:85" ht="20.100000000000001" customHeight="1">
      <c r="A3" s="9"/>
      <c r="B3" s="181" t="str">
        <f>変更履歴!B3</f>
        <v>受発注システム</v>
      </c>
      <c r="C3" s="182"/>
      <c r="D3" s="182"/>
      <c r="E3" s="182"/>
      <c r="F3" s="182"/>
      <c r="G3" s="182"/>
      <c r="H3" s="182" t="str">
        <f ca="1">変更履歴!H3</f>
        <v>MT1400</v>
      </c>
      <c r="I3" s="182"/>
      <c r="J3" s="182"/>
      <c r="K3" s="182"/>
      <c r="L3" s="182" t="str">
        <f>変更履歴!L3</f>
        <v>受発注</v>
      </c>
      <c r="M3" s="182"/>
      <c r="N3" s="182"/>
      <c r="O3" s="182"/>
      <c r="P3" s="182"/>
      <c r="Q3" s="182"/>
      <c r="R3" s="182" t="str">
        <f ca="1">変更履歴!R3</f>
        <v>帳票設計書</v>
      </c>
      <c r="S3" s="182"/>
      <c r="T3" s="182"/>
      <c r="U3" s="182"/>
      <c r="V3" s="182"/>
      <c r="W3" s="182"/>
      <c r="X3" s="186" t="str">
        <f ca="1">変更履歴!X3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変更履歴!AK3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f>変更履歴!AX3</f>
        <v>45582</v>
      </c>
      <c r="AY3" s="193"/>
      <c r="AZ3" s="193"/>
      <c r="BA3" s="193"/>
      <c r="BB3" s="182" t="str">
        <f>変更履歴!BB3</f>
        <v>大谷</v>
      </c>
      <c r="BC3" s="182"/>
      <c r="BD3" s="182"/>
      <c r="BE3" s="182"/>
      <c r="BF3" s="193">
        <f>変更履歴!BF3</f>
        <v>45582</v>
      </c>
      <c r="BG3" s="193"/>
      <c r="BH3" s="193"/>
      <c r="BI3" s="193"/>
      <c r="BJ3" s="182" t="str">
        <f>変更履歴!BJ3</f>
        <v>大谷</v>
      </c>
      <c r="BK3" s="182"/>
      <c r="BL3" s="182"/>
      <c r="BM3" s="194"/>
      <c r="BN3" s="15"/>
    </row>
    <row r="4" spans="1:85" ht="20.100000000000001" customHeight="1" thickBot="1">
      <c r="A4" s="9"/>
      <c r="B4" s="183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202"/>
      <c r="AY4" s="202"/>
      <c r="AZ4" s="202"/>
      <c r="BA4" s="202"/>
      <c r="BB4" s="184"/>
      <c r="BC4" s="184"/>
      <c r="BD4" s="184"/>
      <c r="BE4" s="184"/>
      <c r="BF4" s="202"/>
      <c r="BG4" s="202"/>
      <c r="BH4" s="202"/>
      <c r="BI4" s="202"/>
      <c r="BJ4" s="184"/>
      <c r="BK4" s="184"/>
      <c r="BL4" s="184"/>
      <c r="BM4" s="186"/>
      <c r="BN4" s="15"/>
    </row>
    <row r="5" spans="1:85" ht="5.25" customHeight="1" thickTop="1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>
      <c r="A9" s="30"/>
      <c r="B9" s="35"/>
      <c r="C9" s="39" t="s">
        <v>46</v>
      </c>
      <c r="D9" s="34"/>
      <c r="E9" s="34"/>
      <c r="F9" s="88" t="s">
        <v>51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>
      <c r="A10" s="30"/>
      <c r="B10" s="44"/>
      <c r="C10" s="32"/>
      <c r="D10" s="38" t="s">
        <v>19</v>
      </c>
      <c r="E10" s="227" t="s">
        <v>20</v>
      </c>
      <c r="F10" s="228"/>
      <c r="G10" s="228"/>
      <c r="H10" s="228"/>
      <c r="I10" s="228"/>
      <c r="J10" s="228"/>
      <c r="K10" s="228"/>
      <c r="L10" s="229"/>
      <c r="M10" s="203" t="s">
        <v>24</v>
      </c>
      <c r="N10" s="204"/>
      <c r="O10" s="204"/>
      <c r="P10" s="203" t="s">
        <v>33</v>
      </c>
      <c r="Q10" s="204"/>
      <c r="R10" s="204"/>
      <c r="S10" s="203" t="s">
        <v>34</v>
      </c>
      <c r="T10" s="204"/>
      <c r="U10" s="204"/>
      <c r="V10" s="203" t="s">
        <v>36</v>
      </c>
      <c r="W10" s="204"/>
      <c r="X10" s="204"/>
      <c r="Y10" s="204"/>
      <c r="Z10" s="204"/>
      <c r="AA10" s="205"/>
      <c r="AB10" s="203" t="s">
        <v>35</v>
      </c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5"/>
      <c r="AR10" s="203" t="s">
        <v>42</v>
      </c>
      <c r="AS10" s="204"/>
      <c r="AT10" s="204"/>
      <c r="AU10" s="204"/>
      <c r="AV10" s="204"/>
      <c r="AW10" s="205"/>
      <c r="AX10" s="203" t="s">
        <v>43</v>
      </c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1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>
      <c r="A11" s="30"/>
      <c r="B11" s="44"/>
      <c r="C11" s="32"/>
      <c r="D11" s="37">
        <v>1</v>
      </c>
      <c r="E11" s="224" t="s">
        <v>192</v>
      </c>
      <c r="F11" s="225"/>
      <c r="G11" s="225"/>
      <c r="H11" s="225"/>
      <c r="I11" s="225"/>
      <c r="J11" s="225"/>
      <c r="K11" s="225"/>
      <c r="L11" s="226"/>
      <c r="M11" s="201" t="s">
        <v>8</v>
      </c>
      <c r="N11" s="196"/>
      <c r="O11" s="196"/>
      <c r="P11" s="201" t="s">
        <v>193</v>
      </c>
      <c r="Q11" s="196"/>
      <c r="R11" s="196"/>
      <c r="S11" s="201">
        <v>8</v>
      </c>
      <c r="T11" s="196"/>
      <c r="U11" s="196"/>
      <c r="V11" s="220" t="s">
        <v>355</v>
      </c>
      <c r="W11" s="221"/>
      <c r="X11" s="221"/>
      <c r="Y11" s="221"/>
      <c r="Z11" s="221"/>
      <c r="AA11" s="222"/>
      <c r="AB11" s="210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9"/>
      <c r="AR11" s="201"/>
      <c r="AS11" s="196"/>
      <c r="AT11" s="196"/>
      <c r="AU11" s="196"/>
      <c r="AV11" s="196"/>
      <c r="AW11" s="197"/>
      <c r="AX11" s="211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>
      <c r="A12" s="30"/>
      <c r="B12" s="44"/>
      <c r="C12" s="32"/>
      <c r="D12" s="37">
        <v>2</v>
      </c>
      <c r="E12" s="224" t="s">
        <v>110</v>
      </c>
      <c r="F12" s="225"/>
      <c r="G12" s="225"/>
      <c r="H12" s="225"/>
      <c r="I12" s="225"/>
      <c r="J12" s="225"/>
      <c r="K12" s="225"/>
      <c r="L12" s="226"/>
      <c r="M12" s="201" t="s">
        <v>47</v>
      </c>
      <c r="N12" s="196"/>
      <c r="O12" s="196"/>
      <c r="P12" s="201" t="s">
        <v>129</v>
      </c>
      <c r="Q12" s="196"/>
      <c r="R12" s="196"/>
      <c r="S12" s="201">
        <v>11</v>
      </c>
      <c r="T12" s="196"/>
      <c r="U12" s="196"/>
      <c r="V12" s="220" t="s">
        <v>132</v>
      </c>
      <c r="W12" s="221"/>
      <c r="X12" s="221"/>
      <c r="Y12" s="221"/>
      <c r="Z12" s="221"/>
      <c r="AA12" s="222"/>
      <c r="AB12" s="210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9"/>
      <c r="AR12" s="201" t="s">
        <v>194</v>
      </c>
      <c r="AS12" s="196"/>
      <c r="AT12" s="196"/>
      <c r="AU12" s="196"/>
      <c r="AV12" s="196"/>
      <c r="AW12" s="197"/>
      <c r="AX12" s="211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>
      <c r="A13" s="30"/>
      <c r="B13" s="44"/>
      <c r="C13" s="36"/>
      <c r="D13" s="37">
        <v>3</v>
      </c>
      <c r="E13" s="224" t="s">
        <v>111</v>
      </c>
      <c r="F13" s="225"/>
      <c r="G13" s="225"/>
      <c r="H13" s="225"/>
      <c r="I13" s="225"/>
      <c r="J13" s="225"/>
      <c r="K13" s="225"/>
      <c r="L13" s="226"/>
      <c r="M13" s="201" t="s">
        <v>38</v>
      </c>
      <c r="N13" s="196"/>
      <c r="O13" s="196"/>
      <c r="P13" s="201" t="s">
        <v>130</v>
      </c>
      <c r="Q13" s="196"/>
      <c r="R13" s="196"/>
      <c r="S13" s="194" t="s">
        <v>131</v>
      </c>
      <c r="T13" s="219"/>
      <c r="U13" s="219"/>
      <c r="V13" s="211" t="s">
        <v>133</v>
      </c>
      <c r="W13" s="212"/>
      <c r="X13" s="212"/>
      <c r="Y13" s="212"/>
      <c r="Z13" s="212"/>
      <c r="AA13" s="218"/>
      <c r="AB13" s="210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9"/>
      <c r="AR13" s="201"/>
      <c r="AS13" s="196"/>
      <c r="AT13" s="196"/>
      <c r="AU13" s="196"/>
      <c r="AV13" s="196"/>
      <c r="AW13" s="197"/>
      <c r="AX13" s="211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3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>
      <c r="A14" s="30"/>
      <c r="B14" s="44"/>
      <c r="C14" s="36"/>
      <c r="D14" s="37">
        <v>4</v>
      </c>
      <c r="E14" s="224" t="s">
        <v>112</v>
      </c>
      <c r="F14" s="225"/>
      <c r="G14" s="225"/>
      <c r="H14" s="225"/>
      <c r="I14" s="225"/>
      <c r="J14" s="225"/>
      <c r="K14" s="225"/>
      <c r="L14" s="226"/>
      <c r="M14" s="201" t="s">
        <v>38</v>
      </c>
      <c r="N14" s="196"/>
      <c r="O14" s="196"/>
      <c r="P14" s="201" t="s">
        <v>130</v>
      </c>
      <c r="Q14" s="196"/>
      <c r="R14" s="196"/>
      <c r="S14" s="194" t="s">
        <v>131</v>
      </c>
      <c r="T14" s="219"/>
      <c r="U14" s="219"/>
      <c r="V14" s="211" t="s">
        <v>134</v>
      </c>
      <c r="W14" s="212"/>
      <c r="X14" s="212"/>
      <c r="Y14" s="212"/>
      <c r="Z14" s="212"/>
      <c r="AA14" s="218"/>
      <c r="AB14" s="210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9"/>
      <c r="AR14" s="201"/>
      <c r="AS14" s="196"/>
      <c r="AT14" s="196"/>
      <c r="AU14" s="196"/>
      <c r="AV14" s="196"/>
      <c r="AW14" s="197"/>
      <c r="AX14" s="211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>
      <c r="A15" s="30"/>
      <c r="B15" s="44"/>
      <c r="C15" s="36"/>
      <c r="D15" s="37">
        <v>5</v>
      </c>
      <c r="E15" s="224" t="s">
        <v>113</v>
      </c>
      <c r="F15" s="225"/>
      <c r="G15" s="225"/>
      <c r="H15" s="225"/>
      <c r="I15" s="225"/>
      <c r="J15" s="225"/>
      <c r="K15" s="225"/>
      <c r="L15" s="226"/>
      <c r="M15" s="201" t="s">
        <v>47</v>
      </c>
      <c r="N15" s="196"/>
      <c r="O15" s="196"/>
      <c r="P15" s="201" t="s">
        <v>129</v>
      </c>
      <c r="Q15" s="196"/>
      <c r="R15" s="196"/>
      <c r="S15" s="194" t="s">
        <v>131</v>
      </c>
      <c r="T15" s="219"/>
      <c r="U15" s="219"/>
      <c r="V15" s="211" t="s">
        <v>135</v>
      </c>
      <c r="W15" s="212"/>
      <c r="X15" s="212"/>
      <c r="Y15" s="212"/>
      <c r="Z15" s="212"/>
      <c r="AA15" s="218"/>
      <c r="AB15" s="210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9"/>
      <c r="AR15" s="201"/>
      <c r="AS15" s="196"/>
      <c r="AT15" s="196"/>
      <c r="AU15" s="196"/>
      <c r="AV15" s="196"/>
      <c r="AW15" s="197"/>
      <c r="AX15" s="211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>
      <c r="A16" s="30"/>
      <c r="B16" s="44"/>
      <c r="C16" s="30"/>
      <c r="D16" s="37">
        <v>6</v>
      </c>
      <c r="E16" s="224" t="s">
        <v>114</v>
      </c>
      <c r="F16" s="225"/>
      <c r="G16" s="225"/>
      <c r="H16" s="225"/>
      <c r="I16" s="225"/>
      <c r="J16" s="225"/>
      <c r="K16" s="225"/>
      <c r="L16" s="226"/>
      <c r="M16" s="201" t="s">
        <v>47</v>
      </c>
      <c r="N16" s="196"/>
      <c r="O16" s="196"/>
      <c r="P16" s="201" t="s">
        <v>129</v>
      </c>
      <c r="Q16" s="196"/>
      <c r="R16" s="196"/>
      <c r="S16" s="201">
        <v>7</v>
      </c>
      <c r="T16" s="196"/>
      <c r="U16" s="196"/>
      <c r="V16" s="211" t="s">
        <v>137</v>
      </c>
      <c r="W16" s="212"/>
      <c r="X16" s="212"/>
      <c r="Y16" s="212"/>
      <c r="Z16" s="212"/>
      <c r="AA16" s="218"/>
      <c r="AB16" s="210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9"/>
      <c r="AR16" s="201" t="s">
        <v>136</v>
      </c>
      <c r="AS16" s="196"/>
      <c r="AT16" s="196"/>
      <c r="AU16" s="196"/>
      <c r="AV16" s="196"/>
      <c r="AW16" s="197"/>
      <c r="AX16" s="211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>
      <c r="A17" s="30"/>
      <c r="B17" s="44"/>
      <c r="C17"/>
      <c r="D17" s="37">
        <v>7</v>
      </c>
      <c r="E17" s="224" t="s">
        <v>115</v>
      </c>
      <c r="F17" s="225"/>
      <c r="G17" s="225"/>
      <c r="H17" s="225"/>
      <c r="I17" s="225"/>
      <c r="J17" s="225"/>
      <c r="K17" s="225"/>
      <c r="L17" s="226"/>
      <c r="M17" s="201" t="s">
        <v>47</v>
      </c>
      <c r="N17" s="196"/>
      <c r="O17" s="196"/>
      <c r="P17" s="201" t="s">
        <v>129</v>
      </c>
      <c r="Q17" s="196"/>
      <c r="R17" s="196"/>
      <c r="S17" s="201">
        <v>10</v>
      </c>
      <c r="T17" s="196"/>
      <c r="U17" s="196"/>
      <c r="V17" s="211" t="s">
        <v>139</v>
      </c>
      <c r="W17" s="212"/>
      <c r="X17" s="212"/>
      <c r="Y17" s="212"/>
      <c r="Z17" s="212"/>
      <c r="AA17" s="218"/>
      <c r="AB17" s="210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9"/>
      <c r="AR17" s="201" t="s">
        <v>138</v>
      </c>
      <c r="AS17" s="196"/>
      <c r="AT17" s="196"/>
      <c r="AU17" s="196"/>
      <c r="AV17" s="196"/>
      <c r="AW17" s="197"/>
      <c r="AX17" s="211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>
      <c r="A18" s="29"/>
      <c r="B18" s="35"/>
      <c r="C18"/>
      <c r="D18" s="37">
        <v>8</v>
      </c>
      <c r="E18" s="224" t="s">
        <v>116</v>
      </c>
      <c r="F18" s="225"/>
      <c r="G18" s="225"/>
      <c r="H18" s="225"/>
      <c r="I18" s="225"/>
      <c r="J18" s="225"/>
      <c r="K18" s="225"/>
      <c r="L18" s="226"/>
      <c r="M18" s="201" t="s">
        <v>38</v>
      </c>
      <c r="N18" s="196"/>
      <c r="O18" s="196"/>
      <c r="P18" s="201" t="s">
        <v>130</v>
      </c>
      <c r="Q18" s="196"/>
      <c r="R18" s="196"/>
      <c r="S18" s="194" t="s">
        <v>131</v>
      </c>
      <c r="T18" s="219"/>
      <c r="U18" s="219"/>
      <c r="V18" s="214" t="s">
        <v>356</v>
      </c>
      <c r="W18" s="215"/>
      <c r="X18" s="215"/>
      <c r="Y18" s="215"/>
      <c r="Z18" s="215"/>
      <c r="AA18" s="223"/>
      <c r="AB18" s="210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9"/>
      <c r="AR18" s="201"/>
      <c r="AS18" s="196"/>
      <c r="AT18" s="196"/>
      <c r="AU18" s="196"/>
      <c r="AV18" s="196"/>
      <c r="AW18" s="197"/>
      <c r="AX18" s="214" t="s">
        <v>362</v>
      </c>
      <c r="AY18" s="215"/>
      <c r="AZ18" s="215"/>
      <c r="BA18" s="215"/>
      <c r="BB18" s="215"/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6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>
      <c r="A19" s="29"/>
      <c r="B19" s="35"/>
      <c r="C19"/>
      <c r="D19" s="37">
        <v>9</v>
      </c>
      <c r="E19" s="224" t="s">
        <v>364</v>
      </c>
      <c r="F19" s="225"/>
      <c r="G19" s="225"/>
      <c r="H19" s="225"/>
      <c r="I19" s="225"/>
      <c r="J19" s="225"/>
      <c r="K19" s="225"/>
      <c r="L19" s="226"/>
      <c r="M19" s="201" t="s">
        <v>38</v>
      </c>
      <c r="N19" s="196"/>
      <c r="O19" s="196"/>
      <c r="P19" s="201" t="s">
        <v>130</v>
      </c>
      <c r="Q19" s="196"/>
      <c r="R19" s="196"/>
      <c r="S19" s="194" t="s">
        <v>131</v>
      </c>
      <c r="T19" s="219"/>
      <c r="U19" s="219"/>
      <c r="V19" s="211" t="s">
        <v>366</v>
      </c>
      <c r="W19" s="212"/>
      <c r="X19" s="212"/>
      <c r="Y19" s="212"/>
      <c r="Z19" s="212"/>
      <c r="AA19" s="218"/>
      <c r="AB19" s="210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9"/>
      <c r="AR19" s="201"/>
      <c r="AS19" s="196"/>
      <c r="AT19" s="196"/>
      <c r="AU19" s="196"/>
      <c r="AV19" s="196"/>
      <c r="AW19" s="197"/>
      <c r="AX19" s="211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>
      <c r="A20" s="29"/>
      <c r="B20" s="35"/>
      <c r="C20"/>
      <c r="D20" s="37">
        <v>10</v>
      </c>
      <c r="E20" s="224" t="s">
        <v>365</v>
      </c>
      <c r="F20" s="225"/>
      <c r="G20" s="225"/>
      <c r="H20" s="225"/>
      <c r="I20" s="225"/>
      <c r="J20" s="225"/>
      <c r="K20" s="225"/>
      <c r="L20" s="226"/>
      <c r="M20" s="201" t="s">
        <v>38</v>
      </c>
      <c r="N20" s="196"/>
      <c r="O20" s="196"/>
      <c r="P20" s="201" t="s">
        <v>130</v>
      </c>
      <c r="Q20" s="196"/>
      <c r="R20" s="196"/>
      <c r="S20" s="194" t="s">
        <v>131</v>
      </c>
      <c r="T20" s="219"/>
      <c r="U20" s="219"/>
      <c r="V20" s="211" t="s">
        <v>367</v>
      </c>
      <c r="W20" s="212"/>
      <c r="X20" s="212"/>
      <c r="Y20" s="212"/>
      <c r="Z20" s="212"/>
      <c r="AA20" s="218"/>
      <c r="AB20" s="210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9"/>
      <c r="AR20" s="201"/>
      <c r="AS20" s="196"/>
      <c r="AT20" s="196"/>
      <c r="AU20" s="196"/>
      <c r="AV20" s="196"/>
      <c r="AW20" s="197"/>
      <c r="AX20" s="211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>
      <c r="A21" s="29"/>
      <c r="B21" s="35"/>
      <c r="C21"/>
      <c r="D21" s="37">
        <v>11</v>
      </c>
      <c r="E21" s="224" t="s">
        <v>46</v>
      </c>
      <c r="F21" s="225"/>
      <c r="G21" s="225"/>
      <c r="H21" s="225"/>
      <c r="I21" s="225"/>
      <c r="J21" s="225"/>
      <c r="K21" s="225"/>
      <c r="L21" s="226"/>
      <c r="M21" s="201" t="s">
        <v>47</v>
      </c>
      <c r="N21" s="196"/>
      <c r="O21" s="196"/>
      <c r="P21" s="201" t="s">
        <v>129</v>
      </c>
      <c r="Q21" s="196"/>
      <c r="R21" s="196"/>
      <c r="S21" s="201">
        <v>8</v>
      </c>
      <c r="T21" s="196"/>
      <c r="U21" s="196"/>
      <c r="V21" s="211" t="s">
        <v>141</v>
      </c>
      <c r="W21" s="212"/>
      <c r="X21" s="212"/>
      <c r="Y21" s="212"/>
      <c r="Z21" s="212"/>
      <c r="AA21" s="218"/>
      <c r="AB21" s="210" t="s">
        <v>140</v>
      </c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9"/>
      <c r="AR21" s="201"/>
      <c r="AS21" s="196"/>
      <c r="AT21" s="196"/>
      <c r="AU21" s="196"/>
      <c r="AV21" s="196"/>
      <c r="AW21" s="197"/>
      <c r="AX21" s="211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2"/>
      <c r="BJ21" s="212"/>
      <c r="BK21" s="212"/>
      <c r="BL21" s="212"/>
      <c r="BM21" s="212"/>
      <c r="BN21" s="212"/>
      <c r="BO21" s="212"/>
      <c r="BP21" s="212"/>
      <c r="BQ21" s="212"/>
      <c r="BR21" s="212"/>
      <c r="BS21" s="212"/>
      <c r="BT21" s="21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>
      <c r="A22" s="29"/>
      <c r="B22" s="35"/>
      <c r="C22"/>
      <c r="D22" s="37">
        <v>12</v>
      </c>
      <c r="E22" s="224" t="s">
        <v>117</v>
      </c>
      <c r="F22" s="225"/>
      <c r="G22" s="225"/>
      <c r="H22" s="225"/>
      <c r="I22" s="225"/>
      <c r="J22" s="225"/>
      <c r="K22" s="225"/>
      <c r="L22" s="226"/>
      <c r="M22" s="201" t="s">
        <v>38</v>
      </c>
      <c r="N22" s="196"/>
      <c r="O22" s="196"/>
      <c r="P22" s="201" t="s">
        <v>129</v>
      </c>
      <c r="Q22" s="196"/>
      <c r="R22" s="196"/>
      <c r="S22" s="194" t="s">
        <v>131</v>
      </c>
      <c r="T22" s="219"/>
      <c r="U22" s="219"/>
      <c r="V22" s="211" t="s">
        <v>142</v>
      </c>
      <c r="W22" s="212"/>
      <c r="X22" s="212"/>
      <c r="Y22" s="212"/>
      <c r="Z22" s="212"/>
      <c r="AA22" s="218"/>
      <c r="AB22" s="210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9"/>
      <c r="AR22" s="201"/>
      <c r="AS22" s="196"/>
      <c r="AT22" s="196"/>
      <c r="AU22" s="196"/>
      <c r="AV22" s="196"/>
      <c r="AW22" s="197"/>
      <c r="AX22" s="211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21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>
      <c r="A23" s="29"/>
      <c r="B23" s="35"/>
      <c r="C23"/>
      <c r="D23" s="37">
        <v>13</v>
      </c>
      <c r="E23" s="224" t="s">
        <v>118</v>
      </c>
      <c r="F23" s="225"/>
      <c r="G23" s="225"/>
      <c r="H23" s="225"/>
      <c r="I23" s="225"/>
      <c r="J23" s="225"/>
      <c r="K23" s="225"/>
      <c r="L23" s="226"/>
      <c r="M23" s="201" t="s">
        <v>47</v>
      </c>
      <c r="N23" s="196"/>
      <c r="O23" s="196"/>
      <c r="P23" s="201" t="s">
        <v>129</v>
      </c>
      <c r="Q23" s="196"/>
      <c r="R23" s="196"/>
      <c r="S23" s="194" t="s">
        <v>131</v>
      </c>
      <c r="T23" s="219"/>
      <c r="U23" s="219"/>
      <c r="V23" s="211" t="s">
        <v>143</v>
      </c>
      <c r="W23" s="212"/>
      <c r="X23" s="212"/>
      <c r="Y23" s="212"/>
      <c r="Z23" s="212"/>
      <c r="AA23" s="218"/>
      <c r="AB23" s="210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  <c r="AN23" s="208"/>
      <c r="AO23" s="208"/>
      <c r="AP23" s="208"/>
      <c r="AQ23" s="209"/>
      <c r="AR23" s="201"/>
      <c r="AS23" s="196"/>
      <c r="AT23" s="196"/>
      <c r="AU23" s="196"/>
      <c r="AV23" s="196"/>
      <c r="AW23" s="197"/>
      <c r="AX23" s="211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212"/>
      <c r="BS23" s="212"/>
      <c r="BT23" s="21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>
      <c r="A24" s="29"/>
      <c r="B24" s="35"/>
      <c r="C24"/>
      <c r="D24" s="37">
        <v>14</v>
      </c>
      <c r="E24" s="224" t="s">
        <v>119</v>
      </c>
      <c r="F24" s="225"/>
      <c r="G24" s="225"/>
      <c r="H24" s="225"/>
      <c r="I24" s="225"/>
      <c r="J24" s="225"/>
      <c r="K24" s="225"/>
      <c r="L24" s="226"/>
      <c r="M24" s="201" t="s">
        <v>47</v>
      </c>
      <c r="N24" s="196"/>
      <c r="O24" s="196"/>
      <c r="P24" s="201" t="s">
        <v>129</v>
      </c>
      <c r="Q24" s="196"/>
      <c r="R24" s="196"/>
      <c r="S24" s="194" t="s">
        <v>131</v>
      </c>
      <c r="T24" s="219"/>
      <c r="U24" s="219"/>
      <c r="V24" s="211" t="s">
        <v>144</v>
      </c>
      <c r="W24" s="212"/>
      <c r="X24" s="212"/>
      <c r="Y24" s="212"/>
      <c r="Z24" s="212"/>
      <c r="AA24" s="218"/>
      <c r="AB24" s="210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9"/>
      <c r="AR24" s="201"/>
      <c r="AS24" s="196"/>
      <c r="AT24" s="196"/>
      <c r="AU24" s="196"/>
      <c r="AV24" s="196"/>
      <c r="AW24" s="197"/>
      <c r="AX24" s="211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21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>
      <c r="A25" s="29"/>
      <c r="B25" s="35"/>
      <c r="C25"/>
      <c r="D25" s="37">
        <v>15</v>
      </c>
      <c r="E25" s="224" t="s">
        <v>120</v>
      </c>
      <c r="F25" s="225"/>
      <c r="G25" s="225"/>
      <c r="H25" s="225"/>
      <c r="I25" s="225"/>
      <c r="J25" s="225"/>
      <c r="K25" s="225"/>
      <c r="L25" s="226"/>
      <c r="M25" s="201" t="s">
        <v>38</v>
      </c>
      <c r="N25" s="196"/>
      <c r="O25" s="196"/>
      <c r="P25" s="201" t="s">
        <v>130</v>
      </c>
      <c r="Q25" s="196"/>
      <c r="R25" s="196"/>
      <c r="S25" s="194" t="s">
        <v>131</v>
      </c>
      <c r="T25" s="219"/>
      <c r="U25" s="219"/>
      <c r="V25" s="211" t="s">
        <v>145</v>
      </c>
      <c r="W25" s="212"/>
      <c r="X25" s="212"/>
      <c r="Y25" s="212"/>
      <c r="Z25" s="212"/>
      <c r="AA25" s="218"/>
      <c r="AB25" s="207" t="s">
        <v>146</v>
      </c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9"/>
      <c r="AR25" s="201"/>
      <c r="AS25" s="196"/>
      <c r="AT25" s="196"/>
      <c r="AU25" s="196"/>
      <c r="AV25" s="196"/>
      <c r="AW25" s="197"/>
      <c r="AX25" s="211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2"/>
      <c r="BO25" s="212"/>
      <c r="BP25" s="212"/>
      <c r="BQ25" s="212"/>
      <c r="BR25" s="212"/>
      <c r="BS25" s="212"/>
      <c r="BT25" s="21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>
      <c r="A26" s="29"/>
      <c r="B26" s="35"/>
      <c r="C26"/>
      <c r="D26" s="37">
        <v>16</v>
      </c>
      <c r="E26" s="224" t="s">
        <v>121</v>
      </c>
      <c r="F26" s="225"/>
      <c r="G26" s="225"/>
      <c r="H26" s="225"/>
      <c r="I26" s="225"/>
      <c r="J26" s="225"/>
      <c r="K26" s="225"/>
      <c r="L26" s="226"/>
      <c r="M26" s="201" t="s">
        <v>47</v>
      </c>
      <c r="N26" s="196"/>
      <c r="O26" s="196"/>
      <c r="P26" s="201" t="s">
        <v>129</v>
      </c>
      <c r="Q26" s="196"/>
      <c r="R26" s="196"/>
      <c r="S26" s="194" t="s">
        <v>131</v>
      </c>
      <c r="T26" s="219"/>
      <c r="U26" s="219"/>
      <c r="V26" s="211" t="s">
        <v>148</v>
      </c>
      <c r="W26" s="212"/>
      <c r="X26" s="212"/>
      <c r="Y26" s="212"/>
      <c r="Z26" s="212"/>
      <c r="AA26" s="218"/>
      <c r="AB26" s="210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9"/>
      <c r="AR26" s="201"/>
      <c r="AS26" s="196"/>
      <c r="AT26" s="196"/>
      <c r="AU26" s="196"/>
      <c r="AV26" s="196"/>
      <c r="AW26" s="197"/>
      <c r="AX26" s="211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2"/>
      <c r="BJ26" s="212"/>
      <c r="BK26" s="212"/>
      <c r="BL26" s="212"/>
      <c r="BM26" s="212"/>
      <c r="BN26" s="212"/>
      <c r="BO26" s="212"/>
      <c r="BP26" s="212"/>
      <c r="BQ26" s="212"/>
      <c r="BR26" s="212"/>
      <c r="BS26" s="212"/>
      <c r="BT26" s="21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>
      <c r="A27" s="29"/>
      <c r="B27" s="44"/>
      <c r="C27"/>
      <c r="D27" s="37">
        <v>17</v>
      </c>
      <c r="E27" s="224" t="s">
        <v>122</v>
      </c>
      <c r="F27" s="225"/>
      <c r="G27" s="225"/>
      <c r="H27" s="225"/>
      <c r="I27" s="225"/>
      <c r="J27" s="225"/>
      <c r="K27" s="225"/>
      <c r="L27" s="226"/>
      <c r="M27" s="201" t="s">
        <v>47</v>
      </c>
      <c r="N27" s="196"/>
      <c r="O27" s="196"/>
      <c r="P27" s="201" t="s">
        <v>129</v>
      </c>
      <c r="Q27" s="196"/>
      <c r="R27" s="196"/>
      <c r="S27" s="194" t="s">
        <v>131</v>
      </c>
      <c r="T27" s="219"/>
      <c r="U27" s="219"/>
      <c r="V27" s="211" t="s">
        <v>149</v>
      </c>
      <c r="W27" s="212"/>
      <c r="X27" s="212"/>
      <c r="Y27" s="212"/>
      <c r="Z27" s="212"/>
      <c r="AA27" s="218"/>
      <c r="AB27" s="207" t="s">
        <v>147</v>
      </c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9"/>
      <c r="AR27" s="201"/>
      <c r="AS27" s="196"/>
      <c r="AT27" s="196"/>
      <c r="AU27" s="196"/>
      <c r="AV27" s="196"/>
      <c r="AW27" s="197"/>
      <c r="AX27" s="211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12"/>
      <c r="BO27" s="212"/>
      <c r="BP27" s="212"/>
      <c r="BQ27" s="212"/>
      <c r="BR27" s="212"/>
      <c r="BS27" s="212"/>
      <c r="BT27" s="213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>
      <c r="A28" s="29"/>
      <c r="B28" s="44"/>
      <c r="C28"/>
      <c r="D28" s="37">
        <v>18</v>
      </c>
      <c r="E28" s="224" t="s">
        <v>123</v>
      </c>
      <c r="F28" s="225"/>
      <c r="G28" s="225"/>
      <c r="H28" s="225"/>
      <c r="I28" s="225"/>
      <c r="J28" s="225"/>
      <c r="K28" s="225"/>
      <c r="L28" s="226"/>
      <c r="M28" s="201" t="s">
        <v>47</v>
      </c>
      <c r="N28" s="196"/>
      <c r="O28" s="196"/>
      <c r="P28" s="201" t="s">
        <v>129</v>
      </c>
      <c r="Q28" s="196"/>
      <c r="R28" s="196"/>
      <c r="S28" s="194" t="s">
        <v>131</v>
      </c>
      <c r="T28" s="219"/>
      <c r="U28" s="219"/>
      <c r="V28" s="211" t="s">
        <v>151</v>
      </c>
      <c r="W28" s="212"/>
      <c r="X28" s="212"/>
      <c r="Y28" s="212"/>
      <c r="Z28" s="212"/>
      <c r="AA28" s="218"/>
      <c r="AB28" s="207" t="s">
        <v>150</v>
      </c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9"/>
      <c r="AR28" s="201"/>
      <c r="AS28" s="196"/>
      <c r="AT28" s="196"/>
      <c r="AU28" s="196"/>
      <c r="AV28" s="196"/>
      <c r="AW28" s="197"/>
      <c r="AX28" s="211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3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>
      <c r="A29" s="29"/>
      <c r="B29" s="44"/>
      <c r="C29"/>
      <c r="D29" s="37">
        <v>19</v>
      </c>
      <c r="E29" s="224" t="s">
        <v>124</v>
      </c>
      <c r="F29" s="225"/>
      <c r="G29" s="225"/>
      <c r="H29" s="225"/>
      <c r="I29" s="225"/>
      <c r="J29" s="225"/>
      <c r="K29" s="225"/>
      <c r="L29" s="226"/>
      <c r="M29" s="201" t="s">
        <v>47</v>
      </c>
      <c r="N29" s="196"/>
      <c r="O29" s="196"/>
      <c r="P29" s="201" t="s">
        <v>129</v>
      </c>
      <c r="Q29" s="196"/>
      <c r="R29" s="196"/>
      <c r="S29" s="194" t="s">
        <v>131</v>
      </c>
      <c r="T29" s="219"/>
      <c r="U29" s="219"/>
      <c r="V29" s="211" t="s">
        <v>152</v>
      </c>
      <c r="W29" s="212"/>
      <c r="X29" s="212"/>
      <c r="Y29" s="212"/>
      <c r="Z29" s="212"/>
      <c r="AA29" s="218"/>
      <c r="AB29" s="207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9"/>
      <c r="AR29" s="206">
        <v>999999.99</v>
      </c>
      <c r="AS29" s="196"/>
      <c r="AT29" s="196"/>
      <c r="AU29" s="196"/>
      <c r="AV29" s="196"/>
      <c r="AW29" s="197"/>
      <c r="AX29" s="211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2"/>
      <c r="BJ29" s="212"/>
      <c r="BK29" s="212"/>
      <c r="BL29" s="212"/>
      <c r="BM29" s="212"/>
      <c r="BN29" s="212"/>
      <c r="BO29" s="212"/>
      <c r="BP29" s="212"/>
      <c r="BQ29" s="212"/>
      <c r="BR29" s="212"/>
      <c r="BS29" s="212"/>
      <c r="BT29" s="213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38.4" customHeight="1">
      <c r="A30" s="29"/>
      <c r="B30" s="44"/>
      <c r="C30"/>
      <c r="D30" s="37">
        <v>20</v>
      </c>
      <c r="E30" s="224" t="s">
        <v>125</v>
      </c>
      <c r="F30" s="225"/>
      <c r="G30" s="225"/>
      <c r="H30" s="225"/>
      <c r="I30" s="225"/>
      <c r="J30" s="225"/>
      <c r="K30" s="225"/>
      <c r="L30" s="226"/>
      <c r="M30" s="201" t="s">
        <v>38</v>
      </c>
      <c r="N30" s="196"/>
      <c r="O30" s="196"/>
      <c r="P30" s="201" t="s">
        <v>130</v>
      </c>
      <c r="Q30" s="196"/>
      <c r="R30" s="196"/>
      <c r="S30" s="194" t="s">
        <v>131</v>
      </c>
      <c r="T30" s="219"/>
      <c r="U30" s="219"/>
      <c r="V30" s="211" t="s">
        <v>153</v>
      </c>
      <c r="W30" s="212"/>
      <c r="X30" s="212"/>
      <c r="Y30" s="212"/>
      <c r="Z30" s="212"/>
      <c r="AA30" s="218"/>
      <c r="AB30" s="210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9"/>
      <c r="AR30" s="201"/>
      <c r="AS30" s="196"/>
      <c r="AT30" s="196"/>
      <c r="AU30" s="196"/>
      <c r="AV30" s="196"/>
      <c r="AW30" s="197"/>
      <c r="AX30" s="211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2"/>
      <c r="BJ30" s="212"/>
      <c r="BK30" s="212"/>
      <c r="BL30" s="212"/>
      <c r="BM30" s="212"/>
      <c r="BN30" s="212"/>
      <c r="BO30" s="212"/>
      <c r="BP30" s="212"/>
      <c r="BQ30" s="212"/>
      <c r="BR30" s="212"/>
      <c r="BS30" s="212"/>
      <c r="BT30" s="213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>
      <c r="A31" s="29"/>
      <c r="B31" s="35"/>
      <c r="C31" s="29"/>
      <c r="D31" s="37">
        <v>21</v>
      </c>
      <c r="E31" s="230" t="s">
        <v>126</v>
      </c>
      <c r="F31" s="231"/>
      <c r="G31" s="231"/>
      <c r="H31" s="231"/>
      <c r="I31" s="231"/>
      <c r="J31" s="231"/>
      <c r="K31" s="231"/>
      <c r="L31" s="232"/>
      <c r="M31" s="201" t="s">
        <v>38</v>
      </c>
      <c r="N31" s="196"/>
      <c r="O31" s="196"/>
      <c r="P31" s="201" t="s">
        <v>130</v>
      </c>
      <c r="Q31" s="196"/>
      <c r="R31" s="196"/>
      <c r="S31" s="194" t="s">
        <v>131</v>
      </c>
      <c r="T31" s="219"/>
      <c r="U31" s="219"/>
      <c r="V31" s="233" t="s">
        <v>157</v>
      </c>
      <c r="W31" s="234"/>
      <c r="X31" s="234"/>
      <c r="Y31" s="234"/>
      <c r="Z31" s="234"/>
      <c r="AA31" s="235"/>
      <c r="AB31" s="236" t="s">
        <v>158</v>
      </c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8"/>
      <c r="AR31" s="239"/>
      <c r="AS31" s="240"/>
      <c r="AT31" s="240"/>
      <c r="AU31" s="240"/>
      <c r="AV31" s="240"/>
      <c r="AW31" s="241"/>
      <c r="AX31" s="233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42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>
      <c r="A32" s="29"/>
      <c r="B32" s="44"/>
      <c r="C32" s="29"/>
      <c r="D32" s="37">
        <v>22</v>
      </c>
      <c r="E32" s="224" t="s">
        <v>43</v>
      </c>
      <c r="F32" s="225"/>
      <c r="G32" s="225"/>
      <c r="H32" s="225"/>
      <c r="I32" s="225"/>
      <c r="J32" s="225"/>
      <c r="K32" s="225"/>
      <c r="L32" s="226"/>
      <c r="M32" s="201" t="s">
        <v>38</v>
      </c>
      <c r="N32" s="196"/>
      <c r="O32" s="196"/>
      <c r="P32" s="201" t="s">
        <v>130</v>
      </c>
      <c r="Q32" s="196"/>
      <c r="R32" s="196"/>
      <c r="S32" s="194" t="s">
        <v>131</v>
      </c>
      <c r="T32" s="219"/>
      <c r="U32" s="219"/>
      <c r="V32" s="211" t="s">
        <v>154</v>
      </c>
      <c r="W32" s="212"/>
      <c r="X32" s="212"/>
      <c r="Y32" s="212"/>
      <c r="Z32" s="212"/>
      <c r="AA32" s="218"/>
      <c r="AB32" s="210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9"/>
      <c r="AR32" s="201"/>
      <c r="AS32" s="196"/>
      <c r="AT32" s="196"/>
      <c r="AU32" s="196"/>
      <c r="AV32" s="196"/>
      <c r="AW32" s="197"/>
      <c r="AX32" s="211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2"/>
      <c r="BJ32" s="212"/>
      <c r="BK32" s="212"/>
      <c r="BL32" s="212"/>
      <c r="BM32" s="212"/>
      <c r="BN32" s="212"/>
      <c r="BO32" s="212"/>
      <c r="BP32" s="212"/>
      <c r="BQ32" s="212"/>
      <c r="BR32" s="212"/>
      <c r="BS32" s="212"/>
      <c r="BT32" s="213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>
      <c r="A33" s="29"/>
      <c r="B33" s="44"/>
      <c r="C33" s="29"/>
      <c r="D33" s="37">
        <v>23</v>
      </c>
      <c r="E33" s="224" t="s">
        <v>127</v>
      </c>
      <c r="F33" s="225"/>
      <c r="G33" s="225"/>
      <c r="H33" s="225"/>
      <c r="I33" s="225"/>
      <c r="J33" s="225"/>
      <c r="K33" s="225"/>
      <c r="L33" s="226"/>
      <c r="M33" s="201" t="s">
        <v>8</v>
      </c>
      <c r="N33" s="196"/>
      <c r="O33" s="196"/>
      <c r="P33" s="201" t="s">
        <v>129</v>
      </c>
      <c r="Q33" s="196"/>
      <c r="R33" s="196"/>
      <c r="S33" s="201">
        <v>8</v>
      </c>
      <c r="T33" s="196"/>
      <c r="U33" s="196"/>
      <c r="V33" s="211" t="s">
        <v>155</v>
      </c>
      <c r="W33" s="212"/>
      <c r="X33" s="212"/>
      <c r="Y33" s="212"/>
      <c r="Z33" s="212"/>
      <c r="AA33" s="218"/>
      <c r="AB33" s="210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9"/>
      <c r="AR33" s="201" t="s">
        <v>156</v>
      </c>
      <c r="AS33" s="196"/>
      <c r="AT33" s="196"/>
      <c r="AU33" s="196"/>
      <c r="AV33" s="196"/>
      <c r="AW33" s="197"/>
      <c r="AX33" s="211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2"/>
      <c r="BO33" s="212"/>
      <c r="BP33" s="212"/>
      <c r="BQ33" s="212"/>
      <c r="BR33" s="212"/>
      <c r="BS33" s="212"/>
      <c r="BT33" s="213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>
      <c r="A34" s="29"/>
      <c r="B34" s="44"/>
      <c r="C34" s="29"/>
      <c r="D34" s="37">
        <v>24</v>
      </c>
      <c r="E34" s="224" t="s">
        <v>128</v>
      </c>
      <c r="F34" s="225"/>
      <c r="G34" s="225"/>
      <c r="H34" s="225"/>
      <c r="I34" s="225"/>
      <c r="J34" s="225"/>
      <c r="K34" s="225"/>
      <c r="L34" s="226"/>
      <c r="M34" s="201"/>
      <c r="N34" s="196"/>
      <c r="O34" s="196"/>
      <c r="P34" s="201"/>
      <c r="Q34" s="196"/>
      <c r="R34" s="196"/>
      <c r="S34" s="201"/>
      <c r="T34" s="196"/>
      <c r="U34" s="196"/>
      <c r="V34" s="220" t="s">
        <v>352</v>
      </c>
      <c r="W34" s="221"/>
      <c r="X34" s="221"/>
      <c r="Y34" s="221"/>
      <c r="Z34" s="221"/>
      <c r="AA34" s="222"/>
      <c r="AB34" s="210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9"/>
      <c r="AR34" s="201"/>
      <c r="AS34" s="196"/>
      <c r="AT34" s="196"/>
      <c r="AU34" s="196"/>
      <c r="AV34" s="196"/>
      <c r="AW34" s="197"/>
      <c r="AX34" s="211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3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>
      <c r="A35" s="29"/>
      <c r="B35" s="44"/>
      <c r="C35" s="29"/>
      <c r="D35" s="37">
        <v>25</v>
      </c>
      <c r="E35" s="230"/>
      <c r="F35" s="231"/>
      <c r="G35" s="231"/>
      <c r="H35" s="231"/>
      <c r="I35" s="231"/>
      <c r="J35" s="231"/>
      <c r="K35" s="231"/>
      <c r="L35" s="232"/>
      <c r="M35" s="239"/>
      <c r="N35" s="240"/>
      <c r="O35" s="241"/>
      <c r="P35" s="239"/>
      <c r="Q35" s="240"/>
      <c r="R35" s="240"/>
      <c r="S35" s="239"/>
      <c r="T35" s="240"/>
      <c r="U35" s="240"/>
      <c r="V35" s="233"/>
      <c r="W35" s="234"/>
      <c r="X35" s="234"/>
      <c r="Y35" s="234"/>
      <c r="Z35" s="234"/>
      <c r="AA35" s="235"/>
      <c r="AB35" s="243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8"/>
      <c r="AR35" s="239"/>
      <c r="AS35" s="240"/>
      <c r="AT35" s="240"/>
      <c r="AU35" s="240"/>
      <c r="AV35" s="240"/>
      <c r="AW35" s="241"/>
      <c r="AX35" s="233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42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E35:L35"/>
    <mergeCell ref="M35:O35"/>
    <mergeCell ref="P35:R35"/>
    <mergeCell ref="S35:U35"/>
    <mergeCell ref="V35:AA35"/>
    <mergeCell ref="AB35:AQ35"/>
    <mergeCell ref="AR35:AW35"/>
    <mergeCell ref="AX35:BT35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M115"/>
  <sheetViews>
    <sheetView zoomScaleNormal="100" zoomScaleSheetLayoutView="100" workbookViewId="0"/>
  </sheetViews>
  <sheetFormatPr defaultColWidth="3.59765625" defaultRowHeight="20.100000000000001" customHeight="1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1:65" ht="5.0999999999999996" customHeight="1" thickBot="1"/>
    <row r="2" spans="1:65" ht="20.100000000000001" customHeight="1">
      <c r="B2" s="253" t="s">
        <v>0</v>
      </c>
      <c r="C2" s="248"/>
      <c r="D2" s="248"/>
      <c r="E2" s="248"/>
      <c r="F2" s="248"/>
      <c r="G2" s="248"/>
      <c r="H2" s="248" t="s">
        <v>17</v>
      </c>
      <c r="I2" s="248"/>
      <c r="J2" s="248"/>
      <c r="K2" s="248"/>
      <c r="L2" s="248" t="s">
        <v>371</v>
      </c>
      <c r="M2" s="248"/>
      <c r="N2" s="248"/>
      <c r="O2" s="248"/>
      <c r="P2" s="248"/>
      <c r="Q2" s="248"/>
      <c r="R2" s="248" t="s">
        <v>2</v>
      </c>
      <c r="S2" s="248"/>
      <c r="T2" s="248"/>
      <c r="U2" s="248"/>
      <c r="V2" s="248"/>
      <c r="W2" s="248"/>
      <c r="X2" s="254" t="s">
        <v>3</v>
      </c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4" t="s">
        <v>32</v>
      </c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X2" s="248" t="s">
        <v>5</v>
      </c>
      <c r="AY2" s="248"/>
      <c r="AZ2" s="248"/>
      <c r="BA2" s="248"/>
      <c r="BB2" s="248" t="s">
        <v>4</v>
      </c>
      <c r="BC2" s="248"/>
      <c r="BD2" s="248"/>
      <c r="BE2" s="248"/>
      <c r="BF2" s="248" t="s">
        <v>6</v>
      </c>
      <c r="BG2" s="248"/>
      <c r="BH2" s="248"/>
      <c r="BI2" s="248"/>
      <c r="BJ2" s="248" t="s">
        <v>7</v>
      </c>
      <c r="BK2" s="248"/>
      <c r="BL2" s="248"/>
      <c r="BM2" s="249"/>
    </row>
    <row r="3" spans="1:65" ht="20.100000000000001" customHeight="1">
      <c r="B3" s="257" t="str">
        <f>変更履歴!B3</f>
        <v>受発注システム</v>
      </c>
      <c r="C3" s="182"/>
      <c r="D3" s="182"/>
      <c r="E3" s="182"/>
      <c r="F3" s="182"/>
      <c r="G3" s="182"/>
      <c r="H3" s="182" t="str">
        <f ca="1">変更履歴!H3</f>
        <v>MT1400</v>
      </c>
      <c r="I3" s="182"/>
      <c r="J3" s="182"/>
      <c r="K3" s="182"/>
      <c r="L3" s="182" t="str">
        <f>変更履歴!L3</f>
        <v>受発注</v>
      </c>
      <c r="M3" s="182"/>
      <c r="N3" s="182"/>
      <c r="O3" s="182"/>
      <c r="P3" s="182"/>
      <c r="Q3" s="182"/>
      <c r="R3" s="182" t="str">
        <f ca="1">変更履歴!R3</f>
        <v>帳票設計書</v>
      </c>
      <c r="S3" s="182"/>
      <c r="T3" s="182"/>
      <c r="U3" s="182"/>
      <c r="V3" s="182"/>
      <c r="W3" s="182"/>
      <c r="X3" s="186" t="str">
        <f ca="1">変更履歴!X3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変更履歴!AK3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f>変更履歴!AX3</f>
        <v>45582</v>
      </c>
      <c r="AY3" s="193"/>
      <c r="AZ3" s="193"/>
      <c r="BA3" s="193"/>
      <c r="BB3" s="182" t="str">
        <f>変更履歴!BB3</f>
        <v>大谷</v>
      </c>
      <c r="BC3" s="182"/>
      <c r="BD3" s="182"/>
      <c r="BE3" s="182"/>
      <c r="BF3" s="193">
        <f>変更履歴!BF3</f>
        <v>45582</v>
      </c>
      <c r="BG3" s="193"/>
      <c r="BH3" s="193"/>
      <c r="BI3" s="193"/>
      <c r="BJ3" s="182" t="str">
        <f>変更履歴!BJ3</f>
        <v>大谷</v>
      </c>
      <c r="BK3" s="182"/>
      <c r="BL3" s="182"/>
      <c r="BM3" s="246"/>
    </row>
    <row r="4" spans="1:65" ht="20.100000000000001" customHeight="1" thickBot="1">
      <c r="B4" s="258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50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2"/>
      <c r="AK4" s="250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2"/>
      <c r="AX4" s="244"/>
      <c r="AY4" s="244"/>
      <c r="AZ4" s="244"/>
      <c r="BA4" s="244"/>
      <c r="BB4" s="245"/>
      <c r="BC4" s="245"/>
      <c r="BD4" s="245"/>
      <c r="BE4" s="245"/>
      <c r="BF4" s="244"/>
      <c r="BG4" s="244"/>
      <c r="BH4" s="244"/>
      <c r="BI4" s="244"/>
      <c r="BJ4" s="245"/>
      <c r="BK4" s="245"/>
      <c r="BL4" s="245"/>
      <c r="BM4" s="247"/>
    </row>
    <row r="5" spans="1:65" ht="5.0999999999999996" customHeight="1" thickBot="1"/>
    <row r="6" spans="1:65" ht="20.100000000000001" customHeight="1">
      <c r="B6" s="89" t="s">
        <v>196</v>
      </c>
      <c r="C6" s="90"/>
      <c r="D6" s="90"/>
      <c r="E6" s="90"/>
      <c r="F6" s="90"/>
      <c r="G6" s="91"/>
      <c r="H6" s="92" t="s">
        <v>83</v>
      </c>
      <c r="I6" s="90"/>
      <c r="J6" s="120" t="s">
        <v>246</v>
      </c>
      <c r="K6" s="121"/>
      <c r="L6" s="121"/>
      <c r="M6" s="121"/>
      <c r="N6" s="121"/>
      <c r="O6" s="121"/>
      <c r="P6" s="121"/>
      <c r="Q6" s="122"/>
      <c r="R6" s="121" t="s">
        <v>199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1:65" ht="20.100000000000001" customHeight="1">
      <c r="B7" s="123"/>
      <c r="C7" s="31"/>
      <c r="D7" s="31"/>
      <c r="E7" s="31"/>
      <c r="F7" s="31"/>
      <c r="G7" s="96"/>
      <c r="H7" s="97"/>
      <c r="I7" s="31"/>
      <c r="J7" s="124" t="s">
        <v>247</v>
      </c>
      <c r="K7" s="52"/>
      <c r="L7" s="52"/>
      <c r="M7" s="52"/>
      <c r="N7" s="52"/>
      <c r="O7" s="52"/>
      <c r="P7" s="52"/>
      <c r="Q7" s="125"/>
      <c r="R7" s="52" t="s">
        <v>200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1:65" ht="20.100000000000001" customHeight="1">
      <c r="B8" s="123"/>
      <c r="C8" s="31"/>
      <c r="D8" s="31"/>
      <c r="E8" s="31"/>
      <c r="F8" s="31"/>
      <c r="G8" s="96"/>
      <c r="H8" s="97"/>
      <c r="I8" s="31"/>
      <c r="J8" s="124" t="s">
        <v>248</v>
      </c>
      <c r="K8" s="52"/>
      <c r="L8" s="52"/>
      <c r="M8" s="52"/>
      <c r="N8" s="52"/>
      <c r="O8" s="52"/>
      <c r="P8" s="52"/>
      <c r="Q8" s="125"/>
      <c r="R8" s="52" t="s">
        <v>349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1:65" ht="20.100000000000001" customHeight="1">
      <c r="B9" s="123"/>
      <c r="C9" s="31"/>
      <c r="D9" s="31"/>
      <c r="E9" s="31"/>
      <c r="F9" s="31"/>
      <c r="G9" s="96"/>
      <c r="H9" s="97"/>
      <c r="I9" s="31"/>
      <c r="J9" s="124" t="s">
        <v>249</v>
      </c>
      <c r="K9" s="52"/>
      <c r="L9" s="52"/>
      <c r="M9" s="52"/>
      <c r="N9" s="52"/>
      <c r="O9" s="52"/>
      <c r="P9" s="52"/>
      <c r="Q9" s="125"/>
      <c r="R9" s="52" t="s">
        <v>201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1:65" ht="20.100000000000001" customHeight="1">
      <c r="B10" s="123"/>
      <c r="C10" s="31"/>
      <c r="D10" s="31"/>
      <c r="E10" s="31"/>
      <c r="F10" s="31"/>
      <c r="G10" s="96"/>
      <c r="H10" s="31"/>
      <c r="I10" s="31"/>
      <c r="J10" s="124" t="s">
        <v>250</v>
      </c>
      <c r="K10" s="52"/>
      <c r="L10" s="52"/>
      <c r="M10" s="52"/>
      <c r="N10" s="52"/>
      <c r="O10" s="52"/>
      <c r="P10" s="52"/>
      <c r="Q10" s="125"/>
      <c r="R10" s="52" t="s">
        <v>202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1:65" ht="20.100000000000001" customHeight="1">
      <c r="B11" s="123"/>
      <c r="C11" s="31"/>
      <c r="D11" s="31"/>
      <c r="E11" s="31"/>
      <c r="F11" s="31"/>
      <c r="G11" s="96"/>
      <c r="H11" s="31"/>
      <c r="I11" s="31"/>
      <c r="J11" s="124" t="s">
        <v>251</v>
      </c>
      <c r="K11" s="52"/>
      <c r="L11" s="52"/>
      <c r="M11" s="52"/>
      <c r="N11" s="52"/>
      <c r="O11" s="52"/>
      <c r="P11" s="52"/>
      <c r="Q11" s="125"/>
      <c r="R11" s="52" t="s">
        <v>203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1:65" ht="20.100000000000001" customHeight="1">
      <c r="B12" s="123"/>
      <c r="C12" s="31"/>
      <c r="D12" s="31"/>
      <c r="E12" s="31"/>
      <c r="F12" s="31"/>
      <c r="G12" s="96"/>
      <c r="H12" s="31"/>
      <c r="I12" s="31"/>
      <c r="J12" s="124" t="s">
        <v>252</v>
      </c>
      <c r="K12" s="52"/>
      <c r="L12" s="52"/>
      <c r="M12" s="52"/>
      <c r="N12" s="52"/>
      <c r="O12" s="52"/>
      <c r="P12" s="52"/>
      <c r="Q12" s="125"/>
      <c r="R12" s="52" t="s">
        <v>204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1:65" ht="20.100000000000001" customHeight="1">
      <c r="A13" s="165">
        <v>45554</v>
      </c>
      <c r="B13" s="123"/>
      <c r="C13" s="31"/>
      <c r="D13" s="31"/>
      <c r="E13" s="31"/>
      <c r="F13" s="31"/>
      <c r="G13" s="96"/>
      <c r="H13" s="31"/>
      <c r="I13" s="31"/>
      <c r="J13" s="124" t="s">
        <v>253</v>
      </c>
      <c r="K13" s="52"/>
      <c r="L13" s="52"/>
      <c r="M13" s="52"/>
      <c r="N13" s="52"/>
      <c r="O13" s="52"/>
      <c r="P13" s="52"/>
      <c r="Q13" s="125"/>
      <c r="R13" s="52" t="s">
        <v>205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1:65" ht="20.100000000000001" customHeight="1">
      <c r="B14" s="123"/>
      <c r="C14" s="31"/>
      <c r="D14" s="31"/>
      <c r="E14" s="31"/>
      <c r="F14" s="31"/>
      <c r="G14" s="96"/>
      <c r="H14" s="31"/>
      <c r="I14" s="31"/>
      <c r="J14" s="124" t="s">
        <v>254</v>
      </c>
      <c r="K14" s="52"/>
      <c r="L14" s="52"/>
      <c r="M14" s="52"/>
      <c r="N14" s="52"/>
      <c r="O14" s="52"/>
      <c r="P14" s="52"/>
      <c r="Q14" s="125"/>
      <c r="R14" s="52" t="s">
        <v>206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1:65" ht="20.100000000000001" customHeight="1">
      <c r="B15" s="123"/>
      <c r="C15" s="31"/>
      <c r="D15" s="31"/>
      <c r="E15" s="31"/>
      <c r="F15" s="31"/>
      <c r="G15" s="96"/>
      <c r="H15" s="31"/>
      <c r="I15" s="31"/>
      <c r="J15" s="124" t="s">
        <v>255</v>
      </c>
      <c r="K15" s="52"/>
      <c r="L15" s="52"/>
      <c r="M15" s="52"/>
      <c r="N15" s="52"/>
      <c r="O15" s="52"/>
      <c r="P15" s="52"/>
      <c r="Q15" s="125"/>
      <c r="R15" s="52" t="s">
        <v>207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1:65" ht="20.100000000000001" customHeight="1">
      <c r="B16" s="123"/>
      <c r="C16" s="31"/>
      <c r="D16" s="31"/>
      <c r="E16" s="31"/>
      <c r="F16" s="31"/>
      <c r="G16" s="96"/>
      <c r="H16" s="31"/>
      <c r="I16" s="31"/>
      <c r="J16" s="124" t="s">
        <v>256</v>
      </c>
      <c r="K16" s="52"/>
      <c r="L16" s="52"/>
      <c r="M16" s="52"/>
      <c r="N16" s="52"/>
      <c r="O16" s="52"/>
      <c r="P16" s="52"/>
      <c r="Q16" s="125"/>
      <c r="R16" s="52" t="s">
        <v>208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>
      <c r="B17" s="123"/>
      <c r="C17" s="31"/>
      <c r="D17" s="31"/>
      <c r="E17" s="31"/>
      <c r="F17" s="31"/>
      <c r="G17" s="96"/>
      <c r="H17" s="31"/>
      <c r="I17" s="31"/>
      <c r="J17" s="124" t="s">
        <v>257</v>
      </c>
      <c r="K17" s="52"/>
      <c r="L17" s="52"/>
      <c r="M17" s="52"/>
      <c r="N17" s="52"/>
      <c r="O17" s="52"/>
      <c r="P17" s="52"/>
      <c r="Q17" s="125"/>
      <c r="R17" s="52" t="s">
        <v>209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>
      <c r="B18" s="123"/>
      <c r="C18" s="31"/>
      <c r="D18" s="31"/>
      <c r="E18" s="31"/>
      <c r="F18" s="31"/>
      <c r="G18" s="96"/>
      <c r="H18" s="31"/>
      <c r="I18" s="31"/>
      <c r="J18" s="124" t="s">
        <v>258</v>
      </c>
      <c r="K18" s="52"/>
      <c r="L18" s="52"/>
      <c r="M18" s="52"/>
      <c r="N18" s="52"/>
      <c r="O18" s="52"/>
      <c r="P18" s="52"/>
      <c r="Q18" s="125"/>
      <c r="R18" s="52" t="s">
        <v>210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>
      <c r="B19" s="123"/>
      <c r="C19" s="31"/>
      <c r="D19" s="31"/>
      <c r="E19" s="31"/>
      <c r="F19" s="31"/>
      <c r="G19" s="96"/>
      <c r="H19" s="31"/>
      <c r="I19" s="31"/>
      <c r="J19" s="124" t="s">
        <v>259</v>
      </c>
      <c r="K19" s="52"/>
      <c r="L19" s="52"/>
      <c r="M19" s="52"/>
      <c r="N19" s="52"/>
      <c r="O19" s="52"/>
      <c r="P19" s="52"/>
      <c r="Q19" s="125"/>
      <c r="R19" s="52" t="s">
        <v>211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>
      <c r="B20" s="123"/>
      <c r="C20" s="31"/>
      <c r="D20" s="31"/>
      <c r="E20" s="31"/>
      <c r="F20" s="31"/>
      <c r="G20" s="96"/>
      <c r="H20" s="31"/>
      <c r="I20" s="31"/>
      <c r="J20" s="124" t="s">
        <v>260</v>
      </c>
      <c r="K20" s="52"/>
      <c r="L20" s="52"/>
      <c r="M20" s="52"/>
      <c r="N20" s="52"/>
      <c r="O20" s="52"/>
      <c r="P20" s="52"/>
      <c r="Q20" s="125"/>
      <c r="R20" s="52" t="s">
        <v>212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>
      <c r="B21" s="123"/>
      <c r="C21" s="31"/>
      <c r="D21" s="31"/>
      <c r="E21" s="31"/>
      <c r="F21" s="31"/>
      <c r="G21" s="96"/>
      <c r="H21" s="31"/>
      <c r="I21" s="31"/>
      <c r="J21" s="124" t="s">
        <v>261</v>
      </c>
      <c r="K21" s="52"/>
      <c r="L21" s="52"/>
      <c r="M21" s="52"/>
      <c r="N21" s="52"/>
      <c r="O21" s="52"/>
      <c r="P21" s="52"/>
      <c r="Q21" s="125"/>
      <c r="R21" s="52" t="s">
        <v>213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>
      <c r="B22" s="123"/>
      <c r="C22" s="31"/>
      <c r="D22" s="31"/>
      <c r="E22" s="31"/>
      <c r="F22" s="31"/>
      <c r="G22" s="96"/>
      <c r="H22" s="31"/>
      <c r="I22" s="31"/>
      <c r="J22" s="124" t="s">
        <v>262</v>
      </c>
      <c r="K22" s="52"/>
      <c r="L22" s="52"/>
      <c r="M22" s="52"/>
      <c r="N22" s="52"/>
      <c r="O22" s="52"/>
      <c r="P22" s="52"/>
      <c r="Q22" s="125"/>
      <c r="R22" s="52" t="s">
        <v>214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>
      <c r="B23" s="123"/>
      <c r="C23" s="31"/>
      <c r="D23" s="31"/>
      <c r="E23" s="31"/>
      <c r="F23" s="31"/>
      <c r="G23" s="96"/>
      <c r="H23" s="31"/>
      <c r="I23" s="31"/>
      <c r="J23" s="124" t="s">
        <v>263</v>
      </c>
      <c r="K23" s="52"/>
      <c r="L23" s="52"/>
      <c r="M23" s="52"/>
      <c r="N23" s="52"/>
      <c r="O23" s="52"/>
      <c r="P23" s="52"/>
      <c r="Q23" s="125"/>
      <c r="R23" s="52" t="s">
        <v>215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>
      <c r="B24" s="123"/>
      <c r="C24" s="31"/>
      <c r="D24" s="31"/>
      <c r="E24" s="31"/>
      <c r="F24" s="31"/>
      <c r="G24" s="96"/>
      <c r="H24" s="31"/>
      <c r="I24" s="31"/>
      <c r="J24" s="124" t="s">
        <v>264</v>
      </c>
      <c r="K24" s="52"/>
      <c r="L24" s="52"/>
      <c r="M24" s="52"/>
      <c r="N24" s="52"/>
      <c r="O24" s="52"/>
      <c r="P24" s="52"/>
      <c r="Q24" s="125"/>
      <c r="R24" s="52" t="s">
        <v>216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>
      <c r="B25" s="123"/>
      <c r="C25" s="31"/>
      <c r="D25" s="31"/>
      <c r="E25" s="31"/>
      <c r="F25" s="31"/>
      <c r="G25" s="96"/>
      <c r="H25" s="31"/>
      <c r="I25" s="31"/>
      <c r="J25" s="124" t="s">
        <v>265</v>
      </c>
      <c r="K25" s="52"/>
      <c r="L25" s="52"/>
      <c r="M25" s="52"/>
      <c r="N25" s="52"/>
      <c r="O25" s="52"/>
      <c r="P25" s="52"/>
      <c r="Q25" s="125"/>
      <c r="R25" s="52" t="s">
        <v>217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>
      <c r="B26" s="123"/>
      <c r="C26" s="31"/>
      <c r="D26" s="31"/>
      <c r="E26" s="31"/>
      <c r="F26" s="31"/>
      <c r="G26" s="96"/>
      <c r="H26" s="31"/>
      <c r="I26" s="31"/>
      <c r="J26" s="124" t="s">
        <v>266</v>
      </c>
      <c r="K26" s="52"/>
      <c r="L26" s="52"/>
      <c r="M26" s="52"/>
      <c r="N26" s="52"/>
      <c r="O26" s="52"/>
      <c r="P26" s="52"/>
      <c r="Q26" s="125"/>
      <c r="R26" s="52" t="s">
        <v>218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>
      <c r="B27" s="123"/>
      <c r="C27" s="31"/>
      <c r="D27" s="31"/>
      <c r="E27" s="31"/>
      <c r="F27" s="31"/>
      <c r="G27" s="96"/>
      <c r="H27" s="31"/>
      <c r="I27" s="31"/>
      <c r="J27" s="124" t="s">
        <v>267</v>
      </c>
      <c r="K27" s="52"/>
      <c r="L27" s="52"/>
      <c r="M27" s="52"/>
      <c r="N27" s="52"/>
      <c r="O27" s="52"/>
      <c r="P27" s="52"/>
      <c r="Q27" s="125"/>
      <c r="R27" s="52" t="s">
        <v>219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>
      <c r="B28" s="123"/>
      <c r="C28" s="31"/>
      <c r="D28" s="31"/>
      <c r="E28" s="31"/>
      <c r="F28" s="31"/>
      <c r="G28" s="96"/>
      <c r="H28" s="31"/>
      <c r="I28" s="31"/>
      <c r="J28" s="124" t="s">
        <v>268</v>
      </c>
      <c r="K28" s="52"/>
      <c r="L28" s="52"/>
      <c r="M28" s="52"/>
      <c r="N28" s="52"/>
      <c r="O28" s="52"/>
      <c r="P28" s="52"/>
      <c r="Q28" s="125"/>
      <c r="R28" s="52" t="s">
        <v>220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>
      <c r="B29" s="123"/>
      <c r="C29" s="31"/>
      <c r="D29" s="31"/>
      <c r="E29" s="31"/>
      <c r="F29" s="31"/>
      <c r="G29" s="96"/>
      <c r="H29" s="31"/>
      <c r="I29" s="31"/>
      <c r="J29" s="124" t="s">
        <v>269</v>
      </c>
      <c r="K29" s="52"/>
      <c r="L29" s="52"/>
      <c r="M29" s="52"/>
      <c r="N29" s="52"/>
      <c r="O29" s="52"/>
      <c r="P29" s="52"/>
      <c r="Q29" s="125"/>
      <c r="R29" s="52" t="s">
        <v>221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>
      <c r="B30" s="123"/>
      <c r="C30" s="31"/>
      <c r="D30" s="31"/>
      <c r="E30" s="31"/>
      <c r="F30" s="31"/>
      <c r="G30" s="96"/>
      <c r="H30" s="31"/>
      <c r="I30" s="31"/>
      <c r="J30" s="124" t="s">
        <v>270</v>
      </c>
      <c r="K30" s="52"/>
      <c r="L30" s="52"/>
      <c r="M30" s="52"/>
      <c r="N30" s="52"/>
      <c r="O30" s="52"/>
      <c r="P30" s="52"/>
      <c r="Q30" s="125"/>
      <c r="R30" s="52" t="s">
        <v>222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>
      <c r="B31" s="123"/>
      <c r="C31" s="31"/>
      <c r="D31" s="31"/>
      <c r="E31" s="31"/>
      <c r="F31" s="31"/>
      <c r="G31" s="96"/>
      <c r="H31" s="31"/>
      <c r="I31" s="31"/>
      <c r="J31" s="124" t="s">
        <v>271</v>
      </c>
      <c r="K31" s="52"/>
      <c r="L31" s="52"/>
      <c r="M31" s="52"/>
      <c r="N31" s="52"/>
      <c r="O31" s="52"/>
      <c r="P31" s="52"/>
      <c r="Q31" s="125"/>
      <c r="R31" s="52" t="s">
        <v>223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>
      <c r="B32" s="123"/>
      <c r="C32" s="31"/>
      <c r="D32" s="31"/>
      <c r="E32" s="31"/>
      <c r="F32" s="31"/>
      <c r="G32" s="96"/>
      <c r="H32" s="31"/>
      <c r="I32" s="31"/>
      <c r="J32" s="124" t="s">
        <v>272</v>
      </c>
      <c r="K32" s="52"/>
      <c r="L32" s="52"/>
      <c r="M32" s="52"/>
      <c r="N32" s="52"/>
      <c r="O32" s="52"/>
      <c r="P32" s="52"/>
      <c r="Q32" s="125"/>
      <c r="R32" s="52" t="s">
        <v>224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5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>
      <c r="B33" s="123"/>
      <c r="C33" s="31"/>
      <c r="D33" s="31"/>
      <c r="E33" s="31"/>
      <c r="F33" s="31"/>
      <c r="G33" s="96"/>
      <c r="H33" s="31"/>
      <c r="I33" s="31"/>
      <c r="J33" s="124" t="s">
        <v>273</v>
      </c>
      <c r="K33" s="52"/>
      <c r="L33" s="52"/>
      <c r="M33" s="52"/>
      <c r="N33" s="52"/>
      <c r="O33" s="52"/>
      <c r="P33" s="52"/>
      <c r="Q33" s="125"/>
      <c r="R33" s="52" t="s">
        <v>225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5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>
      <c r="B34" s="123"/>
      <c r="C34" s="31"/>
      <c r="D34" s="31"/>
      <c r="E34" s="31"/>
      <c r="F34" s="31"/>
      <c r="G34" s="96"/>
      <c r="H34" s="31"/>
      <c r="I34" s="31"/>
      <c r="J34" s="124" t="s">
        <v>274</v>
      </c>
      <c r="K34" s="52"/>
      <c r="L34" s="52"/>
      <c r="M34" s="52"/>
      <c r="N34" s="52"/>
      <c r="O34" s="52"/>
      <c r="P34" s="52"/>
      <c r="Q34" s="125"/>
      <c r="R34" s="52" t="s">
        <v>226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5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>
      <c r="B35" s="123"/>
      <c r="C35" s="31"/>
      <c r="D35" s="31"/>
      <c r="E35" s="31"/>
      <c r="F35" s="31"/>
      <c r="G35" s="96"/>
      <c r="H35" s="31"/>
      <c r="I35" s="31"/>
      <c r="J35" s="124" t="s">
        <v>275</v>
      </c>
      <c r="K35" s="52"/>
      <c r="L35" s="52"/>
      <c r="M35" s="52"/>
      <c r="N35" s="52"/>
      <c r="O35" s="52"/>
      <c r="P35" s="52"/>
      <c r="Q35" s="125"/>
      <c r="R35" s="52" t="s">
        <v>227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25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>
      <c r="B36" s="123"/>
      <c r="C36" s="31"/>
      <c r="D36" s="31"/>
      <c r="E36" s="31"/>
      <c r="F36" s="31"/>
      <c r="G36" s="96"/>
      <c r="H36" s="31"/>
      <c r="I36" s="31"/>
      <c r="J36" s="124" t="s">
        <v>276</v>
      </c>
      <c r="K36" s="52"/>
      <c r="L36" s="52"/>
      <c r="M36" s="52"/>
      <c r="N36" s="52"/>
      <c r="O36" s="52"/>
      <c r="P36" s="52"/>
      <c r="Q36" s="125"/>
      <c r="R36" s="52" t="s">
        <v>228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25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>
      <c r="B37" s="123"/>
      <c r="C37" s="31"/>
      <c r="D37" s="31"/>
      <c r="E37" s="31"/>
      <c r="F37" s="31"/>
      <c r="G37" s="96"/>
      <c r="H37" s="31"/>
      <c r="I37" s="31"/>
      <c r="J37" s="124" t="s">
        <v>277</v>
      </c>
      <c r="K37" s="52"/>
      <c r="L37" s="52"/>
      <c r="M37" s="52"/>
      <c r="N37" s="52"/>
      <c r="O37" s="52"/>
      <c r="P37" s="52"/>
      <c r="Q37" s="125"/>
      <c r="R37" s="52" t="s">
        <v>229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25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>
      <c r="B38" s="123"/>
      <c r="C38" s="31"/>
      <c r="D38" s="31"/>
      <c r="E38" s="31"/>
      <c r="F38" s="31"/>
      <c r="G38" s="96"/>
      <c r="H38" s="31"/>
      <c r="I38" s="31"/>
      <c r="J38" s="124" t="s">
        <v>278</v>
      </c>
      <c r="K38" s="52"/>
      <c r="L38" s="52"/>
      <c r="M38" s="52"/>
      <c r="N38" s="52"/>
      <c r="O38" s="52"/>
      <c r="P38" s="52"/>
      <c r="Q38" s="125"/>
      <c r="R38" s="52" t="s">
        <v>230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25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>
      <c r="B39" s="123"/>
      <c r="C39" s="31"/>
      <c r="D39" s="31"/>
      <c r="E39" s="31"/>
      <c r="F39" s="31"/>
      <c r="G39" s="96"/>
      <c r="H39" s="31"/>
      <c r="I39" s="31"/>
      <c r="J39" s="124" t="s">
        <v>279</v>
      </c>
      <c r="K39" s="52"/>
      <c r="L39" s="52"/>
      <c r="M39" s="52"/>
      <c r="N39" s="52"/>
      <c r="O39" s="52"/>
      <c r="P39" s="52"/>
      <c r="Q39" s="125"/>
      <c r="R39" s="52" t="s">
        <v>231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25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>
      <c r="B40" s="123"/>
      <c r="C40" s="31"/>
      <c r="D40" s="31"/>
      <c r="E40" s="31"/>
      <c r="F40" s="31"/>
      <c r="G40" s="96"/>
      <c r="H40" s="31"/>
      <c r="I40" s="31"/>
      <c r="J40" s="124" t="s">
        <v>280</v>
      </c>
      <c r="K40" s="52"/>
      <c r="L40" s="52"/>
      <c r="M40" s="52"/>
      <c r="N40" s="52"/>
      <c r="O40" s="52"/>
      <c r="P40" s="52"/>
      <c r="Q40" s="125"/>
      <c r="R40" s="52" t="s">
        <v>232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25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>
      <c r="B41" s="123"/>
      <c r="C41" s="31"/>
      <c r="D41" s="31"/>
      <c r="E41" s="31"/>
      <c r="F41" s="31"/>
      <c r="G41" s="96"/>
      <c r="H41" s="31"/>
      <c r="I41" s="31"/>
      <c r="J41" s="124" t="s">
        <v>281</v>
      </c>
      <c r="K41" s="52"/>
      <c r="L41" s="52"/>
      <c r="M41" s="52"/>
      <c r="N41" s="52"/>
      <c r="O41" s="52"/>
      <c r="P41" s="52"/>
      <c r="Q41" s="125"/>
      <c r="R41" s="52" t="s">
        <v>233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25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>
      <c r="B42" s="123"/>
      <c r="C42" s="31"/>
      <c r="D42" s="31"/>
      <c r="E42" s="31"/>
      <c r="F42" s="31"/>
      <c r="G42" s="96"/>
      <c r="H42" s="31"/>
      <c r="I42" s="31"/>
      <c r="J42" s="124" t="s">
        <v>234</v>
      </c>
      <c r="K42" s="52"/>
      <c r="L42" s="52"/>
      <c r="M42" s="52"/>
      <c r="N42" s="52"/>
      <c r="O42" s="52"/>
      <c r="P42" s="52"/>
      <c r="Q42" s="125"/>
      <c r="R42" s="52" t="s">
        <v>234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25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>
      <c r="B43" s="123"/>
      <c r="C43" s="31"/>
      <c r="D43" s="31"/>
      <c r="E43" s="31"/>
      <c r="F43" s="31"/>
      <c r="G43" s="96"/>
      <c r="H43" s="31"/>
      <c r="I43" s="31"/>
      <c r="J43" s="124" t="s">
        <v>282</v>
      </c>
      <c r="K43" s="52"/>
      <c r="L43" s="52"/>
      <c r="M43" s="52"/>
      <c r="N43" s="52"/>
      <c r="O43" s="52"/>
      <c r="P43" s="52"/>
      <c r="Q43" s="125"/>
      <c r="R43" s="52" t="s">
        <v>235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25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>
      <c r="B44" s="123"/>
      <c r="C44" s="31"/>
      <c r="D44" s="31"/>
      <c r="E44" s="31"/>
      <c r="F44" s="31"/>
      <c r="G44" s="96"/>
      <c r="H44" s="31"/>
      <c r="I44" s="31"/>
      <c r="J44" s="124" t="s">
        <v>283</v>
      </c>
      <c r="K44" s="52"/>
      <c r="L44" s="52"/>
      <c r="M44" s="52"/>
      <c r="N44" s="52"/>
      <c r="O44" s="52"/>
      <c r="P44" s="52"/>
      <c r="Q44" s="125"/>
      <c r="R44" s="52" t="s">
        <v>236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25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>
      <c r="B45" s="123"/>
      <c r="C45" s="31"/>
      <c r="D45" s="31"/>
      <c r="E45" s="31"/>
      <c r="F45" s="31"/>
      <c r="G45" s="96"/>
      <c r="H45" s="31"/>
      <c r="I45" s="31"/>
      <c r="J45" s="124" t="s">
        <v>284</v>
      </c>
      <c r="K45" s="52"/>
      <c r="L45" s="52"/>
      <c r="M45" s="52"/>
      <c r="N45" s="52"/>
      <c r="O45" s="52"/>
      <c r="P45" s="52"/>
      <c r="Q45" s="125"/>
      <c r="R45" s="52" t="s">
        <v>237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25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>
      <c r="B46" s="123"/>
      <c r="C46" s="31"/>
      <c r="D46" s="31"/>
      <c r="E46" s="31"/>
      <c r="F46" s="31"/>
      <c r="G46" s="96"/>
      <c r="H46" s="31"/>
      <c r="I46" s="31"/>
      <c r="J46" s="124" t="s">
        <v>285</v>
      </c>
      <c r="K46" s="52"/>
      <c r="L46" s="52"/>
      <c r="M46" s="52"/>
      <c r="N46" s="52"/>
      <c r="O46" s="52"/>
      <c r="P46" s="52"/>
      <c r="Q46" s="125"/>
      <c r="R46" s="52" t="s">
        <v>238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125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>
      <c r="B47" s="123"/>
      <c r="C47" s="31"/>
      <c r="D47" s="31"/>
      <c r="E47" s="31"/>
      <c r="F47" s="31"/>
      <c r="G47" s="96"/>
      <c r="H47" s="31"/>
      <c r="I47" s="31"/>
      <c r="J47" s="124" t="s">
        <v>286</v>
      </c>
      <c r="K47" s="52"/>
      <c r="L47" s="52"/>
      <c r="M47" s="52"/>
      <c r="N47" s="52"/>
      <c r="O47" s="52"/>
      <c r="P47" s="52"/>
      <c r="Q47" s="125"/>
      <c r="R47" s="52" t="s">
        <v>239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25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>
      <c r="B48" s="123"/>
      <c r="C48" s="31"/>
      <c r="D48" s="31"/>
      <c r="E48" s="31"/>
      <c r="F48" s="31"/>
      <c r="G48" s="96"/>
      <c r="H48" s="31"/>
      <c r="I48" s="31"/>
      <c r="J48" s="124" t="s">
        <v>287</v>
      </c>
      <c r="K48" s="52"/>
      <c r="L48" s="52"/>
      <c r="M48" s="52"/>
      <c r="N48" s="52"/>
      <c r="O48" s="52"/>
      <c r="P48" s="52"/>
      <c r="Q48" s="125"/>
      <c r="R48" s="52" t="s">
        <v>240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25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>
      <c r="B49" s="123"/>
      <c r="C49" s="31"/>
      <c r="D49" s="31"/>
      <c r="E49" s="31"/>
      <c r="F49" s="31"/>
      <c r="G49" s="96"/>
      <c r="H49" s="31"/>
      <c r="I49" s="31"/>
      <c r="J49" s="124" t="s">
        <v>288</v>
      </c>
      <c r="K49" s="52"/>
      <c r="L49" s="52"/>
      <c r="M49" s="52"/>
      <c r="N49" s="52"/>
      <c r="O49" s="52"/>
      <c r="P49" s="52"/>
      <c r="Q49" s="125"/>
      <c r="R49" s="52" t="s">
        <v>241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25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>
      <c r="B50" s="123"/>
      <c r="C50" s="31"/>
      <c r="D50" s="31"/>
      <c r="E50" s="31"/>
      <c r="F50" s="31"/>
      <c r="G50" s="96"/>
      <c r="H50" s="31"/>
      <c r="I50" s="31"/>
      <c r="J50" s="124" t="s">
        <v>289</v>
      </c>
      <c r="K50" s="52"/>
      <c r="L50" s="52"/>
      <c r="M50" s="52"/>
      <c r="N50" s="52"/>
      <c r="O50" s="52"/>
      <c r="P50" s="52"/>
      <c r="Q50" s="125"/>
      <c r="R50" s="52" t="s">
        <v>242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25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>
      <c r="B51" s="123"/>
      <c r="C51" s="31"/>
      <c r="D51" s="31"/>
      <c r="E51" s="31"/>
      <c r="F51" s="31"/>
      <c r="G51" s="96"/>
      <c r="H51" s="31"/>
      <c r="I51" s="31"/>
      <c r="J51" s="124" t="s">
        <v>290</v>
      </c>
      <c r="K51" s="52"/>
      <c r="L51" s="52"/>
      <c r="M51" s="52"/>
      <c r="N51" s="52"/>
      <c r="O51" s="52"/>
      <c r="P51" s="52"/>
      <c r="Q51" s="125"/>
      <c r="R51" s="52" t="s">
        <v>243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5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>
      <c r="B52" s="123"/>
      <c r="C52" s="31"/>
      <c r="D52" s="31"/>
      <c r="E52" s="31"/>
      <c r="F52" s="31"/>
      <c r="G52" s="96"/>
      <c r="H52" s="31"/>
      <c r="I52" s="31"/>
      <c r="J52" s="124" t="s">
        <v>291</v>
      </c>
      <c r="K52" s="52"/>
      <c r="L52" s="52"/>
      <c r="M52" s="52"/>
      <c r="N52" s="52"/>
      <c r="O52" s="52"/>
      <c r="P52" s="52"/>
      <c r="Q52" s="125"/>
      <c r="R52" s="52" t="s">
        <v>245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5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>
      <c r="B53" s="123"/>
      <c r="C53" s="31"/>
      <c r="D53" s="31"/>
      <c r="E53" s="31"/>
      <c r="F53" s="31"/>
      <c r="G53" s="96"/>
      <c r="H53" s="31"/>
      <c r="I53" s="31"/>
      <c r="J53" s="124" t="s">
        <v>292</v>
      </c>
      <c r="K53" s="52"/>
      <c r="L53" s="52"/>
      <c r="M53" s="52"/>
      <c r="N53" s="52"/>
      <c r="O53" s="52"/>
      <c r="P53" s="52"/>
      <c r="Q53" s="125"/>
      <c r="R53" s="52" t="s">
        <v>244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5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>
      <c r="B54" s="123"/>
      <c r="C54" s="31"/>
      <c r="D54" s="31"/>
      <c r="E54" s="31"/>
      <c r="F54" s="31"/>
      <c r="G54" s="96"/>
      <c r="H54" s="31"/>
      <c r="I54" s="31"/>
      <c r="J54" s="173" t="s">
        <v>358</v>
      </c>
      <c r="K54" s="174"/>
      <c r="L54" s="174"/>
      <c r="M54" s="174"/>
      <c r="N54" s="174"/>
      <c r="O54" s="174"/>
      <c r="P54" s="174"/>
      <c r="Q54" s="174"/>
      <c r="R54" s="175" t="s">
        <v>359</v>
      </c>
      <c r="S54" s="174"/>
      <c r="T54" s="174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>
      <c r="B55" s="123"/>
      <c r="C55" s="31"/>
      <c r="D55" s="31"/>
      <c r="E55" s="31"/>
      <c r="F55" s="31"/>
      <c r="G55" s="96"/>
      <c r="H55" s="100" t="s">
        <v>52</v>
      </c>
      <c r="I55" s="55"/>
      <c r="J55" s="100" t="s">
        <v>293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101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102"/>
    </row>
    <row r="56" spans="2:61" ht="20.100000000000001" customHeight="1">
      <c r="B56" s="123"/>
      <c r="C56" s="31"/>
      <c r="D56" s="31"/>
      <c r="E56" s="31"/>
      <c r="F56" s="31"/>
      <c r="G56" s="96"/>
      <c r="H56" s="97"/>
      <c r="I56" s="31"/>
      <c r="J56" s="97" t="s">
        <v>294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>
      <c r="B57" s="95"/>
      <c r="C57" s="31"/>
      <c r="D57" s="31"/>
      <c r="E57" s="31"/>
      <c r="F57" s="31"/>
      <c r="G57" s="96"/>
      <c r="I57" s="31"/>
      <c r="J57" s="97" t="s">
        <v>295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>
      <c r="B58" s="95"/>
      <c r="C58" s="31"/>
      <c r="D58" s="31"/>
      <c r="E58" s="31"/>
      <c r="F58" s="31"/>
      <c r="G58" s="96"/>
      <c r="H58" s="97"/>
      <c r="I58" s="31"/>
      <c r="J58" s="97" t="s">
        <v>296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>
      <c r="B59" s="95"/>
      <c r="C59" s="31"/>
      <c r="D59" s="31"/>
      <c r="E59" s="31"/>
      <c r="F59" s="31"/>
      <c r="G59" s="96"/>
      <c r="H59" s="97"/>
      <c r="I59" s="31"/>
      <c r="J59" s="97" t="s">
        <v>304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>
      <c r="B60" s="95"/>
      <c r="C60" s="31"/>
      <c r="D60" s="31"/>
      <c r="E60" s="31"/>
      <c r="F60" s="31"/>
      <c r="G60" s="96"/>
      <c r="H60" s="100" t="s">
        <v>53</v>
      </c>
      <c r="I60" s="55"/>
      <c r="J60" s="100" t="s">
        <v>305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101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102"/>
    </row>
    <row r="61" spans="2:61" ht="20.100000000000001" customHeight="1">
      <c r="B61" s="95"/>
      <c r="C61" s="31"/>
      <c r="D61" s="31"/>
      <c r="E61" s="31"/>
      <c r="F61" s="31"/>
      <c r="G61" s="96"/>
      <c r="H61" s="97"/>
      <c r="I61" s="31"/>
      <c r="J61" s="97"/>
      <c r="K61" s="31" t="s">
        <v>306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>
      <c r="B62" s="95"/>
      <c r="C62" s="31"/>
      <c r="D62" s="31"/>
      <c r="E62" s="31"/>
      <c r="F62" s="31"/>
      <c r="G62" s="96"/>
      <c r="H62" s="97"/>
      <c r="I62" s="31"/>
      <c r="J62" s="97"/>
      <c r="K62" s="31"/>
      <c r="L62" s="31"/>
      <c r="M62" s="31" t="s">
        <v>307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>
      <c r="B63" s="95"/>
      <c r="C63" s="31"/>
      <c r="D63" s="31"/>
      <c r="E63" s="31"/>
      <c r="F63" s="31"/>
      <c r="G63" s="96"/>
      <c r="H63" s="97"/>
      <c r="I63" s="31"/>
      <c r="J63" s="97" t="s">
        <v>305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>
      <c r="B64" s="95"/>
      <c r="C64" s="31"/>
      <c r="D64" s="31"/>
      <c r="E64" s="31"/>
      <c r="F64" s="31"/>
      <c r="G64" s="96"/>
      <c r="H64" s="97"/>
      <c r="I64" s="31"/>
      <c r="J64" s="97"/>
      <c r="K64" s="31" t="s">
        <v>308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>
      <c r="B65" s="95"/>
      <c r="C65" s="31"/>
      <c r="D65" s="31"/>
      <c r="E65" s="31"/>
      <c r="F65" s="31"/>
      <c r="G65" s="96"/>
      <c r="H65" s="97"/>
      <c r="I65" s="31"/>
      <c r="J65" s="97"/>
      <c r="K65" s="31"/>
      <c r="L65" s="31"/>
      <c r="M65" s="31" t="s">
        <v>309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>
      <c r="B66" s="95"/>
      <c r="C66" s="31"/>
      <c r="D66" s="31"/>
      <c r="E66" s="31"/>
      <c r="F66" s="31"/>
      <c r="G66" s="96"/>
      <c r="H66" s="97"/>
      <c r="I66" s="31"/>
      <c r="J66" s="97" t="s">
        <v>310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>
      <c r="B67" s="95"/>
      <c r="C67" s="31"/>
      <c r="D67" s="31"/>
      <c r="E67" s="31"/>
      <c r="F67" s="31"/>
      <c r="G67" s="96"/>
      <c r="H67" s="97"/>
      <c r="I67" s="31"/>
      <c r="J67" s="97"/>
      <c r="K67" s="31" t="s">
        <v>311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>
      <c r="B68" s="95"/>
      <c r="C68" s="31"/>
      <c r="D68" s="31"/>
      <c r="E68" s="31"/>
      <c r="F68" s="31"/>
      <c r="G68" s="96"/>
      <c r="H68" s="97"/>
      <c r="I68" s="31"/>
      <c r="J68" s="97"/>
      <c r="K68" s="31"/>
      <c r="L68" s="31"/>
      <c r="M68" s="31" t="s">
        <v>312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>
      <c r="B69" s="95"/>
      <c r="C69" s="31"/>
      <c r="D69" s="31"/>
      <c r="E69" s="31"/>
      <c r="F69" s="31"/>
      <c r="G69" s="96"/>
      <c r="H69" s="97"/>
      <c r="I69" s="31"/>
      <c r="J69" s="97" t="s">
        <v>310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>
      <c r="B70" s="95"/>
      <c r="C70" s="31"/>
      <c r="D70" s="31"/>
      <c r="E70" s="31"/>
      <c r="F70" s="31"/>
      <c r="G70" s="96"/>
      <c r="H70" s="97"/>
      <c r="I70" s="31"/>
      <c r="J70" s="97"/>
      <c r="K70" s="31" t="s">
        <v>297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>
      <c r="B71" s="95"/>
      <c r="C71" s="31"/>
      <c r="D71" s="31"/>
      <c r="E71" s="31"/>
      <c r="F71" s="31"/>
      <c r="G71" s="96"/>
      <c r="H71" s="97"/>
      <c r="I71" s="31"/>
      <c r="J71" s="97"/>
      <c r="K71" s="31"/>
      <c r="L71" s="31"/>
      <c r="M71" s="31" t="s">
        <v>313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>
      <c r="B72" s="95"/>
      <c r="C72" s="31"/>
      <c r="D72" s="31"/>
      <c r="E72" s="31"/>
      <c r="F72" s="31"/>
      <c r="G72" s="96"/>
      <c r="H72" s="97"/>
      <c r="I72" s="31"/>
      <c r="J72" s="97"/>
      <c r="K72" s="31"/>
      <c r="L72" s="31" t="s">
        <v>315</v>
      </c>
      <c r="M72" s="31" t="s">
        <v>314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>
      <c r="B73" s="95"/>
      <c r="C73" s="31"/>
      <c r="D73" s="31"/>
      <c r="E73" s="31"/>
      <c r="F73" s="31"/>
      <c r="G73" s="96"/>
      <c r="H73" s="100" t="s">
        <v>54</v>
      </c>
      <c r="I73" s="55"/>
      <c r="J73" s="100"/>
      <c r="K73" s="55" t="s">
        <v>316</v>
      </c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101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102"/>
    </row>
    <row r="74" spans="2:61" ht="20.100000000000001" customHeight="1">
      <c r="B74" s="95"/>
      <c r="C74" s="31"/>
      <c r="D74" s="31"/>
      <c r="E74" s="31"/>
      <c r="F74" s="31"/>
      <c r="G74" s="96"/>
      <c r="H74" s="97"/>
      <c r="I74" s="31"/>
      <c r="J74" s="97" t="s">
        <v>315</v>
      </c>
      <c r="K74" s="31" t="s">
        <v>317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97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>
      <c r="B75" s="95"/>
      <c r="C75" s="31"/>
      <c r="D75" s="31"/>
      <c r="E75" s="31"/>
      <c r="F75" s="31"/>
      <c r="G75" s="96"/>
      <c r="H75" s="97"/>
      <c r="I75" s="31"/>
      <c r="J75" s="97"/>
      <c r="K75" s="31"/>
      <c r="L75" s="31"/>
      <c r="M75" s="31" t="s">
        <v>318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97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>
      <c r="B76" s="95"/>
      <c r="C76" s="31"/>
      <c r="D76" s="31"/>
      <c r="E76" s="31"/>
      <c r="F76" s="31"/>
      <c r="G76" s="96"/>
      <c r="H76" s="97"/>
      <c r="I76" s="31"/>
      <c r="J76" s="97"/>
      <c r="K76" s="31"/>
      <c r="L76" s="31" t="s">
        <v>319</v>
      </c>
      <c r="M76" s="31" t="s">
        <v>320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97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>
      <c r="B77" s="95"/>
      <c r="C77" s="31"/>
      <c r="D77" s="31"/>
      <c r="E77" s="31"/>
      <c r="F77" s="31"/>
      <c r="G77" s="96"/>
      <c r="H77" s="97"/>
      <c r="I77" s="31"/>
      <c r="J77" s="97"/>
      <c r="K77" s="31" t="s">
        <v>321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97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>
      <c r="B78" s="95"/>
      <c r="C78" s="31"/>
      <c r="D78" s="31"/>
      <c r="E78" s="31"/>
      <c r="F78" s="31"/>
      <c r="G78" s="96"/>
      <c r="H78" s="97"/>
      <c r="I78" s="31"/>
      <c r="J78" s="97" t="s">
        <v>315</v>
      </c>
      <c r="K78" s="31" t="s">
        <v>317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97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>
      <c r="B79" s="95"/>
      <c r="C79" s="31"/>
      <c r="D79" s="31"/>
      <c r="E79" s="31"/>
      <c r="F79" s="31"/>
      <c r="G79" s="96"/>
      <c r="H79" s="97"/>
      <c r="I79" s="31"/>
      <c r="J79" s="97"/>
      <c r="K79" s="31"/>
      <c r="L79" s="31"/>
      <c r="M79" s="31" t="s">
        <v>317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97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>
      <c r="B80" s="95"/>
      <c r="C80" s="31"/>
      <c r="D80" s="31"/>
      <c r="E80" s="31"/>
      <c r="F80" s="31"/>
      <c r="G80" s="96"/>
      <c r="H80" s="97"/>
      <c r="I80" s="31"/>
      <c r="J80" s="97"/>
      <c r="K80" s="31"/>
      <c r="L80" s="31"/>
      <c r="M80" s="31"/>
      <c r="N80" s="31"/>
      <c r="O80" s="31" t="s">
        <v>322</v>
      </c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97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>
      <c r="B81" s="95"/>
      <c r="C81" s="31"/>
      <c r="D81" s="31"/>
      <c r="E81" s="31"/>
      <c r="F81" s="31"/>
      <c r="G81" s="96"/>
      <c r="H81" s="97"/>
      <c r="I81" s="31"/>
      <c r="J81" s="97"/>
      <c r="K81" s="31"/>
      <c r="M81" s="31"/>
      <c r="N81" s="31" t="s">
        <v>323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97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>
      <c r="B82" s="95"/>
      <c r="C82" s="31"/>
      <c r="D82" s="31"/>
      <c r="E82" s="31"/>
      <c r="F82" s="31"/>
      <c r="G82" s="96"/>
      <c r="H82" s="97"/>
      <c r="I82" s="31"/>
      <c r="J82" s="97"/>
      <c r="K82" s="31"/>
      <c r="L82" s="31"/>
      <c r="M82" s="31"/>
      <c r="N82" s="31"/>
      <c r="O82" s="31"/>
      <c r="P82" s="31"/>
      <c r="Q82" s="31" t="s">
        <v>324</v>
      </c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97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>
      <c r="B83" s="95"/>
      <c r="C83" s="31"/>
      <c r="D83" s="31"/>
      <c r="E83" s="31"/>
      <c r="F83" s="31"/>
      <c r="G83" s="96"/>
      <c r="H83" s="97"/>
      <c r="I83" s="31"/>
      <c r="J83" s="97"/>
      <c r="K83" s="31"/>
      <c r="L83" s="31"/>
      <c r="M83" s="31"/>
      <c r="N83" s="31"/>
      <c r="O83" s="31"/>
      <c r="P83" s="31" t="s">
        <v>315</v>
      </c>
      <c r="Q83" s="31" t="s">
        <v>325</v>
      </c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97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>
      <c r="B84" s="95"/>
      <c r="C84" s="31"/>
      <c r="D84" s="31"/>
      <c r="E84" s="31"/>
      <c r="F84" s="31"/>
      <c r="G84" s="96"/>
      <c r="H84" s="97"/>
      <c r="I84" s="31"/>
      <c r="J84" s="97"/>
      <c r="K84" s="31"/>
      <c r="L84" s="31"/>
      <c r="M84" s="31"/>
      <c r="N84" s="31"/>
      <c r="O84" s="31"/>
      <c r="P84" s="31" t="s">
        <v>315</v>
      </c>
      <c r="Q84" s="31" t="s">
        <v>326</v>
      </c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97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>
      <c r="B85" s="95"/>
      <c r="C85" s="31"/>
      <c r="D85" s="31"/>
      <c r="E85" s="31"/>
      <c r="F85" s="31"/>
      <c r="G85" s="96"/>
      <c r="H85" s="97"/>
      <c r="I85" s="31"/>
      <c r="J85" s="97"/>
      <c r="K85" s="31"/>
      <c r="L85" s="31"/>
      <c r="M85" s="31"/>
      <c r="N85" s="31"/>
      <c r="O85" s="31"/>
      <c r="P85" s="31" t="s">
        <v>315</v>
      </c>
      <c r="Q85" s="31" t="s">
        <v>327</v>
      </c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97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>
      <c r="B86" s="95"/>
      <c r="C86" s="31"/>
      <c r="D86" s="31"/>
      <c r="E86" s="31"/>
      <c r="F86" s="31"/>
      <c r="G86" s="96"/>
      <c r="H86" s="97"/>
      <c r="I86" s="31"/>
      <c r="J86" s="97"/>
      <c r="K86" s="31"/>
      <c r="L86" s="31"/>
      <c r="M86" s="31"/>
      <c r="N86" s="31"/>
      <c r="O86" s="31" t="s">
        <v>328</v>
      </c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97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>
      <c r="B87" s="95"/>
      <c r="C87" s="31"/>
      <c r="D87" s="31"/>
      <c r="E87" s="31"/>
      <c r="F87" s="31"/>
      <c r="G87" s="96"/>
      <c r="H87" s="97"/>
      <c r="I87" s="31"/>
      <c r="J87" s="97"/>
      <c r="K87" s="31"/>
      <c r="L87" s="31"/>
      <c r="M87" s="31" t="s">
        <v>328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97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>
      <c r="B88" s="95"/>
      <c r="C88" s="31"/>
      <c r="D88" s="31"/>
      <c r="E88" s="31"/>
      <c r="F88" s="31"/>
      <c r="G88" s="96"/>
      <c r="H88" s="97"/>
      <c r="I88" s="31"/>
      <c r="J88" s="97"/>
      <c r="K88" s="31"/>
      <c r="L88" s="31" t="s">
        <v>329</v>
      </c>
      <c r="M88" s="31" t="s">
        <v>330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97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>
      <c r="B89" s="95"/>
      <c r="C89" s="31"/>
      <c r="D89" s="31"/>
      <c r="E89" s="31"/>
      <c r="F89" s="31"/>
      <c r="G89" s="96"/>
      <c r="H89" s="97"/>
      <c r="I89" s="31"/>
      <c r="J89" s="97"/>
      <c r="K89" s="31"/>
      <c r="L89" s="31"/>
      <c r="M89" s="31"/>
      <c r="N89" s="31"/>
      <c r="O89" s="31" t="s">
        <v>331</v>
      </c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97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>
      <c r="B90" s="95"/>
      <c r="C90" s="31"/>
      <c r="D90" s="31"/>
      <c r="E90" s="31"/>
      <c r="F90" s="31"/>
      <c r="G90" s="96"/>
      <c r="H90" s="97"/>
      <c r="I90" s="31"/>
      <c r="J90" s="97"/>
      <c r="K90" s="31"/>
      <c r="L90" s="31"/>
      <c r="M90" s="31"/>
      <c r="N90" s="31" t="s">
        <v>332</v>
      </c>
      <c r="O90" s="31"/>
      <c r="P90" s="31" t="s">
        <v>333</v>
      </c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97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>
      <c r="B91" s="95"/>
      <c r="C91" s="31"/>
      <c r="D91" s="31"/>
      <c r="E91" s="31"/>
      <c r="F91" s="31"/>
      <c r="G91" s="96"/>
      <c r="H91" s="97"/>
      <c r="I91" s="31"/>
      <c r="J91" s="97"/>
      <c r="K91" s="31"/>
      <c r="L91" s="31"/>
      <c r="M91" s="31" t="s">
        <v>328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97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>
      <c r="B92" s="95"/>
      <c r="C92" s="31"/>
      <c r="D92" s="31"/>
      <c r="E92" s="31"/>
      <c r="F92" s="31"/>
      <c r="G92" s="96"/>
      <c r="H92" s="97"/>
      <c r="I92" s="31"/>
      <c r="J92" s="97"/>
      <c r="K92" s="31"/>
      <c r="L92" s="31" t="s">
        <v>329</v>
      </c>
      <c r="M92" s="31" t="s">
        <v>330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97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>
      <c r="B93" s="95"/>
      <c r="C93" s="31"/>
      <c r="D93" s="31"/>
      <c r="E93" s="31"/>
      <c r="F93" s="31"/>
      <c r="G93" s="96"/>
      <c r="H93" s="97"/>
      <c r="I93" s="31"/>
      <c r="J93" s="97"/>
      <c r="K93" s="31"/>
      <c r="L93" s="31"/>
      <c r="M93" s="31"/>
      <c r="N93" s="31"/>
      <c r="O93" s="168" t="s">
        <v>334</v>
      </c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97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>
      <c r="B94" s="95"/>
      <c r="C94" s="31"/>
      <c r="D94" s="31"/>
      <c r="E94" s="31"/>
      <c r="F94" s="31"/>
      <c r="G94" s="96"/>
      <c r="H94" s="97"/>
      <c r="I94" s="31"/>
      <c r="J94" s="97"/>
      <c r="K94" s="31"/>
      <c r="L94" s="31"/>
      <c r="M94" s="31"/>
      <c r="N94" s="31" t="s">
        <v>332</v>
      </c>
      <c r="O94" s="31"/>
      <c r="P94" s="31" t="s">
        <v>335</v>
      </c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97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>
      <c r="B95" s="95"/>
      <c r="C95" s="31"/>
      <c r="D95" s="31"/>
      <c r="E95" s="31"/>
      <c r="F95" s="31"/>
      <c r="G95" s="96"/>
      <c r="H95" s="97"/>
      <c r="I95" s="31"/>
      <c r="J95" s="97"/>
      <c r="K95" s="31"/>
      <c r="L95" s="31"/>
      <c r="M95" s="31" t="s">
        <v>328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97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thickBot="1">
      <c r="B96" s="95"/>
      <c r="C96" s="31"/>
      <c r="D96" s="31"/>
      <c r="E96" s="31"/>
      <c r="F96" s="31"/>
      <c r="G96" s="96"/>
      <c r="H96" s="100" t="s">
        <v>336</v>
      </c>
      <c r="I96" s="55"/>
      <c r="J96" s="100" t="s">
        <v>337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100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102"/>
    </row>
    <row r="97" spans="2:61" ht="20.100000000000001" customHeight="1">
      <c r="B97" s="89" t="s">
        <v>197</v>
      </c>
      <c r="C97" s="90"/>
      <c r="D97" s="90"/>
      <c r="E97" s="90"/>
      <c r="F97" s="90"/>
      <c r="G97" s="91"/>
      <c r="H97" s="92" t="s">
        <v>83</v>
      </c>
      <c r="I97" s="90"/>
      <c r="J97" s="120" t="s">
        <v>339</v>
      </c>
      <c r="K97" s="121"/>
      <c r="L97" s="121"/>
      <c r="M97" s="121"/>
      <c r="N97" s="121"/>
      <c r="O97" s="121"/>
      <c r="P97" s="121"/>
      <c r="Q97" s="122"/>
      <c r="R97" s="121" t="s">
        <v>338</v>
      </c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2"/>
      <c r="AK97" s="93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4"/>
    </row>
    <row r="98" spans="2:61" ht="20.100000000000001" customHeight="1">
      <c r="B98" s="123"/>
      <c r="C98" s="31"/>
      <c r="D98" s="31"/>
      <c r="E98" s="31"/>
      <c r="F98" s="31"/>
      <c r="G98" s="96"/>
      <c r="H98" s="100" t="s">
        <v>52</v>
      </c>
      <c r="I98" s="55"/>
      <c r="J98" s="100" t="s">
        <v>340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101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102"/>
    </row>
    <row r="99" spans="2:61" ht="20.100000000000001" customHeight="1">
      <c r="B99" s="95"/>
      <c r="C99" s="31"/>
      <c r="D99" s="31"/>
      <c r="E99" s="31"/>
      <c r="F99" s="31"/>
      <c r="G99" s="96"/>
      <c r="H99" s="100" t="s">
        <v>54</v>
      </c>
      <c r="I99" s="55"/>
      <c r="J99" s="100"/>
      <c r="K99" s="55" t="s">
        <v>341</v>
      </c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101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102"/>
    </row>
    <row r="100" spans="2:61" ht="20.100000000000001" customHeight="1">
      <c r="B100" s="95"/>
      <c r="C100" s="31"/>
      <c r="D100" s="31"/>
      <c r="E100" s="31"/>
      <c r="F100" s="31"/>
      <c r="G100" s="96"/>
      <c r="H100" s="97"/>
      <c r="I100" s="31"/>
      <c r="J100" s="97" t="s">
        <v>344</v>
      </c>
      <c r="K100" s="31" t="s">
        <v>342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97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>
      <c r="B101" s="95"/>
      <c r="C101" s="31"/>
      <c r="D101" s="31"/>
      <c r="E101" s="31"/>
      <c r="F101" s="31"/>
      <c r="G101" s="96"/>
      <c r="H101" s="97"/>
      <c r="I101" s="31"/>
      <c r="J101" s="97" t="s">
        <v>344</v>
      </c>
      <c r="K101" s="31" t="s">
        <v>343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97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thickBot="1">
      <c r="B102" s="95"/>
      <c r="C102" s="31"/>
      <c r="D102" s="31"/>
      <c r="E102" s="31"/>
      <c r="F102" s="31"/>
      <c r="G102" s="96"/>
      <c r="H102" s="169" t="s">
        <v>345</v>
      </c>
      <c r="I102" s="170"/>
      <c r="J102" s="169" t="s">
        <v>346</v>
      </c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69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1"/>
    </row>
    <row r="103" spans="2:61" ht="20.100000000000001" customHeight="1">
      <c r="B103" s="89" t="s">
        <v>198</v>
      </c>
      <c r="C103" s="90"/>
      <c r="D103" s="90"/>
      <c r="E103" s="90"/>
      <c r="F103" s="90"/>
      <c r="G103" s="91"/>
      <c r="H103" s="92" t="s">
        <v>83</v>
      </c>
      <c r="I103" s="90"/>
      <c r="J103" s="120" t="s">
        <v>339</v>
      </c>
      <c r="K103" s="121"/>
      <c r="L103" s="121"/>
      <c r="M103" s="121"/>
      <c r="N103" s="121"/>
      <c r="O103" s="121"/>
      <c r="P103" s="121"/>
      <c r="Q103" s="122"/>
      <c r="R103" s="121" t="s">
        <v>338</v>
      </c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2"/>
      <c r="AK103" s="93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4"/>
    </row>
    <row r="104" spans="2:61" ht="20.100000000000001" customHeight="1">
      <c r="B104" s="123"/>
      <c r="C104" s="31"/>
      <c r="D104" s="31"/>
      <c r="E104" s="31"/>
      <c r="F104" s="31"/>
      <c r="G104" s="96"/>
      <c r="H104" s="100" t="s">
        <v>52</v>
      </c>
      <c r="I104" s="55"/>
      <c r="J104" s="100" t="s">
        <v>340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101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102"/>
    </row>
    <row r="105" spans="2:61" ht="20.100000000000001" customHeight="1">
      <c r="B105" s="123"/>
      <c r="C105" s="31"/>
      <c r="D105" s="31"/>
      <c r="E105" s="31"/>
      <c r="F105" s="31"/>
      <c r="G105" s="96"/>
      <c r="H105" s="100" t="s">
        <v>54</v>
      </c>
      <c r="I105" s="55"/>
      <c r="J105" s="100"/>
      <c r="K105" s="55" t="s">
        <v>341</v>
      </c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01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02"/>
    </row>
    <row r="106" spans="2:61" ht="20.100000000000001" customHeight="1">
      <c r="B106" s="123"/>
      <c r="C106" s="31"/>
      <c r="D106" s="31"/>
      <c r="E106" s="31"/>
      <c r="F106" s="31"/>
      <c r="G106" s="96"/>
      <c r="H106" s="97"/>
      <c r="I106" s="31"/>
      <c r="J106" s="97" t="s">
        <v>344</v>
      </c>
      <c r="K106" s="31" t="s">
        <v>342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97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>
      <c r="B107" s="123"/>
      <c r="C107" s="31"/>
      <c r="D107" s="31"/>
      <c r="E107" s="31"/>
      <c r="F107" s="31"/>
      <c r="G107" s="96"/>
      <c r="H107" s="97"/>
      <c r="I107" s="31"/>
      <c r="J107" s="97" t="s">
        <v>344</v>
      </c>
      <c r="K107" s="31" t="s">
        <v>347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97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thickBot="1">
      <c r="B108" s="123"/>
      <c r="C108" s="31"/>
      <c r="D108" s="31"/>
      <c r="E108" s="31"/>
      <c r="F108" s="31"/>
      <c r="G108" s="96"/>
      <c r="H108" s="169" t="s">
        <v>345</v>
      </c>
      <c r="I108" s="170"/>
      <c r="J108" s="169" t="s">
        <v>348</v>
      </c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69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1"/>
    </row>
    <row r="109" spans="2:61" ht="20.100000000000001" customHeight="1">
      <c r="B109" s="89" t="s">
        <v>297</v>
      </c>
      <c r="C109" s="90"/>
      <c r="D109" s="90"/>
      <c r="E109" s="90"/>
      <c r="F109" s="90"/>
      <c r="G109" s="91"/>
      <c r="H109" s="92" t="s">
        <v>83</v>
      </c>
      <c r="I109" s="90"/>
      <c r="J109" s="120" t="s">
        <v>298</v>
      </c>
      <c r="K109" s="121"/>
      <c r="L109" s="121"/>
      <c r="M109" s="121"/>
      <c r="N109" s="121"/>
      <c r="O109" s="121"/>
      <c r="P109" s="121"/>
      <c r="Q109" s="122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2"/>
      <c r="AK109" s="93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4"/>
    </row>
    <row r="110" spans="2:61" ht="20.100000000000001" customHeight="1">
      <c r="B110" s="123"/>
      <c r="C110" s="31"/>
      <c r="D110" s="31"/>
      <c r="E110" s="31"/>
      <c r="F110" s="31"/>
      <c r="G110" s="96"/>
      <c r="H110" s="97"/>
      <c r="I110" s="31"/>
      <c r="J110" s="124" t="s">
        <v>299</v>
      </c>
      <c r="K110" s="52"/>
      <c r="L110" s="52"/>
      <c r="M110" s="52"/>
      <c r="N110" s="52"/>
      <c r="O110" s="52"/>
      <c r="P110" s="52"/>
      <c r="Q110" s="125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25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>
      <c r="B111" s="123"/>
      <c r="C111" s="31"/>
      <c r="D111" s="31"/>
      <c r="E111" s="31"/>
      <c r="F111" s="31"/>
      <c r="G111" s="96"/>
      <c r="H111" s="97"/>
      <c r="I111" s="31"/>
      <c r="J111" s="124" t="s">
        <v>300</v>
      </c>
      <c r="K111" s="52"/>
      <c r="L111" s="52"/>
      <c r="M111" s="52"/>
      <c r="N111" s="52"/>
      <c r="O111" s="52"/>
      <c r="P111" s="52"/>
      <c r="Q111" s="125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25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>
      <c r="B112" s="123"/>
      <c r="C112" s="31"/>
      <c r="D112" s="31"/>
      <c r="E112" s="31"/>
      <c r="F112" s="31"/>
      <c r="G112" s="96"/>
      <c r="H112" s="97"/>
      <c r="I112" s="31"/>
      <c r="J112" s="124" t="s">
        <v>301</v>
      </c>
      <c r="K112" s="52"/>
      <c r="L112" s="52"/>
      <c r="M112" s="52"/>
      <c r="N112" s="52"/>
      <c r="O112" s="52"/>
      <c r="P112" s="52"/>
      <c r="Q112" s="125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25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>
      <c r="B113" s="123"/>
      <c r="C113" s="31"/>
      <c r="D113" s="31"/>
      <c r="E113" s="31"/>
      <c r="F113" s="31"/>
      <c r="G113" s="96"/>
      <c r="H113" s="124" t="s">
        <v>52</v>
      </c>
      <c r="I113" s="52"/>
      <c r="J113" s="124" t="s">
        <v>302</v>
      </c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166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167"/>
    </row>
    <row r="114" spans="2:61" ht="20.100000000000001" customHeight="1" thickBot="1">
      <c r="B114" s="95"/>
      <c r="C114" s="31"/>
      <c r="D114" s="31"/>
      <c r="E114" s="31"/>
      <c r="F114" s="31"/>
      <c r="G114" s="96"/>
      <c r="H114" s="100" t="s">
        <v>54</v>
      </c>
      <c r="I114" s="55"/>
      <c r="J114" s="100"/>
      <c r="K114" s="55" t="s">
        <v>303</v>
      </c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101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102"/>
    </row>
    <row r="115" spans="2:61" ht="5.0999999999999996" customHeight="1"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/>
    <row r="2" spans="2:65" ht="20.100000000000001" customHeight="1">
      <c r="B2" s="253" t="s">
        <v>0</v>
      </c>
      <c r="C2" s="248"/>
      <c r="D2" s="248"/>
      <c r="E2" s="248"/>
      <c r="F2" s="248"/>
      <c r="G2" s="248"/>
      <c r="H2" s="248" t="s">
        <v>17</v>
      </c>
      <c r="I2" s="248"/>
      <c r="J2" s="248"/>
      <c r="K2" s="248"/>
      <c r="L2" s="248" t="s">
        <v>1</v>
      </c>
      <c r="M2" s="248"/>
      <c r="N2" s="248"/>
      <c r="O2" s="248"/>
      <c r="P2" s="248"/>
      <c r="Q2" s="248"/>
      <c r="R2" s="248" t="s">
        <v>2</v>
      </c>
      <c r="S2" s="248"/>
      <c r="T2" s="248"/>
      <c r="U2" s="248"/>
      <c r="V2" s="248"/>
      <c r="W2" s="248"/>
      <c r="X2" s="254" t="s">
        <v>3</v>
      </c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6"/>
      <c r="AK2" s="254" t="s">
        <v>32</v>
      </c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X2" s="248" t="s">
        <v>5</v>
      </c>
      <c r="AY2" s="248"/>
      <c r="AZ2" s="248"/>
      <c r="BA2" s="248"/>
      <c r="BB2" s="248" t="s">
        <v>4</v>
      </c>
      <c r="BC2" s="248"/>
      <c r="BD2" s="248"/>
      <c r="BE2" s="248"/>
      <c r="BF2" s="248" t="s">
        <v>6</v>
      </c>
      <c r="BG2" s="248"/>
      <c r="BH2" s="248"/>
      <c r="BI2" s="248"/>
      <c r="BJ2" s="248" t="s">
        <v>7</v>
      </c>
      <c r="BK2" s="248"/>
      <c r="BL2" s="248"/>
      <c r="BM2" s="249"/>
    </row>
    <row r="3" spans="2:65" ht="20.100000000000001" customHeight="1">
      <c r="B3" s="257" t="str">
        <f>変更履歴!B3</f>
        <v>受発注システム</v>
      </c>
      <c r="C3" s="182"/>
      <c r="D3" s="182"/>
      <c r="E3" s="182"/>
      <c r="F3" s="182"/>
      <c r="G3" s="182"/>
      <c r="H3" s="182" t="str">
        <f ca="1">変更履歴!H3</f>
        <v>MT1400</v>
      </c>
      <c r="I3" s="182"/>
      <c r="J3" s="182"/>
      <c r="K3" s="182"/>
      <c r="L3" s="182" t="str">
        <f>変更履歴!L3</f>
        <v>受発注</v>
      </c>
      <c r="M3" s="182"/>
      <c r="N3" s="182"/>
      <c r="O3" s="182"/>
      <c r="P3" s="182"/>
      <c r="Q3" s="182"/>
      <c r="R3" s="182" t="str">
        <f ca="1">変更履歴!R3</f>
        <v>帳票設計書</v>
      </c>
      <c r="S3" s="182"/>
      <c r="T3" s="182"/>
      <c r="U3" s="182"/>
      <c r="V3" s="182"/>
      <c r="W3" s="182"/>
      <c r="X3" s="186" t="str">
        <f ca="1">変更履歴!X3</f>
        <v>MT1400_出荷リスト_帳票設計書</v>
      </c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3"/>
      <c r="AK3" s="186" t="str">
        <f ca="1">変更履歴!AK3</f>
        <v>出荷リスト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3"/>
      <c r="AX3" s="193">
        <f>変更履歴!AX3</f>
        <v>45582</v>
      </c>
      <c r="AY3" s="193"/>
      <c r="AZ3" s="193"/>
      <c r="BA3" s="193"/>
      <c r="BB3" s="182" t="str">
        <f>変更履歴!BB3</f>
        <v>大谷</v>
      </c>
      <c r="BC3" s="182"/>
      <c r="BD3" s="182"/>
      <c r="BE3" s="182"/>
      <c r="BF3" s="193">
        <f>変更履歴!BF3</f>
        <v>45582</v>
      </c>
      <c r="BG3" s="193"/>
      <c r="BH3" s="193"/>
      <c r="BI3" s="193"/>
      <c r="BJ3" s="182" t="str">
        <f>変更履歴!BJ3</f>
        <v>大谷</v>
      </c>
      <c r="BK3" s="182"/>
      <c r="BL3" s="182"/>
      <c r="BM3" s="246"/>
    </row>
    <row r="4" spans="2:65" ht="20.100000000000001" customHeight="1" thickBot="1">
      <c r="B4" s="258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50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2"/>
      <c r="AK4" s="250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2"/>
      <c r="AX4" s="244"/>
      <c r="AY4" s="244"/>
      <c r="AZ4" s="244"/>
      <c r="BA4" s="244"/>
      <c r="BB4" s="245"/>
      <c r="BC4" s="245"/>
      <c r="BD4" s="245"/>
      <c r="BE4" s="245"/>
      <c r="BF4" s="244"/>
      <c r="BG4" s="244"/>
      <c r="BH4" s="244"/>
      <c r="BI4" s="244"/>
      <c r="BJ4" s="245"/>
      <c r="BK4" s="245"/>
      <c r="BL4" s="245"/>
      <c r="BM4" s="247"/>
    </row>
    <row r="5" spans="2:65" ht="5.0999999999999996" customHeight="1"/>
    <row r="6" spans="2:65" ht="5.0999999999999996" customHeight="1" thickBot="1"/>
    <row r="7" spans="2:65" ht="20.100000000000001" customHeight="1">
      <c r="B7" s="89" t="s">
        <v>55</v>
      </c>
      <c r="C7" s="90"/>
      <c r="D7" s="90"/>
      <c r="E7" s="90"/>
      <c r="F7" s="90"/>
      <c r="G7" s="90"/>
      <c r="H7" s="92" t="s">
        <v>83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84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>
      <c r="B8" s="123"/>
      <c r="C8" s="31"/>
      <c r="D8" s="31"/>
      <c r="E8" s="31"/>
      <c r="F8" s="31"/>
      <c r="G8" s="31"/>
      <c r="H8" s="97"/>
      <c r="I8" s="96"/>
      <c r="J8" s="124" t="s">
        <v>85</v>
      </c>
      <c r="K8" s="52"/>
      <c r="L8" s="52"/>
      <c r="M8" s="52"/>
      <c r="N8" s="52"/>
      <c r="O8" s="52"/>
      <c r="P8" s="52"/>
      <c r="Q8" s="52"/>
      <c r="R8" s="124" t="s">
        <v>86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>
      <c r="B9" s="123"/>
      <c r="C9" s="31"/>
      <c r="D9" s="31"/>
      <c r="E9" s="31"/>
      <c r="F9" s="31"/>
      <c r="G9" s="31"/>
      <c r="H9" s="103"/>
      <c r="I9" s="127"/>
      <c r="J9" s="124" t="s">
        <v>87</v>
      </c>
      <c r="K9" s="52"/>
      <c r="L9" s="52"/>
      <c r="M9" s="52"/>
      <c r="N9" s="52"/>
      <c r="O9" s="52"/>
      <c r="P9" s="52"/>
      <c r="Q9" s="52"/>
      <c r="R9" s="124" t="s">
        <v>88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>
      <c r="B10" s="123"/>
      <c r="C10" s="31"/>
      <c r="D10" s="31"/>
      <c r="E10" s="31"/>
      <c r="F10" s="31"/>
      <c r="G10" s="96"/>
      <c r="H10" s="97" t="s">
        <v>56</v>
      </c>
      <c r="I10" s="31"/>
      <c r="J10" s="111" t="s">
        <v>57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>
      <c r="B11" s="95"/>
      <c r="C11" s="31"/>
      <c r="D11" s="31"/>
      <c r="E11" s="31"/>
      <c r="F11" s="31"/>
      <c r="G11" s="96"/>
      <c r="H11" s="97"/>
      <c r="I11" s="31"/>
      <c r="J11" s="97" t="s">
        <v>58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>
      <c r="B12" s="95"/>
      <c r="C12" s="31"/>
      <c r="D12" s="31"/>
      <c r="E12" s="31"/>
      <c r="F12" s="31"/>
      <c r="G12" s="96"/>
      <c r="H12" s="97"/>
      <c r="I12" s="31"/>
      <c r="J12" s="97" t="s">
        <v>59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>
      <c r="B13" s="95"/>
      <c r="C13" s="31"/>
      <c r="D13" s="31"/>
      <c r="E13" s="31"/>
      <c r="F13" s="31"/>
      <c r="G13" s="96"/>
      <c r="H13" s="97"/>
      <c r="I13" s="31"/>
      <c r="J13" s="97" t="s">
        <v>60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>
      <c r="B14" s="95"/>
      <c r="C14" s="31"/>
      <c r="D14" s="31"/>
      <c r="E14" s="31"/>
      <c r="F14" s="31"/>
      <c r="G14" s="96"/>
      <c r="H14" s="100" t="s">
        <v>61</v>
      </c>
      <c r="I14" s="55"/>
      <c r="J14" s="107" t="s">
        <v>62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64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65</v>
      </c>
      <c r="M17" s="109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66</v>
      </c>
      <c r="M18" s="109" t="s">
        <v>64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>
      <c r="B19" s="95"/>
      <c r="C19" s="31"/>
      <c r="D19" s="31"/>
      <c r="E19" s="31"/>
      <c r="F19" s="31"/>
      <c r="G19" s="96"/>
      <c r="H19" s="97"/>
      <c r="I19" s="31"/>
      <c r="J19" s="97" t="s">
        <v>67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65</v>
      </c>
      <c r="M22" s="104" t="s">
        <v>70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>
      <c r="B23" s="95"/>
      <c r="C23" s="31"/>
      <c r="D23" s="31"/>
      <c r="E23" s="31"/>
      <c r="F23" s="31"/>
      <c r="G23" s="96"/>
      <c r="H23" s="97" t="s">
        <v>71</v>
      </c>
      <c r="I23" s="31"/>
      <c r="J23" s="111"/>
      <c r="K23" s="109" t="s">
        <v>72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73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>
      <c r="B24" s="95"/>
      <c r="C24" s="31"/>
      <c r="D24" s="31"/>
      <c r="E24" s="31"/>
      <c r="F24" s="31"/>
      <c r="G24" s="96"/>
      <c r="H24" s="97"/>
      <c r="I24" s="31"/>
      <c r="J24" s="111" t="s">
        <v>65</v>
      </c>
      <c r="K24" s="109" t="s">
        <v>74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>
      <c r="B25" s="95"/>
      <c r="C25" s="31"/>
      <c r="D25" s="31"/>
      <c r="E25" s="31"/>
      <c r="F25" s="31"/>
      <c r="G25" s="96"/>
      <c r="H25" s="97"/>
      <c r="I25" s="31"/>
      <c r="J25" s="111" t="s">
        <v>66</v>
      </c>
      <c r="K25" s="109" t="s">
        <v>74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>
      <c r="B26" s="95"/>
      <c r="C26" s="31"/>
      <c r="D26" s="31"/>
      <c r="E26" s="31"/>
      <c r="F26" s="31"/>
      <c r="G26" s="96"/>
      <c r="H26" s="97"/>
      <c r="I26" s="31"/>
      <c r="J26" s="111" t="s">
        <v>75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76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77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>
      <c r="B28" s="95"/>
      <c r="C28" s="31"/>
      <c r="D28" s="31"/>
      <c r="E28" s="31"/>
      <c r="F28" s="31"/>
      <c r="G28" s="96"/>
      <c r="H28" s="97"/>
      <c r="I28" s="31"/>
      <c r="J28" s="97" t="s">
        <v>65</v>
      </c>
      <c r="K28" s="31" t="s">
        <v>78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>
      <c r="B32" s="95"/>
      <c r="C32" s="31"/>
      <c r="D32" s="31"/>
      <c r="E32" s="31"/>
      <c r="F32" s="31"/>
      <c r="G32" s="96"/>
      <c r="H32" s="97" t="s">
        <v>79</v>
      </c>
      <c r="I32" s="31"/>
      <c r="J32" s="111" t="s">
        <v>80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>
      <c r="B33" s="95"/>
      <c r="C33" s="31"/>
      <c r="D33" s="31"/>
      <c r="E33" s="31"/>
      <c r="F33" s="31"/>
      <c r="G33" s="96"/>
      <c r="H33" s="97"/>
      <c r="I33" s="31"/>
      <c r="J33" s="111" t="s">
        <v>81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>
      <c r="B36" s="29"/>
      <c r="C36" s="29"/>
      <c r="D36" s="29"/>
      <c r="E36" s="29"/>
      <c r="F36" s="29"/>
      <c r="G36" s="29"/>
      <c r="H36" s="119" t="s">
        <v>82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/>
  <cols>
    <col min="1" max="2" width="8.796875" style="29"/>
    <col min="3" max="3" width="26.59765625" style="29" customWidth="1"/>
    <col min="4" max="4" width="59.19921875" style="29" customWidth="1"/>
    <col min="5" max="5" width="63.296875" style="29" customWidth="1"/>
    <col min="6" max="16384" width="8.796875" style="29"/>
  </cols>
  <sheetData>
    <row r="2" spans="2:6" ht="19.2" thickBot="1">
      <c r="B2" s="87" t="s">
        <v>48</v>
      </c>
    </row>
    <row r="3" spans="2:6" ht="18.600000000000001" thickTop="1">
      <c r="B3" s="38" t="s">
        <v>19</v>
      </c>
      <c r="C3" s="77" t="s">
        <v>49</v>
      </c>
      <c r="D3" s="74" t="s">
        <v>21</v>
      </c>
      <c r="E3" s="172" t="s">
        <v>357</v>
      </c>
      <c r="F3" s="78" t="s">
        <v>50</v>
      </c>
    </row>
    <row r="4" spans="2:6">
      <c r="B4" s="37">
        <v>1</v>
      </c>
      <c r="C4" s="79" t="s">
        <v>159</v>
      </c>
      <c r="D4" s="80" t="s">
        <v>353</v>
      </c>
      <c r="E4" s="80" t="s">
        <v>361</v>
      </c>
      <c r="F4" s="81" t="s">
        <v>360</v>
      </c>
    </row>
    <row r="5" spans="2:6">
      <c r="B5" s="37">
        <v>2</v>
      </c>
      <c r="C5" s="79" t="s">
        <v>195</v>
      </c>
      <c r="D5" s="82" t="s">
        <v>354</v>
      </c>
      <c r="E5" s="82" t="s">
        <v>369</v>
      </c>
      <c r="F5" s="81" t="s">
        <v>360</v>
      </c>
    </row>
    <row r="6" spans="2:6">
      <c r="B6" s="37">
        <v>3</v>
      </c>
      <c r="C6" s="79" t="s">
        <v>350</v>
      </c>
      <c r="D6" s="82" t="s">
        <v>351</v>
      </c>
      <c r="E6" s="82" t="s">
        <v>363</v>
      </c>
      <c r="F6" s="81" t="s">
        <v>360</v>
      </c>
    </row>
    <row r="7" spans="2:6">
      <c r="B7" s="37">
        <v>4</v>
      </c>
      <c r="C7" s="79"/>
      <c r="D7" s="82"/>
      <c r="E7" s="82"/>
      <c r="F7" s="81"/>
    </row>
    <row r="8" spans="2:6">
      <c r="B8" s="37">
        <v>5</v>
      </c>
      <c r="C8" s="79"/>
      <c r="D8" s="82"/>
      <c r="E8" s="82"/>
      <c r="F8" s="81"/>
    </row>
    <row r="9" spans="2:6">
      <c r="B9" s="37">
        <v>6</v>
      </c>
      <c r="C9" s="79"/>
      <c r="D9" s="82"/>
      <c r="E9" s="82"/>
      <c r="F9" s="81"/>
    </row>
    <row r="10" spans="2:6">
      <c r="B10" s="37">
        <v>7</v>
      </c>
      <c r="C10" s="79"/>
      <c r="D10" s="82"/>
      <c r="E10" s="82"/>
      <c r="F10" s="81"/>
    </row>
    <row r="11" spans="2:6">
      <c r="B11" s="37">
        <v>8</v>
      </c>
      <c r="C11" s="79"/>
      <c r="D11" s="82"/>
      <c r="E11" s="82"/>
      <c r="F11" s="81"/>
    </row>
    <row r="12" spans="2:6">
      <c r="B12" s="37">
        <v>9</v>
      </c>
      <c r="C12" s="79"/>
      <c r="D12" s="82"/>
      <c r="E12" s="82"/>
      <c r="F12" s="81"/>
    </row>
    <row r="13" spans="2:6">
      <c r="B13" s="37">
        <v>10</v>
      </c>
      <c r="C13" s="79"/>
      <c r="D13" s="82"/>
      <c r="E13" s="82"/>
      <c r="F13" s="81"/>
    </row>
    <row r="14" spans="2:6">
      <c r="B14" s="37">
        <v>11</v>
      </c>
      <c r="C14" s="79"/>
      <c r="D14" s="82"/>
      <c r="E14" s="82"/>
      <c r="F14" s="81"/>
    </row>
    <row r="15" spans="2:6">
      <c r="B15" s="37">
        <v>12</v>
      </c>
      <c r="C15" s="79"/>
      <c r="D15" s="82"/>
      <c r="E15" s="82"/>
      <c r="F15" s="81"/>
    </row>
    <row r="16" spans="2:6">
      <c r="B16" s="37">
        <v>13</v>
      </c>
      <c r="C16" s="79"/>
      <c r="D16" s="82"/>
      <c r="E16" s="82"/>
      <c r="F16" s="81"/>
    </row>
    <row r="17" spans="2:6">
      <c r="B17" s="37">
        <v>14</v>
      </c>
      <c r="C17" s="79"/>
      <c r="D17" s="82"/>
      <c r="E17" s="82"/>
      <c r="F17" s="81"/>
    </row>
    <row r="18" spans="2:6">
      <c r="B18" s="37">
        <v>15</v>
      </c>
      <c r="C18" s="79"/>
      <c r="D18" s="82"/>
      <c r="E18" s="82"/>
      <c r="F18" s="81"/>
    </row>
    <row r="19" spans="2:6">
      <c r="B19" s="37">
        <v>16</v>
      </c>
      <c r="C19" s="79"/>
      <c r="D19" s="82"/>
      <c r="E19" s="82"/>
      <c r="F19" s="81"/>
    </row>
    <row r="20" spans="2:6">
      <c r="B20" s="37">
        <v>17</v>
      </c>
      <c r="C20" s="79"/>
      <c r="D20" s="82"/>
      <c r="E20" s="82"/>
      <c r="F20" s="81"/>
    </row>
    <row r="21" spans="2:6">
      <c r="B21" s="37">
        <v>18</v>
      </c>
      <c r="C21" s="79"/>
      <c r="D21" s="82"/>
      <c r="E21" s="82"/>
      <c r="F21" s="81"/>
    </row>
    <row r="22" spans="2:6">
      <c r="B22" s="37">
        <v>19</v>
      </c>
      <c r="C22" s="79"/>
      <c r="D22" s="82"/>
      <c r="E22" s="82"/>
      <c r="F22" s="81"/>
    </row>
    <row r="23" spans="2:6">
      <c r="B23" s="37">
        <v>20</v>
      </c>
      <c r="C23" s="79"/>
      <c r="D23" s="82"/>
      <c r="E23" s="82"/>
      <c r="F23" s="81"/>
    </row>
    <row r="24" spans="2:6">
      <c r="B24" s="37">
        <v>21</v>
      </c>
      <c r="C24" s="79"/>
      <c r="D24" s="82"/>
      <c r="E24" s="82"/>
      <c r="F24" s="81"/>
    </row>
    <row r="25" spans="2:6">
      <c r="B25" s="37">
        <v>22</v>
      </c>
      <c r="C25" s="79"/>
      <c r="D25" s="82"/>
      <c r="E25" s="82"/>
      <c r="F25" s="81"/>
    </row>
    <row r="26" spans="2:6">
      <c r="B26" s="37">
        <v>23</v>
      </c>
      <c r="C26" s="79"/>
      <c r="D26" s="82"/>
      <c r="E26" s="82"/>
      <c r="F26" s="81"/>
    </row>
    <row r="27" spans="2:6">
      <c r="B27" s="37">
        <v>24</v>
      </c>
      <c r="C27" s="79"/>
      <c r="D27" s="82"/>
      <c r="E27" s="82"/>
      <c r="F27" s="81"/>
    </row>
    <row r="28" spans="2:6">
      <c r="B28" s="37">
        <v>25</v>
      </c>
      <c r="C28" s="79"/>
      <c r="D28" s="82"/>
      <c r="E28" s="82"/>
      <c r="F28" s="81"/>
    </row>
    <row r="29" spans="2:6">
      <c r="B29" s="37">
        <v>26</v>
      </c>
      <c r="C29" s="79"/>
      <c r="D29" s="82"/>
      <c r="E29" s="82"/>
      <c r="F29" s="81"/>
    </row>
    <row r="30" spans="2:6">
      <c r="B30" s="37">
        <v>27</v>
      </c>
      <c r="C30" s="79"/>
      <c r="D30" s="82"/>
      <c r="E30" s="82"/>
      <c r="F30" s="81"/>
    </row>
    <row r="31" spans="2:6">
      <c r="B31" s="37">
        <v>28</v>
      </c>
      <c r="C31" s="79"/>
      <c r="D31" s="82"/>
      <c r="E31" s="82"/>
      <c r="F31" s="81"/>
    </row>
    <row r="32" spans="2:6">
      <c r="B32" s="37">
        <v>29</v>
      </c>
      <c r="C32" s="79"/>
      <c r="D32" s="82"/>
      <c r="E32" s="82"/>
      <c r="F32" s="81"/>
    </row>
    <row r="33" spans="2:6">
      <c r="B33" s="37">
        <v>30</v>
      </c>
      <c r="C33" s="79"/>
      <c r="D33" s="82"/>
      <c r="E33" s="82"/>
      <c r="F33" s="81"/>
    </row>
    <row r="34" spans="2:6">
      <c r="B34" s="37">
        <v>31</v>
      </c>
      <c r="C34" s="79"/>
      <c r="D34" s="82"/>
      <c r="E34" s="82"/>
      <c r="F34" s="81"/>
    </row>
    <row r="35" spans="2:6">
      <c r="B35" s="37">
        <v>32</v>
      </c>
      <c r="C35" s="79"/>
      <c r="D35" s="82"/>
      <c r="E35" s="82"/>
      <c r="F35" s="81"/>
    </row>
    <row r="36" spans="2:6">
      <c r="B36" s="37">
        <v>33</v>
      </c>
      <c r="C36" s="79"/>
      <c r="D36" s="82"/>
      <c r="E36" s="82"/>
      <c r="F36" s="81"/>
    </row>
    <row r="37" spans="2:6">
      <c r="B37" s="37">
        <v>34</v>
      </c>
      <c r="C37" s="79"/>
      <c r="D37" s="82"/>
      <c r="E37" s="82"/>
      <c r="F37" s="81"/>
    </row>
    <row r="38" spans="2:6">
      <c r="B38" s="37">
        <v>35</v>
      </c>
      <c r="C38" s="79"/>
      <c r="D38" s="82"/>
      <c r="E38" s="82"/>
      <c r="F38" s="81"/>
    </row>
    <row r="39" spans="2:6">
      <c r="B39" s="37">
        <v>36</v>
      </c>
      <c r="C39" s="79"/>
      <c r="D39" s="82"/>
      <c r="E39" s="82"/>
      <c r="F39" s="81"/>
    </row>
    <row r="40" spans="2:6">
      <c r="B40" s="37">
        <v>37</v>
      </c>
      <c r="C40" s="79"/>
      <c r="D40" s="82"/>
      <c r="E40" s="82"/>
      <c r="F40" s="81"/>
    </row>
    <row r="41" spans="2:6">
      <c r="B41" s="37">
        <v>38</v>
      </c>
      <c r="C41" s="79"/>
      <c r="D41" s="82"/>
      <c r="E41" s="82"/>
      <c r="F41" s="81"/>
    </row>
    <row r="42" spans="2:6">
      <c r="B42" s="37">
        <v>39</v>
      </c>
      <c r="C42" s="79"/>
      <c r="D42" s="82"/>
      <c r="E42" s="82"/>
      <c r="F42" s="81"/>
    </row>
    <row r="43" spans="2:6">
      <c r="B43" s="37">
        <v>40</v>
      </c>
      <c r="C43" s="79"/>
      <c r="D43" s="82"/>
      <c r="E43" s="82"/>
      <c r="F43" s="81"/>
    </row>
    <row r="44" spans="2:6">
      <c r="B44" s="37">
        <v>41</v>
      </c>
      <c r="C44" s="79"/>
      <c r="D44" s="82"/>
      <c r="E44" s="82"/>
      <c r="F44" s="81"/>
    </row>
    <row r="45" spans="2:6">
      <c r="B45" s="37">
        <v>42</v>
      </c>
      <c r="C45" s="79"/>
      <c r="D45" s="82"/>
      <c r="E45" s="82"/>
      <c r="F45" s="81"/>
    </row>
    <row r="46" spans="2:6">
      <c r="B46" s="37">
        <v>43</v>
      </c>
      <c r="C46" s="79"/>
      <c r="D46" s="82"/>
      <c r="E46" s="82"/>
      <c r="F46" s="81"/>
    </row>
    <row r="47" spans="2:6">
      <c r="B47" s="37">
        <v>44</v>
      </c>
      <c r="C47" s="79"/>
      <c r="D47" s="82"/>
      <c r="E47" s="82"/>
      <c r="F47" s="81"/>
    </row>
    <row r="48" spans="2:6">
      <c r="B48" s="37">
        <v>45</v>
      </c>
      <c r="C48" s="79"/>
      <c r="D48" s="82"/>
      <c r="E48" s="82"/>
      <c r="F48" s="81"/>
    </row>
    <row r="49" spans="2:6">
      <c r="B49" s="37">
        <v>46</v>
      </c>
      <c r="C49" s="79"/>
      <c r="D49" s="82"/>
      <c r="E49" s="82"/>
      <c r="F49" s="81"/>
    </row>
    <row r="50" spans="2:6">
      <c r="B50" s="37">
        <v>47</v>
      </c>
      <c r="C50" s="79"/>
      <c r="D50" s="82"/>
      <c r="E50" s="82"/>
      <c r="F50" s="81"/>
    </row>
    <row r="51" spans="2:6">
      <c r="B51" s="37">
        <v>48</v>
      </c>
      <c r="C51" s="79"/>
      <c r="D51" s="82"/>
      <c r="E51" s="82"/>
      <c r="F51" s="81"/>
    </row>
    <row r="52" spans="2:6">
      <c r="B52" s="37">
        <v>49</v>
      </c>
      <c r="C52" s="79"/>
      <c r="D52" s="82"/>
      <c r="E52" s="82"/>
      <c r="F52" s="81"/>
    </row>
    <row r="53" spans="2:6">
      <c r="B53" s="37">
        <v>50</v>
      </c>
      <c r="C53" s="79"/>
      <c r="D53" s="82"/>
      <c r="E53" s="82"/>
      <c r="F53" s="81"/>
    </row>
    <row r="54" spans="2:6" ht="18.600000000000001" thickBot="1">
      <c r="B54" s="83">
        <v>51</v>
      </c>
      <c r="C54" s="84"/>
      <c r="D54" s="85"/>
      <c r="E54" s="85"/>
      <c r="F54" s="86"/>
    </row>
    <row r="55" spans="2:6" ht="18.600000000000001" thickTop="1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view="pageBreakPreview" topLeftCell="B1" zoomScaleNormal="100" zoomScaleSheetLayoutView="100" workbookViewId="0">
      <selection activeCell="B1" sqref="B1"/>
    </sheetView>
  </sheetViews>
  <sheetFormatPr defaultColWidth="7.796875" defaultRowHeight="13.2"/>
  <cols>
    <col min="1" max="1" width="4.296875" style="128" hidden="1" customWidth="1"/>
    <col min="2" max="2" width="17.296875" style="128" customWidth="1"/>
    <col min="3" max="3" width="6.8984375" style="128" customWidth="1"/>
    <col min="4" max="4" width="6" style="128" customWidth="1"/>
    <col min="5" max="5" width="28.5" style="128" customWidth="1"/>
    <col min="6" max="8" width="5.59765625" style="128" customWidth="1"/>
    <col min="9" max="9" width="9.796875" style="128" customWidth="1"/>
    <col min="10" max="10" width="4" style="128" customWidth="1"/>
    <col min="11" max="11" width="8.19921875" style="128" customWidth="1"/>
    <col min="12" max="12" width="15.69921875" style="128" customWidth="1"/>
    <col min="13" max="13" width="3.09765625" style="128" customWidth="1"/>
    <col min="14" max="14" width="8.19921875" style="128" customWidth="1"/>
    <col min="15" max="15" width="4.69921875" style="128" customWidth="1"/>
    <col min="16" max="16" width="7.796875" style="128" customWidth="1"/>
    <col min="17" max="256" width="7.796875" style="128"/>
    <col min="257" max="257" width="0" style="128" hidden="1" customWidth="1"/>
    <col min="258" max="258" width="17.296875" style="128" customWidth="1"/>
    <col min="259" max="259" width="6.8984375" style="128" customWidth="1"/>
    <col min="260" max="260" width="6" style="128" customWidth="1"/>
    <col min="261" max="261" width="27.69921875" style="128" customWidth="1"/>
    <col min="262" max="264" width="5.59765625" style="128" customWidth="1"/>
    <col min="265" max="265" width="9.796875" style="128" customWidth="1"/>
    <col min="266" max="266" width="4" style="128" customWidth="1"/>
    <col min="267" max="267" width="8.19921875" style="128" customWidth="1"/>
    <col min="268" max="268" width="15.69921875" style="128" customWidth="1"/>
    <col min="269" max="269" width="5.09765625" style="128" customWidth="1"/>
    <col min="270" max="270" width="8.19921875" style="128" customWidth="1"/>
    <col min="271" max="271" width="4.69921875" style="128" customWidth="1"/>
    <col min="272" max="512" width="7.796875" style="128"/>
    <col min="513" max="513" width="0" style="128" hidden="1" customWidth="1"/>
    <col min="514" max="514" width="17.296875" style="128" customWidth="1"/>
    <col min="515" max="515" width="6.8984375" style="128" customWidth="1"/>
    <col min="516" max="516" width="6" style="128" customWidth="1"/>
    <col min="517" max="517" width="27.69921875" style="128" customWidth="1"/>
    <col min="518" max="520" width="5.59765625" style="128" customWidth="1"/>
    <col min="521" max="521" width="9.796875" style="128" customWidth="1"/>
    <col min="522" max="522" width="4" style="128" customWidth="1"/>
    <col min="523" max="523" width="8.19921875" style="128" customWidth="1"/>
    <col min="524" max="524" width="15.69921875" style="128" customWidth="1"/>
    <col min="525" max="525" width="5.09765625" style="128" customWidth="1"/>
    <col min="526" max="526" width="8.19921875" style="128" customWidth="1"/>
    <col min="527" max="527" width="4.69921875" style="128" customWidth="1"/>
    <col min="528" max="768" width="7.796875" style="128"/>
    <col min="769" max="769" width="0" style="128" hidden="1" customWidth="1"/>
    <col min="770" max="770" width="17.296875" style="128" customWidth="1"/>
    <col min="771" max="771" width="6.8984375" style="128" customWidth="1"/>
    <col min="772" max="772" width="6" style="128" customWidth="1"/>
    <col min="773" max="773" width="27.69921875" style="128" customWidth="1"/>
    <col min="774" max="776" width="5.59765625" style="128" customWidth="1"/>
    <col min="777" max="777" width="9.796875" style="128" customWidth="1"/>
    <col min="778" max="778" width="4" style="128" customWidth="1"/>
    <col min="779" max="779" width="8.19921875" style="128" customWidth="1"/>
    <col min="780" max="780" width="15.69921875" style="128" customWidth="1"/>
    <col min="781" max="781" width="5.09765625" style="128" customWidth="1"/>
    <col min="782" max="782" width="8.19921875" style="128" customWidth="1"/>
    <col min="783" max="783" width="4.69921875" style="128" customWidth="1"/>
    <col min="784" max="1024" width="7.796875" style="128"/>
    <col min="1025" max="1025" width="0" style="128" hidden="1" customWidth="1"/>
    <col min="1026" max="1026" width="17.296875" style="128" customWidth="1"/>
    <col min="1027" max="1027" width="6.8984375" style="128" customWidth="1"/>
    <col min="1028" max="1028" width="6" style="128" customWidth="1"/>
    <col min="1029" max="1029" width="27.69921875" style="128" customWidth="1"/>
    <col min="1030" max="1032" width="5.59765625" style="128" customWidth="1"/>
    <col min="1033" max="1033" width="9.796875" style="128" customWidth="1"/>
    <col min="1034" max="1034" width="4" style="128" customWidth="1"/>
    <col min="1035" max="1035" width="8.19921875" style="128" customWidth="1"/>
    <col min="1036" max="1036" width="15.69921875" style="128" customWidth="1"/>
    <col min="1037" max="1037" width="5.09765625" style="128" customWidth="1"/>
    <col min="1038" max="1038" width="8.19921875" style="128" customWidth="1"/>
    <col min="1039" max="1039" width="4.69921875" style="128" customWidth="1"/>
    <col min="1040" max="1280" width="7.796875" style="128"/>
    <col min="1281" max="1281" width="0" style="128" hidden="1" customWidth="1"/>
    <col min="1282" max="1282" width="17.296875" style="128" customWidth="1"/>
    <col min="1283" max="1283" width="6.8984375" style="128" customWidth="1"/>
    <col min="1284" max="1284" width="6" style="128" customWidth="1"/>
    <col min="1285" max="1285" width="27.69921875" style="128" customWidth="1"/>
    <col min="1286" max="1288" width="5.59765625" style="128" customWidth="1"/>
    <col min="1289" max="1289" width="9.796875" style="128" customWidth="1"/>
    <col min="1290" max="1290" width="4" style="128" customWidth="1"/>
    <col min="1291" max="1291" width="8.19921875" style="128" customWidth="1"/>
    <col min="1292" max="1292" width="15.69921875" style="128" customWidth="1"/>
    <col min="1293" max="1293" width="5.09765625" style="128" customWidth="1"/>
    <col min="1294" max="1294" width="8.19921875" style="128" customWidth="1"/>
    <col min="1295" max="1295" width="4.69921875" style="128" customWidth="1"/>
    <col min="1296" max="1536" width="7.796875" style="128"/>
    <col min="1537" max="1537" width="0" style="128" hidden="1" customWidth="1"/>
    <col min="1538" max="1538" width="17.296875" style="128" customWidth="1"/>
    <col min="1539" max="1539" width="6.8984375" style="128" customWidth="1"/>
    <col min="1540" max="1540" width="6" style="128" customWidth="1"/>
    <col min="1541" max="1541" width="27.69921875" style="128" customWidth="1"/>
    <col min="1542" max="1544" width="5.59765625" style="128" customWidth="1"/>
    <col min="1545" max="1545" width="9.796875" style="128" customWidth="1"/>
    <col min="1546" max="1546" width="4" style="128" customWidth="1"/>
    <col min="1547" max="1547" width="8.19921875" style="128" customWidth="1"/>
    <col min="1548" max="1548" width="15.69921875" style="128" customWidth="1"/>
    <col min="1549" max="1549" width="5.09765625" style="128" customWidth="1"/>
    <col min="1550" max="1550" width="8.19921875" style="128" customWidth="1"/>
    <col min="1551" max="1551" width="4.69921875" style="128" customWidth="1"/>
    <col min="1552" max="1792" width="7.796875" style="128"/>
    <col min="1793" max="1793" width="0" style="128" hidden="1" customWidth="1"/>
    <col min="1794" max="1794" width="17.296875" style="128" customWidth="1"/>
    <col min="1795" max="1795" width="6.8984375" style="128" customWidth="1"/>
    <col min="1796" max="1796" width="6" style="128" customWidth="1"/>
    <col min="1797" max="1797" width="27.69921875" style="128" customWidth="1"/>
    <col min="1798" max="1800" width="5.59765625" style="128" customWidth="1"/>
    <col min="1801" max="1801" width="9.796875" style="128" customWidth="1"/>
    <col min="1802" max="1802" width="4" style="128" customWidth="1"/>
    <col min="1803" max="1803" width="8.19921875" style="128" customWidth="1"/>
    <col min="1804" max="1804" width="15.69921875" style="128" customWidth="1"/>
    <col min="1805" max="1805" width="5.09765625" style="128" customWidth="1"/>
    <col min="1806" max="1806" width="8.19921875" style="128" customWidth="1"/>
    <col min="1807" max="1807" width="4.69921875" style="128" customWidth="1"/>
    <col min="1808" max="2048" width="7.796875" style="128"/>
    <col min="2049" max="2049" width="0" style="128" hidden="1" customWidth="1"/>
    <col min="2050" max="2050" width="17.296875" style="128" customWidth="1"/>
    <col min="2051" max="2051" width="6.8984375" style="128" customWidth="1"/>
    <col min="2052" max="2052" width="6" style="128" customWidth="1"/>
    <col min="2053" max="2053" width="27.69921875" style="128" customWidth="1"/>
    <col min="2054" max="2056" width="5.59765625" style="128" customWidth="1"/>
    <col min="2057" max="2057" width="9.796875" style="128" customWidth="1"/>
    <col min="2058" max="2058" width="4" style="128" customWidth="1"/>
    <col min="2059" max="2059" width="8.19921875" style="128" customWidth="1"/>
    <col min="2060" max="2060" width="15.69921875" style="128" customWidth="1"/>
    <col min="2061" max="2061" width="5.09765625" style="128" customWidth="1"/>
    <col min="2062" max="2062" width="8.19921875" style="128" customWidth="1"/>
    <col min="2063" max="2063" width="4.69921875" style="128" customWidth="1"/>
    <col min="2064" max="2304" width="7.796875" style="128"/>
    <col min="2305" max="2305" width="0" style="128" hidden="1" customWidth="1"/>
    <col min="2306" max="2306" width="17.296875" style="128" customWidth="1"/>
    <col min="2307" max="2307" width="6.8984375" style="128" customWidth="1"/>
    <col min="2308" max="2308" width="6" style="128" customWidth="1"/>
    <col min="2309" max="2309" width="27.69921875" style="128" customWidth="1"/>
    <col min="2310" max="2312" width="5.59765625" style="128" customWidth="1"/>
    <col min="2313" max="2313" width="9.796875" style="128" customWidth="1"/>
    <col min="2314" max="2314" width="4" style="128" customWidth="1"/>
    <col min="2315" max="2315" width="8.19921875" style="128" customWidth="1"/>
    <col min="2316" max="2316" width="15.69921875" style="128" customWidth="1"/>
    <col min="2317" max="2317" width="5.09765625" style="128" customWidth="1"/>
    <col min="2318" max="2318" width="8.19921875" style="128" customWidth="1"/>
    <col min="2319" max="2319" width="4.69921875" style="128" customWidth="1"/>
    <col min="2320" max="2560" width="7.796875" style="128"/>
    <col min="2561" max="2561" width="0" style="128" hidden="1" customWidth="1"/>
    <col min="2562" max="2562" width="17.296875" style="128" customWidth="1"/>
    <col min="2563" max="2563" width="6.8984375" style="128" customWidth="1"/>
    <col min="2564" max="2564" width="6" style="128" customWidth="1"/>
    <col min="2565" max="2565" width="27.69921875" style="128" customWidth="1"/>
    <col min="2566" max="2568" width="5.59765625" style="128" customWidth="1"/>
    <col min="2569" max="2569" width="9.796875" style="128" customWidth="1"/>
    <col min="2570" max="2570" width="4" style="128" customWidth="1"/>
    <col min="2571" max="2571" width="8.19921875" style="128" customWidth="1"/>
    <col min="2572" max="2572" width="15.69921875" style="128" customWidth="1"/>
    <col min="2573" max="2573" width="5.09765625" style="128" customWidth="1"/>
    <col min="2574" max="2574" width="8.19921875" style="128" customWidth="1"/>
    <col min="2575" max="2575" width="4.69921875" style="128" customWidth="1"/>
    <col min="2576" max="2816" width="7.796875" style="128"/>
    <col min="2817" max="2817" width="0" style="128" hidden="1" customWidth="1"/>
    <col min="2818" max="2818" width="17.296875" style="128" customWidth="1"/>
    <col min="2819" max="2819" width="6.8984375" style="128" customWidth="1"/>
    <col min="2820" max="2820" width="6" style="128" customWidth="1"/>
    <col min="2821" max="2821" width="27.69921875" style="128" customWidth="1"/>
    <col min="2822" max="2824" width="5.59765625" style="128" customWidth="1"/>
    <col min="2825" max="2825" width="9.796875" style="128" customWidth="1"/>
    <col min="2826" max="2826" width="4" style="128" customWidth="1"/>
    <col min="2827" max="2827" width="8.19921875" style="128" customWidth="1"/>
    <col min="2828" max="2828" width="15.69921875" style="128" customWidth="1"/>
    <col min="2829" max="2829" width="5.09765625" style="128" customWidth="1"/>
    <col min="2830" max="2830" width="8.19921875" style="128" customWidth="1"/>
    <col min="2831" max="2831" width="4.69921875" style="128" customWidth="1"/>
    <col min="2832" max="3072" width="7.796875" style="128"/>
    <col min="3073" max="3073" width="0" style="128" hidden="1" customWidth="1"/>
    <col min="3074" max="3074" width="17.296875" style="128" customWidth="1"/>
    <col min="3075" max="3075" width="6.8984375" style="128" customWidth="1"/>
    <col min="3076" max="3076" width="6" style="128" customWidth="1"/>
    <col min="3077" max="3077" width="27.69921875" style="128" customWidth="1"/>
    <col min="3078" max="3080" width="5.59765625" style="128" customWidth="1"/>
    <col min="3081" max="3081" width="9.796875" style="128" customWidth="1"/>
    <col min="3082" max="3082" width="4" style="128" customWidth="1"/>
    <col min="3083" max="3083" width="8.19921875" style="128" customWidth="1"/>
    <col min="3084" max="3084" width="15.69921875" style="128" customWidth="1"/>
    <col min="3085" max="3085" width="5.09765625" style="128" customWidth="1"/>
    <col min="3086" max="3086" width="8.19921875" style="128" customWidth="1"/>
    <col min="3087" max="3087" width="4.69921875" style="128" customWidth="1"/>
    <col min="3088" max="3328" width="7.796875" style="128"/>
    <col min="3329" max="3329" width="0" style="128" hidden="1" customWidth="1"/>
    <col min="3330" max="3330" width="17.296875" style="128" customWidth="1"/>
    <col min="3331" max="3331" width="6.8984375" style="128" customWidth="1"/>
    <col min="3332" max="3332" width="6" style="128" customWidth="1"/>
    <col min="3333" max="3333" width="27.69921875" style="128" customWidth="1"/>
    <col min="3334" max="3336" width="5.59765625" style="128" customWidth="1"/>
    <col min="3337" max="3337" width="9.796875" style="128" customWidth="1"/>
    <col min="3338" max="3338" width="4" style="128" customWidth="1"/>
    <col min="3339" max="3339" width="8.19921875" style="128" customWidth="1"/>
    <col min="3340" max="3340" width="15.69921875" style="128" customWidth="1"/>
    <col min="3341" max="3341" width="5.09765625" style="128" customWidth="1"/>
    <col min="3342" max="3342" width="8.19921875" style="128" customWidth="1"/>
    <col min="3343" max="3343" width="4.69921875" style="128" customWidth="1"/>
    <col min="3344" max="3584" width="7.796875" style="128"/>
    <col min="3585" max="3585" width="0" style="128" hidden="1" customWidth="1"/>
    <col min="3586" max="3586" width="17.296875" style="128" customWidth="1"/>
    <col min="3587" max="3587" width="6.8984375" style="128" customWidth="1"/>
    <col min="3588" max="3588" width="6" style="128" customWidth="1"/>
    <col min="3589" max="3589" width="27.69921875" style="128" customWidth="1"/>
    <col min="3590" max="3592" width="5.59765625" style="128" customWidth="1"/>
    <col min="3593" max="3593" width="9.796875" style="128" customWidth="1"/>
    <col min="3594" max="3594" width="4" style="128" customWidth="1"/>
    <col min="3595" max="3595" width="8.19921875" style="128" customWidth="1"/>
    <col min="3596" max="3596" width="15.69921875" style="128" customWidth="1"/>
    <col min="3597" max="3597" width="5.09765625" style="128" customWidth="1"/>
    <col min="3598" max="3598" width="8.19921875" style="128" customWidth="1"/>
    <col min="3599" max="3599" width="4.69921875" style="128" customWidth="1"/>
    <col min="3600" max="3840" width="7.796875" style="128"/>
    <col min="3841" max="3841" width="0" style="128" hidden="1" customWidth="1"/>
    <col min="3842" max="3842" width="17.296875" style="128" customWidth="1"/>
    <col min="3843" max="3843" width="6.8984375" style="128" customWidth="1"/>
    <col min="3844" max="3844" width="6" style="128" customWidth="1"/>
    <col min="3845" max="3845" width="27.69921875" style="128" customWidth="1"/>
    <col min="3846" max="3848" width="5.59765625" style="128" customWidth="1"/>
    <col min="3849" max="3849" width="9.796875" style="128" customWidth="1"/>
    <col min="3850" max="3850" width="4" style="128" customWidth="1"/>
    <col min="3851" max="3851" width="8.19921875" style="128" customWidth="1"/>
    <col min="3852" max="3852" width="15.69921875" style="128" customWidth="1"/>
    <col min="3853" max="3853" width="5.09765625" style="128" customWidth="1"/>
    <col min="3854" max="3854" width="8.19921875" style="128" customWidth="1"/>
    <col min="3855" max="3855" width="4.69921875" style="128" customWidth="1"/>
    <col min="3856" max="4096" width="7.796875" style="128"/>
    <col min="4097" max="4097" width="0" style="128" hidden="1" customWidth="1"/>
    <col min="4098" max="4098" width="17.296875" style="128" customWidth="1"/>
    <col min="4099" max="4099" width="6.8984375" style="128" customWidth="1"/>
    <col min="4100" max="4100" width="6" style="128" customWidth="1"/>
    <col min="4101" max="4101" width="27.69921875" style="128" customWidth="1"/>
    <col min="4102" max="4104" width="5.59765625" style="128" customWidth="1"/>
    <col min="4105" max="4105" width="9.796875" style="128" customWidth="1"/>
    <col min="4106" max="4106" width="4" style="128" customWidth="1"/>
    <col min="4107" max="4107" width="8.19921875" style="128" customWidth="1"/>
    <col min="4108" max="4108" width="15.69921875" style="128" customWidth="1"/>
    <col min="4109" max="4109" width="5.09765625" style="128" customWidth="1"/>
    <col min="4110" max="4110" width="8.19921875" style="128" customWidth="1"/>
    <col min="4111" max="4111" width="4.69921875" style="128" customWidth="1"/>
    <col min="4112" max="4352" width="7.796875" style="128"/>
    <col min="4353" max="4353" width="0" style="128" hidden="1" customWidth="1"/>
    <col min="4354" max="4354" width="17.296875" style="128" customWidth="1"/>
    <col min="4355" max="4355" width="6.8984375" style="128" customWidth="1"/>
    <col min="4356" max="4356" width="6" style="128" customWidth="1"/>
    <col min="4357" max="4357" width="27.69921875" style="128" customWidth="1"/>
    <col min="4358" max="4360" width="5.59765625" style="128" customWidth="1"/>
    <col min="4361" max="4361" width="9.796875" style="128" customWidth="1"/>
    <col min="4362" max="4362" width="4" style="128" customWidth="1"/>
    <col min="4363" max="4363" width="8.19921875" style="128" customWidth="1"/>
    <col min="4364" max="4364" width="15.69921875" style="128" customWidth="1"/>
    <col min="4365" max="4365" width="5.09765625" style="128" customWidth="1"/>
    <col min="4366" max="4366" width="8.19921875" style="128" customWidth="1"/>
    <col min="4367" max="4367" width="4.69921875" style="128" customWidth="1"/>
    <col min="4368" max="4608" width="7.796875" style="128"/>
    <col min="4609" max="4609" width="0" style="128" hidden="1" customWidth="1"/>
    <col min="4610" max="4610" width="17.296875" style="128" customWidth="1"/>
    <col min="4611" max="4611" width="6.8984375" style="128" customWidth="1"/>
    <col min="4612" max="4612" width="6" style="128" customWidth="1"/>
    <col min="4613" max="4613" width="27.69921875" style="128" customWidth="1"/>
    <col min="4614" max="4616" width="5.59765625" style="128" customWidth="1"/>
    <col min="4617" max="4617" width="9.796875" style="128" customWidth="1"/>
    <col min="4618" max="4618" width="4" style="128" customWidth="1"/>
    <col min="4619" max="4619" width="8.19921875" style="128" customWidth="1"/>
    <col min="4620" max="4620" width="15.69921875" style="128" customWidth="1"/>
    <col min="4621" max="4621" width="5.09765625" style="128" customWidth="1"/>
    <col min="4622" max="4622" width="8.19921875" style="128" customWidth="1"/>
    <col min="4623" max="4623" width="4.69921875" style="128" customWidth="1"/>
    <col min="4624" max="4864" width="7.796875" style="128"/>
    <col min="4865" max="4865" width="0" style="128" hidden="1" customWidth="1"/>
    <col min="4866" max="4866" width="17.296875" style="128" customWidth="1"/>
    <col min="4867" max="4867" width="6.8984375" style="128" customWidth="1"/>
    <col min="4868" max="4868" width="6" style="128" customWidth="1"/>
    <col min="4869" max="4869" width="27.69921875" style="128" customWidth="1"/>
    <col min="4870" max="4872" width="5.59765625" style="128" customWidth="1"/>
    <col min="4873" max="4873" width="9.796875" style="128" customWidth="1"/>
    <col min="4874" max="4874" width="4" style="128" customWidth="1"/>
    <col min="4875" max="4875" width="8.19921875" style="128" customWidth="1"/>
    <col min="4876" max="4876" width="15.69921875" style="128" customWidth="1"/>
    <col min="4877" max="4877" width="5.09765625" style="128" customWidth="1"/>
    <col min="4878" max="4878" width="8.19921875" style="128" customWidth="1"/>
    <col min="4879" max="4879" width="4.69921875" style="128" customWidth="1"/>
    <col min="4880" max="5120" width="7.796875" style="128"/>
    <col min="5121" max="5121" width="0" style="128" hidden="1" customWidth="1"/>
    <col min="5122" max="5122" width="17.296875" style="128" customWidth="1"/>
    <col min="5123" max="5123" width="6.8984375" style="128" customWidth="1"/>
    <col min="5124" max="5124" width="6" style="128" customWidth="1"/>
    <col min="5125" max="5125" width="27.69921875" style="128" customWidth="1"/>
    <col min="5126" max="5128" width="5.59765625" style="128" customWidth="1"/>
    <col min="5129" max="5129" width="9.796875" style="128" customWidth="1"/>
    <col min="5130" max="5130" width="4" style="128" customWidth="1"/>
    <col min="5131" max="5131" width="8.19921875" style="128" customWidth="1"/>
    <col min="5132" max="5132" width="15.69921875" style="128" customWidth="1"/>
    <col min="5133" max="5133" width="5.09765625" style="128" customWidth="1"/>
    <col min="5134" max="5134" width="8.19921875" style="128" customWidth="1"/>
    <col min="5135" max="5135" width="4.69921875" style="128" customWidth="1"/>
    <col min="5136" max="5376" width="7.796875" style="128"/>
    <col min="5377" max="5377" width="0" style="128" hidden="1" customWidth="1"/>
    <col min="5378" max="5378" width="17.296875" style="128" customWidth="1"/>
    <col min="5379" max="5379" width="6.8984375" style="128" customWidth="1"/>
    <col min="5380" max="5380" width="6" style="128" customWidth="1"/>
    <col min="5381" max="5381" width="27.69921875" style="128" customWidth="1"/>
    <col min="5382" max="5384" width="5.59765625" style="128" customWidth="1"/>
    <col min="5385" max="5385" width="9.796875" style="128" customWidth="1"/>
    <col min="5386" max="5386" width="4" style="128" customWidth="1"/>
    <col min="5387" max="5387" width="8.19921875" style="128" customWidth="1"/>
    <col min="5388" max="5388" width="15.69921875" style="128" customWidth="1"/>
    <col min="5389" max="5389" width="5.09765625" style="128" customWidth="1"/>
    <col min="5390" max="5390" width="8.19921875" style="128" customWidth="1"/>
    <col min="5391" max="5391" width="4.69921875" style="128" customWidth="1"/>
    <col min="5392" max="5632" width="7.796875" style="128"/>
    <col min="5633" max="5633" width="0" style="128" hidden="1" customWidth="1"/>
    <col min="5634" max="5634" width="17.296875" style="128" customWidth="1"/>
    <col min="5635" max="5635" width="6.8984375" style="128" customWidth="1"/>
    <col min="5636" max="5636" width="6" style="128" customWidth="1"/>
    <col min="5637" max="5637" width="27.69921875" style="128" customWidth="1"/>
    <col min="5638" max="5640" width="5.59765625" style="128" customWidth="1"/>
    <col min="5641" max="5641" width="9.796875" style="128" customWidth="1"/>
    <col min="5642" max="5642" width="4" style="128" customWidth="1"/>
    <col min="5643" max="5643" width="8.19921875" style="128" customWidth="1"/>
    <col min="5644" max="5644" width="15.69921875" style="128" customWidth="1"/>
    <col min="5645" max="5645" width="5.09765625" style="128" customWidth="1"/>
    <col min="5646" max="5646" width="8.19921875" style="128" customWidth="1"/>
    <col min="5647" max="5647" width="4.69921875" style="128" customWidth="1"/>
    <col min="5648" max="5888" width="7.796875" style="128"/>
    <col min="5889" max="5889" width="0" style="128" hidden="1" customWidth="1"/>
    <col min="5890" max="5890" width="17.296875" style="128" customWidth="1"/>
    <col min="5891" max="5891" width="6.8984375" style="128" customWidth="1"/>
    <col min="5892" max="5892" width="6" style="128" customWidth="1"/>
    <col min="5893" max="5893" width="27.69921875" style="128" customWidth="1"/>
    <col min="5894" max="5896" width="5.59765625" style="128" customWidth="1"/>
    <col min="5897" max="5897" width="9.796875" style="128" customWidth="1"/>
    <col min="5898" max="5898" width="4" style="128" customWidth="1"/>
    <col min="5899" max="5899" width="8.19921875" style="128" customWidth="1"/>
    <col min="5900" max="5900" width="15.69921875" style="128" customWidth="1"/>
    <col min="5901" max="5901" width="5.09765625" style="128" customWidth="1"/>
    <col min="5902" max="5902" width="8.19921875" style="128" customWidth="1"/>
    <col min="5903" max="5903" width="4.69921875" style="128" customWidth="1"/>
    <col min="5904" max="6144" width="7.796875" style="128"/>
    <col min="6145" max="6145" width="0" style="128" hidden="1" customWidth="1"/>
    <col min="6146" max="6146" width="17.296875" style="128" customWidth="1"/>
    <col min="6147" max="6147" width="6.8984375" style="128" customWidth="1"/>
    <col min="6148" max="6148" width="6" style="128" customWidth="1"/>
    <col min="6149" max="6149" width="27.69921875" style="128" customWidth="1"/>
    <col min="6150" max="6152" width="5.59765625" style="128" customWidth="1"/>
    <col min="6153" max="6153" width="9.796875" style="128" customWidth="1"/>
    <col min="6154" max="6154" width="4" style="128" customWidth="1"/>
    <col min="6155" max="6155" width="8.19921875" style="128" customWidth="1"/>
    <col min="6156" max="6156" width="15.69921875" style="128" customWidth="1"/>
    <col min="6157" max="6157" width="5.09765625" style="128" customWidth="1"/>
    <col min="6158" max="6158" width="8.19921875" style="128" customWidth="1"/>
    <col min="6159" max="6159" width="4.69921875" style="128" customWidth="1"/>
    <col min="6160" max="6400" width="7.796875" style="128"/>
    <col min="6401" max="6401" width="0" style="128" hidden="1" customWidth="1"/>
    <col min="6402" max="6402" width="17.296875" style="128" customWidth="1"/>
    <col min="6403" max="6403" width="6.8984375" style="128" customWidth="1"/>
    <col min="6404" max="6404" width="6" style="128" customWidth="1"/>
    <col min="6405" max="6405" width="27.69921875" style="128" customWidth="1"/>
    <col min="6406" max="6408" width="5.59765625" style="128" customWidth="1"/>
    <col min="6409" max="6409" width="9.796875" style="128" customWidth="1"/>
    <col min="6410" max="6410" width="4" style="128" customWidth="1"/>
    <col min="6411" max="6411" width="8.19921875" style="128" customWidth="1"/>
    <col min="6412" max="6412" width="15.69921875" style="128" customWidth="1"/>
    <col min="6413" max="6413" width="5.09765625" style="128" customWidth="1"/>
    <col min="6414" max="6414" width="8.19921875" style="128" customWidth="1"/>
    <col min="6415" max="6415" width="4.69921875" style="128" customWidth="1"/>
    <col min="6416" max="6656" width="7.796875" style="128"/>
    <col min="6657" max="6657" width="0" style="128" hidden="1" customWidth="1"/>
    <col min="6658" max="6658" width="17.296875" style="128" customWidth="1"/>
    <col min="6659" max="6659" width="6.8984375" style="128" customWidth="1"/>
    <col min="6660" max="6660" width="6" style="128" customWidth="1"/>
    <col min="6661" max="6661" width="27.69921875" style="128" customWidth="1"/>
    <col min="6662" max="6664" width="5.59765625" style="128" customWidth="1"/>
    <col min="6665" max="6665" width="9.796875" style="128" customWidth="1"/>
    <col min="6666" max="6666" width="4" style="128" customWidth="1"/>
    <col min="6667" max="6667" width="8.19921875" style="128" customWidth="1"/>
    <col min="6668" max="6668" width="15.69921875" style="128" customWidth="1"/>
    <col min="6669" max="6669" width="5.09765625" style="128" customWidth="1"/>
    <col min="6670" max="6670" width="8.19921875" style="128" customWidth="1"/>
    <col min="6671" max="6671" width="4.69921875" style="128" customWidth="1"/>
    <col min="6672" max="6912" width="7.796875" style="128"/>
    <col min="6913" max="6913" width="0" style="128" hidden="1" customWidth="1"/>
    <col min="6914" max="6914" width="17.296875" style="128" customWidth="1"/>
    <col min="6915" max="6915" width="6.8984375" style="128" customWidth="1"/>
    <col min="6916" max="6916" width="6" style="128" customWidth="1"/>
    <col min="6917" max="6917" width="27.69921875" style="128" customWidth="1"/>
    <col min="6918" max="6920" width="5.59765625" style="128" customWidth="1"/>
    <col min="6921" max="6921" width="9.796875" style="128" customWidth="1"/>
    <col min="6922" max="6922" width="4" style="128" customWidth="1"/>
    <col min="6923" max="6923" width="8.19921875" style="128" customWidth="1"/>
    <col min="6924" max="6924" width="15.69921875" style="128" customWidth="1"/>
    <col min="6925" max="6925" width="5.09765625" style="128" customWidth="1"/>
    <col min="6926" max="6926" width="8.19921875" style="128" customWidth="1"/>
    <col min="6927" max="6927" width="4.69921875" style="128" customWidth="1"/>
    <col min="6928" max="7168" width="7.796875" style="128"/>
    <col min="7169" max="7169" width="0" style="128" hidden="1" customWidth="1"/>
    <col min="7170" max="7170" width="17.296875" style="128" customWidth="1"/>
    <col min="7171" max="7171" width="6.8984375" style="128" customWidth="1"/>
    <col min="7172" max="7172" width="6" style="128" customWidth="1"/>
    <col min="7173" max="7173" width="27.69921875" style="128" customWidth="1"/>
    <col min="7174" max="7176" width="5.59765625" style="128" customWidth="1"/>
    <col min="7177" max="7177" width="9.796875" style="128" customWidth="1"/>
    <col min="7178" max="7178" width="4" style="128" customWidth="1"/>
    <col min="7179" max="7179" width="8.19921875" style="128" customWidth="1"/>
    <col min="7180" max="7180" width="15.69921875" style="128" customWidth="1"/>
    <col min="7181" max="7181" width="5.09765625" style="128" customWidth="1"/>
    <col min="7182" max="7182" width="8.19921875" style="128" customWidth="1"/>
    <col min="7183" max="7183" width="4.69921875" style="128" customWidth="1"/>
    <col min="7184" max="7424" width="7.796875" style="128"/>
    <col min="7425" max="7425" width="0" style="128" hidden="1" customWidth="1"/>
    <col min="7426" max="7426" width="17.296875" style="128" customWidth="1"/>
    <col min="7427" max="7427" width="6.8984375" style="128" customWidth="1"/>
    <col min="7428" max="7428" width="6" style="128" customWidth="1"/>
    <col min="7429" max="7429" width="27.69921875" style="128" customWidth="1"/>
    <col min="7430" max="7432" width="5.59765625" style="128" customWidth="1"/>
    <col min="7433" max="7433" width="9.796875" style="128" customWidth="1"/>
    <col min="7434" max="7434" width="4" style="128" customWidth="1"/>
    <col min="7435" max="7435" width="8.19921875" style="128" customWidth="1"/>
    <col min="7436" max="7436" width="15.69921875" style="128" customWidth="1"/>
    <col min="7437" max="7437" width="5.09765625" style="128" customWidth="1"/>
    <col min="7438" max="7438" width="8.19921875" style="128" customWidth="1"/>
    <col min="7439" max="7439" width="4.69921875" style="128" customWidth="1"/>
    <col min="7440" max="7680" width="7.796875" style="128"/>
    <col min="7681" max="7681" width="0" style="128" hidden="1" customWidth="1"/>
    <col min="7682" max="7682" width="17.296875" style="128" customWidth="1"/>
    <col min="7683" max="7683" width="6.8984375" style="128" customWidth="1"/>
    <col min="7684" max="7684" width="6" style="128" customWidth="1"/>
    <col min="7685" max="7685" width="27.69921875" style="128" customWidth="1"/>
    <col min="7686" max="7688" width="5.59765625" style="128" customWidth="1"/>
    <col min="7689" max="7689" width="9.796875" style="128" customWidth="1"/>
    <col min="7690" max="7690" width="4" style="128" customWidth="1"/>
    <col min="7691" max="7691" width="8.19921875" style="128" customWidth="1"/>
    <col min="7692" max="7692" width="15.69921875" style="128" customWidth="1"/>
    <col min="7693" max="7693" width="5.09765625" style="128" customWidth="1"/>
    <col min="7694" max="7694" width="8.19921875" style="128" customWidth="1"/>
    <col min="7695" max="7695" width="4.69921875" style="128" customWidth="1"/>
    <col min="7696" max="7936" width="7.796875" style="128"/>
    <col min="7937" max="7937" width="0" style="128" hidden="1" customWidth="1"/>
    <col min="7938" max="7938" width="17.296875" style="128" customWidth="1"/>
    <col min="7939" max="7939" width="6.8984375" style="128" customWidth="1"/>
    <col min="7940" max="7940" width="6" style="128" customWidth="1"/>
    <col min="7941" max="7941" width="27.69921875" style="128" customWidth="1"/>
    <col min="7942" max="7944" width="5.59765625" style="128" customWidth="1"/>
    <col min="7945" max="7945" width="9.796875" style="128" customWidth="1"/>
    <col min="7946" max="7946" width="4" style="128" customWidth="1"/>
    <col min="7947" max="7947" width="8.19921875" style="128" customWidth="1"/>
    <col min="7948" max="7948" width="15.69921875" style="128" customWidth="1"/>
    <col min="7949" max="7949" width="5.09765625" style="128" customWidth="1"/>
    <col min="7950" max="7950" width="8.19921875" style="128" customWidth="1"/>
    <col min="7951" max="7951" width="4.69921875" style="128" customWidth="1"/>
    <col min="7952" max="8192" width="7.796875" style="128"/>
    <col min="8193" max="8193" width="0" style="128" hidden="1" customWidth="1"/>
    <col min="8194" max="8194" width="17.296875" style="128" customWidth="1"/>
    <col min="8195" max="8195" width="6.8984375" style="128" customWidth="1"/>
    <col min="8196" max="8196" width="6" style="128" customWidth="1"/>
    <col min="8197" max="8197" width="27.69921875" style="128" customWidth="1"/>
    <col min="8198" max="8200" width="5.59765625" style="128" customWidth="1"/>
    <col min="8201" max="8201" width="9.796875" style="128" customWidth="1"/>
    <col min="8202" max="8202" width="4" style="128" customWidth="1"/>
    <col min="8203" max="8203" width="8.19921875" style="128" customWidth="1"/>
    <col min="8204" max="8204" width="15.69921875" style="128" customWidth="1"/>
    <col min="8205" max="8205" width="5.09765625" style="128" customWidth="1"/>
    <col min="8206" max="8206" width="8.19921875" style="128" customWidth="1"/>
    <col min="8207" max="8207" width="4.69921875" style="128" customWidth="1"/>
    <col min="8208" max="8448" width="7.796875" style="128"/>
    <col min="8449" max="8449" width="0" style="128" hidden="1" customWidth="1"/>
    <col min="8450" max="8450" width="17.296875" style="128" customWidth="1"/>
    <col min="8451" max="8451" width="6.8984375" style="128" customWidth="1"/>
    <col min="8452" max="8452" width="6" style="128" customWidth="1"/>
    <col min="8453" max="8453" width="27.69921875" style="128" customWidth="1"/>
    <col min="8454" max="8456" width="5.59765625" style="128" customWidth="1"/>
    <col min="8457" max="8457" width="9.796875" style="128" customWidth="1"/>
    <col min="8458" max="8458" width="4" style="128" customWidth="1"/>
    <col min="8459" max="8459" width="8.19921875" style="128" customWidth="1"/>
    <col min="8460" max="8460" width="15.69921875" style="128" customWidth="1"/>
    <col min="8461" max="8461" width="5.09765625" style="128" customWidth="1"/>
    <col min="8462" max="8462" width="8.19921875" style="128" customWidth="1"/>
    <col min="8463" max="8463" width="4.69921875" style="128" customWidth="1"/>
    <col min="8464" max="8704" width="7.796875" style="128"/>
    <col min="8705" max="8705" width="0" style="128" hidden="1" customWidth="1"/>
    <col min="8706" max="8706" width="17.296875" style="128" customWidth="1"/>
    <col min="8707" max="8707" width="6.8984375" style="128" customWidth="1"/>
    <col min="8708" max="8708" width="6" style="128" customWidth="1"/>
    <col min="8709" max="8709" width="27.69921875" style="128" customWidth="1"/>
    <col min="8710" max="8712" width="5.59765625" style="128" customWidth="1"/>
    <col min="8713" max="8713" width="9.796875" style="128" customWidth="1"/>
    <col min="8714" max="8714" width="4" style="128" customWidth="1"/>
    <col min="8715" max="8715" width="8.19921875" style="128" customWidth="1"/>
    <col min="8716" max="8716" width="15.69921875" style="128" customWidth="1"/>
    <col min="8717" max="8717" width="5.09765625" style="128" customWidth="1"/>
    <col min="8718" max="8718" width="8.19921875" style="128" customWidth="1"/>
    <col min="8719" max="8719" width="4.69921875" style="128" customWidth="1"/>
    <col min="8720" max="8960" width="7.796875" style="128"/>
    <col min="8961" max="8961" width="0" style="128" hidden="1" customWidth="1"/>
    <col min="8962" max="8962" width="17.296875" style="128" customWidth="1"/>
    <col min="8963" max="8963" width="6.8984375" style="128" customWidth="1"/>
    <col min="8964" max="8964" width="6" style="128" customWidth="1"/>
    <col min="8965" max="8965" width="27.69921875" style="128" customWidth="1"/>
    <col min="8966" max="8968" width="5.59765625" style="128" customWidth="1"/>
    <col min="8969" max="8969" width="9.796875" style="128" customWidth="1"/>
    <col min="8970" max="8970" width="4" style="128" customWidth="1"/>
    <col min="8971" max="8971" width="8.19921875" style="128" customWidth="1"/>
    <col min="8972" max="8972" width="15.69921875" style="128" customWidth="1"/>
    <col min="8973" max="8973" width="5.09765625" style="128" customWidth="1"/>
    <col min="8974" max="8974" width="8.19921875" style="128" customWidth="1"/>
    <col min="8975" max="8975" width="4.69921875" style="128" customWidth="1"/>
    <col min="8976" max="9216" width="7.796875" style="128"/>
    <col min="9217" max="9217" width="0" style="128" hidden="1" customWidth="1"/>
    <col min="9218" max="9218" width="17.296875" style="128" customWidth="1"/>
    <col min="9219" max="9219" width="6.8984375" style="128" customWidth="1"/>
    <col min="9220" max="9220" width="6" style="128" customWidth="1"/>
    <col min="9221" max="9221" width="27.69921875" style="128" customWidth="1"/>
    <col min="9222" max="9224" width="5.59765625" style="128" customWidth="1"/>
    <col min="9225" max="9225" width="9.796875" style="128" customWidth="1"/>
    <col min="9226" max="9226" width="4" style="128" customWidth="1"/>
    <col min="9227" max="9227" width="8.19921875" style="128" customWidth="1"/>
    <col min="9228" max="9228" width="15.69921875" style="128" customWidth="1"/>
    <col min="9229" max="9229" width="5.09765625" style="128" customWidth="1"/>
    <col min="9230" max="9230" width="8.19921875" style="128" customWidth="1"/>
    <col min="9231" max="9231" width="4.69921875" style="128" customWidth="1"/>
    <col min="9232" max="9472" width="7.796875" style="128"/>
    <col min="9473" max="9473" width="0" style="128" hidden="1" customWidth="1"/>
    <col min="9474" max="9474" width="17.296875" style="128" customWidth="1"/>
    <col min="9475" max="9475" width="6.8984375" style="128" customWidth="1"/>
    <col min="9476" max="9476" width="6" style="128" customWidth="1"/>
    <col min="9477" max="9477" width="27.69921875" style="128" customWidth="1"/>
    <col min="9478" max="9480" width="5.59765625" style="128" customWidth="1"/>
    <col min="9481" max="9481" width="9.796875" style="128" customWidth="1"/>
    <col min="9482" max="9482" width="4" style="128" customWidth="1"/>
    <col min="9483" max="9483" width="8.19921875" style="128" customWidth="1"/>
    <col min="9484" max="9484" width="15.69921875" style="128" customWidth="1"/>
    <col min="9485" max="9485" width="5.09765625" style="128" customWidth="1"/>
    <col min="9486" max="9486" width="8.19921875" style="128" customWidth="1"/>
    <col min="9487" max="9487" width="4.69921875" style="128" customWidth="1"/>
    <col min="9488" max="9728" width="7.796875" style="128"/>
    <col min="9729" max="9729" width="0" style="128" hidden="1" customWidth="1"/>
    <col min="9730" max="9730" width="17.296875" style="128" customWidth="1"/>
    <col min="9731" max="9731" width="6.8984375" style="128" customWidth="1"/>
    <col min="9732" max="9732" width="6" style="128" customWidth="1"/>
    <col min="9733" max="9733" width="27.69921875" style="128" customWidth="1"/>
    <col min="9734" max="9736" width="5.59765625" style="128" customWidth="1"/>
    <col min="9737" max="9737" width="9.796875" style="128" customWidth="1"/>
    <col min="9738" max="9738" width="4" style="128" customWidth="1"/>
    <col min="9739" max="9739" width="8.19921875" style="128" customWidth="1"/>
    <col min="9740" max="9740" width="15.69921875" style="128" customWidth="1"/>
    <col min="9741" max="9741" width="5.09765625" style="128" customWidth="1"/>
    <col min="9742" max="9742" width="8.19921875" style="128" customWidth="1"/>
    <col min="9743" max="9743" width="4.69921875" style="128" customWidth="1"/>
    <col min="9744" max="9984" width="7.796875" style="128"/>
    <col min="9985" max="9985" width="0" style="128" hidden="1" customWidth="1"/>
    <col min="9986" max="9986" width="17.296875" style="128" customWidth="1"/>
    <col min="9987" max="9987" width="6.8984375" style="128" customWidth="1"/>
    <col min="9988" max="9988" width="6" style="128" customWidth="1"/>
    <col min="9989" max="9989" width="27.69921875" style="128" customWidth="1"/>
    <col min="9990" max="9992" width="5.59765625" style="128" customWidth="1"/>
    <col min="9993" max="9993" width="9.796875" style="128" customWidth="1"/>
    <col min="9994" max="9994" width="4" style="128" customWidth="1"/>
    <col min="9995" max="9995" width="8.19921875" style="128" customWidth="1"/>
    <col min="9996" max="9996" width="15.69921875" style="128" customWidth="1"/>
    <col min="9997" max="9997" width="5.09765625" style="128" customWidth="1"/>
    <col min="9998" max="9998" width="8.19921875" style="128" customWidth="1"/>
    <col min="9999" max="9999" width="4.69921875" style="128" customWidth="1"/>
    <col min="10000" max="10240" width="7.796875" style="128"/>
    <col min="10241" max="10241" width="0" style="128" hidden="1" customWidth="1"/>
    <col min="10242" max="10242" width="17.296875" style="128" customWidth="1"/>
    <col min="10243" max="10243" width="6.8984375" style="128" customWidth="1"/>
    <col min="10244" max="10244" width="6" style="128" customWidth="1"/>
    <col min="10245" max="10245" width="27.69921875" style="128" customWidth="1"/>
    <col min="10246" max="10248" width="5.59765625" style="128" customWidth="1"/>
    <col min="10249" max="10249" width="9.796875" style="128" customWidth="1"/>
    <col min="10250" max="10250" width="4" style="128" customWidth="1"/>
    <col min="10251" max="10251" width="8.19921875" style="128" customWidth="1"/>
    <col min="10252" max="10252" width="15.69921875" style="128" customWidth="1"/>
    <col min="10253" max="10253" width="5.09765625" style="128" customWidth="1"/>
    <col min="10254" max="10254" width="8.19921875" style="128" customWidth="1"/>
    <col min="10255" max="10255" width="4.69921875" style="128" customWidth="1"/>
    <col min="10256" max="10496" width="7.796875" style="128"/>
    <col min="10497" max="10497" width="0" style="128" hidden="1" customWidth="1"/>
    <col min="10498" max="10498" width="17.296875" style="128" customWidth="1"/>
    <col min="10499" max="10499" width="6.8984375" style="128" customWidth="1"/>
    <col min="10500" max="10500" width="6" style="128" customWidth="1"/>
    <col min="10501" max="10501" width="27.69921875" style="128" customWidth="1"/>
    <col min="10502" max="10504" width="5.59765625" style="128" customWidth="1"/>
    <col min="10505" max="10505" width="9.796875" style="128" customWidth="1"/>
    <col min="10506" max="10506" width="4" style="128" customWidth="1"/>
    <col min="10507" max="10507" width="8.19921875" style="128" customWidth="1"/>
    <col min="10508" max="10508" width="15.69921875" style="128" customWidth="1"/>
    <col min="10509" max="10509" width="5.09765625" style="128" customWidth="1"/>
    <col min="10510" max="10510" width="8.19921875" style="128" customWidth="1"/>
    <col min="10511" max="10511" width="4.69921875" style="128" customWidth="1"/>
    <col min="10512" max="10752" width="7.796875" style="128"/>
    <col min="10753" max="10753" width="0" style="128" hidden="1" customWidth="1"/>
    <col min="10754" max="10754" width="17.296875" style="128" customWidth="1"/>
    <col min="10755" max="10755" width="6.8984375" style="128" customWidth="1"/>
    <col min="10756" max="10756" width="6" style="128" customWidth="1"/>
    <col min="10757" max="10757" width="27.69921875" style="128" customWidth="1"/>
    <col min="10758" max="10760" width="5.59765625" style="128" customWidth="1"/>
    <col min="10761" max="10761" width="9.796875" style="128" customWidth="1"/>
    <col min="10762" max="10762" width="4" style="128" customWidth="1"/>
    <col min="10763" max="10763" width="8.19921875" style="128" customWidth="1"/>
    <col min="10764" max="10764" width="15.69921875" style="128" customWidth="1"/>
    <col min="10765" max="10765" width="5.09765625" style="128" customWidth="1"/>
    <col min="10766" max="10766" width="8.19921875" style="128" customWidth="1"/>
    <col min="10767" max="10767" width="4.69921875" style="128" customWidth="1"/>
    <col min="10768" max="11008" width="7.796875" style="128"/>
    <col min="11009" max="11009" width="0" style="128" hidden="1" customWidth="1"/>
    <col min="11010" max="11010" width="17.296875" style="128" customWidth="1"/>
    <col min="11011" max="11011" width="6.8984375" style="128" customWidth="1"/>
    <col min="11012" max="11012" width="6" style="128" customWidth="1"/>
    <col min="11013" max="11013" width="27.69921875" style="128" customWidth="1"/>
    <col min="11014" max="11016" width="5.59765625" style="128" customWidth="1"/>
    <col min="11017" max="11017" width="9.796875" style="128" customWidth="1"/>
    <col min="11018" max="11018" width="4" style="128" customWidth="1"/>
    <col min="11019" max="11019" width="8.19921875" style="128" customWidth="1"/>
    <col min="11020" max="11020" width="15.69921875" style="128" customWidth="1"/>
    <col min="11021" max="11021" width="5.09765625" style="128" customWidth="1"/>
    <col min="11022" max="11022" width="8.19921875" style="128" customWidth="1"/>
    <col min="11023" max="11023" width="4.69921875" style="128" customWidth="1"/>
    <col min="11024" max="11264" width="7.796875" style="128"/>
    <col min="11265" max="11265" width="0" style="128" hidden="1" customWidth="1"/>
    <col min="11266" max="11266" width="17.296875" style="128" customWidth="1"/>
    <col min="11267" max="11267" width="6.8984375" style="128" customWidth="1"/>
    <col min="11268" max="11268" width="6" style="128" customWidth="1"/>
    <col min="11269" max="11269" width="27.69921875" style="128" customWidth="1"/>
    <col min="11270" max="11272" width="5.59765625" style="128" customWidth="1"/>
    <col min="11273" max="11273" width="9.796875" style="128" customWidth="1"/>
    <col min="11274" max="11274" width="4" style="128" customWidth="1"/>
    <col min="11275" max="11275" width="8.19921875" style="128" customWidth="1"/>
    <col min="11276" max="11276" width="15.69921875" style="128" customWidth="1"/>
    <col min="11277" max="11277" width="5.09765625" style="128" customWidth="1"/>
    <col min="11278" max="11278" width="8.19921875" style="128" customWidth="1"/>
    <col min="11279" max="11279" width="4.69921875" style="128" customWidth="1"/>
    <col min="11280" max="11520" width="7.796875" style="128"/>
    <col min="11521" max="11521" width="0" style="128" hidden="1" customWidth="1"/>
    <col min="11522" max="11522" width="17.296875" style="128" customWidth="1"/>
    <col min="11523" max="11523" width="6.8984375" style="128" customWidth="1"/>
    <col min="11524" max="11524" width="6" style="128" customWidth="1"/>
    <col min="11525" max="11525" width="27.69921875" style="128" customWidth="1"/>
    <col min="11526" max="11528" width="5.59765625" style="128" customWidth="1"/>
    <col min="11529" max="11529" width="9.796875" style="128" customWidth="1"/>
    <col min="11530" max="11530" width="4" style="128" customWidth="1"/>
    <col min="11531" max="11531" width="8.19921875" style="128" customWidth="1"/>
    <col min="11532" max="11532" width="15.69921875" style="128" customWidth="1"/>
    <col min="11533" max="11533" width="5.09765625" style="128" customWidth="1"/>
    <col min="11534" max="11534" width="8.19921875" style="128" customWidth="1"/>
    <col min="11535" max="11535" width="4.69921875" style="128" customWidth="1"/>
    <col min="11536" max="11776" width="7.796875" style="128"/>
    <col min="11777" max="11777" width="0" style="128" hidden="1" customWidth="1"/>
    <col min="11778" max="11778" width="17.296875" style="128" customWidth="1"/>
    <col min="11779" max="11779" width="6.8984375" style="128" customWidth="1"/>
    <col min="11780" max="11780" width="6" style="128" customWidth="1"/>
    <col min="11781" max="11781" width="27.69921875" style="128" customWidth="1"/>
    <col min="11782" max="11784" width="5.59765625" style="128" customWidth="1"/>
    <col min="11785" max="11785" width="9.796875" style="128" customWidth="1"/>
    <col min="11786" max="11786" width="4" style="128" customWidth="1"/>
    <col min="11787" max="11787" width="8.19921875" style="128" customWidth="1"/>
    <col min="11788" max="11788" width="15.69921875" style="128" customWidth="1"/>
    <col min="11789" max="11789" width="5.09765625" style="128" customWidth="1"/>
    <col min="11790" max="11790" width="8.19921875" style="128" customWidth="1"/>
    <col min="11791" max="11791" width="4.69921875" style="128" customWidth="1"/>
    <col min="11792" max="12032" width="7.796875" style="128"/>
    <col min="12033" max="12033" width="0" style="128" hidden="1" customWidth="1"/>
    <col min="12034" max="12034" width="17.296875" style="128" customWidth="1"/>
    <col min="12035" max="12035" width="6.8984375" style="128" customWidth="1"/>
    <col min="12036" max="12036" width="6" style="128" customWidth="1"/>
    <col min="12037" max="12037" width="27.69921875" style="128" customWidth="1"/>
    <col min="12038" max="12040" width="5.59765625" style="128" customWidth="1"/>
    <col min="12041" max="12041" width="9.796875" style="128" customWidth="1"/>
    <col min="12042" max="12042" width="4" style="128" customWidth="1"/>
    <col min="12043" max="12043" width="8.19921875" style="128" customWidth="1"/>
    <col min="12044" max="12044" width="15.69921875" style="128" customWidth="1"/>
    <col min="12045" max="12045" width="5.09765625" style="128" customWidth="1"/>
    <col min="12046" max="12046" width="8.19921875" style="128" customWidth="1"/>
    <col min="12047" max="12047" width="4.69921875" style="128" customWidth="1"/>
    <col min="12048" max="12288" width="7.796875" style="128"/>
    <col min="12289" max="12289" width="0" style="128" hidden="1" customWidth="1"/>
    <col min="12290" max="12290" width="17.296875" style="128" customWidth="1"/>
    <col min="12291" max="12291" width="6.8984375" style="128" customWidth="1"/>
    <col min="12292" max="12292" width="6" style="128" customWidth="1"/>
    <col min="12293" max="12293" width="27.69921875" style="128" customWidth="1"/>
    <col min="12294" max="12296" width="5.59765625" style="128" customWidth="1"/>
    <col min="12297" max="12297" width="9.796875" style="128" customWidth="1"/>
    <col min="12298" max="12298" width="4" style="128" customWidth="1"/>
    <col min="12299" max="12299" width="8.19921875" style="128" customWidth="1"/>
    <col min="12300" max="12300" width="15.69921875" style="128" customWidth="1"/>
    <col min="12301" max="12301" width="5.09765625" style="128" customWidth="1"/>
    <col min="12302" max="12302" width="8.19921875" style="128" customWidth="1"/>
    <col min="12303" max="12303" width="4.69921875" style="128" customWidth="1"/>
    <col min="12304" max="12544" width="7.796875" style="128"/>
    <col min="12545" max="12545" width="0" style="128" hidden="1" customWidth="1"/>
    <col min="12546" max="12546" width="17.296875" style="128" customWidth="1"/>
    <col min="12547" max="12547" width="6.8984375" style="128" customWidth="1"/>
    <col min="12548" max="12548" width="6" style="128" customWidth="1"/>
    <col min="12549" max="12549" width="27.69921875" style="128" customWidth="1"/>
    <col min="12550" max="12552" width="5.59765625" style="128" customWidth="1"/>
    <col min="12553" max="12553" width="9.796875" style="128" customWidth="1"/>
    <col min="12554" max="12554" width="4" style="128" customWidth="1"/>
    <col min="12555" max="12555" width="8.19921875" style="128" customWidth="1"/>
    <col min="12556" max="12556" width="15.69921875" style="128" customWidth="1"/>
    <col min="12557" max="12557" width="5.09765625" style="128" customWidth="1"/>
    <col min="12558" max="12558" width="8.19921875" style="128" customWidth="1"/>
    <col min="12559" max="12559" width="4.69921875" style="128" customWidth="1"/>
    <col min="12560" max="12800" width="7.796875" style="128"/>
    <col min="12801" max="12801" width="0" style="128" hidden="1" customWidth="1"/>
    <col min="12802" max="12802" width="17.296875" style="128" customWidth="1"/>
    <col min="12803" max="12803" width="6.8984375" style="128" customWidth="1"/>
    <col min="12804" max="12804" width="6" style="128" customWidth="1"/>
    <col min="12805" max="12805" width="27.69921875" style="128" customWidth="1"/>
    <col min="12806" max="12808" width="5.59765625" style="128" customWidth="1"/>
    <col min="12809" max="12809" width="9.796875" style="128" customWidth="1"/>
    <col min="12810" max="12810" width="4" style="128" customWidth="1"/>
    <col min="12811" max="12811" width="8.19921875" style="128" customWidth="1"/>
    <col min="12812" max="12812" width="15.69921875" style="128" customWidth="1"/>
    <col min="12813" max="12813" width="5.09765625" style="128" customWidth="1"/>
    <col min="12814" max="12814" width="8.19921875" style="128" customWidth="1"/>
    <col min="12815" max="12815" width="4.69921875" style="128" customWidth="1"/>
    <col min="12816" max="13056" width="7.796875" style="128"/>
    <col min="13057" max="13057" width="0" style="128" hidden="1" customWidth="1"/>
    <col min="13058" max="13058" width="17.296875" style="128" customWidth="1"/>
    <col min="13059" max="13059" width="6.8984375" style="128" customWidth="1"/>
    <col min="13060" max="13060" width="6" style="128" customWidth="1"/>
    <col min="13061" max="13061" width="27.69921875" style="128" customWidth="1"/>
    <col min="13062" max="13064" width="5.59765625" style="128" customWidth="1"/>
    <col min="13065" max="13065" width="9.796875" style="128" customWidth="1"/>
    <col min="13066" max="13066" width="4" style="128" customWidth="1"/>
    <col min="13067" max="13067" width="8.19921875" style="128" customWidth="1"/>
    <col min="13068" max="13068" width="15.69921875" style="128" customWidth="1"/>
    <col min="13069" max="13069" width="5.09765625" style="128" customWidth="1"/>
    <col min="13070" max="13070" width="8.19921875" style="128" customWidth="1"/>
    <col min="13071" max="13071" width="4.69921875" style="128" customWidth="1"/>
    <col min="13072" max="13312" width="7.796875" style="128"/>
    <col min="13313" max="13313" width="0" style="128" hidden="1" customWidth="1"/>
    <col min="13314" max="13314" width="17.296875" style="128" customWidth="1"/>
    <col min="13315" max="13315" width="6.8984375" style="128" customWidth="1"/>
    <col min="13316" max="13316" width="6" style="128" customWidth="1"/>
    <col min="13317" max="13317" width="27.69921875" style="128" customWidth="1"/>
    <col min="13318" max="13320" width="5.59765625" style="128" customWidth="1"/>
    <col min="13321" max="13321" width="9.796875" style="128" customWidth="1"/>
    <col min="13322" max="13322" width="4" style="128" customWidth="1"/>
    <col min="13323" max="13323" width="8.19921875" style="128" customWidth="1"/>
    <col min="13324" max="13324" width="15.69921875" style="128" customWidth="1"/>
    <col min="13325" max="13325" width="5.09765625" style="128" customWidth="1"/>
    <col min="13326" max="13326" width="8.19921875" style="128" customWidth="1"/>
    <col min="13327" max="13327" width="4.69921875" style="128" customWidth="1"/>
    <col min="13328" max="13568" width="7.796875" style="128"/>
    <col min="13569" max="13569" width="0" style="128" hidden="1" customWidth="1"/>
    <col min="13570" max="13570" width="17.296875" style="128" customWidth="1"/>
    <col min="13571" max="13571" width="6.8984375" style="128" customWidth="1"/>
    <col min="13572" max="13572" width="6" style="128" customWidth="1"/>
    <col min="13573" max="13573" width="27.69921875" style="128" customWidth="1"/>
    <col min="13574" max="13576" width="5.59765625" style="128" customWidth="1"/>
    <col min="13577" max="13577" width="9.796875" style="128" customWidth="1"/>
    <col min="13578" max="13578" width="4" style="128" customWidth="1"/>
    <col min="13579" max="13579" width="8.19921875" style="128" customWidth="1"/>
    <col min="13580" max="13580" width="15.69921875" style="128" customWidth="1"/>
    <col min="13581" max="13581" width="5.09765625" style="128" customWidth="1"/>
    <col min="13582" max="13582" width="8.19921875" style="128" customWidth="1"/>
    <col min="13583" max="13583" width="4.69921875" style="128" customWidth="1"/>
    <col min="13584" max="13824" width="7.796875" style="128"/>
    <col min="13825" max="13825" width="0" style="128" hidden="1" customWidth="1"/>
    <col min="13826" max="13826" width="17.296875" style="128" customWidth="1"/>
    <col min="13827" max="13827" width="6.8984375" style="128" customWidth="1"/>
    <col min="13828" max="13828" width="6" style="128" customWidth="1"/>
    <col min="13829" max="13829" width="27.69921875" style="128" customWidth="1"/>
    <col min="13830" max="13832" width="5.59765625" style="128" customWidth="1"/>
    <col min="13833" max="13833" width="9.796875" style="128" customWidth="1"/>
    <col min="13834" max="13834" width="4" style="128" customWidth="1"/>
    <col min="13835" max="13835" width="8.19921875" style="128" customWidth="1"/>
    <col min="13836" max="13836" width="15.69921875" style="128" customWidth="1"/>
    <col min="13837" max="13837" width="5.09765625" style="128" customWidth="1"/>
    <col min="13838" max="13838" width="8.19921875" style="128" customWidth="1"/>
    <col min="13839" max="13839" width="4.69921875" style="128" customWidth="1"/>
    <col min="13840" max="14080" width="7.796875" style="128"/>
    <col min="14081" max="14081" width="0" style="128" hidden="1" customWidth="1"/>
    <col min="14082" max="14082" width="17.296875" style="128" customWidth="1"/>
    <col min="14083" max="14083" width="6.8984375" style="128" customWidth="1"/>
    <col min="14084" max="14084" width="6" style="128" customWidth="1"/>
    <col min="14085" max="14085" width="27.69921875" style="128" customWidth="1"/>
    <col min="14086" max="14088" width="5.59765625" style="128" customWidth="1"/>
    <col min="14089" max="14089" width="9.796875" style="128" customWidth="1"/>
    <col min="14090" max="14090" width="4" style="128" customWidth="1"/>
    <col min="14091" max="14091" width="8.19921875" style="128" customWidth="1"/>
    <col min="14092" max="14092" width="15.69921875" style="128" customWidth="1"/>
    <col min="14093" max="14093" width="5.09765625" style="128" customWidth="1"/>
    <col min="14094" max="14094" width="8.19921875" style="128" customWidth="1"/>
    <col min="14095" max="14095" width="4.69921875" style="128" customWidth="1"/>
    <col min="14096" max="14336" width="7.796875" style="128"/>
    <col min="14337" max="14337" width="0" style="128" hidden="1" customWidth="1"/>
    <col min="14338" max="14338" width="17.296875" style="128" customWidth="1"/>
    <col min="14339" max="14339" width="6.8984375" style="128" customWidth="1"/>
    <col min="14340" max="14340" width="6" style="128" customWidth="1"/>
    <col min="14341" max="14341" width="27.69921875" style="128" customWidth="1"/>
    <col min="14342" max="14344" width="5.59765625" style="128" customWidth="1"/>
    <col min="14345" max="14345" width="9.796875" style="128" customWidth="1"/>
    <col min="14346" max="14346" width="4" style="128" customWidth="1"/>
    <col min="14347" max="14347" width="8.19921875" style="128" customWidth="1"/>
    <col min="14348" max="14348" width="15.69921875" style="128" customWidth="1"/>
    <col min="14349" max="14349" width="5.09765625" style="128" customWidth="1"/>
    <col min="14350" max="14350" width="8.19921875" style="128" customWidth="1"/>
    <col min="14351" max="14351" width="4.69921875" style="128" customWidth="1"/>
    <col min="14352" max="14592" width="7.796875" style="128"/>
    <col min="14593" max="14593" width="0" style="128" hidden="1" customWidth="1"/>
    <col min="14594" max="14594" width="17.296875" style="128" customWidth="1"/>
    <col min="14595" max="14595" width="6.8984375" style="128" customWidth="1"/>
    <col min="14596" max="14596" width="6" style="128" customWidth="1"/>
    <col min="14597" max="14597" width="27.69921875" style="128" customWidth="1"/>
    <col min="14598" max="14600" width="5.59765625" style="128" customWidth="1"/>
    <col min="14601" max="14601" width="9.796875" style="128" customWidth="1"/>
    <col min="14602" max="14602" width="4" style="128" customWidth="1"/>
    <col min="14603" max="14603" width="8.19921875" style="128" customWidth="1"/>
    <col min="14604" max="14604" width="15.69921875" style="128" customWidth="1"/>
    <col min="14605" max="14605" width="5.09765625" style="128" customWidth="1"/>
    <col min="14606" max="14606" width="8.19921875" style="128" customWidth="1"/>
    <col min="14607" max="14607" width="4.69921875" style="128" customWidth="1"/>
    <col min="14608" max="14848" width="7.796875" style="128"/>
    <col min="14849" max="14849" width="0" style="128" hidden="1" customWidth="1"/>
    <col min="14850" max="14850" width="17.296875" style="128" customWidth="1"/>
    <col min="14851" max="14851" width="6.8984375" style="128" customWidth="1"/>
    <col min="14852" max="14852" width="6" style="128" customWidth="1"/>
    <col min="14853" max="14853" width="27.69921875" style="128" customWidth="1"/>
    <col min="14854" max="14856" width="5.59765625" style="128" customWidth="1"/>
    <col min="14857" max="14857" width="9.796875" style="128" customWidth="1"/>
    <col min="14858" max="14858" width="4" style="128" customWidth="1"/>
    <col min="14859" max="14859" width="8.19921875" style="128" customWidth="1"/>
    <col min="14860" max="14860" width="15.69921875" style="128" customWidth="1"/>
    <col min="14861" max="14861" width="5.09765625" style="128" customWidth="1"/>
    <col min="14862" max="14862" width="8.19921875" style="128" customWidth="1"/>
    <col min="14863" max="14863" width="4.69921875" style="128" customWidth="1"/>
    <col min="14864" max="15104" width="7.796875" style="128"/>
    <col min="15105" max="15105" width="0" style="128" hidden="1" customWidth="1"/>
    <col min="15106" max="15106" width="17.296875" style="128" customWidth="1"/>
    <col min="15107" max="15107" width="6.8984375" style="128" customWidth="1"/>
    <col min="15108" max="15108" width="6" style="128" customWidth="1"/>
    <col min="15109" max="15109" width="27.69921875" style="128" customWidth="1"/>
    <col min="15110" max="15112" width="5.59765625" style="128" customWidth="1"/>
    <col min="15113" max="15113" width="9.796875" style="128" customWidth="1"/>
    <col min="15114" max="15114" width="4" style="128" customWidth="1"/>
    <col min="15115" max="15115" width="8.19921875" style="128" customWidth="1"/>
    <col min="15116" max="15116" width="15.69921875" style="128" customWidth="1"/>
    <col min="15117" max="15117" width="5.09765625" style="128" customWidth="1"/>
    <col min="15118" max="15118" width="8.19921875" style="128" customWidth="1"/>
    <col min="15119" max="15119" width="4.69921875" style="128" customWidth="1"/>
    <col min="15120" max="15360" width="7.796875" style="128"/>
    <col min="15361" max="15361" width="0" style="128" hidden="1" customWidth="1"/>
    <col min="15362" max="15362" width="17.296875" style="128" customWidth="1"/>
    <col min="15363" max="15363" width="6.8984375" style="128" customWidth="1"/>
    <col min="15364" max="15364" width="6" style="128" customWidth="1"/>
    <col min="15365" max="15365" width="27.69921875" style="128" customWidth="1"/>
    <col min="15366" max="15368" width="5.59765625" style="128" customWidth="1"/>
    <col min="15369" max="15369" width="9.796875" style="128" customWidth="1"/>
    <col min="15370" max="15370" width="4" style="128" customWidth="1"/>
    <col min="15371" max="15371" width="8.19921875" style="128" customWidth="1"/>
    <col min="15372" max="15372" width="15.69921875" style="128" customWidth="1"/>
    <col min="15373" max="15373" width="5.09765625" style="128" customWidth="1"/>
    <col min="15374" max="15374" width="8.19921875" style="128" customWidth="1"/>
    <col min="15375" max="15375" width="4.69921875" style="128" customWidth="1"/>
    <col min="15376" max="15616" width="7.796875" style="128"/>
    <col min="15617" max="15617" width="0" style="128" hidden="1" customWidth="1"/>
    <col min="15618" max="15618" width="17.296875" style="128" customWidth="1"/>
    <col min="15619" max="15619" width="6.8984375" style="128" customWidth="1"/>
    <col min="15620" max="15620" width="6" style="128" customWidth="1"/>
    <col min="15621" max="15621" width="27.69921875" style="128" customWidth="1"/>
    <col min="15622" max="15624" width="5.59765625" style="128" customWidth="1"/>
    <col min="15625" max="15625" width="9.796875" style="128" customWidth="1"/>
    <col min="15626" max="15626" width="4" style="128" customWidth="1"/>
    <col min="15627" max="15627" width="8.19921875" style="128" customWidth="1"/>
    <col min="15628" max="15628" width="15.69921875" style="128" customWidth="1"/>
    <col min="15629" max="15629" width="5.09765625" style="128" customWidth="1"/>
    <col min="15630" max="15630" width="8.19921875" style="128" customWidth="1"/>
    <col min="15631" max="15631" width="4.69921875" style="128" customWidth="1"/>
    <col min="15632" max="15872" width="7.796875" style="128"/>
    <col min="15873" max="15873" width="0" style="128" hidden="1" customWidth="1"/>
    <col min="15874" max="15874" width="17.296875" style="128" customWidth="1"/>
    <col min="15875" max="15875" width="6.8984375" style="128" customWidth="1"/>
    <col min="15876" max="15876" width="6" style="128" customWidth="1"/>
    <col min="15877" max="15877" width="27.69921875" style="128" customWidth="1"/>
    <col min="15878" max="15880" width="5.59765625" style="128" customWidth="1"/>
    <col min="15881" max="15881" width="9.796875" style="128" customWidth="1"/>
    <col min="15882" max="15882" width="4" style="128" customWidth="1"/>
    <col min="15883" max="15883" width="8.19921875" style="128" customWidth="1"/>
    <col min="15884" max="15884" width="15.69921875" style="128" customWidth="1"/>
    <col min="15885" max="15885" width="5.09765625" style="128" customWidth="1"/>
    <col min="15886" max="15886" width="8.19921875" style="128" customWidth="1"/>
    <col min="15887" max="15887" width="4.69921875" style="128" customWidth="1"/>
    <col min="15888" max="16128" width="7.796875" style="128"/>
    <col min="16129" max="16129" width="0" style="128" hidden="1" customWidth="1"/>
    <col min="16130" max="16130" width="17.296875" style="128" customWidth="1"/>
    <col min="16131" max="16131" width="6.8984375" style="128" customWidth="1"/>
    <col min="16132" max="16132" width="6" style="128" customWidth="1"/>
    <col min="16133" max="16133" width="27.69921875" style="128" customWidth="1"/>
    <col min="16134" max="16136" width="5.59765625" style="128" customWidth="1"/>
    <col min="16137" max="16137" width="9.796875" style="128" customWidth="1"/>
    <col min="16138" max="16138" width="4" style="128" customWidth="1"/>
    <col min="16139" max="16139" width="8.19921875" style="128" customWidth="1"/>
    <col min="16140" max="16140" width="15.69921875" style="128" customWidth="1"/>
    <col min="16141" max="16141" width="5.09765625" style="128" customWidth="1"/>
    <col min="16142" max="16142" width="8.19921875" style="128" customWidth="1"/>
    <col min="16143" max="16143" width="4.69921875" style="128" customWidth="1"/>
    <col min="16144" max="16384" width="7.796875" style="128"/>
  </cols>
  <sheetData>
    <row r="1" spans="1:15" ht="45" customHeight="1" thickBot="1">
      <c r="B1" s="142" t="s">
        <v>160</v>
      </c>
      <c r="D1" s="143" t="s">
        <v>161</v>
      </c>
      <c r="E1" s="144" t="s">
        <v>162</v>
      </c>
      <c r="F1" s="145" t="s">
        <v>163</v>
      </c>
    </row>
    <row r="2" spans="1:15" ht="27.75" customHeight="1">
      <c r="D2" s="129"/>
      <c r="G2" s="130" t="s">
        <v>164</v>
      </c>
      <c r="H2" s="269" t="s">
        <v>165</v>
      </c>
      <c r="I2" s="270"/>
      <c r="J2" s="270"/>
      <c r="K2" s="270"/>
      <c r="L2" s="271"/>
      <c r="M2" s="146" t="s">
        <v>95</v>
      </c>
      <c r="N2" s="147" t="s">
        <v>166</v>
      </c>
      <c r="O2" s="131" t="s">
        <v>96</v>
      </c>
    </row>
    <row r="3" spans="1:15" ht="27.75" customHeight="1">
      <c r="B3" s="148" t="s">
        <v>97</v>
      </c>
      <c r="C3" s="272">
        <v>178473</v>
      </c>
      <c r="D3" s="273"/>
      <c r="E3" s="149"/>
      <c r="G3" s="274" t="s">
        <v>98</v>
      </c>
      <c r="H3" s="150" t="s">
        <v>167</v>
      </c>
      <c r="I3" s="277" t="s">
        <v>168</v>
      </c>
      <c r="J3" s="277"/>
      <c r="K3" s="277"/>
      <c r="L3" s="151" t="s">
        <v>169</v>
      </c>
      <c r="M3" s="152"/>
      <c r="N3" s="153"/>
      <c r="O3" s="278" t="s">
        <v>170</v>
      </c>
    </row>
    <row r="4" spans="1:15" ht="27.75" customHeight="1">
      <c r="B4" s="154" t="s">
        <v>99</v>
      </c>
      <c r="C4" s="281" t="s">
        <v>171</v>
      </c>
      <c r="D4" s="282"/>
      <c r="E4" s="283"/>
      <c r="G4" s="275"/>
      <c r="H4" s="284" t="s">
        <v>172</v>
      </c>
      <c r="I4" s="285"/>
      <c r="J4" s="285"/>
      <c r="K4" s="285"/>
      <c r="L4" s="285"/>
      <c r="M4" s="285"/>
      <c r="N4" s="286"/>
      <c r="O4" s="279"/>
    </row>
    <row r="5" spans="1:15" ht="27.75" customHeight="1" thickBot="1">
      <c r="G5" s="276"/>
      <c r="H5" s="287" t="s">
        <v>173</v>
      </c>
      <c r="I5" s="288"/>
      <c r="J5" s="288"/>
      <c r="K5" s="288"/>
      <c r="L5" s="288"/>
      <c r="M5" s="288"/>
      <c r="N5" s="289"/>
      <c r="O5" s="280"/>
    </row>
    <row r="7" spans="1:15" s="135" customFormat="1" ht="37.5" customHeight="1" thickBot="1">
      <c r="A7" s="132" t="s">
        <v>100</v>
      </c>
      <c r="B7" s="132" t="s">
        <v>101</v>
      </c>
      <c r="C7" s="133" t="s">
        <v>102</v>
      </c>
      <c r="D7" s="133" t="s">
        <v>103</v>
      </c>
      <c r="E7" s="133" t="s">
        <v>104</v>
      </c>
      <c r="F7" s="133" t="s">
        <v>105</v>
      </c>
      <c r="G7" s="133" t="s">
        <v>106</v>
      </c>
      <c r="H7" s="134" t="s">
        <v>174</v>
      </c>
      <c r="I7" s="261" t="s">
        <v>107</v>
      </c>
      <c r="J7" s="262"/>
      <c r="K7" s="134" t="s">
        <v>175</v>
      </c>
      <c r="L7" s="263" t="s">
        <v>108</v>
      </c>
      <c r="M7" s="264"/>
      <c r="N7" s="133" t="s">
        <v>109</v>
      </c>
      <c r="O7" s="133" t="s">
        <v>176</v>
      </c>
    </row>
    <row r="8" spans="1:15" s="135" customFormat="1" ht="38.25" customHeight="1" thickTop="1">
      <c r="A8" s="136">
        <v>1</v>
      </c>
      <c r="B8" s="156" t="s">
        <v>177</v>
      </c>
      <c r="C8" s="157" t="s">
        <v>178</v>
      </c>
      <c r="D8" s="157" t="s">
        <v>179</v>
      </c>
      <c r="E8" s="158" t="s">
        <v>180</v>
      </c>
      <c r="F8" s="138" t="s">
        <v>173</v>
      </c>
      <c r="G8" s="138" t="s">
        <v>173</v>
      </c>
      <c r="H8" s="139" t="s">
        <v>173</v>
      </c>
      <c r="I8" s="140">
        <v>1</v>
      </c>
      <c r="J8" s="159" t="s">
        <v>181</v>
      </c>
      <c r="K8" s="141" t="s">
        <v>182</v>
      </c>
      <c r="L8" s="265" t="s">
        <v>173</v>
      </c>
      <c r="M8" s="266"/>
      <c r="N8" s="160"/>
      <c r="O8" s="137"/>
    </row>
    <row r="9" spans="1:15" s="135" customFormat="1" ht="38.25" customHeight="1">
      <c r="A9" s="136">
        <v>2</v>
      </c>
      <c r="B9" s="156" t="s">
        <v>183</v>
      </c>
      <c r="C9" s="157" t="s">
        <v>184</v>
      </c>
      <c r="D9" s="157" t="s">
        <v>179</v>
      </c>
      <c r="E9" s="161" t="s">
        <v>185</v>
      </c>
      <c r="F9" s="138" t="s">
        <v>173</v>
      </c>
      <c r="G9" s="138" t="s">
        <v>173</v>
      </c>
      <c r="H9" s="139" t="s">
        <v>173</v>
      </c>
      <c r="I9" s="140">
        <v>1</v>
      </c>
      <c r="J9" s="159" t="s">
        <v>186</v>
      </c>
      <c r="K9" s="141" t="s">
        <v>182</v>
      </c>
      <c r="L9" s="265" t="s">
        <v>173</v>
      </c>
      <c r="M9" s="266"/>
      <c r="N9" s="160">
        <v>45513</v>
      </c>
      <c r="O9" s="137"/>
    </row>
    <row r="10" spans="1:15" s="135" customFormat="1" ht="38.25" customHeight="1">
      <c r="A10" s="136">
        <v>4</v>
      </c>
      <c r="B10" s="156"/>
      <c r="C10" s="157" t="s">
        <v>187</v>
      </c>
      <c r="D10" s="157" t="s">
        <v>179</v>
      </c>
      <c r="E10" s="161" t="s">
        <v>188</v>
      </c>
      <c r="F10" s="138" t="s">
        <v>173</v>
      </c>
      <c r="G10" s="138" t="s">
        <v>173</v>
      </c>
      <c r="H10" s="139" t="s">
        <v>173</v>
      </c>
      <c r="I10" s="140">
        <v>1</v>
      </c>
      <c r="J10" s="159" t="s">
        <v>189</v>
      </c>
      <c r="K10" s="141" t="s">
        <v>190</v>
      </c>
      <c r="L10" s="265" t="s">
        <v>173</v>
      </c>
      <c r="M10" s="266"/>
      <c r="N10" s="160"/>
      <c r="O10" s="137"/>
    </row>
    <row r="11" spans="1:15" s="135" customFormat="1" ht="38.25" customHeight="1">
      <c r="A11" s="136"/>
      <c r="B11" s="162"/>
      <c r="C11" s="157" t="s">
        <v>179</v>
      </c>
      <c r="D11" s="157" t="s">
        <v>179</v>
      </c>
      <c r="E11" s="161" t="s">
        <v>191</v>
      </c>
      <c r="F11" s="138" t="s">
        <v>173</v>
      </c>
      <c r="G11" s="138" t="s">
        <v>173</v>
      </c>
      <c r="H11" s="139" t="s">
        <v>173</v>
      </c>
      <c r="I11" s="140">
        <v>0</v>
      </c>
      <c r="J11" s="159" t="s">
        <v>173</v>
      </c>
      <c r="K11" s="141" t="s">
        <v>190</v>
      </c>
      <c r="L11" s="267" t="s">
        <v>173</v>
      </c>
      <c r="M11" s="268"/>
      <c r="N11" s="160"/>
      <c r="O11" s="137"/>
    </row>
    <row r="12" spans="1:15" ht="38.25" customHeight="1">
      <c r="L12" s="259" t="s">
        <v>173</v>
      </c>
      <c r="M12" s="260"/>
      <c r="N12" s="163"/>
    </row>
    <row r="13" spans="1:15" ht="38.25" customHeight="1">
      <c r="E13" s="164"/>
      <c r="L13" s="259" t="s">
        <v>173</v>
      </c>
      <c r="M13" s="260"/>
      <c r="N13" s="163"/>
    </row>
    <row r="14" spans="1:15" ht="38.25" customHeight="1">
      <c r="L14" s="259" t="s">
        <v>173</v>
      </c>
      <c r="M14" s="260"/>
      <c r="N14" s="163"/>
    </row>
    <row r="15" spans="1:15" ht="38.25" customHeight="1">
      <c r="L15" s="259" t="s">
        <v>173</v>
      </c>
      <c r="M15" s="260"/>
      <c r="N15" s="163"/>
    </row>
    <row r="16" spans="1:15" ht="38.25" customHeight="1">
      <c r="L16" s="259" t="s">
        <v>173</v>
      </c>
      <c r="M16" s="260"/>
      <c r="N16" s="163"/>
    </row>
    <row r="17" spans="12:14" ht="38.25" customHeight="1">
      <c r="L17" s="259" t="s">
        <v>173</v>
      </c>
      <c r="M17" s="260"/>
      <c r="N17" s="163"/>
    </row>
    <row r="18" spans="12:14" ht="38.25" customHeight="1"/>
    <row r="19" spans="12:14" ht="38.25" customHeight="1"/>
    <row r="20" spans="12:14" ht="38.25" customHeight="1"/>
    <row r="21" spans="12:14" ht="38.25" customHeight="1"/>
    <row r="22" spans="12:14" ht="38.25" customHeight="1"/>
    <row r="23" spans="12:14" ht="38.25" customHeight="1"/>
  </sheetData>
  <mergeCells count="20">
    <mergeCell ref="H2:L2"/>
    <mergeCell ref="C3:D3"/>
    <mergeCell ref="G3:G5"/>
    <mergeCell ref="I3:K3"/>
    <mergeCell ref="O3:O5"/>
    <mergeCell ref="C4:E4"/>
    <mergeCell ref="H4:N4"/>
    <mergeCell ref="H5:N5"/>
    <mergeCell ref="L17:M17"/>
    <mergeCell ref="I7:J7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</mergeCells>
  <phoneticPr fontId="12"/>
  <conditionalFormatting sqref="A8:H11 K8:L11 N8:O11 L12:L17 E13">
    <cfRule type="expression" dxfId="5" priority="1" stopIfTrue="1">
      <formula>#REF!="3150"</formula>
    </cfRule>
    <cfRule type="expression" dxfId="4" priority="2" stopIfTrue="1">
      <formula>$L8="03"</formula>
    </cfRule>
    <cfRule type="expression" dxfId="3" priority="3" stopIfTrue="1">
      <formula>#REF!&lt;&gt;""</formula>
    </cfRule>
  </conditionalFormatting>
  <pageMargins left="0.23622047244094491" right="0.23622047244094491" top="0.23622047244094491" bottom="0.51181102362204722" header="0" footer="0"/>
  <pageSetup paperSize="9" pageOrder="overThenDown" orientation="landscape" r:id="rId1"/>
  <headerFooter alignWithMargins="0">
    <oddHeader>&amp;R&amp;P 頁</oddHeader>
    <oddFooter>&amp;C&amp;10株式会社 &amp;11三 和 商 研&amp;R©2024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23"/>
  <sheetViews>
    <sheetView view="pageBreakPreview" topLeftCell="B1" zoomScaleNormal="100" zoomScaleSheetLayoutView="100" workbookViewId="0">
      <selection activeCell="B1" sqref="B1"/>
    </sheetView>
  </sheetViews>
  <sheetFormatPr defaultColWidth="7.796875" defaultRowHeight="13.2"/>
  <cols>
    <col min="1" max="1" width="8.09765625" style="128" hidden="1" customWidth="1"/>
    <col min="2" max="2" width="17.296875" style="128" customWidth="1"/>
    <col min="3" max="3" width="6.8984375" style="128" customWidth="1"/>
    <col min="4" max="4" width="6" style="128" customWidth="1"/>
    <col min="5" max="5" width="28.5" style="128" customWidth="1"/>
    <col min="6" max="8" width="5.59765625" style="128" customWidth="1"/>
    <col min="9" max="9" width="9.796875" style="128" customWidth="1"/>
    <col min="10" max="10" width="4" style="128" customWidth="1"/>
    <col min="11" max="11" width="8.19921875" style="128" customWidth="1"/>
    <col min="12" max="12" width="15.69921875" style="128" customWidth="1"/>
    <col min="13" max="13" width="3.09765625" style="128" customWidth="1"/>
    <col min="14" max="14" width="8.19921875" style="128" customWidth="1"/>
    <col min="15" max="15" width="4.69921875" style="128" customWidth="1"/>
    <col min="16" max="16" width="7.796875" style="128" customWidth="1"/>
    <col min="17" max="256" width="7.796875" style="128"/>
    <col min="257" max="257" width="0" style="128" hidden="1" customWidth="1"/>
    <col min="258" max="258" width="17.296875" style="128" customWidth="1"/>
    <col min="259" max="259" width="6.8984375" style="128" customWidth="1"/>
    <col min="260" max="260" width="6" style="128" customWidth="1"/>
    <col min="261" max="261" width="27.69921875" style="128" customWidth="1"/>
    <col min="262" max="264" width="5.59765625" style="128" customWidth="1"/>
    <col min="265" max="265" width="9.796875" style="128" customWidth="1"/>
    <col min="266" max="266" width="4" style="128" customWidth="1"/>
    <col min="267" max="267" width="8.19921875" style="128" customWidth="1"/>
    <col min="268" max="268" width="15.69921875" style="128" customWidth="1"/>
    <col min="269" max="269" width="5.09765625" style="128" customWidth="1"/>
    <col min="270" max="270" width="8.19921875" style="128" customWidth="1"/>
    <col min="271" max="271" width="4.69921875" style="128" customWidth="1"/>
    <col min="272" max="512" width="7.796875" style="128"/>
    <col min="513" max="513" width="0" style="128" hidden="1" customWidth="1"/>
    <col min="514" max="514" width="17.296875" style="128" customWidth="1"/>
    <col min="515" max="515" width="6.8984375" style="128" customWidth="1"/>
    <col min="516" max="516" width="6" style="128" customWidth="1"/>
    <col min="517" max="517" width="27.69921875" style="128" customWidth="1"/>
    <col min="518" max="520" width="5.59765625" style="128" customWidth="1"/>
    <col min="521" max="521" width="9.796875" style="128" customWidth="1"/>
    <col min="522" max="522" width="4" style="128" customWidth="1"/>
    <col min="523" max="523" width="8.19921875" style="128" customWidth="1"/>
    <col min="524" max="524" width="15.69921875" style="128" customWidth="1"/>
    <col min="525" max="525" width="5.09765625" style="128" customWidth="1"/>
    <col min="526" max="526" width="8.19921875" style="128" customWidth="1"/>
    <col min="527" max="527" width="4.69921875" style="128" customWidth="1"/>
    <col min="528" max="768" width="7.796875" style="128"/>
    <col min="769" max="769" width="0" style="128" hidden="1" customWidth="1"/>
    <col min="770" max="770" width="17.296875" style="128" customWidth="1"/>
    <col min="771" max="771" width="6.8984375" style="128" customWidth="1"/>
    <col min="772" max="772" width="6" style="128" customWidth="1"/>
    <col min="773" max="773" width="27.69921875" style="128" customWidth="1"/>
    <col min="774" max="776" width="5.59765625" style="128" customWidth="1"/>
    <col min="777" max="777" width="9.796875" style="128" customWidth="1"/>
    <col min="778" max="778" width="4" style="128" customWidth="1"/>
    <col min="779" max="779" width="8.19921875" style="128" customWidth="1"/>
    <col min="780" max="780" width="15.69921875" style="128" customWidth="1"/>
    <col min="781" max="781" width="5.09765625" style="128" customWidth="1"/>
    <col min="782" max="782" width="8.19921875" style="128" customWidth="1"/>
    <col min="783" max="783" width="4.69921875" style="128" customWidth="1"/>
    <col min="784" max="1024" width="7.796875" style="128"/>
    <col min="1025" max="1025" width="0" style="128" hidden="1" customWidth="1"/>
    <col min="1026" max="1026" width="17.296875" style="128" customWidth="1"/>
    <col min="1027" max="1027" width="6.8984375" style="128" customWidth="1"/>
    <col min="1028" max="1028" width="6" style="128" customWidth="1"/>
    <col min="1029" max="1029" width="27.69921875" style="128" customWidth="1"/>
    <col min="1030" max="1032" width="5.59765625" style="128" customWidth="1"/>
    <col min="1033" max="1033" width="9.796875" style="128" customWidth="1"/>
    <col min="1034" max="1034" width="4" style="128" customWidth="1"/>
    <col min="1035" max="1035" width="8.19921875" style="128" customWidth="1"/>
    <col min="1036" max="1036" width="15.69921875" style="128" customWidth="1"/>
    <col min="1037" max="1037" width="5.09765625" style="128" customWidth="1"/>
    <col min="1038" max="1038" width="8.19921875" style="128" customWidth="1"/>
    <col min="1039" max="1039" width="4.69921875" style="128" customWidth="1"/>
    <col min="1040" max="1280" width="7.796875" style="128"/>
    <col min="1281" max="1281" width="0" style="128" hidden="1" customWidth="1"/>
    <col min="1282" max="1282" width="17.296875" style="128" customWidth="1"/>
    <col min="1283" max="1283" width="6.8984375" style="128" customWidth="1"/>
    <col min="1284" max="1284" width="6" style="128" customWidth="1"/>
    <col min="1285" max="1285" width="27.69921875" style="128" customWidth="1"/>
    <col min="1286" max="1288" width="5.59765625" style="128" customWidth="1"/>
    <col min="1289" max="1289" width="9.796875" style="128" customWidth="1"/>
    <col min="1290" max="1290" width="4" style="128" customWidth="1"/>
    <col min="1291" max="1291" width="8.19921875" style="128" customWidth="1"/>
    <col min="1292" max="1292" width="15.69921875" style="128" customWidth="1"/>
    <col min="1293" max="1293" width="5.09765625" style="128" customWidth="1"/>
    <col min="1294" max="1294" width="8.19921875" style="128" customWidth="1"/>
    <col min="1295" max="1295" width="4.69921875" style="128" customWidth="1"/>
    <col min="1296" max="1536" width="7.796875" style="128"/>
    <col min="1537" max="1537" width="0" style="128" hidden="1" customWidth="1"/>
    <col min="1538" max="1538" width="17.296875" style="128" customWidth="1"/>
    <col min="1539" max="1539" width="6.8984375" style="128" customWidth="1"/>
    <col min="1540" max="1540" width="6" style="128" customWidth="1"/>
    <col min="1541" max="1541" width="27.69921875" style="128" customWidth="1"/>
    <col min="1542" max="1544" width="5.59765625" style="128" customWidth="1"/>
    <col min="1545" max="1545" width="9.796875" style="128" customWidth="1"/>
    <col min="1546" max="1546" width="4" style="128" customWidth="1"/>
    <col min="1547" max="1547" width="8.19921875" style="128" customWidth="1"/>
    <col min="1548" max="1548" width="15.69921875" style="128" customWidth="1"/>
    <col min="1549" max="1549" width="5.09765625" style="128" customWidth="1"/>
    <col min="1550" max="1550" width="8.19921875" style="128" customWidth="1"/>
    <col min="1551" max="1551" width="4.69921875" style="128" customWidth="1"/>
    <col min="1552" max="1792" width="7.796875" style="128"/>
    <col min="1793" max="1793" width="0" style="128" hidden="1" customWidth="1"/>
    <col min="1794" max="1794" width="17.296875" style="128" customWidth="1"/>
    <col min="1795" max="1795" width="6.8984375" style="128" customWidth="1"/>
    <col min="1796" max="1796" width="6" style="128" customWidth="1"/>
    <col min="1797" max="1797" width="27.69921875" style="128" customWidth="1"/>
    <col min="1798" max="1800" width="5.59765625" style="128" customWidth="1"/>
    <col min="1801" max="1801" width="9.796875" style="128" customWidth="1"/>
    <col min="1802" max="1802" width="4" style="128" customWidth="1"/>
    <col min="1803" max="1803" width="8.19921875" style="128" customWidth="1"/>
    <col min="1804" max="1804" width="15.69921875" style="128" customWidth="1"/>
    <col min="1805" max="1805" width="5.09765625" style="128" customWidth="1"/>
    <col min="1806" max="1806" width="8.19921875" style="128" customWidth="1"/>
    <col min="1807" max="1807" width="4.69921875" style="128" customWidth="1"/>
    <col min="1808" max="2048" width="7.796875" style="128"/>
    <col min="2049" max="2049" width="0" style="128" hidden="1" customWidth="1"/>
    <col min="2050" max="2050" width="17.296875" style="128" customWidth="1"/>
    <col min="2051" max="2051" width="6.8984375" style="128" customWidth="1"/>
    <col min="2052" max="2052" width="6" style="128" customWidth="1"/>
    <col min="2053" max="2053" width="27.69921875" style="128" customWidth="1"/>
    <col min="2054" max="2056" width="5.59765625" style="128" customWidth="1"/>
    <col min="2057" max="2057" width="9.796875" style="128" customWidth="1"/>
    <col min="2058" max="2058" width="4" style="128" customWidth="1"/>
    <col min="2059" max="2059" width="8.19921875" style="128" customWidth="1"/>
    <col min="2060" max="2060" width="15.69921875" style="128" customWidth="1"/>
    <col min="2061" max="2061" width="5.09765625" style="128" customWidth="1"/>
    <col min="2062" max="2062" width="8.19921875" style="128" customWidth="1"/>
    <col min="2063" max="2063" width="4.69921875" style="128" customWidth="1"/>
    <col min="2064" max="2304" width="7.796875" style="128"/>
    <col min="2305" max="2305" width="0" style="128" hidden="1" customWidth="1"/>
    <col min="2306" max="2306" width="17.296875" style="128" customWidth="1"/>
    <col min="2307" max="2307" width="6.8984375" style="128" customWidth="1"/>
    <col min="2308" max="2308" width="6" style="128" customWidth="1"/>
    <col min="2309" max="2309" width="27.69921875" style="128" customWidth="1"/>
    <col min="2310" max="2312" width="5.59765625" style="128" customWidth="1"/>
    <col min="2313" max="2313" width="9.796875" style="128" customWidth="1"/>
    <col min="2314" max="2314" width="4" style="128" customWidth="1"/>
    <col min="2315" max="2315" width="8.19921875" style="128" customWidth="1"/>
    <col min="2316" max="2316" width="15.69921875" style="128" customWidth="1"/>
    <col min="2317" max="2317" width="5.09765625" style="128" customWidth="1"/>
    <col min="2318" max="2318" width="8.19921875" style="128" customWidth="1"/>
    <col min="2319" max="2319" width="4.69921875" style="128" customWidth="1"/>
    <col min="2320" max="2560" width="7.796875" style="128"/>
    <col min="2561" max="2561" width="0" style="128" hidden="1" customWidth="1"/>
    <col min="2562" max="2562" width="17.296875" style="128" customWidth="1"/>
    <col min="2563" max="2563" width="6.8984375" style="128" customWidth="1"/>
    <col min="2564" max="2564" width="6" style="128" customWidth="1"/>
    <col min="2565" max="2565" width="27.69921875" style="128" customWidth="1"/>
    <col min="2566" max="2568" width="5.59765625" style="128" customWidth="1"/>
    <col min="2569" max="2569" width="9.796875" style="128" customWidth="1"/>
    <col min="2570" max="2570" width="4" style="128" customWidth="1"/>
    <col min="2571" max="2571" width="8.19921875" style="128" customWidth="1"/>
    <col min="2572" max="2572" width="15.69921875" style="128" customWidth="1"/>
    <col min="2573" max="2573" width="5.09765625" style="128" customWidth="1"/>
    <col min="2574" max="2574" width="8.19921875" style="128" customWidth="1"/>
    <col min="2575" max="2575" width="4.69921875" style="128" customWidth="1"/>
    <col min="2576" max="2816" width="7.796875" style="128"/>
    <col min="2817" max="2817" width="0" style="128" hidden="1" customWidth="1"/>
    <col min="2818" max="2818" width="17.296875" style="128" customWidth="1"/>
    <col min="2819" max="2819" width="6.8984375" style="128" customWidth="1"/>
    <col min="2820" max="2820" width="6" style="128" customWidth="1"/>
    <col min="2821" max="2821" width="27.69921875" style="128" customWidth="1"/>
    <col min="2822" max="2824" width="5.59765625" style="128" customWidth="1"/>
    <col min="2825" max="2825" width="9.796875" style="128" customWidth="1"/>
    <col min="2826" max="2826" width="4" style="128" customWidth="1"/>
    <col min="2827" max="2827" width="8.19921875" style="128" customWidth="1"/>
    <col min="2828" max="2828" width="15.69921875" style="128" customWidth="1"/>
    <col min="2829" max="2829" width="5.09765625" style="128" customWidth="1"/>
    <col min="2830" max="2830" width="8.19921875" style="128" customWidth="1"/>
    <col min="2831" max="2831" width="4.69921875" style="128" customWidth="1"/>
    <col min="2832" max="3072" width="7.796875" style="128"/>
    <col min="3073" max="3073" width="0" style="128" hidden="1" customWidth="1"/>
    <col min="3074" max="3074" width="17.296875" style="128" customWidth="1"/>
    <col min="3075" max="3075" width="6.8984375" style="128" customWidth="1"/>
    <col min="3076" max="3076" width="6" style="128" customWidth="1"/>
    <col min="3077" max="3077" width="27.69921875" style="128" customWidth="1"/>
    <col min="3078" max="3080" width="5.59765625" style="128" customWidth="1"/>
    <col min="3081" max="3081" width="9.796875" style="128" customWidth="1"/>
    <col min="3082" max="3082" width="4" style="128" customWidth="1"/>
    <col min="3083" max="3083" width="8.19921875" style="128" customWidth="1"/>
    <col min="3084" max="3084" width="15.69921875" style="128" customWidth="1"/>
    <col min="3085" max="3085" width="5.09765625" style="128" customWidth="1"/>
    <col min="3086" max="3086" width="8.19921875" style="128" customWidth="1"/>
    <col min="3087" max="3087" width="4.69921875" style="128" customWidth="1"/>
    <col min="3088" max="3328" width="7.796875" style="128"/>
    <col min="3329" max="3329" width="0" style="128" hidden="1" customWidth="1"/>
    <col min="3330" max="3330" width="17.296875" style="128" customWidth="1"/>
    <col min="3331" max="3331" width="6.8984375" style="128" customWidth="1"/>
    <col min="3332" max="3332" width="6" style="128" customWidth="1"/>
    <col min="3333" max="3333" width="27.69921875" style="128" customWidth="1"/>
    <col min="3334" max="3336" width="5.59765625" style="128" customWidth="1"/>
    <col min="3337" max="3337" width="9.796875" style="128" customWidth="1"/>
    <col min="3338" max="3338" width="4" style="128" customWidth="1"/>
    <col min="3339" max="3339" width="8.19921875" style="128" customWidth="1"/>
    <col min="3340" max="3340" width="15.69921875" style="128" customWidth="1"/>
    <col min="3341" max="3341" width="5.09765625" style="128" customWidth="1"/>
    <col min="3342" max="3342" width="8.19921875" style="128" customWidth="1"/>
    <col min="3343" max="3343" width="4.69921875" style="128" customWidth="1"/>
    <col min="3344" max="3584" width="7.796875" style="128"/>
    <col min="3585" max="3585" width="0" style="128" hidden="1" customWidth="1"/>
    <col min="3586" max="3586" width="17.296875" style="128" customWidth="1"/>
    <col min="3587" max="3587" width="6.8984375" style="128" customWidth="1"/>
    <col min="3588" max="3588" width="6" style="128" customWidth="1"/>
    <col min="3589" max="3589" width="27.69921875" style="128" customWidth="1"/>
    <col min="3590" max="3592" width="5.59765625" style="128" customWidth="1"/>
    <col min="3593" max="3593" width="9.796875" style="128" customWidth="1"/>
    <col min="3594" max="3594" width="4" style="128" customWidth="1"/>
    <col min="3595" max="3595" width="8.19921875" style="128" customWidth="1"/>
    <col min="3596" max="3596" width="15.69921875" style="128" customWidth="1"/>
    <col min="3597" max="3597" width="5.09765625" style="128" customWidth="1"/>
    <col min="3598" max="3598" width="8.19921875" style="128" customWidth="1"/>
    <col min="3599" max="3599" width="4.69921875" style="128" customWidth="1"/>
    <col min="3600" max="3840" width="7.796875" style="128"/>
    <col min="3841" max="3841" width="0" style="128" hidden="1" customWidth="1"/>
    <col min="3842" max="3842" width="17.296875" style="128" customWidth="1"/>
    <col min="3843" max="3843" width="6.8984375" style="128" customWidth="1"/>
    <col min="3844" max="3844" width="6" style="128" customWidth="1"/>
    <col min="3845" max="3845" width="27.69921875" style="128" customWidth="1"/>
    <col min="3846" max="3848" width="5.59765625" style="128" customWidth="1"/>
    <col min="3849" max="3849" width="9.796875" style="128" customWidth="1"/>
    <col min="3850" max="3850" width="4" style="128" customWidth="1"/>
    <col min="3851" max="3851" width="8.19921875" style="128" customWidth="1"/>
    <col min="3852" max="3852" width="15.69921875" style="128" customWidth="1"/>
    <col min="3853" max="3853" width="5.09765625" style="128" customWidth="1"/>
    <col min="3854" max="3854" width="8.19921875" style="128" customWidth="1"/>
    <col min="3855" max="3855" width="4.69921875" style="128" customWidth="1"/>
    <col min="3856" max="4096" width="7.796875" style="128"/>
    <col min="4097" max="4097" width="0" style="128" hidden="1" customWidth="1"/>
    <col min="4098" max="4098" width="17.296875" style="128" customWidth="1"/>
    <col min="4099" max="4099" width="6.8984375" style="128" customWidth="1"/>
    <col min="4100" max="4100" width="6" style="128" customWidth="1"/>
    <col min="4101" max="4101" width="27.69921875" style="128" customWidth="1"/>
    <col min="4102" max="4104" width="5.59765625" style="128" customWidth="1"/>
    <col min="4105" max="4105" width="9.796875" style="128" customWidth="1"/>
    <col min="4106" max="4106" width="4" style="128" customWidth="1"/>
    <col min="4107" max="4107" width="8.19921875" style="128" customWidth="1"/>
    <col min="4108" max="4108" width="15.69921875" style="128" customWidth="1"/>
    <col min="4109" max="4109" width="5.09765625" style="128" customWidth="1"/>
    <col min="4110" max="4110" width="8.19921875" style="128" customWidth="1"/>
    <col min="4111" max="4111" width="4.69921875" style="128" customWidth="1"/>
    <col min="4112" max="4352" width="7.796875" style="128"/>
    <col min="4353" max="4353" width="0" style="128" hidden="1" customWidth="1"/>
    <col min="4354" max="4354" width="17.296875" style="128" customWidth="1"/>
    <col min="4355" max="4355" width="6.8984375" style="128" customWidth="1"/>
    <col min="4356" max="4356" width="6" style="128" customWidth="1"/>
    <col min="4357" max="4357" width="27.69921875" style="128" customWidth="1"/>
    <col min="4358" max="4360" width="5.59765625" style="128" customWidth="1"/>
    <col min="4361" max="4361" width="9.796875" style="128" customWidth="1"/>
    <col min="4362" max="4362" width="4" style="128" customWidth="1"/>
    <col min="4363" max="4363" width="8.19921875" style="128" customWidth="1"/>
    <col min="4364" max="4364" width="15.69921875" style="128" customWidth="1"/>
    <col min="4365" max="4365" width="5.09765625" style="128" customWidth="1"/>
    <col min="4366" max="4366" width="8.19921875" style="128" customWidth="1"/>
    <col min="4367" max="4367" width="4.69921875" style="128" customWidth="1"/>
    <col min="4368" max="4608" width="7.796875" style="128"/>
    <col min="4609" max="4609" width="0" style="128" hidden="1" customWidth="1"/>
    <col min="4610" max="4610" width="17.296875" style="128" customWidth="1"/>
    <col min="4611" max="4611" width="6.8984375" style="128" customWidth="1"/>
    <col min="4612" max="4612" width="6" style="128" customWidth="1"/>
    <col min="4613" max="4613" width="27.69921875" style="128" customWidth="1"/>
    <col min="4614" max="4616" width="5.59765625" style="128" customWidth="1"/>
    <col min="4617" max="4617" width="9.796875" style="128" customWidth="1"/>
    <col min="4618" max="4618" width="4" style="128" customWidth="1"/>
    <col min="4619" max="4619" width="8.19921875" style="128" customWidth="1"/>
    <col min="4620" max="4620" width="15.69921875" style="128" customWidth="1"/>
    <col min="4621" max="4621" width="5.09765625" style="128" customWidth="1"/>
    <col min="4622" max="4622" width="8.19921875" style="128" customWidth="1"/>
    <col min="4623" max="4623" width="4.69921875" style="128" customWidth="1"/>
    <col min="4624" max="4864" width="7.796875" style="128"/>
    <col min="4865" max="4865" width="0" style="128" hidden="1" customWidth="1"/>
    <col min="4866" max="4866" width="17.296875" style="128" customWidth="1"/>
    <col min="4867" max="4867" width="6.8984375" style="128" customWidth="1"/>
    <col min="4868" max="4868" width="6" style="128" customWidth="1"/>
    <col min="4869" max="4869" width="27.69921875" style="128" customWidth="1"/>
    <col min="4870" max="4872" width="5.59765625" style="128" customWidth="1"/>
    <col min="4873" max="4873" width="9.796875" style="128" customWidth="1"/>
    <col min="4874" max="4874" width="4" style="128" customWidth="1"/>
    <col min="4875" max="4875" width="8.19921875" style="128" customWidth="1"/>
    <col min="4876" max="4876" width="15.69921875" style="128" customWidth="1"/>
    <col min="4877" max="4877" width="5.09765625" style="128" customWidth="1"/>
    <col min="4878" max="4878" width="8.19921875" style="128" customWidth="1"/>
    <col min="4879" max="4879" width="4.69921875" style="128" customWidth="1"/>
    <col min="4880" max="5120" width="7.796875" style="128"/>
    <col min="5121" max="5121" width="0" style="128" hidden="1" customWidth="1"/>
    <col min="5122" max="5122" width="17.296875" style="128" customWidth="1"/>
    <col min="5123" max="5123" width="6.8984375" style="128" customWidth="1"/>
    <col min="5124" max="5124" width="6" style="128" customWidth="1"/>
    <col min="5125" max="5125" width="27.69921875" style="128" customWidth="1"/>
    <col min="5126" max="5128" width="5.59765625" style="128" customWidth="1"/>
    <col min="5129" max="5129" width="9.796875" style="128" customWidth="1"/>
    <col min="5130" max="5130" width="4" style="128" customWidth="1"/>
    <col min="5131" max="5131" width="8.19921875" style="128" customWidth="1"/>
    <col min="5132" max="5132" width="15.69921875" style="128" customWidth="1"/>
    <col min="5133" max="5133" width="5.09765625" style="128" customWidth="1"/>
    <col min="5134" max="5134" width="8.19921875" style="128" customWidth="1"/>
    <col min="5135" max="5135" width="4.69921875" style="128" customWidth="1"/>
    <col min="5136" max="5376" width="7.796875" style="128"/>
    <col min="5377" max="5377" width="0" style="128" hidden="1" customWidth="1"/>
    <col min="5378" max="5378" width="17.296875" style="128" customWidth="1"/>
    <col min="5379" max="5379" width="6.8984375" style="128" customWidth="1"/>
    <col min="5380" max="5380" width="6" style="128" customWidth="1"/>
    <col min="5381" max="5381" width="27.69921875" style="128" customWidth="1"/>
    <col min="5382" max="5384" width="5.59765625" style="128" customWidth="1"/>
    <col min="5385" max="5385" width="9.796875" style="128" customWidth="1"/>
    <col min="5386" max="5386" width="4" style="128" customWidth="1"/>
    <col min="5387" max="5387" width="8.19921875" style="128" customWidth="1"/>
    <col min="5388" max="5388" width="15.69921875" style="128" customWidth="1"/>
    <col min="5389" max="5389" width="5.09765625" style="128" customWidth="1"/>
    <col min="5390" max="5390" width="8.19921875" style="128" customWidth="1"/>
    <col min="5391" max="5391" width="4.69921875" style="128" customWidth="1"/>
    <col min="5392" max="5632" width="7.796875" style="128"/>
    <col min="5633" max="5633" width="0" style="128" hidden="1" customWidth="1"/>
    <col min="5634" max="5634" width="17.296875" style="128" customWidth="1"/>
    <col min="5635" max="5635" width="6.8984375" style="128" customWidth="1"/>
    <col min="5636" max="5636" width="6" style="128" customWidth="1"/>
    <col min="5637" max="5637" width="27.69921875" style="128" customWidth="1"/>
    <col min="5638" max="5640" width="5.59765625" style="128" customWidth="1"/>
    <col min="5641" max="5641" width="9.796875" style="128" customWidth="1"/>
    <col min="5642" max="5642" width="4" style="128" customWidth="1"/>
    <col min="5643" max="5643" width="8.19921875" style="128" customWidth="1"/>
    <col min="5644" max="5644" width="15.69921875" style="128" customWidth="1"/>
    <col min="5645" max="5645" width="5.09765625" style="128" customWidth="1"/>
    <col min="5646" max="5646" width="8.19921875" style="128" customWidth="1"/>
    <col min="5647" max="5647" width="4.69921875" style="128" customWidth="1"/>
    <col min="5648" max="5888" width="7.796875" style="128"/>
    <col min="5889" max="5889" width="0" style="128" hidden="1" customWidth="1"/>
    <col min="5890" max="5890" width="17.296875" style="128" customWidth="1"/>
    <col min="5891" max="5891" width="6.8984375" style="128" customWidth="1"/>
    <col min="5892" max="5892" width="6" style="128" customWidth="1"/>
    <col min="5893" max="5893" width="27.69921875" style="128" customWidth="1"/>
    <col min="5894" max="5896" width="5.59765625" style="128" customWidth="1"/>
    <col min="5897" max="5897" width="9.796875" style="128" customWidth="1"/>
    <col min="5898" max="5898" width="4" style="128" customWidth="1"/>
    <col min="5899" max="5899" width="8.19921875" style="128" customWidth="1"/>
    <col min="5900" max="5900" width="15.69921875" style="128" customWidth="1"/>
    <col min="5901" max="5901" width="5.09765625" style="128" customWidth="1"/>
    <col min="5902" max="5902" width="8.19921875" style="128" customWidth="1"/>
    <col min="5903" max="5903" width="4.69921875" style="128" customWidth="1"/>
    <col min="5904" max="6144" width="7.796875" style="128"/>
    <col min="6145" max="6145" width="0" style="128" hidden="1" customWidth="1"/>
    <col min="6146" max="6146" width="17.296875" style="128" customWidth="1"/>
    <col min="6147" max="6147" width="6.8984375" style="128" customWidth="1"/>
    <col min="6148" max="6148" width="6" style="128" customWidth="1"/>
    <col min="6149" max="6149" width="27.69921875" style="128" customWidth="1"/>
    <col min="6150" max="6152" width="5.59765625" style="128" customWidth="1"/>
    <col min="6153" max="6153" width="9.796875" style="128" customWidth="1"/>
    <col min="6154" max="6154" width="4" style="128" customWidth="1"/>
    <col min="6155" max="6155" width="8.19921875" style="128" customWidth="1"/>
    <col min="6156" max="6156" width="15.69921875" style="128" customWidth="1"/>
    <col min="6157" max="6157" width="5.09765625" style="128" customWidth="1"/>
    <col min="6158" max="6158" width="8.19921875" style="128" customWidth="1"/>
    <col min="6159" max="6159" width="4.69921875" style="128" customWidth="1"/>
    <col min="6160" max="6400" width="7.796875" style="128"/>
    <col min="6401" max="6401" width="0" style="128" hidden="1" customWidth="1"/>
    <col min="6402" max="6402" width="17.296875" style="128" customWidth="1"/>
    <col min="6403" max="6403" width="6.8984375" style="128" customWidth="1"/>
    <col min="6404" max="6404" width="6" style="128" customWidth="1"/>
    <col min="6405" max="6405" width="27.69921875" style="128" customWidth="1"/>
    <col min="6406" max="6408" width="5.59765625" style="128" customWidth="1"/>
    <col min="6409" max="6409" width="9.796875" style="128" customWidth="1"/>
    <col min="6410" max="6410" width="4" style="128" customWidth="1"/>
    <col min="6411" max="6411" width="8.19921875" style="128" customWidth="1"/>
    <col min="6412" max="6412" width="15.69921875" style="128" customWidth="1"/>
    <col min="6413" max="6413" width="5.09765625" style="128" customWidth="1"/>
    <col min="6414" max="6414" width="8.19921875" style="128" customWidth="1"/>
    <col min="6415" max="6415" width="4.69921875" style="128" customWidth="1"/>
    <col min="6416" max="6656" width="7.796875" style="128"/>
    <col min="6657" max="6657" width="0" style="128" hidden="1" customWidth="1"/>
    <col min="6658" max="6658" width="17.296875" style="128" customWidth="1"/>
    <col min="6659" max="6659" width="6.8984375" style="128" customWidth="1"/>
    <col min="6660" max="6660" width="6" style="128" customWidth="1"/>
    <col min="6661" max="6661" width="27.69921875" style="128" customWidth="1"/>
    <col min="6662" max="6664" width="5.59765625" style="128" customWidth="1"/>
    <col min="6665" max="6665" width="9.796875" style="128" customWidth="1"/>
    <col min="6666" max="6666" width="4" style="128" customWidth="1"/>
    <col min="6667" max="6667" width="8.19921875" style="128" customWidth="1"/>
    <col min="6668" max="6668" width="15.69921875" style="128" customWidth="1"/>
    <col min="6669" max="6669" width="5.09765625" style="128" customWidth="1"/>
    <col min="6670" max="6670" width="8.19921875" style="128" customWidth="1"/>
    <col min="6671" max="6671" width="4.69921875" style="128" customWidth="1"/>
    <col min="6672" max="6912" width="7.796875" style="128"/>
    <col min="6913" max="6913" width="0" style="128" hidden="1" customWidth="1"/>
    <col min="6914" max="6914" width="17.296875" style="128" customWidth="1"/>
    <col min="6915" max="6915" width="6.8984375" style="128" customWidth="1"/>
    <col min="6916" max="6916" width="6" style="128" customWidth="1"/>
    <col min="6917" max="6917" width="27.69921875" style="128" customWidth="1"/>
    <col min="6918" max="6920" width="5.59765625" style="128" customWidth="1"/>
    <col min="6921" max="6921" width="9.796875" style="128" customWidth="1"/>
    <col min="6922" max="6922" width="4" style="128" customWidth="1"/>
    <col min="6923" max="6923" width="8.19921875" style="128" customWidth="1"/>
    <col min="6924" max="6924" width="15.69921875" style="128" customWidth="1"/>
    <col min="6925" max="6925" width="5.09765625" style="128" customWidth="1"/>
    <col min="6926" max="6926" width="8.19921875" style="128" customWidth="1"/>
    <col min="6927" max="6927" width="4.69921875" style="128" customWidth="1"/>
    <col min="6928" max="7168" width="7.796875" style="128"/>
    <col min="7169" max="7169" width="0" style="128" hidden="1" customWidth="1"/>
    <col min="7170" max="7170" width="17.296875" style="128" customWidth="1"/>
    <col min="7171" max="7171" width="6.8984375" style="128" customWidth="1"/>
    <col min="7172" max="7172" width="6" style="128" customWidth="1"/>
    <col min="7173" max="7173" width="27.69921875" style="128" customWidth="1"/>
    <col min="7174" max="7176" width="5.59765625" style="128" customWidth="1"/>
    <col min="7177" max="7177" width="9.796875" style="128" customWidth="1"/>
    <col min="7178" max="7178" width="4" style="128" customWidth="1"/>
    <col min="7179" max="7179" width="8.19921875" style="128" customWidth="1"/>
    <col min="7180" max="7180" width="15.69921875" style="128" customWidth="1"/>
    <col min="7181" max="7181" width="5.09765625" style="128" customWidth="1"/>
    <col min="7182" max="7182" width="8.19921875" style="128" customWidth="1"/>
    <col min="7183" max="7183" width="4.69921875" style="128" customWidth="1"/>
    <col min="7184" max="7424" width="7.796875" style="128"/>
    <col min="7425" max="7425" width="0" style="128" hidden="1" customWidth="1"/>
    <col min="7426" max="7426" width="17.296875" style="128" customWidth="1"/>
    <col min="7427" max="7427" width="6.8984375" style="128" customWidth="1"/>
    <col min="7428" max="7428" width="6" style="128" customWidth="1"/>
    <col min="7429" max="7429" width="27.69921875" style="128" customWidth="1"/>
    <col min="7430" max="7432" width="5.59765625" style="128" customWidth="1"/>
    <col min="7433" max="7433" width="9.796875" style="128" customWidth="1"/>
    <col min="7434" max="7434" width="4" style="128" customWidth="1"/>
    <col min="7435" max="7435" width="8.19921875" style="128" customWidth="1"/>
    <col min="7436" max="7436" width="15.69921875" style="128" customWidth="1"/>
    <col min="7437" max="7437" width="5.09765625" style="128" customWidth="1"/>
    <col min="7438" max="7438" width="8.19921875" style="128" customWidth="1"/>
    <col min="7439" max="7439" width="4.69921875" style="128" customWidth="1"/>
    <col min="7440" max="7680" width="7.796875" style="128"/>
    <col min="7681" max="7681" width="0" style="128" hidden="1" customWidth="1"/>
    <col min="7682" max="7682" width="17.296875" style="128" customWidth="1"/>
    <col min="7683" max="7683" width="6.8984375" style="128" customWidth="1"/>
    <col min="7684" max="7684" width="6" style="128" customWidth="1"/>
    <col min="7685" max="7685" width="27.69921875" style="128" customWidth="1"/>
    <col min="7686" max="7688" width="5.59765625" style="128" customWidth="1"/>
    <col min="7689" max="7689" width="9.796875" style="128" customWidth="1"/>
    <col min="7690" max="7690" width="4" style="128" customWidth="1"/>
    <col min="7691" max="7691" width="8.19921875" style="128" customWidth="1"/>
    <col min="7692" max="7692" width="15.69921875" style="128" customWidth="1"/>
    <col min="7693" max="7693" width="5.09765625" style="128" customWidth="1"/>
    <col min="7694" max="7694" width="8.19921875" style="128" customWidth="1"/>
    <col min="7695" max="7695" width="4.69921875" style="128" customWidth="1"/>
    <col min="7696" max="7936" width="7.796875" style="128"/>
    <col min="7937" max="7937" width="0" style="128" hidden="1" customWidth="1"/>
    <col min="7938" max="7938" width="17.296875" style="128" customWidth="1"/>
    <col min="7939" max="7939" width="6.8984375" style="128" customWidth="1"/>
    <col min="7940" max="7940" width="6" style="128" customWidth="1"/>
    <col min="7941" max="7941" width="27.69921875" style="128" customWidth="1"/>
    <col min="7942" max="7944" width="5.59765625" style="128" customWidth="1"/>
    <col min="7945" max="7945" width="9.796875" style="128" customWidth="1"/>
    <col min="7946" max="7946" width="4" style="128" customWidth="1"/>
    <col min="7947" max="7947" width="8.19921875" style="128" customWidth="1"/>
    <col min="7948" max="7948" width="15.69921875" style="128" customWidth="1"/>
    <col min="7949" max="7949" width="5.09765625" style="128" customWidth="1"/>
    <col min="7950" max="7950" width="8.19921875" style="128" customWidth="1"/>
    <col min="7951" max="7951" width="4.69921875" style="128" customWidth="1"/>
    <col min="7952" max="8192" width="7.796875" style="128"/>
    <col min="8193" max="8193" width="0" style="128" hidden="1" customWidth="1"/>
    <col min="8194" max="8194" width="17.296875" style="128" customWidth="1"/>
    <col min="8195" max="8195" width="6.8984375" style="128" customWidth="1"/>
    <col min="8196" max="8196" width="6" style="128" customWidth="1"/>
    <col min="8197" max="8197" width="27.69921875" style="128" customWidth="1"/>
    <col min="8198" max="8200" width="5.59765625" style="128" customWidth="1"/>
    <col min="8201" max="8201" width="9.796875" style="128" customWidth="1"/>
    <col min="8202" max="8202" width="4" style="128" customWidth="1"/>
    <col min="8203" max="8203" width="8.19921875" style="128" customWidth="1"/>
    <col min="8204" max="8204" width="15.69921875" style="128" customWidth="1"/>
    <col min="8205" max="8205" width="5.09765625" style="128" customWidth="1"/>
    <col min="8206" max="8206" width="8.19921875" style="128" customWidth="1"/>
    <col min="8207" max="8207" width="4.69921875" style="128" customWidth="1"/>
    <col min="8208" max="8448" width="7.796875" style="128"/>
    <col min="8449" max="8449" width="0" style="128" hidden="1" customWidth="1"/>
    <col min="8450" max="8450" width="17.296875" style="128" customWidth="1"/>
    <col min="8451" max="8451" width="6.8984375" style="128" customWidth="1"/>
    <col min="8452" max="8452" width="6" style="128" customWidth="1"/>
    <col min="8453" max="8453" width="27.69921875" style="128" customWidth="1"/>
    <col min="8454" max="8456" width="5.59765625" style="128" customWidth="1"/>
    <col min="8457" max="8457" width="9.796875" style="128" customWidth="1"/>
    <col min="8458" max="8458" width="4" style="128" customWidth="1"/>
    <col min="8459" max="8459" width="8.19921875" style="128" customWidth="1"/>
    <col min="8460" max="8460" width="15.69921875" style="128" customWidth="1"/>
    <col min="8461" max="8461" width="5.09765625" style="128" customWidth="1"/>
    <col min="8462" max="8462" width="8.19921875" style="128" customWidth="1"/>
    <col min="8463" max="8463" width="4.69921875" style="128" customWidth="1"/>
    <col min="8464" max="8704" width="7.796875" style="128"/>
    <col min="8705" max="8705" width="0" style="128" hidden="1" customWidth="1"/>
    <col min="8706" max="8706" width="17.296875" style="128" customWidth="1"/>
    <col min="8707" max="8707" width="6.8984375" style="128" customWidth="1"/>
    <col min="8708" max="8708" width="6" style="128" customWidth="1"/>
    <col min="8709" max="8709" width="27.69921875" style="128" customWidth="1"/>
    <col min="8710" max="8712" width="5.59765625" style="128" customWidth="1"/>
    <col min="8713" max="8713" width="9.796875" style="128" customWidth="1"/>
    <col min="8714" max="8714" width="4" style="128" customWidth="1"/>
    <col min="8715" max="8715" width="8.19921875" style="128" customWidth="1"/>
    <col min="8716" max="8716" width="15.69921875" style="128" customWidth="1"/>
    <col min="8717" max="8717" width="5.09765625" style="128" customWidth="1"/>
    <col min="8718" max="8718" width="8.19921875" style="128" customWidth="1"/>
    <col min="8719" max="8719" width="4.69921875" style="128" customWidth="1"/>
    <col min="8720" max="8960" width="7.796875" style="128"/>
    <col min="8961" max="8961" width="0" style="128" hidden="1" customWidth="1"/>
    <col min="8962" max="8962" width="17.296875" style="128" customWidth="1"/>
    <col min="8963" max="8963" width="6.8984375" style="128" customWidth="1"/>
    <col min="8964" max="8964" width="6" style="128" customWidth="1"/>
    <col min="8965" max="8965" width="27.69921875" style="128" customWidth="1"/>
    <col min="8966" max="8968" width="5.59765625" style="128" customWidth="1"/>
    <col min="8969" max="8969" width="9.796875" style="128" customWidth="1"/>
    <col min="8970" max="8970" width="4" style="128" customWidth="1"/>
    <col min="8971" max="8971" width="8.19921875" style="128" customWidth="1"/>
    <col min="8972" max="8972" width="15.69921875" style="128" customWidth="1"/>
    <col min="8973" max="8973" width="5.09765625" style="128" customWidth="1"/>
    <col min="8974" max="8974" width="8.19921875" style="128" customWidth="1"/>
    <col min="8975" max="8975" width="4.69921875" style="128" customWidth="1"/>
    <col min="8976" max="9216" width="7.796875" style="128"/>
    <col min="9217" max="9217" width="0" style="128" hidden="1" customWidth="1"/>
    <col min="9218" max="9218" width="17.296875" style="128" customWidth="1"/>
    <col min="9219" max="9219" width="6.8984375" style="128" customWidth="1"/>
    <col min="9220" max="9220" width="6" style="128" customWidth="1"/>
    <col min="9221" max="9221" width="27.69921875" style="128" customWidth="1"/>
    <col min="9222" max="9224" width="5.59765625" style="128" customWidth="1"/>
    <col min="9225" max="9225" width="9.796875" style="128" customWidth="1"/>
    <col min="9226" max="9226" width="4" style="128" customWidth="1"/>
    <col min="9227" max="9227" width="8.19921875" style="128" customWidth="1"/>
    <col min="9228" max="9228" width="15.69921875" style="128" customWidth="1"/>
    <col min="9229" max="9229" width="5.09765625" style="128" customWidth="1"/>
    <col min="9230" max="9230" width="8.19921875" style="128" customWidth="1"/>
    <col min="9231" max="9231" width="4.69921875" style="128" customWidth="1"/>
    <col min="9232" max="9472" width="7.796875" style="128"/>
    <col min="9473" max="9473" width="0" style="128" hidden="1" customWidth="1"/>
    <col min="9474" max="9474" width="17.296875" style="128" customWidth="1"/>
    <col min="9475" max="9475" width="6.8984375" style="128" customWidth="1"/>
    <col min="9476" max="9476" width="6" style="128" customWidth="1"/>
    <col min="9477" max="9477" width="27.69921875" style="128" customWidth="1"/>
    <col min="9478" max="9480" width="5.59765625" style="128" customWidth="1"/>
    <col min="9481" max="9481" width="9.796875" style="128" customWidth="1"/>
    <col min="9482" max="9482" width="4" style="128" customWidth="1"/>
    <col min="9483" max="9483" width="8.19921875" style="128" customWidth="1"/>
    <col min="9484" max="9484" width="15.69921875" style="128" customWidth="1"/>
    <col min="9485" max="9485" width="5.09765625" style="128" customWidth="1"/>
    <col min="9486" max="9486" width="8.19921875" style="128" customWidth="1"/>
    <col min="9487" max="9487" width="4.69921875" style="128" customWidth="1"/>
    <col min="9488" max="9728" width="7.796875" style="128"/>
    <col min="9729" max="9729" width="0" style="128" hidden="1" customWidth="1"/>
    <col min="9730" max="9730" width="17.296875" style="128" customWidth="1"/>
    <col min="9731" max="9731" width="6.8984375" style="128" customWidth="1"/>
    <col min="9732" max="9732" width="6" style="128" customWidth="1"/>
    <col min="9733" max="9733" width="27.69921875" style="128" customWidth="1"/>
    <col min="9734" max="9736" width="5.59765625" style="128" customWidth="1"/>
    <col min="9737" max="9737" width="9.796875" style="128" customWidth="1"/>
    <col min="9738" max="9738" width="4" style="128" customWidth="1"/>
    <col min="9739" max="9739" width="8.19921875" style="128" customWidth="1"/>
    <col min="9740" max="9740" width="15.69921875" style="128" customWidth="1"/>
    <col min="9741" max="9741" width="5.09765625" style="128" customWidth="1"/>
    <col min="9742" max="9742" width="8.19921875" style="128" customWidth="1"/>
    <col min="9743" max="9743" width="4.69921875" style="128" customWidth="1"/>
    <col min="9744" max="9984" width="7.796875" style="128"/>
    <col min="9985" max="9985" width="0" style="128" hidden="1" customWidth="1"/>
    <col min="9986" max="9986" width="17.296875" style="128" customWidth="1"/>
    <col min="9987" max="9987" width="6.8984375" style="128" customWidth="1"/>
    <col min="9988" max="9988" width="6" style="128" customWidth="1"/>
    <col min="9989" max="9989" width="27.69921875" style="128" customWidth="1"/>
    <col min="9990" max="9992" width="5.59765625" style="128" customWidth="1"/>
    <col min="9993" max="9993" width="9.796875" style="128" customWidth="1"/>
    <col min="9994" max="9994" width="4" style="128" customWidth="1"/>
    <col min="9995" max="9995" width="8.19921875" style="128" customWidth="1"/>
    <col min="9996" max="9996" width="15.69921875" style="128" customWidth="1"/>
    <col min="9997" max="9997" width="5.09765625" style="128" customWidth="1"/>
    <col min="9998" max="9998" width="8.19921875" style="128" customWidth="1"/>
    <col min="9999" max="9999" width="4.69921875" style="128" customWidth="1"/>
    <col min="10000" max="10240" width="7.796875" style="128"/>
    <col min="10241" max="10241" width="0" style="128" hidden="1" customWidth="1"/>
    <col min="10242" max="10242" width="17.296875" style="128" customWidth="1"/>
    <col min="10243" max="10243" width="6.8984375" style="128" customWidth="1"/>
    <col min="10244" max="10244" width="6" style="128" customWidth="1"/>
    <col min="10245" max="10245" width="27.69921875" style="128" customWidth="1"/>
    <col min="10246" max="10248" width="5.59765625" style="128" customWidth="1"/>
    <col min="10249" max="10249" width="9.796875" style="128" customWidth="1"/>
    <col min="10250" max="10250" width="4" style="128" customWidth="1"/>
    <col min="10251" max="10251" width="8.19921875" style="128" customWidth="1"/>
    <col min="10252" max="10252" width="15.69921875" style="128" customWidth="1"/>
    <col min="10253" max="10253" width="5.09765625" style="128" customWidth="1"/>
    <col min="10254" max="10254" width="8.19921875" style="128" customWidth="1"/>
    <col min="10255" max="10255" width="4.69921875" style="128" customWidth="1"/>
    <col min="10256" max="10496" width="7.796875" style="128"/>
    <col min="10497" max="10497" width="0" style="128" hidden="1" customWidth="1"/>
    <col min="10498" max="10498" width="17.296875" style="128" customWidth="1"/>
    <col min="10499" max="10499" width="6.8984375" style="128" customWidth="1"/>
    <col min="10500" max="10500" width="6" style="128" customWidth="1"/>
    <col min="10501" max="10501" width="27.69921875" style="128" customWidth="1"/>
    <col min="10502" max="10504" width="5.59765625" style="128" customWidth="1"/>
    <col min="10505" max="10505" width="9.796875" style="128" customWidth="1"/>
    <col min="10506" max="10506" width="4" style="128" customWidth="1"/>
    <col min="10507" max="10507" width="8.19921875" style="128" customWidth="1"/>
    <col min="10508" max="10508" width="15.69921875" style="128" customWidth="1"/>
    <col min="10509" max="10509" width="5.09765625" style="128" customWidth="1"/>
    <col min="10510" max="10510" width="8.19921875" style="128" customWidth="1"/>
    <col min="10511" max="10511" width="4.69921875" style="128" customWidth="1"/>
    <col min="10512" max="10752" width="7.796875" style="128"/>
    <col min="10753" max="10753" width="0" style="128" hidden="1" customWidth="1"/>
    <col min="10754" max="10754" width="17.296875" style="128" customWidth="1"/>
    <col min="10755" max="10755" width="6.8984375" style="128" customWidth="1"/>
    <col min="10756" max="10756" width="6" style="128" customWidth="1"/>
    <col min="10757" max="10757" width="27.69921875" style="128" customWidth="1"/>
    <col min="10758" max="10760" width="5.59765625" style="128" customWidth="1"/>
    <col min="10761" max="10761" width="9.796875" style="128" customWidth="1"/>
    <col min="10762" max="10762" width="4" style="128" customWidth="1"/>
    <col min="10763" max="10763" width="8.19921875" style="128" customWidth="1"/>
    <col min="10764" max="10764" width="15.69921875" style="128" customWidth="1"/>
    <col min="10765" max="10765" width="5.09765625" style="128" customWidth="1"/>
    <col min="10766" max="10766" width="8.19921875" style="128" customWidth="1"/>
    <col min="10767" max="10767" width="4.69921875" style="128" customWidth="1"/>
    <col min="10768" max="11008" width="7.796875" style="128"/>
    <col min="11009" max="11009" width="0" style="128" hidden="1" customWidth="1"/>
    <col min="11010" max="11010" width="17.296875" style="128" customWidth="1"/>
    <col min="11011" max="11011" width="6.8984375" style="128" customWidth="1"/>
    <col min="11012" max="11012" width="6" style="128" customWidth="1"/>
    <col min="11013" max="11013" width="27.69921875" style="128" customWidth="1"/>
    <col min="11014" max="11016" width="5.59765625" style="128" customWidth="1"/>
    <col min="11017" max="11017" width="9.796875" style="128" customWidth="1"/>
    <col min="11018" max="11018" width="4" style="128" customWidth="1"/>
    <col min="11019" max="11019" width="8.19921875" style="128" customWidth="1"/>
    <col min="11020" max="11020" width="15.69921875" style="128" customWidth="1"/>
    <col min="11021" max="11021" width="5.09765625" style="128" customWidth="1"/>
    <col min="11022" max="11022" width="8.19921875" style="128" customWidth="1"/>
    <col min="11023" max="11023" width="4.69921875" style="128" customWidth="1"/>
    <col min="11024" max="11264" width="7.796875" style="128"/>
    <col min="11265" max="11265" width="0" style="128" hidden="1" customWidth="1"/>
    <col min="11266" max="11266" width="17.296875" style="128" customWidth="1"/>
    <col min="11267" max="11267" width="6.8984375" style="128" customWidth="1"/>
    <col min="11268" max="11268" width="6" style="128" customWidth="1"/>
    <col min="11269" max="11269" width="27.69921875" style="128" customWidth="1"/>
    <col min="11270" max="11272" width="5.59765625" style="128" customWidth="1"/>
    <col min="11273" max="11273" width="9.796875" style="128" customWidth="1"/>
    <col min="11274" max="11274" width="4" style="128" customWidth="1"/>
    <col min="11275" max="11275" width="8.19921875" style="128" customWidth="1"/>
    <col min="11276" max="11276" width="15.69921875" style="128" customWidth="1"/>
    <col min="11277" max="11277" width="5.09765625" style="128" customWidth="1"/>
    <col min="11278" max="11278" width="8.19921875" style="128" customWidth="1"/>
    <col min="11279" max="11279" width="4.69921875" style="128" customWidth="1"/>
    <col min="11280" max="11520" width="7.796875" style="128"/>
    <col min="11521" max="11521" width="0" style="128" hidden="1" customWidth="1"/>
    <col min="11522" max="11522" width="17.296875" style="128" customWidth="1"/>
    <col min="11523" max="11523" width="6.8984375" style="128" customWidth="1"/>
    <col min="11524" max="11524" width="6" style="128" customWidth="1"/>
    <col min="11525" max="11525" width="27.69921875" style="128" customWidth="1"/>
    <col min="11526" max="11528" width="5.59765625" style="128" customWidth="1"/>
    <col min="11529" max="11529" width="9.796875" style="128" customWidth="1"/>
    <col min="11530" max="11530" width="4" style="128" customWidth="1"/>
    <col min="11531" max="11531" width="8.19921875" style="128" customWidth="1"/>
    <col min="11532" max="11532" width="15.69921875" style="128" customWidth="1"/>
    <col min="11533" max="11533" width="5.09765625" style="128" customWidth="1"/>
    <col min="11534" max="11534" width="8.19921875" style="128" customWidth="1"/>
    <col min="11535" max="11535" width="4.69921875" style="128" customWidth="1"/>
    <col min="11536" max="11776" width="7.796875" style="128"/>
    <col min="11777" max="11777" width="0" style="128" hidden="1" customWidth="1"/>
    <col min="11778" max="11778" width="17.296875" style="128" customWidth="1"/>
    <col min="11779" max="11779" width="6.8984375" style="128" customWidth="1"/>
    <col min="11780" max="11780" width="6" style="128" customWidth="1"/>
    <col min="11781" max="11781" width="27.69921875" style="128" customWidth="1"/>
    <col min="11782" max="11784" width="5.59765625" style="128" customWidth="1"/>
    <col min="11785" max="11785" width="9.796875" style="128" customWidth="1"/>
    <col min="11786" max="11786" width="4" style="128" customWidth="1"/>
    <col min="11787" max="11787" width="8.19921875" style="128" customWidth="1"/>
    <col min="11788" max="11788" width="15.69921875" style="128" customWidth="1"/>
    <col min="11789" max="11789" width="5.09765625" style="128" customWidth="1"/>
    <col min="11790" max="11790" width="8.19921875" style="128" customWidth="1"/>
    <col min="11791" max="11791" width="4.69921875" style="128" customWidth="1"/>
    <col min="11792" max="12032" width="7.796875" style="128"/>
    <col min="12033" max="12033" width="0" style="128" hidden="1" customWidth="1"/>
    <col min="12034" max="12034" width="17.296875" style="128" customWidth="1"/>
    <col min="12035" max="12035" width="6.8984375" style="128" customWidth="1"/>
    <col min="12036" max="12036" width="6" style="128" customWidth="1"/>
    <col min="12037" max="12037" width="27.69921875" style="128" customWidth="1"/>
    <col min="12038" max="12040" width="5.59765625" style="128" customWidth="1"/>
    <col min="12041" max="12041" width="9.796875" style="128" customWidth="1"/>
    <col min="12042" max="12042" width="4" style="128" customWidth="1"/>
    <col min="12043" max="12043" width="8.19921875" style="128" customWidth="1"/>
    <col min="12044" max="12044" width="15.69921875" style="128" customWidth="1"/>
    <col min="12045" max="12045" width="5.09765625" style="128" customWidth="1"/>
    <col min="12046" max="12046" width="8.19921875" style="128" customWidth="1"/>
    <col min="12047" max="12047" width="4.69921875" style="128" customWidth="1"/>
    <col min="12048" max="12288" width="7.796875" style="128"/>
    <col min="12289" max="12289" width="0" style="128" hidden="1" customWidth="1"/>
    <col min="12290" max="12290" width="17.296875" style="128" customWidth="1"/>
    <col min="12291" max="12291" width="6.8984375" style="128" customWidth="1"/>
    <col min="12292" max="12292" width="6" style="128" customWidth="1"/>
    <col min="12293" max="12293" width="27.69921875" style="128" customWidth="1"/>
    <col min="12294" max="12296" width="5.59765625" style="128" customWidth="1"/>
    <col min="12297" max="12297" width="9.796875" style="128" customWidth="1"/>
    <col min="12298" max="12298" width="4" style="128" customWidth="1"/>
    <col min="12299" max="12299" width="8.19921875" style="128" customWidth="1"/>
    <col min="12300" max="12300" width="15.69921875" style="128" customWidth="1"/>
    <col min="12301" max="12301" width="5.09765625" style="128" customWidth="1"/>
    <col min="12302" max="12302" width="8.19921875" style="128" customWidth="1"/>
    <col min="12303" max="12303" width="4.69921875" style="128" customWidth="1"/>
    <col min="12304" max="12544" width="7.796875" style="128"/>
    <col min="12545" max="12545" width="0" style="128" hidden="1" customWidth="1"/>
    <col min="12546" max="12546" width="17.296875" style="128" customWidth="1"/>
    <col min="12547" max="12547" width="6.8984375" style="128" customWidth="1"/>
    <col min="12548" max="12548" width="6" style="128" customWidth="1"/>
    <col min="12549" max="12549" width="27.69921875" style="128" customWidth="1"/>
    <col min="12550" max="12552" width="5.59765625" style="128" customWidth="1"/>
    <col min="12553" max="12553" width="9.796875" style="128" customWidth="1"/>
    <col min="12554" max="12554" width="4" style="128" customWidth="1"/>
    <col min="12555" max="12555" width="8.19921875" style="128" customWidth="1"/>
    <col min="12556" max="12556" width="15.69921875" style="128" customWidth="1"/>
    <col min="12557" max="12557" width="5.09765625" style="128" customWidth="1"/>
    <col min="12558" max="12558" width="8.19921875" style="128" customWidth="1"/>
    <col min="12559" max="12559" width="4.69921875" style="128" customWidth="1"/>
    <col min="12560" max="12800" width="7.796875" style="128"/>
    <col min="12801" max="12801" width="0" style="128" hidden="1" customWidth="1"/>
    <col min="12802" max="12802" width="17.296875" style="128" customWidth="1"/>
    <col min="12803" max="12803" width="6.8984375" style="128" customWidth="1"/>
    <col min="12804" max="12804" width="6" style="128" customWidth="1"/>
    <col min="12805" max="12805" width="27.69921875" style="128" customWidth="1"/>
    <col min="12806" max="12808" width="5.59765625" style="128" customWidth="1"/>
    <col min="12809" max="12809" width="9.796875" style="128" customWidth="1"/>
    <col min="12810" max="12810" width="4" style="128" customWidth="1"/>
    <col min="12811" max="12811" width="8.19921875" style="128" customWidth="1"/>
    <col min="12812" max="12812" width="15.69921875" style="128" customWidth="1"/>
    <col min="12813" max="12813" width="5.09765625" style="128" customWidth="1"/>
    <col min="12814" max="12814" width="8.19921875" style="128" customWidth="1"/>
    <col min="12815" max="12815" width="4.69921875" style="128" customWidth="1"/>
    <col min="12816" max="13056" width="7.796875" style="128"/>
    <col min="13057" max="13057" width="0" style="128" hidden="1" customWidth="1"/>
    <col min="13058" max="13058" width="17.296875" style="128" customWidth="1"/>
    <col min="13059" max="13059" width="6.8984375" style="128" customWidth="1"/>
    <col min="13060" max="13060" width="6" style="128" customWidth="1"/>
    <col min="13061" max="13061" width="27.69921875" style="128" customWidth="1"/>
    <col min="13062" max="13064" width="5.59765625" style="128" customWidth="1"/>
    <col min="13065" max="13065" width="9.796875" style="128" customWidth="1"/>
    <col min="13066" max="13066" width="4" style="128" customWidth="1"/>
    <col min="13067" max="13067" width="8.19921875" style="128" customWidth="1"/>
    <col min="13068" max="13068" width="15.69921875" style="128" customWidth="1"/>
    <col min="13069" max="13069" width="5.09765625" style="128" customWidth="1"/>
    <col min="13070" max="13070" width="8.19921875" style="128" customWidth="1"/>
    <col min="13071" max="13071" width="4.69921875" style="128" customWidth="1"/>
    <col min="13072" max="13312" width="7.796875" style="128"/>
    <col min="13313" max="13313" width="0" style="128" hidden="1" customWidth="1"/>
    <col min="13314" max="13314" width="17.296875" style="128" customWidth="1"/>
    <col min="13315" max="13315" width="6.8984375" style="128" customWidth="1"/>
    <col min="13316" max="13316" width="6" style="128" customWidth="1"/>
    <col min="13317" max="13317" width="27.69921875" style="128" customWidth="1"/>
    <col min="13318" max="13320" width="5.59765625" style="128" customWidth="1"/>
    <col min="13321" max="13321" width="9.796875" style="128" customWidth="1"/>
    <col min="13322" max="13322" width="4" style="128" customWidth="1"/>
    <col min="13323" max="13323" width="8.19921875" style="128" customWidth="1"/>
    <col min="13324" max="13324" width="15.69921875" style="128" customWidth="1"/>
    <col min="13325" max="13325" width="5.09765625" style="128" customWidth="1"/>
    <col min="13326" max="13326" width="8.19921875" style="128" customWidth="1"/>
    <col min="13327" max="13327" width="4.69921875" style="128" customWidth="1"/>
    <col min="13328" max="13568" width="7.796875" style="128"/>
    <col min="13569" max="13569" width="0" style="128" hidden="1" customWidth="1"/>
    <col min="13570" max="13570" width="17.296875" style="128" customWidth="1"/>
    <col min="13571" max="13571" width="6.8984375" style="128" customWidth="1"/>
    <col min="13572" max="13572" width="6" style="128" customWidth="1"/>
    <col min="13573" max="13573" width="27.69921875" style="128" customWidth="1"/>
    <col min="13574" max="13576" width="5.59765625" style="128" customWidth="1"/>
    <col min="13577" max="13577" width="9.796875" style="128" customWidth="1"/>
    <col min="13578" max="13578" width="4" style="128" customWidth="1"/>
    <col min="13579" max="13579" width="8.19921875" style="128" customWidth="1"/>
    <col min="13580" max="13580" width="15.69921875" style="128" customWidth="1"/>
    <col min="13581" max="13581" width="5.09765625" style="128" customWidth="1"/>
    <col min="13582" max="13582" width="8.19921875" style="128" customWidth="1"/>
    <col min="13583" max="13583" width="4.69921875" style="128" customWidth="1"/>
    <col min="13584" max="13824" width="7.796875" style="128"/>
    <col min="13825" max="13825" width="0" style="128" hidden="1" customWidth="1"/>
    <col min="13826" max="13826" width="17.296875" style="128" customWidth="1"/>
    <col min="13827" max="13827" width="6.8984375" style="128" customWidth="1"/>
    <col min="13828" max="13828" width="6" style="128" customWidth="1"/>
    <col min="13829" max="13829" width="27.69921875" style="128" customWidth="1"/>
    <col min="13830" max="13832" width="5.59765625" style="128" customWidth="1"/>
    <col min="13833" max="13833" width="9.796875" style="128" customWidth="1"/>
    <col min="13834" max="13834" width="4" style="128" customWidth="1"/>
    <col min="13835" max="13835" width="8.19921875" style="128" customWidth="1"/>
    <col min="13836" max="13836" width="15.69921875" style="128" customWidth="1"/>
    <col min="13837" max="13837" width="5.09765625" style="128" customWidth="1"/>
    <col min="13838" max="13838" width="8.19921875" style="128" customWidth="1"/>
    <col min="13839" max="13839" width="4.69921875" style="128" customWidth="1"/>
    <col min="13840" max="14080" width="7.796875" style="128"/>
    <col min="14081" max="14081" width="0" style="128" hidden="1" customWidth="1"/>
    <col min="14082" max="14082" width="17.296875" style="128" customWidth="1"/>
    <col min="14083" max="14083" width="6.8984375" style="128" customWidth="1"/>
    <col min="14084" max="14084" width="6" style="128" customWidth="1"/>
    <col min="14085" max="14085" width="27.69921875" style="128" customWidth="1"/>
    <col min="14086" max="14088" width="5.59765625" style="128" customWidth="1"/>
    <col min="14089" max="14089" width="9.796875" style="128" customWidth="1"/>
    <col min="14090" max="14090" width="4" style="128" customWidth="1"/>
    <col min="14091" max="14091" width="8.19921875" style="128" customWidth="1"/>
    <col min="14092" max="14092" width="15.69921875" style="128" customWidth="1"/>
    <col min="14093" max="14093" width="5.09765625" style="128" customWidth="1"/>
    <col min="14094" max="14094" width="8.19921875" style="128" customWidth="1"/>
    <col min="14095" max="14095" width="4.69921875" style="128" customWidth="1"/>
    <col min="14096" max="14336" width="7.796875" style="128"/>
    <col min="14337" max="14337" width="0" style="128" hidden="1" customWidth="1"/>
    <col min="14338" max="14338" width="17.296875" style="128" customWidth="1"/>
    <col min="14339" max="14339" width="6.8984375" style="128" customWidth="1"/>
    <col min="14340" max="14340" width="6" style="128" customWidth="1"/>
    <col min="14341" max="14341" width="27.69921875" style="128" customWidth="1"/>
    <col min="14342" max="14344" width="5.59765625" style="128" customWidth="1"/>
    <col min="14345" max="14345" width="9.796875" style="128" customWidth="1"/>
    <col min="14346" max="14346" width="4" style="128" customWidth="1"/>
    <col min="14347" max="14347" width="8.19921875" style="128" customWidth="1"/>
    <col min="14348" max="14348" width="15.69921875" style="128" customWidth="1"/>
    <col min="14349" max="14349" width="5.09765625" style="128" customWidth="1"/>
    <col min="14350" max="14350" width="8.19921875" style="128" customWidth="1"/>
    <col min="14351" max="14351" width="4.69921875" style="128" customWidth="1"/>
    <col min="14352" max="14592" width="7.796875" style="128"/>
    <col min="14593" max="14593" width="0" style="128" hidden="1" customWidth="1"/>
    <col min="14594" max="14594" width="17.296875" style="128" customWidth="1"/>
    <col min="14595" max="14595" width="6.8984375" style="128" customWidth="1"/>
    <col min="14596" max="14596" width="6" style="128" customWidth="1"/>
    <col min="14597" max="14597" width="27.69921875" style="128" customWidth="1"/>
    <col min="14598" max="14600" width="5.59765625" style="128" customWidth="1"/>
    <col min="14601" max="14601" width="9.796875" style="128" customWidth="1"/>
    <col min="14602" max="14602" width="4" style="128" customWidth="1"/>
    <col min="14603" max="14603" width="8.19921875" style="128" customWidth="1"/>
    <col min="14604" max="14604" width="15.69921875" style="128" customWidth="1"/>
    <col min="14605" max="14605" width="5.09765625" style="128" customWidth="1"/>
    <col min="14606" max="14606" width="8.19921875" style="128" customWidth="1"/>
    <col min="14607" max="14607" width="4.69921875" style="128" customWidth="1"/>
    <col min="14608" max="14848" width="7.796875" style="128"/>
    <col min="14849" max="14849" width="0" style="128" hidden="1" customWidth="1"/>
    <col min="14850" max="14850" width="17.296875" style="128" customWidth="1"/>
    <col min="14851" max="14851" width="6.8984375" style="128" customWidth="1"/>
    <col min="14852" max="14852" width="6" style="128" customWidth="1"/>
    <col min="14853" max="14853" width="27.69921875" style="128" customWidth="1"/>
    <col min="14854" max="14856" width="5.59765625" style="128" customWidth="1"/>
    <col min="14857" max="14857" width="9.796875" style="128" customWidth="1"/>
    <col min="14858" max="14858" width="4" style="128" customWidth="1"/>
    <col min="14859" max="14859" width="8.19921875" style="128" customWidth="1"/>
    <col min="14860" max="14860" width="15.69921875" style="128" customWidth="1"/>
    <col min="14861" max="14861" width="5.09765625" style="128" customWidth="1"/>
    <col min="14862" max="14862" width="8.19921875" style="128" customWidth="1"/>
    <col min="14863" max="14863" width="4.69921875" style="128" customWidth="1"/>
    <col min="14864" max="15104" width="7.796875" style="128"/>
    <col min="15105" max="15105" width="0" style="128" hidden="1" customWidth="1"/>
    <col min="15106" max="15106" width="17.296875" style="128" customWidth="1"/>
    <col min="15107" max="15107" width="6.8984375" style="128" customWidth="1"/>
    <col min="15108" max="15108" width="6" style="128" customWidth="1"/>
    <col min="15109" max="15109" width="27.69921875" style="128" customWidth="1"/>
    <col min="15110" max="15112" width="5.59765625" style="128" customWidth="1"/>
    <col min="15113" max="15113" width="9.796875" style="128" customWidth="1"/>
    <col min="15114" max="15114" width="4" style="128" customWidth="1"/>
    <col min="15115" max="15115" width="8.19921875" style="128" customWidth="1"/>
    <col min="15116" max="15116" width="15.69921875" style="128" customWidth="1"/>
    <col min="15117" max="15117" width="5.09765625" style="128" customWidth="1"/>
    <col min="15118" max="15118" width="8.19921875" style="128" customWidth="1"/>
    <col min="15119" max="15119" width="4.69921875" style="128" customWidth="1"/>
    <col min="15120" max="15360" width="7.796875" style="128"/>
    <col min="15361" max="15361" width="0" style="128" hidden="1" customWidth="1"/>
    <col min="15362" max="15362" width="17.296875" style="128" customWidth="1"/>
    <col min="15363" max="15363" width="6.8984375" style="128" customWidth="1"/>
    <col min="15364" max="15364" width="6" style="128" customWidth="1"/>
    <col min="15365" max="15365" width="27.69921875" style="128" customWidth="1"/>
    <col min="15366" max="15368" width="5.59765625" style="128" customWidth="1"/>
    <col min="15369" max="15369" width="9.796875" style="128" customWidth="1"/>
    <col min="15370" max="15370" width="4" style="128" customWidth="1"/>
    <col min="15371" max="15371" width="8.19921875" style="128" customWidth="1"/>
    <col min="15372" max="15372" width="15.69921875" style="128" customWidth="1"/>
    <col min="15373" max="15373" width="5.09765625" style="128" customWidth="1"/>
    <col min="15374" max="15374" width="8.19921875" style="128" customWidth="1"/>
    <col min="15375" max="15375" width="4.69921875" style="128" customWidth="1"/>
    <col min="15376" max="15616" width="7.796875" style="128"/>
    <col min="15617" max="15617" width="0" style="128" hidden="1" customWidth="1"/>
    <col min="15618" max="15618" width="17.296875" style="128" customWidth="1"/>
    <col min="15619" max="15619" width="6.8984375" style="128" customWidth="1"/>
    <col min="15620" max="15620" width="6" style="128" customWidth="1"/>
    <col min="15621" max="15621" width="27.69921875" style="128" customWidth="1"/>
    <col min="15622" max="15624" width="5.59765625" style="128" customWidth="1"/>
    <col min="15625" max="15625" width="9.796875" style="128" customWidth="1"/>
    <col min="15626" max="15626" width="4" style="128" customWidth="1"/>
    <col min="15627" max="15627" width="8.19921875" style="128" customWidth="1"/>
    <col min="15628" max="15628" width="15.69921875" style="128" customWidth="1"/>
    <col min="15629" max="15629" width="5.09765625" style="128" customWidth="1"/>
    <col min="15630" max="15630" width="8.19921875" style="128" customWidth="1"/>
    <col min="15631" max="15631" width="4.69921875" style="128" customWidth="1"/>
    <col min="15632" max="15872" width="7.796875" style="128"/>
    <col min="15873" max="15873" width="0" style="128" hidden="1" customWidth="1"/>
    <col min="15874" max="15874" width="17.296875" style="128" customWidth="1"/>
    <col min="15875" max="15875" width="6.8984375" style="128" customWidth="1"/>
    <col min="15876" max="15876" width="6" style="128" customWidth="1"/>
    <col min="15877" max="15877" width="27.69921875" style="128" customWidth="1"/>
    <col min="15878" max="15880" width="5.59765625" style="128" customWidth="1"/>
    <col min="15881" max="15881" width="9.796875" style="128" customWidth="1"/>
    <col min="15882" max="15882" width="4" style="128" customWidth="1"/>
    <col min="15883" max="15883" width="8.19921875" style="128" customWidth="1"/>
    <col min="15884" max="15884" width="15.69921875" style="128" customWidth="1"/>
    <col min="15885" max="15885" width="5.09765625" style="128" customWidth="1"/>
    <col min="15886" max="15886" width="8.19921875" style="128" customWidth="1"/>
    <col min="15887" max="15887" width="4.69921875" style="128" customWidth="1"/>
    <col min="15888" max="16128" width="7.796875" style="128"/>
    <col min="16129" max="16129" width="0" style="128" hidden="1" customWidth="1"/>
    <col min="16130" max="16130" width="17.296875" style="128" customWidth="1"/>
    <col min="16131" max="16131" width="6.8984375" style="128" customWidth="1"/>
    <col min="16132" max="16132" width="6" style="128" customWidth="1"/>
    <col min="16133" max="16133" width="27.69921875" style="128" customWidth="1"/>
    <col min="16134" max="16136" width="5.59765625" style="128" customWidth="1"/>
    <col min="16137" max="16137" width="9.796875" style="128" customWidth="1"/>
    <col min="16138" max="16138" width="4" style="128" customWidth="1"/>
    <col min="16139" max="16139" width="8.19921875" style="128" customWidth="1"/>
    <col min="16140" max="16140" width="15.69921875" style="128" customWidth="1"/>
    <col min="16141" max="16141" width="5.09765625" style="128" customWidth="1"/>
    <col min="16142" max="16142" width="8.19921875" style="128" customWidth="1"/>
    <col min="16143" max="16143" width="4.69921875" style="128" customWidth="1"/>
    <col min="16144" max="16384" width="7.796875" style="128"/>
  </cols>
  <sheetData>
    <row r="1" spans="1:15" ht="45" customHeight="1" thickBot="1">
      <c r="B1" s="142" t="s">
        <v>160</v>
      </c>
      <c r="D1" s="143" t="s">
        <v>161</v>
      </c>
      <c r="E1" s="144" t="s">
        <v>162</v>
      </c>
      <c r="F1" s="145" t="s">
        <v>163</v>
      </c>
    </row>
    <row r="2" spans="1:15" ht="27.75" customHeight="1">
      <c r="D2" s="129"/>
      <c r="G2" s="130" t="s">
        <v>164</v>
      </c>
      <c r="H2" s="269" t="s">
        <v>165</v>
      </c>
      <c r="I2" s="270"/>
      <c r="J2" s="270"/>
      <c r="K2" s="270"/>
      <c r="L2" s="271"/>
      <c r="M2" s="146" t="s">
        <v>95</v>
      </c>
      <c r="N2" s="147" t="s">
        <v>166</v>
      </c>
      <c r="O2" s="131" t="s">
        <v>96</v>
      </c>
    </row>
    <row r="3" spans="1:15" ht="27.75" customHeight="1">
      <c r="B3" s="148" t="s">
        <v>97</v>
      </c>
      <c r="C3" s="272">
        <v>178473</v>
      </c>
      <c r="D3" s="273"/>
      <c r="E3" s="149"/>
      <c r="G3" s="274" t="s">
        <v>98</v>
      </c>
      <c r="H3" s="150" t="s">
        <v>167</v>
      </c>
      <c r="I3" s="277" t="s">
        <v>168</v>
      </c>
      <c r="J3" s="277"/>
      <c r="K3" s="277"/>
      <c r="L3" s="151" t="s">
        <v>169</v>
      </c>
      <c r="M3" s="152"/>
      <c r="N3" s="153"/>
      <c r="O3" s="278" t="s">
        <v>170</v>
      </c>
    </row>
    <row r="4" spans="1:15" ht="27.75" customHeight="1">
      <c r="B4" s="154" t="s">
        <v>99</v>
      </c>
      <c r="C4" s="281" t="s">
        <v>171</v>
      </c>
      <c r="D4" s="282"/>
      <c r="E4" s="283"/>
      <c r="G4" s="275"/>
      <c r="H4" s="284" t="s">
        <v>172</v>
      </c>
      <c r="I4" s="285"/>
      <c r="J4" s="285"/>
      <c r="K4" s="285"/>
      <c r="L4" s="285"/>
      <c r="M4" s="285"/>
      <c r="N4" s="286"/>
      <c r="O4" s="279"/>
    </row>
    <row r="5" spans="1:15" ht="27.75" customHeight="1" thickBot="1">
      <c r="G5" s="276"/>
      <c r="H5" s="155"/>
      <c r="I5" s="290" t="s">
        <v>173</v>
      </c>
      <c r="J5" s="291"/>
      <c r="K5" s="291"/>
      <c r="L5" s="291"/>
      <c r="M5" s="291"/>
      <c r="N5" s="292"/>
      <c r="O5" s="280"/>
    </row>
    <row r="7" spans="1:15" s="135" customFormat="1" ht="37.5" customHeight="1" thickBot="1">
      <c r="A7" s="132" t="s">
        <v>100</v>
      </c>
      <c r="B7" s="132" t="s">
        <v>101</v>
      </c>
      <c r="C7" s="133" t="s">
        <v>102</v>
      </c>
      <c r="D7" s="133" t="s">
        <v>103</v>
      </c>
      <c r="E7" s="133" t="s">
        <v>104</v>
      </c>
      <c r="F7" s="133" t="s">
        <v>105</v>
      </c>
      <c r="G7" s="133" t="s">
        <v>106</v>
      </c>
      <c r="H7" s="134" t="s">
        <v>174</v>
      </c>
      <c r="I7" s="261" t="s">
        <v>107</v>
      </c>
      <c r="J7" s="262"/>
      <c r="K7" s="134" t="s">
        <v>175</v>
      </c>
      <c r="L7" s="263" t="s">
        <v>108</v>
      </c>
      <c r="M7" s="264"/>
      <c r="N7" s="133" t="s">
        <v>109</v>
      </c>
      <c r="O7" s="133" t="s">
        <v>176</v>
      </c>
    </row>
    <row r="8" spans="1:15" s="135" customFormat="1" ht="38.25" customHeight="1" thickTop="1">
      <c r="A8" s="136">
        <v>1</v>
      </c>
      <c r="B8" s="156" t="s">
        <v>177</v>
      </c>
      <c r="C8" s="157" t="s">
        <v>178</v>
      </c>
      <c r="D8" s="157" t="s">
        <v>179</v>
      </c>
      <c r="E8" s="158" t="s">
        <v>180</v>
      </c>
      <c r="F8" s="138" t="s">
        <v>173</v>
      </c>
      <c r="G8" s="138" t="s">
        <v>173</v>
      </c>
      <c r="H8" s="139" t="s">
        <v>173</v>
      </c>
      <c r="I8" s="140">
        <v>1</v>
      </c>
      <c r="J8" s="159" t="s">
        <v>181</v>
      </c>
      <c r="K8" s="141" t="s">
        <v>182</v>
      </c>
      <c r="L8" s="265" t="s">
        <v>173</v>
      </c>
      <c r="M8" s="266"/>
      <c r="N8" s="160"/>
      <c r="O8" s="137"/>
    </row>
    <row r="9" spans="1:15" s="135" customFormat="1" ht="38.25" customHeight="1">
      <c r="A9" s="136">
        <v>2</v>
      </c>
      <c r="B9" s="156" t="s">
        <v>183</v>
      </c>
      <c r="C9" s="157" t="s">
        <v>184</v>
      </c>
      <c r="D9" s="157" t="s">
        <v>179</v>
      </c>
      <c r="E9" s="161" t="s">
        <v>185</v>
      </c>
      <c r="F9" s="138" t="s">
        <v>173</v>
      </c>
      <c r="G9" s="138" t="s">
        <v>173</v>
      </c>
      <c r="H9" s="139" t="s">
        <v>173</v>
      </c>
      <c r="I9" s="140">
        <v>1</v>
      </c>
      <c r="J9" s="159" t="s">
        <v>186</v>
      </c>
      <c r="K9" s="141" t="s">
        <v>182</v>
      </c>
      <c r="L9" s="265" t="s">
        <v>173</v>
      </c>
      <c r="M9" s="266"/>
      <c r="N9" s="160">
        <v>45513</v>
      </c>
      <c r="O9" s="137"/>
    </row>
    <row r="10" spans="1:15" s="135" customFormat="1" ht="38.25" customHeight="1">
      <c r="A10" s="136">
        <v>4</v>
      </c>
      <c r="B10" s="156"/>
      <c r="C10" s="157" t="s">
        <v>187</v>
      </c>
      <c r="D10" s="157" t="s">
        <v>179</v>
      </c>
      <c r="E10" s="161" t="s">
        <v>188</v>
      </c>
      <c r="F10" s="138" t="s">
        <v>173</v>
      </c>
      <c r="G10" s="138" t="s">
        <v>173</v>
      </c>
      <c r="H10" s="139" t="s">
        <v>173</v>
      </c>
      <c r="I10" s="140">
        <v>1</v>
      </c>
      <c r="J10" s="159" t="s">
        <v>189</v>
      </c>
      <c r="K10" s="141" t="s">
        <v>190</v>
      </c>
      <c r="L10" s="265" t="s">
        <v>173</v>
      </c>
      <c r="M10" s="266"/>
      <c r="N10" s="160"/>
      <c r="O10" s="137"/>
    </row>
    <row r="11" spans="1:15" s="135" customFormat="1" ht="38.25" customHeight="1">
      <c r="A11" s="136"/>
      <c r="B11" s="162"/>
      <c r="C11" s="157" t="s">
        <v>179</v>
      </c>
      <c r="D11" s="157" t="s">
        <v>179</v>
      </c>
      <c r="E11" s="161" t="s">
        <v>191</v>
      </c>
      <c r="F11" s="138" t="s">
        <v>173</v>
      </c>
      <c r="G11" s="138" t="s">
        <v>173</v>
      </c>
      <c r="H11" s="139" t="s">
        <v>173</v>
      </c>
      <c r="I11" s="140">
        <v>0</v>
      </c>
      <c r="J11" s="159" t="s">
        <v>173</v>
      </c>
      <c r="K11" s="141" t="s">
        <v>190</v>
      </c>
      <c r="L11" s="267" t="s">
        <v>173</v>
      </c>
      <c r="M11" s="268"/>
      <c r="N11" s="160"/>
      <c r="O11" s="137"/>
    </row>
    <row r="12" spans="1:15" ht="38.25" customHeight="1">
      <c r="L12" s="259" t="s">
        <v>173</v>
      </c>
      <c r="M12" s="260"/>
      <c r="N12" s="163"/>
    </row>
    <row r="13" spans="1:15" ht="38.25" customHeight="1">
      <c r="E13" s="164"/>
      <c r="L13" s="259" t="s">
        <v>173</v>
      </c>
      <c r="M13" s="260"/>
      <c r="N13" s="163"/>
    </row>
    <row r="14" spans="1:15" ht="38.25" customHeight="1">
      <c r="L14" s="259" t="s">
        <v>173</v>
      </c>
      <c r="M14" s="260"/>
      <c r="N14" s="163"/>
    </row>
    <row r="15" spans="1:15" ht="38.25" customHeight="1">
      <c r="L15" s="259" t="s">
        <v>173</v>
      </c>
      <c r="M15" s="260"/>
      <c r="N15" s="163"/>
    </row>
    <row r="16" spans="1:15" ht="38.25" customHeight="1">
      <c r="L16" s="259" t="s">
        <v>173</v>
      </c>
      <c r="M16" s="260"/>
      <c r="N16" s="163"/>
    </row>
    <row r="17" spans="12:14" ht="38.25" customHeight="1">
      <c r="L17" s="259" t="s">
        <v>173</v>
      </c>
      <c r="M17" s="260"/>
      <c r="N17" s="163"/>
    </row>
    <row r="18" spans="12:14" ht="38.25" customHeight="1"/>
    <row r="19" spans="12:14" ht="38.25" customHeight="1"/>
    <row r="20" spans="12:14" ht="38.25" customHeight="1"/>
    <row r="21" spans="12:14" ht="38.25" customHeight="1"/>
    <row r="22" spans="12:14" ht="38.25" customHeight="1"/>
    <row r="23" spans="12:14" ht="38.25" customHeight="1"/>
  </sheetData>
  <mergeCells count="20">
    <mergeCell ref="H2:L2"/>
    <mergeCell ref="C3:D3"/>
    <mergeCell ref="G3:G5"/>
    <mergeCell ref="I3:K3"/>
    <mergeCell ref="O3:O5"/>
    <mergeCell ref="C4:E4"/>
    <mergeCell ref="H4:N4"/>
    <mergeCell ref="I5:N5"/>
    <mergeCell ref="L17:M17"/>
    <mergeCell ref="I7:J7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</mergeCells>
  <phoneticPr fontId="2"/>
  <conditionalFormatting sqref="A8:H11 K8:L11 N8:O11 L12:L17 E13">
    <cfRule type="expression" dxfId="2" priority="1" stopIfTrue="1">
      <formula>#REF!="3150"</formula>
    </cfRule>
    <cfRule type="expression" dxfId="1" priority="2" stopIfTrue="1">
      <formula>$L8="03"</formula>
    </cfRule>
    <cfRule type="expression" dxfId="0" priority="3" stopIfTrue="1">
      <formula>#REF!&lt;&gt;""</formula>
    </cfRule>
  </conditionalFormatting>
  <pageMargins left="0.25" right="0.25" top="0.25" bottom="0.5" header="0" footer="0"/>
  <pageSetup paperSize="9" scale="49" pageOrder="overThenDown" orientation="landscape" r:id="rId1"/>
  <headerFooter alignWithMargins="0">
    <oddHeader>&amp;R&amp;P 頁</oddHeader>
    <oddFooter>&amp;C&amp;10株式会社 &amp;11三 和 商 研&amp;R©2024 SMS DataTech Corporation. All rights reserved.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/>
  <sheetData>
    <row r="1" spans="1:1">
      <c r="A1" s="70" t="s">
        <v>47</v>
      </c>
    </row>
    <row r="2" spans="1:1">
      <c r="A2" s="71" t="s">
        <v>37</v>
      </c>
    </row>
    <row r="3" spans="1:1">
      <c r="A3" s="70" t="s">
        <v>38</v>
      </c>
    </row>
    <row r="4" spans="1:1">
      <c r="A4" s="70" t="s">
        <v>41</v>
      </c>
    </row>
    <row r="5" spans="1:1">
      <c r="A5" s="70" t="s">
        <v>39</v>
      </c>
    </row>
    <row r="6" spans="1:1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16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別紙_出荷リスト案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別紙_出荷リスト案!Print_Area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別紙_出荷リスト案!Print_Titles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2024-10-16T04:53:14Z</cp:lastPrinted>
  <dcterms:created xsi:type="dcterms:W3CDTF">2021-04-12T04:47:05Z</dcterms:created>
  <dcterms:modified xsi:type="dcterms:W3CDTF">2025-05-24T05:31:03Z</dcterms:modified>
</cp:coreProperties>
</file>