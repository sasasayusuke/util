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232" windowHeight="8808" firstSheet="1" activeTab="1"/>
  </bookViews>
  <sheets>
    <sheet name="変更履歴" sheetId="1" r:id="rId1"/>
    <sheet name="概要" sheetId="14" r:id="rId2"/>
    <sheet name="帳票レイアウト_借方勘定科目" sheetId="2" r:id="rId3"/>
    <sheet name="帳票レイアウト_貸方勘定科目" sheetId="23" r:id="rId4"/>
    <sheet name="帳票レイアウト_振替伝票" sheetId="24" r:id="rId5"/>
    <sheet name="項目一覧" sheetId="27" r:id="rId6"/>
    <sheet name="処理詳細" sheetId="18" r:id="rId7"/>
    <sheet name="処理詳細_書き方" sheetId="19" state="hidden" r:id="rId8"/>
    <sheet name="確認事項" sheetId="15" r:id="rId9"/>
    <sheet name="別紙_テンプレート_借方勘定科目" sheetId="20" r:id="rId10"/>
    <sheet name="別紙_テンプレート_貸方勘定科目" sheetId="21" r:id="rId11"/>
    <sheet name="別紙_テンプレート_振替伝票" sheetId="22" r:id="rId12"/>
    <sheet name="参照" sheetId="12" state="hidden" r:id="rId13"/>
  </sheets>
  <externalReferences>
    <externalReference r:id="rId14"/>
    <externalReference r:id="rId15"/>
  </externalReferences>
  <definedNames>
    <definedName name="_xlnm._FilterDatabase" localSheetId="11" hidden="1">別紙_テンプレート_振替伝票!$A$3:$T$13</definedName>
    <definedName name="_xlnm.Print_Area" localSheetId="1">概要!$A$1:$BN$31</definedName>
    <definedName name="_xlnm.Print_Area" localSheetId="5">項目一覧!$A$1:$CB$75</definedName>
    <definedName name="_xlnm.Print_Area" localSheetId="6">処理詳細!$A$1:$BR$30</definedName>
    <definedName name="_xlnm.Print_Area" localSheetId="7">処理詳細_書き方!$A$1:$BR$33</definedName>
    <definedName name="_xlnm.Print_Area" localSheetId="2">帳票レイアウト_借方勘定科目!$A$1:$BN$48</definedName>
    <definedName name="_xlnm.Print_Area" localSheetId="4">帳票レイアウト_振替伝票!$A$1:$BN$48</definedName>
    <definedName name="_xlnm.Print_Area" localSheetId="3">帳票レイアウト_貸方勘定科目!$A$1:$BN$48</definedName>
    <definedName name="_xlnm.Print_Area" localSheetId="11">別紙_テンプレート_振替伝票!$A$3:$T$13</definedName>
    <definedName name="_xlnm.Print_Area" localSheetId="0">変更履歴!$A$1:$BN$49</definedName>
    <definedName name="_xlnm.Print_Titles" localSheetId="1">概要!$1:$5</definedName>
    <definedName name="_xlnm.Print_Titles" localSheetId="5">項目一覧!$1:$5</definedName>
    <definedName name="_xlnm.Print_Titles" localSheetId="6">処理詳細!$1:$5</definedName>
    <definedName name="_xlnm.Print_Titles" localSheetId="7">処理詳細_書き方!$1:$5</definedName>
    <definedName name="_xlnm.Print_Titles" localSheetId="2">帳票レイアウト_借方勘定科目!$1:$5</definedName>
    <definedName name="_xlnm.Print_Titles" localSheetId="4">帳票レイアウト_振替伝票!$1:$5</definedName>
    <definedName name="_xlnm.Print_Titles" localSheetId="3">帳票レイアウト_貸方勘定科目!$1:$5</definedName>
    <definedName name="_xlnm.Print_Titles" localSheetId="9">別紙_テンプレート_借方勘定科目!$1:$1</definedName>
    <definedName name="_xlnm.Print_Titles" localSheetId="10">別紙_テンプレート_貸方勘定科目!$1:$1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7" l="1"/>
  <c r="BF3" i="27"/>
  <c r="BB3" i="27"/>
  <c r="AX3" i="27"/>
  <c r="L3" i="27"/>
  <c r="B3" i="27"/>
  <c r="X3" i="27" l="1"/>
  <c r="H3" i="27" l="1"/>
  <c r="R3" i="27"/>
  <c r="AK3" i="27"/>
  <c r="S1" i="22" l="1"/>
  <c r="S2" i="22"/>
  <c r="BJ3" i="24" l="1"/>
  <c r="BF3" i="24"/>
  <c r="BB3" i="24"/>
  <c r="AX3" i="24"/>
  <c r="L3" i="24"/>
  <c r="B3" i="24"/>
  <c r="BJ3" i="23"/>
  <c r="BF3" i="23"/>
  <c r="BB3" i="23"/>
  <c r="AX3" i="23"/>
  <c r="L3" i="23"/>
  <c r="B3" i="23"/>
  <c r="V20" i="22"/>
  <c r="I20" i="22"/>
  <c r="V19" i="22"/>
  <c r="P19" i="22"/>
  <c r="O19" i="22"/>
  <c r="J19" i="22"/>
  <c r="I19" i="22"/>
  <c r="V18" i="22"/>
  <c r="P18" i="22"/>
  <c r="O18" i="22"/>
  <c r="J18" i="22"/>
  <c r="I18" i="22"/>
  <c r="V17" i="22"/>
  <c r="V16" i="22"/>
  <c r="P16" i="22"/>
  <c r="O16" i="22"/>
  <c r="J16" i="22"/>
  <c r="I16" i="22"/>
  <c r="V15" i="22"/>
  <c r="P15" i="22"/>
  <c r="O15" i="22"/>
  <c r="J15" i="22"/>
  <c r="I15" i="22"/>
  <c r="V13" i="22"/>
  <c r="P13" i="22"/>
  <c r="O13" i="22"/>
  <c r="J13" i="22"/>
  <c r="I13" i="22"/>
  <c r="V12" i="22"/>
  <c r="P12" i="22"/>
  <c r="O12" i="22"/>
  <c r="J12" i="22"/>
  <c r="I12" i="22"/>
  <c r="V11" i="22"/>
  <c r="P11" i="22"/>
  <c r="O11" i="22"/>
  <c r="J11" i="22"/>
  <c r="I11" i="22"/>
  <c r="V10" i="22"/>
  <c r="P10" i="22"/>
  <c r="O10" i="22"/>
  <c r="J10" i="22"/>
  <c r="I10" i="22"/>
  <c r="V9" i="22"/>
  <c r="V8" i="22"/>
  <c r="P8" i="22"/>
  <c r="O8" i="22"/>
  <c r="J8" i="22"/>
  <c r="I8" i="22"/>
  <c r="V7" i="22"/>
  <c r="P7" i="22"/>
  <c r="O7" i="22"/>
  <c r="J7" i="22"/>
  <c r="I7" i="22"/>
  <c r="V6" i="22"/>
  <c r="P6" i="22"/>
  <c r="O6" i="22"/>
  <c r="J6" i="22"/>
  <c r="I6" i="22"/>
  <c r="V5" i="22"/>
  <c r="P5" i="22"/>
  <c r="O5" i="22"/>
  <c r="J5" i="22"/>
  <c r="I5" i="22"/>
  <c r="P4" i="22"/>
  <c r="O4" i="22"/>
  <c r="J4" i="22"/>
  <c r="I4" i="22"/>
  <c r="R2" i="22"/>
  <c r="Q2" i="22"/>
  <c r="F398" i="21"/>
  <c r="F397" i="21"/>
  <c r="F396" i="21"/>
  <c r="F395" i="21"/>
  <c r="F394" i="21"/>
  <c r="F393" i="21"/>
  <c r="F392" i="21"/>
  <c r="F391" i="21"/>
  <c r="F390" i="21"/>
  <c r="F389" i="21"/>
  <c r="F388" i="21"/>
  <c r="F387" i="21"/>
  <c r="F386" i="21"/>
  <c r="F385" i="21"/>
  <c r="F384" i="21"/>
  <c r="F383" i="21"/>
  <c r="F382" i="21"/>
  <c r="F381" i="21"/>
  <c r="F380" i="21"/>
  <c r="F379" i="21"/>
  <c r="F378" i="21"/>
  <c r="F377" i="21"/>
  <c r="F376" i="21"/>
  <c r="F375" i="21"/>
  <c r="F374" i="21"/>
  <c r="F373" i="21"/>
  <c r="F372" i="21"/>
  <c r="F371" i="21"/>
  <c r="F370" i="21"/>
  <c r="F369" i="21"/>
  <c r="F368" i="21"/>
  <c r="F367" i="21"/>
  <c r="F366" i="21"/>
  <c r="F365" i="21"/>
  <c r="F364" i="21"/>
  <c r="F363" i="21"/>
  <c r="F362" i="21"/>
  <c r="F361" i="21"/>
  <c r="F360" i="21"/>
  <c r="F359" i="21"/>
  <c r="F358" i="21"/>
  <c r="F357" i="21"/>
  <c r="F356" i="21"/>
  <c r="F355" i="21"/>
  <c r="F354" i="21"/>
  <c r="F353" i="21"/>
  <c r="F352" i="21"/>
  <c r="F351" i="21"/>
  <c r="F350" i="21"/>
  <c r="F349" i="21"/>
  <c r="F348" i="21"/>
  <c r="F347" i="21"/>
  <c r="F346" i="21"/>
  <c r="F345" i="21"/>
  <c r="F344" i="21"/>
  <c r="F343" i="21"/>
  <c r="F342" i="21"/>
  <c r="F341" i="21"/>
  <c r="F340" i="21"/>
  <c r="F339" i="21"/>
  <c r="F338" i="21"/>
  <c r="F337" i="21"/>
  <c r="F336" i="21"/>
  <c r="F335" i="21"/>
  <c r="F334" i="21"/>
  <c r="F333" i="21"/>
  <c r="F332" i="21"/>
  <c r="F331" i="21"/>
  <c r="F330" i="21"/>
  <c r="F329" i="21"/>
  <c r="F328" i="21"/>
  <c r="F327" i="21"/>
  <c r="F326" i="21"/>
  <c r="F325" i="21"/>
  <c r="F324" i="21"/>
  <c r="F323" i="21"/>
  <c r="F322" i="21"/>
  <c r="F321" i="21"/>
  <c r="F320" i="21"/>
  <c r="F319" i="21"/>
  <c r="F318" i="21"/>
  <c r="F317" i="21"/>
  <c r="F316" i="21"/>
  <c r="F315" i="21"/>
  <c r="F314" i="21"/>
  <c r="F313" i="21"/>
  <c r="F312" i="21"/>
  <c r="F311" i="21"/>
  <c r="F310" i="21"/>
  <c r="F309" i="21"/>
  <c r="F308" i="21"/>
  <c r="F307" i="21"/>
  <c r="F306" i="21"/>
  <c r="F305" i="21"/>
  <c r="F304" i="21"/>
  <c r="F303" i="21"/>
  <c r="F302" i="21"/>
  <c r="F301" i="21"/>
  <c r="F300" i="21"/>
  <c r="F299" i="21"/>
  <c r="F298" i="21"/>
  <c r="F297" i="21"/>
  <c r="F296" i="21"/>
  <c r="F295" i="21"/>
  <c r="F294" i="21"/>
  <c r="F293" i="21"/>
  <c r="F292" i="21"/>
  <c r="F291" i="21"/>
  <c r="F290" i="21"/>
  <c r="F289" i="21"/>
  <c r="F288" i="21"/>
  <c r="F287" i="21"/>
  <c r="F286" i="21"/>
  <c r="F285" i="21"/>
  <c r="F284" i="21"/>
  <c r="F283" i="21"/>
  <c r="F282" i="21"/>
  <c r="F281" i="21"/>
  <c r="F280" i="21"/>
  <c r="F279" i="21"/>
  <c r="F278" i="21"/>
  <c r="F277" i="21"/>
  <c r="F276" i="21"/>
  <c r="F275" i="21"/>
  <c r="F274" i="21"/>
  <c r="F273" i="21"/>
  <c r="F272" i="21"/>
  <c r="F271" i="21"/>
  <c r="F270" i="21"/>
  <c r="F269" i="21"/>
  <c r="F268" i="21"/>
  <c r="F267" i="21"/>
  <c r="F266" i="21"/>
  <c r="F265" i="21"/>
  <c r="F264" i="21"/>
  <c r="F263" i="21"/>
  <c r="F262" i="21"/>
  <c r="F261" i="21"/>
  <c r="F260" i="21"/>
  <c r="F259" i="21"/>
  <c r="F258" i="21"/>
  <c r="F257" i="21"/>
  <c r="F256" i="21"/>
  <c r="F255" i="21"/>
  <c r="F254" i="21"/>
  <c r="F253" i="21"/>
  <c r="F252" i="21"/>
  <c r="F251" i="21"/>
  <c r="F250" i="21"/>
  <c r="F249" i="21"/>
  <c r="F248" i="21"/>
  <c r="F247" i="21"/>
  <c r="F246" i="21"/>
  <c r="F245" i="21"/>
  <c r="F244" i="21"/>
  <c r="F243" i="21"/>
  <c r="F242" i="21"/>
  <c r="F241" i="21"/>
  <c r="F240" i="21"/>
  <c r="F239" i="21"/>
  <c r="F238" i="21"/>
  <c r="F237" i="21"/>
  <c r="F236" i="21"/>
  <c r="F235" i="21"/>
  <c r="F234" i="21"/>
  <c r="F233" i="21"/>
  <c r="F232" i="21"/>
  <c r="F231" i="21"/>
  <c r="F230" i="21"/>
  <c r="F229" i="21"/>
  <c r="F228" i="21"/>
  <c r="F227" i="21"/>
  <c r="F226" i="21"/>
  <c r="F225" i="21"/>
  <c r="F224" i="21"/>
  <c r="F223" i="21"/>
  <c r="F222" i="21"/>
  <c r="F221" i="21"/>
  <c r="F220" i="21"/>
  <c r="F219" i="21"/>
  <c r="F218" i="21"/>
  <c r="F217" i="21"/>
  <c r="F216" i="21"/>
  <c r="F215" i="21"/>
  <c r="F214" i="21"/>
  <c r="F213" i="21"/>
  <c r="F212" i="21"/>
  <c r="F211" i="21"/>
  <c r="F210" i="21"/>
  <c r="F209" i="21"/>
  <c r="F208" i="21"/>
  <c r="F207" i="21"/>
  <c r="F206" i="21"/>
  <c r="F205" i="21"/>
  <c r="F204" i="21"/>
  <c r="F203" i="21"/>
  <c r="F202" i="21"/>
  <c r="F201" i="21"/>
  <c r="F200" i="21"/>
  <c r="F199" i="21"/>
  <c r="F198" i="21"/>
  <c r="F197" i="21"/>
  <c r="F196" i="21"/>
  <c r="F195" i="21"/>
  <c r="F194" i="21"/>
  <c r="F193" i="21"/>
  <c r="F192" i="21"/>
  <c r="F191" i="21"/>
  <c r="F190" i="21"/>
  <c r="F189" i="21"/>
  <c r="F188" i="21"/>
  <c r="F187" i="21"/>
  <c r="F186" i="21"/>
  <c r="F185" i="21"/>
  <c r="F184" i="21"/>
  <c r="F183" i="21"/>
  <c r="F182" i="21"/>
  <c r="F181" i="21"/>
  <c r="F180" i="21"/>
  <c r="F179" i="21"/>
  <c r="F178" i="21"/>
  <c r="F177" i="21"/>
  <c r="F176" i="21"/>
  <c r="F175" i="21"/>
  <c r="F174" i="21"/>
  <c r="F173" i="21"/>
  <c r="F172" i="21"/>
  <c r="F171" i="21"/>
  <c r="F170" i="21"/>
  <c r="F169" i="21"/>
  <c r="F168" i="21"/>
  <c r="F167" i="21"/>
  <c r="F166" i="21"/>
  <c r="F165" i="21"/>
  <c r="F164" i="21"/>
  <c r="F163" i="21"/>
  <c r="F162" i="21"/>
  <c r="F161" i="21"/>
  <c r="F160" i="21"/>
  <c r="F159" i="21"/>
  <c r="F158" i="21"/>
  <c r="F157" i="21"/>
  <c r="F156" i="21"/>
  <c r="F155" i="21"/>
  <c r="F154" i="21"/>
  <c r="F153" i="21"/>
  <c r="F152" i="21"/>
  <c r="F151" i="21"/>
  <c r="F150" i="21"/>
  <c r="F149" i="21"/>
  <c r="F148" i="21"/>
  <c r="F147" i="21"/>
  <c r="F146" i="21"/>
  <c r="F145" i="21"/>
  <c r="F144" i="21"/>
  <c r="F143" i="21"/>
  <c r="F142" i="21"/>
  <c r="F141" i="21"/>
  <c r="F140" i="21"/>
  <c r="F139" i="21"/>
  <c r="F138" i="21"/>
  <c r="F137" i="21"/>
  <c r="F136" i="21"/>
  <c r="F135" i="21"/>
  <c r="F134" i="21"/>
  <c r="F133" i="21"/>
  <c r="F132" i="21"/>
  <c r="F131" i="21"/>
  <c r="F130" i="21"/>
  <c r="F129" i="21"/>
  <c r="F128" i="21"/>
  <c r="F127" i="21"/>
  <c r="F126" i="21"/>
  <c r="F125" i="21"/>
  <c r="F124" i="21"/>
  <c r="F123" i="21"/>
  <c r="F122" i="21"/>
  <c r="F121" i="21"/>
  <c r="F120" i="21"/>
  <c r="F119" i="21"/>
  <c r="F118" i="21"/>
  <c r="F117" i="21"/>
  <c r="F116" i="21"/>
  <c r="F115" i="21"/>
  <c r="F114" i="21"/>
  <c r="F113" i="21"/>
  <c r="F112" i="21"/>
  <c r="F111" i="21"/>
  <c r="F110" i="21"/>
  <c r="F109" i="21"/>
  <c r="F108" i="21"/>
  <c r="F107" i="21"/>
  <c r="F106" i="21"/>
  <c r="F105" i="21"/>
  <c r="F104" i="21"/>
  <c r="F103" i="21"/>
  <c r="F102" i="21"/>
  <c r="F101" i="21"/>
  <c r="F100" i="21"/>
  <c r="F99" i="21"/>
  <c r="F98" i="21"/>
  <c r="F97" i="21"/>
  <c r="F96" i="21"/>
  <c r="F95" i="21"/>
  <c r="F94" i="21"/>
  <c r="F93" i="21"/>
  <c r="F92" i="21"/>
  <c r="F91" i="21"/>
  <c r="F90" i="21"/>
  <c r="F89" i="21"/>
  <c r="F88" i="21"/>
  <c r="F87" i="21"/>
  <c r="F86" i="21"/>
  <c r="F85" i="21"/>
  <c r="F84" i="21"/>
  <c r="F83" i="21"/>
  <c r="F82" i="21"/>
  <c r="F81" i="21"/>
  <c r="F80" i="21"/>
  <c r="F79" i="21"/>
  <c r="F78" i="21"/>
  <c r="F77" i="21"/>
  <c r="F76" i="21"/>
  <c r="F75" i="21"/>
  <c r="F74" i="21"/>
  <c r="F73" i="21"/>
  <c r="F72" i="21"/>
  <c r="F71" i="21"/>
  <c r="F70" i="21"/>
  <c r="F69" i="21"/>
  <c r="F68" i="21"/>
  <c r="F67" i="21"/>
  <c r="F66" i="21"/>
  <c r="F65" i="21"/>
  <c r="F64" i="21"/>
  <c r="F63" i="21"/>
  <c r="F62" i="21"/>
  <c r="F61" i="21"/>
  <c r="F60" i="21"/>
  <c r="F59" i="21"/>
  <c r="F58" i="21"/>
  <c r="F57" i="21"/>
  <c r="F56" i="21"/>
  <c r="F55" i="21"/>
  <c r="F54" i="21"/>
  <c r="F53" i="21"/>
  <c r="F52" i="21"/>
  <c r="F51" i="21"/>
  <c r="F50" i="21"/>
  <c r="F49" i="21"/>
  <c r="F48" i="21"/>
  <c r="F47" i="21"/>
  <c r="F46" i="21"/>
  <c r="F45" i="21"/>
  <c r="F44" i="21"/>
  <c r="F43" i="21"/>
  <c r="F42" i="21"/>
  <c r="F41" i="21"/>
  <c r="F40" i="21"/>
  <c r="F39" i="21"/>
  <c r="F38" i="21"/>
  <c r="F37" i="21"/>
  <c r="F36" i="21"/>
  <c r="F35" i="21"/>
  <c r="F34" i="21"/>
  <c r="F33" i="21"/>
  <c r="F32" i="21"/>
  <c r="F31" i="21"/>
  <c r="F30" i="21"/>
  <c r="F29" i="21"/>
  <c r="F28" i="21"/>
  <c r="F27" i="21"/>
  <c r="F26" i="21"/>
  <c r="F25" i="21"/>
  <c r="F24" i="21"/>
  <c r="F23" i="21"/>
  <c r="F22" i="21"/>
  <c r="F21" i="21"/>
  <c r="F20" i="21"/>
  <c r="F19" i="21"/>
  <c r="F18" i="21"/>
  <c r="F17" i="21"/>
  <c r="F16" i="21"/>
  <c r="F15" i="21"/>
  <c r="F14" i="21"/>
  <c r="F13" i="21"/>
  <c r="F12" i="21"/>
  <c r="F11" i="21"/>
  <c r="F10" i="21"/>
  <c r="F9" i="21"/>
  <c r="F8" i="21"/>
  <c r="F7" i="21"/>
  <c r="F6" i="21"/>
  <c r="F5" i="21"/>
  <c r="F4" i="21"/>
  <c r="F3" i="21"/>
  <c r="F2" i="21"/>
  <c r="F564" i="20"/>
  <c r="F563" i="20"/>
  <c r="F562" i="20"/>
  <c r="F561" i="20"/>
  <c r="F560" i="20"/>
  <c r="F559" i="20"/>
  <c r="F558" i="20"/>
  <c r="F557" i="20"/>
  <c r="F556" i="20"/>
  <c r="F555" i="20"/>
  <c r="F554" i="20"/>
  <c r="F553" i="20"/>
  <c r="F552" i="20"/>
  <c r="F551" i="20"/>
  <c r="F550" i="20"/>
  <c r="F549" i="20"/>
  <c r="F548" i="20"/>
  <c r="F547" i="20"/>
  <c r="F546" i="20"/>
  <c r="F545" i="20"/>
  <c r="F544" i="20"/>
  <c r="F543" i="20"/>
  <c r="F542" i="20"/>
  <c r="F541" i="20"/>
  <c r="F540" i="20"/>
  <c r="F539" i="20"/>
  <c r="F538" i="20"/>
  <c r="F537" i="20"/>
  <c r="F536" i="20"/>
  <c r="F535" i="20"/>
  <c r="F534" i="20"/>
  <c r="F533" i="20"/>
  <c r="F532" i="20"/>
  <c r="F531" i="20"/>
  <c r="F530" i="20"/>
  <c r="F529" i="20"/>
  <c r="F528" i="20"/>
  <c r="F527" i="20"/>
  <c r="F526" i="20"/>
  <c r="F525" i="20"/>
  <c r="F524" i="20"/>
  <c r="F523" i="20"/>
  <c r="F522" i="20"/>
  <c r="F521" i="20"/>
  <c r="F520" i="20"/>
  <c r="F519" i="20"/>
  <c r="F518" i="20"/>
  <c r="F517" i="20"/>
  <c r="F516" i="20"/>
  <c r="F515" i="20"/>
  <c r="F514" i="20"/>
  <c r="F513" i="20"/>
  <c r="F512" i="20"/>
  <c r="F511" i="20"/>
  <c r="F510" i="20"/>
  <c r="F509" i="20"/>
  <c r="F508" i="20"/>
  <c r="F507" i="20"/>
  <c r="F506" i="20"/>
  <c r="F505" i="20"/>
  <c r="F504" i="20"/>
  <c r="F503" i="20"/>
  <c r="F502" i="20"/>
  <c r="F501" i="20"/>
  <c r="F500" i="20"/>
  <c r="F499" i="20"/>
  <c r="F498" i="20"/>
  <c r="F497" i="20"/>
  <c r="F496" i="20"/>
  <c r="F495" i="20"/>
  <c r="F494" i="20"/>
  <c r="F493" i="20"/>
  <c r="F492" i="20"/>
  <c r="F491" i="20"/>
  <c r="F490" i="20"/>
  <c r="F489" i="20"/>
  <c r="F488" i="20"/>
  <c r="F487" i="20"/>
  <c r="F486" i="20"/>
  <c r="F485" i="20"/>
  <c r="F484" i="20"/>
  <c r="F483" i="20"/>
  <c r="F482" i="20"/>
  <c r="F481" i="20"/>
  <c r="F480" i="20"/>
  <c r="F479" i="20"/>
  <c r="F478" i="20"/>
  <c r="F477" i="20"/>
  <c r="F476" i="20"/>
  <c r="F475" i="20"/>
  <c r="F474" i="20"/>
  <c r="F473" i="20"/>
  <c r="F472" i="20"/>
  <c r="F471" i="20"/>
  <c r="F470" i="20"/>
  <c r="F469" i="20"/>
  <c r="F468" i="20"/>
  <c r="F467" i="20"/>
  <c r="F466" i="20"/>
  <c r="F465" i="20"/>
  <c r="F464" i="20"/>
  <c r="F463" i="20"/>
  <c r="F462" i="20"/>
  <c r="F461" i="20"/>
  <c r="F460" i="20"/>
  <c r="F459" i="20"/>
  <c r="F458" i="20"/>
  <c r="F457" i="20"/>
  <c r="F456" i="20"/>
  <c r="F455" i="20"/>
  <c r="F454" i="20"/>
  <c r="F453" i="20"/>
  <c r="F452" i="20"/>
  <c r="F451" i="20"/>
  <c r="F450" i="20"/>
  <c r="F449" i="20"/>
  <c r="F448" i="20"/>
  <c r="F447" i="20"/>
  <c r="F446" i="20"/>
  <c r="F445" i="20"/>
  <c r="F444" i="20"/>
  <c r="F443" i="20"/>
  <c r="F442" i="20"/>
  <c r="F441" i="20"/>
  <c r="F440" i="20"/>
  <c r="F439" i="20"/>
  <c r="F438" i="20"/>
  <c r="F437" i="20"/>
  <c r="F436" i="20"/>
  <c r="F435" i="20"/>
  <c r="F434" i="20"/>
  <c r="F433" i="20"/>
  <c r="F432" i="20"/>
  <c r="F431" i="20"/>
  <c r="F430" i="20"/>
  <c r="F429" i="20"/>
  <c r="F428" i="20"/>
  <c r="F427" i="20"/>
  <c r="F426" i="20"/>
  <c r="F425" i="20"/>
  <c r="F424" i="20"/>
  <c r="F423" i="20"/>
  <c r="F422" i="20"/>
  <c r="F421" i="20"/>
  <c r="F420" i="20"/>
  <c r="F419" i="20"/>
  <c r="F418" i="20"/>
  <c r="F417" i="20"/>
  <c r="F416" i="20"/>
  <c r="F415" i="20"/>
  <c r="F414" i="20"/>
  <c r="F413" i="20"/>
  <c r="F412" i="20"/>
  <c r="F411" i="20"/>
  <c r="F410" i="20"/>
  <c r="F409" i="20"/>
  <c r="F408" i="20"/>
  <c r="F407" i="20"/>
  <c r="F406" i="20"/>
  <c r="F405" i="20"/>
  <c r="F404" i="20"/>
  <c r="F403" i="20"/>
  <c r="F402" i="20"/>
  <c r="F401" i="20"/>
  <c r="F400" i="20"/>
  <c r="F399" i="20"/>
  <c r="F398" i="20"/>
  <c r="F397" i="20"/>
  <c r="F396" i="20"/>
  <c r="F395" i="20"/>
  <c r="F394" i="20"/>
  <c r="F393" i="20"/>
  <c r="F392" i="20"/>
  <c r="F391" i="20"/>
  <c r="F390" i="20"/>
  <c r="F389" i="20"/>
  <c r="F388" i="20"/>
  <c r="F387" i="20"/>
  <c r="F386" i="20"/>
  <c r="F385" i="20"/>
  <c r="F384" i="20"/>
  <c r="F383" i="20"/>
  <c r="F382" i="20"/>
  <c r="F381" i="20"/>
  <c r="F380" i="20"/>
  <c r="F379" i="20"/>
  <c r="F378" i="20"/>
  <c r="F377" i="20"/>
  <c r="F376" i="20"/>
  <c r="F375" i="20"/>
  <c r="F374" i="20"/>
  <c r="F373" i="20"/>
  <c r="F372" i="20"/>
  <c r="F371" i="20"/>
  <c r="F370" i="20"/>
  <c r="F369" i="20"/>
  <c r="F368" i="20"/>
  <c r="F367" i="20"/>
  <c r="F366" i="20"/>
  <c r="F365" i="20"/>
  <c r="F364" i="20"/>
  <c r="F363" i="20"/>
  <c r="F362" i="20"/>
  <c r="F361" i="20"/>
  <c r="F360" i="20"/>
  <c r="F359" i="20"/>
  <c r="F358" i="20"/>
  <c r="F357" i="20"/>
  <c r="F356" i="20"/>
  <c r="F355" i="20"/>
  <c r="F354" i="20"/>
  <c r="F353" i="20"/>
  <c r="F352" i="20"/>
  <c r="F351" i="20"/>
  <c r="F350" i="20"/>
  <c r="F349" i="20"/>
  <c r="F348" i="20"/>
  <c r="F347" i="20"/>
  <c r="F346" i="20"/>
  <c r="F345" i="20"/>
  <c r="F344" i="20"/>
  <c r="F343" i="20"/>
  <c r="F342" i="20"/>
  <c r="F341" i="20"/>
  <c r="F340" i="20"/>
  <c r="F339" i="20"/>
  <c r="F338" i="20"/>
  <c r="F337" i="20"/>
  <c r="F336" i="20"/>
  <c r="F335" i="20"/>
  <c r="F334" i="20"/>
  <c r="F333" i="20"/>
  <c r="F332" i="20"/>
  <c r="F331" i="20"/>
  <c r="F330" i="20"/>
  <c r="F329" i="20"/>
  <c r="F328" i="20"/>
  <c r="F327" i="20"/>
  <c r="F326" i="20"/>
  <c r="F325" i="20"/>
  <c r="F324" i="20"/>
  <c r="F323" i="20"/>
  <c r="F322" i="20"/>
  <c r="F321" i="20"/>
  <c r="F320" i="20"/>
  <c r="F319" i="20"/>
  <c r="F318" i="20"/>
  <c r="F317" i="20"/>
  <c r="F316" i="20"/>
  <c r="F315" i="20"/>
  <c r="F314" i="20"/>
  <c r="F313" i="20"/>
  <c r="F312" i="20"/>
  <c r="F311" i="20"/>
  <c r="F310" i="20"/>
  <c r="F309" i="20"/>
  <c r="F308" i="20"/>
  <c r="F307" i="20"/>
  <c r="F306" i="20"/>
  <c r="F305" i="20"/>
  <c r="F304" i="20"/>
  <c r="F303" i="20"/>
  <c r="F302" i="20"/>
  <c r="F301" i="20"/>
  <c r="F300" i="20"/>
  <c r="F299" i="20"/>
  <c r="F298" i="20"/>
  <c r="F297" i="20"/>
  <c r="F296" i="20"/>
  <c r="F295" i="20"/>
  <c r="F294" i="20"/>
  <c r="F293" i="20"/>
  <c r="F292" i="20"/>
  <c r="F291" i="20"/>
  <c r="F290" i="20"/>
  <c r="F289" i="20"/>
  <c r="F288" i="20"/>
  <c r="F287" i="20"/>
  <c r="F286" i="20"/>
  <c r="F285" i="20"/>
  <c r="F284" i="20"/>
  <c r="F283" i="20"/>
  <c r="F282" i="20"/>
  <c r="F281" i="20"/>
  <c r="F280" i="20"/>
  <c r="F279" i="20"/>
  <c r="F278" i="20"/>
  <c r="F277" i="20"/>
  <c r="F276" i="20"/>
  <c r="F275" i="20"/>
  <c r="F274" i="20"/>
  <c r="F273" i="20"/>
  <c r="F272" i="20"/>
  <c r="F271" i="20"/>
  <c r="F270" i="20"/>
  <c r="F269" i="20"/>
  <c r="F268" i="20"/>
  <c r="F267" i="20"/>
  <c r="F266" i="20"/>
  <c r="F265" i="20"/>
  <c r="F264" i="20"/>
  <c r="F263" i="20"/>
  <c r="F262" i="20"/>
  <c r="F261" i="20"/>
  <c r="F260" i="20"/>
  <c r="F259" i="20"/>
  <c r="F258" i="20"/>
  <c r="F257" i="20"/>
  <c r="F256" i="20"/>
  <c r="F255" i="20"/>
  <c r="F254" i="20"/>
  <c r="F253" i="20"/>
  <c r="F252" i="20"/>
  <c r="F251" i="20"/>
  <c r="F250" i="20"/>
  <c r="F249" i="20"/>
  <c r="F248" i="20"/>
  <c r="F247" i="20"/>
  <c r="F246" i="20"/>
  <c r="F245" i="20"/>
  <c r="F244" i="20"/>
  <c r="F243" i="20"/>
  <c r="F242" i="20"/>
  <c r="F241" i="20"/>
  <c r="F240" i="20"/>
  <c r="F239" i="20"/>
  <c r="F238" i="20"/>
  <c r="F237" i="20"/>
  <c r="F236" i="20"/>
  <c r="F235" i="20"/>
  <c r="F234" i="20"/>
  <c r="F233" i="20"/>
  <c r="F232" i="20"/>
  <c r="F231" i="20"/>
  <c r="F230" i="20"/>
  <c r="F229" i="20"/>
  <c r="F228" i="20"/>
  <c r="F227" i="20"/>
  <c r="F226" i="20"/>
  <c r="F225" i="20"/>
  <c r="F224" i="20"/>
  <c r="F223" i="20"/>
  <c r="F222" i="20"/>
  <c r="F221" i="20"/>
  <c r="F220" i="20"/>
  <c r="F219" i="20"/>
  <c r="F218" i="20"/>
  <c r="F217" i="20"/>
  <c r="F216" i="20"/>
  <c r="F215" i="20"/>
  <c r="F214" i="20"/>
  <c r="F213" i="20"/>
  <c r="F212" i="20"/>
  <c r="F211" i="20"/>
  <c r="F210" i="20"/>
  <c r="F209" i="20"/>
  <c r="F208" i="20"/>
  <c r="F207" i="20"/>
  <c r="F206" i="20"/>
  <c r="F205" i="20"/>
  <c r="F204" i="20"/>
  <c r="F203" i="20"/>
  <c r="F202" i="20"/>
  <c r="F201" i="20"/>
  <c r="F200" i="20"/>
  <c r="F199" i="20"/>
  <c r="F198" i="20"/>
  <c r="F197" i="20"/>
  <c r="F196" i="20"/>
  <c r="F195" i="20"/>
  <c r="F194" i="20"/>
  <c r="F193" i="20"/>
  <c r="F192" i="20"/>
  <c r="F191" i="20"/>
  <c r="F190" i="20"/>
  <c r="F189" i="20"/>
  <c r="F188" i="20"/>
  <c r="F187" i="20"/>
  <c r="F186" i="20"/>
  <c r="F185" i="20"/>
  <c r="F184" i="20"/>
  <c r="F183" i="20"/>
  <c r="F182" i="20"/>
  <c r="F181" i="20"/>
  <c r="F180" i="20"/>
  <c r="F179" i="20"/>
  <c r="F178" i="20"/>
  <c r="F177" i="20"/>
  <c r="F176" i="20"/>
  <c r="F175" i="20"/>
  <c r="F174" i="20"/>
  <c r="F173" i="20"/>
  <c r="F172" i="20"/>
  <c r="F171" i="20"/>
  <c r="F170" i="20"/>
  <c r="F169" i="20"/>
  <c r="F168" i="20"/>
  <c r="F167" i="20"/>
  <c r="F166" i="20"/>
  <c r="F165" i="20"/>
  <c r="F164" i="20"/>
  <c r="F163" i="20"/>
  <c r="F162" i="20"/>
  <c r="F161" i="20"/>
  <c r="F160" i="20"/>
  <c r="F159" i="20"/>
  <c r="F158" i="20"/>
  <c r="F157" i="20"/>
  <c r="F156" i="20"/>
  <c r="F155" i="20"/>
  <c r="F154" i="20"/>
  <c r="F153" i="20"/>
  <c r="F152" i="20"/>
  <c r="F151" i="20"/>
  <c r="F150" i="20"/>
  <c r="F149" i="20"/>
  <c r="F148" i="20"/>
  <c r="F147" i="20"/>
  <c r="F146" i="20"/>
  <c r="F145" i="20"/>
  <c r="F144" i="20"/>
  <c r="F143" i="20"/>
  <c r="F142" i="20"/>
  <c r="F141" i="20"/>
  <c r="F140" i="20"/>
  <c r="F139" i="20"/>
  <c r="F138" i="20"/>
  <c r="F137" i="20"/>
  <c r="F136" i="20"/>
  <c r="F135" i="20"/>
  <c r="F134" i="20"/>
  <c r="F133" i="20"/>
  <c r="F132" i="20"/>
  <c r="F131" i="20"/>
  <c r="F130" i="20"/>
  <c r="F129" i="20"/>
  <c r="F128" i="20"/>
  <c r="F127" i="20"/>
  <c r="F126" i="20"/>
  <c r="F125" i="20"/>
  <c r="F124" i="20"/>
  <c r="F123" i="20"/>
  <c r="F122" i="20"/>
  <c r="F121" i="20"/>
  <c r="F120" i="20"/>
  <c r="F119" i="20"/>
  <c r="F118" i="20"/>
  <c r="F117" i="20"/>
  <c r="F116" i="20"/>
  <c r="F115" i="20"/>
  <c r="F114" i="20"/>
  <c r="F113" i="20"/>
  <c r="F112" i="20"/>
  <c r="F111" i="20"/>
  <c r="F110" i="20"/>
  <c r="F109" i="20"/>
  <c r="F108" i="20"/>
  <c r="F107" i="20"/>
  <c r="F106" i="20"/>
  <c r="F105" i="20"/>
  <c r="F104" i="20"/>
  <c r="F103" i="20"/>
  <c r="F102" i="20"/>
  <c r="F101" i="20"/>
  <c r="F100" i="20"/>
  <c r="F99" i="20"/>
  <c r="F98" i="20"/>
  <c r="F97" i="20"/>
  <c r="F96" i="20"/>
  <c r="F95" i="20"/>
  <c r="F94" i="20"/>
  <c r="F93" i="20"/>
  <c r="F92" i="20"/>
  <c r="F91" i="20"/>
  <c r="F90" i="20"/>
  <c r="F89" i="20"/>
  <c r="F88" i="20"/>
  <c r="F87" i="20"/>
  <c r="F86" i="20"/>
  <c r="F85" i="20"/>
  <c r="F84" i="20"/>
  <c r="F83" i="20"/>
  <c r="F82" i="20"/>
  <c r="F81" i="20"/>
  <c r="F80" i="20"/>
  <c r="F79" i="20"/>
  <c r="F78" i="20"/>
  <c r="F77" i="20"/>
  <c r="F76" i="20"/>
  <c r="F75" i="20"/>
  <c r="F74" i="20"/>
  <c r="F73" i="20"/>
  <c r="F72" i="20"/>
  <c r="F71" i="20"/>
  <c r="F70" i="20"/>
  <c r="F69" i="20"/>
  <c r="F68" i="20"/>
  <c r="F67" i="20"/>
  <c r="F66" i="20"/>
  <c r="F65" i="20"/>
  <c r="F64" i="20"/>
  <c r="F63" i="20"/>
  <c r="F62" i="20"/>
  <c r="F61" i="20"/>
  <c r="F60" i="20"/>
  <c r="F59" i="20"/>
  <c r="F58" i="20"/>
  <c r="F57" i="20"/>
  <c r="F56" i="20"/>
  <c r="F55" i="20"/>
  <c r="F54" i="20"/>
  <c r="F53" i="20"/>
  <c r="F52" i="20"/>
  <c r="F51" i="20"/>
  <c r="F50" i="20"/>
  <c r="F49" i="20"/>
  <c r="F48" i="20"/>
  <c r="F47" i="20"/>
  <c r="F46" i="20"/>
  <c r="F45" i="20"/>
  <c r="F44" i="20"/>
  <c r="F43" i="20"/>
  <c r="F42" i="20"/>
  <c r="F41" i="20"/>
  <c r="F40" i="20"/>
  <c r="F39" i="20"/>
  <c r="F38" i="20"/>
  <c r="F37" i="20"/>
  <c r="F36" i="20"/>
  <c r="F35" i="20"/>
  <c r="F34" i="20"/>
  <c r="F33" i="20"/>
  <c r="F32" i="20"/>
  <c r="F31" i="20"/>
  <c r="F30" i="20"/>
  <c r="F29" i="20"/>
  <c r="F28" i="20"/>
  <c r="F27" i="20"/>
  <c r="F26" i="20"/>
  <c r="F25" i="20"/>
  <c r="F24" i="20"/>
  <c r="F23" i="20"/>
  <c r="F22" i="20"/>
  <c r="F21" i="20"/>
  <c r="F20" i="20"/>
  <c r="F19" i="20"/>
  <c r="F18" i="20"/>
  <c r="F17" i="20"/>
  <c r="F16" i="20"/>
  <c r="F15" i="20"/>
  <c r="F14" i="20"/>
  <c r="F13" i="20"/>
  <c r="F12" i="20"/>
  <c r="F11" i="20"/>
  <c r="F10" i="20"/>
  <c r="F9" i="20"/>
  <c r="F8" i="20"/>
  <c r="F7" i="20"/>
  <c r="F6" i="20"/>
  <c r="F5" i="20"/>
  <c r="F4" i="20"/>
  <c r="F3" i="20"/>
  <c r="F2" i="20"/>
  <c r="BJ3" i="19" l="1"/>
  <c r="BF3" i="19"/>
  <c r="BB3" i="19"/>
  <c r="AX3" i="19"/>
  <c r="L3" i="19"/>
  <c r="B3" i="19"/>
  <c r="BJ3" i="18"/>
  <c r="BF3" i="18"/>
  <c r="BB3" i="18"/>
  <c r="AX3" i="18"/>
  <c r="L3" i="18"/>
  <c r="B3" i="18"/>
  <c r="BJ3" i="14" l="1"/>
  <c r="BF3" i="14"/>
  <c r="BB3" i="14"/>
  <c r="AX3" i="14"/>
  <c r="L3" i="14"/>
  <c r="B3" i="14"/>
  <c r="X3" i="1" l="1"/>
  <c r="X3" i="23" l="1"/>
  <c r="X3" i="24"/>
  <c r="X3" i="18"/>
  <c r="X3" i="19"/>
  <c r="X3" i="14"/>
  <c r="H3" i="1"/>
  <c r="R3" i="1"/>
  <c r="AK3" i="1"/>
  <c r="AK3" i="23" l="1"/>
  <c r="AK3" i="24"/>
  <c r="R3" i="23"/>
  <c r="R3" i="24"/>
  <c r="H3" i="23"/>
  <c r="H3" i="24"/>
  <c r="AK3" i="18"/>
  <c r="AK3" i="19"/>
  <c r="R3" i="18"/>
  <c r="R3" i="19"/>
  <c r="H3" i="18"/>
  <c r="H3" i="19"/>
  <c r="AK3" i="14"/>
  <c r="H7" i="14" s="1"/>
  <c r="R3" i="14"/>
  <c r="H3" i="14"/>
  <c r="B3" i="2"/>
  <c r="H3" i="2"/>
  <c r="L3" i="2"/>
  <c r="R3" i="2"/>
  <c r="AK3" i="2"/>
  <c r="BJ3" i="2"/>
  <c r="BF3" i="2"/>
  <c r="BB3" i="2"/>
  <c r="AX3" i="2"/>
  <c r="X3" i="2" l="1"/>
</calcChain>
</file>

<file path=xl/sharedStrings.xml><?xml version="1.0" encoding="utf-8"?>
<sst xmlns="http://schemas.openxmlformats.org/spreadsheetml/2006/main" count="2240" uniqueCount="841">
  <si>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</si>
  <si>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</si>
  <si>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</si>
  <si>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</si>
  <si>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</si>
  <si>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</si>
  <si>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</si>
  <si>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</si>
  <si>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</si>
  <si>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</si>
  <si>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</si>
  <si>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</si>
  <si>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</si>
  <si>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</si>
  <si>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</si>
  <si>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</si>
  <si>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</si>
  <si>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</si>
  <si>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</si>
  <si>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</si>
  <si>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</si>
  <si>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</si>
  <si>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</si>
  <si>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</si>
  <si>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</si>
  <si>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</si>
  <si>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</si>
  <si>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</si>
  <si>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</si>
  <si>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</si>
  <si>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</si>
  <si>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</si>
  <si>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</si>
  <si>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</si>
  <si>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</si>
  <si>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</si>
  <si>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</si>
  <si>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</si>
  <si>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</si>
  <si>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</si>
  <si>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</si>
  <si>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</si>
  <si>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</si>
  <si>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</si>
  <si>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</si>
  <si>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</si>
  <si>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</si>
  <si>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</si>
  <si>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</si>
  <si>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</si>
  <si>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</si>
  <si>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</si>
  <si>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</si>
  <si>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</si>
  <si>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</si>
  <si>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</si>
  <si>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</si>
  <si>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</si>
  <si>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</si>
  <si>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</si>
  <si>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</si>
  <si>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</si>
  <si>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</si>
  <si>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</si>
  <si>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</si>
  <si>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</si>
  <si>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</si>
  <si>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</si>
  <si>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</si>
  <si>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</si>
  <si>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</si>
  <si>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</si>
  <si>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</si>
  <si>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</si>
  <si>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</si>
  <si>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</si>
  <si>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</si>
  <si>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</si>
  <si>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</si>
  <si>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</si>
  <si>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</si>
  <si>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</si>
  <si>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</si>
  <si>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</si>
  <si>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</si>
  <si>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</si>
  <si>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</si>
  <si>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</si>
  <si>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</si>
  <si>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</si>
  <si>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-</t>
    <phoneticPr fontId="2"/>
  </si>
  <si>
    <t>Excel</t>
    <phoneticPr fontId="2"/>
  </si>
  <si>
    <t>xlsx</t>
    <phoneticPr fontId="2"/>
  </si>
  <si>
    <t>-</t>
    <phoneticPr fontId="2"/>
  </si>
  <si>
    <t>-</t>
    <phoneticPr fontId="2"/>
  </si>
  <si>
    <t>-</t>
    <phoneticPr fontId="2"/>
  </si>
  <si>
    <t>借方勘定科目CD</t>
  </si>
  <si>
    <t>借方勘定科目名</t>
  </si>
  <si>
    <t>借方消費税CD</t>
  </si>
  <si>
    <t>借方消費税率</t>
  </si>
  <si>
    <t>借方補助科目CD</t>
  </si>
  <si>
    <t>検索値</t>
    <rPh sb="0" eb="2">
      <t>ケンサク</t>
    </rPh>
    <rPh sb="2" eb="3">
      <t>チ</t>
    </rPh>
    <phoneticPr fontId="12"/>
  </si>
  <si>
    <t>借方補助科目名</t>
  </si>
  <si>
    <t>現金</t>
  </si>
  <si>
    <t>現金</t>
    <rPh sb="0" eb="2">
      <t>ゲンキン</t>
    </rPh>
    <phoneticPr fontId="12"/>
  </si>
  <si>
    <t>RMB</t>
    <phoneticPr fontId="12"/>
  </si>
  <si>
    <t>当座預金</t>
    <rPh sb="0" eb="2">
      <t>トウザ</t>
    </rPh>
    <rPh sb="2" eb="4">
      <t>ヨキン</t>
    </rPh>
    <phoneticPr fontId="12"/>
  </si>
  <si>
    <t>埼玉りそな</t>
    <rPh sb="0" eb="2">
      <t>サイタマ</t>
    </rPh>
    <phoneticPr fontId="12"/>
  </si>
  <si>
    <t>埼信</t>
    <rPh sb="0" eb="2">
      <t>サイシン</t>
    </rPh>
    <phoneticPr fontId="12"/>
  </si>
  <si>
    <t>武蔵野</t>
    <rPh sb="0" eb="3">
      <t>ムサシノ</t>
    </rPh>
    <phoneticPr fontId="12"/>
  </si>
  <si>
    <t>普通預金</t>
    <rPh sb="0" eb="2">
      <t>フツウ</t>
    </rPh>
    <rPh sb="2" eb="4">
      <t>ヨキン</t>
    </rPh>
    <phoneticPr fontId="12"/>
  </si>
  <si>
    <t>三井住友</t>
    <rPh sb="0" eb="2">
      <t>ミツイ</t>
    </rPh>
    <rPh sb="2" eb="4">
      <t>スミトモ</t>
    </rPh>
    <phoneticPr fontId="12"/>
  </si>
  <si>
    <t>住友USD</t>
    <rPh sb="0" eb="2">
      <t>スミトモ</t>
    </rPh>
    <phoneticPr fontId="12"/>
  </si>
  <si>
    <t>住友CNY</t>
    <rPh sb="0" eb="2">
      <t>スミトモ</t>
    </rPh>
    <phoneticPr fontId="12"/>
  </si>
  <si>
    <t>群馬</t>
    <rPh sb="0" eb="2">
      <t>グンマ</t>
    </rPh>
    <phoneticPr fontId="12"/>
  </si>
  <si>
    <t>みずほ</t>
    <phoneticPr fontId="12"/>
  </si>
  <si>
    <t>りそなUSD</t>
    <phoneticPr fontId="12"/>
  </si>
  <si>
    <t>みずほUSD</t>
    <phoneticPr fontId="12"/>
  </si>
  <si>
    <t>定期預金</t>
    <rPh sb="0" eb="2">
      <t>テイキ</t>
    </rPh>
    <rPh sb="2" eb="4">
      <t>ヨキン</t>
    </rPh>
    <phoneticPr fontId="12"/>
  </si>
  <si>
    <t>定期積金</t>
  </si>
  <si>
    <t>受取手形</t>
  </si>
  <si>
    <t>売掛金</t>
  </si>
  <si>
    <t>アベイル</t>
  </si>
  <si>
    <t>ｱｲﾘｽｵｰﾔﾏ㈱角田ITP</t>
  </si>
  <si>
    <t>石川建設㈱(松﨑由)</t>
  </si>
  <si>
    <t>㈱イマイ建築設計事務</t>
  </si>
  <si>
    <t>エルテック㈱</t>
  </si>
  <si>
    <t>㈱江田組</t>
  </si>
  <si>
    <t>㈱岡村製作所　商環境</t>
  </si>
  <si>
    <t>おかべ物産観光㈱</t>
  </si>
  <si>
    <t>株式会社織田</t>
  </si>
  <si>
    <t>ｶﾈﾎﾞｳ化粧品群馬支社</t>
  </si>
  <si>
    <t>ｶﾈﾎﾞｳ化粧品関越支社</t>
  </si>
  <si>
    <t>ｶﾈﾎﾞｳ化粧品千葉支社</t>
  </si>
  <si>
    <t>ｶﾈﾎﾞｳ化粧品埼玉西</t>
  </si>
  <si>
    <t>ｶﾈﾎﾞｳ化粧品栃木支社</t>
  </si>
  <si>
    <t>関東建設工業㈱</t>
  </si>
  <si>
    <t>ｶﾈﾎﾞｳ化粧品八王子</t>
  </si>
  <si>
    <t>花王ｶｽﾀﾏｰﾏｰｹﾃｨﾝｸﾞ㈱</t>
  </si>
  <si>
    <t>ｶﾈﾎﾞｳ化粧品関西</t>
    <rPh sb="5" eb="8">
      <t>ケショウヒン</t>
    </rPh>
    <rPh sb="8" eb="10">
      <t>カンサイ</t>
    </rPh>
    <phoneticPr fontId="12"/>
  </si>
  <si>
    <t>ウエルシア関東㈱</t>
  </si>
  <si>
    <t>桑メリヤス㈱</t>
  </si>
  <si>
    <t>県北陸運㈲</t>
  </si>
  <si>
    <t>ｶﾈﾎﾞｳ化粧品茨城支社</t>
  </si>
  <si>
    <t>㈱コーセー</t>
  </si>
  <si>
    <t>㈱サンベルクス</t>
  </si>
  <si>
    <t>㈲ｻｲｸﾙｽﾃｰｼｮﾝ</t>
  </si>
  <si>
    <t>㈱サンワプランニング</t>
  </si>
  <si>
    <t>㈱しまむら</t>
  </si>
  <si>
    <t>シャンブル</t>
  </si>
  <si>
    <t>㈱ジョイテック</t>
  </si>
  <si>
    <t>資生堂販売㈱群馬ｵﾌｨｽ</t>
  </si>
  <si>
    <t>資生堂販売㈱船橋ｵﾌｨｽ</t>
  </si>
  <si>
    <t>資生堂販売大宮東ｵﾌｨｽ</t>
  </si>
  <si>
    <t>資生堂販売㈱宇都宮</t>
  </si>
  <si>
    <t>資生堂販売浜離宮ｵﾌｨｽ</t>
  </si>
  <si>
    <t>資生堂販売土浦ｵﾌｨｽ</t>
  </si>
  <si>
    <t>資生堂販売大阪ｵﾌｨｽ</t>
    <rPh sb="5" eb="7">
      <t>オオサカ</t>
    </rPh>
    <phoneticPr fontId="12"/>
  </si>
  <si>
    <t>㈱田原屋</t>
  </si>
  <si>
    <t>㈱大創産業</t>
  </si>
  <si>
    <t>中日販売㈱</t>
  </si>
  <si>
    <t>ウエルシア介護サービス㈱</t>
    <rPh sb="5" eb="7">
      <t>カイゴ</t>
    </rPh>
    <phoneticPr fontId="12"/>
  </si>
  <si>
    <t>㈱ＬＩＸＩＬビバ</t>
  </si>
  <si>
    <t>㈱ＬＩＸＩＬ</t>
    <phoneticPr fontId="12"/>
  </si>
  <si>
    <t>ダイフク</t>
  </si>
  <si>
    <t>㈱中島半平商店</t>
  </si>
  <si>
    <t>㈱日本アポック</t>
  </si>
  <si>
    <t>バースデイ</t>
  </si>
  <si>
    <t>㈲長谷川ﾃﾞｻﾞｲﾝｵﾌｨｽ</t>
  </si>
  <si>
    <t>㈱フレッセイ</t>
  </si>
  <si>
    <t>㈱藤沢商事</t>
  </si>
  <si>
    <t>福助工業㈱</t>
  </si>
  <si>
    <t>㈱ベルク</t>
  </si>
  <si>
    <t>㈱ホームデリカ</t>
    <phoneticPr fontId="12"/>
  </si>
  <si>
    <t>㈱マミーマート</t>
  </si>
  <si>
    <t>㈱ミスターマックス</t>
  </si>
  <si>
    <t>㈱ヤオコー</t>
  </si>
  <si>
    <t>㈱ワームス　本社</t>
  </si>
  <si>
    <t>有価証券</t>
  </si>
  <si>
    <t>ウエルシア</t>
    <phoneticPr fontId="12"/>
  </si>
  <si>
    <t>サンプラ</t>
    <phoneticPr fontId="12"/>
  </si>
  <si>
    <t>しまむら</t>
    <phoneticPr fontId="12"/>
  </si>
  <si>
    <t>LIXILグループ</t>
    <phoneticPr fontId="12"/>
  </si>
  <si>
    <t>ベルク</t>
    <phoneticPr fontId="12"/>
  </si>
  <si>
    <t>マミー</t>
    <phoneticPr fontId="12"/>
  </si>
  <si>
    <t>ヤオコー</t>
    <phoneticPr fontId="12"/>
  </si>
  <si>
    <t>アクシアル</t>
    <phoneticPr fontId="12"/>
  </si>
  <si>
    <t>セキチュー</t>
    <phoneticPr fontId="12"/>
  </si>
  <si>
    <t>その他</t>
    <rPh sb="2" eb="3">
      <t>タ</t>
    </rPh>
    <phoneticPr fontId="12"/>
  </si>
  <si>
    <t>商品</t>
  </si>
  <si>
    <t>前渡金</t>
    <rPh sb="0" eb="2">
      <t>マエワタシ</t>
    </rPh>
    <rPh sb="2" eb="3">
      <t>キン</t>
    </rPh>
    <phoneticPr fontId="12"/>
  </si>
  <si>
    <t>三研商貿有限公司</t>
    <phoneticPr fontId="12"/>
  </si>
  <si>
    <t>異業種交流会</t>
    <rPh sb="0" eb="3">
      <t>イギョウシュ</t>
    </rPh>
    <rPh sb="3" eb="6">
      <t>コウリュウカイ</t>
    </rPh>
    <phoneticPr fontId="12"/>
  </si>
  <si>
    <t>短期貸付金</t>
  </si>
  <si>
    <t>㈱三和商研</t>
    <phoneticPr fontId="12"/>
  </si>
  <si>
    <t>三研商貿有限公司</t>
  </si>
  <si>
    <t>立替金</t>
  </si>
  <si>
    <t>㈱三和商研</t>
  </si>
  <si>
    <t>中国</t>
  </si>
  <si>
    <t>一時的</t>
    <rPh sb="0" eb="3">
      <t>イチジテキ</t>
    </rPh>
    <phoneticPr fontId="12"/>
  </si>
  <si>
    <t>従業員立替</t>
    <rPh sb="0" eb="3">
      <t>ジュウギョウイン</t>
    </rPh>
    <rPh sb="3" eb="5">
      <t>タテカエ</t>
    </rPh>
    <phoneticPr fontId="12"/>
  </si>
  <si>
    <t>ｻﾝﾜﾌﾟﾗﾝﾆﾝｸﾞ</t>
    <phoneticPr fontId="12"/>
  </si>
  <si>
    <t>得意先</t>
    <rPh sb="0" eb="3">
      <t>トクイサキ</t>
    </rPh>
    <phoneticPr fontId="12"/>
  </si>
  <si>
    <t>永見</t>
    <rPh sb="0" eb="2">
      <t>ナガミ</t>
    </rPh>
    <phoneticPr fontId="12"/>
  </si>
  <si>
    <t>三和会</t>
    <rPh sb="0" eb="2">
      <t>サンワ</t>
    </rPh>
    <rPh sb="2" eb="3">
      <t>カイ</t>
    </rPh>
    <phoneticPr fontId="12"/>
  </si>
  <si>
    <t>未収入金</t>
  </si>
  <si>
    <t>前林商店</t>
    <rPh sb="0" eb="1">
      <t>マエ</t>
    </rPh>
    <rPh sb="1" eb="2">
      <t>バヤシ</t>
    </rPh>
    <rPh sb="2" eb="4">
      <t>ショウテン</t>
    </rPh>
    <phoneticPr fontId="12"/>
  </si>
  <si>
    <t>ｴｺﾓｰｼｮﾝ</t>
    <phoneticPr fontId="12"/>
  </si>
  <si>
    <t>ｴｺﾛｼﾞﾃﾑ</t>
    <phoneticPr fontId="12"/>
  </si>
  <si>
    <t>ｺｶｺｰﾗｲｰｽﾄｼﾞｬﾊﾟﾝ</t>
    <phoneticPr fontId="12"/>
  </si>
  <si>
    <t>仮払金</t>
  </si>
  <si>
    <t>社長小口</t>
    <rPh sb="0" eb="2">
      <t>シャチョウ</t>
    </rPh>
    <rPh sb="2" eb="4">
      <t>コグチ</t>
    </rPh>
    <phoneticPr fontId="12"/>
  </si>
  <si>
    <t>社長外貨</t>
    <rPh sb="0" eb="2">
      <t>シャチョウ</t>
    </rPh>
    <rPh sb="2" eb="4">
      <t>ガイカ</t>
    </rPh>
    <phoneticPr fontId="12"/>
  </si>
  <si>
    <t>その他</t>
    <phoneticPr fontId="12"/>
  </si>
  <si>
    <t>ウエルシア</t>
  </si>
  <si>
    <t>前払費用</t>
    <rPh sb="0" eb="2">
      <t>マエバラ</t>
    </rPh>
    <rPh sb="2" eb="4">
      <t>ヒヨウ</t>
    </rPh>
    <phoneticPr fontId="12"/>
  </si>
  <si>
    <t>保証料</t>
    <rPh sb="0" eb="2">
      <t>ホショウ</t>
    </rPh>
    <rPh sb="2" eb="3">
      <t>リョウ</t>
    </rPh>
    <phoneticPr fontId="12"/>
  </si>
  <si>
    <t>三井住友海上</t>
    <rPh sb="0" eb="2">
      <t>ミツイ</t>
    </rPh>
    <rPh sb="2" eb="4">
      <t>スミトモ</t>
    </rPh>
    <rPh sb="4" eb="6">
      <t>カイジョウ</t>
    </rPh>
    <phoneticPr fontId="12"/>
  </si>
  <si>
    <t>家賃地代</t>
    <rPh sb="0" eb="2">
      <t>ヤチン</t>
    </rPh>
    <rPh sb="2" eb="4">
      <t>チダイ</t>
    </rPh>
    <phoneticPr fontId="12"/>
  </si>
  <si>
    <t>社員旅行</t>
    <rPh sb="0" eb="2">
      <t>シャイン</t>
    </rPh>
    <rPh sb="2" eb="4">
      <t>リョコウ</t>
    </rPh>
    <phoneticPr fontId="12"/>
  </si>
  <si>
    <t>セコム</t>
    <phoneticPr fontId="12"/>
  </si>
  <si>
    <t>預け金</t>
    <rPh sb="0" eb="1">
      <t>アズ</t>
    </rPh>
    <rPh sb="2" eb="3">
      <t>キン</t>
    </rPh>
    <phoneticPr fontId="12"/>
  </si>
  <si>
    <t>仮払消費税</t>
    <rPh sb="0" eb="2">
      <t>カリバライ</t>
    </rPh>
    <rPh sb="2" eb="5">
      <t>ショウヒゼイ</t>
    </rPh>
    <phoneticPr fontId="12"/>
  </si>
  <si>
    <t>建物付属設備</t>
  </si>
  <si>
    <t>構築物</t>
  </si>
  <si>
    <t>車両運搬具</t>
    <rPh sb="0" eb="2">
      <t>シャリョウ</t>
    </rPh>
    <rPh sb="2" eb="4">
      <t>ウンパン</t>
    </rPh>
    <rPh sb="4" eb="5">
      <t>グ</t>
    </rPh>
    <phoneticPr fontId="12"/>
  </si>
  <si>
    <t>器具備品</t>
  </si>
  <si>
    <t>差入保証金</t>
    <rPh sb="0" eb="2">
      <t>サシイレ</t>
    </rPh>
    <rPh sb="2" eb="5">
      <t>ホショウキン</t>
    </rPh>
    <phoneticPr fontId="12"/>
  </si>
  <si>
    <t>㈱岡村製作所</t>
    <rPh sb="1" eb="3">
      <t>オカムラ</t>
    </rPh>
    <rPh sb="3" eb="6">
      <t>セイサクショ</t>
    </rPh>
    <phoneticPr fontId="12"/>
  </si>
  <si>
    <t>富士火災海上保険㈱</t>
    <rPh sb="0" eb="2">
      <t>フジ</t>
    </rPh>
    <rPh sb="2" eb="4">
      <t>カサイ</t>
    </rPh>
    <rPh sb="4" eb="6">
      <t>カイジョウ</t>
    </rPh>
    <rPh sb="6" eb="8">
      <t>ホケン</t>
    </rPh>
    <phoneticPr fontId="12"/>
  </si>
  <si>
    <t>電気通信共済会</t>
    <rPh sb="0" eb="2">
      <t>デンキ</t>
    </rPh>
    <rPh sb="2" eb="4">
      <t>ツウシン</t>
    </rPh>
    <rPh sb="4" eb="7">
      <t>キョウサイカイ</t>
    </rPh>
    <phoneticPr fontId="12"/>
  </si>
  <si>
    <t>ﾘｿﾞｰﾄﾄﾗｽﾄ㈱</t>
    <phoneticPr fontId="12"/>
  </si>
  <si>
    <t>ソフトウェア</t>
  </si>
  <si>
    <t>出資金</t>
    <rPh sb="0" eb="3">
      <t>シュッシキン</t>
    </rPh>
    <phoneticPr fontId="12"/>
  </si>
  <si>
    <t>埼玉縣信金</t>
    <rPh sb="0" eb="2">
      <t>サイタマ</t>
    </rPh>
    <rPh sb="2" eb="3">
      <t>ケン</t>
    </rPh>
    <rPh sb="3" eb="5">
      <t>シンキン</t>
    </rPh>
    <phoneticPr fontId="12"/>
  </si>
  <si>
    <t>熊谷異業種交流会</t>
    <rPh sb="0" eb="2">
      <t>クマガヤ</t>
    </rPh>
    <rPh sb="2" eb="5">
      <t>イギョウシュ</t>
    </rPh>
    <rPh sb="5" eb="8">
      <t>コウリュウカイ</t>
    </rPh>
    <phoneticPr fontId="12"/>
  </si>
  <si>
    <t>エルテック㈱</t>
    <phoneticPr fontId="12"/>
  </si>
  <si>
    <t>三研商貿有限公司</t>
    <phoneticPr fontId="12"/>
  </si>
  <si>
    <t>保険積立金</t>
  </si>
  <si>
    <t>その他の投資</t>
    <rPh sb="2" eb="3">
      <t>タ</t>
    </rPh>
    <rPh sb="4" eb="6">
      <t>トウシ</t>
    </rPh>
    <phoneticPr fontId="12"/>
  </si>
  <si>
    <t>買掛金</t>
  </si>
  <si>
    <t>アイリスオーヤマ㈱</t>
  </si>
  <si>
    <t>㈱ｱｸﾃｨｰ.ｽﾀｯﾌ</t>
  </si>
  <si>
    <t>㈱アドシア</t>
  </si>
  <si>
    <t>アドバンスサービス</t>
    <phoneticPr fontId="12"/>
  </si>
  <si>
    <t>アイエイト</t>
    <phoneticPr fontId="12"/>
  </si>
  <si>
    <t>安西総合(有)</t>
    <rPh sb="0" eb="2">
      <t>アンザイ</t>
    </rPh>
    <rPh sb="2" eb="4">
      <t>ソウゴウ</t>
    </rPh>
    <rPh sb="4" eb="7">
      <t>ユウ</t>
    </rPh>
    <phoneticPr fontId="12"/>
  </si>
  <si>
    <t>石山商工</t>
  </si>
  <si>
    <t>井上金庫販売㈱</t>
  </si>
  <si>
    <t>㈲ｲﾝﾃﾘｱ ﾌﾟﾗｽﾃｨﾝｸﾞ</t>
  </si>
  <si>
    <t>㈱井上運送</t>
    <rPh sb="1" eb="3">
      <t>イノウエ</t>
    </rPh>
    <rPh sb="3" eb="5">
      <t>ウンソウ</t>
    </rPh>
    <phoneticPr fontId="12"/>
  </si>
  <si>
    <t>㈱井出木工</t>
    <rPh sb="1" eb="3">
      <t>イデ</t>
    </rPh>
    <rPh sb="3" eb="5">
      <t>モッコウ</t>
    </rPh>
    <phoneticPr fontId="12"/>
  </si>
  <si>
    <t>ｳｴﾙｼｱ薬局　各店</t>
  </si>
  <si>
    <t>運送費</t>
  </si>
  <si>
    <t>植木木工㈱</t>
    <rPh sb="0" eb="2">
      <t>ウエキ</t>
    </rPh>
    <rPh sb="2" eb="4">
      <t>モッコウ</t>
    </rPh>
    <phoneticPr fontId="12"/>
  </si>
  <si>
    <t>ｴﾙﾃｯｸ㈱　PF事業部</t>
  </si>
  <si>
    <t>エルム室内㈱</t>
  </si>
  <si>
    <t>㈱エコテック</t>
  </si>
  <si>
    <t>エム木工</t>
    <rPh sb="2" eb="4">
      <t>モッコウ</t>
    </rPh>
    <phoneticPr fontId="12"/>
  </si>
  <si>
    <t>ｴｲ･ｼﾞｰ･ｻｰﾋﾞｽ㈱</t>
    <phoneticPr fontId="12"/>
  </si>
  <si>
    <t>ｴﾑ・ｴｽ・ｼﾞｪｲ</t>
    <phoneticPr fontId="12"/>
  </si>
  <si>
    <t>㈱岡村製作所埼玉支店</t>
  </si>
  <si>
    <t>㈱岡村製作所高崎支店</t>
  </si>
  <si>
    <t xml:space="preserve"> ㈱大里</t>
  </si>
  <si>
    <t>大熊商店</t>
    <rPh sb="0" eb="2">
      <t>オオクマ</t>
    </rPh>
    <rPh sb="2" eb="4">
      <t>ショウテン</t>
    </rPh>
    <phoneticPr fontId="12"/>
  </si>
  <si>
    <t>㈱王地</t>
  </si>
  <si>
    <t>㈱大己装業</t>
    <rPh sb="1" eb="2">
      <t>ダイ</t>
    </rPh>
    <rPh sb="2" eb="3">
      <t>オノレ</t>
    </rPh>
    <rPh sb="3" eb="4">
      <t>ソウ</t>
    </rPh>
    <rPh sb="4" eb="5">
      <t>ギョウ</t>
    </rPh>
    <phoneticPr fontId="12"/>
  </si>
  <si>
    <t>㈱大塚商会</t>
  </si>
  <si>
    <t>㈱ＯＴＡ</t>
  </si>
  <si>
    <t>㈲カープ</t>
  </si>
  <si>
    <t>カインズホーム</t>
  </si>
  <si>
    <t>河淳㈱</t>
  </si>
  <si>
    <t>関東ﾒﾃﾞｨｶﾙ㈱</t>
  </si>
  <si>
    <t>㈲川口加工</t>
  </si>
  <si>
    <t>㈱カウネット</t>
  </si>
  <si>
    <t>川田電子工業</t>
  </si>
  <si>
    <t>㈱カシワ</t>
    <phoneticPr fontId="12"/>
  </si>
  <si>
    <t>関東冷熱工業㈱</t>
    <rPh sb="0" eb="2">
      <t>カントウ</t>
    </rPh>
    <rPh sb="2" eb="4">
      <t>レイネツ</t>
    </rPh>
    <rPh sb="4" eb="6">
      <t>コウギョウ</t>
    </rPh>
    <phoneticPr fontId="12"/>
  </si>
  <si>
    <t>笠原住設</t>
    <rPh sb="0" eb="2">
      <t>カサハラ</t>
    </rPh>
    <rPh sb="2" eb="3">
      <t>ジュウ</t>
    </rPh>
    <rPh sb="3" eb="4">
      <t>セツ</t>
    </rPh>
    <phoneticPr fontId="12"/>
  </si>
  <si>
    <t>㈲ｶｰﾄｼｽﾃﾑｽﾞ</t>
    <phoneticPr fontId="12"/>
  </si>
  <si>
    <t>㈱桐生建窓</t>
  </si>
  <si>
    <t>岐阜ﾌﾟﾗｽﾁｯｸ工業㈱</t>
  </si>
  <si>
    <t>共栄ﾌﾟﾗｽﾁｯｸ㈱</t>
    <rPh sb="0" eb="2">
      <t>キョウエイ</t>
    </rPh>
    <phoneticPr fontId="12"/>
  </si>
  <si>
    <t>㈱協同技術センター</t>
  </si>
  <si>
    <t>(有)クィーン商事</t>
    <rPh sb="0" eb="3">
      <t>ユウ</t>
    </rPh>
    <rPh sb="7" eb="9">
      <t>ショウジ</t>
    </rPh>
    <phoneticPr fontId="12"/>
  </si>
  <si>
    <t>㈲軍司金物</t>
  </si>
  <si>
    <t>熊谷鋲螺</t>
    <rPh sb="0" eb="2">
      <t>クマガヤ</t>
    </rPh>
    <rPh sb="2" eb="3">
      <t>ビョウ</t>
    </rPh>
    <rPh sb="3" eb="4">
      <t>ラ</t>
    </rPh>
    <phoneticPr fontId="12"/>
  </si>
  <si>
    <t>㈱グローバル</t>
  </si>
  <si>
    <t>ｸﾞﾗｯﾄﾞﾃﾞｻﾞｲﾝﾜｰｸｼｮｯﾌﾟ</t>
    <phoneticPr fontId="12"/>
  </si>
  <si>
    <t>㈲ケン鏡装</t>
  </si>
  <si>
    <t>ｹｰﾖｰﾎｰﾑｾﾝﾀｰ</t>
  </si>
  <si>
    <t>県北陸運㈲しまむら</t>
    <phoneticPr fontId="12"/>
  </si>
  <si>
    <t>㈱KTﾏﾈｼﾞﾒﾝﾄﾊﾟｰﾄﾅｰｽﾞ</t>
    <phoneticPr fontId="12"/>
  </si>
  <si>
    <t>ｹｰｽﾞﾃﾞﾝｷ</t>
    <phoneticPr fontId="12"/>
  </si>
  <si>
    <t>県北陸運㈲施工</t>
    <rPh sb="0" eb="2">
      <t>ケンホク</t>
    </rPh>
    <rPh sb="2" eb="4">
      <t>リクウン</t>
    </rPh>
    <rPh sb="5" eb="7">
      <t>セコウ</t>
    </rPh>
    <phoneticPr fontId="12"/>
  </si>
  <si>
    <t>県北陸運㈲運搬</t>
    <rPh sb="0" eb="2">
      <t>ケンホク</t>
    </rPh>
    <rPh sb="2" eb="4">
      <t>リクウン</t>
    </rPh>
    <rPh sb="5" eb="7">
      <t>ウンパン</t>
    </rPh>
    <phoneticPr fontId="12"/>
  </si>
  <si>
    <t>光洋ファスナー㈱</t>
  </si>
  <si>
    <t>㈲後藤衛生社</t>
  </si>
  <si>
    <t>コスモプリンツ㈱</t>
  </si>
  <si>
    <t>㈱小林製作所</t>
  </si>
  <si>
    <t>コミー(株)</t>
    <rPh sb="3" eb="6">
      <t>カブ</t>
    </rPh>
    <phoneticPr fontId="12"/>
  </si>
  <si>
    <t>㈱小林設計事務所</t>
  </si>
  <si>
    <t>コメリ</t>
  </si>
  <si>
    <t>㈱甲世社</t>
  </si>
  <si>
    <t>国際空輸㈱</t>
    <rPh sb="0" eb="2">
      <t>コクサイ</t>
    </rPh>
    <rPh sb="2" eb="4">
      <t>クウユ</t>
    </rPh>
    <phoneticPr fontId="12"/>
  </si>
  <si>
    <t>コウエイ建装</t>
  </si>
  <si>
    <t>ｺｸﾖﾏｰｹﾃｨﾝｸﾞ㈱</t>
  </si>
  <si>
    <t>交通費</t>
  </si>
  <si>
    <t>交通費施工</t>
    <rPh sb="2" eb="3">
      <t>ヒ</t>
    </rPh>
    <rPh sb="3" eb="5">
      <t>セコウ</t>
    </rPh>
    <phoneticPr fontId="12"/>
  </si>
  <si>
    <t>㈱サガワ</t>
  </si>
  <si>
    <t>ササキエクセ</t>
  </si>
  <si>
    <t>買掛金</t>
    <phoneticPr fontId="12"/>
  </si>
  <si>
    <t>サニーツートン部材</t>
    <rPh sb="7" eb="9">
      <t>ブザイ</t>
    </rPh>
    <phoneticPr fontId="12"/>
  </si>
  <si>
    <t>㈱三電工業</t>
  </si>
  <si>
    <t>サンワ通商㈱東京営業</t>
  </si>
  <si>
    <t>㈱ｻﾝﾜﾌﾟﾗﾝﾆﾝｸﾞ</t>
  </si>
  <si>
    <t>三和ｼｬｯﾀｰ工業㈱</t>
    <rPh sb="0" eb="2">
      <t>サンワ</t>
    </rPh>
    <rPh sb="7" eb="9">
      <t>コウギョウ</t>
    </rPh>
    <phoneticPr fontId="12"/>
  </si>
  <si>
    <t>三甲㈱太田営業所</t>
  </si>
  <si>
    <t>三研商貿有限公司</t>
    <phoneticPr fontId="12"/>
  </si>
  <si>
    <t>サニーツートン施工</t>
    <rPh sb="7" eb="9">
      <t>セコウ</t>
    </rPh>
    <phoneticPr fontId="12"/>
  </si>
  <si>
    <t>サニーツートン運搬</t>
    <rPh sb="7" eb="9">
      <t>ウンパン</t>
    </rPh>
    <phoneticPr fontId="12"/>
  </si>
  <si>
    <t>島忠ホームセンター</t>
    <rPh sb="0" eb="1">
      <t>シマ</t>
    </rPh>
    <rPh sb="1" eb="2">
      <t>チュウ</t>
    </rPh>
    <phoneticPr fontId="12"/>
  </si>
  <si>
    <t>ジョイフル本田</t>
  </si>
  <si>
    <t>ジンカンパニー</t>
  </si>
  <si>
    <t>シーズン</t>
  </si>
  <si>
    <t>シルク</t>
    <phoneticPr fontId="12"/>
  </si>
  <si>
    <t>㈲嶋田工業所</t>
    <rPh sb="1" eb="3">
      <t>シマダ</t>
    </rPh>
    <rPh sb="3" eb="6">
      <t>コウギョウショ</t>
    </rPh>
    <phoneticPr fontId="12"/>
  </si>
  <si>
    <t>柴田製本所</t>
    <rPh sb="0" eb="2">
      <t>シバタ</t>
    </rPh>
    <rPh sb="2" eb="4">
      <t>セイホン</t>
    </rPh>
    <rPh sb="4" eb="5">
      <t>ジョ</t>
    </rPh>
    <phoneticPr fontId="12"/>
  </si>
  <si>
    <t>十兵衛</t>
  </si>
  <si>
    <t>篠嵜総業</t>
    <rPh sb="0" eb="2">
      <t>シノザキ</t>
    </rPh>
    <rPh sb="2" eb="4">
      <t>ソウギョウ</t>
    </rPh>
    <phoneticPr fontId="12"/>
  </si>
  <si>
    <t>㈲須藤商店</t>
  </si>
  <si>
    <t>㈱ｽｰﾊﾟｰﾒｲﾄ北関東支社</t>
  </si>
  <si>
    <t>ストアプロジェクト㈱</t>
  </si>
  <si>
    <t>セキチュー</t>
  </si>
  <si>
    <t>生興㈱</t>
    <rPh sb="0" eb="1">
      <t>セイ</t>
    </rPh>
    <rPh sb="1" eb="2">
      <t>オコ</t>
    </rPh>
    <phoneticPr fontId="12"/>
  </si>
  <si>
    <t>㈲ソシアテクノ</t>
  </si>
  <si>
    <t>㈱ダイフジ</t>
  </si>
  <si>
    <t>買掛金</t>
    <phoneticPr fontId="12"/>
  </si>
  <si>
    <t>三協立山</t>
    <rPh sb="0" eb="2">
      <t>サンキョウ</t>
    </rPh>
    <rPh sb="2" eb="4">
      <t>タテヤマ</t>
    </rPh>
    <phoneticPr fontId="12"/>
  </si>
  <si>
    <t>㈱店装技研</t>
  </si>
  <si>
    <t>ダイソー</t>
  </si>
  <si>
    <t>大一鋼業㈱</t>
    <rPh sb="0" eb="1">
      <t>ダイ</t>
    </rPh>
    <rPh sb="1" eb="2">
      <t>イチ</t>
    </rPh>
    <rPh sb="2" eb="4">
      <t>コウギョウ</t>
    </rPh>
    <phoneticPr fontId="12"/>
  </si>
  <si>
    <t>㈱大東電材</t>
  </si>
  <si>
    <t>㈱Ｄanto　Ｔile</t>
  </si>
  <si>
    <t>大王海運㈱</t>
    <rPh sb="0" eb="2">
      <t>ダイオウ</t>
    </rPh>
    <rPh sb="2" eb="4">
      <t>カイウン</t>
    </rPh>
    <phoneticPr fontId="12"/>
  </si>
  <si>
    <t>㈲ﾀﾏﾙｼｽﾃﾑ</t>
    <phoneticPr fontId="12"/>
  </si>
  <si>
    <t>㈱巽</t>
    <rPh sb="1" eb="2">
      <t>タツミ</t>
    </rPh>
    <phoneticPr fontId="12"/>
  </si>
  <si>
    <t>㈲中信</t>
  </si>
  <si>
    <t>㈱中部ｳｲﾝﾄﾞ製作所</t>
  </si>
  <si>
    <t>㈱店研創意</t>
  </si>
  <si>
    <t>㈱ティーケイ・タツミ</t>
    <phoneticPr fontId="12"/>
  </si>
  <si>
    <t>トーキャビ</t>
    <phoneticPr fontId="12"/>
  </si>
  <si>
    <t>トッパンコンテナー㈱</t>
  </si>
  <si>
    <t>㈱東京化成製作所</t>
  </si>
  <si>
    <t>㈱東京ﾏｼﾝｾﾝﾀｰ</t>
  </si>
  <si>
    <t>東京鋼鐵工業㈱</t>
  </si>
  <si>
    <t>東京シンコーレザー㈱</t>
  </si>
  <si>
    <t>東邦工機㈱</t>
  </si>
  <si>
    <t>ドンキホーテ</t>
  </si>
  <si>
    <t>富樫　茂</t>
    <rPh sb="0" eb="2">
      <t>トガシ</t>
    </rPh>
    <rPh sb="3" eb="4">
      <t>シゲル</t>
    </rPh>
    <phoneticPr fontId="12"/>
  </si>
  <si>
    <t>中沢トータリア㈱</t>
  </si>
  <si>
    <t>㈱永井工芸</t>
  </si>
  <si>
    <t>㈱ナンシン</t>
  </si>
  <si>
    <t>㈲ナック</t>
  </si>
  <si>
    <t>㈲長沢金具店</t>
  </si>
  <si>
    <t>中野施工</t>
    <rPh sb="0" eb="2">
      <t>ナカノ</t>
    </rPh>
    <rPh sb="2" eb="4">
      <t>セコウ</t>
    </rPh>
    <phoneticPr fontId="12"/>
  </si>
  <si>
    <t>㈱西嶋組</t>
    <rPh sb="1" eb="4">
      <t>ニシジマグミ</t>
    </rPh>
    <phoneticPr fontId="12"/>
  </si>
  <si>
    <t>日研工業㈱</t>
    <rPh sb="0" eb="2">
      <t>ニッケン</t>
    </rPh>
    <rPh sb="2" eb="4">
      <t>コウギョウ</t>
    </rPh>
    <phoneticPr fontId="12"/>
  </si>
  <si>
    <t>日進工業㈱</t>
  </si>
  <si>
    <t>ニチベイサービス㈱</t>
  </si>
  <si>
    <t>ニューＧＡＤ</t>
  </si>
  <si>
    <t>㈱日本アルミ</t>
  </si>
  <si>
    <t>㈱日本演出</t>
    <rPh sb="1" eb="3">
      <t>ニホン</t>
    </rPh>
    <rPh sb="3" eb="5">
      <t>エンシュツ</t>
    </rPh>
    <phoneticPr fontId="12"/>
  </si>
  <si>
    <t>日本電気㈱</t>
  </si>
  <si>
    <t>ﾆﾁﾚｲﾏｸﾞﾈｯﾄ㈱</t>
  </si>
  <si>
    <t>二瓶施工ｻｰﾋﾞｽ</t>
    <rPh sb="0" eb="2">
      <t>ニヘイ</t>
    </rPh>
    <rPh sb="2" eb="4">
      <t>セコウ</t>
    </rPh>
    <phoneticPr fontId="12"/>
  </si>
  <si>
    <t>㈱ＮＥＯＳ</t>
    <phoneticPr fontId="12"/>
  </si>
  <si>
    <t>花岡車輌㈱</t>
  </si>
  <si>
    <t>長谷川工業㈱東京支店</t>
  </si>
  <si>
    <t>㈱ハンデックス</t>
    <phoneticPr fontId="12"/>
  </si>
  <si>
    <t>㈱箱田製作所</t>
  </si>
  <si>
    <t>ハヤノ産業㈱</t>
  </si>
  <si>
    <t>ビジネスホテル</t>
    <phoneticPr fontId="12"/>
  </si>
  <si>
    <t>ビジネスホテル施工</t>
    <rPh sb="7" eb="9">
      <t>セコウ</t>
    </rPh>
    <phoneticPr fontId="12"/>
  </si>
  <si>
    <t>㈱T･Yﾌｧｸﾄﾘｰ</t>
  </si>
  <si>
    <t>㈱富士企画</t>
  </si>
  <si>
    <t>㈱不動ｳｲﾝﾄﾞ製作所</t>
  </si>
  <si>
    <t>扶桑産業㈱</t>
    <rPh sb="0" eb="2">
      <t>フソウ</t>
    </rPh>
    <rPh sb="2" eb="4">
      <t>サンギョウ</t>
    </rPh>
    <phoneticPr fontId="12"/>
  </si>
  <si>
    <t>㈱不二工芸埼玉工場</t>
  </si>
  <si>
    <t>㈱ファースト</t>
  </si>
  <si>
    <t>福田清</t>
  </si>
  <si>
    <t>㈱フォーオール</t>
    <phoneticPr fontId="12"/>
  </si>
  <si>
    <t>㈱フォー・エヌ</t>
    <phoneticPr fontId="12"/>
  </si>
  <si>
    <t>不二貿易㈱</t>
    <rPh sb="0" eb="2">
      <t>フジ</t>
    </rPh>
    <rPh sb="2" eb="4">
      <t>ボウエキ</t>
    </rPh>
    <phoneticPr fontId="12"/>
  </si>
  <si>
    <t>plus-one</t>
    <phoneticPr fontId="12"/>
  </si>
  <si>
    <t>㈱ﾌﾟﾘｽﾞﾑ・ｼﾞｬﾊﾟﾝ</t>
    <phoneticPr fontId="12"/>
  </si>
  <si>
    <t>㈱フォーオール</t>
    <phoneticPr fontId="12"/>
  </si>
  <si>
    <t>㈲程田電気商会</t>
  </si>
  <si>
    <t>㈱北関スクリーン</t>
  </si>
  <si>
    <t>㈱宝生</t>
  </si>
  <si>
    <t>ホームズ</t>
    <phoneticPr fontId="12"/>
  </si>
  <si>
    <t>㈱マルタン</t>
  </si>
  <si>
    <t>㈲前林商店</t>
  </si>
  <si>
    <t>丸幸</t>
    <rPh sb="0" eb="1">
      <t>マル</t>
    </rPh>
    <rPh sb="1" eb="2">
      <t>サチ</t>
    </rPh>
    <phoneticPr fontId="12"/>
  </si>
  <si>
    <t>松坂屋建材㈱行田店</t>
  </si>
  <si>
    <t>三米施工（橋本）</t>
    <rPh sb="5" eb="7">
      <t>ハシモト</t>
    </rPh>
    <phoneticPr fontId="12"/>
  </si>
  <si>
    <t>㈱ミワックス</t>
  </si>
  <si>
    <t>㈲三浦建工</t>
  </si>
  <si>
    <t>宮城アルミ山形</t>
  </si>
  <si>
    <t>三米施工（嵯峨）</t>
    <rPh sb="5" eb="7">
      <t>サガ</t>
    </rPh>
    <phoneticPr fontId="12"/>
  </si>
  <si>
    <t>Ｍクラフト</t>
  </si>
  <si>
    <t>大和産業㈱</t>
    <rPh sb="0" eb="2">
      <t>ヤマト</t>
    </rPh>
    <rPh sb="2" eb="4">
      <t>サンギョウ</t>
    </rPh>
    <phoneticPr fontId="12"/>
  </si>
  <si>
    <t>㈱山十商会</t>
    <rPh sb="1" eb="2">
      <t>ヤマ</t>
    </rPh>
    <rPh sb="2" eb="3">
      <t>ジュウ</t>
    </rPh>
    <rPh sb="3" eb="5">
      <t>ショウカイ</t>
    </rPh>
    <phoneticPr fontId="12"/>
  </si>
  <si>
    <t>㈱山善営業1部営業2課</t>
  </si>
  <si>
    <t>ﾔﾏﾄﾎﾞｯｸｽﾁｬｰﾀｰ㈱</t>
    <phoneticPr fontId="12"/>
  </si>
  <si>
    <t>楽天ｼｮｯﾌﾟ</t>
  </si>
  <si>
    <t>㈱ユニビジョン</t>
  </si>
  <si>
    <t>㈱ワイズサイン</t>
  </si>
  <si>
    <t>Y-TEC</t>
    <phoneticPr fontId="12"/>
  </si>
  <si>
    <t>楽天トﾗﾍﾞﾙ㈱</t>
  </si>
  <si>
    <t>ﾗｲｽﾞﾏﾃﾘｱﾙ㈱</t>
    <phoneticPr fontId="12"/>
  </si>
  <si>
    <t>ﾛｲﾔﾙﾎｰﾑｾﾝﾀｰ</t>
    <phoneticPr fontId="12"/>
  </si>
  <si>
    <t>若林ハウス</t>
    <rPh sb="0" eb="2">
      <t>ワカバヤシ</t>
    </rPh>
    <phoneticPr fontId="12"/>
  </si>
  <si>
    <t>その他仕入先</t>
    <rPh sb="2" eb="3">
      <t>タ</t>
    </rPh>
    <rPh sb="3" eb="5">
      <t>シイレ</t>
    </rPh>
    <rPh sb="5" eb="6">
      <t>サキ</t>
    </rPh>
    <phoneticPr fontId="12"/>
  </si>
  <si>
    <t>その他のﾚｼｰﾄ</t>
    <rPh sb="2" eb="3">
      <t>タ</t>
    </rPh>
    <phoneticPr fontId="12"/>
  </si>
  <si>
    <t>㈱三和商研</t>
    <phoneticPr fontId="12"/>
  </si>
  <si>
    <t>短期借入金</t>
  </si>
  <si>
    <t>未払金</t>
  </si>
  <si>
    <t>三和商研　経費</t>
  </si>
  <si>
    <t>浅沼</t>
    <rPh sb="0" eb="2">
      <t>アサヌマ</t>
    </rPh>
    <phoneticPr fontId="12"/>
  </si>
  <si>
    <t>ｱｯﾌﾟﾙ</t>
    <phoneticPr fontId="12"/>
  </si>
  <si>
    <t>Ｍクラフト</t>
    <phoneticPr fontId="12"/>
  </si>
  <si>
    <t>エルテック</t>
    <phoneticPr fontId="12"/>
  </si>
  <si>
    <t>エルム室内㈱</t>
    <phoneticPr fontId="12"/>
  </si>
  <si>
    <t>大石社労士</t>
    <rPh sb="0" eb="2">
      <t>オオイシ</t>
    </rPh>
    <phoneticPr fontId="12"/>
  </si>
  <si>
    <t>大里</t>
    <rPh sb="0" eb="2">
      <t>オオサト</t>
    </rPh>
    <phoneticPr fontId="12"/>
  </si>
  <si>
    <t>大塚商会</t>
    <rPh sb="0" eb="2">
      <t>オオツカ</t>
    </rPh>
    <rPh sb="2" eb="4">
      <t>ショウカイ</t>
    </rPh>
    <phoneticPr fontId="12"/>
  </si>
  <si>
    <t>岡村製作所</t>
    <rPh sb="0" eb="2">
      <t>オカムラ</t>
    </rPh>
    <rPh sb="2" eb="5">
      <t>セイサクショ</t>
    </rPh>
    <phoneticPr fontId="12"/>
  </si>
  <si>
    <t>北本グリーンセンター</t>
    <rPh sb="0" eb="2">
      <t>キタモト</t>
    </rPh>
    <phoneticPr fontId="12"/>
  </si>
  <si>
    <t>久保ﾃﾞｻﾞｲﾝｽﾀｼﾞｵ</t>
    <rPh sb="0" eb="2">
      <t>クボ</t>
    </rPh>
    <phoneticPr fontId="12"/>
  </si>
  <si>
    <t>ｸﾏﾋﾗ</t>
    <phoneticPr fontId="12"/>
  </si>
  <si>
    <t>熊谷通運</t>
    <rPh sb="0" eb="2">
      <t>クマガヤ</t>
    </rPh>
    <rPh sb="2" eb="4">
      <t>ツウウン</t>
    </rPh>
    <phoneticPr fontId="12"/>
  </si>
  <si>
    <t>群馬日産太田</t>
    <rPh sb="0" eb="2">
      <t>グンマ</t>
    </rPh>
    <rPh sb="2" eb="4">
      <t>ニッサン</t>
    </rPh>
    <rPh sb="4" eb="6">
      <t>オオタ</t>
    </rPh>
    <phoneticPr fontId="12"/>
  </si>
  <si>
    <t>ｹﾝ鏡装</t>
    <rPh sb="2" eb="3">
      <t>カガミ</t>
    </rPh>
    <rPh sb="3" eb="4">
      <t>ソウ</t>
    </rPh>
    <phoneticPr fontId="12"/>
  </si>
  <si>
    <t>コスモプリンツ㈱</t>
    <phoneticPr fontId="12"/>
  </si>
  <si>
    <t>コウエイ建装</t>
    <phoneticPr fontId="12"/>
  </si>
  <si>
    <t>埼玉トヨペット</t>
    <rPh sb="0" eb="2">
      <t>サイタマ</t>
    </rPh>
    <phoneticPr fontId="12"/>
  </si>
  <si>
    <t>サガワ</t>
    <phoneticPr fontId="12"/>
  </si>
  <si>
    <t>三電</t>
    <rPh sb="0" eb="1">
      <t>サン</t>
    </rPh>
    <rPh sb="1" eb="2">
      <t>デン</t>
    </rPh>
    <phoneticPr fontId="12"/>
  </si>
  <si>
    <t>三和ｻｰﾋﾞｽ車両ﾘｰｽ</t>
    <rPh sb="0" eb="2">
      <t>サンワ</t>
    </rPh>
    <rPh sb="7" eb="9">
      <t>シャリョウ</t>
    </rPh>
    <phoneticPr fontId="12"/>
  </si>
  <si>
    <t>ｻﾝﾜﾌﾟﾗﾝﾆﾝｸﾞ</t>
    <phoneticPr fontId="12"/>
  </si>
  <si>
    <t>佐川急便</t>
    <rPh sb="0" eb="2">
      <t>サガワ</t>
    </rPh>
    <rPh sb="2" eb="4">
      <t>キュウビン</t>
    </rPh>
    <phoneticPr fontId="12"/>
  </si>
  <si>
    <t>出版文化社</t>
    <rPh sb="0" eb="2">
      <t>シュッパン</t>
    </rPh>
    <rPh sb="2" eb="4">
      <t>ブンカ</t>
    </rPh>
    <rPh sb="4" eb="5">
      <t>シャ</t>
    </rPh>
    <phoneticPr fontId="12"/>
  </si>
  <si>
    <t>ｼﾞｬｯｸｽ</t>
    <phoneticPr fontId="12"/>
  </si>
  <si>
    <t>ｼﾞｬｽﾄ</t>
    <phoneticPr fontId="12"/>
  </si>
  <si>
    <t>澁澤倉庫</t>
    <rPh sb="0" eb="2">
      <t>シブサワ</t>
    </rPh>
    <rPh sb="2" eb="4">
      <t>ソウコ</t>
    </rPh>
    <phoneticPr fontId="12"/>
  </si>
  <si>
    <t>ｽｰﾊﾟｰﾒｲﾄ</t>
    <phoneticPr fontId="12"/>
  </si>
  <si>
    <t>セコム</t>
    <phoneticPr fontId="12"/>
  </si>
  <si>
    <t>ﾀﾊﾞﾀ設備</t>
    <rPh sb="4" eb="6">
      <t>セツビ</t>
    </rPh>
    <phoneticPr fontId="12"/>
  </si>
  <si>
    <t>ﾀﾞｲｵｰｽﾞ</t>
    <phoneticPr fontId="12"/>
  </si>
  <si>
    <t>ﾁｬﾚｼﾞｮﾌﾞ</t>
    <phoneticPr fontId="12"/>
  </si>
  <si>
    <t>帝国ﾃﾞｰﾀﾊﾞﾝｸ</t>
    <rPh sb="0" eb="2">
      <t>テイコク</t>
    </rPh>
    <phoneticPr fontId="12"/>
  </si>
  <si>
    <t>店装技研</t>
    <rPh sb="0" eb="1">
      <t>テン</t>
    </rPh>
    <rPh sb="1" eb="2">
      <t>ソウ</t>
    </rPh>
    <rPh sb="2" eb="4">
      <t>ギケン</t>
    </rPh>
    <phoneticPr fontId="12"/>
  </si>
  <si>
    <t>DHLジャパン</t>
    <phoneticPr fontId="12"/>
  </si>
  <si>
    <t>東京マシン</t>
    <rPh sb="0" eb="2">
      <t>トウキョウ</t>
    </rPh>
    <phoneticPr fontId="12"/>
  </si>
  <si>
    <t>東京シンコーレザー㈱</t>
    <rPh sb="0" eb="2">
      <t>トウキョウ</t>
    </rPh>
    <phoneticPr fontId="12"/>
  </si>
  <si>
    <t>トヨタＬ＆Ｆ</t>
    <phoneticPr fontId="12"/>
  </si>
  <si>
    <t>ﾄﾖﾀｶﾛｰﾗ新埼玉</t>
    <rPh sb="7" eb="8">
      <t>シン</t>
    </rPh>
    <rPh sb="8" eb="10">
      <t>サイタマ</t>
    </rPh>
    <phoneticPr fontId="12"/>
  </si>
  <si>
    <t>中島商会</t>
    <rPh sb="0" eb="2">
      <t>ナカジマ</t>
    </rPh>
    <rPh sb="2" eb="4">
      <t>ショウカイ</t>
    </rPh>
    <phoneticPr fontId="12"/>
  </si>
  <si>
    <t>中沢ﾄｰﾀﾘｱ</t>
    <rPh sb="0" eb="2">
      <t>ナカザワ</t>
    </rPh>
    <phoneticPr fontId="12"/>
  </si>
  <si>
    <t>ナショナル消防化学</t>
    <rPh sb="5" eb="7">
      <t>ショウボウ</t>
    </rPh>
    <rPh sb="7" eb="9">
      <t>カガク</t>
    </rPh>
    <phoneticPr fontId="12"/>
  </si>
  <si>
    <t>日本ヒルティ</t>
    <rPh sb="0" eb="2">
      <t>ニホン</t>
    </rPh>
    <phoneticPr fontId="12"/>
  </si>
  <si>
    <t>東日本宇佐美</t>
    <rPh sb="0" eb="1">
      <t>ヒガシ</t>
    </rPh>
    <rPh sb="1" eb="3">
      <t>ニホン</t>
    </rPh>
    <rPh sb="3" eb="6">
      <t>ウサミ</t>
    </rPh>
    <phoneticPr fontId="12"/>
  </si>
  <si>
    <t>福田電気管理事務所</t>
    <rPh sb="0" eb="2">
      <t>フクダ</t>
    </rPh>
    <rPh sb="2" eb="4">
      <t>デンキ</t>
    </rPh>
    <rPh sb="4" eb="6">
      <t>カンリ</t>
    </rPh>
    <rPh sb="6" eb="8">
      <t>ジム</t>
    </rPh>
    <rPh sb="8" eb="9">
      <t>ショ</t>
    </rPh>
    <phoneticPr fontId="12"/>
  </si>
  <si>
    <t>富士ｾﾞﾛｯｸｽ</t>
    <rPh sb="0" eb="2">
      <t>フジ</t>
    </rPh>
    <phoneticPr fontId="12"/>
  </si>
  <si>
    <t>前林</t>
    <rPh sb="0" eb="2">
      <t>マエバヤシ</t>
    </rPh>
    <phoneticPr fontId="12"/>
  </si>
  <si>
    <t>マミー</t>
    <phoneticPr fontId="12"/>
  </si>
  <si>
    <t>三菱ふそうﾄﾗｯｸ・ﾊﾞｽ</t>
    <rPh sb="0" eb="2">
      <t>ミツビシ</t>
    </rPh>
    <phoneticPr fontId="12"/>
  </si>
  <si>
    <t>ヤマト運輸</t>
    <rPh sb="3" eb="5">
      <t>ウンユ</t>
    </rPh>
    <phoneticPr fontId="12"/>
  </si>
  <si>
    <t>ユニビジョン</t>
    <phoneticPr fontId="12"/>
  </si>
  <si>
    <t>楽天</t>
    <rPh sb="0" eb="2">
      <t>ラクテン</t>
    </rPh>
    <phoneticPr fontId="12"/>
  </si>
  <si>
    <t>ランスタッド</t>
    <phoneticPr fontId="12"/>
  </si>
  <si>
    <t>ラクーン</t>
    <phoneticPr fontId="12"/>
  </si>
  <si>
    <t>りそなVISA</t>
    <phoneticPr fontId="12"/>
  </si>
  <si>
    <t>ロフティー</t>
    <phoneticPr fontId="12"/>
  </si>
  <si>
    <t>三和サービス</t>
    <rPh sb="0" eb="2">
      <t>サンワ</t>
    </rPh>
    <phoneticPr fontId="12"/>
  </si>
  <si>
    <t>ＥＴＣ</t>
    <phoneticPr fontId="12"/>
  </si>
  <si>
    <t>ＮＴＴドコモ</t>
    <phoneticPr fontId="12"/>
  </si>
  <si>
    <t>ＫＤＤＩ</t>
    <phoneticPr fontId="12"/>
  </si>
  <si>
    <t>ガス料金</t>
    <rPh sb="2" eb="4">
      <t>リョウキン</t>
    </rPh>
    <phoneticPr fontId="12"/>
  </si>
  <si>
    <t>りそな振込手数料</t>
    <rPh sb="3" eb="5">
      <t>フリコミ</t>
    </rPh>
    <rPh sb="5" eb="8">
      <t>テスウリョウ</t>
    </rPh>
    <phoneticPr fontId="12"/>
  </si>
  <si>
    <t>社会保険料</t>
    <rPh sb="0" eb="2">
      <t>シャカイ</t>
    </rPh>
    <rPh sb="2" eb="5">
      <t>ホケンリョウ</t>
    </rPh>
    <phoneticPr fontId="12"/>
  </si>
  <si>
    <t>電気料金</t>
    <rPh sb="0" eb="2">
      <t>デンキ</t>
    </rPh>
    <rPh sb="2" eb="4">
      <t>リョウキン</t>
    </rPh>
    <phoneticPr fontId="12"/>
  </si>
  <si>
    <t>仮受金</t>
  </si>
  <si>
    <t>三研商貿有限公司</t>
    <phoneticPr fontId="12"/>
  </si>
  <si>
    <t>預り金</t>
  </si>
  <si>
    <t>給与源泉所得税</t>
  </si>
  <si>
    <t>飯島税理士</t>
  </si>
  <si>
    <t>大石社労士</t>
  </si>
  <si>
    <t>住民税</t>
  </si>
  <si>
    <t>健保・介護保険料</t>
  </si>
  <si>
    <t>厚生年金保険料</t>
  </si>
  <si>
    <t>司法書士田中事務所</t>
  </si>
  <si>
    <t>その他</t>
  </si>
  <si>
    <t>中国</t>
    <phoneticPr fontId="12"/>
  </si>
  <si>
    <t>研修教育費</t>
  </si>
  <si>
    <t>未払法人税等</t>
  </si>
  <si>
    <t>長期借入金</t>
  </si>
  <si>
    <t>繰越利益剰余金</t>
  </si>
  <si>
    <t>期首棚卸高</t>
  </si>
  <si>
    <t>商品仕入高</t>
  </si>
  <si>
    <t>期末棚卸高</t>
  </si>
  <si>
    <t>給料手当</t>
  </si>
  <si>
    <t>賞与</t>
    <rPh sb="0" eb="2">
      <t>ショウヨ</t>
    </rPh>
    <phoneticPr fontId="12"/>
  </si>
  <si>
    <t>法定福利費</t>
  </si>
  <si>
    <t>厚生費</t>
  </si>
  <si>
    <t>第1担当</t>
  </si>
  <si>
    <t>第2担当</t>
  </si>
  <si>
    <t>松﨑由誉</t>
  </si>
  <si>
    <t>賞与引当金繰入</t>
    <rPh sb="0" eb="7">
      <t>ショウヨヒキアテキンクリイレ</t>
    </rPh>
    <phoneticPr fontId="12"/>
  </si>
  <si>
    <t>広告宣伝費</t>
  </si>
  <si>
    <t>松﨑正夫</t>
  </si>
  <si>
    <t>営業開発部</t>
  </si>
  <si>
    <t>荷造運賃</t>
  </si>
  <si>
    <t>ウエルシア薬局</t>
    <rPh sb="5" eb="7">
      <t>ヤッキョク</t>
    </rPh>
    <phoneticPr fontId="12"/>
  </si>
  <si>
    <t>サンベルクス</t>
    <phoneticPr fontId="12"/>
  </si>
  <si>
    <t>LIXILﾋﾞﾊﾞ</t>
    <phoneticPr fontId="12"/>
  </si>
  <si>
    <t>ベルク</t>
    <phoneticPr fontId="12"/>
  </si>
  <si>
    <t>マミーマート</t>
    <phoneticPr fontId="12"/>
  </si>
  <si>
    <t>ヤオコー</t>
    <phoneticPr fontId="12"/>
  </si>
  <si>
    <t>営業1部</t>
    <rPh sb="3" eb="4">
      <t>ブ</t>
    </rPh>
    <phoneticPr fontId="12"/>
  </si>
  <si>
    <t>営業2部</t>
    <rPh sb="3" eb="4">
      <t>ブ</t>
    </rPh>
    <phoneticPr fontId="12"/>
  </si>
  <si>
    <t>その他</t>
    <phoneticPr fontId="12"/>
  </si>
  <si>
    <t>販売手数料</t>
  </si>
  <si>
    <t>第2担当</t>
    <phoneticPr fontId="12"/>
  </si>
  <si>
    <t>製作担当</t>
    <rPh sb="0" eb="2">
      <t>セイサク</t>
    </rPh>
    <rPh sb="2" eb="4">
      <t>タントウ</t>
    </rPh>
    <phoneticPr fontId="12"/>
  </si>
  <si>
    <t>業務委託費</t>
    <rPh sb="0" eb="2">
      <t>ギョウム</t>
    </rPh>
    <rPh sb="2" eb="4">
      <t>イタク</t>
    </rPh>
    <rPh sb="4" eb="5">
      <t>ヒ</t>
    </rPh>
    <phoneticPr fontId="12"/>
  </si>
  <si>
    <t>家賃地代</t>
  </si>
  <si>
    <t>㈱三和サービス</t>
    <rPh sb="1" eb="3">
      <t>サンワ</t>
    </rPh>
    <phoneticPr fontId="12"/>
  </si>
  <si>
    <t>㈱エスケー運輸機工</t>
  </si>
  <si>
    <t>㈱三和ｻｰﾋﾞｽ向後幸枝</t>
    <rPh sb="1" eb="3">
      <t>サンワ</t>
    </rPh>
    <rPh sb="8" eb="10">
      <t>コウゴ</t>
    </rPh>
    <rPh sb="10" eb="12">
      <t>ユキエ</t>
    </rPh>
    <phoneticPr fontId="12"/>
  </si>
  <si>
    <t>姜衡　中国家賃</t>
    <phoneticPr fontId="12"/>
  </si>
  <si>
    <t>上海　事務所</t>
  </si>
  <si>
    <t>松﨑和夫</t>
  </si>
  <si>
    <t>松坂屋建材㈱</t>
    <phoneticPr fontId="12"/>
  </si>
  <si>
    <t>大阪家賃</t>
    <rPh sb="0" eb="2">
      <t>オオサカ</t>
    </rPh>
    <rPh sb="2" eb="4">
      <t>ヤチン</t>
    </rPh>
    <phoneticPr fontId="12"/>
  </si>
  <si>
    <t>大阪駐車場</t>
    <rPh sb="0" eb="2">
      <t>オオサカ</t>
    </rPh>
    <rPh sb="2" eb="5">
      <t>チュウシャジョウ</t>
    </rPh>
    <phoneticPr fontId="12"/>
  </si>
  <si>
    <t>ﾃｨｱﾗ21駐車場</t>
    <rPh sb="6" eb="8">
      <t>チュウシャ</t>
    </rPh>
    <rPh sb="8" eb="9">
      <t>ジョウ</t>
    </rPh>
    <phoneticPr fontId="12"/>
  </si>
  <si>
    <t>熊谷通運</t>
    <rPh sb="0" eb="4">
      <t>クマガヤツウウン</t>
    </rPh>
    <phoneticPr fontId="12"/>
  </si>
  <si>
    <t>不二工芸</t>
    <rPh sb="0" eb="2">
      <t>フジ</t>
    </rPh>
    <rPh sb="2" eb="4">
      <t>コウゲイ</t>
    </rPh>
    <phoneticPr fontId="12"/>
  </si>
  <si>
    <t>出張手当</t>
  </si>
  <si>
    <t>第1担当</t>
    <rPh sb="0" eb="1">
      <t>ダイ</t>
    </rPh>
    <phoneticPr fontId="12"/>
  </si>
  <si>
    <t>試作品費</t>
    <rPh sb="0" eb="3">
      <t>シサクヒン</t>
    </rPh>
    <rPh sb="3" eb="4">
      <t>ヒ</t>
    </rPh>
    <phoneticPr fontId="12"/>
  </si>
  <si>
    <t>しまむら</t>
    <phoneticPr fontId="12"/>
  </si>
  <si>
    <t>LIXILﾋﾞﾊﾞ</t>
    <phoneticPr fontId="12"/>
  </si>
  <si>
    <t>ベルク</t>
    <phoneticPr fontId="12"/>
  </si>
  <si>
    <t>ヤオコー</t>
    <phoneticPr fontId="12"/>
  </si>
  <si>
    <t>その他</t>
    <phoneticPr fontId="12"/>
  </si>
  <si>
    <t>水道光熱費</t>
  </si>
  <si>
    <t>燃料費</t>
  </si>
  <si>
    <t>事務用品費</t>
  </si>
  <si>
    <t>消耗品費</t>
  </si>
  <si>
    <t>五十嵐信</t>
    <phoneticPr fontId="12"/>
  </si>
  <si>
    <t>リース料</t>
  </si>
  <si>
    <t>保険料</t>
  </si>
  <si>
    <t>修繕費</t>
  </si>
  <si>
    <t>租税公課</t>
  </si>
  <si>
    <t>消費税</t>
  </si>
  <si>
    <t>法人事業税</t>
    <rPh sb="0" eb="2">
      <t>ホウジン</t>
    </rPh>
    <rPh sb="2" eb="4">
      <t>ジギョウ</t>
    </rPh>
    <rPh sb="4" eb="5">
      <t>ゼイ</t>
    </rPh>
    <phoneticPr fontId="12"/>
  </si>
  <si>
    <t>印紙</t>
  </si>
  <si>
    <t>固定資産税</t>
  </si>
  <si>
    <t>車両関係税</t>
  </si>
  <si>
    <t>地方税証紙</t>
    <rPh sb="0" eb="3">
      <t>チホウゼイ</t>
    </rPh>
    <rPh sb="3" eb="5">
      <t>ショウシ</t>
    </rPh>
    <phoneticPr fontId="12"/>
  </si>
  <si>
    <t>地方法人特別税</t>
    <rPh sb="0" eb="2">
      <t>チホウ</t>
    </rPh>
    <rPh sb="2" eb="4">
      <t>ホウジン</t>
    </rPh>
    <rPh sb="4" eb="6">
      <t>トクベツ</t>
    </rPh>
    <rPh sb="6" eb="7">
      <t>ゼイ</t>
    </rPh>
    <phoneticPr fontId="12"/>
  </si>
  <si>
    <t>利子所得税</t>
  </si>
  <si>
    <t>利子割額</t>
  </si>
  <si>
    <t>損金不算入</t>
    <rPh sb="0" eb="2">
      <t>ソンキン</t>
    </rPh>
    <rPh sb="2" eb="3">
      <t>フ</t>
    </rPh>
    <rPh sb="3" eb="5">
      <t>サンニュウ</t>
    </rPh>
    <phoneticPr fontId="12"/>
  </si>
  <si>
    <t>関税</t>
    <rPh sb="0" eb="2">
      <t>カンゼイ</t>
    </rPh>
    <phoneticPr fontId="12"/>
  </si>
  <si>
    <t>復興特別所得税</t>
  </si>
  <si>
    <t>減価償却費</t>
  </si>
  <si>
    <t>交際接待費</t>
  </si>
  <si>
    <t>営業開発部</t>
    <phoneticPr fontId="12"/>
  </si>
  <si>
    <t>しまむら</t>
    <phoneticPr fontId="12"/>
  </si>
  <si>
    <t>マミーマート</t>
    <phoneticPr fontId="12"/>
  </si>
  <si>
    <t>ヤオコー</t>
    <phoneticPr fontId="12"/>
  </si>
  <si>
    <t>旅費交通費</t>
  </si>
  <si>
    <t>セミナー交通費</t>
  </si>
  <si>
    <t>通信費</t>
  </si>
  <si>
    <t>外注費</t>
    <rPh sb="0" eb="3">
      <t>ガイチュウヒ</t>
    </rPh>
    <phoneticPr fontId="12"/>
  </si>
  <si>
    <t>サンベルクス</t>
    <phoneticPr fontId="12"/>
  </si>
  <si>
    <t>しまむら</t>
    <phoneticPr fontId="12"/>
  </si>
  <si>
    <t>LIXILﾋﾞﾊﾞ</t>
    <phoneticPr fontId="12"/>
  </si>
  <si>
    <t>ベルク</t>
    <phoneticPr fontId="12"/>
  </si>
  <si>
    <t>会議費</t>
  </si>
  <si>
    <t>会費組合費</t>
  </si>
  <si>
    <t>新聞図書費</t>
  </si>
  <si>
    <t>報酬手当</t>
  </si>
  <si>
    <t>警備費</t>
  </si>
  <si>
    <t>雑費</t>
  </si>
  <si>
    <t>雑収入</t>
    <rPh sb="0" eb="1">
      <t>ザツ</t>
    </rPh>
    <rPh sb="1" eb="3">
      <t>シュウニュウ</t>
    </rPh>
    <phoneticPr fontId="12"/>
  </si>
  <si>
    <t>支払利息</t>
  </si>
  <si>
    <t>為替差損</t>
    <rPh sb="0" eb="2">
      <t>カワセ</t>
    </rPh>
    <rPh sb="2" eb="4">
      <t>サソン</t>
    </rPh>
    <phoneticPr fontId="12"/>
  </si>
  <si>
    <t>雑損失</t>
  </si>
  <si>
    <t>コンサルティング</t>
    <phoneticPr fontId="12"/>
  </si>
  <si>
    <t>売上高</t>
  </si>
  <si>
    <t>売上値引・戻り高</t>
  </si>
  <si>
    <t>諸口</t>
  </si>
  <si>
    <t>雑損失</t>
    <phoneticPr fontId="12"/>
  </si>
  <si>
    <t>貸方勘定科目CD</t>
  </si>
  <si>
    <t>貸方勘定科目名</t>
  </si>
  <si>
    <t>貸方消費税CD</t>
  </si>
  <si>
    <t>貸方消費税率</t>
  </si>
  <si>
    <t>貸方補助科目CD</t>
  </si>
  <si>
    <t>貸方補助科目名</t>
  </si>
  <si>
    <t>りそなUSD</t>
    <phoneticPr fontId="12"/>
  </si>
  <si>
    <t>㈱秋山製作所</t>
  </si>
  <si>
    <t>売掛金</t>
    <phoneticPr fontId="12"/>
  </si>
  <si>
    <t>アツギ㈱</t>
    <phoneticPr fontId="12"/>
  </si>
  <si>
    <t>㈱天池</t>
    <rPh sb="1" eb="3">
      <t>アマイケ</t>
    </rPh>
    <phoneticPr fontId="12"/>
  </si>
  <si>
    <t>いわて生活協同組合</t>
    <rPh sb="3" eb="5">
      <t>セイカツ</t>
    </rPh>
    <rPh sb="5" eb="7">
      <t>キョウドウ</t>
    </rPh>
    <rPh sb="7" eb="9">
      <t>クミアイ</t>
    </rPh>
    <phoneticPr fontId="12"/>
  </si>
  <si>
    <t>㈱岡村製作所商環境</t>
  </si>
  <si>
    <t>ｶﾈﾎﾞｳ化粧品関越ﾄﾞﾗ</t>
    <phoneticPr fontId="12"/>
  </si>
  <si>
    <t>ｶﾈﾎﾞｳ化粧品関越新潟</t>
    <rPh sb="5" eb="8">
      <t>ケショウヒン</t>
    </rPh>
    <rPh sb="8" eb="10">
      <t>カンエツ</t>
    </rPh>
    <rPh sb="10" eb="12">
      <t>ニイガタ</t>
    </rPh>
    <phoneticPr fontId="12"/>
  </si>
  <si>
    <t>ｶﾈﾎﾞｳ化粧品和歌山支店</t>
    <rPh sb="5" eb="8">
      <t>ケショウヒン</t>
    </rPh>
    <rPh sb="8" eb="11">
      <t>ワカヤマ</t>
    </rPh>
    <rPh sb="11" eb="13">
      <t>シテン</t>
    </rPh>
    <phoneticPr fontId="12"/>
  </si>
  <si>
    <t>首都圏ﾄﾞﾗｯｸﾞ東京支店</t>
    <rPh sb="0" eb="3">
      <t>シュトケン</t>
    </rPh>
    <rPh sb="9" eb="11">
      <t>トウキョウ</t>
    </rPh>
    <rPh sb="11" eb="13">
      <t>シテン</t>
    </rPh>
    <phoneticPr fontId="12"/>
  </si>
  <si>
    <t>ｶﾈﾎﾞｳ化粧品滋賀ｵﾌｨｽ</t>
    <rPh sb="5" eb="8">
      <t>ケショウヒン</t>
    </rPh>
    <rPh sb="8" eb="10">
      <t>シガ</t>
    </rPh>
    <phoneticPr fontId="12"/>
  </si>
  <si>
    <t>加藤産業㈱</t>
    <rPh sb="0" eb="2">
      <t>カトウ</t>
    </rPh>
    <rPh sb="2" eb="4">
      <t>サンギョウ</t>
    </rPh>
    <phoneticPr fontId="12"/>
  </si>
  <si>
    <t>ｶﾈﾎﾞｳ化粧品福島</t>
    <rPh sb="5" eb="8">
      <t>ケショウヒン</t>
    </rPh>
    <rPh sb="8" eb="10">
      <t>フクシマ</t>
    </rPh>
    <phoneticPr fontId="12"/>
  </si>
  <si>
    <t>ｶﾈﾎﾞｳ化粧品神戸</t>
    <rPh sb="5" eb="8">
      <t>ケショウヒン</t>
    </rPh>
    <rPh sb="8" eb="10">
      <t>コウベ</t>
    </rPh>
    <phoneticPr fontId="12"/>
  </si>
  <si>
    <t>㈱桐生建窓</t>
    <rPh sb="1" eb="3">
      <t>キリュウ</t>
    </rPh>
    <rPh sb="3" eb="4">
      <t>ケン</t>
    </rPh>
    <rPh sb="4" eb="5">
      <t>マド</t>
    </rPh>
    <phoneticPr fontId="12"/>
  </si>
  <si>
    <t>ｶﾈﾎﾞｳ化粧品関越長野</t>
    <rPh sb="5" eb="8">
      <t>ケショウヒン</t>
    </rPh>
    <rPh sb="8" eb="10">
      <t>カンエツ</t>
    </rPh>
    <rPh sb="10" eb="12">
      <t>ナガノ</t>
    </rPh>
    <phoneticPr fontId="12"/>
  </si>
  <si>
    <t>ササキエクセ</t>
    <phoneticPr fontId="12"/>
  </si>
  <si>
    <t>㈱笹井商店</t>
    <rPh sb="1" eb="3">
      <t>ササイ</t>
    </rPh>
    <rPh sb="3" eb="5">
      <t>ショウテン</t>
    </rPh>
    <phoneticPr fontId="12"/>
  </si>
  <si>
    <t>資生堂販売㈱大宮東</t>
    <phoneticPr fontId="12"/>
  </si>
  <si>
    <t>資生堂販売㈱茨城ｵﾌｨｽ</t>
    <rPh sb="0" eb="3">
      <t>シセイドウ</t>
    </rPh>
    <rPh sb="3" eb="5">
      <t>ハンバイ</t>
    </rPh>
    <rPh sb="6" eb="8">
      <t>イバラキ</t>
    </rPh>
    <phoneticPr fontId="12"/>
  </si>
  <si>
    <t>資生堂販売㈱浜離宮</t>
    <rPh sb="0" eb="3">
      <t>シセイドウ</t>
    </rPh>
    <rPh sb="3" eb="5">
      <t>ハンバイ</t>
    </rPh>
    <rPh sb="6" eb="7">
      <t>ハマ</t>
    </rPh>
    <rPh sb="7" eb="9">
      <t>リキュウ</t>
    </rPh>
    <phoneticPr fontId="12"/>
  </si>
  <si>
    <t>資生堂販売㈱水戸ｵﾌｨｽ</t>
    <rPh sb="6" eb="8">
      <t>ミト</t>
    </rPh>
    <phoneticPr fontId="12"/>
  </si>
  <si>
    <t>資生堂販売㈱土浦ｵﾌｨｽ</t>
    <phoneticPr fontId="12"/>
  </si>
  <si>
    <t>資生堂販売㈱甲府ｵﾌｨｽ</t>
  </si>
  <si>
    <t>資生堂販売㈱新潟ｵﾌｨｽ</t>
    <rPh sb="0" eb="3">
      <t>シセイドウ</t>
    </rPh>
    <rPh sb="3" eb="5">
      <t>ハンバイ</t>
    </rPh>
    <rPh sb="6" eb="8">
      <t>ニイガタ</t>
    </rPh>
    <phoneticPr fontId="12"/>
  </si>
  <si>
    <t>しなの企画</t>
    <rPh sb="3" eb="5">
      <t>キカク</t>
    </rPh>
    <phoneticPr fontId="12"/>
  </si>
  <si>
    <t>資生堂販売㈱大阪ｵﾌｨｽ</t>
    <rPh sb="6" eb="8">
      <t>オオサカ</t>
    </rPh>
    <phoneticPr fontId="12"/>
  </si>
  <si>
    <t>シーズン</t>
    <phoneticPr fontId="12"/>
  </si>
  <si>
    <t>資生堂販売㈱福島</t>
    <rPh sb="0" eb="3">
      <t>シセイドウ</t>
    </rPh>
    <rPh sb="3" eb="5">
      <t>ハンバイ</t>
    </rPh>
    <rPh sb="6" eb="8">
      <t>フクシマ</t>
    </rPh>
    <phoneticPr fontId="12"/>
  </si>
  <si>
    <t>㈱スーパーメイト</t>
  </si>
  <si>
    <t>㈱スペース</t>
    <phoneticPr fontId="12"/>
  </si>
  <si>
    <t>㈲仙成</t>
  </si>
  <si>
    <t>㈱大創産業</t>
    <rPh sb="1" eb="2">
      <t>ダイ</t>
    </rPh>
    <rPh sb="2" eb="3">
      <t>ソウ</t>
    </rPh>
    <rPh sb="3" eb="5">
      <t>サンギョウ</t>
    </rPh>
    <phoneticPr fontId="12"/>
  </si>
  <si>
    <t>ｳｴﾙｼｱ介護ｻｰﾋﾞｽ㈱</t>
    <rPh sb="5" eb="7">
      <t>カイゴ</t>
    </rPh>
    <phoneticPr fontId="12"/>
  </si>
  <si>
    <t>テナント</t>
    <phoneticPr fontId="12"/>
  </si>
  <si>
    <t>㈱東京交易</t>
    <rPh sb="1" eb="3">
      <t>トウキョウ</t>
    </rPh>
    <rPh sb="3" eb="5">
      <t>コウエキ</t>
    </rPh>
    <phoneticPr fontId="12"/>
  </si>
  <si>
    <t>㈱ＬＩＸＩＬ</t>
  </si>
  <si>
    <t>東京海上日動火災保険㈱</t>
    <rPh sb="0" eb="2">
      <t>トウキョウ</t>
    </rPh>
    <rPh sb="2" eb="4">
      <t>カイジョウ</t>
    </rPh>
    <rPh sb="4" eb="6">
      <t>ニチドウ</t>
    </rPh>
    <rPh sb="6" eb="8">
      <t>カサイ</t>
    </rPh>
    <rPh sb="8" eb="10">
      <t>ホケン</t>
    </rPh>
    <phoneticPr fontId="12"/>
  </si>
  <si>
    <t>ノムラ宝石㈱</t>
    <rPh sb="3" eb="5">
      <t>ホウセキ</t>
    </rPh>
    <phoneticPr fontId="12"/>
  </si>
  <si>
    <t>㈱上野風月堂</t>
    <rPh sb="1" eb="3">
      <t>ウエノ</t>
    </rPh>
    <rPh sb="3" eb="5">
      <t>フウゲツ</t>
    </rPh>
    <rPh sb="5" eb="6">
      <t>ドウ</t>
    </rPh>
    <phoneticPr fontId="12"/>
  </si>
  <si>
    <t>㈱ホームデリカ</t>
    <phoneticPr fontId="12"/>
  </si>
  <si>
    <t>㈱ミスターマックス</t>
    <phoneticPr fontId="12"/>
  </si>
  <si>
    <t>(有)三浦建工</t>
  </si>
  <si>
    <t>三米施工</t>
    <rPh sb="0" eb="1">
      <t>サン</t>
    </rPh>
    <rPh sb="1" eb="2">
      <t>コメ</t>
    </rPh>
    <phoneticPr fontId="12"/>
  </si>
  <si>
    <t>メディカルサービス</t>
    <phoneticPr fontId="12"/>
  </si>
  <si>
    <t>本町薬局</t>
    <rPh sb="0" eb="2">
      <t>ホンチョウ</t>
    </rPh>
    <rPh sb="2" eb="4">
      <t>ヤッキョク</t>
    </rPh>
    <phoneticPr fontId="12"/>
  </si>
  <si>
    <t>㈱やまかわ</t>
    <phoneticPr fontId="12"/>
  </si>
  <si>
    <t>ヤマト運輸㈱</t>
  </si>
  <si>
    <t>わかば薬局㈱</t>
    <rPh sb="3" eb="5">
      <t>ヤッキョク</t>
    </rPh>
    <phoneticPr fontId="12"/>
  </si>
  <si>
    <t>Y-TEC</t>
    <phoneticPr fontId="12"/>
  </si>
  <si>
    <t>その他得意先ﾁｰﾑＹ</t>
    <rPh sb="2" eb="3">
      <t>タ</t>
    </rPh>
    <rPh sb="3" eb="5">
      <t>トクイ</t>
    </rPh>
    <rPh sb="5" eb="6">
      <t>サキ</t>
    </rPh>
    <phoneticPr fontId="12"/>
  </si>
  <si>
    <t>その他得意先</t>
    <rPh sb="2" eb="3">
      <t>タ</t>
    </rPh>
    <rPh sb="3" eb="5">
      <t>トクイ</t>
    </rPh>
    <rPh sb="5" eb="6">
      <t>サキ</t>
    </rPh>
    <phoneticPr fontId="12"/>
  </si>
  <si>
    <t>三研商貿有限公司</t>
    <phoneticPr fontId="12"/>
  </si>
  <si>
    <t>㈱三和商研</t>
    <phoneticPr fontId="12"/>
  </si>
  <si>
    <t>ｻﾝﾜﾌﾟﾗﾝﾆﾝｸﾞ</t>
    <phoneticPr fontId="12"/>
  </si>
  <si>
    <t>その他</t>
    <phoneticPr fontId="12"/>
  </si>
  <si>
    <t>減価償却累計額</t>
  </si>
  <si>
    <t>ﾘｿﾞｰﾄﾄﾗｽﾄ㈱</t>
    <phoneticPr fontId="12"/>
  </si>
  <si>
    <t>エルテック㈱</t>
    <phoneticPr fontId="12"/>
  </si>
  <si>
    <t>アイエイト</t>
  </si>
  <si>
    <t>安西総合㈲</t>
    <rPh sb="0" eb="2">
      <t>アンザイ</t>
    </rPh>
    <rPh sb="2" eb="4">
      <t>ソウゴウ</t>
    </rPh>
    <phoneticPr fontId="12"/>
  </si>
  <si>
    <t>エム木工</t>
  </si>
  <si>
    <t>笠原住設</t>
  </si>
  <si>
    <t>㈱小林工務店</t>
  </si>
  <si>
    <t>㈲カートシステムズ</t>
    <phoneticPr fontId="12"/>
  </si>
  <si>
    <t>コミー㈱</t>
    <phoneticPr fontId="12"/>
  </si>
  <si>
    <t>三和シャッター工業㈱</t>
  </si>
  <si>
    <t>島忠ﾎｰﾑｾﾝﾀｰ（ｼﾏﾎ）</t>
  </si>
  <si>
    <t>生興㈱関東事業所</t>
  </si>
  <si>
    <t>ﾀﾃﾔﾏｱﾄﾞﾊﾞﾝｽ㈱埼玉支</t>
  </si>
  <si>
    <t>棚澤建設</t>
  </si>
  <si>
    <t>㈲タマルシステム</t>
    <phoneticPr fontId="12"/>
  </si>
  <si>
    <t>㈱ＬＩＸＩＬ</t>
    <phoneticPr fontId="12"/>
  </si>
  <si>
    <t>日本ヒルティ㈱</t>
  </si>
  <si>
    <t>ビジネスホテルホテル</t>
  </si>
  <si>
    <t>㈲フォーオール</t>
    <phoneticPr fontId="12"/>
  </si>
  <si>
    <t>㈱フォーエヌ</t>
    <phoneticPr fontId="12"/>
  </si>
  <si>
    <t>㈱プリズム・ジャパン</t>
    <phoneticPr fontId="12"/>
  </si>
  <si>
    <t>三米施工</t>
  </si>
  <si>
    <t>ロイヤルﾎｰﾑｾﾝﾀｰ</t>
  </si>
  <si>
    <t>ｱｯﾌﾟﾙ</t>
    <phoneticPr fontId="12"/>
  </si>
  <si>
    <t>Ｍクラフト</t>
    <phoneticPr fontId="12"/>
  </si>
  <si>
    <t>エルテック</t>
    <phoneticPr fontId="12"/>
  </si>
  <si>
    <t>エルム室内㈱</t>
    <phoneticPr fontId="12"/>
  </si>
  <si>
    <t>ｸﾏﾋﾗ</t>
    <phoneticPr fontId="12"/>
  </si>
  <si>
    <t>コスモプリンツ㈱</t>
    <phoneticPr fontId="12"/>
  </si>
  <si>
    <t>コウエイ建装</t>
    <phoneticPr fontId="12"/>
  </si>
  <si>
    <t>サガワ</t>
    <phoneticPr fontId="12"/>
  </si>
  <si>
    <t>ｻﾝﾜﾌﾟﾗﾝﾆﾝｸﾞ</t>
    <phoneticPr fontId="12"/>
  </si>
  <si>
    <t>三甲㈱太田営業所</t>
    <phoneticPr fontId="12"/>
  </si>
  <si>
    <t>ｼﾞｬｯｸｽ</t>
    <phoneticPr fontId="12"/>
  </si>
  <si>
    <t>ｼﾞｬｽﾄ</t>
    <phoneticPr fontId="12"/>
  </si>
  <si>
    <t>JCB</t>
    <phoneticPr fontId="12"/>
  </si>
  <si>
    <t>ｽｰﾊﾟｰﾒｲﾄ</t>
    <phoneticPr fontId="12"/>
  </si>
  <si>
    <t>未払金</t>
    <rPh sb="0" eb="2">
      <t>ミハラ</t>
    </rPh>
    <rPh sb="2" eb="3">
      <t>キン</t>
    </rPh>
    <phoneticPr fontId="12"/>
  </si>
  <si>
    <t>セコム</t>
    <phoneticPr fontId="12"/>
  </si>
  <si>
    <t>ﾀﾞｲｵｰｽﾞ</t>
    <phoneticPr fontId="12"/>
  </si>
  <si>
    <t>ﾁｬﾚｼﾞｮﾌﾞ</t>
    <phoneticPr fontId="12"/>
  </si>
  <si>
    <t>DHLジャパン</t>
    <phoneticPr fontId="12"/>
  </si>
  <si>
    <t>トヨタＬ＆Ｆ</t>
    <phoneticPr fontId="12"/>
  </si>
  <si>
    <t>マミー</t>
    <phoneticPr fontId="12"/>
  </si>
  <si>
    <t>マルタン</t>
    <phoneticPr fontId="12"/>
  </si>
  <si>
    <t>ランスタッド</t>
    <phoneticPr fontId="12"/>
  </si>
  <si>
    <t>りそなVISA</t>
    <phoneticPr fontId="12"/>
  </si>
  <si>
    <t>その他</t>
    <phoneticPr fontId="12"/>
  </si>
  <si>
    <t>ＮＴＴドコモ</t>
    <phoneticPr fontId="12"/>
  </si>
  <si>
    <t>ＫＤＤＩ</t>
    <phoneticPr fontId="12"/>
  </si>
  <si>
    <t>三研商貿有限公司</t>
    <phoneticPr fontId="12"/>
  </si>
  <si>
    <t>仮受消費税等</t>
  </si>
  <si>
    <t>仕入値引・戻し高</t>
    <rPh sb="0" eb="2">
      <t>シイレ</t>
    </rPh>
    <rPh sb="2" eb="4">
      <t>ネビキ</t>
    </rPh>
    <rPh sb="5" eb="6">
      <t>モド</t>
    </rPh>
    <rPh sb="7" eb="8">
      <t>タカ</t>
    </rPh>
    <phoneticPr fontId="12"/>
  </si>
  <si>
    <t>保険料</t>
    <rPh sb="0" eb="3">
      <t>ホケンリョウ</t>
    </rPh>
    <phoneticPr fontId="12"/>
  </si>
  <si>
    <t>旅費交通費</t>
    <rPh sb="0" eb="2">
      <t>リョヒ</t>
    </rPh>
    <rPh sb="2" eb="5">
      <t>コウツウヒ</t>
    </rPh>
    <phoneticPr fontId="12"/>
  </si>
  <si>
    <t>外注費</t>
    <rPh sb="0" eb="3">
      <t>ガイチュウヒ</t>
    </rPh>
    <phoneticPr fontId="12"/>
  </si>
  <si>
    <t>受取利息</t>
  </si>
  <si>
    <t>受取配当金</t>
  </si>
  <si>
    <t>為替差益</t>
    <rPh sb="0" eb="2">
      <t>カワセ</t>
    </rPh>
    <rPh sb="2" eb="4">
      <t>サエキ</t>
    </rPh>
    <phoneticPr fontId="12"/>
  </si>
  <si>
    <t>雑収入</t>
  </si>
  <si>
    <t>【JCB】</t>
    <phoneticPr fontId="12"/>
  </si>
  <si>
    <t>借方合計</t>
    <rPh sb="0" eb="2">
      <t>カリカタ</t>
    </rPh>
    <rPh sb="2" eb="4">
      <t>ゴウケイ</t>
    </rPh>
    <phoneticPr fontId="12"/>
  </si>
  <si>
    <t>貸方合計</t>
    <rPh sb="0" eb="2">
      <t>カシカタ</t>
    </rPh>
    <rPh sb="2" eb="4">
      <t>ゴウケイ</t>
    </rPh>
    <phoneticPr fontId="12"/>
  </si>
  <si>
    <t>口座差額</t>
    <rPh sb="0" eb="2">
      <t>コウザ</t>
    </rPh>
    <rPh sb="2" eb="4">
      <t>サガク</t>
    </rPh>
    <phoneticPr fontId="12"/>
  </si>
  <si>
    <t>諸口</t>
    <rPh sb="0" eb="2">
      <t>ショクチ</t>
    </rPh>
    <phoneticPr fontId="12"/>
  </si>
  <si>
    <t>伝票番号</t>
    <rPh sb="0" eb="2">
      <t>デンピョウ</t>
    </rPh>
    <rPh sb="2" eb="4">
      <t>バンゴウ</t>
    </rPh>
    <phoneticPr fontId="12"/>
  </si>
  <si>
    <t>年</t>
    <rPh sb="0" eb="1">
      <t>ネン</t>
    </rPh>
    <phoneticPr fontId="12"/>
  </si>
  <si>
    <t>月</t>
    <rPh sb="0" eb="1">
      <t>ツキ</t>
    </rPh>
    <phoneticPr fontId="12"/>
  </si>
  <si>
    <t>日</t>
    <rPh sb="0" eb="1">
      <t>ヒ</t>
    </rPh>
    <phoneticPr fontId="12"/>
  </si>
  <si>
    <t>借方勘定科目CD</t>
    <rPh sb="0" eb="2">
      <t>カリカタ</t>
    </rPh>
    <rPh sb="2" eb="4">
      <t>カンジョウ</t>
    </rPh>
    <rPh sb="4" eb="6">
      <t>カモク</t>
    </rPh>
    <phoneticPr fontId="12"/>
  </si>
  <si>
    <t>借方補助科目CD</t>
    <rPh sb="0" eb="2">
      <t>カリカタ</t>
    </rPh>
    <rPh sb="2" eb="4">
      <t>ホジョ</t>
    </rPh>
    <rPh sb="4" eb="6">
      <t>カモク</t>
    </rPh>
    <phoneticPr fontId="12"/>
  </si>
  <si>
    <t>借方消費税CD</t>
    <rPh sb="0" eb="2">
      <t>カリカタ</t>
    </rPh>
    <rPh sb="2" eb="5">
      <t>ショウヒゼイ</t>
    </rPh>
    <phoneticPr fontId="12"/>
  </si>
  <si>
    <t>借方消費税率</t>
    <rPh sb="0" eb="2">
      <t>カリカタ</t>
    </rPh>
    <rPh sb="2" eb="5">
      <t>ショウヒゼイ</t>
    </rPh>
    <rPh sb="5" eb="6">
      <t>リツ</t>
    </rPh>
    <phoneticPr fontId="12"/>
  </si>
  <si>
    <t>借方科目</t>
    <rPh sb="0" eb="2">
      <t>カリカタ</t>
    </rPh>
    <rPh sb="2" eb="4">
      <t>カモク</t>
    </rPh>
    <phoneticPr fontId="12"/>
  </si>
  <si>
    <t>借方補助科目</t>
    <rPh sb="0" eb="2">
      <t>カリカタ</t>
    </rPh>
    <rPh sb="2" eb="4">
      <t>ホジョ</t>
    </rPh>
    <rPh sb="4" eb="6">
      <t>カモク</t>
    </rPh>
    <phoneticPr fontId="12"/>
  </si>
  <si>
    <t>貸方勘定科目CD</t>
    <rPh sb="0" eb="2">
      <t>カシカタ</t>
    </rPh>
    <rPh sb="2" eb="4">
      <t>カンジョウ</t>
    </rPh>
    <rPh sb="4" eb="6">
      <t>カモク</t>
    </rPh>
    <phoneticPr fontId="12"/>
  </si>
  <si>
    <t>貸方補助科目CD</t>
    <rPh sb="0" eb="2">
      <t>カシカタ</t>
    </rPh>
    <rPh sb="2" eb="4">
      <t>ホジョ</t>
    </rPh>
    <rPh sb="4" eb="6">
      <t>カモク</t>
    </rPh>
    <phoneticPr fontId="12"/>
  </si>
  <si>
    <t>貸方消費税CD</t>
    <rPh sb="0" eb="2">
      <t>カシカタ</t>
    </rPh>
    <rPh sb="2" eb="5">
      <t>ショウヒゼイ</t>
    </rPh>
    <phoneticPr fontId="12"/>
  </si>
  <si>
    <t>貸方消費税率</t>
    <rPh sb="0" eb="2">
      <t>カシカタ</t>
    </rPh>
    <rPh sb="2" eb="5">
      <t>ショウヒゼイ</t>
    </rPh>
    <rPh sb="5" eb="6">
      <t>リツ</t>
    </rPh>
    <phoneticPr fontId="12"/>
  </si>
  <si>
    <t>貸方科目</t>
    <rPh sb="0" eb="2">
      <t>カシカタ</t>
    </rPh>
    <rPh sb="2" eb="4">
      <t>カモク</t>
    </rPh>
    <phoneticPr fontId="12"/>
  </si>
  <si>
    <t>貸方補助科目</t>
    <rPh sb="0" eb="2">
      <t>カシカタ</t>
    </rPh>
    <rPh sb="2" eb="4">
      <t>ホジョ</t>
    </rPh>
    <rPh sb="4" eb="6">
      <t>カモク</t>
    </rPh>
    <phoneticPr fontId="12"/>
  </si>
  <si>
    <t>借方金額</t>
    <rPh sb="0" eb="2">
      <t>カリカタ</t>
    </rPh>
    <rPh sb="2" eb="4">
      <t>キンガク</t>
    </rPh>
    <phoneticPr fontId="12"/>
  </si>
  <si>
    <t>貸方金額</t>
    <rPh sb="0" eb="2">
      <t>カシカタ</t>
    </rPh>
    <rPh sb="2" eb="4">
      <t>キンガク</t>
    </rPh>
    <phoneticPr fontId="12"/>
  </si>
  <si>
    <t>摘要</t>
    <rPh sb="0" eb="2">
      <t>テキヨウ</t>
    </rPh>
    <phoneticPr fontId="12"/>
  </si>
  <si>
    <t>銀行</t>
    <rPh sb="0" eb="2">
      <t>ギンコウ</t>
    </rPh>
    <phoneticPr fontId="12"/>
  </si>
  <si>
    <t>JCB XXXXXXXX　12/12引</t>
    <rPh sb="18" eb="19">
      <t>ヒ</t>
    </rPh>
    <phoneticPr fontId="12"/>
  </si>
  <si>
    <t>JCB　XXXXXXXXXXXXXX　社　12/12引</t>
    <rPh sb="19" eb="20">
      <t>シャ</t>
    </rPh>
    <rPh sb="26" eb="27">
      <t>ヒ</t>
    </rPh>
    <phoneticPr fontId="12"/>
  </si>
  <si>
    <t>JCB XXXXXXXXXXXXXXX　12/12引</t>
    <rPh sb="25" eb="26">
      <t>ヒ</t>
    </rPh>
    <phoneticPr fontId="12"/>
  </si>
  <si>
    <t>JCB　XXXXXXXXXXXXXX　社　11/10引</t>
    <rPh sb="19" eb="20">
      <t>シャ</t>
    </rPh>
    <rPh sb="26" eb="27">
      <t>ヒ</t>
    </rPh>
    <phoneticPr fontId="12"/>
  </si>
  <si>
    <t>JCB　XXXXXXXXXXXXXXXXXXXXXXXXXXXXXXXXX　11/10引</t>
    <rPh sb="43" eb="44">
      <t>ヒ</t>
    </rPh>
    <phoneticPr fontId="12"/>
  </si>
  <si>
    <t>データ更新場所</t>
    <rPh sb="3" eb="5">
      <t>コウシン</t>
    </rPh>
    <rPh sb="5" eb="7">
      <t>バショ</t>
    </rPh>
    <phoneticPr fontId="1"/>
  </si>
  <si>
    <t>月</t>
  </si>
  <si>
    <t>日</t>
  </si>
  <si>
    <t>伝票番号</t>
  </si>
  <si>
    <t>借方金額</t>
  </si>
  <si>
    <t>借方業種</t>
  </si>
  <si>
    <t>借方部門CD</t>
  </si>
  <si>
    <t>借方部門名</t>
  </si>
  <si>
    <t>貸方業種</t>
  </si>
  <si>
    <t>貸方部門CD</t>
  </si>
  <si>
    <t>貸方部門名</t>
  </si>
  <si>
    <t>貸方金額</t>
  </si>
  <si>
    <t>摘要</t>
  </si>
  <si>
    <t>期日_年</t>
  </si>
  <si>
    <t>期日_月</t>
  </si>
  <si>
    <t>期日_日</t>
  </si>
  <si>
    <t>手形番号</t>
  </si>
  <si>
    <t>レコードセット.年</t>
  </si>
  <si>
    <t>レコードセット.月</t>
  </si>
  <si>
    <t>レコードセット.日</t>
  </si>
  <si>
    <t>レコードセット.伝票番号</t>
  </si>
  <si>
    <t>レコードセット.借方金額</t>
  </si>
  <si>
    <t>レコードセット.借方勘定科目CD</t>
  </si>
  <si>
    <t>レコードセット.借方勘定科目名</t>
  </si>
  <si>
    <t>レコードセット.借方消費税CD</t>
  </si>
  <si>
    <t>レコードセット.借方消費税率</t>
  </si>
  <si>
    <t>レコードセット.借方業種</t>
  </si>
  <si>
    <t>レコードセット.借方補助科目CD</t>
  </si>
  <si>
    <t>レコードセット.借方補助科目名</t>
  </si>
  <si>
    <t>レコードセット.借方部門CD</t>
  </si>
  <si>
    <t>レコードセット.借方部門名</t>
  </si>
  <si>
    <t>レコードセット.貸方勘定科目CD</t>
  </si>
  <si>
    <t>レコードセット.貸方勘定科目名</t>
  </si>
  <si>
    <t>レコードセット.貸方消費税CD</t>
  </si>
  <si>
    <t>レコードセット.貸方消費税率</t>
  </si>
  <si>
    <t>レコードセット.貸方業種</t>
  </si>
  <si>
    <t>レコードセット.貸方補助科目CD</t>
  </si>
  <si>
    <t>レコードセット.貸方補助科目名</t>
  </si>
  <si>
    <t>レコードセット.貸方部門CD</t>
  </si>
  <si>
    <t>レコードセット.貸方部門名</t>
  </si>
  <si>
    <t>レコードセット.貸方金額</t>
  </si>
  <si>
    <t>レコードセット.摘要</t>
  </si>
  <si>
    <t>レコードセット.期日_年</t>
  </si>
  <si>
    <t>レコードセット.期日_月</t>
  </si>
  <si>
    <t>レコードセット.期日_日</t>
  </si>
  <si>
    <t>レコードセット.手形番号</t>
  </si>
  <si>
    <t>年</t>
    <phoneticPr fontId="2"/>
  </si>
  <si>
    <t>振替伝票.年</t>
    <rPh sb="5" eb="6">
      <t>ネン</t>
    </rPh>
    <phoneticPr fontId="2"/>
  </si>
  <si>
    <t>振替伝票.月</t>
    <rPh sb="5" eb="6">
      <t>ツキ</t>
    </rPh>
    <phoneticPr fontId="2"/>
  </si>
  <si>
    <t>振替伝票.日</t>
    <rPh sb="5" eb="6">
      <t>ヒ</t>
    </rPh>
    <phoneticPr fontId="2"/>
  </si>
  <si>
    <t>null</t>
    <phoneticPr fontId="2"/>
  </si>
  <si>
    <t>振替伝票.借方金額</t>
    <phoneticPr fontId="2"/>
  </si>
  <si>
    <t>借方勘定科目名</t>
    <phoneticPr fontId="2"/>
  </si>
  <si>
    <t>振替伝票.借方勘定科目CD</t>
    <phoneticPr fontId="2"/>
  </si>
  <si>
    <t>借方消費税率</t>
    <phoneticPr fontId="2"/>
  </si>
  <si>
    <t>null</t>
    <phoneticPr fontId="2"/>
  </si>
  <si>
    <t>借方補助科目名</t>
    <phoneticPr fontId="2"/>
  </si>
  <si>
    <t>null</t>
    <phoneticPr fontId="2"/>
  </si>
  <si>
    <t>振替伝票.借方勘定科目名</t>
    <phoneticPr fontId="2"/>
  </si>
  <si>
    <t>振替伝票.借方消費税CD</t>
    <phoneticPr fontId="2"/>
  </si>
  <si>
    <t>振替伝票.借方消費税率</t>
    <phoneticPr fontId="2"/>
  </si>
  <si>
    <t>振替伝票.借方補助科目CD</t>
    <phoneticPr fontId="2"/>
  </si>
  <si>
    <t>振替伝票.借方補助科目名</t>
    <phoneticPr fontId="2"/>
  </si>
  <si>
    <t>振替伝票.貸方勘定科目CD</t>
    <phoneticPr fontId="2"/>
  </si>
  <si>
    <t>振替伝票.貸方勘定科目名</t>
    <phoneticPr fontId="2"/>
  </si>
  <si>
    <t>振替伝票.貸方消費税CD</t>
    <phoneticPr fontId="2"/>
  </si>
  <si>
    <t>振替伝票.貸方消費税率</t>
    <phoneticPr fontId="2"/>
  </si>
  <si>
    <t>振替伝票.貸方補助科目CD</t>
    <phoneticPr fontId="2"/>
  </si>
  <si>
    <t>振替伝票.貸方補助科目名</t>
    <phoneticPr fontId="2"/>
  </si>
  <si>
    <t>振替伝票.貸方金額</t>
    <phoneticPr fontId="2"/>
  </si>
  <si>
    <t>振替伝票.摘要</t>
    <phoneticPr fontId="2"/>
  </si>
  <si>
    <t>trimする</t>
    <phoneticPr fontId="2"/>
  </si>
  <si>
    <t>スペースのみならnullとする、それ以外の場合はtrimする</t>
    <rPh sb="18" eb="20">
      <t>イガイ</t>
    </rPh>
    <rPh sb="21" eb="23">
      <t>バアイ</t>
    </rPh>
    <phoneticPr fontId="2"/>
  </si>
  <si>
    <t>半角</t>
    <rPh sb="0" eb="2">
      <t>ハンカク</t>
    </rPh>
    <phoneticPr fontId="2"/>
  </si>
  <si>
    <t>全角</t>
    <rPh sb="0" eb="2">
      <t>ゼンカク</t>
    </rPh>
    <phoneticPr fontId="2"/>
  </si>
  <si>
    <t>振替伝票シートのみインポート対象とする</t>
    <rPh sb="0" eb="2">
      <t>フリカエ</t>
    </rPh>
    <rPh sb="2" eb="4">
      <t>デンピョウ</t>
    </rPh>
    <rPh sb="14" eb="16">
      <t>タイショウ</t>
    </rPh>
    <phoneticPr fontId="2"/>
  </si>
  <si>
    <t>受発注システム</t>
    <phoneticPr fontId="2"/>
  </si>
  <si>
    <t>受発注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</si>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</sst>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#"/>
  </numFmts>
  <fonts count="1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11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26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11" fillId="0" borderId="8" xfId="2" applyBorder="1" applyAlignment="1">
      <alignment vertical="center" wrapText="1"/>
    </xf>
    <xf numFmtId="0" fontId="11" fillId="0" borderId="9" xfId="2" applyBorder="1" applyAlignment="1">
      <alignment vertical="center" wrapText="1"/>
    </xf>
    <xf numFmtId="0" fontId="11" fillId="0" borderId="10" xfId="2" applyBorder="1" applyAlignment="1">
      <alignment vertical="center" wrapText="1"/>
    </xf>
    <xf numFmtId="0" fontId="11" fillId="0" borderId="0" xfId="2">
      <alignment vertical="center"/>
    </xf>
    <xf numFmtId="0" fontId="11" fillId="0" borderId="7" xfId="2" applyBorder="1">
      <alignment vertical="center"/>
    </xf>
    <xf numFmtId="0" fontId="11" fillId="0" borderId="1" xfId="2" applyBorder="1">
      <alignment vertical="center"/>
    </xf>
    <xf numFmtId="0" fontId="11" fillId="0" borderId="9" xfId="2" applyBorder="1">
      <alignment vertical="center"/>
    </xf>
    <xf numFmtId="0" fontId="11" fillId="0" borderId="5" xfId="2" applyBorder="1">
      <alignment vertical="center"/>
    </xf>
    <xf numFmtId="0" fontId="4" fillId="0" borderId="0" xfId="3">
      <alignment vertical="center"/>
    </xf>
    <xf numFmtId="0" fontId="11" fillId="0" borderId="7" xfId="2" applyFill="1" applyBorder="1">
      <alignment vertical="center"/>
    </xf>
    <xf numFmtId="0" fontId="11" fillId="0" borderId="1" xfId="2" applyFill="1" applyBorder="1">
      <alignment vertical="center"/>
    </xf>
    <xf numFmtId="0" fontId="11" fillId="0" borderId="1" xfId="2" applyNumberFormat="1" applyFill="1" applyBorder="1">
      <alignment vertical="center"/>
    </xf>
    <xf numFmtId="0" fontId="11" fillId="0" borderId="4" xfId="2" applyBorder="1">
      <alignment vertical="center"/>
    </xf>
    <xf numFmtId="0" fontId="11" fillId="0" borderId="11" xfId="2" applyBorder="1">
      <alignment vertical="center"/>
    </xf>
    <xf numFmtId="0" fontId="11" fillId="0" borderId="2" xfId="2" applyBorder="1">
      <alignment vertical="center"/>
    </xf>
    <xf numFmtId="0" fontId="11" fillId="0" borderId="4" xfId="2" applyFill="1" applyBorder="1">
      <alignment vertical="center"/>
    </xf>
    <xf numFmtId="0" fontId="11" fillId="0" borderId="11" xfId="2" applyFill="1" applyBorder="1">
      <alignment vertical="center"/>
    </xf>
    <xf numFmtId="0" fontId="11" fillId="0" borderId="11" xfId="2" applyNumberFormat="1" applyFill="1" applyBorder="1">
      <alignment vertical="center"/>
    </xf>
    <xf numFmtId="0" fontId="11" fillId="0" borderId="2" xfId="2" applyFill="1" applyBorder="1">
      <alignment vertical="center"/>
    </xf>
    <xf numFmtId="0" fontId="4" fillId="0" borderId="1" xfId="3" applyBorder="1" applyProtection="1">
      <alignment vertical="center"/>
      <protection locked="0"/>
    </xf>
    <xf numFmtId="0" fontId="4" fillId="0" borderId="0" xfId="3" applyProtection="1">
      <alignment vertical="center"/>
      <protection locked="0"/>
    </xf>
    <xf numFmtId="38" fontId="0" fillId="0" borderId="0" xfId="4" applyFont="1" applyAlignment="1" applyProtection="1">
      <alignment horizontal="center"/>
      <protection locked="0"/>
    </xf>
    <xf numFmtId="38" fontId="13" fillId="0" borderId="1" xfId="4" applyFont="1" applyBorder="1">
      <alignment vertical="center"/>
    </xf>
    <xf numFmtId="0" fontId="4" fillId="0" borderId="8" xfId="3" applyBorder="1" applyProtection="1">
      <alignment vertical="center"/>
      <protection locked="0"/>
    </xf>
    <xf numFmtId="38" fontId="14" fillId="0" borderId="7" xfId="4" applyFont="1" applyBorder="1">
      <alignment vertical="center"/>
    </xf>
    <xf numFmtId="38" fontId="14" fillId="0" borderId="1" xfId="4" applyFont="1" applyBorder="1">
      <alignment vertical="center"/>
    </xf>
    <xf numFmtId="0" fontId="4" fillId="0" borderId="1" xfId="3" applyBorder="1" applyAlignment="1" applyProtection="1">
      <alignment vertical="center" wrapText="1"/>
      <protection locked="0"/>
    </xf>
    <xf numFmtId="0" fontId="4" fillId="6" borderId="1" xfId="3" applyFill="1" applyBorder="1" applyAlignment="1" applyProtection="1">
      <alignment vertical="center" wrapText="1"/>
      <protection locked="0"/>
    </xf>
    <xf numFmtId="0" fontId="4" fillId="6" borderId="9" xfId="3" applyFill="1" applyBorder="1" applyAlignment="1" applyProtection="1">
      <alignment vertical="center" wrapText="1"/>
      <protection locked="0"/>
    </xf>
    <xf numFmtId="38" fontId="0" fillId="0" borderId="1" xfId="4" applyFont="1" applyBorder="1" applyAlignment="1" applyProtection="1">
      <alignment vertical="center" wrapText="1"/>
      <protection locked="0"/>
    </xf>
    <xf numFmtId="0" fontId="15" fillId="0" borderId="1" xfId="3" applyFont="1" applyBorder="1" applyAlignment="1" applyProtection="1">
      <alignment vertical="center" wrapText="1"/>
      <protection locked="0"/>
    </xf>
    <xf numFmtId="0" fontId="15" fillId="0" borderId="9" xfId="3" applyFont="1" applyBorder="1" applyAlignment="1" applyProtection="1">
      <alignment vertical="center" wrapText="1"/>
      <protection locked="0"/>
    </xf>
    <xf numFmtId="38" fontId="15" fillId="0" borderId="1" xfId="4" applyFont="1" applyBorder="1" applyAlignment="1" applyProtection="1">
      <alignment vertical="center" wrapText="1"/>
      <protection locked="0"/>
    </xf>
    <xf numFmtId="0" fontId="15" fillId="0" borderId="0" xfId="3" applyFont="1" applyProtection="1">
      <alignment vertical="center"/>
      <protection locked="0"/>
    </xf>
    <xf numFmtId="0" fontId="4" fillId="0" borderId="1" xfId="3" applyFont="1" applyBorder="1" applyProtection="1">
      <alignment vertical="center"/>
      <protection locked="0"/>
    </xf>
    <xf numFmtId="0" fontId="4" fillId="0" borderId="1" xfId="3" applyFont="1" applyBorder="1" applyAlignment="1" applyProtection="1">
      <alignment horizontal="center" vertical="center"/>
      <protection locked="0"/>
    </xf>
    <xf numFmtId="0" fontId="4" fillId="0" borderId="1" xfId="3" applyFont="1" applyBorder="1" applyAlignment="1" applyProtection="1">
      <alignment vertical="center" wrapText="1"/>
      <protection locked="0"/>
    </xf>
    <xf numFmtId="0" fontId="4" fillId="0" borderId="9" xfId="3" applyFont="1" applyBorder="1" applyAlignment="1" applyProtection="1">
      <alignment vertical="center" wrapText="1"/>
      <protection locked="0"/>
    </xf>
    <xf numFmtId="38" fontId="4" fillId="0" borderId="1" xfId="3" applyNumberFormat="1" applyFont="1" applyBorder="1">
      <alignment vertical="center"/>
    </xf>
    <xf numFmtId="0" fontId="4" fillId="0" borderId="1" xfId="3" applyFont="1" applyBorder="1" applyAlignment="1">
      <alignment vertical="center" wrapText="1"/>
    </xf>
    <xf numFmtId="0" fontId="4" fillId="0" borderId="0" xfId="3" applyFont="1" applyProtection="1">
      <alignment vertical="center"/>
      <protection locked="0"/>
    </xf>
    <xf numFmtId="38" fontId="4" fillId="0" borderId="0" xfId="3" applyNumberFormat="1" applyFont="1" applyProtection="1">
      <alignment vertical="center"/>
      <protection locked="0"/>
    </xf>
    <xf numFmtId="0" fontId="15" fillId="0" borderId="1" xfId="3" applyFont="1" applyBorder="1" applyProtection="1">
      <alignment vertical="center"/>
      <protection locked="0"/>
    </xf>
    <xf numFmtId="0" fontId="15" fillId="0" borderId="1" xfId="3" applyFont="1" applyBorder="1" applyAlignment="1" applyProtection="1">
      <alignment horizontal="center" vertical="center"/>
      <protection locked="0"/>
    </xf>
    <xf numFmtId="0" fontId="15" fillId="0" borderId="1" xfId="3" applyFont="1" applyBorder="1" applyAlignment="1">
      <alignment vertical="center" wrapText="1"/>
    </xf>
    <xf numFmtId="177" fontId="15" fillId="0" borderId="1" xfId="3" applyNumberFormat="1" applyFont="1" applyBorder="1" applyAlignment="1">
      <alignment vertical="center" wrapText="1"/>
    </xf>
    <xf numFmtId="38" fontId="15" fillId="0" borderId="1" xfId="3" applyNumberFormat="1" applyFont="1" applyBorder="1">
      <alignment vertical="center"/>
    </xf>
    <xf numFmtId="38" fontId="15" fillId="0" borderId="0" xfId="3" applyNumberFormat="1" applyFont="1" applyProtection="1">
      <alignment vertical="center"/>
      <protection locked="0"/>
    </xf>
    <xf numFmtId="0" fontId="4" fillId="0" borderId="1" xfId="3" applyFont="1" applyBorder="1" applyAlignment="1" applyProtection="1">
      <alignment horizontal="center" vertical="center" wrapText="1"/>
      <protection locked="0"/>
    </xf>
    <xf numFmtId="177" fontId="4" fillId="0" borderId="1" xfId="3" applyNumberFormat="1" applyFont="1" applyBorder="1" applyAlignment="1">
      <alignment vertical="center" wrapText="1"/>
    </xf>
    <xf numFmtId="38" fontId="0" fillId="0" borderId="1" xfId="4" applyFont="1" applyBorder="1">
      <alignment vertical="center"/>
    </xf>
    <xf numFmtId="38" fontId="0" fillId="0" borderId="0" xfId="4" applyFont="1" applyProtection="1">
      <alignment vertical="center"/>
      <protection locked="0"/>
    </xf>
    <xf numFmtId="0" fontId="16" fillId="0" borderId="1" xfId="3" applyFont="1" applyBorder="1" applyAlignment="1" applyProtection="1">
      <alignment horizontal="center" vertical="center" wrapText="1"/>
      <protection locked="0"/>
    </xf>
    <xf numFmtId="0" fontId="15" fillId="0" borderId="1" xfId="3" applyFont="1" applyBorder="1" applyAlignment="1" applyProtection="1">
      <alignment horizontal="center" vertical="center" wrapText="1"/>
      <protection locked="0"/>
    </xf>
    <xf numFmtId="38" fontId="15" fillId="0" borderId="1" xfId="4" applyFont="1" applyBorder="1">
      <alignment vertical="center"/>
    </xf>
    <xf numFmtId="38" fontId="15" fillId="0" borderId="0" xfId="4" applyFont="1" applyProtection="1">
      <alignment vertical="center"/>
      <protection locked="0"/>
    </xf>
    <xf numFmtId="0" fontId="0" fillId="0" borderId="27" xfId="0" applyBorder="1">
      <alignment vertical="center"/>
    </xf>
    <xf numFmtId="0" fontId="0" fillId="0" borderId="14" xfId="0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4" fillId="0" borderId="65" xfId="3" applyBorder="1" applyProtection="1">
      <alignment vertical="center"/>
      <protection locked="0"/>
    </xf>
  </cellXfs>
  <cellStyles count="5">
    <cellStyle name="桁区切り 2" xfId="4"/>
    <cellStyle name="標準" xfId="0" builtinId="0"/>
    <cellStyle name="標準 2" xfId="2"/>
    <cellStyle name="標準 2 2" xfId="1"/>
    <cellStyle name="標準 3" xfId="3"/>
  </cellStyles>
  <dxfs count="2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259977</xdr:colOff>
      <xdr:row>8</xdr:row>
      <xdr:rowOff>116542</xdr:rowOff>
    </xdr:from>
    <xdr:to>
      <xdr:col>47</xdr:col>
      <xdr:colOff>162664</xdr:colOff>
      <xdr:row>28</xdr:row>
      <xdr:rowOff>26894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377" y="1748118"/>
          <a:ext cx="11852640" cy="49305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242046</xdr:colOff>
      <xdr:row>7</xdr:row>
      <xdr:rowOff>233082</xdr:rowOff>
    </xdr:from>
    <xdr:to>
      <xdr:col>52</xdr:col>
      <xdr:colOff>95163</xdr:colOff>
      <xdr:row>30</xdr:row>
      <xdr:rowOff>116542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0164" y="1613647"/>
          <a:ext cx="12358881" cy="56567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184416</xdr:colOff>
      <xdr:row>7</xdr:row>
      <xdr:rowOff>8323</xdr:rowOff>
    </xdr:from>
    <xdr:to>
      <xdr:col>64</xdr:col>
      <xdr:colOff>218741</xdr:colOff>
      <xdr:row>33</xdr:row>
      <xdr:rowOff>76199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502" y="1390809"/>
          <a:ext cx="17865125" cy="65775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Users\NT-200037.SSP-HITOMI1\Desktop\0902_&#24115;&#31080;&#35373;&#35336;&#26360;\KH0300_&#32076;&#36027;&#12487;&#12540;&#12479;&#20181;&#35379;TXT_&#12452;&#12531;&#12509;&#12540;&#12488;_&#24115;&#31080;&#35373;&#35336;&#2636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2_&#35201;&#20214;&#23450;&#32681;\src\Src_japan2403051612\SnwKD07EXCEL&#20181;&#20998;CSV&#20966;&#29702;\&#12295;JCB2022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概要"/>
      <sheetName val="帳票レイアウト"/>
      <sheetName val="項目一覧_TXT"/>
      <sheetName val="項目一覧"/>
      <sheetName val="処理詳細"/>
      <sheetName val="確認事項"/>
      <sheetName val="参照"/>
    </sheetNames>
    <sheetDataSet>
      <sheetData sheetId="0">
        <row r="3">
          <cell r="B3" t="str">
            <v>XXXXXXXX</v>
          </cell>
          <cell r="H3" t="str">
            <v>KH0300</v>
          </cell>
          <cell r="L3" t="str">
            <v>運用自動化</v>
          </cell>
          <cell r="R3" t="str">
            <v>インポート_帳票設計書</v>
          </cell>
          <cell r="X3" t="str">
            <v>KH0300_経費データ仕訳TXT_インポート_帳票設計書</v>
          </cell>
          <cell r="AK3" t="str">
            <v>経費データ仕訳TXT</v>
          </cell>
          <cell r="AX3"/>
          <cell r="BB3"/>
          <cell r="BF3"/>
          <cell r="BJ3"/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借方勘定科目"/>
      <sheetName val="貸方勘定科目"/>
      <sheetName val="振替伝票"/>
    </sheetNames>
    <sheetDataSet>
      <sheetData sheetId="0">
        <row r="2">
          <cell r="A2">
            <v>100</v>
          </cell>
          <cell r="B2" t="str">
            <v>現金</v>
          </cell>
          <cell r="E2">
            <v>1</v>
          </cell>
          <cell r="F2" t="str">
            <v>1001</v>
          </cell>
          <cell r="G2" t="str">
            <v>現金</v>
          </cell>
        </row>
        <row r="3">
          <cell r="A3">
            <v>100</v>
          </cell>
          <cell r="B3" t="str">
            <v>現金</v>
          </cell>
          <cell r="E3">
            <v>2</v>
          </cell>
          <cell r="F3" t="str">
            <v>1002</v>
          </cell>
          <cell r="G3" t="str">
            <v>RMB</v>
          </cell>
        </row>
        <row r="4">
          <cell r="A4">
            <v>110</v>
          </cell>
          <cell r="B4" t="str">
            <v>当座預金</v>
          </cell>
          <cell r="E4">
            <v>1</v>
          </cell>
          <cell r="F4" t="str">
            <v>1101</v>
          </cell>
          <cell r="G4" t="str">
            <v>埼玉りそな</v>
          </cell>
        </row>
        <row r="5">
          <cell r="A5">
            <v>110</v>
          </cell>
          <cell r="B5" t="str">
            <v>当座預金</v>
          </cell>
          <cell r="E5">
            <v>2</v>
          </cell>
          <cell r="F5" t="str">
            <v>1102</v>
          </cell>
          <cell r="G5" t="str">
            <v>埼信</v>
          </cell>
        </row>
        <row r="6">
          <cell r="A6">
            <v>110</v>
          </cell>
          <cell r="B6" t="str">
            <v>当座預金</v>
          </cell>
          <cell r="E6">
            <v>10</v>
          </cell>
          <cell r="F6" t="str">
            <v>11010</v>
          </cell>
          <cell r="G6" t="str">
            <v>武蔵野</v>
          </cell>
        </row>
        <row r="7">
          <cell r="A7">
            <v>114</v>
          </cell>
          <cell r="B7" t="str">
            <v>普通預金</v>
          </cell>
          <cell r="E7">
            <v>1</v>
          </cell>
          <cell r="F7" t="str">
            <v>1141</v>
          </cell>
          <cell r="G7" t="str">
            <v>埼玉りそな</v>
          </cell>
        </row>
        <row r="8">
          <cell r="A8">
            <v>114</v>
          </cell>
          <cell r="B8" t="str">
            <v>普通預金</v>
          </cell>
          <cell r="E8">
            <v>2</v>
          </cell>
          <cell r="F8" t="str">
            <v>1142</v>
          </cell>
          <cell r="G8" t="str">
            <v>埼信</v>
          </cell>
        </row>
        <row r="9">
          <cell r="A9">
            <v>114</v>
          </cell>
          <cell r="B9" t="str">
            <v>普通預金</v>
          </cell>
          <cell r="E9">
            <v>3</v>
          </cell>
          <cell r="F9" t="str">
            <v>1143</v>
          </cell>
          <cell r="G9" t="str">
            <v>三井住友</v>
          </cell>
        </row>
        <row r="10">
          <cell r="A10">
            <v>114</v>
          </cell>
          <cell r="B10" t="str">
            <v>普通預金</v>
          </cell>
          <cell r="E10">
            <v>4</v>
          </cell>
          <cell r="F10" t="str">
            <v>1144</v>
          </cell>
          <cell r="G10" t="str">
            <v>住友USD</v>
          </cell>
        </row>
        <row r="11">
          <cell r="A11">
            <v>114</v>
          </cell>
          <cell r="B11" t="str">
            <v>普通預金</v>
          </cell>
          <cell r="E11">
            <v>5</v>
          </cell>
          <cell r="F11" t="str">
            <v>1145</v>
          </cell>
          <cell r="G11" t="str">
            <v>住友CNY</v>
          </cell>
        </row>
        <row r="12">
          <cell r="A12">
            <v>114</v>
          </cell>
          <cell r="B12" t="str">
            <v>普通預金</v>
          </cell>
          <cell r="E12">
            <v>6</v>
          </cell>
          <cell r="F12" t="str">
            <v>1146</v>
          </cell>
          <cell r="G12" t="str">
            <v>群馬</v>
          </cell>
        </row>
        <row r="13">
          <cell r="A13">
            <v>114</v>
          </cell>
          <cell r="B13" t="str">
            <v>普通預金</v>
          </cell>
          <cell r="E13">
            <v>7</v>
          </cell>
          <cell r="F13" t="str">
            <v>1147</v>
          </cell>
          <cell r="G13" t="str">
            <v>みずほ</v>
          </cell>
        </row>
        <row r="14">
          <cell r="A14">
            <v>114</v>
          </cell>
          <cell r="B14" t="str">
            <v>普通預金</v>
          </cell>
          <cell r="E14">
            <v>8</v>
          </cell>
          <cell r="F14" t="str">
            <v>1148</v>
          </cell>
          <cell r="G14" t="str">
            <v>りそなUSD</v>
          </cell>
        </row>
        <row r="15">
          <cell r="A15">
            <v>114</v>
          </cell>
          <cell r="B15" t="str">
            <v>普通預金</v>
          </cell>
          <cell r="E15">
            <v>9</v>
          </cell>
          <cell r="F15" t="str">
            <v>1149</v>
          </cell>
          <cell r="G15" t="str">
            <v>みずほUSD</v>
          </cell>
        </row>
        <row r="16">
          <cell r="A16">
            <v>121</v>
          </cell>
          <cell r="B16" t="str">
            <v>定期預金</v>
          </cell>
          <cell r="E16">
            <v>1</v>
          </cell>
          <cell r="F16" t="str">
            <v>1211</v>
          </cell>
          <cell r="G16" t="str">
            <v>埼玉りそな</v>
          </cell>
        </row>
        <row r="17">
          <cell r="A17">
            <v>121</v>
          </cell>
          <cell r="B17" t="str">
            <v>定期預金</v>
          </cell>
          <cell r="E17">
            <v>2</v>
          </cell>
          <cell r="F17" t="str">
            <v>1212</v>
          </cell>
          <cell r="G17" t="str">
            <v>埼信</v>
          </cell>
        </row>
        <row r="18">
          <cell r="A18">
            <v>121</v>
          </cell>
          <cell r="B18" t="str">
            <v>定期預金</v>
          </cell>
          <cell r="E18">
            <v>6</v>
          </cell>
          <cell r="F18" t="str">
            <v>1216</v>
          </cell>
          <cell r="G18" t="str">
            <v>群馬</v>
          </cell>
        </row>
        <row r="19">
          <cell r="A19">
            <v>125</v>
          </cell>
          <cell r="B19" t="str">
            <v>定期積金</v>
          </cell>
          <cell r="E19">
            <v>1</v>
          </cell>
          <cell r="F19" t="str">
            <v>1251</v>
          </cell>
          <cell r="G19" t="str">
            <v>埼玉りそな</v>
          </cell>
        </row>
        <row r="20">
          <cell r="A20">
            <v>125</v>
          </cell>
          <cell r="B20" t="str">
            <v>定期積金</v>
          </cell>
          <cell r="E20">
            <v>2</v>
          </cell>
          <cell r="F20" t="str">
            <v>1252</v>
          </cell>
          <cell r="G20" t="str">
            <v>埼信</v>
          </cell>
        </row>
        <row r="21">
          <cell r="A21">
            <v>130</v>
          </cell>
          <cell r="B21" t="str">
            <v>受取手形</v>
          </cell>
          <cell r="F21" t="str">
            <v>130</v>
          </cell>
        </row>
        <row r="22">
          <cell r="A22">
            <v>131</v>
          </cell>
          <cell r="B22" t="str">
            <v>売掛金</v>
          </cell>
          <cell r="E22">
            <v>1001</v>
          </cell>
          <cell r="F22" t="str">
            <v>1311001</v>
          </cell>
          <cell r="G22" t="str">
            <v>アベイル</v>
          </cell>
        </row>
        <row r="23">
          <cell r="A23">
            <v>131</v>
          </cell>
          <cell r="B23" t="str">
            <v>売掛金</v>
          </cell>
          <cell r="E23">
            <v>1036</v>
          </cell>
          <cell r="F23" t="str">
            <v>1311036</v>
          </cell>
          <cell r="G23" t="str">
            <v>ｱｲﾘｽｵｰﾔﾏ㈱角田ITP</v>
          </cell>
        </row>
        <row r="24">
          <cell r="A24">
            <v>131</v>
          </cell>
          <cell r="B24" t="str">
            <v>売掛金</v>
          </cell>
          <cell r="E24">
            <v>1201</v>
          </cell>
          <cell r="F24" t="str">
            <v>1311201</v>
          </cell>
          <cell r="G24" t="str">
            <v>石川建設㈱(松﨑由)</v>
          </cell>
        </row>
        <row r="25">
          <cell r="A25">
            <v>131</v>
          </cell>
          <cell r="B25" t="str">
            <v>売掛金</v>
          </cell>
          <cell r="E25">
            <v>1243</v>
          </cell>
          <cell r="F25" t="str">
            <v>1311243</v>
          </cell>
          <cell r="G25" t="str">
            <v>㈱イマイ建築設計事務</v>
          </cell>
        </row>
        <row r="26">
          <cell r="A26">
            <v>131</v>
          </cell>
          <cell r="B26" t="str">
            <v>売掛金</v>
          </cell>
          <cell r="E26">
            <v>1608</v>
          </cell>
          <cell r="F26" t="str">
            <v>1311608</v>
          </cell>
          <cell r="G26" t="str">
            <v>エルテック㈱</v>
          </cell>
        </row>
        <row r="27">
          <cell r="A27">
            <v>131</v>
          </cell>
          <cell r="B27" t="str">
            <v>売掛金</v>
          </cell>
          <cell r="E27">
            <v>1617</v>
          </cell>
          <cell r="F27" t="str">
            <v>1311617</v>
          </cell>
          <cell r="G27" t="str">
            <v>㈱江田組</v>
          </cell>
        </row>
        <row r="28">
          <cell r="A28">
            <v>131</v>
          </cell>
          <cell r="B28" t="str">
            <v>売掛金</v>
          </cell>
          <cell r="E28">
            <v>1803</v>
          </cell>
          <cell r="F28" t="str">
            <v>1311803</v>
          </cell>
          <cell r="G28" t="str">
            <v>㈱岡村製作所　商環境</v>
          </cell>
        </row>
        <row r="29">
          <cell r="A29">
            <v>131</v>
          </cell>
          <cell r="B29" t="str">
            <v>売掛金</v>
          </cell>
          <cell r="E29">
            <v>1816</v>
          </cell>
          <cell r="F29" t="str">
            <v>1311816</v>
          </cell>
          <cell r="G29" t="str">
            <v>おかべ物産観光㈱</v>
          </cell>
        </row>
        <row r="30">
          <cell r="A30">
            <v>131</v>
          </cell>
          <cell r="B30" t="str">
            <v>売掛金</v>
          </cell>
          <cell r="E30">
            <v>1855</v>
          </cell>
          <cell r="F30" t="str">
            <v>1311855</v>
          </cell>
          <cell r="G30" t="str">
            <v>株式会社織田</v>
          </cell>
        </row>
        <row r="31">
          <cell r="A31">
            <v>131</v>
          </cell>
          <cell r="B31" t="str">
            <v>売掛金</v>
          </cell>
          <cell r="E31">
            <v>2010</v>
          </cell>
          <cell r="F31" t="str">
            <v>1312010</v>
          </cell>
          <cell r="G31" t="str">
            <v>ｶﾈﾎﾞｳ化粧品群馬支社</v>
          </cell>
        </row>
        <row r="32">
          <cell r="A32">
            <v>131</v>
          </cell>
          <cell r="B32" t="str">
            <v>売掛金</v>
          </cell>
          <cell r="E32">
            <v>2011</v>
          </cell>
          <cell r="F32" t="str">
            <v>1312011</v>
          </cell>
          <cell r="G32" t="str">
            <v>ｶﾈﾎﾞｳ化粧品関越支社</v>
          </cell>
        </row>
        <row r="33">
          <cell r="A33">
            <v>131</v>
          </cell>
          <cell r="B33" t="str">
            <v>売掛金</v>
          </cell>
          <cell r="E33">
            <v>2012</v>
          </cell>
          <cell r="F33" t="str">
            <v>1312012</v>
          </cell>
          <cell r="G33" t="str">
            <v>ｶﾈﾎﾞｳ化粧品千葉支社</v>
          </cell>
        </row>
        <row r="34">
          <cell r="A34">
            <v>131</v>
          </cell>
          <cell r="B34" t="str">
            <v>売掛金</v>
          </cell>
          <cell r="E34">
            <v>2013</v>
          </cell>
          <cell r="F34" t="str">
            <v>1312013</v>
          </cell>
          <cell r="G34" t="str">
            <v>ｶﾈﾎﾞｳ化粧品埼玉西</v>
          </cell>
        </row>
        <row r="35">
          <cell r="A35">
            <v>131</v>
          </cell>
          <cell r="B35" t="str">
            <v>売掛金</v>
          </cell>
          <cell r="E35">
            <v>2017</v>
          </cell>
          <cell r="F35" t="str">
            <v>1312017</v>
          </cell>
          <cell r="G35" t="str">
            <v>ｶﾈﾎﾞｳ化粧品栃木支社</v>
          </cell>
        </row>
        <row r="36">
          <cell r="A36">
            <v>131</v>
          </cell>
          <cell r="B36" t="str">
            <v>売掛金</v>
          </cell>
          <cell r="E36">
            <v>2026</v>
          </cell>
          <cell r="F36" t="str">
            <v>1312026</v>
          </cell>
          <cell r="G36" t="str">
            <v>関東建設工業㈱</v>
          </cell>
        </row>
        <row r="37">
          <cell r="A37">
            <v>131</v>
          </cell>
          <cell r="B37" t="str">
            <v>売掛金</v>
          </cell>
          <cell r="E37">
            <v>2045</v>
          </cell>
          <cell r="F37" t="str">
            <v>1312045</v>
          </cell>
          <cell r="G37" t="str">
            <v>ｶﾈﾎﾞｳ化粧品八王子</v>
          </cell>
        </row>
        <row r="38">
          <cell r="A38">
            <v>131</v>
          </cell>
          <cell r="B38" t="str">
            <v>売掛金</v>
          </cell>
          <cell r="E38">
            <v>2070</v>
          </cell>
          <cell r="F38" t="str">
            <v>1312070</v>
          </cell>
          <cell r="G38" t="str">
            <v>花王ｶｽﾀﾏｰﾏｰｹﾃｨﾝｸﾞ㈱</v>
          </cell>
        </row>
        <row r="39">
          <cell r="A39">
            <v>131</v>
          </cell>
          <cell r="B39" t="str">
            <v>売掛金</v>
          </cell>
          <cell r="E39">
            <v>2081</v>
          </cell>
          <cell r="F39" t="str">
            <v>1312081</v>
          </cell>
          <cell r="G39" t="str">
            <v>ｶﾈﾎﾞｳ化粧品関西</v>
          </cell>
        </row>
        <row r="40">
          <cell r="A40">
            <v>131</v>
          </cell>
          <cell r="B40" t="str">
            <v>売掛金</v>
          </cell>
          <cell r="E40">
            <v>2401</v>
          </cell>
          <cell r="F40" t="str">
            <v>1312401</v>
          </cell>
          <cell r="G40" t="str">
            <v>ウエルシア関東㈱</v>
          </cell>
        </row>
        <row r="41">
          <cell r="A41">
            <v>131</v>
          </cell>
          <cell r="B41" t="str">
            <v>売掛金</v>
          </cell>
          <cell r="E41">
            <v>2430</v>
          </cell>
          <cell r="F41" t="str">
            <v>1312430</v>
          </cell>
          <cell r="G41" t="str">
            <v>桑メリヤス㈱</v>
          </cell>
        </row>
        <row r="42">
          <cell r="A42">
            <v>131</v>
          </cell>
          <cell r="B42" t="str">
            <v>売掛金</v>
          </cell>
          <cell r="E42">
            <v>2607</v>
          </cell>
          <cell r="F42" t="str">
            <v>1312607</v>
          </cell>
          <cell r="G42" t="str">
            <v>県北陸運㈲</v>
          </cell>
        </row>
        <row r="43">
          <cell r="A43">
            <v>131</v>
          </cell>
          <cell r="B43" t="str">
            <v>売掛金</v>
          </cell>
          <cell r="E43">
            <v>2827</v>
          </cell>
          <cell r="F43" t="str">
            <v>1312827</v>
          </cell>
          <cell r="G43" t="str">
            <v>ｶﾈﾎﾞｳ化粧品茨城支社</v>
          </cell>
        </row>
        <row r="44">
          <cell r="A44">
            <v>131</v>
          </cell>
          <cell r="B44" t="str">
            <v>売掛金</v>
          </cell>
          <cell r="E44">
            <v>2846</v>
          </cell>
          <cell r="F44" t="str">
            <v>1312846</v>
          </cell>
          <cell r="G44" t="str">
            <v>㈱コーセー</v>
          </cell>
        </row>
        <row r="45">
          <cell r="A45">
            <v>131</v>
          </cell>
          <cell r="B45" t="str">
            <v>売掛金</v>
          </cell>
          <cell r="E45">
            <v>3001</v>
          </cell>
          <cell r="F45" t="str">
            <v>1313001</v>
          </cell>
          <cell r="G45" t="str">
            <v>㈱サンベルクス</v>
          </cell>
        </row>
        <row r="46">
          <cell r="A46">
            <v>131</v>
          </cell>
          <cell r="B46" t="str">
            <v>売掛金</v>
          </cell>
          <cell r="E46">
            <v>3013</v>
          </cell>
          <cell r="F46" t="str">
            <v>1313013</v>
          </cell>
          <cell r="G46" t="str">
            <v>㈲ｻｲｸﾙｽﾃｰｼｮﾝ</v>
          </cell>
        </row>
        <row r="47">
          <cell r="A47">
            <v>131</v>
          </cell>
          <cell r="B47" t="str">
            <v>売掛金</v>
          </cell>
          <cell r="E47">
            <v>3028</v>
          </cell>
          <cell r="F47" t="str">
            <v>1313028</v>
          </cell>
          <cell r="G47" t="str">
            <v>㈱サンワプランニング</v>
          </cell>
        </row>
        <row r="48">
          <cell r="A48">
            <v>131</v>
          </cell>
          <cell r="B48" t="str">
            <v>売掛金</v>
          </cell>
          <cell r="E48">
            <v>3201</v>
          </cell>
          <cell r="F48" t="str">
            <v>1313201</v>
          </cell>
          <cell r="G48" t="str">
            <v>㈱しまむら</v>
          </cell>
        </row>
        <row r="49">
          <cell r="A49">
            <v>131</v>
          </cell>
          <cell r="B49" t="str">
            <v>売掛金</v>
          </cell>
          <cell r="E49">
            <v>3202</v>
          </cell>
          <cell r="F49" t="str">
            <v>1313202</v>
          </cell>
          <cell r="G49" t="str">
            <v>シャンブル</v>
          </cell>
        </row>
        <row r="50">
          <cell r="A50">
            <v>131</v>
          </cell>
          <cell r="B50" t="str">
            <v>売掛金</v>
          </cell>
          <cell r="E50">
            <v>3203</v>
          </cell>
          <cell r="F50" t="str">
            <v>1313203</v>
          </cell>
          <cell r="G50" t="str">
            <v>㈱ジョイテック</v>
          </cell>
        </row>
        <row r="51">
          <cell r="A51">
            <v>131</v>
          </cell>
          <cell r="B51" t="str">
            <v>売掛金</v>
          </cell>
          <cell r="E51">
            <v>3210</v>
          </cell>
          <cell r="F51" t="str">
            <v>1313210</v>
          </cell>
          <cell r="G51" t="str">
            <v>資生堂販売㈱群馬ｵﾌｨｽ</v>
          </cell>
        </row>
        <row r="52">
          <cell r="A52">
            <v>131</v>
          </cell>
          <cell r="B52" t="str">
            <v>売掛金</v>
          </cell>
          <cell r="E52">
            <v>3211</v>
          </cell>
          <cell r="F52" t="str">
            <v>1313211</v>
          </cell>
          <cell r="G52" t="str">
            <v>資生堂販売㈱船橋ｵﾌｨｽ</v>
          </cell>
        </row>
        <row r="53">
          <cell r="A53">
            <v>131</v>
          </cell>
          <cell r="B53" t="str">
            <v>売掛金</v>
          </cell>
          <cell r="E53">
            <v>3212</v>
          </cell>
          <cell r="F53" t="str">
            <v>1313212</v>
          </cell>
          <cell r="G53" t="str">
            <v>資生堂販売大宮東ｵﾌｨｽ</v>
          </cell>
        </row>
        <row r="54">
          <cell r="A54">
            <v>131</v>
          </cell>
          <cell r="B54" t="str">
            <v>売掛金</v>
          </cell>
          <cell r="E54">
            <v>3218</v>
          </cell>
          <cell r="F54" t="str">
            <v>1313218</v>
          </cell>
          <cell r="G54" t="str">
            <v>資生堂販売㈱宇都宮</v>
          </cell>
        </row>
        <row r="55">
          <cell r="A55">
            <v>131</v>
          </cell>
          <cell r="B55" t="str">
            <v>売掛金</v>
          </cell>
          <cell r="E55">
            <v>3219</v>
          </cell>
          <cell r="F55" t="str">
            <v>1313219</v>
          </cell>
          <cell r="G55" t="str">
            <v>資生堂販売浜離宮ｵﾌｨｽ</v>
          </cell>
        </row>
        <row r="56">
          <cell r="A56">
            <v>131</v>
          </cell>
          <cell r="B56" t="str">
            <v>売掛金</v>
          </cell>
          <cell r="E56">
            <v>3236</v>
          </cell>
          <cell r="F56" t="str">
            <v>1313236</v>
          </cell>
          <cell r="G56" t="str">
            <v>資生堂販売土浦ｵﾌｨｽ</v>
          </cell>
        </row>
        <row r="57">
          <cell r="A57">
            <v>131</v>
          </cell>
          <cell r="B57" t="str">
            <v>売掛金</v>
          </cell>
          <cell r="E57">
            <v>3279</v>
          </cell>
          <cell r="F57" t="str">
            <v>1313279</v>
          </cell>
          <cell r="G57" t="str">
            <v>資生堂販売大阪ｵﾌｨｽ</v>
          </cell>
        </row>
        <row r="58">
          <cell r="A58">
            <v>131</v>
          </cell>
          <cell r="B58" t="str">
            <v>売掛金</v>
          </cell>
          <cell r="E58">
            <v>4028</v>
          </cell>
          <cell r="F58" t="str">
            <v>1314028</v>
          </cell>
          <cell r="G58" t="str">
            <v>㈱田原屋</v>
          </cell>
        </row>
        <row r="59">
          <cell r="A59">
            <v>131</v>
          </cell>
          <cell r="B59" t="str">
            <v>売掛金</v>
          </cell>
          <cell r="E59">
            <v>4052</v>
          </cell>
          <cell r="F59" t="str">
            <v>1314052</v>
          </cell>
          <cell r="G59" t="str">
            <v>㈱大創産業</v>
          </cell>
        </row>
        <row r="60">
          <cell r="A60">
            <v>131</v>
          </cell>
          <cell r="B60" t="str">
            <v>売掛金</v>
          </cell>
          <cell r="E60">
            <v>4204</v>
          </cell>
          <cell r="F60" t="str">
            <v>1314204</v>
          </cell>
          <cell r="G60" t="str">
            <v>中日販売㈱</v>
          </cell>
        </row>
        <row r="61">
          <cell r="A61">
            <v>131</v>
          </cell>
          <cell r="B61" t="str">
            <v>売掛金</v>
          </cell>
          <cell r="E61">
            <v>4608</v>
          </cell>
          <cell r="F61" t="str">
            <v>1314608</v>
          </cell>
          <cell r="G61" t="str">
            <v>ウエルシア介護サービス㈱</v>
          </cell>
        </row>
        <row r="62">
          <cell r="A62">
            <v>131</v>
          </cell>
          <cell r="B62" t="str">
            <v>売掛金</v>
          </cell>
          <cell r="E62">
            <v>4801</v>
          </cell>
          <cell r="F62" t="str">
            <v>1314801</v>
          </cell>
          <cell r="G62" t="str">
            <v>㈱ＬＩＸＩＬビバ</v>
          </cell>
        </row>
        <row r="63">
          <cell r="A63">
            <v>131</v>
          </cell>
          <cell r="B63" t="str">
            <v>売掛金</v>
          </cell>
          <cell r="E63">
            <v>4836</v>
          </cell>
          <cell r="F63" t="str">
            <v>1314836</v>
          </cell>
          <cell r="G63" t="str">
            <v>㈱ＬＩＸＩＬ</v>
          </cell>
        </row>
        <row r="64">
          <cell r="A64">
            <v>131</v>
          </cell>
          <cell r="B64" t="str">
            <v>売掛金</v>
          </cell>
          <cell r="E64">
            <v>4845</v>
          </cell>
          <cell r="F64" t="str">
            <v>1314845</v>
          </cell>
          <cell r="G64" t="str">
            <v>ダイフク</v>
          </cell>
        </row>
        <row r="65">
          <cell r="A65">
            <v>131</v>
          </cell>
          <cell r="B65" t="str">
            <v>売掛金</v>
          </cell>
          <cell r="E65">
            <v>5011</v>
          </cell>
          <cell r="F65" t="str">
            <v>1315011</v>
          </cell>
          <cell r="G65" t="str">
            <v>㈱中島半平商店</v>
          </cell>
        </row>
        <row r="66">
          <cell r="A66">
            <v>131</v>
          </cell>
          <cell r="B66" t="str">
            <v>売掛金</v>
          </cell>
          <cell r="E66">
            <v>5201</v>
          </cell>
          <cell r="F66" t="str">
            <v>1315201</v>
          </cell>
          <cell r="G66" t="str">
            <v>㈱日本アポック</v>
          </cell>
        </row>
        <row r="67">
          <cell r="A67">
            <v>131</v>
          </cell>
          <cell r="B67" t="str">
            <v>売掛金</v>
          </cell>
          <cell r="E67">
            <v>6001</v>
          </cell>
          <cell r="F67" t="str">
            <v>1316001</v>
          </cell>
          <cell r="G67" t="str">
            <v>バースデイ</v>
          </cell>
        </row>
        <row r="68">
          <cell r="A68">
            <v>131</v>
          </cell>
          <cell r="B68" t="str">
            <v>売掛金</v>
          </cell>
          <cell r="E68">
            <v>6009</v>
          </cell>
          <cell r="F68" t="str">
            <v>1316009</v>
          </cell>
          <cell r="G68" t="str">
            <v>㈲長谷川ﾃﾞｻﾞｲﾝｵﾌｨｽ</v>
          </cell>
        </row>
        <row r="69">
          <cell r="A69">
            <v>131</v>
          </cell>
          <cell r="B69" t="str">
            <v>売掛金</v>
          </cell>
          <cell r="E69">
            <v>6401</v>
          </cell>
          <cell r="F69" t="str">
            <v>1316401</v>
          </cell>
          <cell r="G69" t="str">
            <v>㈱フレッセイ</v>
          </cell>
        </row>
        <row r="70">
          <cell r="A70">
            <v>131</v>
          </cell>
          <cell r="B70" t="str">
            <v>売掛金</v>
          </cell>
          <cell r="E70">
            <v>6407</v>
          </cell>
          <cell r="F70" t="str">
            <v>1316407</v>
          </cell>
          <cell r="G70" t="str">
            <v>㈱藤沢商事</v>
          </cell>
        </row>
        <row r="71">
          <cell r="A71">
            <v>131</v>
          </cell>
          <cell r="B71" t="str">
            <v>売掛金</v>
          </cell>
          <cell r="E71">
            <v>6410</v>
          </cell>
          <cell r="F71" t="str">
            <v>1316410</v>
          </cell>
          <cell r="G71" t="str">
            <v>福助工業㈱</v>
          </cell>
        </row>
        <row r="72">
          <cell r="A72">
            <v>131</v>
          </cell>
          <cell r="B72" t="str">
            <v>売掛金</v>
          </cell>
          <cell r="E72">
            <v>6601</v>
          </cell>
          <cell r="F72" t="str">
            <v>1316601</v>
          </cell>
          <cell r="G72" t="str">
            <v>㈱ベルク</v>
          </cell>
        </row>
        <row r="73">
          <cell r="A73">
            <v>131</v>
          </cell>
          <cell r="B73" t="str">
            <v>売掛金</v>
          </cell>
          <cell r="E73">
            <v>6802</v>
          </cell>
          <cell r="F73" t="str">
            <v>1316802</v>
          </cell>
          <cell r="G73" t="str">
            <v>㈱ホームデリカ</v>
          </cell>
        </row>
        <row r="74">
          <cell r="A74">
            <v>131</v>
          </cell>
          <cell r="B74" t="str">
            <v>売掛金</v>
          </cell>
          <cell r="E74">
            <v>7001</v>
          </cell>
          <cell r="F74" t="str">
            <v>1317001</v>
          </cell>
          <cell r="G74" t="str">
            <v>㈱マミーマート</v>
          </cell>
        </row>
        <row r="75">
          <cell r="A75">
            <v>131</v>
          </cell>
          <cell r="B75" t="str">
            <v>売掛金</v>
          </cell>
          <cell r="E75">
            <v>7209</v>
          </cell>
          <cell r="F75" t="str">
            <v>1317209</v>
          </cell>
          <cell r="G75" t="str">
            <v>㈱ミスターマックス</v>
          </cell>
        </row>
        <row r="76">
          <cell r="A76">
            <v>131</v>
          </cell>
          <cell r="B76" t="str">
            <v>売掛金</v>
          </cell>
          <cell r="E76">
            <v>8001</v>
          </cell>
          <cell r="F76" t="str">
            <v>1318001</v>
          </cell>
          <cell r="G76" t="str">
            <v>㈱ヤオコー</v>
          </cell>
        </row>
        <row r="77">
          <cell r="A77">
            <v>131</v>
          </cell>
          <cell r="B77" t="str">
            <v>売掛金</v>
          </cell>
          <cell r="E77">
            <v>8805</v>
          </cell>
          <cell r="F77" t="str">
            <v>1318805</v>
          </cell>
          <cell r="G77" t="str">
            <v>㈱ワームス　本社</v>
          </cell>
        </row>
        <row r="78">
          <cell r="A78">
            <v>132</v>
          </cell>
          <cell r="B78" t="str">
            <v>有価証券</v>
          </cell>
          <cell r="C78">
            <v>30</v>
          </cell>
          <cell r="E78">
            <v>2401</v>
          </cell>
          <cell r="F78" t="str">
            <v>1322401</v>
          </cell>
          <cell r="G78" t="str">
            <v>ウエルシア</v>
          </cell>
        </row>
        <row r="79">
          <cell r="A79">
            <v>132</v>
          </cell>
          <cell r="B79" t="str">
            <v>有価証券</v>
          </cell>
          <cell r="E79">
            <v>3028</v>
          </cell>
          <cell r="F79" t="str">
            <v>1323028</v>
          </cell>
          <cell r="G79" t="str">
            <v>サンプラ</v>
          </cell>
        </row>
        <row r="80">
          <cell r="A80">
            <v>132</v>
          </cell>
          <cell r="B80" t="str">
            <v>有価証券</v>
          </cell>
          <cell r="E80">
            <v>3201</v>
          </cell>
          <cell r="F80" t="str">
            <v>1323201</v>
          </cell>
          <cell r="G80" t="str">
            <v>しまむら</v>
          </cell>
        </row>
        <row r="81">
          <cell r="A81">
            <v>132</v>
          </cell>
          <cell r="B81" t="str">
            <v>有価証券</v>
          </cell>
          <cell r="E81">
            <v>4801</v>
          </cell>
          <cell r="F81" t="str">
            <v>1324801</v>
          </cell>
          <cell r="G81" t="str">
            <v>LIXILグループ</v>
          </cell>
        </row>
        <row r="82">
          <cell r="A82">
            <v>132</v>
          </cell>
          <cell r="B82" t="str">
            <v>有価証券</v>
          </cell>
          <cell r="E82">
            <v>6601</v>
          </cell>
          <cell r="F82" t="str">
            <v>1326601</v>
          </cell>
          <cell r="G82" t="str">
            <v>ベルク</v>
          </cell>
        </row>
        <row r="83">
          <cell r="A83">
            <v>132</v>
          </cell>
          <cell r="B83" t="str">
            <v>有価証券</v>
          </cell>
          <cell r="E83">
            <v>7001</v>
          </cell>
          <cell r="F83" t="str">
            <v>1327001</v>
          </cell>
          <cell r="G83" t="str">
            <v>マミー</v>
          </cell>
        </row>
        <row r="84">
          <cell r="A84">
            <v>132</v>
          </cell>
          <cell r="B84" t="str">
            <v>有価証券</v>
          </cell>
          <cell r="E84">
            <v>8001</v>
          </cell>
          <cell r="F84" t="str">
            <v>1328001</v>
          </cell>
          <cell r="G84" t="str">
            <v>ヤオコー</v>
          </cell>
        </row>
        <row r="85">
          <cell r="A85">
            <v>132</v>
          </cell>
          <cell r="B85" t="str">
            <v>有価証券</v>
          </cell>
          <cell r="E85">
            <v>9997</v>
          </cell>
          <cell r="F85" t="str">
            <v>1329997</v>
          </cell>
          <cell r="G85" t="str">
            <v>アクシアル</v>
          </cell>
        </row>
        <row r="86">
          <cell r="A86">
            <v>132</v>
          </cell>
          <cell r="B86" t="str">
            <v>有価証券</v>
          </cell>
          <cell r="E86">
            <v>9998</v>
          </cell>
          <cell r="F86" t="str">
            <v>1329998</v>
          </cell>
          <cell r="G86" t="str">
            <v>セキチュー</v>
          </cell>
        </row>
        <row r="87">
          <cell r="A87">
            <v>132</v>
          </cell>
          <cell r="B87" t="str">
            <v>有価証券</v>
          </cell>
          <cell r="E87">
            <v>9999</v>
          </cell>
          <cell r="F87" t="str">
            <v>1329999</v>
          </cell>
          <cell r="G87" t="str">
            <v>その他</v>
          </cell>
        </row>
        <row r="88">
          <cell r="A88">
            <v>140</v>
          </cell>
          <cell r="B88" t="str">
            <v>商品</v>
          </cell>
          <cell r="F88" t="str">
            <v>140</v>
          </cell>
        </row>
        <row r="89">
          <cell r="A89">
            <v>150</v>
          </cell>
          <cell r="B89" t="str">
            <v>前渡金</v>
          </cell>
          <cell r="E89">
            <v>1</v>
          </cell>
          <cell r="F89" t="str">
            <v>1501</v>
          </cell>
          <cell r="G89" t="str">
            <v>三研商貿有限公司</v>
          </cell>
        </row>
        <row r="90">
          <cell r="A90">
            <v>150</v>
          </cell>
          <cell r="B90" t="str">
            <v>前渡金</v>
          </cell>
          <cell r="E90">
            <v>2</v>
          </cell>
          <cell r="F90" t="str">
            <v>1502</v>
          </cell>
          <cell r="G90" t="str">
            <v>異業種交流会</v>
          </cell>
        </row>
        <row r="91">
          <cell r="A91">
            <v>151</v>
          </cell>
          <cell r="B91" t="str">
            <v>短期貸付金</v>
          </cell>
          <cell r="E91">
            <v>1</v>
          </cell>
          <cell r="F91" t="str">
            <v>1511</v>
          </cell>
          <cell r="G91" t="str">
            <v>㈱三和商研</v>
          </cell>
        </row>
        <row r="92">
          <cell r="A92">
            <v>151</v>
          </cell>
          <cell r="B92" t="str">
            <v>短期貸付金</v>
          </cell>
          <cell r="E92">
            <v>4</v>
          </cell>
          <cell r="F92" t="str">
            <v>1514</v>
          </cell>
          <cell r="G92" t="str">
            <v>三研商貿有限公司</v>
          </cell>
        </row>
        <row r="93">
          <cell r="A93">
            <v>152</v>
          </cell>
          <cell r="B93" t="str">
            <v>立替金</v>
          </cell>
          <cell r="E93">
            <v>1</v>
          </cell>
          <cell r="F93" t="str">
            <v>1521</v>
          </cell>
          <cell r="G93" t="str">
            <v>㈱三和商研</v>
          </cell>
        </row>
        <row r="94">
          <cell r="A94">
            <v>152</v>
          </cell>
          <cell r="B94" t="str">
            <v>立替金</v>
          </cell>
          <cell r="E94">
            <v>4</v>
          </cell>
          <cell r="F94" t="str">
            <v>1524</v>
          </cell>
          <cell r="G94" t="str">
            <v>中国</v>
          </cell>
        </row>
        <row r="95">
          <cell r="A95">
            <v>152</v>
          </cell>
          <cell r="B95" t="str">
            <v>立替金</v>
          </cell>
          <cell r="E95">
            <v>100</v>
          </cell>
          <cell r="F95" t="str">
            <v>152100</v>
          </cell>
          <cell r="G95" t="str">
            <v>一時的</v>
          </cell>
        </row>
        <row r="96">
          <cell r="A96">
            <v>152</v>
          </cell>
          <cell r="B96" t="str">
            <v>立替金</v>
          </cell>
          <cell r="E96">
            <v>101</v>
          </cell>
          <cell r="F96" t="str">
            <v>152101</v>
          </cell>
          <cell r="G96" t="str">
            <v>従業員立替</v>
          </cell>
        </row>
        <row r="97">
          <cell r="A97">
            <v>152</v>
          </cell>
          <cell r="B97" t="str">
            <v>立替金</v>
          </cell>
          <cell r="E97">
            <v>102</v>
          </cell>
          <cell r="F97" t="str">
            <v>152102</v>
          </cell>
          <cell r="G97" t="str">
            <v>ｻﾝﾜﾌﾟﾗﾝﾆﾝｸﾞ</v>
          </cell>
        </row>
        <row r="98">
          <cell r="A98">
            <v>152</v>
          </cell>
          <cell r="B98" t="str">
            <v>立替金</v>
          </cell>
          <cell r="E98">
            <v>103</v>
          </cell>
          <cell r="F98" t="str">
            <v>152103</v>
          </cell>
          <cell r="G98" t="str">
            <v>得意先</v>
          </cell>
        </row>
        <row r="99">
          <cell r="A99">
            <v>152</v>
          </cell>
          <cell r="B99" t="str">
            <v>立替金</v>
          </cell>
          <cell r="E99">
            <v>104</v>
          </cell>
          <cell r="F99" t="str">
            <v>152104</v>
          </cell>
          <cell r="G99" t="str">
            <v>永見</v>
          </cell>
        </row>
        <row r="100">
          <cell r="A100">
            <v>152</v>
          </cell>
          <cell r="B100" t="str">
            <v>立替金</v>
          </cell>
          <cell r="E100">
            <v>105</v>
          </cell>
          <cell r="F100" t="str">
            <v>152105</v>
          </cell>
          <cell r="G100" t="str">
            <v>三和会</v>
          </cell>
        </row>
        <row r="101">
          <cell r="A101">
            <v>153</v>
          </cell>
          <cell r="B101" t="str">
            <v>未収入金</v>
          </cell>
          <cell r="E101">
            <v>7008</v>
          </cell>
          <cell r="F101" t="str">
            <v>1537008</v>
          </cell>
          <cell r="G101" t="str">
            <v>前林商店</v>
          </cell>
        </row>
        <row r="102">
          <cell r="A102">
            <v>153</v>
          </cell>
          <cell r="B102" t="str">
            <v>未収入金</v>
          </cell>
          <cell r="E102">
            <v>1621</v>
          </cell>
          <cell r="F102" t="str">
            <v>1531621</v>
          </cell>
          <cell r="G102" t="str">
            <v>ｴｺﾓｰｼｮﾝ</v>
          </cell>
        </row>
        <row r="103">
          <cell r="A103">
            <v>153</v>
          </cell>
          <cell r="B103" t="str">
            <v>未収入金</v>
          </cell>
          <cell r="E103">
            <v>1620</v>
          </cell>
          <cell r="F103" t="str">
            <v>1531620</v>
          </cell>
          <cell r="G103" t="str">
            <v>ｴｺﾛｼﾞﾃﾑ</v>
          </cell>
        </row>
        <row r="104">
          <cell r="A104">
            <v>153</v>
          </cell>
          <cell r="B104" t="str">
            <v>未収入金</v>
          </cell>
          <cell r="E104">
            <v>1</v>
          </cell>
          <cell r="F104" t="str">
            <v>1531</v>
          </cell>
          <cell r="G104" t="str">
            <v>ｺｶｺｰﾗｲｰｽﾄｼﾞｬﾊﾟﾝ</v>
          </cell>
        </row>
        <row r="105">
          <cell r="A105">
            <v>154</v>
          </cell>
          <cell r="B105" t="str">
            <v>仮払金</v>
          </cell>
          <cell r="E105">
            <v>4</v>
          </cell>
          <cell r="F105" t="str">
            <v>1544</v>
          </cell>
          <cell r="G105" t="str">
            <v>中国</v>
          </cell>
        </row>
        <row r="106">
          <cell r="A106">
            <v>154</v>
          </cell>
          <cell r="B106" t="str">
            <v>仮払金</v>
          </cell>
          <cell r="E106">
            <v>10</v>
          </cell>
          <cell r="F106" t="str">
            <v>15410</v>
          </cell>
          <cell r="G106" t="str">
            <v>社長小口</v>
          </cell>
        </row>
        <row r="107">
          <cell r="A107">
            <v>154</v>
          </cell>
          <cell r="B107" t="str">
            <v>仮払金</v>
          </cell>
          <cell r="E107">
            <v>11</v>
          </cell>
          <cell r="F107" t="str">
            <v>15411</v>
          </cell>
          <cell r="G107" t="str">
            <v>社長外貨</v>
          </cell>
        </row>
        <row r="108">
          <cell r="A108">
            <v>154</v>
          </cell>
          <cell r="B108" t="str">
            <v>仮払金</v>
          </cell>
          <cell r="E108">
            <v>100</v>
          </cell>
          <cell r="F108" t="str">
            <v>154100</v>
          </cell>
          <cell r="G108" t="str">
            <v>一時的</v>
          </cell>
        </row>
        <row r="109">
          <cell r="A109">
            <v>154</v>
          </cell>
          <cell r="B109" t="str">
            <v>仮払金</v>
          </cell>
          <cell r="E109">
            <v>101</v>
          </cell>
          <cell r="F109" t="str">
            <v>154101</v>
          </cell>
          <cell r="G109" t="str">
            <v>一時的</v>
          </cell>
        </row>
        <row r="110">
          <cell r="A110">
            <v>154</v>
          </cell>
          <cell r="B110" t="str">
            <v>仮払金</v>
          </cell>
          <cell r="E110">
            <v>999</v>
          </cell>
          <cell r="F110" t="str">
            <v>154999</v>
          </cell>
          <cell r="G110" t="str">
            <v>その他</v>
          </cell>
        </row>
        <row r="111">
          <cell r="A111">
            <v>154</v>
          </cell>
          <cell r="B111" t="str">
            <v>仮払金</v>
          </cell>
          <cell r="E111">
            <v>2401</v>
          </cell>
          <cell r="F111" t="str">
            <v>1542401</v>
          </cell>
          <cell r="G111" t="str">
            <v>ウエルシア</v>
          </cell>
        </row>
        <row r="112">
          <cell r="A112">
            <v>155</v>
          </cell>
          <cell r="B112" t="str">
            <v>前払費用</v>
          </cell>
          <cell r="E112">
            <v>1</v>
          </cell>
          <cell r="F112" t="str">
            <v>1551</v>
          </cell>
          <cell r="G112" t="str">
            <v>保証料</v>
          </cell>
        </row>
        <row r="113">
          <cell r="A113">
            <v>155</v>
          </cell>
          <cell r="B113" t="str">
            <v>前払費用</v>
          </cell>
          <cell r="E113">
            <v>10</v>
          </cell>
          <cell r="F113" t="str">
            <v>15510</v>
          </cell>
          <cell r="G113" t="str">
            <v>三井住友海上</v>
          </cell>
        </row>
        <row r="114">
          <cell r="A114">
            <v>155</v>
          </cell>
          <cell r="B114" t="str">
            <v>前払費用</v>
          </cell>
          <cell r="E114">
            <v>100</v>
          </cell>
          <cell r="F114" t="str">
            <v>155100</v>
          </cell>
          <cell r="G114" t="str">
            <v>家賃地代</v>
          </cell>
        </row>
        <row r="115">
          <cell r="A115">
            <v>155</v>
          </cell>
          <cell r="B115" t="str">
            <v>前払費用</v>
          </cell>
          <cell r="E115">
            <v>101</v>
          </cell>
          <cell r="F115" t="str">
            <v>155101</v>
          </cell>
          <cell r="G115" t="str">
            <v>社員旅行</v>
          </cell>
        </row>
        <row r="116">
          <cell r="A116">
            <v>155</v>
          </cell>
          <cell r="B116" t="str">
            <v>前払費用</v>
          </cell>
          <cell r="E116">
            <v>102</v>
          </cell>
          <cell r="F116" t="str">
            <v>155102</v>
          </cell>
          <cell r="G116" t="str">
            <v>セコム</v>
          </cell>
        </row>
        <row r="117">
          <cell r="A117">
            <v>156</v>
          </cell>
          <cell r="B117" t="str">
            <v>預け金</v>
          </cell>
          <cell r="F117" t="str">
            <v>156</v>
          </cell>
        </row>
        <row r="118">
          <cell r="A118">
            <v>158</v>
          </cell>
          <cell r="B118" t="str">
            <v>仮払消費税</v>
          </cell>
          <cell r="F118" t="str">
            <v>158</v>
          </cell>
        </row>
        <row r="119">
          <cell r="A119">
            <v>161</v>
          </cell>
          <cell r="B119" t="str">
            <v>建物付属設備</v>
          </cell>
          <cell r="C119">
            <v>32</v>
          </cell>
          <cell r="D119">
            <v>5</v>
          </cell>
          <cell r="F119" t="str">
            <v>161</v>
          </cell>
        </row>
        <row r="120">
          <cell r="A120">
            <v>162</v>
          </cell>
          <cell r="B120" t="str">
            <v>構築物</v>
          </cell>
          <cell r="C120">
            <v>32</v>
          </cell>
          <cell r="D120">
            <v>5</v>
          </cell>
          <cell r="F120" t="str">
            <v>162</v>
          </cell>
        </row>
        <row r="121">
          <cell r="A121">
            <v>164</v>
          </cell>
          <cell r="B121" t="str">
            <v>車両運搬具</v>
          </cell>
          <cell r="C121">
            <v>32</v>
          </cell>
          <cell r="D121">
            <v>8</v>
          </cell>
          <cell r="F121" t="str">
            <v>164</v>
          </cell>
        </row>
        <row r="122">
          <cell r="A122">
            <v>165</v>
          </cell>
          <cell r="B122" t="str">
            <v>器具備品</v>
          </cell>
          <cell r="C122">
            <v>32</v>
          </cell>
          <cell r="D122">
            <v>5</v>
          </cell>
          <cell r="F122" t="str">
            <v>165</v>
          </cell>
        </row>
        <row r="123">
          <cell r="A123">
            <v>171</v>
          </cell>
          <cell r="B123" t="str">
            <v>差入保証金</v>
          </cell>
          <cell r="E123">
            <v>1</v>
          </cell>
          <cell r="F123" t="str">
            <v>1711</v>
          </cell>
          <cell r="G123" t="str">
            <v>㈱岡村製作所</v>
          </cell>
        </row>
        <row r="124">
          <cell r="A124">
            <v>171</v>
          </cell>
          <cell r="B124" t="str">
            <v>差入保証金</v>
          </cell>
          <cell r="E124">
            <v>2</v>
          </cell>
          <cell r="F124" t="str">
            <v>1712</v>
          </cell>
          <cell r="G124" t="str">
            <v>富士火災海上保険㈱</v>
          </cell>
        </row>
        <row r="125">
          <cell r="A125">
            <v>171</v>
          </cell>
          <cell r="B125" t="str">
            <v>差入保証金</v>
          </cell>
          <cell r="E125">
            <v>3</v>
          </cell>
          <cell r="F125" t="str">
            <v>1713</v>
          </cell>
          <cell r="G125" t="str">
            <v>電気通信共済会</v>
          </cell>
        </row>
        <row r="126">
          <cell r="A126">
            <v>171</v>
          </cell>
          <cell r="B126" t="str">
            <v>差入保証金</v>
          </cell>
          <cell r="E126">
            <v>4</v>
          </cell>
          <cell r="F126" t="str">
            <v>1714</v>
          </cell>
          <cell r="G126" t="str">
            <v>ﾘｿﾞｰﾄﾄﾗｽﾄ㈱</v>
          </cell>
        </row>
        <row r="127">
          <cell r="A127">
            <v>173</v>
          </cell>
          <cell r="B127" t="str">
            <v>ソフトウェア</v>
          </cell>
          <cell r="C127">
            <v>32</v>
          </cell>
          <cell r="D127">
            <v>5</v>
          </cell>
          <cell r="F127" t="str">
            <v>173</v>
          </cell>
        </row>
        <row r="128">
          <cell r="A128">
            <v>173</v>
          </cell>
          <cell r="B128" t="str">
            <v>ソフトウェア</v>
          </cell>
          <cell r="C128">
            <v>81</v>
          </cell>
          <cell r="F128" t="str">
            <v>173</v>
          </cell>
        </row>
        <row r="129">
          <cell r="A129">
            <v>181</v>
          </cell>
          <cell r="B129" t="str">
            <v>出資金</v>
          </cell>
          <cell r="E129">
            <v>1</v>
          </cell>
          <cell r="F129" t="str">
            <v>1811</v>
          </cell>
          <cell r="G129" t="str">
            <v>埼玉縣信金</v>
          </cell>
        </row>
        <row r="130">
          <cell r="A130">
            <v>181</v>
          </cell>
          <cell r="B130" t="str">
            <v>出資金</v>
          </cell>
          <cell r="E130">
            <v>2</v>
          </cell>
          <cell r="F130" t="str">
            <v>1812</v>
          </cell>
          <cell r="G130" t="str">
            <v>熊谷異業種交流会</v>
          </cell>
        </row>
        <row r="131">
          <cell r="A131">
            <v>181</v>
          </cell>
          <cell r="B131" t="str">
            <v>出資金</v>
          </cell>
          <cell r="E131">
            <v>3</v>
          </cell>
          <cell r="F131" t="str">
            <v>1813</v>
          </cell>
          <cell r="G131" t="str">
            <v>エルテック㈱</v>
          </cell>
        </row>
        <row r="132">
          <cell r="A132">
            <v>181</v>
          </cell>
          <cell r="B132" t="str">
            <v>出資金</v>
          </cell>
          <cell r="E132">
            <v>4</v>
          </cell>
          <cell r="F132" t="str">
            <v>1814</v>
          </cell>
          <cell r="G132" t="str">
            <v>三研商貿有限公司</v>
          </cell>
        </row>
        <row r="133">
          <cell r="A133">
            <v>185</v>
          </cell>
          <cell r="B133" t="str">
            <v>保険積立金</v>
          </cell>
          <cell r="F133" t="str">
            <v>185</v>
          </cell>
        </row>
        <row r="134">
          <cell r="A134">
            <v>188</v>
          </cell>
          <cell r="B134" t="str">
            <v>その他の投資</v>
          </cell>
          <cell r="F134" t="str">
            <v>188</v>
          </cell>
        </row>
        <row r="135">
          <cell r="A135">
            <v>201</v>
          </cell>
          <cell r="B135" t="str">
            <v>買掛金</v>
          </cell>
          <cell r="E135">
            <v>1005</v>
          </cell>
          <cell r="F135" t="str">
            <v>2011005</v>
          </cell>
          <cell r="G135" t="str">
            <v>アイリスオーヤマ㈱</v>
          </cell>
        </row>
        <row r="136">
          <cell r="A136">
            <v>201</v>
          </cell>
          <cell r="B136" t="str">
            <v>買掛金</v>
          </cell>
          <cell r="E136">
            <v>1011</v>
          </cell>
          <cell r="F136" t="str">
            <v>2011011</v>
          </cell>
          <cell r="G136" t="str">
            <v>㈱ｱｸﾃｨｰ.ｽﾀｯﾌ</v>
          </cell>
        </row>
        <row r="137">
          <cell r="A137">
            <v>201</v>
          </cell>
          <cell r="B137" t="str">
            <v>買掛金</v>
          </cell>
          <cell r="E137">
            <v>1023</v>
          </cell>
          <cell r="F137" t="str">
            <v>2011023</v>
          </cell>
          <cell r="G137" t="str">
            <v>㈱アドシア</v>
          </cell>
        </row>
        <row r="138">
          <cell r="A138">
            <v>201</v>
          </cell>
          <cell r="B138" t="str">
            <v>買掛金</v>
          </cell>
          <cell r="E138">
            <v>1024</v>
          </cell>
          <cell r="F138" t="str">
            <v>2011024</v>
          </cell>
          <cell r="G138" t="str">
            <v>アドバンスサービス</v>
          </cell>
        </row>
        <row r="139">
          <cell r="A139">
            <v>201</v>
          </cell>
          <cell r="B139" t="str">
            <v>買掛金</v>
          </cell>
          <cell r="E139">
            <v>1027</v>
          </cell>
          <cell r="F139" t="str">
            <v>2011027</v>
          </cell>
          <cell r="G139" t="str">
            <v>アイエイト</v>
          </cell>
        </row>
        <row r="140">
          <cell r="A140">
            <v>201</v>
          </cell>
          <cell r="B140" t="str">
            <v>買掛金</v>
          </cell>
          <cell r="E140">
            <v>1028</v>
          </cell>
          <cell r="F140" t="str">
            <v>2011028</v>
          </cell>
          <cell r="G140" t="str">
            <v>安西総合(有)</v>
          </cell>
        </row>
        <row r="141">
          <cell r="A141">
            <v>201</v>
          </cell>
          <cell r="B141" t="str">
            <v>買掛金</v>
          </cell>
          <cell r="E141">
            <v>1203</v>
          </cell>
          <cell r="F141" t="str">
            <v>2011203</v>
          </cell>
          <cell r="G141" t="str">
            <v>石山商工</v>
          </cell>
        </row>
        <row r="142">
          <cell r="A142">
            <v>201</v>
          </cell>
          <cell r="B142" t="str">
            <v>買掛金</v>
          </cell>
          <cell r="E142">
            <v>1209</v>
          </cell>
          <cell r="F142" t="str">
            <v>2011209</v>
          </cell>
          <cell r="G142" t="str">
            <v>井上金庫販売㈱</v>
          </cell>
        </row>
        <row r="143">
          <cell r="A143">
            <v>201</v>
          </cell>
          <cell r="B143" t="str">
            <v>買掛金</v>
          </cell>
          <cell r="E143">
            <v>1224</v>
          </cell>
          <cell r="F143" t="str">
            <v>2011224</v>
          </cell>
          <cell r="G143" t="str">
            <v>㈲ｲﾝﾃﾘｱ ﾌﾟﾗｽﾃｨﾝｸﾞ</v>
          </cell>
        </row>
        <row r="144">
          <cell r="A144">
            <v>201</v>
          </cell>
          <cell r="B144" t="str">
            <v>買掛金</v>
          </cell>
          <cell r="E144">
            <v>1226</v>
          </cell>
          <cell r="F144" t="str">
            <v>2011226</v>
          </cell>
          <cell r="G144" t="str">
            <v>㈱井上運送</v>
          </cell>
        </row>
        <row r="145">
          <cell r="A145">
            <v>201</v>
          </cell>
          <cell r="B145" t="str">
            <v>買掛金</v>
          </cell>
          <cell r="E145">
            <v>1227</v>
          </cell>
          <cell r="F145" t="str">
            <v>2011227</v>
          </cell>
          <cell r="G145" t="str">
            <v>㈱井出木工</v>
          </cell>
        </row>
        <row r="146">
          <cell r="A146">
            <v>201</v>
          </cell>
          <cell r="B146" t="str">
            <v>買掛金</v>
          </cell>
          <cell r="E146">
            <v>1407</v>
          </cell>
          <cell r="F146" t="str">
            <v>2011407</v>
          </cell>
          <cell r="G146" t="str">
            <v>ｳｴﾙｼｱ薬局　各店</v>
          </cell>
        </row>
        <row r="147">
          <cell r="A147">
            <v>201</v>
          </cell>
          <cell r="B147" t="str">
            <v>買掛金</v>
          </cell>
          <cell r="E147">
            <v>1408</v>
          </cell>
          <cell r="F147" t="str">
            <v>2011408</v>
          </cell>
          <cell r="G147" t="str">
            <v>運送費</v>
          </cell>
        </row>
        <row r="148">
          <cell r="A148">
            <v>201</v>
          </cell>
          <cell r="B148" t="str">
            <v>買掛金</v>
          </cell>
          <cell r="E148">
            <v>1409</v>
          </cell>
          <cell r="F148" t="str">
            <v>2011409</v>
          </cell>
          <cell r="G148" t="str">
            <v>植木木工㈱</v>
          </cell>
        </row>
        <row r="149">
          <cell r="A149">
            <v>201</v>
          </cell>
          <cell r="B149" t="str">
            <v>買掛金</v>
          </cell>
          <cell r="E149">
            <v>1601</v>
          </cell>
          <cell r="F149" t="str">
            <v>2011601</v>
          </cell>
          <cell r="G149" t="str">
            <v>ｴﾙﾃｯｸ㈱　PF事業部</v>
          </cell>
        </row>
        <row r="150">
          <cell r="A150">
            <v>201</v>
          </cell>
          <cell r="B150" t="str">
            <v>買掛金</v>
          </cell>
          <cell r="E150">
            <v>1606</v>
          </cell>
          <cell r="F150" t="str">
            <v>2011606</v>
          </cell>
          <cell r="G150" t="str">
            <v>エルム室内㈱</v>
          </cell>
        </row>
        <row r="151">
          <cell r="A151">
            <v>201</v>
          </cell>
          <cell r="B151" t="str">
            <v>買掛金</v>
          </cell>
          <cell r="E151">
            <v>1614</v>
          </cell>
          <cell r="F151" t="str">
            <v>2011614</v>
          </cell>
          <cell r="G151" t="str">
            <v>㈱エコテック</v>
          </cell>
        </row>
        <row r="152">
          <cell r="A152">
            <v>201</v>
          </cell>
          <cell r="B152" t="str">
            <v>買掛金</v>
          </cell>
          <cell r="E152">
            <v>1615</v>
          </cell>
          <cell r="F152" t="str">
            <v>2011615</v>
          </cell>
          <cell r="G152" t="str">
            <v>エム木工</v>
          </cell>
        </row>
        <row r="153">
          <cell r="A153">
            <v>201</v>
          </cell>
          <cell r="B153" t="str">
            <v>買掛金</v>
          </cell>
          <cell r="E153">
            <v>1616</v>
          </cell>
          <cell r="F153" t="str">
            <v>2011616</v>
          </cell>
          <cell r="G153" t="str">
            <v>ｴｲ･ｼﾞｰ･ｻｰﾋﾞｽ㈱</v>
          </cell>
        </row>
        <row r="154">
          <cell r="A154">
            <v>201</v>
          </cell>
          <cell r="B154" t="str">
            <v>買掛金</v>
          </cell>
          <cell r="E154">
            <v>1617</v>
          </cell>
          <cell r="F154" t="str">
            <v>2011617</v>
          </cell>
          <cell r="G154" t="str">
            <v>ｴﾑ・ｴｽ・ｼﾞｪｲ</v>
          </cell>
        </row>
        <row r="155">
          <cell r="A155">
            <v>201</v>
          </cell>
          <cell r="B155" t="str">
            <v>買掛金</v>
          </cell>
          <cell r="E155">
            <v>1803</v>
          </cell>
          <cell r="F155" t="str">
            <v>2011803</v>
          </cell>
          <cell r="G155" t="str">
            <v>㈱岡村製作所埼玉支店</v>
          </cell>
        </row>
        <row r="156">
          <cell r="A156">
            <v>201</v>
          </cell>
          <cell r="B156" t="str">
            <v>買掛金</v>
          </cell>
          <cell r="E156">
            <v>1805</v>
          </cell>
          <cell r="F156" t="str">
            <v>2011805</v>
          </cell>
          <cell r="G156" t="str">
            <v>㈱岡村製作所高崎支店</v>
          </cell>
        </row>
        <row r="157">
          <cell r="A157">
            <v>201</v>
          </cell>
          <cell r="B157" t="str">
            <v>買掛金</v>
          </cell>
          <cell r="E157">
            <v>1807</v>
          </cell>
          <cell r="F157" t="str">
            <v>2011807</v>
          </cell>
          <cell r="G157" t="str">
            <v xml:space="preserve"> ㈱大里</v>
          </cell>
        </row>
        <row r="158">
          <cell r="A158">
            <v>201</v>
          </cell>
          <cell r="B158" t="str">
            <v>買掛金</v>
          </cell>
          <cell r="E158">
            <v>1818</v>
          </cell>
          <cell r="F158" t="str">
            <v>2011818</v>
          </cell>
          <cell r="G158" t="str">
            <v>大熊商店</v>
          </cell>
        </row>
        <row r="159">
          <cell r="A159">
            <v>201</v>
          </cell>
          <cell r="B159" t="str">
            <v>買掛金</v>
          </cell>
          <cell r="E159">
            <v>1823</v>
          </cell>
          <cell r="F159" t="str">
            <v>2011823</v>
          </cell>
          <cell r="G159" t="str">
            <v>㈱王地</v>
          </cell>
        </row>
        <row r="160">
          <cell r="A160">
            <v>201</v>
          </cell>
          <cell r="B160" t="str">
            <v>買掛金</v>
          </cell>
          <cell r="E160">
            <v>1826</v>
          </cell>
          <cell r="F160" t="str">
            <v>2011826</v>
          </cell>
          <cell r="G160" t="str">
            <v>㈱大己装業</v>
          </cell>
        </row>
        <row r="161">
          <cell r="A161">
            <v>201</v>
          </cell>
          <cell r="B161" t="str">
            <v>買掛金</v>
          </cell>
          <cell r="E161">
            <v>1827</v>
          </cell>
          <cell r="F161" t="str">
            <v>2011827</v>
          </cell>
          <cell r="G161" t="str">
            <v>㈱大塚商会</v>
          </cell>
        </row>
        <row r="162">
          <cell r="A162">
            <v>201</v>
          </cell>
          <cell r="B162" t="str">
            <v>買掛金</v>
          </cell>
          <cell r="E162">
            <v>1828</v>
          </cell>
          <cell r="F162" t="str">
            <v>2011828</v>
          </cell>
          <cell r="G162" t="str">
            <v>㈱ＯＴＡ</v>
          </cell>
        </row>
        <row r="163">
          <cell r="A163">
            <v>201</v>
          </cell>
          <cell r="B163" t="str">
            <v>買掛金</v>
          </cell>
          <cell r="E163">
            <v>2002</v>
          </cell>
          <cell r="F163" t="str">
            <v>2012002</v>
          </cell>
          <cell r="G163" t="str">
            <v>㈲カープ</v>
          </cell>
        </row>
        <row r="164">
          <cell r="A164">
            <v>201</v>
          </cell>
          <cell r="B164" t="str">
            <v>買掛金</v>
          </cell>
          <cell r="E164">
            <v>2004</v>
          </cell>
          <cell r="F164" t="str">
            <v>2012004</v>
          </cell>
          <cell r="G164" t="str">
            <v>カインズホーム</v>
          </cell>
        </row>
        <row r="165">
          <cell r="A165">
            <v>201</v>
          </cell>
          <cell r="B165" t="str">
            <v>買掛金</v>
          </cell>
          <cell r="E165">
            <v>2005</v>
          </cell>
          <cell r="F165" t="str">
            <v>2012005</v>
          </cell>
          <cell r="G165" t="str">
            <v>河淳㈱</v>
          </cell>
        </row>
        <row r="166">
          <cell r="A166">
            <v>201</v>
          </cell>
          <cell r="B166" t="str">
            <v>買掛金</v>
          </cell>
          <cell r="E166">
            <v>2007</v>
          </cell>
          <cell r="F166" t="str">
            <v>2012007</v>
          </cell>
          <cell r="G166" t="str">
            <v>関東ﾒﾃﾞｨｶﾙ㈱</v>
          </cell>
        </row>
        <row r="167">
          <cell r="A167">
            <v>201</v>
          </cell>
          <cell r="B167" t="str">
            <v>買掛金</v>
          </cell>
          <cell r="E167">
            <v>2012</v>
          </cell>
          <cell r="F167" t="str">
            <v>2012012</v>
          </cell>
          <cell r="G167" t="str">
            <v>㈲川口加工</v>
          </cell>
        </row>
        <row r="168">
          <cell r="A168">
            <v>201</v>
          </cell>
          <cell r="B168" t="str">
            <v>買掛金</v>
          </cell>
          <cell r="E168">
            <v>2021</v>
          </cell>
          <cell r="F168" t="str">
            <v>2012021</v>
          </cell>
          <cell r="G168" t="str">
            <v>㈱カウネット</v>
          </cell>
        </row>
        <row r="169">
          <cell r="A169">
            <v>201</v>
          </cell>
          <cell r="B169" t="str">
            <v>買掛金</v>
          </cell>
          <cell r="E169">
            <v>2022</v>
          </cell>
          <cell r="F169" t="str">
            <v>2012022</v>
          </cell>
          <cell r="G169" t="str">
            <v>川田電子工業</v>
          </cell>
        </row>
        <row r="170">
          <cell r="A170">
            <v>201</v>
          </cell>
          <cell r="B170" t="str">
            <v>買掛金</v>
          </cell>
          <cell r="E170">
            <v>2023</v>
          </cell>
          <cell r="F170" t="str">
            <v>2012023</v>
          </cell>
          <cell r="G170" t="str">
            <v>㈱カシワ</v>
          </cell>
        </row>
        <row r="171">
          <cell r="A171">
            <v>201</v>
          </cell>
          <cell r="B171" t="str">
            <v>買掛金</v>
          </cell>
          <cell r="E171">
            <v>2025</v>
          </cell>
          <cell r="F171" t="str">
            <v>2012025</v>
          </cell>
          <cell r="G171" t="str">
            <v>関東冷熱工業㈱</v>
          </cell>
        </row>
        <row r="172">
          <cell r="A172">
            <v>201</v>
          </cell>
          <cell r="B172" t="str">
            <v>買掛金</v>
          </cell>
          <cell r="E172">
            <v>2026</v>
          </cell>
          <cell r="F172" t="str">
            <v>2012026</v>
          </cell>
          <cell r="G172" t="str">
            <v>笠原住設</v>
          </cell>
        </row>
        <row r="173">
          <cell r="A173">
            <v>201</v>
          </cell>
          <cell r="B173" t="str">
            <v>買掛金</v>
          </cell>
          <cell r="E173">
            <v>2029</v>
          </cell>
          <cell r="F173" t="str">
            <v>2012029</v>
          </cell>
          <cell r="G173" t="str">
            <v>㈲ｶｰﾄｼｽﾃﾑｽﾞ</v>
          </cell>
        </row>
        <row r="174">
          <cell r="A174">
            <v>201</v>
          </cell>
          <cell r="B174" t="str">
            <v>買掛金</v>
          </cell>
          <cell r="E174">
            <v>2203</v>
          </cell>
          <cell r="F174" t="str">
            <v>2012203</v>
          </cell>
          <cell r="G174" t="str">
            <v>㈱桐生建窓</v>
          </cell>
        </row>
        <row r="175">
          <cell r="A175">
            <v>201</v>
          </cell>
          <cell r="B175" t="str">
            <v>買掛金</v>
          </cell>
          <cell r="E175">
            <v>2205</v>
          </cell>
          <cell r="F175" t="str">
            <v>2012205</v>
          </cell>
          <cell r="G175" t="str">
            <v>岐阜ﾌﾟﾗｽﾁｯｸ工業㈱</v>
          </cell>
        </row>
        <row r="176">
          <cell r="A176">
            <v>201</v>
          </cell>
          <cell r="B176" t="str">
            <v>買掛金</v>
          </cell>
          <cell r="E176">
            <v>2209</v>
          </cell>
          <cell r="F176" t="str">
            <v>2012209</v>
          </cell>
          <cell r="G176" t="str">
            <v>共栄ﾌﾟﾗｽﾁｯｸ㈱</v>
          </cell>
        </row>
        <row r="177">
          <cell r="A177">
            <v>201</v>
          </cell>
          <cell r="B177" t="str">
            <v>買掛金</v>
          </cell>
          <cell r="E177">
            <v>2214</v>
          </cell>
          <cell r="F177" t="str">
            <v>2012214</v>
          </cell>
          <cell r="G177" t="str">
            <v>㈱協同技術センター</v>
          </cell>
        </row>
        <row r="178">
          <cell r="A178">
            <v>201</v>
          </cell>
          <cell r="B178" t="str">
            <v>買掛金</v>
          </cell>
          <cell r="E178">
            <v>2403</v>
          </cell>
          <cell r="F178" t="str">
            <v>2012403</v>
          </cell>
          <cell r="G178" t="str">
            <v>(有)クィーン商事</v>
          </cell>
        </row>
        <row r="179">
          <cell r="A179">
            <v>201</v>
          </cell>
          <cell r="B179" t="str">
            <v>買掛金</v>
          </cell>
          <cell r="E179">
            <v>2405</v>
          </cell>
          <cell r="F179" t="str">
            <v>2012405</v>
          </cell>
          <cell r="G179" t="str">
            <v>㈲軍司金物</v>
          </cell>
        </row>
        <row r="180">
          <cell r="A180">
            <v>201</v>
          </cell>
          <cell r="B180" t="str">
            <v>買掛金</v>
          </cell>
          <cell r="E180">
            <v>2406</v>
          </cell>
          <cell r="F180" t="str">
            <v>2012406</v>
          </cell>
          <cell r="G180" t="str">
            <v>熊谷鋲螺</v>
          </cell>
        </row>
        <row r="181">
          <cell r="A181">
            <v>201</v>
          </cell>
          <cell r="B181" t="str">
            <v>買掛金</v>
          </cell>
          <cell r="E181">
            <v>2410</v>
          </cell>
          <cell r="F181" t="str">
            <v>2012410</v>
          </cell>
          <cell r="G181" t="str">
            <v>㈱グローバル</v>
          </cell>
        </row>
        <row r="182">
          <cell r="A182">
            <v>201</v>
          </cell>
          <cell r="B182" t="str">
            <v>買掛金</v>
          </cell>
          <cell r="E182">
            <v>2411</v>
          </cell>
          <cell r="F182" t="str">
            <v>2012411</v>
          </cell>
          <cell r="G182" t="str">
            <v>ｸﾞﾗｯﾄﾞﾃﾞｻﾞｲﾝﾜｰｸｼｮｯﾌﾟ</v>
          </cell>
        </row>
        <row r="183">
          <cell r="A183">
            <v>201</v>
          </cell>
          <cell r="B183" t="str">
            <v>買掛金</v>
          </cell>
          <cell r="E183">
            <v>2602</v>
          </cell>
          <cell r="F183" t="str">
            <v>2012602</v>
          </cell>
          <cell r="G183" t="str">
            <v>㈲ケン鏡装</v>
          </cell>
        </row>
        <row r="184">
          <cell r="A184">
            <v>201</v>
          </cell>
          <cell r="B184" t="str">
            <v>買掛金</v>
          </cell>
          <cell r="E184">
            <v>2603</v>
          </cell>
          <cell r="F184" t="str">
            <v>2012603</v>
          </cell>
          <cell r="G184" t="str">
            <v>ｹｰﾖｰﾎｰﾑｾﾝﾀｰ</v>
          </cell>
        </row>
        <row r="185">
          <cell r="A185">
            <v>201</v>
          </cell>
          <cell r="B185" t="str">
            <v>買掛金</v>
          </cell>
          <cell r="E185">
            <v>2605</v>
          </cell>
          <cell r="F185" t="str">
            <v>2012605</v>
          </cell>
          <cell r="G185" t="str">
            <v>県北陸運㈲しまむら</v>
          </cell>
        </row>
        <row r="186">
          <cell r="A186">
            <v>201</v>
          </cell>
          <cell r="B186" t="str">
            <v>買掛金</v>
          </cell>
          <cell r="E186">
            <v>2606</v>
          </cell>
          <cell r="F186" t="str">
            <v>2012606</v>
          </cell>
          <cell r="G186" t="str">
            <v>㈱KTﾏﾈｼﾞﾒﾝﾄﾊﾟｰﾄﾅｰｽﾞ</v>
          </cell>
        </row>
        <row r="187">
          <cell r="A187">
            <v>201</v>
          </cell>
          <cell r="B187" t="str">
            <v>買掛金</v>
          </cell>
          <cell r="E187">
            <v>2608</v>
          </cell>
          <cell r="F187" t="str">
            <v>2012608</v>
          </cell>
          <cell r="G187" t="str">
            <v>ｹｰｽﾞﾃﾞﾝｷ</v>
          </cell>
        </row>
        <row r="188">
          <cell r="A188">
            <v>201</v>
          </cell>
          <cell r="B188" t="str">
            <v>買掛金</v>
          </cell>
          <cell r="E188">
            <v>2611</v>
          </cell>
          <cell r="F188" t="str">
            <v>2012611</v>
          </cell>
          <cell r="G188" t="str">
            <v>県北陸運㈲施工</v>
          </cell>
        </row>
        <row r="189">
          <cell r="A189">
            <v>201</v>
          </cell>
          <cell r="B189" t="str">
            <v>買掛金</v>
          </cell>
          <cell r="E189">
            <v>2612</v>
          </cell>
          <cell r="F189" t="str">
            <v>2012612</v>
          </cell>
          <cell r="G189" t="str">
            <v>県北陸運㈲運搬</v>
          </cell>
        </row>
        <row r="190">
          <cell r="A190">
            <v>201</v>
          </cell>
          <cell r="B190" t="str">
            <v>買掛金</v>
          </cell>
          <cell r="E190">
            <v>2801</v>
          </cell>
          <cell r="F190" t="str">
            <v>2012801</v>
          </cell>
          <cell r="G190" t="str">
            <v>光洋ファスナー㈱</v>
          </cell>
        </row>
        <row r="191">
          <cell r="A191">
            <v>201</v>
          </cell>
          <cell r="B191" t="str">
            <v>買掛金</v>
          </cell>
          <cell r="E191">
            <v>2802</v>
          </cell>
          <cell r="F191" t="str">
            <v>2012802</v>
          </cell>
          <cell r="G191" t="str">
            <v>㈲後藤衛生社</v>
          </cell>
        </row>
        <row r="192">
          <cell r="A192">
            <v>201</v>
          </cell>
          <cell r="B192" t="str">
            <v>買掛金</v>
          </cell>
          <cell r="E192">
            <v>2806</v>
          </cell>
          <cell r="F192" t="str">
            <v>2012806</v>
          </cell>
          <cell r="G192" t="str">
            <v>コスモプリンツ㈱</v>
          </cell>
        </row>
        <row r="193">
          <cell r="A193">
            <v>201</v>
          </cell>
          <cell r="B193" t="str">
            <v>買掛金</v>
          </cell>
          <cell r="E193">
            <v>2807</v>
          </cell>
          <cell r="F193" t="str">
            <v>2012807</v>
          </cell>
          <cell r="G193" t="str">
            <v>㈱小林製作所</v>
          </cell>
        </row>
        <row r="194">
          <cell r="A194">
            <v>201</v>
          </cell>
          <cell r="B194" t="str">
            <v>買掛金</v>
          </cell>
          <cell r="E194">
            <v>2809</v>
          </cell>
          <cell r="F194" t="str">
            <v>2012809</v>
          </cell>
          <cell r="G194" t="str">
            <v>コミー(株)</v>
          </cell>
        </row>
        <row r="195">
          <cell r="A195">
            <v>201</v>
          </cell>
          <cell r="B195" t="str">
            <v>買掛金</v>
          </cell>
          <cell r="E195">
            <v>2810</v>
          </cell>
          <cell r="F195" t="str">
            <v>2012810</v>
          </cell>
          <cell r="G195" t="str">
            <v>㈱小林設計事務所</v>
          </cell>
        </row>
        <row r="196">
          <cell r="A196">
            <v>201</v>
          </cell>
          <cell r="B196" t="str">
            <v>買掛金</v>
          </cell>
          <cell r="E196">
            <v>2811</v>
          </cell>
          <cell r="F196" t="str">
            <v>2012811</v>
          </cell>
          <cell r="G196" t="str">
            <v>コメリ</v>
          </cell>
        </row>
        <row r="197">
          <cell r="A197">
            <v>201</v>
          </cell>
          <cell r="B197" t="str">
            <v>買掛金</v>
          </cell>
          <cell r="E197">
            <v>2816</v>
          </cell>
          <cell r="F197" t="str">
            <v>2012816</v>
          </cell>
          <cell r="G197" t="str">
            <v>㈱甲世社</v>
          </cell>
        </row>
        <row r="198">
          <cell r="A198">
            <v>201</v>
          </cell>
          <cell r="B198" t="str">
            <v>買掛金</v>
          </cell>
          <cell r="E198">
            <v>2817</v>
          </cell>
          <cell r="F198" t="str">
            <v>2012817</v>
          </cell>
          <cell r="G198" t="str">
            <v>国際空輸㈱</v>
          </cell>
        </row>
        <row r="199">
          <cell r="A199">
            <v>201</v>
          </cell>
          <cell r="B199" t="str">
            <v>買掛金</v>
          </cell>
          <cell r="E199">
            <v>2819</v>
          </cell>
          <cell r="F199" t="str">
            <v>2012819</v>
          </cell>
          <cell r="G199" t="str">
            <v>コウエイ建装</v>
          </cell>
        </row>
        <row r="200">
          <cell r="A200">
            <v>201</v>
          </cell>
          <cell r="B200" t="str">
            <v>買掛金</v>
          </cell>
          <cell r="E200">
            <v>2820</v>
          </cell>
          <cell r="F200" t="str">
            <v>2012820</v>
          </cell>
          <cell r="G200" t="str">
            <v>ｺｸﾖﾏｰｹﾃｨﾝｸﾞ㈱</v>
          </cell>
        </row>
        <row r="201">
          <cell r="A201">
            <v>201</v>
          </cell>
          <cell r="B201" t="str">
            <v>買掛金</v>
          </cell>
          <cell r="E201">
            <v>2821</v>
          </cell>
          <cell r="F201" t="str">
            <v>2012821</v>
          </cell>
          <cell r="G201" t="str">
            <v>交通費</v>
          </cell>
        </row>
        <row r="202">
          <cell r="A202">
            <v>201</v>
          </cell>
          <cell r="B202" t="str">
            <v>買掛金</v>
          </cell>
          <cell r="E202">
            <v>2823</v>
          </cell>
          <cell r="F202" t="str">
            <v>2012823</v>
          </cell>
          <cell r="G202" t="str">
            <v>交通費施工</v>
          </cell>
        </row>
        <row r="203">
          <cell r="A203">
            <v>201</v>
          </cell>
          <cell r="B203" t="str">
            <v>買掛金</v>
          </cell>
          <cell r="E203">
            <v>3003</v>
          </cell>
          <cell r="F203" t="str">
            <v>2013003</v>
          </cell>
          <cell r="G203" t="str">
            <v>㈱サガワ</v>
          </cell>
        </row>
        <row r="204">
          <cell r="A204">
            <v>201</v>
          </cell>
          <cell r="B204" t="str">
            <v>買掛金</v>
          </cell>
          <cell r="E204">
            <v>3007</v>
          </cell>
          <cell r="F204" t="str">
            <v>2013007</v>
          </cell>
          <cell r="G204" t="str">
            <v>ササキエクセ</v>
          </cell>
        </row>
        <row r="205">
          <cell r="A205">
            <v>201</v>
          </cell>
          <cell r="B205" t="str">
            <v>買掛金</v>
          </cell>
          <cell r="E205">
            <v>3038</v>
          </cell>
          <cell r="F205" t="str">
            <v>2013038</v>
          </cell>
          <cell r="G205" t="str">
            <v>サニーツートン部材</v>
          </cell>
        </row>
        <row r="206">
          <cell r="A206">
            <v>201</v>
          </cell>
          <cell r="B206" t="str">
            <v>買掛金</v>
          </cell>
          <cell r="E206">
            <v>3014</v>
          </cell>
          <cell r="F206" t="str">
            <v>2013014</v>
          </cell>
          <cell r="G206" t="str">
            <v>㈱三電工業</v>
          </cell>
        </row>
        <row r="207">
          <cell r="A207">
            <v>201</v>
          </cell>
          <cell r="B207" t="str">
            <v>買掛金</v>
          </cell>
          <cell r="E207">
            <v>3015</v>
          </cell>
          <cell r="F207" t="str">
            <v>2013015</v>
          </cell>
          <cell r="G207" t="str">
            <v>サンワ通商㈱東京営業</v>
          </cell>
        </row>
        <row r="208">
          <cell r="A208">
            <v>201</v>
          </cell>
          <cell r="B208" t="str">
            <v>買掛金</v>
          </cell>
          <cell r="E208">
            <v>3019</v>
          </cell>
          <cell r="F208" t="str">
            <v>2013019</v>
          </cell>
          <cell r="G208" t="str">
            <v>㈱ｻﾝﾜﾌﾟﾗﾝﾆﾝｸﾞ</v>
          </cell>
        </row>
        <row r="209">
          <cell r="A209">
            <v>201</v>
          </cell>
          <cell r="B209" t="str">
            <v>買掛金</v>
          </cell>
          <cell r="E209">
            <v>3034</v>
          </cell>
          <cell r="F209" t="str">
            <v>2013034</v>
          </cell>
          <cell r="G209" t="str">
            <v>三和ｼｬｯﾀｰ工業㈱</v>
          </cell>
        </row>
        <row r="210">
          <cell r="A210">
            <v>201</v>
          </cell>
          <cell r="B210" t="str">
            <v>買掛金</v>
          </cell>
          <cell r="E210">
            <v>3039</v>
          </cell>
          <cell r="F210" t="str">
            <v>2013039</v>
          </cell>
          <cell r="G210" t="str">
            <v>三甲㈱太田営業所</v>
          </cell>
        </row>
        <row r="211">
          <cell r="A211">
            <v>201</v>
          </cell>
          <cell r="B211" t="str">
            <v>買掛金</v>
          </cell>
          <cell r="E211">
            <v>3043</v>
          </cell>
          <cell r="F211" t="str">
            <v>2013043</v>
          </cell>
          <cell r="G211" t="str">
            <v>三研商貿有限公司</v>
          </cell>
        </row>
        <row r="212">
          <cell r="A212">
            <v>201</v>
          </cell>
          <cell r="B212" t="str">
            <v>買掛金</v>
          </cell>
          <cell r="E212">
            <v>3044</v>
          </cell>
          <cell r="F212" t="str">
            <v>2013044</v>
          </cell>
          <cell r="G212" t="str">
            <v>サニーツートン施工</v>
          </cell>
        </row>
        <row r="213">
          <cell r="A213">
            <v>201</v>
          </cell>
          <cell r="B213" t="str">
            <v>買掛金</v>
          </cell>
          <cell r="E213">
            <v>3045</v>
          </cell>
          <cell r="F213" t="str">
            <v>2013045</v>
          </cell>
          <cell r="G213" t="str">
            <v>サニーツートン運搬</v>
          </cell>
        </row>
        <row r="214">
          <cell r="A214">
            <v>201</v>
          </cell>
          <cell r="B214" t="str">
            <v>買掛金</v>
          </cell>
          <cell r="E214">
            <v>3204</v>
          </cell>
          <cell r="F214" t="str">
            <v>2013204</v>
          </cell>
          <cell r="G214" t="str">
            <v>島忠ホームセンター</v>
          </cell>
        </row>
        <row r="215">
          <cell r="A215">
            <v>201</v>
          </cell>
          <cell r="B215" t="str">
            <v>買掛金</v>
          </cell>
          <cell r="E215">
            <v>3206</v>
          </cell>
          <cell r="F215" t="str">
            <v>2013206</v>
          </cell>
          <cell r="G215" t="str">
            <v>ジョイフル本田</v>
          </cell>
        </row>
        <row r="216">
          <cell r="A216">
            <v>201</v>
          </cell>
          <cell r="B216" t="str">
            <v>買掛金</v>
          </cell>
          <cell r="E216">
            <v>3218</v>
          </cell>
          <cell r="F216" t="str">
            <v>2013218</v>
          </cell>
          <cell r="G216" t="str">
            <v>ジンカンパニー</v>
          </cell>
        </row>
        <row r="217">
          <cell r="A217">
            <v>201</v>
          </cell>
          <cell r="B217" t="str">
            <v>買掛金</v>
          </cell>
          <cell r="E217">
            <v>3219</v>
          </cell>
          <cell r="F217" t="str">
            <v>2013219</v>
          </cell>
          <cell r="G217" t="str">
            <v>シーズン</v>
          </cell>
        </row>
        <row r="218">
          <cell r="A218">
            <v>201</v>
          </cell>
          <cell r="B218" t="str">
            <v>買掛金</v>
          </cell>
          <cell r="E218">
            <v>3221</v>
          </cell>
          <cell r="F218" t="str">
            <v>2013221</v>
          </cell>
          <cell r="G218" t="str">
            <v>シルク</v>
          </cell>
        </row>
        <row r="219">
          <cell r="A219">
            <v>201</v>
          </cell>
          <cell r="B219" t="str">
            <v>買掛金</v>
          </cell>
          <cell r="E219">
            <v>3222</v>
          </cell>
          <cell r="F219" t="str">
            <v>2013222</v>
          </cell>
          <cell r="G219" t="str">
            <v>㈲嶋田工業所</v>
          </cell>
        </row>
        <row r="220">
          <cell r="A220">
            <v>201</v>
          </cell>
          <cell r="B220" t="str">
            <v>買掛金</v>
          </cell>
          <cell r="E220">
            <v>3223</v>
          </cell>
          <cell r="F220" t="str">
            <v>2013223</v>
          </cell>
          <cell r="G220" t="str">
            <v>柴田製本所</v>
          </cell>
        </row>
        <row r="221">
          <cell r="A221">
            <v>201</v>
          </cell>
          <cell r="B221" t="str">
            <v>買掛金</v>
          </cell>
          <cell r="E221">
            <v>3274</v>
          </cell>
          <cell r="F221" t="str">
            <v>2013274</v>
          </cell>
          <cell r="G221" t="str">
            <v>十兵衛</v>
          </cell>
        </row>
        <row r="222">
          <cell r="A222">
            <v>201</v>
          </cell>
          <cell r="B222" t="str">
            <v>買掛金</v>
          </cell>
          <cell r="E222">
            <v>3275</v>
          </cell>
          <cell r="F222" t="str">
            <v>2013275</v>
          </cell>
          <cell r="G222" t="str">
            <v>篠嵜総業</v>
          </cell>
        </row>
        <row r="223">
          <cell r="A223">
            <v>201</v>
          </cell>
          <cell r="B223" t="str">
            <v>買掛金</v>
          </cell>
          <cell r="E223">
            <v>3402</v>
          </cell>
          <cell r="F223" t="str">
            <v>2013402</v>
          </cell>
          <cell r="G223" t="str">
            <v>㈲須藤商店</v>
          </cell>
        </row>
        <row r="224">
          <cell r="A224">
            <v>201</v>
          </cell>
          <cell r="B224" t="str">
            <v>買掛金</v>
          </cell>
          <cell r="E224">
            <v>3404</v>
          </cell>
          <cell r="F224" t="str">
            <v>2013404</v>
          </cell>
          <cell r="G224" t="str">
            <v>㈱ｽｰﾊﾟｰﾒｲﾄ北関東支社</v>
          </cell>
        </row>
        <row r="225">
          <cell r="A225">
            <v>201</v>
          </cell>
          <cell r="B225" t="str">
            <v>買掛金</v>
          </cell>
          <cell r="E225">
            <v>3409</v>
          </cell>
          <cell r="F225" t="str">
            <v>2013409</v>
          </cell>
          <cell r="G225" t="str">
            <v>ストアプロジェクト㈱</v>
          </cell>
        </row>
        <row r="226">
          <cell r="A226">
            <v>201</v>
          </cell>
          <cell r="B226" t="str">
            <v>買掛金</v>
          </cell>
          <cell r="E226">
            <v>3601</v>
          </cell>
          <cell r="F226" t="str">
            <v>2013601</v>
          </cell>
          <cell r="G226" t="str">
            <v>セキチュー</v>
          </cell>
        </row>
        <row r="227">
          <cell r="A227">
            <v>201</v>
          </cell>
          <cell r="B227" t="str">
            <v>買掛金</v>
          </cell>
          <cell r="E227">
            <v>3604</v>
          </cell>
          <cell r="F227" t="str">
            <v>2013604</v>
          </cell>
          <cell r="G227" t="str">
            <v>生興㈱</v>
          </cell>
        </row>
        <row r="228">
          <cell r="A228">
            <v>201</v>
          </cell>
          <cell r="B228" t="str">
            <v>買掛金</v>
          </cell>
          <cell r="E228">
            <v>3802</v>
          </cell>
          <cell r="F228" t="str">
            <v>2013802</v>
          </cell>
          <cell r="G228" t="str">
            <v>㈲ソシアテクノ</v>
          </cell>
        </row>
        <row r="229">
          <cell r="A229">
            <v>201</v>
          </cell>
          <cell r="B229" t="str">
            <v>買掛金</v>
          </cell>
          <cell r="E229">
            <v>4002</v>
          </cell>
          <cell r="F229" t="str">
            <v>2014002</v>
          </cell>
          <cell r="G229" t="str">
            <v>㈱ダイフジ</v>
          </cell>
        </row>
        <row r="230">
          <cell r="A230">
            <v>201</v>
          </cell>
          <cell r="B230" t="str">
            <v>買掛金</v>
          </cell>
          <cell r="E230">
            <v>4003</v>
          </cell>
          <cell r="F230" t="str">
            <v>2014003</v>
          </cell>
          <cell r="G230" t="str">
            <v>三協立山</v>
          </cell>
        </row>
        <row r="231">
          <cell r="A231">
            <v>201</v>
          </cell>
          <cell r="B231" t="str">
            <v>買掛金</v>
          </cell>
          <cell r="E231">
            <v>4004</v>
          </cell>
          <cell r="F231" t="str">
            <v>2014004</v>
          </cell>
          <cell r="G231" t="str">
            <v>㈱店装技研</v>
          </cell>
        </row>
        <row r="232">
          <cell r="A232">
            <v>201</v>
          </cell>
          <cell r="B232" t="str">
            <v>買掛金</v>
          </cell>
          <cell r="E232">
            <v>4014</v>
          </cell>
          <cell r="F232" t="str">
            <v>2014014</v>
          </cell>
          <cell r="G232" t="str">
            <v>ダイソー</v>
          </cell>
        </row>
        <row r="233">
          <cell r="A233">
            <v>201</v>
          </cell>
          <cell r="B233" t="str">
            <v>買掛金</v>
          </cell>
          <cell r="E233">
            <v>4021</v>
          </cell>
          <cell r="F233" t="str">
            <v>2014021</v>
          </cell>
          <cell r="G233" t="str">
            <v>大一鋼業㈱</v>
          </cell>
        </row>
        <row r="234">
          <cell r="A234">
            <v>201</v>
          </cell>
          <cell r="B234" t="str">
            <v>買掛金</v>
          </cell>
          <cell r="E234">
            <v>4028</v>
          </cell>
          <cell r="F234" t="str">
            <v>2014028</v>
          </cell>
          <cell r="G234" t="str">
            <v>㈱大東電材</v>
          </cell>
        </row>
        <row r="235">
          <cell r="A235">
            <v>201</v>
          </cell>
          <cell r="B235" t="str">
            <v>買掛金</v>
          </cell>
          <cell r="E235">
            <v>4036</v>
          </cell>
          <cell r="F235" t="str">
            <v>2014036</v>
          </cell>
          <cell r="G235" t="str">
            <v>㈱Ｄanto　Ｔile</v>
          </cell>
        </row>
        <row r="236">
          <cell r="A236">
            <v>201</v>
          </cell>
          <cell r="B236" t="str">
            <v>買掛金</v>
          </cell>
          <cell r="E236">
            <v>4037</v>
          </cell>
          <cell r="F236" t="str">
            <v>2014037</v>
          </cell>
          <cell r="G236" t="str">
            <v>大王海運㈱</v>
          </cell>
        </row>
        <row r="237">
          <cell r="A237">
            <v>201</v>
          </cell>
          <cell r="B237" t="str">
            <v>買掛金</v>
          </cell>
          <cell r="E237">
            <v>4038</v>
          </cell>
          <cell r="F237" t="str">
            <v>2014038</v>
          </cell>
          <cell r="G237" t="str">
            <v>㈲ﾀﾏﾙｼｽﾃﾑ</v>
          </cell>
        </row>
        <row r="238">
          <cell r="A238">
            <v>201</v>
          </cell>
          <cell r="B238" t="str">
            <v>買掛金</v>
          </cell>
          <cell r="E238">
            <v>4045</v>
          </cell>
          <cell r="F238" t="str">
            <v>2014045</v>
          </cell>
          <cell r="G238" t="str">
            <v>㈱巽</v>
          </cell>
        </row>
        <row r="239">
          <cell r="A239">
            <v>201</v>
          </cell>
          <cell r="B239" t="str">
            <v>買掛金</v>
          </cell>
          <cell r="E239">
            <v>4201</v>
          </cell>
          <cell r="F239" t="str">
            <v>2014201</v>
          </cell>
          <cell r="G239" t="str">
            <v>㈲中信</v>
          </cell>
        </row>
        <row r="240">
          <cell r="A240">
            <v>201</v>
          </cell>
          <cell r="B240" t="str">
            <v>買掛金</v>
          </cell>
          <cell r="E240">
            <v>4301</v>
          </cell>
          <cell r="F240" t="str">
            <v>2014301</v>
          </cell>
          <cell r="G240" t="str">
            <v>中日販売㈱</v>
          </cell>
        </row>
        <row r="241">
          <cell r="A241">
            <v>201</v>
          </cell>
          <cell r="B241" t="str">
            <v>買掛金</v>
          </cell>
          <cell r="E241">
            <v>4302</v>
          </cell>
          <cell r="F241" t="str">
            <v>2014302</v>
          </cell>
          <cell r="G241" t="str">
            <v>㈱中部ｳｲﾝﾄﾞ製作所</v>
          </cell>
        </row>
        <row r="242">
          <cell r="A242">
            <v>201</v>
          </cell>
          <cell r="B242" t="str">
            <v>買掛金</v>
          </cell>
          <cell r="E242">
            <v>4603</v>
          </cell>
          <cell r="F242" t="str">
            <v>2014603</v>
          </cell>
          <cell r="G242" t="str">
            <v>㈱店研創意</v>
          </cell>
        </row>
        <row r="243">
          <cell r="A243">
            <v>201</v>
          </cell>
          <cell r="B243" t="str">
            <v>買掛金</v>
          </cell>
          <cell r="E243">
            <v>4607</v>
          </cell>
          <cell r="F243" t="str">
            <v>2014607</v>
          </cell>
          <cell r="G243" t="str">
            <v>㈱ティーケイ・タツミ</v>
          </cell>
        </row>
        <row r="244">
          <cell r="A244">
            <v>201</v>
          </cell>
          <cell r="B244" t="str">
            <v>買掛金</v>
          </cell>
          <cell r="E244">
            <v>4807</v>
          </cell>
          <cell r="F244" t="str">
            <v>2014807</v>
          </cell>
          <cell r="G244" t="str">
            <v>㈱ＬＩＸＩＬビバ</v>
          </cell>
        </row>
        <row r="245">
          <cell r="A245">
            <v>201</v>
          </cell>
          <cell r="B245" t="str">
            <v>買掛金</v>
          </cell>
          <cell r="E245">
            <v>4809</v>
          </cell>
          <cell r="F245" t="str">
            <v>2014809</v>
          </cell>
          <cell r="G245" t="str">
            <v>トーキャビ</v>
          </cell>
        </row>
        <row r="246">
          <cell r="A246">
            <v>201</v>
          </cell>
          <cell r="B246" t="str">
            <v>買掛金</v>
          </cell>
          <cell r="E246">
            <v>4811</v>
          </cell>
          <cell r="F246" t="str">
            <v>2014811</v>
          </cell>
          <cell r="G246" t="str">
            <v>トッパンコンテナー㈱</v>
          </cell>
        </row>
        <row r="247">
          <cell r="A247">
            <v>201</v>
          </cell>
          <cell r="B247" t="str">
            <v>買掛金</v>
          </cell>
          <cell r="E247">
            <v>4813</v>
          </cell>
          <cell r="F247" t="str">
            <v>2014813</v>
          </cell>
          <cell r="G247" t="str">
            <v>㈱東京化成製作所</v>
          </cell>
        </row>
        <row r="248">
          <cell r="A248">
            <v>201</v>
          </cell>
          <cell r="B248" t="str">
            <v>買掛金</v>
          </cell>
          <cell r="E248">
            <v>4814</v>
          </cell>
          <cell r="F248" t="str">
            <v>2014814</v>
          </cell>
          <cell r="G248" t="str">
            <v>㈱東京ﾏｼﾝｾﾝﾀｰ</v>
          </cell>
        </row>
        <row r="249">
          <cell r="A249">
            <v>201</v>
          </cell>
          <cell r="B249" t="str">
            <v>買掛金</v>
          </cell>
          <cell r="E249">
            <v>4816</v>
          </cell>
          <cell r="F249" t="str">
            <v>2014816</v>
          </cell>
          <cell r="G249" t="str">
            <v>東京鋼鐵工業㈱</v>
          </cell>
        </row>
        <row r="250">
          <cell r="A250">
            <v>201</v>
          </cell>
          <cell r="B250" t="str">
            <v>買掛金</v>
          </cell>
          <cell r="E250">
            <v>4818</v>
          </cell>
          <cell r="F250" t="str">
            <v>2014818</v>
          </cell>
          <cell r="G250" t="str">
            <v>東京シンコーレザー㈱</v>
          </cell>
        </row>
        <row r="251">
          <cell r="A251">
            <v>201</v>
          </cell>
          <cell r="B251" t="str">
            <v>買掛金</v>
          </cell>
          <cell r="E251">
            <v>4825</v>
          </cell>
          <cell r="F251" t="str">
            <v>2014825</v>
          </cell>
          <cell r="G251" t="str">
            <v>東邦工機㈱</v>
          </cell>
        </row>
        <row r="252">
          <cell r="A252">
            <v>201</v>
          </cell>
          <cell r="B252" t="str">
            <v>買掛金</v>
          </cell>
          <cell r="E252">
            <v>4826</v>
          </cell>
          <cell r="F252" t="str">
            <v>2014826</v>
          </cell>
          <cell r="G252" t="str">
            <v>ドンキホーテ</v>
          </cell>
        </row>
        <row r="253">
          <cell r="A253">
            <v>201</v>
          </cell>
          <cell r="B253" t="str">
            <v>買掛金</v>
          </cell>
          <cell r="E253">
            <v>4830</v>
          </cell>
          <cell r="F253" t="str">
            <v>2014830</v>
          </cell>
          <cell r="G253" t="str">
            <v>富樫　茂</v>
          </cell>
        </row>
        <row r="254">
          <cell r="A254">
            <v>201</v>
          </cell>
          <cell r="B254" t="str">
            <v>買掛金</v>
          </cell>
          <cell r="E254">
            <v>4836</v>
          </cell>
          <cell r="F254" t="str">
            <v>2014836</v>
          </cell>
          <cell r="G254" t="str">
            <v>㈱ＬＩＸＩＬ</v>
          </cell>
        </row>
        <row r="255">
          <cell r="A255">
            <v>201</v>
          </cell>
          <cell r="B255" t="str">
            <v>買掛金</v>
          </cell>
          <cell r="E255">
            <v>5003</v>
          </cell>
          <cell r="F255" t="str">
            <v>2015003</v>
          </cell>
          <cell r="G255" t="str">
            <v>中沢トータリア㈱</v>
          </cell>
        </row>
        <row r="256">
          <cell r="A256">
            <v>201</v>
          </cell>
          <cell r="B256" t="str">
            <v>買掛金</v>
          </cell>
          <cell r="E256">
            <v>5008</v>
          </cell>
          <cell r="F256" t="str">
            <v>2015008</v>
          </cell>
          <cell r="G256" t="str">
            <v>㈱永井工芸</v>
          </cell>
        </row>
        <row r="257">
          <cell r="A257">
            <v>201</v>
          </cell>
          <cell r="B257" t="str">
            <v>買掛金</v>
          </cell>
          <cell r="E257">
            <v>5009</v>
          </cell>
          <cell r="F257" t="str">
            <v>2015009</v>
          </cell>
          <cell r="G257" t="str">
            <v>㈱ナンシン</v>
          </cell>
        </row>
        <row r="258">
          <cell r="A258">
            <v>201</v>
          </cell>
          <cell r="B258" t="str">
            <v>買掛金</v>
          </cell>
          <cell r="E258">
            <v>5011</v>
          </cell>
          <cell r="F258" t="str">
            <v>2015011</v>
          </cell>
          <cell r="G258" t="str">
            <v>㈲ナック</v>
          </cell>
        </row>
        <row r="259">
          <cell r="A259">
            <v>201</v>
          </cell>
          <cell r="B259" t="str">
            <v>買掛金</v>
          </cell>
          <cell r="E259">
            <v>5016</v>
          </cell>
          <cell r="F259" t="str">
            <v>2015016</v>
          </cell>
          <cell r="G259" t="str">
            <v>㈲長沢金具店</v>
          </cell>
        </row>
        <row r="260">
          <cell r="A260">
            <v>201</v>
          </cell>
          <cell r="B260" t="str">
            <v>買掛金</v>
          </cell>
          <cell r="E260">
            <v>5017</v>
          </cell>
          <cell r="F260" t="str">
            <v>2015017</v>
          </cell>
          <cell r="G260" t="str">
            <v>中野施工</v>
          </cell>
        </row>
        <row r="261">
          <cell r="A261">
            <v>201</v>
          </cell>
          <cell r="B261" t="str">
            <v>買掛金</v>
          </cell>
          <cell r="E261">
            <v>5200</v>
          </cell>
          <cell r="F261" t="str">
            <v>2015200</v>
          </cell>
          <cell r="G261" t="str">
            <v>㈱西嶋組</v>
          </cell>
        </row>
        <row r="262">
          <cell r="A262">
            <v>201</v>
          </cell>
          <cell r="B262" t="str">
            <v>買掛金</v>
          </cell>
          <cell r="E262">
            <v>5201</v>
          </cell>
          <cell r="F262" t="str">
            <v>2015201</v>
          </cell>
          <cell r="G262" t="str">
            <v>日研工業㈱</v>
          </cell>
        </row>
        <row r="263">
          <cell r="A263">
            <v>201</v>
          </cell>
          <cell r="B263" t="str">
            <v>買掛金</v>
          </cell>
          <cell r="E263">
            <v>5202</v>
          </cell>
          <cell r="F263" t="str">
            <v>2015202</v>
          </cell>
          <cell r="G263" t="str">
            <v>日進工業㈱</v>
          </cell>
        </row>
        <row r="264">
          <cell r="A264">
            <v>201</v>
          </cell>
          <cell r="B264" t="str">
            <v>買掛金</v>
          </cell>
          <cell r="E264">
            <v>5203</v>
          </cell>
          <cell r="F264" t="str">
            <v>2015203</v>
          </cell>
          <cell r="G264" t="str">
            <v>ニチベイサービス㈱</v>
          </cell>
        </row>
        <row r="265">
          <cell r="A265">
            <v>201</v>
          </cell>
          <cell r="B265" t="str">
            <v>買掛金</v>
          </cell>
          <cell r="E265">
            <v>5209</v>
          </cell>
          <cell r="F265" t="str">
            <v>2015209</v>
          </cell>
          <cell r="G265" t="str">
            <v>ニューＧＡＤ</v>
          </cell>
        </row>
        <row r="266">
          <cell r="A266">
            <v>201</v>
          </cell>
          <cell r="B266" t="str">
            <v>買掛金</v>
          </cell>
          <cell r="E266">
            <v>5217</v>
          </cell>
          <cell r="F266" t="str">
            <v>2015217</v>
          </cell>
          <cell r="G266" t="str">
            <v>㈱日本アルミ</v>
          </cell>
        </row>
        <row r="267">
          <cell r="A267">
            <v>201</v>
          </cell>
          <cell r="B267" t="str">
            <v>買掛金</v>
          </cell>
          <cell r="E267">
            <v>5219</v>
          </cell>
          <cell r="F267" t="str">
            <v>2015219</v>
          </cell>
          <cell r="G267" t="str">
            <v>㈱日本演出</v>
          </cell>
        </row>
        <row r="268">
          <cell r="A268">
            <v>201</v>
          </cell>
          <cell r="B268" t="str">
            <v>買掛金</v>
          </cell>
          <cell r="E268">
            <v>5231</v>
          </cell>
          <cell r="F268" t="str">
            <v>2015231</v>
          </cell>
          <cell r="G268" t="str">
            <v>日本電気㈱</v>
          </cell>
        </row>
        <row r="269">
          <cell r="A269">
            <v>201</v>
          </cell>
          <cell r="B269" t="str">
            <v>買掛金</v>
          </cell>
          <cell r="E269">
            <v>5232</v>
          </cell>
          <cell r="F269" t="str">
            <v>2015232</v>
          </cell>
          <cell r="G269" t="str">
            <v>ﾆﾁﾚｲﾏｸﾞﾈｯﾄ㈱</v>
          </cell>
        </row>
        <row r="270">
          <cell r="A270">
            <v>201</v>
          </cell>
          <cell r="B270" t="str">
            <v>買掛金</v>
          </cell>
          <cell r="E270">
            <v>5235</v>
          </cell>
          <cell r="F270" t="str">
            <v>2015235</v>
          </cell>
          <cell r="G270" t="str">
            <v>二瓶施工ｻｰﾋﾞｽ</v>
          </cell>
        </row>
        <row r="271">
          <cell r="A271">
            <v>201</v>
          </cell>
          <cell r="B271" t="str">
            <v>買掛金</v>
          </cell>
          <cell r="E271">
            <v>5602</v>
          </cell>
          <cell r="F271" t="str">
            <v>2015602</v>
          </cell>
          <cell r="G271" t="str">
            <v>㈱ＮＥＯＳ</v>
          </cell>
        </row>
        <row r="272">
          <cell r="A272">
            <v>201</v>
          </cell>
          <cell r="B272" t="str">
            <v>買掛金</v>
          </cell>
          <cell r="E272">
            <v>6001</v>
          </cell>
          <cell r="F272" t="str">
            <v>2016001</v>
          </cell>
          <cell r="G272" t="str">
            <v>花岡車輌㈱</v>
          </cell>
        </row>
        <row r="273">
          <cell r="A273">
            <v>201</v>
          </cell>
          <cell r="B273" t="str">
            <v>買掛金</v>
          </cell>
          <cell r="E273">
            <v>6002</v>
          </cell>
          <cell r="F273" t="str">
            <v>2016002</v>
          </cell>
          <cell r="G273" t="str">
            <v>長谷川工業㈱東京支店</v>
          </cell>
        </row>
        <row r="274">
          <cell r="A274">
            <v>201</v>
          </cell>
          <cell r="B274" t="str">
            <v>買掛金</v>
          </cell>
          <cell r="E274">
            <v>6006</v>
          </cell>
          <cell r="F274" t="str">
            <v>2016006</v>
          </cell>
          <cell r="G274" t="str">
            <v>㈱ハンデックス</v>
          </cell>
        </row>
        <row r="275">
          <cell r="A275">
            <v>201</v>
          </cell>
          <cell r="B275" t="str">
            <v>買掛金</v>
          </cell>
          <cell r="E275">
            <v>6008</v>
          </cell>
          <cell r="F275" t="str">
            <v>2016008</v>
          </cell>
          <cell r="G275" t="str">
            <v>㈱箱田製作所</v>
          </cell>
        </row>
        <row r="276">
          <cell r="A276">
            <v>201</v>
          </cell>
          <cell r="B276" t="str">
            <v>買掛金</v>
          </cell>
          <cell r="E276">
            <v>6010</v>
          </cell>
          <cell r="F276" t="str">
            <v>2016010</v>
          </cell>
          <cell r="G276" t="str">
            <v>ハヤノ産業㈱</v>
          </cell>
        </row>
        <row r="277">
          <cell r="A277">
            <v>201</v>
          </cell>
          <cell r="B277" t="str">
            <v>買掛金</v>
          </cell>
          <cell r="E277">
            <v>6209</v>
          </cell>
          <cell r="F277" t="str">
            <v>2016209</v>
          </cell>
          <cell r="G277" t="str">
            <v>ビジネスホテル</v>
          </cell>
        </row>
        <row r="278">
          <cell r="A278">
            <v>201</v>
          </cell>
          <cell r="B278" t="str">
            <v>買掛金</v>
          </cell>
          <cell r="E278">
            <v>6210</v>
          </cell>
          <cell r="F278" t="str">
            <v>2016210</v>
          </cell>
          <cell r="G278" t="str">
            <v>ビジネスホテル施工</v>
          </cell>
        </row>
        <row r="279">
          <cell r="A279">
            <v>201</v>
          </cell>
          <cell r="B279" t="str">
            <v>買掛金</v>
          </cell>
          <cell r="E279">
            <v>6401</v>
          </cell>
          <cell r="F279" t="str">
            <v>2016401</v>
          </cell>
          <cell r="G279" t="str">
            <v>㈱T･Yﾌｧｸﾄﾘｰ</v>
          </cell>
        </row>
        <row r="280">
          <cell r="A280">
            <v>201</v>
          </cell>
          <cell r="B280" t="str">
            <v>買掛金</v>
          </cell>
          <cell r="E280">
            <v>6402</v>
          </cell>
          <cell r="F280" t="str">
            <v>2016402</v>
          </cell>
          <cell r="G280" t="str">
            <v>㈱富士企画</v>
          </cell>
        </row>
        <row r="281">
          <cell r="A281">
            <v>201</v>
          </cell>
          <cell r="B281" t="str">
            <v>買掛金</v>
          </cell>
          <cell r="E281">
            <v>6403</v>
          </cell>
          <cell r="F281" t="str">
            <v>2016403</v>
          </cell>
          <cell r="G281" t="str">
            <v>㈱不動ｳｲﾝﾄﾞ製作所</v>
          </cell>
        </row>
        <row r="282">
          <cell r="A282">
            <v>201</v>
          </cell>
          <cell r="B282" t="str">
            <v>買掛金</v>
          </cell>
          <cell r="E282">
            <v>6404</v>
          </cell>
          <cell r="F282" t="str">
            <v>2016404</v>
          </cell>
          <cell r="G282" t="str">
            <v>扶桑産業㈱</v>
          </cell>
        </row>
        <row r="283">
          <cell r="A283">
            <v>201</v>
          </cell>
          <cell r="B283" t="str">
            <v>買掛金</v>
          </cell>
          <cell r="E283">
            <v>6406</v>
          </cell>
          <cell r="F283" t="str">
            <v>2016406</v>
          </cell>
          <cell r="G283" t="str">
            <v>㈱不二工芸埼玉工場</v>
          </cell>
        </row>
        <row r="284">
          <cell r="A284">
            <v>201</v>
          </cell>
          <cell r="B284" t="str">
            <v>買掛金</v>
          </cell>
          <cell r="E284">
            <v>6421</v>
          </cell>
          <cell r="F284" t="str">
            <v>2016421</v>
          </cell>
          <cell r="G284" t="str">
            <v>㈱ファースト</v>
          </cell>
        </row>
        <row r="285">
          <cell r="A285">
            <v>201</v>
          </cell>
          <cell r="B285" t="str">
            <v>買掛金</v>
          </cell>
          <cell r="E285">
            <v>6423</v>
          </cell>
          <cell r="F285" t="str">
            <v>2016423</v>
          </cell>
          <cell r="G285" t="str">
            <v>福田清</v>
          </cell>
        </row>
        <row r="286">
          <cell r="A286">
            <v>201</v>
          </cell>
          <cell r="B286" t="str">
            <v>買掛金</v>
          </cell>
          <cell r="E286">
            <v>6425</v>
          </cell>
          <cell r="F286" t="str">
            <v>2016425</v>
          </cell>
          <cell r="G286" t="str">
            <v>㈱フォーオール</v>
          </cell>
        </row>
        <row r="287">
          <cell r="A287">
            <v>201</v>
          </cell>
          <cell r="B287" t="str">
            <v>買掛金</v>
          </cell>
          <cell r="E287">
            <v>6427</v>
          </cell>
          <cell r="F287" t="str">
            <v>2016427</v>
          </cell>
          <cell r="G287" t="str">
            <v>㈱フォー・エヌ</v>
          </cell>
        </row>
        <row r="288">
          <cell r="A288">
            <v>201</v>
          </cell>
          <cell r="B288" t="str">
            <v>買掛金</v>
          </cell>
          <cell r="E288">
            <v>6430</v>
          </cell>
          <cell r="F288" t="str">
            <v>2016430</v>
          </cell>
          <cell r="G288" t="str">
            <v>不二貿易㈱</v>
          </cell>
        </row>
        <row r="289">
          <cell r="A289">
            <v>201</v>
          </cell>
          <cell r="B289" t="str">
            <v>買掛金</v>
          </cell>
          <cell r="E289">
            <v>6431</v>
          </cell>
          <cell r="F289" t="str">
            <v>2016431</v>
          </cell>
          <cell r="G289" t="str">
            <v>plus-one</v>
          </cell>
        </row>
        <row r="290">
          <cell r="A290">
            <v>201</v>
          </cell>
          <cell r="B290" t="str">
            <v>買掛金</v>
          </cell>
          <cell r="E290">
            <v>6443</v>
          </cell>
          <cell r="F290" t="str">
            <v>2016443</v>
          </cell>
          <cell r="G290" t="str">
            <v>㈱ﾌﾟﾘｽﾞﾑ・ｼﾞｬﾊﾟﾝ</v>
          </cell>
        </row>
        <row r="291">
          <cell r="A291">
            <v>201</v>
          </cell>
          <cell r="B291" t="str">
            <v>買掛金</v>
          </cell>
          <cell r="E291">
            <v>6428</v>
          </cell>
          <cell r="F291" t="str">
            <v>2016428</v>
          </cell>
          <cell r="G291" t="str">
            <v>㈱フォーオール</v>
          </cell>
        </row>
        <row r="292">
          <cell r="A292">
            <v>201</v>
          </cell>
          <cell r="B292" t="str">
            <v>買掛金</v>
          </cell>
          <cell r="E292">
            <v>6801</v>
          </cell>
          <cell r="F292" t="str">
            <v>2016801</v>
          </cell>
          <cell r="G292" t="str">
            <v>㈲程田電気商会</v>
          </cell>
        </row>
        <row r="293">
          <cell r="A293">
            <v>201</v>
          </cell>
          <cell r="B293" t="str">
            <v>買掛金</v>
          </cell>
          <cell r="E293">
            <v>6802</v>
          </cell>
          <cell r="F293" t="str">
            <v>2016802</v>
          </cell>
          <cell r="G293" t="str">
            <v>㈱北関スクリーン</v>
          </cell>
        </row>
        <row r="294">
          <cell r="A294">
            <v>201</v>
          </cell>
          <cell r="B294" t="str">
            <v>買掛金</v>
          </cell>
          <cell r="E294">
            <v>6806</v>
          </cell>
          <cell r="F294" t="str">
            <v>2016806</v>
          </cell>
          <cell r="G294" t="str">
            <v>㈱宝生</v>
          </cell>
        </row>
        <row r="295">
          <cell r="A295">
            <v>201</v>
          </cell>
          <cell r="B295" t="str">
            <v>買掛金</v>
          </cell>
          <cell r="E295">
            <v>6810</v>
          </cell>
          <cell r="F295" t="str">
            <v>2016810</v>
          </cell>
          <cell r="G295" t="str">
            <v>ホームズ</v>
          </cell>
        </row>
        <row r="296">
          <cell r="A296">
            <v>201</v>
          </cell>
          <cell r="B296" t="str">
            <v>買掛金</v>
          </cell>
          <cell r="E296">
            <v>7002</v>
          </cell>
          <cell r="F296" t="str">
            <v>2017002</v>
          </cell>
          <cell r="G296" t="str">
            <v>㈱マルタン</v>
          </cell>
        </row>
        <row r="297">
          <cell r="A297">
            <v>201</v>
          </cell>
          <cell r="B297" t="str">
            <v>買掛金</v>
          </cell>
          <cell r="E297">
            <v>7008</v>
          </cell>
          <cell r="F297" t="str">
            <v>2017008</v>
          </cell>
          <cell r="G297" t="str">
            <v>㈲前林商店</v>
          </cell>
        </row>
        <row r="298">
          <cell r="A298">
            <v>201</v>
          </cell>
          <cell r="B298" t="str">
            <v>買掛金</v>
          </cell>
          <cell r="E298">
            <v>7010</v>
          </cell>
          <cell r="F298" t="str">
            <v>2017010</v>
          </cell>
          <cell r="G298" t="str">
            <v>丸幸</v>
          </cell>
        </row>
        <row r="299">
          <cell r="A299">
            <v>201</v>
          </cell>
          <cell r="B299" t="str">
            <v>買掛金</v>
          </cell>
          <cell r="E299">
            <v>7015</v>
          </cell>
          <cell r="F299" t="str">
            <v>2017015</v>
          </cell>
          <cell r="G299" t="str">
            <v>松坂屋建材㈱行田店</v>
          </cell>
        </row>
        <row r="300">
          <cell r="A300">
            <v>201</v>
          </cell>
          <cell r="B300" t="str">
            <v>買掛金</v>
          </cell>
          <cell r="E300">
            <v>7201</v>
          </cell>
          <cell r="F300" t="str">
            <v>2017201</v>
          </cell>
          <cell r="G300" t="str">
            <v>三米施工（橋本）</v>
          </cell>
        </row>
        <row r="301">
          <cell r="A301">
            <v>201</v>
          </cell>
          <cell r="B301" t="str">
            <v>買掛金</v>
          </cell>
          <cell r="E301">
            <v>7204</v>
          </cell>
          <cell r="F301" t="str">
            <v>2017204</v>
          </cell>
          <cell r="G301" t="str">
            <v>㈱ミワックス</v>
          </cell>
        </row>
        <row r="302">
          <cell r="A302">
            <v>201</v>
          </cell>
          <cell r="B302" t="str">
            <v>買掛金</v>
          </cell>
          <cell r="E302">
            <v>7207</v>
          </cell>
          <cell r="F302" t="str">
            <v>2017207</v>
          </cell>
          <cell r="G302" t="str">
            <v>㈲三浦建工</v>
          </cell>
        </row>
        <row r="303">
          <cell r="A303">
            <v>201</v>
          </cell>
          <cell r="B303" t="str">
            <v>買掛金</v>
          </cell>
          <cell r="E303">
            <v>7216</v>
          </cell>
          <cell r="F303" t="str">
            <v>2017216</v>
          </cell>
          <cell r="G303" t="str">
            <v>宮城アルミ山形</v>
          </cell>
        </row>
        <row r="304">
          <cell r="A304">
            <v>201</v>
          </cell>
          <cell r="B304" t="str">
            <v>買掛金</v>
          </cell>
          <cell r="E304">
            <v>7217</v>
          </cell>
          <cell r="F304" t="str">
            <v>2017217</v>
          </cell>
          <cell r="G304" t="str">
            <v>三米施工（嵯峨）</v>
          </cell>
        </row>
        <row r="305">
          <cell r="A305">
            <v>201</v>
          </cell>
          <cell r="B305" t="str">
            <v>買掛金</v>
          </cell>
          <cell r="E305">
            <v>7803</v>
          </cell>
          <cell r="F305" t="str">
            <v>2017803</v>
          </cell>
          <cell r="G305" t="str">
            <v>Ｍクラフト</v>
          </cell>
        </row>
        <row r="306">
          <cell r="A306">
            <v>201</v>
          </cell>
          <cell r="B306" t="str">
            <v>買掛金</v>
          </cell>
          <cell r="E306">
            <v>8001</v>
          </cell>
          <cell r="F306" t="str">
            <v>2018001</v>
          </cell>
          <cell r="G306" t="str">
            <v>大和産業㈱</v>
          </cell>
        </row>
        <row r="307">
          <cell r="A307">
            <v>201</v>
          </cell>
          <cell r="B307" t="str">
            <v>買掛金</v>
          </cell>
          <cell r="E307">
            <v>8004</v>
          </cell>
          <cell r="F307" t="str">
            <v>2018004</v>
          </cell>
          <cell r="G307" t="str">
            <v>㈱山十商会</v>
          </cell>
        </row>
        <row r="308">
          <cell r="A308">
            <v>201</v>
          </cell>
          <cell r="B308" t="str">
            <v>買掛金</v>
          </cell>
          <cell r="E308">
            <v>8006</v>
          </cell>
          <cell r="F308" t="str">
            <v>2018006</v>
          </cell>
          <cell r="G308" t="str">
            <v>㈱山善営業1部営業2課</v>
          </cell>
        </row>
        <row r="309">
          <cell r="A309">
            <v>201</v>
          </cell>
          <cell r="B309" t="str">
            <v>買掛金</v>
          </cell>
          <cell r="E309">
            <v>8018</v>
          </cell>
          <cell r="F309" t="str">
            <v>2018018</v>
          </cell>
          <cell r="G309" t="str">
            <v>ﾔﾏﾄﾎﾞｯｸｽﾁｬｰﾀｰ㈱</v>
          </cell>
        </row>
        <row r="310">
          <cell r="A310">
            <v>201</v>
          </cell>
          <cell r="B310" t="str">
            <v>買掛金</v>
          </cell>
          <cell r="E310">
            <v>8020</v>
          </cell>
          <cell r="F310" t="str">
            <v>2018020</v>
          </cell>
          <cell r="G310" t="str">
            <v>楽天ｼｮｯﾌﾟ</v>
          </cell>
        </row>
        <row r="311">
          <cell r="A311">
            <v>201</v>
          </cell>
          <cell r="B311" t="str">
            <v>買掛金</v>
          </cell>
          <cell r="E311">
            <v>8206</v>
          </cell>
          <cell r="F311" t="str">
            <v>2018206</v>
          </cell>
          <cell r="G311" t="str">
            <v>㈱ユニビジョン</v>
          </cell>
        </row>
        <row r="312">
          <cell r="A312">
            <v>201</v>
          </cell>
          <cell r="B312" t="str">
            <v>買掛金</v>
          </cell>
          <cell r="E312">
            <v>8804</v>
          </cell>
          <cell r="F312" t="str">
            <v>2018804</v>
          </cell>
          <cell r="G312" t="str">
            <v>㈱ワイズサイン</v>
          </cell>
        </row>
        <row r="313">
          <cell r="A313">
            <v>201</v>
          </cell>
          <cell r="B313" t="str">
            <v>買掛金</v>
          </cell>
          <cell r="E313">
            <v>8807</v>
          </cell>
          <cell r="F313" t="str">
            <v>2018807</v>
          </cell>
          <cell r="G313" t="str">
            <v>Y-TEC</v>
          </cell>
        </row>
        <row r="314">
          <cell r="A314">
            <v>201</v>
          </cell>
          <cell r="B314" t="str">
            <v>買掛金</v>
          </cell>
          <cell r="E314">
            <v>8808</v>
          </cell>
          <cell r="F314" t="str">
            <v>2018808</v>
          </cell>
          <cell r="G314" t="str">
            <v>楽天トﾗﾍﾞﾙ㈱</v>
          </cell>
        </row>
        <row r="315">
          <cell r="A315">
            <v>201</v>
          </cell>
          <cell r="B315" t="str">
            <v>買掛金</v>
          </cell>
          <cell r="E315">
            <v>9003</v>
          </cell>
          <cell r="F315" t="str">
            <v>2019003</v>
          </cell>
          <cell r="G315" t="str">
            <v>ﾗｲｽﾞﾏﾃﾘｱﾙ㈱</v>
          </cell>
        </row>
        <row r="316">
          <cell r="A316">
            <v>201</v>
          </cell>
          <cell r="B316" t="str">
            <v>買掛金</v>
          </cell>
          <cell r="E316">
            <v>9801</v>
          </cell>
          <cell r="F316" t="str">
            <v>2019801</v>
          </cell>
          <cell r="G316" t="str">
            <v>ﾛｲﾔﾙﾎｰﾑｾﾝﾀｰ</v>
          </cell>
        </row>
        <row r="317">
          <cell r="A317">
            <v>201</v>
          </cell>
          <cell r="B317" t="str">
            <v>買掛金</v>
          </cell>
          <cell r="E317">
            <v>9803</v>
          </cell>
          <cell r="F317" t="str">
            <v>2019803</v>
          </cell>
          <cell r="G317" t="str">
            <v>若林ハウス</v>
          </cell>
        </row>
        <row r="318">
          <cell r="A318">
            <v>201</v>
          </cell>
          <cell r="B318" t="str">
            <v>買掛金</v>
          </cell>
          <cell r="E318">
            <v>9997</v>
          </cell>
          <cell r="F318" t="str">
            <v>2019997</v>
          </cell>
          <cell r="G318" t="str">
            <v>その他仕入先</v>
          </cell>
        </row>
        <row r="319">
          <cell r="A319">
            <v>201</v>
          </cell>
          <cell r="B319" t="str">
            <v>買掛金</v>
          </cell>
          <cell r="E319">
            <v>9998</v>
          </cell>
          <cell r="F319" t="str">
            <v>2019998</v>
          </cell>
          <cell r="G319" t="str">
            <v>その他のﾚｼｰﾄ</v>
          </cell>
        </row>
        <row r="320">
          <cell r="A320">
            <v>201</v>
          </cell>
          <cell r="B320" t="str">
            <v>買掛金</v>
          </cell>
          <cell r="E320">
            <v>9999</v>
          </cell>
          <cell r="F320" t="str">
            <v>2019999</v>
          </cell>
          <cell r="G320" t="str">
            <v>㈱三和商研</v>
          </cell>
        </row>
        <row r="321">
          <cell r="A321">
            <v>202</v>
          </cell>
          <cell r="B321" t="str">
            <v>短期借入金</v>
          </cell>
          <cell r="F321" t="str">
            <v>202</v>
          </cell>
        </row>
        <row r="322">
          <cell r="A322">
            <v>204</v>
          </cell>
          <cell r="B322" t="str">
            <v>未払金</v>
          </cell>
          <cell r="E322">
            <v>1</v>
          </cell>
          <cell r="F322" t="str">
            <v>2041</v>
          </cell>
          <cell r="G322" t="str">
            <v>三和商研　経費</v>
          </cell>
        </row>
        <row r="323">
          <cell r="A323">
            <v>204</v>
          </cell>
          <cell r="B323" t="str">
            <v>未払金</v>
          </cell>
          <cell r="E323">
            <v>4</v>
          </cell>
          <cell r="F323" t="str">
            <v>2044</v>
          </cell>
          <cell r="G323" t="str">
            <v>中国</v>
          </cell>
        </row>
        <row r="324">
          <cell r="A324">
            <v>204</v>
          </cell>
          <cell r="B324" t="str">
            <v>未払金</v>
          </cell>
          <cell r="E324">
            <v>10</v>
          </cell>
          <cell r="F324" t="str">
            <v>20410</v>
          </cell>
          <cell r="G324" t="str">
            <v>浅沼</v>
          </cell>
        </row>
        <row r="325">
          <cell r="A325">
            <v>204</v>
          </cell>
          <cell r="B325" t="str">
            <v>未払金</v>
          </cell>
          <cell r="E325">
            <v>11</v>
          </cell>
          <cell r="F325" t="str">
            <v>20411</v>
          </cell>
          <cell r="G325" t="str">
            <v>ｱｯﾌﾟﾙ</v>
          </cell>
        </row>
        <row r="326">
          <cell r="A326">
            <v>204</v>
          </cell>
          <cell r="B326" t="str">
            <v>未払金</v>
          </cell>
          <cell r="E326">
            <v>40</v>
          </cell>
          <cell r="F326" t="str">
            <v>20440</v>
          </cell>
          <cell r="G326" t="str">
            <v>Ｍクラフト</v>
          </cell>
        </row>
        <row r="327">
          <cell r="A327">
            <v>204</v>
          </cell>
          <cell r="B327" t="str">
            <v>未払金</v>
          </cell>
          <cell r="E327">
            <v>41</v>
          </cell>
          <cell r="F327" t="str">
            <v>20441</v>
          </cell>
          <cell r="G327" t="str">
            <v>エルテック</v>
          </cell>
        </row>
        <row r="328">
          <cell r="A328">
            <v>204</v>
          </cell>
          <cell r="B328" t="str">
            <v>未払金</v>
          </cell>
          <cell r="E328">
            <v>42</v>
          </cell>
          <cell r="F328" t="str">
            <v>20442</v>
          </cell>
          <cell r="G328" t="str">
            <v>エルム室内㈱</v>
          </cell>
        </row>
        <row r="329">
          <cell r="A329">
            <v>204</v>
          </cell>
          <cell r="B329" t="str">
            <v>未払金</v>
          </cell>
          <cell r="E329">
            <v>50</v>
          </cell>
          <cell r="F329" t="str">
            <v>20450</v>
          </cell>
          <cell r="G329" t="str">
            <v>大石社労士</v>
          </cell>
        </row>
        <row r="330">
          <cell r="A330">
            <v>204</v>
          </cell>
          <cell r="B330" t="str">
            <v>未払金</v>
          </cell>
          <cell r="E330">
            <v>51</v>
          </cell>
          <cell r="F330" t="str">
            <v>20451</v>
          </cell>
          <cell r="G330" t="str">
            <v>大里</v>
          </cell>
        </row>
        <row r="331">
          <cell r="A331">
            <v>204</v>
          </cell>
          <cell r="B331" t="str">
            <v>未払金</v>
          </cell>
          <cell r="E331">
            <v>52</v>
          </cell>
          <cell r="F331" t="str">
            <v>20452</v>
          </cell>
          <cell r="G331" t="str">
            <v>大塚商会</v>
          </cell>
        </row>
        <row r="332">
          <cell r="A332">
            <v>204</v>
          </cell>
          <cell r="B332" t="str">
            <v>未払金</v>
          </cell>
          <cell r="E332">
            <v>53</v>
          </cell>
          <cell r="F332" t="str">
            <v>20453</v>
          </cell>
          <cell r="G332" t="str">
            <v>岡村製作所</v>
          </cell>
        </row>
        <row r="333">
          <cell r="A333">
            <v>204</v>
          </cell>
          <cell r="B333" t="str">
            <v>未払金</v>
          </cell>
          <cell r="E333">
            <v>120</v>
          </cell>
          <cell r="F333" t="str">
            <v>204120</v>
          </cell>
          <cell r="G333" t="str">
            <v>北本グリーンセンター</v>
          </cell>
        </row>
        <row r="334">
          <cell r="A334">
            <v>204</v>
          </cell>
          <cell r="B334" t="str">
            <v>未払金</v>
          </cell>
          <cell r="E334">
            <v>130</v>
          </cell>
          <cell r="F334" t="str">
            <v>204130</v>
          </cell>
          <cell r="G334" t="str">
            <v>久保ﾃﾞｻﾞｲﾝｽﾀｼﾞｵ</v>
          </cell>
        </row>
        <row r="335">
          <cell r="A335">
            <v>204</v>
          </cell>
          <cell r="B335" t="str">
            <v>未払金</v>
          </cell>
          <cell r="E335">
            <v>131</v>
          </cell>
          <cell r="F335" t="str">
            <v>204131</v>
          </cell>
          <cell r="G335" t="str">
            <v>ｸﾏﾋﾗ</v>
          </cell>
        </row>
        <row r="336">
          <cell r="A336">
            <v>204</v>
          </cell>
          <cell r="B336" t="str">
            <v>未払金</v>
          </cell>
          <cell r="E336">
            <v>132</v>
          </cell>
          <cell r="F336" t="str">
            <v>204132</v>
          </cell>
          <cell r="G336" t="str">
            <v>熊谷通運</v>
          </cell>
        </row>
        <row r="337">
          <cell r="A337">
            <v>204</v>
          </cell>
          <cell r="B337" t="str">
            <v>未払金</v>
          </cell>
          <cell r="E337">
            <v>133</v>
          </cell>
          <cell r="F337" t="str">
            <v>204133</v>
          </cell>
          <cell r="G337" t="str">
            <v>群馬日産太田</v>
          </cell>
        </row>
        <row r="338">
          <cell r="A338">
            <v>204</v>
          </cell>
          <cell r="B338" t="str">
            <v>未払金</v>
          </cell>
          <cell r="E338">
            <v>140</v>
          </cell>
          <cell r="F338" t="str">
            <v>204140</v>
          </cell>
          <cell r="G338" t="str">
            <v>ｹﾝ鏡装</v>
          </cell>
        </row>
        <row r="339">
          <cell r="A339">
            <v>204</v>
          </cell>
          <cell r="B339" t="str">
            <v>未払金</v>
          </cell>
          <cell r="E339">
            <v>150</v>
          </cell>
          <cell r="F339" t="str">
            <v>204150</v>
          </cell>
          <cell r="G339" t="str">
            <v>コスモプリンツ㈱</v>
          </cell>
        </row>
        <row r="340">
          <cell r="A340">
            <v>204</v>
          </cell>
          <cell r="B340" t="str">
            <v>未払金</v>
          </cell>
          <cell r="E340">
            <v>151</v>
          </cell>
          <cell r="F340" t="str">
            <v>204151</v>
          </cell>
          <cell r="G340" t="str">
            <v>コウエイ建装</v>
          </cell>
        </row>
        <row r="341">
          <cell r="A341">
            <v>204</v>
          </cell>
          <cell r="B341" t="str">
            <v>未払金</v>
          </cell>
          <cell r="E341">
            <v>210</v>
          </cell>
          <cell r="F341" t="str">
            <v>204210</v>
          </cell>
          <cell r="G341" t="str">
            <v>埼玉トヨペット</v>
          </cell>
        </row>
        <row r="342">
          <cell r="A342">
            <v>204</v>
          </cell>
          <cell r="B342" t="str">
            <v>未払金</v>
          </cell>
          <cell r="E342">
            <v>211</v>
          </cell>
          <cell r="F342" t="str">
            <v>204211</v>
          </cell>
          <cell r="G342" t="str">
            <v>サガワ</v>
          </cell>
        </row>
        <row r="343">
          <cell r="A343">
            <v>204</v>
          </cell>
          <cell r="B343" t="str">
            <v>未払金</v>
          </cell>
          <cell r="E343">
            <v>212</v>
          </cell>
          <cell r="F343" t="str">
            <v>204212</v>
          </cell>
          <cell r="G343" t="str">
            <v>三電</v>
          </cell>
        </row>
        <row r="344">
          <cell r="A344">
            <v>204</v>
          </cell>
          <cell r="B344" t="str">
            <v>未払金</v>
          </cell>
          <cell r="E344">
            <v>213</v>
          </cell>
          <cell r="F344" t="str">
            <v>204213</v>
          </cell>
          <cell r="G344" t="str">
            <v>三和ｻｰﾋﾞｽ車両ﾘｰｽ</v>
          </cell>
        </row>
        <row r="345">
          <cell r="A345">
            <v>204</v>
          </cell>
          <cell r="B345" t="str">
            <v>未払金</v>
          </cell>
          <cell r="E345">
            <v>214</v>
          </cell>
          <cell r="F345" t="str">
            <v>204214</v>
          </cell>
          <cell r="G345" t="str">
            <v>ｻﾝﾜﾌﾟﾗﾝﾆﾝｸﾞ</v>
          </cell>
        </row>
        <row r="346">
          <cell r="A346">
            <v>204</v>
          </cell>
          <cell r="B346" t="str">
            <v>未払金</v>
          </cell>
          <cell r="E346">
            <v>215</v>
          </cell>
          <cell r="F346" t="str">
            <v>204215</v>
          </cell>
          <cell r="G346" t="str">
            <v>佐川急便</v>
          </cell>
        </row>
        <row r="347">
          <cell r="A347">
            <v>204</v>
          </cell>
          <cell r="B347" t="str">
            <v>未払金</v>
          </cell>
          <cell r="E347">
            <v>220</v>
          </cell>
          <cell r="F347" t="str">
            <v>204220</v>
          </cell>
          <cell r="G347" t="str">
            <v>出版文化社</v>
          </cell>
        </row>
        <row r="348">
          <cell r="A348">
            <v>204</v>
          </cell>
          <cell r="B348" t="str">
            <v>未払金</v>
          </cell>
          <cell r="E348">
            <v>221</v>
          </cell>
          <cell r="F348" t="str">
            <v>204221</v>
          </cell>
          <cell r="G348" t="str">
            <v>ｼﾞｬｯｸｽ</v>
          </cell>
        </row>
        <row r="349">
          <cell r="A349">
            <v>204</v>
          </cell>
          <cell r="B349" t="str">
            <v>未払金</v>
          </cell>
          <cell r="E349">
            <v>222</v>
          </cell>
          <cell r="F349" t="str">
            <v>204222</v>
          </cell>
          <cell r="G349" t="str">
            <v>ｼﾞｬｽﾄ</v>
          </cell>
        </row>
        <row r="350">
          <cell r="A350">
            <v>204</v>
          </cell>
          <cell r="B350" t="str">
            <v>未払金</v>
          </cell>
          <cell r="E350">
            <v>223</v>
          </cell>
          <cell r="F350" t="str">
            <v>204223</v>
          </cell>
          <cell r="G350" t="str">
            <v>澁澤倉庫</v>
          </cell>
        </row>
        <row r="351">
          <cell r="A351">
            <v>204</v>
          </cell>
          <cell r="B351" t="str">
            <v>未払金</v>
          </cell>
          <cell r="E351">
            <v>230</v>
          </cell>
          <cell r="F351" t="str">
            <v>204230</v>
          </cell>
          <cell r="G351" t="str">
            <v>ｽｰﾊﾟｰﾒｲﾄ</v>
          </cell>
        </row>
        <row r="352">
          <cell r="A352">
            <v>204</v>
          </cell>
          <cell r="B352" t="str">
            <v>未払金</v>
          </cell>
          <cell r="E352">
            <v>240</v>
          </cell>
          <cell r="F352" t="str">
            <v>204240</v>
          </cell>
          <cell r="G352" t="str">
            <v>セコム</v>
          </cell>
        </row>
        <row r="353">
          <cell r="A353">
            <v>204</v>
          </cell>
          <cell r="B353" t="str">
            <v>未払金</v>
          </cell>
          <cell r="E353">
            <v>310</v>
          </cell>
          <cell r="F353" t="str">
            <v>204310</v>
          </cell>
          <cell r="G353" t="str">
            <v>ﾀﾊﾞﾀ設備</v>
          </cell>
        </row>
        <row r="354">
          <cell r="A354">
            <v>204</v>
          </cell>
          <cell r="B354" t="str">
            <v>未払金</v>
          </cell>
          <cell r="E354">
            <v>311</v>
          </cell>
          <cell r="F354" t="str">
            <v>204311</v>
          </cell>
          <cell r="G354" t="str">
            <v>ﾀﾞｲｵｰｽﾞ</v>
          </cell>
        </row>
        <row r="355">
          <cell r="A355">
            <v>204</v>
          </cell>
          <cell r="B355" t="str">
            <v>未払金</v>
          </cell>
          <cell r="E355">
            <v>320</v>
          </cell>
          <cell r="F355" t="str">
            <v>204320</v>
          </cell>
          <cell r="G355" t="str">
            <v>ﾁｬﾚｼﾞｮﾌﾞ</v>
          </cell>
        </row>
        <row r="356">
          <cell r="A356">
            <v>204</v>
          </cell>
          <cell r="B356" t="str">
            <v>未払金</v>
          </cell>
          <cell r="E356">
            <v>340</v>
          </cell>
          <cell r="F356" t="str">
            <v>204340</v>
          </cell>
          <cell r="G356" t="str">
            <v>帝国ﾃﾞｰﾀﾊﾞﾝｸ</v>
          </cell>
        </row>
        <row r="357">
          <cell r="A357">
            <v>204</v>
          </cell>
          <cell r="B357" t="str">
            <v>未払金</v>
          </cell>
          <cell r="E357">
            <v>341</v>
          </cell>
          <cell r="F357" t="str">
            <v>204341</v>
          </cell>
          <cell r="G357" t="str">
            <v>店装技研</v>
          </cell>
        </row>
        <row r="358">
          <cell r="A358">
            <v>204</v>
          </cell>
          <cell r="B358" t="str">
            <v>未払金</v>
          </cell>
          <cell r="E358">
            <v>342</v>
          </cell>
          <cell r="F358" t="str">
            <v>204342</v>
          </cell>
          <cell r="G358" t="str">
            <v>DHLジャパン</v>
          </cell>
        </row>
        <row r="359">
          <cell r="A359">
            <v>204</v>
          </cell>
          <cell r="B359" t="str">
            <v>未払金</v>
          </cell>
          <cell r="E359">
            <v>350</v>
          </cell>
          <cell r="F359" t="str">
            <v>204350</v>
          </cell>
          <cell r="G359" t="str">
            <v>東京マシン</v>
          </cell>
        </row>
        <row r="360">
          <cell r="A360">
            <v>204</v>
          </cell>
          <cell r="B360" t="str">
            <v>未払金</v>
          </cell>
          <cell r="E360">
            <v>351</v>
          </cell>
          <cell r="F360" t="str">
            <v>204351</v>
          </cell>
          <cell r="G360" t="str">
            <v>東京シンコーレザー㈱</v>
          </cell>
        </row>
        <row r="361">
          <cell r="A361">
            <v>204</v>
          </cell>
          <cell r="B361" t="str">
            <v>未払金</v>
          </cell>
          <cell r="E361">
            <v>352</v>
          </cell>
          <cell r="F361" t="str">
            <v>204352</v>
          </cell>
          <cell r="G361" t="str">
            <v>トヨタＬ＆Ｆ</v>
          </cell>
        </row>
        <row r="362">
          <cell r="A362">
            <v>204</v>
          </cell>
          <cell r="B362" t="str">
            <v>未払金</v>
          </cell>
          <cell r="E362">
            <v>353</v>
          </cell>
          <cell r="F362" t="str">
            <v>204353</v>
          </cell>
          <cell r="G362" t="str">
            <v>ﾄﾖﾀｶﾛｰﾗ新埼玉</v>
          </cell>
        </row>
        <row r="363">
          <cell r="A363">
            <v>204</v>
          </cell>
          <cell r="B363" t="str">
            <v>未払金</v>
          </cell>
          <cell r="E363">
            <v>410</v>
          </cell>
          <cell r="F363" t="str">
            <v>204410</v>
          </cell>
          <cell r="G363" t="str">
            <v>中島商会</v>
          </cell>
        </row>
        <row r="364">
          <cell r="A364">
            <v>204</v>
          </cell>
          <cell r="B364" t="str">
            <v>未払金</v>
          </cell>
          <cell r="E364">
            <v>411</v>
          </cell>
          <cell r="F364" t="str">
            <v>204411</v>
          </cell>
          <cell r="G364" t="str">
            <v>中沢ﾄｰﾀﾘｱ</v>
          </cell>
        </row>
        <row r="365">
          <cell r="A365">
            <v>204</v>
          </cell>
          <cell r="B365" t="str">
            <v>未払金</v>
          </cell>
          <cell r="E365">
            <v>412</v>
          </cell>
          <cell r="F365" t="str">
            <v>204412</v>
          </cell>
          <cell r="G365" t="str">
            <v>ナショナル消防化学</v>
          </cell>
        </row>
        <row r="366">
          <cell r="A366">
            <v>204</v>
          </cell>
          <cell r="B366" t="str">
            <v>未払金</v>
          </cell>
          <cell r="E366">
            <v>420</v>
          </cell>
          <cell r="F366" t="str">
            <v>204420</v>
          </cell>
          <cell r="G366" t="str">
            <v>日本ヒルティ</v>
          </cell>
        </row>
        <row r="367">
          <cell r="A367">
            <v>204</v>
          </cell>
          <cell r="B367" t="str">
            <v>未払金</v>
          </cell>
          <cell r="E367">
            <v>520</v>
          </cell>
          <cell r="F367" t="str">
            <v>204520</v>
          </cell>
          <cell r="G367" t="str">
            <v>東日本宇佐美</v>
          </cell>
        </row>
        <row r="368">
          <cell r="A368">
            <v>204</v>
          </cell>
          <cell r="B368" t="str">
            <v>未払金</v>
          </cell>
          <cell r="E368">
            <v>530</v>
          </cell>
          <cell r="F368" t="str">
            <v>204530</v>
          </cell>
          <cell r="G368" t="str">
            <v>福田電気管理事務所</v>
          </cell>
        </row>
        <row r="369">
          <cell r="A369">
            <v>204</v>
          </cell>
          <cell r="B369" t="str">
            <v>未払金</v>
          </cell>
          <cell r="E369">
            <v>531</v>
          </cell>
          <cell r="F369" t="str">
            <v>204531</v>
          </cell>
          <cell r="G369" t="str">
            <v>富士ｾﾞﾛｯｸｽ</v>
          </cell>
        </row>
        <row r="370">
          <cell r="A370">
            <v>204</v>
          </cell>
          <cell r="B370" t="str">
            <v>未払金</v>
          </cell>
          <cell r="E370">
            <v>610</v>
          </cell>
          <cell r="F370" t="str">
            <v>204610</v>
          </cell>
          <cell r="G370" t="str">
            <v>前林</v>
          </cell>
        </row>
        <row r="371">
          <cell r="A371">
            <v>204</v>
          </cell>
          <cell r="B371" t="str">
            <v>未払金</v>
          </cell>
          <cell r="E371">
            <v>611</v>
          </cell>
          <cell r="F371" t="str">
            <v>204611</v>
          </cell>
          <cell r="G371" t="str">
            <v>マミー</v>
          </cell>
        </row>
        <row r="372">
          <cell r="A372">
            <v>204</v>
          </cell>
          <cell r="B372" t="str">
            <v>未払金</v>
          </cell>
          <cell r="E372">
            <v>620</v>
          </cell>
          <cell r="F372" t="str">
            <v>204620</v>
          </cell>
          <cell r="G372" t="str">
            <v>三井住友</v>
          </cell>
        </row>
        <row r="373">
          <cell r="A373">
            <v>204</v>
          </cell>
          <cell r="B373" t="str">
            <v>未払金</v>
          </cell>
          <cell r="E373">
            <v>621</v>
          </cell>
          <cell r="F373" t="str">
            <v>204621</v>
          </cell>
          <cell r="G373" t="str">
            <v>三菱ふそうﾄﾗｯｸ・ﾊﾞｽ</v>
          </cell>
        </row>
        <row r="374">
          <cell r="A374">
            <v>204</v>
          </cell>
          <cell r="B374" t="str">
            <v>未払金</v>
          </cell>
          <cell r="E374">
            <v>710</v>
          </cell>
          <cell r="F374" t="str">
            <v>204710</v>
          </cell>
          <cell r="G374" t="str">
            <v>ヤマト運輸</v>
          </cell>
        </row>
        <row r="375">
          <cell r="A375">
            <v>204</v>
          </cell>
          <cell r="B375" t="str">
            <v>未払金</v>
          </cell>
          <cell r="E375">
            <v>720</v>
          </cell>
          <cell r="F375" t="str">
            <v>204720</v>
          </cell>
          <cell r="G375" t="str">
            <v>ユニビジョン</v>
          </cell>
        </row>
        <row r="376">
          <cell r="A376">
            <v>204</v>
          </cell>
          <cell r="B376" t="str">
            <v>未払金</v>
          </cell>
          <cell r="E376">
            <v>810</v>
          </cell>
          <cell r="F376" t="str">
            <v>204810</v>
          </cell>
          <cell r="G376" t="str">
            <v>楽天</v>
          </cell>
        </row>
        <row r="377">
          <cell r="A377">
            <v>204</v>
          </cell>
          <cell r="B377" t="str">
            <v>未払金</v>
          </cell>
          <cell r="E377">
            <v>811</v>
          </cell>
          <cell r="F377" t="str">
            <v>204811</v>
          </cell>
          <cell r="G377" t="str">
            <v>ランスタッド</v>
          </cell>
        </row>
        <row r="378">
          <cell r="A378">
            <v>204</v>
          </cell>
          <cell r="B378" t="str">
            <v>未払金</v>
          </cell>
          <cell r="E378">
            <v>812</v>
          </cell>
          <cell r="F378" t="str">
            <v>204812</v>
          </cell>
          <cell r="G378" t="str">
            <v>ラクーン</v>
          </cell>
        </row>
        <row r="379">
          <cell r="A379">
            <v>204</v>
          </cell>
          <cell r="B379" t="str">
            <v>未払金</v>
          </cell>
          <cell r="E379">
            <v>820</v>
          </cell>
          <cell r="F379" t="str">
            <v>204820</v>
          </cell>
          <cell r="G379" t="str">
            <v>りそなVISA</v>
          </cell>
        </row>
        <row r="380">
          <cell r="A380">
            <v>204</v>
          </cell>
          <cell r="B380" t="str">
            <v>未払金</v>
          </cell>
          <cell r="E380">
            <v>850</v>
          </cell>
          <cell r="F380" t="str">
            <v>204850</v>
          </cell>
          <cell r="G380" t="str">
            <v>ロフティー</v>
          </cell>
        </row>
        <row r="381">
          <cell r="A381">
            <v>204</v>
          </cell>
          <cell r="B381" t="str">
            <v>未払金</v>
          </cell>
          <cell r="E381">
            <v>851</v>
          </cell>
          <cell r="F381" t="str">
            <v>204851</v>
          </cell>
          <cell r="G381" t="str">
            <v>三和サービス</v>
          </cell>
        </row>
        <row r="382">
          <cell r="A382">
            <v>204</v>
          </cell>
          <cell r="B382" t="str">
            <v>未払金</v>
          </cell>
          <cell r="E382">
            <v>1500</v>
          </cell>
          <cell r="F382" t="str">
            <v>2041500</v>
          </cell>
          <cell r="G382" t="str">
            <v>ＥＴＣ</v>
          </cell>
        </row>
        <row r="383">
          <cell r="A383">
            <v>204</v>
          </cell>
          <cell r="B383" t="str">
            <v>未払金</v>
          </cell>
          <cell r="E383">
            <v>1502</v>
          </cell>
          <cell r="F383" t="str">
            <v>2041502</v>
          </cell>
          <cell r="G383" t="str">
            <v>ＮＴＴドコモ</v>
          </cell>
        </row>
        <row r="384">
          <cell r="A384">
            <v>204</v>
          </cell>
          <cell r="B384" t="str">
            <v>未払金</v>
          </cell>
          <cell r="E384">
            <v>1503</v>
          </cell>
          <cell r="F384" t="str">
            <v>2041503</v>
          </cell>
          <cell r="G384" t="str">
            <v>ＫＤＤＩ</v>
          </cell>
        </row>
        <row r="385">
          <cell r="A385">
            <v>204</v>
          </cell>
          <cell r="B385" t="str">
            <v>未払金</v>
          </cell>
          <cell r="E385">
            <v>1504</v>
          </cell>
          <cell r="F385" t="str">
            <v>2041504</v>
          </cell>
          <cell r="G385" t="str">
            <v>ガス料金</v>
          </cell>
        </row>
        <row r="386">
          <cell r="A386">
            <v>204</v>
          </cell>
          <cell r="B386" t="str">
            <v>未払金</v>
          </cell>
          <cell r="E386">
            <v>1546</v>
          </cell>
          <cell r="F386" t="str">
            <v>2041546</v>
          </cell>
          <cell r="G386" t="str">
            <v>りそな振込手数料</v>
          </cell>
        </row>
        <row r="387">
          <cell r="A387">
            <v>204</v>
          </cell>
          <cell r="B387" t="str">
            <v>未払金</v>
          </cell>
          <cell r="E387">
            <v>1547</v>
          </cell>
          <cell r="F387" t="str">
            <v>2041547</v>
          </cell>
          <cell r="G387" t="str">
            <v>社会保険料</v>
          </cell>
        </row>
        <row r="388">
          <cell r="A388">
            <v>204</v>
          </cell>
          <cell r="B388" t="str">
            <v>未払金</v>
          </cell>
          <cell r="E388">
            <v>1548</v>
          </cell>
          <cell r="F388" t="str">
            <v>2041548</v>
          </cell>
          <cell r="G388" t="str">
            <v>電気料金</v>
          </cell>
        </row>
        <row r="389">
          <cell r="A389">
            <v>207</v>
          </cell>
          <cell r="B389" t="str">
            <v>仮受金</v>
          </cell>
          <cell r="E389">
            <v>1</v>
          </cell>
          <cell r="F389" t="str">
            <v>2071</v>
          </cell>
          <cell r="G389" t="str">
            <v>㈱三和商研</v>
          </cell>
        </row>
        <row r="390">
          <cell r="A390">
            <v>207</v>
          </cell>
          <cell r="B390" t="str">
            <v>仮受金</v>
          </cell>
          <cell r="E390">
            <v>4</v>
          </cell>
          <cell r="F390" t="str">
            <v>2074</v>
          </cell>
          <cell r="G390" t="str">
            <v>三研商貿有限公司</v>
          </cell>
        </row>
        <row r="391">
          <cell r="A391">
            <v>208</v>
          </cell>
          <cell r="B391" t="str">
            <v>預り金</v>
          </cell>
          <cell r="E391">
            <v>1</v>
          </cell>
          <cell r="F391" t="str">
            <v>2081</v>
          </cell>
          <cell r="G391" t="str">
            <v>給与源泉所得税</v>
          </cell>
        </row>
        <row r="392">
          <cell r="A392">
            <v>208</v>
          </cell>
          <cell r="B392" t="str">
            <v>預り金</v>
          </cell>
          <cell r="E392">
            <v>2</v>
          </cell>
          <cell r="F392" t="str">
            <v>2082</v>
          </cell>
          <cell r="G392" t="str">
            <v>飯島税理士</v>
          </cell>
        </row>
        <row r="393">
          <cell r="A393">
            <v>208</v>
          </cell>
          <cell r="B393" t="str">
            <v>預り金</v>
          </cell>
          <cell r="E393">
            <v>3</v>
          </cell>
          <cell r="F393" t="str">
            <v>2083</v>
          </cell>
          <cell r="G393" t="str">
            <v>大石社労士</v>
          </cell>
        </row>
        <row r="394">
          <cell r="A394">
            <v>208</v>
          </cell>
          <cell r="B394" t="str">
            <v>預り金</v>
          </cell>
          <cell r="E394">
            <v>4</v>
          </cell>
          <cell r="F394" t="str">
            <v>2084</v>
          </cell>
          <cell r="G394" t="str">
            <v>住民税</v>
          </cell>
        </row>
        <row r="395">
          <cell r="A395">
            <v>208</v>
          </cell>
          <cell r="B395" t="str">
            <v>預り金</v>
          </cell>
          <cell r="E395">
            <v>5</v>
          </cell>
          <cell r="F395" t="str">
            <v>2085</v>
          </cell>
          <cell r="G395" t="str">
            <v>健保・介護保険料</v>
          </cell>
        </row>
        <row r="396">
          <cell r="A396">
            <v>208</v>
          </cell>
          <cell r="B396" t="str">
            <v>預り金</v>
          </cell>
          <cell r="E396">
            <v>6</v>
          </cell>
          <cell r="F396" t="str">
            <v>2086</v>
          </cell>
          <cell r="G396" t="str">
            <v>厚生年金保険料</v>
          </cell>
        </row>
        <row r="397">
          <cell r="A397">
            <v>208</v>
          </cell>
          <cell r="B397" t="str">
            <v>預り金</v>
          </cell>
          <cell r="E397">
            <v>8</v>
          </cell>
          <cell r="F397" t="str">
            <v>2088</v>
          </cell>
          <cell r="G397" t="str">
            <v>司法書士田中事務所</v>
          </cell>
        </row>
        <row r="398">
          <cell r="A398">
            <v>208</v>
          </cell>
          <cell r="B398" t="str">
            <v>預り金</v>
          </cell>
          <cell r="E398">
            <v>10</v>
          </cell>
          <cell r="F398" t="str">
            <v>20810</v>
          </cell>
          <cell r="G398" t="str">
            <v>その他</v>
          </cell>
        </row>
        <row r="399">
          <cell r="A399">
            <v>208</v>
          </cell>
          <cell r="B399" t="str">
            <v>預り金</v>
          </cell>
          <cell r="E399">
            <v>44</v>
          </cell>
          <cell r="F399" t="str">
            <v>20844</v>
          </cell>
          <cell r="G399" t="str">
            <v>中国</v>
          </cell>
        </row>
        <row r="400">
          <cell r="A400">
            <v>2117</v>
          </cell>
          <cell r="B400" t="str">
            <v>研修教育費</v>
          </cell>
          <cell r="C400">
            <v>32</v>
          </cell>
          <cell r="D400">
            <v>8</v>
          </cell>
          <cell r="F400" t="str">
            <v>2117</v>
          </cell>
        </row>
        <row r="401">
          <cell r="A401">
            <v>212</v>
          </cell>
          <cell r="B401" t="str">
            <v>未払法人税等</v>
          </cell>
          <cell r="F401" t="str">
            <v>212</v>
          </cell>
        </row>
        <row r="402">
          <cell r="A402">
            <v>220</v>
          </cell>
          <cell r="B402" t="str">
            <v>長期借入金</v>
          </cell>
          <cell r="F402" t="str">
            <v>220</v>
          </cell>
        </row>
        <row r="403">
          <cell r="A403">
            <v>331</v>
          </cell>
          <cell r="B403" t="str">
            <v>繰越利益剰余金</v>
          </cell>
          <cell r="F403" t="str">
            <v>331</v>
          </cell>
        </row>
        <row r="404">
          <cell r="A404">
            <v>460</v>
          </cell>
          <cell r="B404" t="str">
            <v>期首棚卸高</v>
          </cell>
          <cell r="C404">
            <v>81</v>
          </cell>
          <cell r="F404" t="str">
            <v>460</v>
          </cell>
        </row>
        <row r="405">
          <cell r="A405">
            <v>461</v>
          </cell>
          <cell r="B405" t="str">
            <v>商品仕入高</v>
          </cell>
          <cell r="C405">
            <v>32</v>
          </cell>
          <cell r="D405">
            <v>5</v>
          </cell>
          <cell r="F405" t="str">
            <v>461</v>
          </cell>
        </row>
        <row r="406">
          <cell r="A406">
            <v>461</v>
          </cell>
          <cell r="B406" t="str">
            <v>商品仕入高</v>
          </cell>
          <cell r="C406">
            <v>32</v>
          </cell>
          <cell r="D406">
            <v>8</v>
          </cell>
          <cell r="F406" t="str">
            <v>461</v>
          </cell>
        </row>
        <row r="407">
          <cell r="A407">
            <v>466</v>
          </cell>
          <cell r="B407" t="str">
            <v>期末棚卸高</v>
          </cell>
          <cell r="C407">
            <v>81</v>
          </cell>
          <cell r="F407" t="str">
            <v>466</v>
          </cell>
        </row>
        <row r="408">
          <cell r="A408">
            <v>501</v>
          </cell>
          <cell r="B408" t="str">
            <v>給料手当</v>
          </cell>
          <cell r="C408">
            <v>81</v>
          </cell>
          <cell r="E408">
            <v>1</v>
          </cell>
          <cell r="F408" t="str">
            <v>5011</v>
          </cell>
          <cell r="G408" t="str">
            <v>㈱三和商研</v>
          </cell>
        </row>
        <row r="409">
          <cell r="A409">
            <v>502</v>
          </cell>
          <cell r="B409" t="str">
            <v>賞与</v>
          </cell>
          <cell r="C409">
            <v>81</v>
          </cell>
          <cell r="F409" t="str">
            <v>502</v>
          </cell>
        </row>
        <row r="410">
          <cell r="A410">
            <v>504</v>
          </cell>
          <cell r="B410" t="str">
            <v>法定福利費</v>
          </cell>
          <cell r="C410">
            <v>81</v>
          </cell>
          <cell r="E410">
            <v>1</v>
          </cell>
          <cell r="F410" t="str">
            <v>5041</v>
          </cell>
          <cell r="G410" t="str">
            <v>㈱三和商研</v>
          </cell>
        </row>
        <row r="411">
          <cell r="A411">
            <v>505</v>
          </cell>
          <cell r="B411" t="str">
            <v>厚生費</v>
          </cell>
          <cell r="C411">
            <v>32</v>
          </cell>
          <cell r="D411">
            <v>8</v>
          </cell>
          <cell r="E411">
            <v>4</v>
          </cell>
          <cell r="F411" t="str">
            <v>5054</v>
          </cell>
          <cell r="G411" t="str">
            <v>中国</v>
          </cell>
        </row>
        <row r="412">
          <cell r="A412">
            <v>505</v>
          </cell>
          <cell r="B412" t="str">
            <v>厚生費</v>
          </cell>
          <cell r="C412">
            <v>32</v>
          </cell>
          <cell r="D412">
            <v>8</v>
          </cell>
          <cell r="E412">
            <v>11</v>
          </cell>
          <cell r="F412" t="str">
            <v>50511</v>
          </cell>
          <cell r="G412" t="str">
            <v>第1担当</v>
          </cell>
        </row>
        <row r="413">
          <cell r="A413">
            <v>505</v>
          </cell>
          <cell r="B413" t="str">
            <v>厚生費</v>
          </cell>
          <cell r="C413">
            <v>32</v>
          </cell>
          <cell r="D413">
            <v>8</v>
          </cell>
          <cell r="E413">
            <v>12</v>
          </cell>
          <cell r="F413" t="str">
            <v>50512</v>
          </cell>
          <cell r="G413" t="str">
            <v>第2担当</v>
          </cell>
        </row>
        <row r="414">
          <cell r="A414">
            <v>505</v>
          </cell>
          <cell r="B414" t="str">
            <v>厚生費</v>
          </cell>
          <cell r="C414">
            <v>32</v>
          </cell>
          <cell r="D414">
            <v>8</v>
          </cell>
          <cell r="E414">
            <v>100</v>
          </cell>
          <cell r="F414" t="str">
            <v>505100</v>
          </cell>
          <cell r="G414" t="str">
            <v>松﨑由誉</v>
          </cell>
        </row>
        <row r="415">
          <cell r="A415">
            <v>505</v>
          </cell>
          <cell r="B415" t="str">
            <v>厚生費</v>
          </cell>
          <cell r="C415">
            <v>32</v>
          </cell>
          <cell r="D415">
            <v>8</v>
          </cell>
          <cell r="E415">
            <v>999</v>
          </cell>
          <cell r="F415" t="str">
            <v>505999</v>
          </cell>
          <cell r="G415" t="str">
            <v>その他</v>
          </cell>
        </row>
        <row r="416">
          <cell r="A416">
            <v>506</v>
          </cell>
          <cell r="B416" t="str">
            <v>賞与引当金繰入</v>
          </cell>
          <cell r="F416" t="str">
            <v>506</v>
          </cell>
        </row>
        <row r="417">
          <cell r="A417">
            <v>510</v>
          </cell>
          <cell r="B417" t="str">
            <v>広告宣伝費</v>
          </cell>
          <cell r="C417">
            <v>32</v>
          </cell>
          <cell r="D417">
            <v>5</v>
          </cell>
          <cell r="E417">
            <v>4</v>
          </cell>
          <cell r="F417" t="str">
            <v>5104</v>
          </cell>
          <cell r="G417" t="str">
            <v>中国</v>
          </cell>
        </row>
        <row r="418">
          <cell r="A418">
            <v>510</v>
          </cell>
          <cell r="B418" t="str">
            <v>広告宣伝費</v>
          </cell>
          <cell r="C418">
            <v>32</v>
          </cell>
          <cell r="D418">
            <v>5</v>
          </cell>
          <cell r="E418">
            <v>11</v>
          </cell>
          <cell r="F418" t="str">
            <v>51011</v>
          </cell>
          <cell r="G418" t="str">
            <v>第1担当</v>
          </cell>
        </row>
        <row r="419">
          <cell r="A419">
            <v>510</v>
          </cell>
          <cell r="B419" t="str">
            <v>広告宣伝費</v>
          </cell>
          <cell r="C419">
            <v>32</v>
          </cell>
          <cell r="D419">
            <v>8</v>
          </cell>
          <cell r="E419">
            <v>12</v>
          </cell>
          <cell r="F419" t="str">
            <v>51012</v>
          </cell>
          <cell r="G419" t="str">
            <v>第2担当</v>
          </cell>
        </row>
        <row r="420">
          <cell r="A420">
            <v>510</v>
          </cell>
          <cell r="B420" t="str">
            <v>広告宣伝費</v>
          </cell>
          <cell r="C420">
            <v>32</v>
          </cell>
          <cell r="D420">
            <v>5</v>
          </cell>
          <cell r="E420">
            <v>100</v>
          </cell>
          <cell r="F420" t="str">
            <v>510100</v>
          </cell>
          <cell r="G420" t="str">
            <v>松﨑由誉</v>
          </cell>
        </row>
        <row r="421">
          <cell r="A421">
            <v>510</v>
          </cell>
          <cell r="B421" t="str">
            <v>広告宣伝費</v>
          </cell>
          <cell r="C421">
            <v>32</v>
          </cell>
          <cell r="D421">
            <v>5</v>
          </cell>
          <cell r="E421">
            <v>101</v>
          </cell>
          <cell r="F421" t="str">
            <v>510101</v>
          </cell>
          <cell r="G421" t="str">
            <v>松﨑正夫</v>
          </cell>
        </row>
        <row r="422">
          <cell r="A422">
            <v>510</v>
          </cell>
          <cell r="B422" t="str">
            <v>広告宣伝費</v>
          </cell>
          <cell r="C422">
            <v>32</v>
          </cell>
          <cell r="D422">
            <v>5</v>
          </cell>
          <cell r="E422">
            <v>111</v>
          </cell>
          <cell r="F422" t="str">
            <v>510111</v>
          </cell>
          <cell r="G422" t="str">
            <v>営業開発部</v>
          </cell>
        </row>
        <row r="423">
          <cell r="A423">
            <v>510</v>
          </cell>
          <cell r="B423" t="str">
            <v>広告宣伝費</v>
          </cell>
          <cell r="C423">
            <v>32</v>
          </cell>
          <cell r="D423">
            <v>8</v>
          </cell>
          <cell r="E423">
            <v>999</v>
          </cell>
          <cell r="F423" t="str">
            <v>510999</v>
          </cell>
          <cell r="G423" t="str">
            <v>その他</v>
          </cell>
        </row>
        <row r="424">
          <cell r="A424">
            <v>511</v>
          </cell>
          <cell r="B424" t="str">
            <v>荷造運賃</v>
          </cell>
          <cell r="C424">
            <v>31</v>
          </cell>
          <cell r="D424">
            <v>8</v>
          </cell>
          <cell r="E424">
            <v>2401</v>
          </cell>
          <cell r="F424" t="str">
            <v>5112401</v>
          </cell>
          <cell r="G424" t="str">
            <v>ウエルシア薬局</v>
          </cell>
        </row>
        <row r="425">
          <cell r="A425">
            <v>511</v>
          </cell>
          <cell r="B425" t="str">
            <v>荷造運賃</v>
          </cell>
          <cell r="C425">
            <v>31</v>
          </cell>
          <cell r="D425">
            <v>8</v>
          </cell>
          <cell r="E425">
            <v>3001</v>
          </cell>
          <cell r="F425" t="str">
            <v>5113001</v>
          </cell>
          <cell r="G425" t="str">
            <v>サンベルクス</v>
          </cell>
        </row>
        <row r="426">
          <cell r="A426">
            <v>511</v>
          </cell>
          <cell r="B426" t="str">
            <v>荷造運賃</v>
          </cell>
          <cell r="C426">
            <v>31</v>
          </cell>
          <cell r="D426">
            <v>8</v>
          </cell>
          <cell r="E426">
            <v>3201</v>
          </cell>
          <cell r="F426" t="str">
            <v>5113201</v>
          </cell>
          <cell r="G426" t="str">
            <v>しまむら</v>
          </cell>
        </row>
        <row r="427">
          <cell r="A427">
            <v>511</v>
          </cell>
          <cell r="B427" t="str">
            <v>荷造運賃</v>
          </cell>
          <cell r="C427">
            <v>31</v>
          </cell>
          <cell r="D427">
            <v>8</v>
          </cell>
          <cell r="E427">
            <v>4801</v>
          </cell>
          <cell r="F427" t="str">
            <v>5114801</v>
          </cell>
          <cell r="G427" t="str">
            <v>LIXILﾋﾞﾊﾞ</v>
          </cell>
        </row>
        <row r="428">
          <cell r="A428">
            <v>511</v>
          </cell>
          <cell r="B428" t="str">
            <v>荷造運賃</v>
          </cell>
          <cell r="C428">
            <v>31</v>
          </cell>
          <cell r="D428">
            <v>8</v>
          </cell>
          <cell r="E428">
            <v>6601</v>
          </cell>
          <cell r="F428" t="str">
            <v>5116601</v>
          </cell>
          <cell r="G428" t="str">
            <v>ベルク</v>
          </cell>
        </row>
        <row r="429">
          <cell r="A429">
            <v>511</v>
          </cell>
          <cell r="B429" t="str">
            <v>荷造運賃</v>
          </cell>
          <cell r="C429">
            <v>31</v>
          </cell>
          <cell r="D429">
            <v>8</v>
          </cell>
          <cell r="E429">
            <v>7001</v>
          </cell>
          <cell r="F429" t="str">
            <v>5117001</v>
          </cell>
          <cell r="G429" t="str">
            <v>マミーマート</v>
          </cell>
        </row>
        <row r="430">
          <cell r="A430">
            <v>511</v>
          </cell>
          <cell r="B430" t="str">
            <v>荷造運賃</v>
          </cell>
          <cell r="C430">
            <v>31</v>
          </cell>
          <cell r="D430">
            <v>8</v>
          </cell>
          <cell r="E430">
            <v>8001</v>
          </cell>
          <cell r="F430" t="str">
            <v>5118001</v>
          </cell>
          <cell r="G430" t="str">
            <v>ヤオコー</v>
          </cell>
        </row>
        <row r="431">
          <cell r="A431">
            <v>511</v>
          </cell>
          <cell r="B431" t="str">
            <v>荷造運賃</v>
          </cell>
          <cell r="C431">
            <v>31</v>
          </cell>
          <cell r="D431">
            <v>8</v>
          </cell>
          <cell r="E431">
            <v>9991</v>
          </cell>
          <cell r="F431" t="str">
            <v>5119991</v>
          </cell>
          <cell r="G431" t="str">
            <v>営業1部</v>
          </cell>
        </row>
        <row r="432">
          <cell r="A432">
            <v>511</v>
          </cell>
          <cell r="B432" t="str">
            <v>荷造運賃</v>
          </cell>
          <cell r="C432">
            <v>31</v>
          </cell>
          <cell r="D432">
            <v>8</v>
          </cell>
          <cell r="E432">
            <v>9992</v>
          </cell>
          <cell r="F432" t="str">
            <v>5119992</v>
          </cell>
          <cell r="G432" t="str">
            <v>営業2部</v>
          </cell>
        </row>
        <row r="433">
          <cell r="A433">
            <v>511</v>
          </cell>
          <cell r="B433" t="str">
            <v>荷造運賃</v>
          </cell>
          <cell r="C433">
            <v>31</v>
          </cell>
          <cell r="D433">
            <v>8</v>
          </cell>
          <cell r="E433">
            <v>9998</v>
          </cell>
          <cell r="F433" t="str">
            <v>5119998</v>
          </cell>
          <cell r="G433" t="str">
            <v>その他</v>
          </cell>
        </row>
        <row r="434">
          <cell r="A434">
            <v>512</v>
          </cell>
          <cell r="B434" t="str">
            <v>販売手数料</v>
          </cell>
          <cell r="C434">
            <v>32</v>
          </cell>
          <cell r="D434">
            <v>8</v>
          </cell>
          <cell r="E434">
            <v>4</v>
          </cell>
          <cell r="F434" t="str">
            <v>5124</v>
          </cell>
          <cell r="G434" t="str">
            <v>中国</v>
          </cell>
        </row>
        <row r="435">
          <cell r="A435">
            <v>512</v>
          </cell>
          <cell r="B435" t="str">
            <v>販売手数料</v>
          </cell>
          <cell r="C435">
            <v>32</v>
          </cell>
          <cell r="D435">
            <v>8</v>
          </cell>
          <cell r="E435">
            <v>11</v>
          </cell>
          <cell r="F435" t="str">
            <v>51211</v>
          </cell>
          <cell r="G435" t="str">
            <v>第1担当</v>
          </cell>
        </row>
        <row r="436">
          <cell r="A436">
            <v>512</v>
          </cell>
          <cell r="B436" t="str">
            <v>販売手数料</v>
          </cell>
          <cell r="C436">
            <v>32</v>
          </cell>
          <cell r="D436">
            <v>8</v>
          </cell>
          <cell r="E436">
            <v>12</v>
          </cell>
          <cell r="F436" t="str">
            <v>51212</v>
          </cell>
          <cell r="G436" t="str">
            <v>第2担当</v>
          </cell>
        </row>
        <row r="437">
          <cell r="A437">
            <v>512</v>
          </cell>
          <cell r="B437" t="str">
            <v>販売手数料</v>
          </cell>
          <cell r="C437">
            <v>32</v>
          </cell>
          <cell r="D437">
            <v>8</v>
          </cell>
          <cell r="E437">
            <v>13</v>
          </cell>
          <cell r="F437" t="str">
            <v>51213</v>
          </cell>
          <cell r="G437" t="str">
            <v>製作担当</v>
          </cell>
        </row>
        <row r="438">
          <cell r="A438">
            <v>513</v>
          </cell>
          <cell r="B438" t="str">
            <v>業務委託費</v>
          </cell>
          <cell r="E438">
            <v>1</v>
          </cell>
          <cell r="F438" t="str">
            <v>5131</v>
          </cell>
          <cell r="G438" t="str">
            <v>㈱三和商研</v>
          </cell>
        </row>
        <row r="439">
          <cell r="A439">
            <v>514</v>
          </cell>
          <cell r="B439" t="str">
            <v>家賃地代</v>
          </cell>
          <cell r="E439">
            <v>1</v>
          </cell>
          <cell r="F439" t="str">
            <v>5141</v>
          </cell>
          <cell r="G439" t="str">
            <v>㈱三和サービス</v>
          </cell>
        </row>
        <row r="440">
          <cell r="A440">
            <v>514</v>
          </cell>
          <cell r="B440" t="str">
            <v>家賃地代</v>
          </cell>
          <cell r="C440">
            <v>32</v>
          </cell>
          <cell r="D440">
            <v>5</v>
          </cell>
          <cell r="E440">
            <v>2</v>
          </cell>
          <cell r="F440" t="str">
            <v>5142</v>
          </cell>
          <cell r="G440" t="str">
            <v>㈱エスケー運輸機工</v>
          </cell>
        </row>
        <row r="441">
          <cell r="A441">
            <v>514</v>
          </cell>
          <cell r="B441" t="str">
            <v>家賃地代</v>
          </cell>
          <cell r="E441">
            <v>3</v>
          </cell>
          <cell r="F441" t="str">
            <v>5143</v>
          </cell>
          <cell r="G441" t="str">
            <v>㈱三和ｻｰﾋﾞｽ向後幸枝</v>
          </cell>
        </row>
        <row r="442">
          <cell r="A442">
            <v>514</v>
          </cell>
          <cell r="B442" t="str">
            <v>家賃地代</v>
          </cell>
          <cell r="C442">
            <v>81</v>
          </cell>
          <cell r="E442">
            <v>4</v>
          </cell>
          <cell r="F442" t="str">
            <v>5144</v>
          </cell>
          <cell r="G442" t="str">
            <v>姜衡　中国家賃</v>
          </cell>
        </row>
        <row r="443">
          <cell r="A443">
            <v>514</v>
          </cell>
          <cell r="B443" t="str">
            <v>家賃地代</v>
          </cell>
          <cell r="C443">
            <v>81</v>
          </cell>
          <cell r="E443">
            <v>5</v>
          </cell>
          <cell r="F443" t="str">
            <v>5145</v>
          </cell>
          <cell r="G443" t="str">
            <v>上海　事務所</v>
          </cell>
        </row>
        <row r="444">
          <cell r="A444">
            <v>514</v>
          </cell>
          <cell r="B444" t="str">
            <v>家賃地代</v>
          </cell>
          <cell r="C444">
            <v>32</v>
          </cell>
          <cell r="D444">
            <v>5</v>
          </cell>
          <cell r="E444">
            <v>6</v>
          </cell>
          <cell r="F444" t="str">
            <v>5146</v>
          </cell>
          <cell r="G444" t="str">
            <v>松﨑和夫</v>
          </cell>
        </row>
        <row r="445">
          <cell r="A445">
            <v>514</v>
          </cell>
          <cell r="B445" t="str">
            <v>家賃地代</v>
          </cell>
          <cell r="C445">
            <v>32</v>
          </cell>
          <cell r="D445">
            <v>8</v>
          </cell>
          <cell r="E445">
            <v>7</v>
          </cell>
          <cell r="F445" t="str">
            <v>5147</v>
          </cell>
          <cell r="G445" t="str">
            <v>松坂屋建材㈱</v>
          </cell>
        </row>
        <row r="446">
          <cell r="A446">
            <v>514</v>
          </cell>
          <cell r="B446" t="str">
            <v>家賃地代</v>
          </cell>
          <cell r="C446">
            <v>32</v>
          </cell>
          <cell r="D446">
            <v>8</v>
          </cell>
          <cell r="E446">
            <v>8</v>
          </cell>
          <cell r="F446" t="str">
            <v>5148</v>
          </cell>
          <cell r="G446" t="str">
            <v>大阪家賃</v>
          </cell>
        </row>
        <row r="447">
          <cell r="A447">
            <v>514</v>
          </cell>
          <cell r="B447" t="str">
            <v>家賃地代</v>
          </cell>
          <cell r="E447">
            <v>9</v>
          </cell>
          <cell r="F447" t="str">
            <v>5149</v>
          </cell>
          <cell r="G447" t="str">
            <v>大阪駐車場</v>
          </cell>
        </row>
        <row r="448">
          <cell r="A448">
            <v>514</v>
          </cell>
          <cell r="B448" t="str">
            <v>家賃地代</v>
          </cell>
          <cell r="E448">
            <v>10</v>
          </cell>
          <cell r="F448" t="str">
            <v>51410</v>
          </cell>
          <cell r="G448" t="str">
            <v>ﾃｨｱﾗ21駐車場</v>
          </cell>
        </row>
        <row r="449">
          <cell r="A449">
            <v>514</v>
          </cell>
          <cell r="B449" t="str">
            <v>家賃地代</v>
          </cell>
          <cell r="E449">
            <v>11</v>
          </cell>
          <cell r="F449" t="str">
            <v>51411</v>
          </cell>
          <cell r="G449" t="str">
            <v>熊谷通運</v>
          </cell>
        </row>
        <row r="450">
          <cell r="A450">
            <v>514</v>
          </cell>
          <cell r="B450" t="str">
            <v>家賃地代</v>
          </cell>
          <cell r="E450">
            <v>12</v>
          </cell>
          <cell r="F450" t="str">
            <v>51412</v>
          </cell>
          <cell r="G450" t="str">
            <v>不二工芸</v>
          </cell>
        </row>
        <row r="451">
          <cell r="A451">
            <v>515</v>
          </cell>
          <cell r="B451" t="str">
            <v>出張手当</v>
          </cell>
          <cell r="C451">
            <v>81</v>
          </cell>
          <cell r="E451">
            <v>4</v>
          </cell>
          <cell r="F451" t="str">
            <v>5154</v>
          </cell>
          <cell r="G451" t="str">
            <v>中国</v>
          </cell>
        </row>
        <row r="452">
          <cell r="A452">
            <v>515</v>
          </cell>
          <cell r="B452" t="str">
            <v>出張手当</v>
          </cell>
          <cell r="C452">
            <v>32</v>
          </cell>
          <cell r="D452">
            <v>8</v>
          </cell>
          <cell r="E452">
            <v>11</v>
          </cell>
          <cell r="F452" t="str">
            <v>51511</v>
          </cell>
          <cell r="G452" t="str">
            <v>第1担当</v>
          </cell>
        </row>
        <row r="453">
          <cell r="A453">
            <v>515</v>
          </cell>
          <cell r="B453" t="str">
            <v>出張手当</v>
          </cell>
          <cell r="C453">
            <v>32</v>
          </cell>
          <cell r="D453">
            <v>8</v>
          </cell>
          <cell r="E453">
            <v>12</v>
          </cell>
          <cell r="F453" t="str">
            <v>51512</v>
          </cell>
          <cell r="G453" t="str">
            <v>第2担当</v>
          </cell>
        </row>
        <row r="454">
          <cell r="A454">
            <v>515</v>
          </cell>
          <cell r="B454" t="str">
            <v>出張手当</v>
          </cell>
          <cell r="C454">
            <v>32</v>
          </cell>
          <cell r="D454">
            <v>8</v>
          </cell>
          <cell r="E454">
            <v>999</v>
          </cell>
          <cell r="F454" t="str">
            <v>515999</v>
          </cell>
          <cell r="G454" t="str">
            <v>その他</v>
          </cell>
        </row>
        <row r="455">
          <cell r="A455">
            <v>516</v>
          </cell>
          <cell r="B455" t="str">
            <v>試作品費</v>
          </cell>
          <cell r="C455">
            <v>41</v>
          </cell>
          <cell r="D455">
            <v>8</v>
          </cell>
          <cell r="E455">
            <v>2401</v>
          </cell>
          <cell r="F455" t="str">
            <v>5162401</v>
          </cell>
          <cell r="G455" t="str">
            <v>ウエルシア薬局</v>
          </cell>
        </row>
        <row r="456">
          <cell r="A456">
            <v>516</v>
          </cell>
          <cell r="B456" t="str">
            <v>試作品費</v>
          </cell>
          <cell r="C456">
            <v>41</v>
          </cell>
          <cell r="D456">
            <v>8</v>
          </cell>
          <cell r="E456">
            <v>3001</v>
          </cell>
          <cell r="F456" t="str">
            <v>5163001</v>
          </cell>
          <cell r="G456" t="str">
            <v>サンベルクス</v>
          </cell>
        </row>
        <row r="457">
          <cell r="A457">
            <v>516</v>
          </cell>
          <cell r="B457" t="str">
            <v>試作品費</v>
          </cell>
          <cell r="C457">
            <v>41</v>
          </cell>
          <cell r="D457">
            <v>8</v>
          </cell>
          <cell r="E457">
            <v>3201</v>
          </cell>
          <cell r="F457" t="str">
            <v>5163201</v>
          </cell>
          <cell r="G457" t="str">
            <v>しまむら</v>
          </cell>
        </row>
        <row r="458">
          <cell r="A458">
            <v>516</v>
          </cell>
          <cell r="B458" t="str">
            <v>試作品費</v>
          </cell>
          <cell r="C458">
            <v>41</v>
          </cell>
          <cell r="D458">
            <v>8</v>
          </cell>
          <cell r="E458">
            <v>4801</v>
          </cell>
          <cell r="F458" t="str">
            <v>5164801</v>
          </cell>
          <cell r="G458" t="str">
            <v>LIXILﾋﾞﾊﾞ</v>
          </cell>
        </row>
        <row r="459">
          <cell r="A459">
            <v>516</v>
          </cell>
          <cell r="B459" t="str">
            <v>試作品費</v>
          </cell>
          <cell r="C459">
            <v>41</v>
          </cell>
          <cell r="D459">
            <v>8</v>
          </cell>
          <cell r="E459">
            <v>6601</v>
          </cell>
          <cell r="F459" t="str">
            <v>5166601</v>
          </cell>
          <cell r="G459" t="str">
            <v>ベルク</v>
          </cell>
        </row>
        <row r="460">
          <cell r="A460">
            <v>516</v>
          </cell>
          <cell r="B460" t="str">
            <v>試作品費</v>
          </cell>
          <cell r="C460">
            <v>41</v>
          </cell>
          <cell r="D460">
            <v>8</v>
          </cell>
          <cell r="E460">
            <v>7001</v>
          </cell>
          <cell r="F460" t="str">
            <v>5167001</v>
          </cell>
          <cell r="G460" t="str">
            <v>マミーマート</v>
          </cell>
        </row>
        <row r="461">
          <cell r="A461">
            <v>516</v>
          </cell>
          <cell r="B461" t="str">
            <v>試作品費</v>
          </cell>
          <cell r="C461">
            <v>41</v>
          </cell>
          <cell r="D461">
            <v>8</v>
          </cell>
          <cell r="E461">
            <v>8001</v>
          </cell>
          <cell r="F461" t="str">
            <v>5168001</v>
          </cell>
          <cell r="G461" t="str">
            <v>ヤオコー</v>
          </cell>
        </row>
        <row r="462">
          <cell r="A462">
            <v>516</v>
          </cell>
          <cell r="B462" t="str">
            <v>試作品費</v>
          </cell>
          <cell r="C462">
            <v>41</v>
          </cell>
          <cell r="D462">
            <v>8</v>
          </cell>
          <cell r="E462">
            <v>9991</v>
          </cell>
          <cell r="F462" t="str">
            <v>5169991</v>
          </cell>
          <cell r="G462" t="str">
            <v>営業1部</v>
          </cell>
        </row>
        <row r="463">
          <cell r="A463">
            <v>516</v>
          </cell>
          <cell r="B463" t="str">
            <v>試作品費</v>
          </cell>
          <cell r="C463">
            <v>41</v>
          </cell>
          <cell r="D463">
            <v>8</v>
          </cell>
          <cell r="E463">
            <v>9992</v>
          </cell>
          <cell r="F463" t="str">
            <v>5169992</v>
          </cell>
          <cell r="G463" t="str">
            <v>営業2部</v>
          </cell>
        </row>
        <row r="464">
          <cell r="A464">
            <v>516</v>
          </cell>
          <cell r="B464" t="str">
            <v>試作品費</v>
          </cell>
          <cell r="C464">
            <v>41</v>
          </cell>
          <cell r="D464">
            <v>8</v>
          </cell>
          <cell r="E464">
            <v>9998</v>
          </cell>
          <cell r="F464" t="str">
            <v>5169998</v>
          </cell>
          <cell r="G464" t="str">
            <v>その他</v>
          </cell>
        </row>
        <row r="465">
          <cell r="A465">
            <v>520</v>
          </cell>
          <cell r="B465" t="str">
            <v>水道光熱費</v>
          </cell>
          <cell r="C465">
            <v>41</v>
          </cell>
          <cell r="D465">
            <v>8</v>
          </cell>
          <cell r="E465">
            <v>3201</v>
          </cell>
          <cell r="F465" t="str">
            <v>5203201</v>
          </cell>
          <cell r="G465" t="str">
            <v>しまむら</v>
          </cell>
        </row>
        <row r="466">
          <cell r="A466">
            <v>520</v>
          </cell>
          <cell r="B466" t="str">
            <v>水道光熱費</v>
          </cell>
          <cell r="C466">
            <v>41</v>
          </cell>
          <cell r="D466">
            <v>8</v>
          </cell>
          <cell r="E466">
            <v>9998</v>
          </cell>
          <cell r="F466" t="str">
            <v>5209998</v>
          </cell>
          <cell r="G466" t="str">
            <v>その他</v>
          </cell>
        </row>
        <row r="467">
          <cell r="A467">
            <v>521</v>
          </cell>
          <cell r="B467" t="str">
            <v>燃料費</v>
          </cell>
          <cell r="C467">
            <v>32</v>
          </cell>
          <cell r="D467">
            <v>8</v>
          </cell>
          <cell r="E467">
            <v>100</v>
          </cell>
          <cell r="F467" t="str">
            <v>521100</v>
          </cell>
          <cell r="G467" t="str">
            <v>松﨑由誉</v>
          </cell>
        </row>
        <row r="468">
          <cell r="A468">
            <v>521</v>
          </cell>
          <cell r="B468" t="str">
            <v>燃料費</v>
          </cell>
          <cell r="C468">
            <v>32</v>
          </cell>
          <cell r="D468">
            <v>8</v>
          </cell>
          <cell r="E468">
            <v>101</v>
          </cell>
          <cell r="F468" t="str">
            <v>521101</v>
          </cell>
          <cell r="G468" t="str">
            <v>松﨑正夫</v>
          </cell>
        </row>
        <row r="469">
          <cell r="A469">
            <v>521</v>
          </cell>
          <cell r="B469" t="str">
            <v>燃料費</v>
          </cell>
          <cell r="C469">
            <v>32</v>
          </cell>
          <cell r="D469">
            <v>8</v>
          </cell>
          <cell r="E469">
            <v>11</v>
          </cell>
          <cell r="F469" t="str">
            <v>52111</v>
          </cell>
          <cell r="G469" t="str">
            <v>第1担当</v>
          </cell>
        </row>
        <row r="470">
          <cell r="A470">
            <v>521</v>
          </cell>
          <cell r="B470" t="str">
            <v>燃料費</v>
          </cell>
          <cell r="C470">
            <v>32</v>
          </cell>
          <cell r="D470">
            <v>8</v>
          </cell>
          <cell r="E470">
            <v>111</v>
          </cell>
          <cell r="F470" t="str">
            <v>521111</v>
          </cell>
          <cell r="G470" t="str">
            <v>営業開発部</v>
          </cell>
        </row>
        <row r="471">
          <cell r="A471">
            <v>521</v>
          </cell>
          <cell r="B471" t="str">
            <v>燃料費</v>
          </cell>
          <cell r="C471">
            <v>32</v>
          </cell>
          <cell r="D471">
            <v>8</v>
          </cell>
          <cell r="E471">
            <v>12</v>
          </cell>
          <cell r="F471" t="str">
            <v>52112</v>
          </cell>
          <cell r="G471" t="str">
            <v>第2担当</v>
          </cell>
        </row>
        <row r="472">
          <cell r="A472">
            <v>521</v>
          </cell>
          <cell r="B472" t="str">
            <v>燃料費</v>
          </cell>
          <cell r="C472">
            <v>32</v>
          </cell>
          <cell r="D472">
            <v>8</v>
          </cell>
          <cell r="E472">
            <v>999</v>
          </cell>
          <cell r="F472" t="str">
            <v>521999</v>
          </cell>
          <cell r="G472" t="str">
            <v>その他</v>
          </cell>
        </row>
        <row r="473">
          <cell r="A473">
            <v>522</v>
          </cell>
          <cell r="B473" t="str">
            <v>事務用品費</v>
          </cell>
          <cell r="C473">
            <v>32</v>
          </cell>
          <cell r="D473">
            <v>8</v>
          </cell>
          <cell r="F473" t="str">
            <v>522</v>
          </cell>
        </row>
        <row r="474">
          <cell r="A474">
            <v>523</v>
          </cell>
          <cell r="B474" t="str">
            <v>消耗品費</v>
          </cell>
          <cell r="C474">
            <v>32</v>
          </cell>
          <cell r="D474">
            <v>8</v>
          </cell>
          <cell r="E474">
            <v>11</v>
          </cell>
          <cell r="F474" t="str">
            <v>52311</v>
          </cell>
          <cell r="G474" t="str">
            <v>第1担当</v>
          </cell>
        </row>
        <row r="475">
          <cell r="A475">
            <v>523</v>
          </cell>
          <cell r="B475" t="str">
            <v>消耗品費</v>
          </cell>
          <cell r="C475">
            <v>32</v>
          </cell>
          <cell r="D475">
            <v>8</v>
          </cell>
          <cell r="E475">
            <v>12</v>
          </cell>
          <cell r="F475" t="str">
            <v>52312</v>
          </cell>
          <cell r="G475" t="str">
            <v>第2担当</v>
          </cell>
        </row>
        <row r="476">
          <cell r="A476">
            <v>523</v>
          </cell>
          <cell r="B476" t="str">
            <v>消耗品費</v>
          </cell>
          <cell r="C476">
            <v>32</v>
          </cell>
          <cell r="D476">
            <v>8</v>
          </cell>
          <cell r="E476">
            <v>4</v>
          </cell>
          <cell r="F476" t="str">
            <v>5234</v>
          </cell>
          <cell r="G476" t="str">
            <v>中国</v>
          </cell>
        </row>
        <row r="477">
          <cell r="A477">
            <v>523</v>
          </cell>
          <cell r="B477" t="str">
            <v>消耗品費</v>
          </cell>
          <cell r="C477">
            <v>32</v>
          </cell>
          <cell r="D477">
            <v>8</v>
          </cell>
          <cell r="E477">
            <v>102</v>
          </cell>
          <cell r="F477" t="str">
            <v>523102</v>
          </cell>
          <cell r="G477" t="str">
            <v>五十嵐信</v>
          </cell>
        </row>
        <row r="478">
          <cell r="A478">
            <v>523</v>
          </cell>
          <cell r="B478" t="str">
            <v>消耗品費</v>
          </cell>
          <cell r="C478">
            <v>32</v>
          </cell>
          <cell r="D478">
            <v>8</v>
          </cell>
          <cell r="E478">
            <v>999</v>
          </cell>
          <cell r="F478" t="str">
            <v>523999</v>
          </cell>
          <cell r="G478" t="str">
            <v>その他</v>
          </cell>
        </row>
        <row r="479">
          <cell r="A479">
            <v>524</v>
          </cell>
          <cell r="B479" t="str">
            <v>リース料</v>
          </cell>
          <cell r="C479">
            <v>32</v>
          </cell>
          <cell r="D479">
            <v>8</v>
          </cell>
          <cell r="F479" t="str">
            <v>524</v>
          </cell>
        </row>
        <row r="480">
          <cell r="A480">
            <v>525</v>
          </cell>
          <cell r="B480" t="str">
            <v>保険料</v>
          </cell>
          <cell r="C480">
            <v>30</v>
          </cell>
          <cell r="F480" t="str">
            <v>525</v>
          </cell>
        </row>
        <row r="481">
          <cell r="A481">
            <v>526</v>
          </cell>
          <cell r="B481" t="str">
            <v>修繕費</v>
          </cell>
          <cell r="C481">
            <v>32</v>
          </cell>
          <cell r="D481">
            <v>8</v>
          </cell>
          <cell r="E481">
            <v>100</v>
          </cell>
          <cell r="F481" t="str">
            <v>526100</v>
          </cell>
          <cell r="G481" t="str">
            <v>松﨑由誉</v>
          </cell>
        </row>
        <row r="482">
          <cell r="A482">
            <v>526</v>
          </cell>
          <cell r="B482" t="str">
            <v>修繕費</v>
          </cell>
          <cell r="C482">
            <v>32</v>
          </cell>
          <cell r="D482">
            <v>8</v>
          </cell>
          <cell r="E482">
            <v>101</v>
          </cell>
          <cell r="F482" t="str">
            <v>526101</v>
          </cell>
          <cell r="G482" t="str">
            <v>松﨑正夫</v>
          </cell>
        </row>
        <row r="483">
          <cell r="A483">
            <v>526</v>
          </cell>
          <cell r="B483" t="str">
            <v>修繕費</v>
          </cell>
          <cell r="C483">
            <v>32</v>
          </cell>
          <cell r="D483">
            <v>8</v>
          </cell>
          <cell r="E483">
            <v>11</v>
          </cell>
          <cell r="F483" t="str">
            <v>52611</v>
          </cell>
          <cell r="G483" t="str">
            <v>第1担当</v>
          </cell>
        </row>
        <row r="484">
          <cell r="A484">
            <v>526</v>
          </cell>
          <cell r="B484" t="str">
            <v>修繕費</v>
          </cell>
          <cell r="C484">
            <v>32</v>
          </cell>
          <cell r="D484">
            <v>8</v>
          </cell>
          <cell r="E484">
            <v>111</v>
          </cell>
          <cell r="F484" t="str">
            <v>526111</v>
          </cell>
          <cell r="G484" t="str">
            <v>営業開発部</v>
          </cell>
        </row>
        <row r="485">
          <cell r="A485">
            <v>526</v>
          </cell>
          <cell r="B485" t="str">
            <v>修繕費</v>
          </cell>
          <cell r="C485">
            <v>32</v>
          </cell>
          <cell r="D485">
            <v>8</v>
          </cell>
          <cell r="E485">
            <v>12</v>
          </cell>
          <cell r="F485" t="str">
            <v>52612</v>
          </cell>
          <cell r="G485" t="str">
            <v>第2担当</v>
          </cell>
        </row>
        <row r="486">
          <cell r="A486">
            <v>526</v>
          </cell>
          <cell r="B486" t="str">
            <v>修繕費</v>
          </cell>
          <cell r="C486">
            <v>32</v>
          </cell>
          <cell r="D486">
            <v>8</v>
          </cell>
          <cell r="E486">
            <v>999</v>
          </cell>
          <cell r="F486" t="str">
            <v>526999</v>
          </cell>
          <cell r="G486" t="str">
            <v>その他</v>
          </cell>
        </row>
        <row r="487">
          <cell r="A487">
            <v>526</v>
          </cell>
          <cell r="B487" t="str">
            <v>修繕費</v>
          </cell>
          <cell r="C487">
            <v>81</v>
          </cell>
          <cell r="E487">
            <v>4</v>
          </cell>
          <cell r="F487" t="str">
            <v>5264</v>
          </cell>
          <cell r="G487" t="str">
            <v>中国</v>
          </cell>
        </row>
        <row r="488">
          <cell r="A488">
            <v>527</v>
          </cell>
          <cell r="B488" t="str">
            <v>租税公課</v>
          </cell>
          <cell r="C488">
            <v>81</v>
          </cell>
          <cell r="E488">
            <v>1</v>
          </cell>
          <cell r="F488" t="str">
            <v>5271</v>
          </cell>
          <cell r="G488" t="str">
            <v>消費税</v>
          </cell>
        </row>
        <row r="489">
          <cell r="A489">
            <v>527</v>
          </cell>
          <cell r="B489" t="str">
            <v>租税公課</v>
          </cell>
          <cell r="C489">
            <v>81</v>
          </cell>
          <cell r="E489">
            <v>2</v>
          </cell>
          <cell r="F489" t="str">
            <v>5272</v>
          </cell>
          <cell r="G489" t="str">
            <v>法人事業税</v>
          </cell>
        </row>
        <row r="490">
          <cell r="A490">
            <v>527</v>
          </cell>
          <cell r="B490" t="str">
            <v>租税公課</v>
          </cell>
          <cell r="C490">
            <v>81</v>
          </cell>
          <cell r="E490">
            <v>3</v>
          </cell>
          <cell r="F490" t="str">
            <v>5273</v>
          </cell>
          <cell r="G490" t="str">
            <v>印紙</v>
          </cell>
        </row>
        <row r="491">
          <cell r="A491">
            <v>527</v>
          </cell>
          <cell r="B491" t="str">
            <v>租税公課</v>
          </cell>
          <cell r="C491">
            <v>81</v>
          </cell>
          <cell r="E491">
            <v>4</v>
          </cell>
          <cell r="F491" t="str">
            <v>5274</v>
          </cell>
          <cell r="G491" t="str">
            <v>固定資産税</v>
          </cell>
        </row>
        <row r="492">
          <cell r="A492">
            <v>527</v>
          </cell>
          <cell r="B492" t="str">
            <v>租税公課</v>
          </cell>
          <cell r="C492">
            <v>81</v>
          </cell>
          <cell r="E492">
            <v>5</v>
          </cell>
          <cell r="F492" t="str">
            <v>5275</v>
          </cell>
          <cell r="G492" t="str">
            <v>車両関係税</v>
          </cell>
        </row>
        <row r="493">
          <cell r="A493">
            <v>527</v>
          </cell>
          <cell r="B493" t="str">
            <v>租税公課</v>
          </cell>
          <cell r="C493">
            <v>81</v>
          </cell>
          <cell r="E493">
            <v>6</v>
          </cell>
          <cell r="F493" t="str">
            <v>5276</v>
          </cell>
          <cell r="G493" t="str">
            <v>地方税証紙</v>
          </cell>
        </row>
        <row r="494">
          <cell r="A494">
            <v>527</v>
          </cell>
          <cell r="B494" t="str">
            <v>租税公課</v>
          </cell>
          <cell r="C494">
            <v>81</v>
          </cell>
          <cell r="E494">
            <v>7</v>
          </cell>
          <cell r="F494" t="str">
            <v>5277</v>
          </cell>
          <cell r="G494" t="str">
            <v>地方法人特別税</v>
          </cell>
        </row>
        <row r="495">
          <cell r="A495">
            <v>527</v>
          </cell>
          <cell r="B495" t="str">
            <v>租税公課</v>
          </cell>
          <cell r="C495">
            <v>81</v>
          </cell>
          <cell r="E495">
            <v>8</v>
          </cell>
          <cell r="F495" t="str">
            <v>5278</v>
          </cell>
          <cell r="G495" t="str">
            <v>利子所得税</v>
          </cell>
        </row>
        <row r="496">
          <cell r="A496">
            <v>527</v>
          </cell>
          <cell r="B496" t="str">
            <v>租税公課</v>
          </cell>
          <cell r="C496">
            <v>81</v>
          </cell>
          <cell r="E496">
            <v>9</v>
          </cell>
          <cell r="F496" t="str">
            <v>5279</v>
          </cell>
          <cell r="G496" t="str">
            <v>利子割額</v>
          </cell>
        </row>
        <row r="497">
          <cell r="A497">
            <v>527</v>
          </cell>
          <cell r="B497" t="str">
            <v>租税公課</v>
          </cell>
          <cell r="C497">
            <v>81</v>
          </cell>
          <cell r="E497">
            <v>10</v>
          </cell>
          <cell r="F497" t="str">
            <v>52710</v>
          </cell>
          <cell r="G497" t="str">
            <v>損金不算入</v>
          </cell>
        </row>
        <row r="498">
          <cell r="A498">
            <v>527</v>
          </cell>
          <cell r="B498" t="str">
            <v>租税公課</v>
          </cell>
          <cell r="C498">
            <v>81</v>
          </cell>
          <cell r="E498">
            <v>11</v>
          </cell>
          <cell r="F498" t="str">
            <v>52711</v>
          </cell>
          <cell r="G498" t="str">
            <v>関税</v>
          </cell>
        </row>
        <row r="499">
          <cell r="A499">
            <v>527</v>
          </cell>
          <cell r="B499" t="str">
            <v>租税公課</v>
          </cell>
          <cell r="C499">
            <v>81</v>
          </cell>
          <cell r="E499">
            <v>21</v>
          </cell>
          <cell r="F499" t="str">
            <v>52721</v>
          </cell>
          <cell r="G499" t="str">
            <v>その他</v>
          </cell>
        </row>
        <row r="500">
          <cell r="A500">
            <v>527</v>
          </cell>
          <cell r="B500" t="str">
            <v>租税公課</v>
          </cell>
          <cell r="C500">
            <v>81</v>
          </cell>
          <cell r="E500">
            <v>22</v>
          </cell>
          <cell r="F500" t="str">
            <v>52722</v>
          </cell>
          <cell r="G500" t="str">
            <v>復興特別所得税</v>
          </cell>
        </row>
        <row r="501">
          <cell r="A501">
            <v>527</v>
          </cell>
          <cell r="B501" t="str">
            <v>租税公課</v>
          </cell>
          <cell r="C501">
            <v>81</v>
          </cell>
          <cell r="E501">
            <v>44</v>
          </cell>
          <cell r="F501" t="str">
            <v>52744</v>
          </cell>
          <cell r="G501" t="str">
            <v>中国</v>
          </cell>
        </row>
        <row r="502">
          <cell r="A502">
            <v>528</v>
          </cell>
          <cell r="B502" t="str">
            <v>減価償却費</v>
          </cell>
          <cell r="C502">
            <v>81</v>
          </cell>
          <cell r="E502">
            <v>0</v>
          </cell>
          <cell r="F502" t="str">
            <v>5280</v>
          </cell>
        </row>
        <row r="503">
          <cell r="A503">
            <v>529</v>
          </cell>
          <cell r="B503" t="str">
            <v>交際接待費</v>
          </cell>
          <cell r="E503">
            <v>4</v>
          </cell>
          <cell r="F503" t="str">
            <v>5294</v>
          </cell>
          <cell r="G503" t="str">
            <v>中国</v>
          </cell>
        </row>
        <row r="504">
          <cell r="A504">
            <v>529</v>
          </cell>
          <cell r="B504" t="str">
            <v>交際接待費</v>
          </cell>
          <cell r="C504">
            <v>32</v>
          </cell>
          <cell r="D504">
            <v>8</v>
          </cell>
          <cell r="E504">
            <v>100</v>
          </cell>
          <cell r="F504" t="str">
            <v>529100</v>
          </cell>
          <cell r="G504" t="str">
            <v>松﨑由誉</v>
          </cell>
        </row>
        <row r="505">
          <cell r="A505">
            <v>529</v>
          </cell>
          <cell r="B505" t="str">
            <v>交際接待費</v>
          </cell>
          <cell r="C505">
            <v>32</v>
          </cell>
          <cell r="D505">
            <v>8</v>
          </cell>
          <cell r="E505">
            <v>101</v>
          </cell>
          <cell r="F505" t="str">
            <v>529101</v>
          </cell>
          <cell r="G505" t="str">
            <v>松﨑正夫</v>
          </cell>
        </row>
        <row r="506">
          <cell r="A506">
            <v>529</v>
          </cell>
          <cell r="B506" t="str">
            <v>交際接待費</v>
          </cell>
          <cell r="C506">
            <v>32</v>
          </cell>
          <cell r="D506">
            <v>8</v>
          </cell>
          <cell r="E506">
            <v>111</v>
          </cell>
          <cell r="F506" t="str">
            <v>529111</v>
          </cell>
          <cell r="G506" t="str">
            <v>営業開発部</v>
          </cell>
        </row>
        <row r="507">
          <cell r="A507">
            <v>529</v>
          </cell>
          <cell r="B507" t="str">
            <v>交際接待費</v>
          </cell>
          <cell r="C507">
            <v>32</v>
          </cell>
          <cell r="D507">
            <v>8</v>
          </cell>
          <cell r="E507">
            <v>11</v>
          </cell>
          <cell r="F507" t="str">
            <v>52911</v>
          </cell>
          <cell r="G507" t="str">
            <v>第1担当</v>
          </cell>
        </row>
        <row r="508">
          <cell r="A508">
            <v>529</v>
          </cell>
          <cell r="B508" t="str">
            <v>交際接待費</v>
          </cell>
          <cell r="C508">
            <v>32</v>
          </cell>
          <cell r="D508">
            <v>8</v>
          </cell>
          <cell r="E508">
            <v>12</v>
          </cell>
          <cell r="F508" t="str">
            <v>52912</v>
          </cell>
          <cell r="G508" t="str">
            <v>第2担当</v>
          </cell>
        </row>
        <row r="509">
          <cell r="A509">
            <v>529</v>
          </cell>
          <cell r="B509" t="str">
            <v>交際接待費</v>
          </cell>
          <cell r="C509">
            <v>32</v>
          </cell>
          <cell r="D509">
            <v>8</v>
          </cell>
          <cell r="E509">
            <v>999</v>
          </cell>
          <cell r="F509" t="str">
            <v>529999</v>
          </cell>
          <cell r="G509" t="str">
            <v>その他</v>
          </cell>
        </row>
        <row r="510">
          <cell r="A510">
            <v>529</v>
          </cell>
          <cell r="B510" t="str">
            <v>交際接待費</v>
          </cell>
          <cell r="C510">
            <v>31</v>
          </cell>
          <cell r="D510">
            <v>8</v>
          </cell>
          <cell r="E510">
            <v>2401</v>
          </cell>
          <cell r="F510" t="str">
            <v>5292401</v>
          </cell>
          <cell r="G510" t="str">
            <v>ウエルシア薬局</v>
          </cell>
        </row>
        <row r="511">
          <cell r="A511">
            <v>529</v>
          </cell>
          <cell r="B511" t="str">
            <v>交際接待費</v>
          </cell>
          <cell r="C511">
            <v>31</v>
          </cell>
          <cell r="D511">
            <v>8</v>
          </cell>
          <cell r="E511">
            <v>3001</v>
          </cell>
          <cell r="F511" t="str">
            <v>5293001</v>
          </cell>
          <cell r="G511" t="str">
            <v>サンベルクス</v>
          </cell>
        </row>
        <row r="512">
          <cell r="A512">
            <v>529</v>
          </cell>
          <cell r="B512" t="str">
            <v>交際接待費</v>
          </cell>
          <cell r="C512">
            <v>31</v>
          </cell>
          <cell r="D512">
            <v>8</v>
          </cell>
          <cell r="E512">
            <v>3201</v>
          </cell>
          <cell r="F512" t="str">
            <v>5293201</v>
          </cell>
          <cell r="G512" t="str">
            <v>しまむら</v>
          </cell>
        </row>
        <row r="513">
          <cell r="A513">
            <v>529</v>
          </cell>
          <cell r="B513" t="str">
            <v>交際接待費</v>
          </cell>
          <cell r="C513">
            <v>31</v>
          </cell>
          <cell r="D513">
            <v>8</v>
          </cell>
          <cell r="E513">
            <v>4801</v>
          </cell>
          <cell r="F513" t="str">
            <v>5294801</v>
          </cell>
          <cell r="G513" t="str">
            <v>LIXILﾋﾞﾊﾞ</v>
          </cell>
        </row>
        <row r="514">
          <cell r="A514">
            <v>529</v>
          </cell>
          <cell r="B514" t="str">
            <v>交際接待費</v>
          </cell>
          <cell r="C514">
            <v>31</v>
          </cell>
          <cell r="D514">
            <v>8</v>
          </cell>
          <cell r="E514">
            <v>6601</v>
          </cell>
          <cell r="F514" t="str">
            <v>5296601</v>
          </cell>
          <cell r="G514" t="str">
            <v>ベルク</v>
          </cell>
        </row>
        <row r="515">
          <cell r="A515">
            <v>529</v>
          </cell>
          <cell r="B515" t="str">
            <v>交際接待費</v>
          </cell>
          <cell r="C515">
            <v>31</v>
          </cell>
          <cell r="D515">
            <v>8</v>
          </cell>
          <cell r="E515">
            <v>7001</v>
          </cell>
          <cell r="F515" t="str">
            <v>5297001</v>
          </cell>
          <cell r="G515" t="str">
            <v>マミーマート</v>
          </cell>
        </row>
        <row r="516">
          <cell r="A516">
            <v>529</v>
          </cell>
          <cell r="B516" t="str">
            <v>交際接待費</v>
          </cell>
          <cell r="C516">
            <v>31</v>
          </cell>
          <cell r="D516">
            <v>8</v>
          </cell>
          <cell r="E516">
            <v>8001</v>
          </cell>
          <cell r="F516" t="str">
            <v>5298001</v>
          </cell>
          <cell r="G516" t="str">
            <v>ヤオコー</v>
          </cell>
        </row>
        <row r="517">
          <cell r="A517">
            <v>529</v>
          </cell>
          <cell r="B517" t="str">
            <v>交際接待費</v>
          </cell>
          <cell r="C517">
            <v>31</v>
          </cell>
          <cell r="D517">
            <v>8</v>
          </cell>
          <cell r="E517">
            <v>9991</v>
          </cell>
          <cell r="F517" t="str">
            <v>5299991</v>
          </cell>
          <cell r="G517" t="str">
            <v>営業1部</v>
          </cell>
        </row>
        <row r="518">
          <cell r="A518">
            <v>529</v>
          </cell>
          <cell r="B518" t="str">
            <v>交際接待費</v>
          </cell>
          <cell r="C518">
            <v>31</v>
          </cell>
          <cell r="D518">
            <v>8</v>
          </cell>
          <cell r="E518">
            <v>9992</v>
          </cell>
          <cell r="F518" t="str">
            <v>5299992</v>
          </cell>
          <cell r="G518" t="str">
            <v>営業2部</v>
          </cell>
        </row>
        <row r="519">
          <cell r="A519">
            <v>529</v>
          </cell>
          <cell r="B519" t="str">
            <v>交際接待費</v>
          </cell>
          <cell r="C519">
            <v>31</v>
          </cell>
          <cell r="D519">
            <v>8</v>
          </cell>
          <cell r="E519">
            <v>9998</v>
          </cell>
          <cell r="F519" t="str">
            <v>5299998</v>
          </cell>
          <cell r="G519" t="str">
            <v>その他</v>
          </cell>
        </row>
        <row r="520">
          <cell r="A520">
            <v>530</v>
          </cell>
          <cell r="B520" t="str">
            <v>旅費交通費</v>
          </cell>
          <cell r="C520">
            <v>32</v>
          </cell>
          <cell r="D520">
            <v>8</v>
          </cell>
          <cell r="E520">
            <v>3</v>
          </cell>
          <cell r="F520" t="str">
            <v>5303</v>
          </cell>
          <cell r="G520" t="str">
            <v>セミナー交通費</v>
          </cell>
        </row>
        <row r="521">
          <cell r="A521">
            <v>530</v>
          </cell>
          <cell r="B521" t="str">
            <v>旅費交通費</v>
          </cell>
          <cell r="C521">
            <v>32</v>
          </cell>
          <cell r="D521">
            <v>8</v>
          </cell>
          <cell r="E521">
            <v>4</v>
          </cell>
          <cell r="F521" t="str">
            <v>5304</v>
          </cell>
          <cell r="G521" t="str">
            <v>中国</v>
          </cell>
        </row>
        <row r="522">
          <cell r="A522">
            <v>530</v>
          </cell>
          <cell r="B522" t="str">
            <v>旅費交通費</v>
          </cell>
          <cell r="C522">
            <v>32</v>
          </cell>
          <cell r="D522">
            <v>8</v>
          </cell>
          <cell r="E522">
            <v>11</v>
          </cell>
          <cell r="F522" t="str">
            <v>53011</v>
          </cell>
          <cell r="G522" t="str">
            <v>第1担当</v>
          </cell>
        </row>
        <row r="523">
          <cell r="A523">
            <v>530</v>
          </cell>
          <cell r="B523" t="str">
            <v>旅費交通費</v>
          </cell>
          <cell r="C523">
            <v>32</v>
          </cell>
          <cell r="D523">
            <v>8</v>
          </cell>
          <cell r="E523">
            <v>12</v>
          </cell>
          <cell r="F523" t="str">
            <v>53012</v>
          </cell>
          <cell r="G523" t="str">
            <v>第2担当</v>
          </cell>
        </row>
        <row r="524">
          <cell r="A524">
            <v>530</v>
          </cell>
          <cell r="B524" t="str">
            <v>旅費交通費</v>
          </cell>
          <cell r="C524">
            <v>32</v>
          </cell>
          <cell r="D524">
            <v>8</v>
          </cell>
          <cell r="E524">
            <v>100</v>
          </cell>
          <cell r="F524" t="str">
            <v>530100</v>
          </cell>
          <cell r="G524" t="str">
            <v>松﨑由誉</v>
          </cell>
        </row>
        <row r="525">
          <cell r="A525">
            <v>530</v>
          </cell>
          <cell r="B525" t="str">
            <v>旅費交通費</v>
          </cell>
          <cell r="C525">
            <v>32</v>
          </cell>
          <cell r="D525">
            <v>8</v>
          </cell>
          <cell r="E525">
            <v>101</v>
          </cell>
          <cell r="F525" t="str">
            <v>530101</v>
          </cell>
          <cell r="G525" t="str">
            <v>松﨑正夫</v>
          </cell>
        </row>
        <row r="526">
          <cell r="A526">
            <v>530</v>
          </cell>
          <cell r="B526" t="str">
            <v>旅費交通費</v>
          </cell>
          <cell r="C526">
            <v>32</v>
          </cell>
          <cell r="D526">
            <v>8</v>
          </cell>
          <cell r="E526">
            <v>111</v>
          </cell>
          <cell r="F526" t="str">
            <v>530111</v>
          </cell>
          <cell r="G526" t="str">
            <v>営業開発部</v>
          </cell>
        </row>
        <row r="527">
          <cell r="A527">
            <v>530</v>
          </cell>
          <cell r="B527" t="str">
            <v>旅費交通費</v>
          </cell>
          <cell r="C527">
            <v>32</v>
          </cell>
          <cell r="D527">
            <v>8</v>
          </cell>
          <cell r="E527">
            <v>999</v>
          </cell>
          <cell r="F527" t="str">
            <v>530999</v>
          </cell>
          <cell r="G527" t="str">
            <v>その他</v>
          </cell>
        </row>
        <row r="528">
          <cell r="A528">
            <v>530</v>
          </cell>
          <cell r="B528" t="str">
            <v>旅費交通費</v>
          </cell>
          <cell r="E528">
            <v>2401</v>
          </cell>
          <cell r="F528" t="str">
            <v>5302401</v>
          </cell>
          <cell r="G528" t="str">
            <v>ウエルシア薬局</v>
          </cell>
        </row>
        <row r="529">
          <cell r="A529">
            <v>531</v>
          </cell>
          <cell r="B529" t="str">
            <v>通信費</v>
          </cell>
          <cell r="C529">
            <v>32</v>
          </cell>
          <cell r="D529">
            <v>8</v>
          </cell>
          <cell r="E529">
            <v>4</v>
          </cell>
          <cell r="F529" t="str">
            <v>5314</v>
          </cell>
          <cell r="G529" t="str">
            <v>中国</v>
          </cell>
        </row>
        <row r="530">
          <cell r="A530">
            <v>531</v>
          </cell>
          <cell r="B530" t="str">
            <v>通信費</v>
          </cell>
          <cell r="C530">
            <v>32</v>
          </cell>
          <cell r="D530">
            <v>8</v>
          </cell>
          <cell r="E530">
            <v>11</v>
          </cell>
          <cell r="F530" t="str">
            <v>53111</v>
          </cell>
          <cell r="G530" t="str">
            <v>第1担当</v>
          </cell>
        </row>
        <row r="531">
          <cell r="A531">
            <v>531</v>
          </cell>
          <cell r="B531" t="str">
            <v>通信費</v>
          </cell>
          <cell r="C531">
            <v>32</v>
          </cell>
          <cell r="D531">
            <v>8</v>
          </cell>
          <cell r="E531">
            <v>12</v>
          </cell>
          <cell r="F531" t="str">
            <v>53112</v>
          </cell>
          <cell r="G531" t="str">
            <v>第2担当</v>
          </cell>
        </row>
        <row r="532">
          <cell r="A532">
            <v>531</v>
          </cell>
          <cell r="B532" t="str">
            <v>通信費</v>
          </cell>
          <cell r="C532">
            <v>32</v>
          </cell>
          <cell r="D532">
            <v>8</v>
          </cell>
          <cell r="E532">
            <v>100</v>
          </cell>
          <cell r="F532" t="str">
            <v>531100</v>
          </cell>
          <cell r="G532" t="str">
            <v>松﨑由誉</v>
          </cell>
        </row>
        <row r="533">
          <cell r="A533">
            <v>531</v>
          </cell>
          <cell r="B533" t="str">
            <v>通信費</v>
          </cell>
          <cell r="C533">
            <v>32</v>
          </cell>
          <cell r="D533">
            <v>8</v>
          </cell>
          <cell r="E533">
            <v>101</v>
          </cell>
          <cell r="F533" t="str">
            <v>531101</v>
          </cell>
          <cell r="G533" t="str">
            <v>松﨑正夫</v>
          </cell>
        </row>
        <row r="534">
          <cell r="A534">
            <v>531</v>
          </cell>
          <cell r="B534" t="str">
            <v>通信費</v>
          </cell>
          <cell r="C534">
            <v>32</v>
          </cell>
          <cell r="D534">
            <v>8</v>
          </cell>
          <cell r="E534">
            <v>111</v>
          </cell>
          <cell r="F534" t="str">
            <v>531111</v>
          </cell>
          <cell r="G534" t="str">
            <v>営業開発部</v>
          </cell>
        </row>
        <row r="535">
          <cell r="A535">
            <v>531</v>
          </cell>
          <cell r="B535" t="str">
            <v>通信費</v>
          </cell>
          <cell r="C535">
            <v>32</v>
          </cell>
          <cell r="D535">
            <v>8</v>
          </cell>
          <cell r="E535">
            <v>999</v>
          </cell>
          <cell r="F535" t="str">
            <v>531999</v>
          </cell>
          <cell r="G535" t="str">
            <v>その他</v>
          </cell>
        </row>
        <row r="536">
          <cell r="A536">
            <v>532</v>
          </cell>
          <cell r="B536" t="str">
            <v>外注費</v>
          </cell>
          <cell r="C536">
            <v>41</v>
          </cell>
          <cell r="D536">
            <v>8</v>
          </cell>
          <cell r="E536">
            <v>2401</v>
          </cell>
          <cell r="F536" t="str">
            <v>5322401</v>
          </cell>
          <cell r="G536" t="str">
            <v>ウエルシア薬局</v>
          </cell>
        </row>
        <row r="537">
          <cell r="A537">
            <v>532</v>
          </cell>
          <cell r="B537" t="str">
            <v>外注費</v>
          </cell>
          <cell r="C537">
            <v>41</v>
          </cell>
          <cell r="D537">
            <v>8</v>
          </cell>
          <cell r="E537">
            <v>3001</v>
          </cell>
          <cell r="F537" t="str">
            <v>5323001</v>
          </cell>
          <cell r="G537" t="str">
            <v>サンベルクス</v>
          </cell>
        </row>
        <row r="538">
          <cell r="A538">
            <v>532</v>
          </cell>
          <cell r="B538" t="str">
            <v>外注費</v>
          </cell>
          <cell r="C538">
            <v>41</v>
          </cell>
          <cell r="D538">
            <v>8</v>
          </cell>
          <cell r="E538">
            <v>3201</v>
          </cell>
          <cell r="F538" t="str">
            <v>5323201</v>
          </cell>
          <cell r="G538" t="str">
            <v>しまむら</v>
          </cell>
        </row>
        <row r="539">
          <cell r="A539">
            <v>532</v>
          </cell>
          <cell r="B539" t="str">
            <v>外注費</v>
          </cell>
          <cell r="C539">
            <v>41</v>
          </cell>
          <cell r="D539">
            <v>8</v>
          </cell>
          <cell r="E539">
            <v>4801</v>
          </cell>
          <cell r="F539" t="str">
            <v>5324801</v>
          </cell>
          <cell r="G539" t="str">
            <v>LIXILﾋﾞﾊﾞ</v>
          </cell>
        </row>
        <row r="540">
          <cell r="A540">
            <v>532</v>
          </cell>
          <cell r="B540" t="str">
            <v>外注費</v>
          </cell>
          <cell r="C540">
            <v>41</v>
          </cell>
          <cell r="D540">
            <v>8</v>
          </cell>
          <cell r="E540">
            <v>6601</v>
          </cell>
          <cell r="F540" t="str">
            <v>5326601</v>
          </cell>
          <cell r="G540" t="str">
            <v>ベルク</v>
          </cell>
        </row>
        <row r="541">
          <cell r="A541">
            <v>532</v>
          </cell>
          <cell r="B541" t="str">
            <v>外注費</v>
          </cell>
          <cell r="C541">
            <v>41</v>
          </cell>
          <cell r="D541">
            <v>8</v>
          </cell>
          <cell r="E541">
            <v>7001</v>
          </cell>
          <cell r="F541" t="str">
            <v>5327001</v>
          </cell>
          <cell r="G541" t="str">
            <v>マミーマート</v>
          </cell>
        </row>
        <row r="542">
          <cell r="A542">
            <v>532</v>
          </cell>
          <cell r="B542" t="str">
            <v>外注費</v>
          </cell>
          <cell r="C542">
            <v>41</v>
          </cell>
          <cell r="D542">
            <v>8</v>
          </cell>
          <cell r="E542">
            <v>8001</v>
          </cell>
          <cell r="F542" t="str">
            <v>5328001</v>
          </cell>
          <cell r="G542" t="str">
            <v>ヤオコー</v>
          </cell>
        </row>
        <row r="543">
          <cell r="A543">
            <v>532</v>
          </cell>
          <cell r="B543" t="str">
            <v>外注費</v>
          </cell>
          <cell r="C543">
            <v>41</v>
          </cell>
          <cell r="D543">
            <v>8</v>
          </cell>
          <cell r="E543">
            <v>9991</v>
          </cell>
          <cell r="F543" t="str">
            <v>5329991</v>
          </cell>
          <cell r="G543" t="str">
            <v>営業1部</v>
          </cell>
        </row>
        <row r="544">
          <cell r="A544">
            <v>532</v>
          </cell>
          <cell r="B544" t="str">
            <v>外注費</v>
          </cell>
          <cell r="C544">
            <v>41</v>
          </cell>
          <cell r="D544">
            <v>8</v>
          </cell>
          <cell r="E544">
            <v>9992</v>
          </cell>
          <cell r="F544" t="str">
            <v>5329992</v>
          </cell>
          <cell r="G544" t="str">
            <v>営業2部</v>
          </cell>
        </row>
        <row r="545">
          <cell r="A545">
            <v>532</v>
          </cell>
          <cell r="B545" t="str">
            <v>外注費</v>
          </cell>
          <cell r="C545">
            <v>41</v>
          </cell>
          <cell r="D545">
            <v>8</v>
          </cell>
          <cell r="E545">
            <v>9998</v>
          </cell>
          <cell r="F545" t="str">
            <v>5329998</v>
          </cell>
          <cell r="G545" t="str">
            <v>その他</v>
          </cell>
        </row>
        <row r="546">
          <cell r="A546">
            <v>533</v>
          </cell>
          <cell r="B546" t="str">
            <v>会議費</v>
          </cell>
          <cell r="C546">
            <v>81</v>
          </cell>
          <cell r="E546">
            <v>4</v>
          </cell>
          <cell r="F546" t="str">
            <v>5334</v>
          </cell>
          <cell r="G546" t="str">
            <v>中国</v>
          </cell>
        </row>
        <row r="547">
          <cell r="A547">
            <v>533</v>
          </cell>
          <cell r="B547" t="str">
            <v>会議費</v>
          </cell>
          <cell r="C547">
            <v>32</v>
          </cell>
          <cell r="D547">
            <v>5</v>
          </cell>
          <cell r="E547">
            <v>11</v>
          </cell>
          <cell r="F547" t="str">
            <v>53311</v>
          </cell>
          <cell r="G547" t="str">
            <v>第1担当</v>
          </cell>
        </row>
        <row r="548">
          <cell r="A548">
            <v>533</v>
          </cell>
          <cell r="B548" t="str">
            <v>会議費</v>
          </cell>
          <cell r="C548">
            <v>32</v>
          </cell>
          <cell r="D548">
            <v>8</v>
          </cell>
          <cell r="E548">
            <v>12</v>
          </cell>
          <cell r="F548" t="str">
            <v>53312</v>
          </cell>
          <cell r="G548" t="str">
            <v>第2担当</v>
          </cell>
        </row>
        <row r="549">
          <cell r="A549">
            <v>533</v>
          </cell>
          <cell r="B549" t="str">
            <v>会議費</v>
          </cell>
          <cell r="C549">
            <v>32</v>
          </cell>
          <cell r="D549">
            <v>5</v>
          </cell>
          <cell r="E549">
            <v>100</v>
          </cell>
          <cell r="F549" t="str">
            <v>533100</v>
          </cell>
          <cell r="G549" t="str">
            <v>松﨑由誉</v>
          </cell>
        </row>
        <row r="550">
          <cell r="A550">
            <v>533</v>
          </cell>
          <cell r="B550" t="str">
            <v>会議費</v>
          </cell>
          <cell r="C550">
            <v>32</v>
          </cell>
          <cell r="D550">
            <v>5</v>
          </cell>
          <cell r="E550">
            <v>999</v>
          </cell>
          <cell r="F550" t="str">
            <v>533999</v>
          </cell>
          <cell r="G550" t="str">
            <v>その他</v>
          </cell>
        </row>
        <row r="551">
          <cell r="A551">
            <v>534</v>
          </cell>
          <cell r="B551" t="str">
            <v>会費組合費</v>
          </cell>
          <cell r="C551">
            <v>32</v>
          </cell>
          <cell r="D551">
            <v>5</v>
          </cell>
          <cell r="F551" t="str">
            <v>534</v>
          </cell>
        </row>
        <row r="552">
          <cell r="A552">
            <v>536</v>
          </cell>
          <cell r="B552" t="str">
            <v>新聞図書費</v>
          </cell>
          <cell r="C552">
            <v>32</v>
          </cell>
          <cell r="D552">
            <v>8</v>
          </cell>
          <cell r="F552" t="str">
            <v>536</v>
          </cell>
        </row>
        <row r="553">
          <cell r="A553">
            <v>537</v>
          </cell>
          <cell r="B553" t="str">
            <v>報酬手当</v>
          </cell>
          <cell r="C553">
            <v>32</v>
          </cell>
          <cell r="D553">
            <v>5</v>
          </cell>
          <cell r="F553" t="str">
            <v>537</v>
          </cell>
        </row>
        <row r="554">
          <cell r="A554">
            <v>538</v>
          </cell>
          <cell r="B554" t="str">
            <v>警備費</v>
          </cell>
          <cell r="C554">
            <v>32</v>
          </cell>
          <cell r="D554">
            <v>8</v>
          </cell>
          <cell r="F554" t="str">
            <v>538</v>
          </cell>
        </row>
        <row r="555">
          <cell r="A555">
            <v>539</v>
          </cell>
          <cell r="B555" t="str">
            <v>雑費</v>
          </cell>
          <cell r="C555">
            <v>31</v>
          </cell>
          <cell r="D555">
            <v>8</v>
          </cell>
          <cell r="F555" t="str">
            <v>539</v>
          </cell>
        </row>
        <row r="556">
          <cell r="A556">
            <v>604</v>
          </cell>
          <cell r="B556" t="str">
            <v>雑収入</v>
          </cell>
          <cell r="C556">
            <v>1</v>
          </cell>
          <cell r="D556">
            <v>8</v>
          </cell>
          <cell r="F556" t="str">
            <v>604</v>
          </cell>
        </row>
        <row r="557">
          <cell r="A557">
            <v>610</v>
          </cell>
          <cell r="B557" t="str">
            <v>支払利息</v>
          </cell>
          <cell r="C557">
            <v>30</v>
          </cell>
          <cell r="F557" t="str">
            <v>610</v>
          </cell>
        </row>
        <row r="558">
          <cell r="A558">
            <v>612</v>
          </cell>
          <cell r="B558" t="str">
            <v>為替差損</v>
          </cell>
          <cell r="C558">
            <v>81</v>
          </cell>
          <cell r="D558">
            <v>0</v>
          </cell>
          <cell r="F558" t="str">
            <v>612</v>
          </cell>
        </row>
        <row r="559">
          <cell r="A559">
            <v>614</v>
          </cell>
          <cell r="B559" t="str">
            <v>雑損失</v>
          </cell>
          <cell r="C559">
            <v>32</v>
          </cell>
          <cell r="D559">
            <v>5</v>
          </cell>
          <cell r="F559" t="str">
            <v>614</v>
          </cell>
        </row>
        <row r="560">
          <cell r="A560">
            <v>616</v>
          </cell>
          <cell r="B560" t="str">
            <v>コンサルティング</v>
          </cell>
          <cell r="C560">
            <v>41</v>
          </cell>
          <cell r="D560">
            <v>8</v>
          </cell>
          <cell r="F560" t="str">
            <v>616</v>
          </cell>
        </row>
        <row r="561">
          <cell r="A561">
            <v>810</v>
          </cell>
          <cell r="B561" t="str">
            <v>売上高</v>
          </cell>
          <cell r="C561">
            <v>2</v>
          </cell>
          <cell r="D561">
            <v>8</v>
          </cell>
          <cell r="F561" t="str">
            <v>810</v>
          </cell>
        </row>
        <row r="562">
          <cell r="A562">
            <v>815</v>
          </cell>
          <cell r="B562" t="str">
            <v>売上値引・戻り高</v>
          </cell>
          <cell r="C562">
            <v>12</v>
          </cell>
          <cell r="D562">
            <v>8</v>
          </cell>
          <cell r="F562" t="str">
            <v>815</v>
          </cell>
        </row>
        <row r="563">
          <cell r="A563">
            <v>999</v>
          </cell>
          <cell r="B563" t="str">
            <v>諸口</v>
          </cell>
          <cell r="F563" t="str">
            <v>999</v>
          </cell>
        </row>
        <row r="564">
          <cell r="A564">
            <v>713</v>
          </cell>
          <cell r="B564" t="str">
            <v>雑損失</v>
          </cell>
          <cell r="F564" t="str">
            <v>713</v>
          </cell>
        </row>
      </sheetData>
      <sheetData sheetId="1">
        <row r="2">
          <cell r="A2">
            <v>100</v>
          </cell>
          <cell r="B2" t="str">
            <v>現金</v>
          </cell>
          <cell r="E2">
            <v>1</v>
          </cell>
          <cell r="F2" t="str">
            <v>1001</v>
          </cell>
          <cell r="G2" t="str">
            <v>現金</v>
          </cell>
        </row>
        <row r="3">
          <cell r="A3">
            <v>100</v>
          </cell>
          <cell r="B3" t="str">
            <v>現金</v>
          </cell>
          <cell r="E3">
            <v>2</v>
          </cell>
          <cell r="F3" t="str">
            <v>1002</v>
          </cell>
          <cell r="G3" t="str">
            <v>RMB</v>
          </cell>
        </row>
        <row r="4">
          <cell r="A4">
            <v>110</v>
          </cell>
          <cell r="B4" t="str">
            <v>当座預金</v>
          </cell>
          <cell r="E4">
            <v>1</v>
          </cell>
          <cell r="F4" t="str">
            <v>1101</v>
          </cell>
          <cell r="G4" t="str">
            <v>埼玉りそな</v>
          </cell>
        </row>
        <row r="5">
          <cell r="A5">
            <v>110</v>
          </cell>
          <cell r="B5" t="str">
            <v>当座預金</v>
          </cell>
          <cell r="E5">
            <v>2</v>
          </cell>
          <cell r="F5" t="str">
            <v>1102</v>
          </cell>
          <cell r="G5" t="str">
            <v>埼信</v>
          </cell>
        </row>
        <row r="6">
          <cell r="A6">
            <v>110</v>
          </cell>
          <cell r="B6" t="str">
            <v>当座預金</v>
          </cell>
          <cell r="E6">
            <v>10</v>
          </cell>
          <cell r="F6" t="str">
            <v>11010</v>
          </cell>
          <cell r="G6" t="str">
            <v>武蔵野</v>
          </cell>
        </row>
        <row r="7">
          <cell r="A7">
            <v>114</v>
          </cell>
          <cell r="B7" t="str">
            <v>普通預金</v>
          </cell>
          <cell r="E7">
            <v>1</v>
          </cell>
          <cell r="F7" t="str">
            <v>1141</v>
          </cell>
          <cell r="G7" t="str">
            <v>埼玉りそな</v>
          </cell>
        </row>
        <row r="8">
          <cell r="A8">
            <v>114</v>
          </cell>
          <cell r="B8" t="str">
            <v>普通預金</v>
          </cell>
          <cell r="E8">
            <v>2</v>
          </cell>
          <cell r="F8" t="str">
            <v>1142</v>
          </cell>
          <cell r="G8" t="str">
            <v>埼信</v>
          </cell>
        </row>
        <row r="9">
          <cell r="A9">
            <v>114</v>
          </cell>
          <cell r="B9" t="str">
            <v>普通預金</v>
          </cell>
          <cell r="E9">
            <v>3</v>
          </cell>
          <cell r="F9" t="str">
            <v>1143</v>
          </cell>
          <cell r="G9" t="str">
            <v>三井住友</v>
          </cell>
        </row>
        <row r="10">
          <cell r="A10">
            <v>114</v>
          </cell>
          <cell r="B10" t="str">
            <v>普通預金</v>
          </cell>
          <cell r="E10">
            <v>4</v>
          </cell>
          <cell r="F10" t="str">
            <v>1144</v>
          </cell>
          <cell r="G10" t="str">
            <v>住友USD</v>
          </cell>
        </row>
        <row r="11">
          <cell r="A11">
            <v>114</v>
          </cell>
          <cell r="B11" t="str">
            <v>普通預金</v>
          </cell>
          <cell r="E11">
            <v>5</v>
          </cell>
          <cell r="F11" t="str">
            <v>1145</v>
          </cell>
          <cell r="G11" t="str">
            <v>住友CNY</v>
          </cell>
        </row>
        <row r="12">
          <cell r="A12">
            <v>114</v>
          </cell>
          <cell r="B12" t="str">
            <v>普通預金</v>
          </cell>
          <cell r="E12">
            <v>6</v>
          </cell>
          <cell r="F12" t="str">
            <v>1146</v>
          </cell>
          <cell r="G12" t="str">
            <v>群馬</v>
          </cell>
        </row>
        <row r="13">
          <cell r="A13">
            <v>114</v>
          </cell>
          <cell r="B13" t="str">
            <v>普通預金</v>
          </cell>
          <cell r="E13">
            <v>7</v>
          </cell>
          <cell r="F13" t="str">
            <v>1147</v>
          </cell>
          <cell r="G13" t="str">
            <v>みずほ</v>
          </cell>
        </row>
        <row r="14">
          <cell r="A14">
            <v>114</v>
          </cell>
          <cell r="B14" t="str">
            <v>普通預金</v>
          </cell>
          <cell r="E14">
            <v>8</v>
          </cell>
          <cell r="F14" t="str">
            <v>1148</v>
          </cell>
          <cell r="G14" t="str">
            <v>りそなUSD</v>
          </cell>
        </row>
        <row r="15">
          <cell r="A15">
            <v>121</v>
          </cell>
          <cell r="B15" t="str">
            <v>定期預金</v>
          </cell>
          <cell r="E15">
            <v>1</v>
          </cell>
          <cell r="F15" t="str">
            <v>1211</v>
          </cell>
          <cell r="G15" t="str">
            <v>埼玉りそな</v>
          </cell>
        </row>
        <row r="16">
          <cell r="A16">
            <v>121</v>
          </cell>
          <cell r="B16" t="str">
            <v>定期預金</v>
          </cell>
          <cell r="E16">
            <v>2</v>
          </cell>
          <cell r="F16" t="str">
            <v>1212</v>
          </cell>
          <cell r="G16" t="str">
            <v>埼信</v>
          </cell>
        </row>
        <row r="17">
          <cell r="A17">
            <v>121</v>
          </cell>
          <cell r="B17" t="str">
            <v>定期預金</v>
          </cell>
          <cell r="E17">
            <v>6</v>
          </cell>
          <cell r="F17" t="str">
            <v>1216</v>
          </cell>
          <cell r="G17" t="str">
            <v>群馬</v>
          </cell>
        </row>
        <row r="18">
          <cell r="A18">
            <v>125</v>
          </cell>
          <cell r="B18" t="str">
            <v>定期積金</v>
          </cell>
          <cell r="E18">
            <v>1</v>
          </cell>
          <cell r="F18" t="str">
            <v>1251</v>
          </cell>
          <cell r="G18" t="str">
            <v>埼玉りそな</v>
          </cell>
        </row>
        <row r="19">
          <cell r="A19">
            <v>125</v>
          </cell>
          <cell r="B19" t="str">
            <v>定期積金</v>
          </cell>
          <cell r="E19">
            <v>2</v>
          </cell>
          <cell r="F19" t="str">
            <v>1252</v>
          </cell>
          <cell r="G19" t="str">
            <v>埼信</v>
          </cell>
        </row>
        <row r="20">
          <cell r="A20">
            <v>130</v>
          </cell>
          <cell r="B20" t="str">
            <v>受取手形</v>
          </cell>
          <cell r="F20" t="str">
            <v>130</v>
          </cell>
        </row>
        <row r="21">
          <cell r="A21">
            <v>131</v>
          </cell>
          <cell r="B21" t="str">
            <v>売掛金</v>
          </cell>
          <cell r="E21">
            <v>1001</v>
          </cell>
          <cell r="F21" t="str">
            <v>1311001</v>
          </cell>
          <cell r="G21" t="str">
            <v>アベイル</v>
          </cell>
        </row>
        <row r="22">
          <cell r="A22">
            <v>131</v>
          </cell>
          <cell r="B22" t="str">
            <v>売掛金</v>
          </cell>
          <cell r="E22">
            <v>1012</v>
          </cell>
          <cell r="F22" t="str">
            <v>1311012</v>
          </cell>
          <cell r="G22" t="str">
            <v>㈱秋山製作所</v>
          </cell>
        </row>
        <row r="23">
          <cell r="A23">
            <v>131</v>
          </cell>
          <cell r="B23" t="str">
            <v>売掛金</v>
          </cell>
          <cell r="E23">
            <v>1036</v>
          </cell>
          <cell r="F23" t="str">
            <v>1311036</v>
          </cell>
          <cell r="G23" t="str">
            <v>ｱｲﾘｽｵｰﾔﾏ㈱角田ITP</v>
          </cell>
        </row>
        <row r="24">
          <cell r="A24">
            <v>131</v>
          </cell>
          <cell r="B24" t="str">
            <v>売掛金</v>
          </cell>
          <cell r="E24">
            <v>1037</v>
          </cell>
          <cell r="F24" t="str">
            <v>1311037</v>
          </cell>
          <cell r="G24" t="str">
            <v>アツギ㈱</v>
          </cell>
        </row>
        <row r="25">
          <cell r="A25">
            <v>131</v>
          </cell>
          <cell r="B25" t="str">
            <v>売掛金</v>
          </cell>
          <cell r="E25">
            <v>1039</v>
          </cell>
          <cell r="F25" t="str">
            <v>1311039</v>
          </cell>
          <cell r="G25" t="str">
            <v>㈱天池</v>
          </cell>
        </row>
        <row r="26">
          <cell r="A26">
            <v>131</v>
          </cell>
          <cell r="B26" t="str">
            <v>売掛金</v>
          </cell>
          <cell r="E26">
            <v>1201</v>
          </cell>
          <cell r="F26" t="str">
            <v>1311201</v>
          </cell>
          <cell r="G26" t="str">
            <v>石川建設㈱(松﨑由)</v>
          </cell>
        </row>
        <row r="27">
          <cell r="A27">
            <v>131</v>
          </cell>
          <cell r="B27" t="str">
            <v>売掛金</v>
          </cell>
          <cell r="E27">
            <v>1243</v>
          </cell>
          <cell r="F27" t="str">
            <v>1311243</v>
          </cell>
          <cell r="G27" t="str">
            <v>㈱イマイ建築設計事務</v>
          </cell>
        </row>
        <row r="28">
          <cell r="A28">
            <v>131</v>
          </cell>
          <cell r="B28" t="str">
            <v>売掛金</v>
          </cell>
          <cell r="E28">
            <v>1244</v>
          </cell>
          <cell r="F28" t="str">
            <v>1311244</v>
          </cell>
          <cell r="G28" t="str">
            <v>いわて生活協同組合</v>
          </cell>
        </row>
        <row r="29">
          <cell r="A29">
            <v>131</v>
          </cell>
          <cell r="B29" t="str">
            <v>売掛金</v>
          </cell>
          <cell r="E29">
            <v>1608</v>
          </cell>
          <cell r="F29" t="str">
            <v>1311608</v>
          </cell>
          <cell r="G29" t="str">
            <v>エルテック㈱</v>
          </cell>
        </row>
        <row r="30">
          <cell r="A30">
            <v>131</v>
          </cell>
          <cell r="B30" t="str">
            <v>売掛金</v>
          </cell>
          <cell r="E30">
            <v>1617</v>
          </cell>
          <cell r="F30" t="str">
            <v>1311617</v>
          </cell>
          <cell r="G30" t="str">
            <v>㈱江田組</v>
          </cell>
        </row>
        <row r="31">
          <cell r="A31">
            <v>131</v>
          </cell>
          <cell r="B31" t="str">
            <v>売掛金</v>
          </cell>
          <cell r="E31">
            <v>1803</v>
          </cell>
          <cell r="F31" t="str">
            <v>1311803</v>
          </cell>
          <cell r="G31" t="str">
            <v>㈱岡村製作所　商環境</v>
          </cell>
        </row>
        <row r="32">
          <cell r="A32">
            <v>131</v>
          </cell>
          <cell r="B32" t="str">
            <v>売掛金</v>
          </cell>
          <cell r="E32">
            <v>1805</v>
          </cell>
          <cell r="F32" t="str">
            <v>1311805</v>
          </cell>
          <cell r="G32" t="str">
            <v>㈱岡村製作所商環境</v>
          </cell>
        </row>
        <row r="33">
          <cell r="A33">
            <v>131</v>
          </cell>
          <cell r="B33" t="str">
            <v>売掛金</v>
          </cell>
          <cell r="E33">
            <v>1816</v>
          </cell>
          <cell r="F33" t="str">
            <v>1311816</v>
          </cell>
          <cell r="G33" t="str">
            <v>おかべ物産観光㈱</v>
          </cell>
        </row>
        <row r="34">
          <cell r="A34">
            <v>131</v>
          </cell>
          <cell r="B34" t="str">
            <v>売掛金</v>
          </cell>
          <cell r="E34">
            <v>1855</v>
          </cell>
          <cell r="F34" t="str">
            <v>1311855</v>
          </cell>
          <cell r="G34" t="str">
            <v>株式会社織田</v>
          </cell>
        </row>
        <row r="35">
          <cell r="A35">
            <v>131</v>
          </cell>
          <cell r="B35" t="str">
            <v>売掛金</v>
          </cell>
          <cell r="E35">
            <v>2010</v>
          </cell>
          <cell r="F35" t="str">
            <v>1312010</v>
          </cell>
          <cell r="G35" t="str">
            <v>ｶﾈﾎﾞｳ化粧品群馬支社</v>
          </cell>
        </row>
        <row r="36">
          <cell r="A36">
            <v>131</v>
          </cell>
          <cell r="B36" t="str">
            <v>売掛金</v>
          </cell>
          <cell r="E36">
            <v>2011</v>
          </cell>
          <cell r="F36" t="str">
            <v>1312011</v>
          </cell>
          <cell r="G36" t="str">
            <v>ｶﾈﾎﾞｳ化粧品関越支社</v>
          </cell>
        </row>
        <row r="37">
          <cell r="A37">
            <v>131</v>
          </cell>
          <cell r="B37" t="str">
            <v>売掛金</v>
          </cell>
          <cell r="E37">
            <v>2012</v>
          </cell>
          <cell r="F37" t="str">
            <v>1312012</v>
          </cell>
          <cell r="G37" t="str">
            <v>ｶﾈﾎﾞｳ化粧品千葉支社</v>
          </cell>
        </row>
        <row r="38">
          <cell r="A38">
            <v>131</v>
          </cell>
          <cell r="B38" t="str">
            <v>売掛金</v>
          </cell>
          <cell r="E38">
            <v>2013</v>
          </cell>
          <cell r="F38" t="str">
            <v>1312013</v>
          </cell>
          <cell r="G38" t="str">
            <v>ｶﾈﾎﾞｳ化粧品関越ﾄﾞﾗ</v>
          </cell>
        </row>
        <row r="39">
          <cell r="A39">
            <v>131</v>
          </cell>
          <cell r="B39" t="str">
            <v>売掛金</v>
          </cell>
          <cell r="E39">
            <v>2016</v>
          </cell>
          <cell r="F39" t="str">
            <v>1312016</v>
          </cell>
          <cell r="G39" t="str">
            <v>ｶﾈﾎﾞｳ化粧品関越新潟</v>
          </cell>
        </row>
        <row r="40">
          <cell r="A40">
            <v>131</v>
          </cell>
          <cell r="B40" t="str">
            <v>売掛金</v>
          </cell>
          <cell r="E40">
            <v>2017</v>
          </cell>
          <cell r="F40" t="str">
            <v>1312017</v>
          </cell>
          <cell r="G40" t="str">
            <v>ｶﾈﾎﾞｳ化粧品栃木支社</v>
          </cell>
        </row>
        <row r="41">
          <cell r="A41">
            <v>131</v>
          </cell>
          <cell r="B41" t="str">
            <v>売掛金</v>
          </cell>
          <cell r="E41">
            <v>2080</v>
          </cell>
          <cell r="F41" t="str">
            <v>1312080</v>
          </cell>
          <cell r="G41" t="str">
            <v>ｶﾈﾎﾞｳ化粧品和歌山支店</v>
          </cell>
        </row>
        <row r="42">
          <cell r="A42">
            <v>131</v>
          </cell>
          <cell r="B42" t="str">
            <v>売掛金</v>
          </cell>
          <cell r="E42">
            <v>2026</v>
          </cell>
          <cell r="F42" t="str">
            <v>1312026</v>
          </cell>
          <cell r="G42" t="str">
            <v>関東建設工業㈱</v>
          </cell>
        </row>
        <row r="43">
          <cell r="A43">
            <v>131</v>
          </cell>
          <cell r="B43" t="str">
            <v>売掛金</v>
          </cell>
          <cell r="E43">
            <v>2045</v>
          </cell>
          <cell r="F43" t="str">
            <v>1312045</v>
          </cell>
          <cell r="G43" t="str">
            <v>ｶﾈﾎﾞｳ化粧品八王子</v>
          </cell>
        </row>
        <row r="44">
          <cell r="A44">
            <v>131</v>
          </cell>
          <cell r="B44" t="str">
            <v>売掛金</v>
          </cell>
          <cell r="E44">
            <v>2047</v>
          </cell>
          <cell r="F44" t="str">
            <v>1312047</v>
          </cell>
          <cell r="G44" t="str">
            <v>首都圏ﾄﾞﾗｯｸﾞ東京支店</v>
          </cell>
        </row>
        <row r="45">
          <cell r="A45">
            <v>131</v>
          </cell>
          <cell r="B45" t="str">
            <v>売掛金</v>
          </cell>
          <cell r="E45">
            <v>2070</v>
          </cell>
          <cell r="F45" t="str">
            <v>1312070</v>
          </cell>
          <cell r="G45" t="str">
            <v>花王ｶｽﾀﾏｰﾏｰｹﾃｨﾝｸﾞ㈱</v>
          </cell>
        </row>
        <row r="46">
          <cell r="A46">
            <v>131</v>
          </cell>
          <cell r="B46" t="str">
            <v>売掛金</v>
          </cell>
          <cell r="E46">
            <v>2079</v>
          </cell>
          <cell r="F46" t="str">
            <v>1312079</v>
          </cell>
          <cell r="G46" t="str">
            <v>ｶﾈﾎﾞｳ化粧品滋賀ｵﾌｨｽ</v>
          </cell>
        </row>
        <row r="47">
          <cell r="A47">
            <v>131</v>
          </cell>
          <cell r="B47" t="str">
            <v>売掛金</v>
          </cell>
          <cell r="E47">
            <v>2081</v>
          </cell>
          <cell r="F47" t="str">
            <v>1312081</v>
          </cell>
          <cell r="G47" t="str">
            <v>ｶﾈﾎﾞｳ化粧品関西</v>
          </cell>
        </row>
        <row r="48">
          <cell r="A48">
            <v>131</v>
          </cell>
          <cell r="B48" t="str">
            <v>売掛金</v>
          </cell>
          <cell r="E48">
            <v>2082</v>
          </cell>
          <cell r="F48" t="str">
            <v>1312082</v>
          </cell>
          <cell r="G48" t="str">
            <v>加藤産業㈱</v>
          </cell>
        </row>
        <row r="49">
          <cell r="A49">
            <v>131</v>
          </cell>
          <cell r="B49" t="str">
            <v>売掛金</v>
          </cell>
          <cell r="E49">
            <v>2083</v>
          </cell>
          <cell r="F49" t="str">
            <v>1312083</v>
          </cell>
          <cell r="G49" t="str">
            <v>ｶﾈﾎﾞｳ化粧品福島</v>
          </cell>
        </row>
        <row r="50">
          <cell r="A50">
            <v>131</v>
          </cell>
          <cell r="B50" t="str">
            <v>売掛金</v>
          </cell>
          <cell r="E50">
            <v>2084</v>
          </cell>
          <cell r="F50" t="str">
            <v>1312084</v>
          </cell>
          <cell r="G50" t="str">
            <v>ｶﾈﾎﾞｳ化粧品神戸</v>
          </cell>
        </row>
        <row r="51">
          <cell r="A51">
            <v>131</v>
          </cell>
          <cell r="B51" t="str">
            <v>売掛金</v>
          </cell>
          <cell r="E51">
            <v>2234</v>
          </cell>
          <cell r="F51" t="str">
            <v>1312234</v>
          </cell>
          <cell r="G51" t="str">
            <v>㈱桐生建窓</v>
          </cell>
        </row>
        <row r="52">
          <cell r="A52">
            <v>131</v>
          </cell>
          <cell r="B52" t="str">
            <v>売掛金</v>
          </cell>
          <cell r="E52">
            <v>2401</v>
          </cell>
          <cell r="F52" t="str">
            <v>1312401</v>
          </cell>
          <cell r="G52" t="str">
            <v>ウエルシア関東㈱</v>
          </cell>
        </row>
        <row r="53">
          <cell r="A53">
            <v>131</v>
          </cell>
          <cell r="B53" t="str">
            <v>売掛金</v>
          </cell>
          <cell r="E53">
            <v>2430</v>
          </cell>
          <cell r="F53" t="str">
            <v>1312430</v>
          </cell>
          <cell r="G53" t="str">
            <v>桑メリヤス㈱</v>
          </cell>
        </row>
        <row r="54">
          <cell r="A54">
            <v>131</v>
          </cell>
          <cell r="B54" t="str">
            <v>売掛金</v>
          </cell>
          <cell r="E54">
            <v>2607</v>
          </cell>
          <cell r="F54" t="str">
            <v>1312607</v>
          </cell>
          <cell r="G54" t="str">
            <v>県北陸運㈲</v>
          </cell>
        </row>
        <row r="55">
          <cell r="A55">
            <v>131</v>
          </cell>
          <cell r="B55" t="str">
            <v>売掛金</v>
          </cell>
          <cell r="E55">
            <v>2827</v>
          </cell>
          <cell r="F55" t="str">
            <v>1312827</v>
          </cell>
          <cell r="G55" t="str">
            <v>ｶﾈﾎﾞｳ化粧品茨城支社</v>
          </cell>
        </row>
        <row r="56">
          <cell r="A56">
            <v>131</v>
          </cell>
          <cell r="B56" t="str">
            <v>売掛金</v>
          </cell>
          <cell r="E56">
            <v>2843</v>
          </cell>
          <cell r="F56" t="str">
            <v>1312843</v>
          </cell>
          <cell r="G56" t="str">
            <v>ｶﾈﾎﾞｳ化粧品関越長野</v>
          </cell>
        </row>
        <row r="57">
          <cell r="A57">
            <v>131</v>
          </cell>
          <cell r="B57" t="str">
            <v>売掛金</v>
          </cell>
          <cell r="E57">
            <v>2846</v>
          </cell>
          <cell r="F57" t="str">
            <v>1312846</v>
          </cell>
          <cell r="G57" t="str">
            <v>㈱コーセー</v>
          </cell>
        </row>
        <row r="58">
          <cell r="A58">
            <v>131</v>
          </cell>
          <cell r="B58" t="str">
            <v>売掛金</v>
          </cell>
          <cell r="E58">
            <v>3001</v>
          </cell>
          <cell r="F58" t="str">
            <v>1313001</v>
          </cell>
          <cell r="G58" t="str">
            <v>㈱サンベルクス</v>
          </cell>
        </row>
        <row r="59">
          <cell r="A59">
            <v>131</v>
          </cell>
          <cell r="B59" t="str">
            <v>売掛金</v>
          </cell>
          <cell r="E59">
            <v>3013</v>
          </cell>
          <cell r="F59" t="str">
            <v>1313013</v>
          </cell>
          <cell r="G59" t="str">
            <v>㈲ｻｲｸﾙｽﾃｰｼｮﾝ</v>
          </cell>
        </row>
        <row r="60">
          <cell r="A60">
            <v>131</v>
          </cell>
          <cell r="B60" t="str">
            <v>売掛金</v>
          </cell>
          <cell r="E60">
            <v>3028</v>
          </cell>
          <cell r="F60" t="str">
            <v>1313028</v>
          </cell>
          <cell r="G60" t="str">
            <v>㈱サンワプランニング</v>
          </cell>
        </row>
        <row r="61">
          <cell r="A61">
            <v>131</v>
          </cell>
          <cell r="B61" t="str">
            <v>売掛金</v>
          </cell>
          <cell r="E61">
            <v>3075</v>
          </cell>
          <cell r="F61" t="str">
            <v>1313075</v>
          </cell>
          <cell r="G61" t="str">
            <v>ササキエクセ</v>
          </cell>
        </row>
        <row r="62">
          <cell r="A62">
            <v>131</v>
          </cell>
          <cell r="B62" t="str">
            <v>売掛金</v>
          </cell>
          <cell r="E62">
            <v>3084</v>
          </cell>
          <cell r="F62" t="str">
            <v>1313084</v>
          </cell>
          <cell r="G62" t="str">
            <v>㈱笹井商店</v>
          </cell>
        </row>
        <row r="63">
          <cell r="A63">
            <v>131</v>
          </cell>
          <cell r="B63" t="str">
            <v>売掛金</v>
          </cell>
          <cell r="E63">
            <v>3201</v>
          </cell>
          <cell r="F63" t="str">
            <v>1313201</v>
          </cell>
          <cell r="G63" t="str">
            <v>㈱しまむら</v>
          </cell>
        </row>
        <row r="64">
          <cell r="A64">
            <v>131</v>
          </cell>
          <cell r="B64" t="str">
            <v>売掛金</v>
          </cell>
          <cell r="E64">
            <v>3202</v>
          </cell>
          <cell r="F64" t="str">
            <v>1313202</v>
          </cell>
          <cell r="G64" t="str">
            <v>シャンブル</v>
          </cell>
        </row>
        <row r="65">
          <cell r="A65">
            <v>131</v>
          </cell>
          <cell r="B65" t="str">
            <v>売掛金</v>
          </cell>
          <cell r="E65">
            <v>3203</v>
          </cell>
          <cell r="F65" t="str">
            <v>1313203</v>
          </cell>
          <cell r="G65" t="str">
            <v>㈱ジョイテック</v>
          </cell>
        </row>
        <row r="66">
          <cell r="A66">
            <v>131</v>
          </cell>
          <cell r="B66" t="str">
            <v>売掛金</v>
          </cell>
          <cell r="E66">
            <v>3210</v>
          </cell>
          <cell r="F66" t="str">
            <v>1313210</v>
          </cell>
          <cell r="G66" t="str">
            <v>資生堂販売㈱群馬ｵﾌｨｽ</v>
          </cell>
        </row>
        <row r="67">
          <cell r="A67">
            <v>131</v>
          </cell>
          <cell r="B67" t="str">
            <v>売掛金</v>
          </cell>
          <cell r="E67">
            <v>3211</v>
          </cell>
          <cell r="F67" t="str">
            <v>1313211</v>
          </cell>
          <cell r="G67" t="str">
            <v>資生堂販売㈱船橋ｵﾌｨｽ</v>
          </cell>
        </row>
        <row r="68">
          <cell r="A68">
            <v>131</v>
          </cell>
          <cell r="B68" t="str">
            <v>売掛金</v>
          </cell>
          <cell r="E68">
            <v>3212</v>
          </cell>
          <cell r="F68" t="str">
            <v>1313212</v>
          </cell>
          <cell r="G68" t="str">
            <v>資生堂販売㈱大宮東</v>
          </cell>
        </row>
        <row r="69">
          <cell r="A69">
            <v>131</v>
          </cell>
          <cell r="B69" t="str">
            <v>売掛金</v>
          </cell>
          <cell r="E69">
            <v>3214</v>
          </cell>
          <cell r="F69" t="str">
            <v>1313214</v>
          </cell>
          <cell r="G69" t="str">
            <v>資生堂販売㈱茨城ｵﾌｨｽ</v>
          </cell>
        </row>
        <row r="70">
          <cell r="A70">
            <v>131</v>
          </cell>
          <cell r="B70" t="str">
            <v>売掛金</v>
          </cell>
          <cell r="E70">
            <v>3218</v>
          </cell>
          <cell r="F70" t="str">
            <v>1313218</v>
          </cell>
          <cell r="G70" t="str">
            <v>資生堂販売㈱宇都宮</v>
          </cell>
        </row>
        <row r="71">
          <cell r="A71">
            <v>131</v>
          </cell>
          <cell r="B71" t="str">
            <v>売掛金</v>
          </cell>
          <cell r="E71">
            <v>3219</v>
          </cell>
          <cell r="F71" t="str">
            <v>1313219</v>
          </cell>
          <cell r="G71" t="str">
            <v>資生堂販売㈱浜離宮</v>
          </cell>
        </row>
        <row r="72">
          <cell r="A72">
            <v>131</v>
          </cell>
          <cell r="B72" t="str">
            <v>売掛金</v>
          </cell>
          <cell r="E72">
            <v>3236</v>
          </cell>
          <cell r="F72" t="str">
            <v>1313236</v>
          </cell>
          <cell r="G72" t="str">
            <v>資生堂販売㈱水戸ｵﾌｨｽ</v>
          </cell>
        </row>
        <row r="73">
          <cell r="A73">
            <v>131</v>
          </cell>
          <cell r="B73" t="str">
            <v>売掛金</v>
          </cell>
          <cell r="E73">
            <v>3241</v>
          </cell>
          <cell r="F73" t="str">
            <v>1313241</v>
          </cell>
          <cell r="G73" t="str">
            <v>資生堂販売㈱土浦ｵﾌｨｽ</v>
          </cell>
        </row>
        <row r="74">
          <cell r="A74">
            <v>131</v>
          </cell>
          <cell r="B74" t="str">
            <v>売掛金</v>
          </cell>
          <cell r="E74">
            <v>3245</v>
          </cell>
          <cell r="F74" t="str">
            <v>1313245</v>
          </cell>
          <cell r="G74" t="str">
            <v>資生堂販売㈱甲府ｵﾌｨｽ</v>
          </cell>
        </row>
        <row r="75">
          <cell r="A75">
            <v>131</v>
          </cell>
          <cell r="B75" t="str">
            <v>売掛金</v>
          </cell>
          <cell r="E75">
            <v>3264</v>
          </cell>
          <cell r="F75" t="str">
            <v>1313264</v>
          </cell>
          <cell r="G75" t="str">
            <v>資生堂販売㈱新潟ｵﾌｨｽ</v>
          </cell>
        </row>
        <row r="76">
          <cell r="A76">
            <v>131</v>
          </cell>
          <cell r="B76" t="str">
            <v>売掛金</v>
          </cell>
          <cell r="E76">
            <v>3277</v>
          </cell>
          <cell r="F76" t="str">
            <v>1313277</v>
          </cell>
          <cell r="G76" t="str">
            <v>しなの企画</v>
          </cell>
        </row>
        <row r="77">
          <cell r="A77">
            <v>131</v>
          </cell>
          <cell r="B77" t="str">
            <v>売掛金</v>
          </cell>
          <cell r="E77">
            <v>3279</v>
          </cell>
          <cell r="F77" t="str">
            <v>1313279</v>
          </cell>
          <cell r="G77" t="str">
            <v>資生堂販売㈱大阪ｵﾌｨｽ</v>
          </cell>
        </row>
        <row r="78">
          <cell r="A78">
            <v>131</v>
          </cell>
          <cell r="B78" t="str">
            <v>売掛金</v>
          </cell>
          <cell r="E78">
            <v>3281</v>
          </cell>
          <cell r="F78" t="str">
            <v>1313281</v>
          </cell>
          <cell r="G78" t="str">
            <v>シーズン</v>
          </cell>
        </row>
        <row r="79">
          <cell r="A79">
            <v>131</v>
          </cell>
          <cell r="B79" t="str">
            <v>売掛金</v>
          </cell>
          <cell r="E79">
            <v>3282</v>
          </cell>
          <cell r="F79" t="str">
            <v>1313282</v>
          </cell>
          <cell r="G79" t="str">
            <v>資生堂販売㈱福島</v>
          </cell>
        </row>
        <row r="80">
          <cell r="A80">
            <v>131</v>
          </cell>
          <cell r="B80" t="str">
            <v>売掛金</v>
          </cell>
          <cell r="E80">
            <v>3415</v>
          </cell>
          <cell r="F80" t="str">
            <v>1313415</v>
          </cell>
          <cell r="G80" t="str">
            <v>㈱スーパーメイト</v>
          </cell>
        </row>
        <row r="81">
          <cell r="A81">
            <v>131</v>
          </cell>
          <cell r="B81" t="str">
            <v>売掛金</v>
          </cell>
          <cell r="E81">
            <v>3420</v>
          </cell>
          <cell r="F81" t="str">
            <v>1313420</v>
          </cell>
          <cell r="G81" t="str">
            <v>㈱スペース</v>
          </cell>
        </row>
        <row r="82">
          <cell r="A82">
            <v>131</v>
          </cell>
          <cell r="B82" t="str">
            <v>売掛金</v>
          </cell>
          <cell r="E82">
            <v>3609</v>
          </cell>
          <cell r="F82" t="str">
            <v>1313609</v>
          </cell>
          <cell r="G82" t="str">
            <v>㈲仙成</v>
          </cell>
        </row>
        <row r="83">
          <cell r="A83">
            <v>131</v>
          </cell>
          <cell r="B83" t="str">
            <v>売掛金</v>
          </cell>
          <cell r="E83">
            <v>4028</v>
          </cell>
          <cell r="F83" t="str">
            <v>1314028</v>
          </cell>
          <cell r="G83" t="str">
            <v>㈱田原屋</v>
          </cell>
        </row>
        <row r="84">
          <cell r="A84">
            <v>131</v>
          </cell>
          <cell r="B84" t="str">
            <v>売掛金</v>
          </cell>
          <cell r="E84">
            <v>4052</v>
          </cell>
          <cell r="F84" t="str">
            <v>1314052</v>
          </cell>
          <cell r="G84" t="str">
            <v>㈱大創産業</v>
          </cell>
        </row>
        <row r="85">
          <cell r="A85">
            <v>131</v>
          </cell>
          <cell r="B85" t="str">
            <v>売掛金</v>
          </cell>
          <cell r="E85">
            <v>4204</v>
          </cell>
          <cell r="F85" t="str">
            <v>1314204</v>
          </cell>
          <cell r="G85" t="str">
            <v>中日販売㈱</v>
          </cell>
        </row>
        <row r="86">
          <cell r="A86">
            <v>131</v>
          </cell>
          <cell r="B86" t="str">
            <v>売掛金</v>
          </cell>
          <cell r="E86">
            <v>4608</v>
          </cell>
          <cell r="F86" t="str">
            <v>1314608</v>
          </cell>
          <cell r="G86" t="str">
            <v>ｳｴﾙｼｱ介護ｻｰﾋﾞｽ㈱</v>
          </cell>
        </row>
        <row r="87">
          <cell r="A87">
            <v>131</v>
          </cell>
          <cell r="B87" t="str">
            <v>売掛金</v>
          </cell>
          <cell r="E87">
            <v>4612</v>
          </cell>
          <cell r="F87" t="str">
            <v>1314612</v>
          </cell>
          <cell r="G87" t="str">
            <v>テナント</v>
          </cell>
        </row>
        <row r="88">
          <cell r="A88">
            <v>131</v>
          </cell>
          <cell r="B88" t="str">
            <v>売掛金</v>
          </cell>
          <cell r="E88">
            <v>4801</v>
          </cell>
          <cell r="F88" t="str">
            <v>1314801</v>
          </cell>
          <cell r="G88" t="str">
            <v>㈱ＬＩＸＩＬビバ</v>
          </cell>
        </row>
        <row r="89">
          <cell r="A89">
            <v>131</v>
          </cell>
          <cell r="B89" t="str">
            <v>売掛金</v>
          </cell>
          <cell r="E89">
            <v>4829</v>
          </cell>
          <cell r="F89" t="str">
            <v>1314829</v>
          </cell>
          <cell r="G89" t="str">
            <v>㈱東京交易</v>
          </cell>
        </row>
        <row r="90">
          <cell r="A90">
            <v>131</v>
          </cell>
          <cell r="B90" t="str">
            <v>売掛金</v>
          </cell>
          <cell r="E90">
            <v>4836</v>
          </cell>
          <cell r="F90" t="str">
            <v>1314836</v>
          </cell>
          <cell r="G90" t="str">
            <v>㈱ＬＩＸＩＬ</v>
          </cell>
        </row>
        <row r="91">
          <cell r="A91">
            <v>131</v>
          </cell>
          <cell r="B91" t="str">
            <v>売掛金</v>
          </cell>
          <cell r="E91">
            <v>4843</v>
          </cell>
          <cell r="F91" t="str">
            <v>1314843</v>
          </cell>
          <cell r="G91" t="str">
            <v>東京海上日動火災保険㈱</v>
          </cell>
        </row>
        <row r="92">
          <cell r="A92">
            <v>131</v>
          </cell>
          <cell r="B92" t="str">
            <v>売掛金</v>
          </cell>
          <cell r="E92">
            <v>4845</v>
          </cell>
          <cell r="F92" t="str">
            <v>1314845</v>
          </cell>
          <cell r="G92" t="str">
            <v>ダイフク</v>
          </cell>
        </row>
        <row r="93">
          <cell r="A93">
            <v>131</v>
          </cell>
          <cell r="B93" t="str">
            <v>売掛金</v>
          </cell>
          <cell r="E93">
            <v>5011</v>
          </cell>
          <cell r="F93" t="str">
            <v>1315011</v>
          </cell>
          <cell r="G93" t="str">
            <v>㈱中島半平商店</v>
          </cell>
        </row>
        <row r="94">
          <cell r="A94">
            <v>131</v>
          </cell>
          <cell r="B94" t="str">
            <v>売掛金</v>
          </cell>
          <cell r="E94">
            <v>5036</v>
          </cell>
          <cell r="F94" t="str">
            <v>1315036</v>
          </cell>
          <cell r="G94" t="str">
            <v>中野施工</v>
          </cell>
        </row>
        <row r="95">
          <cell r="A95">
            <v>131</v>
          </cell>
          <cell r="B95" t="str">
            <v>売掛金</v>
          </cell>
          <cell r="E95">
            <v>5201</v>
          </cell>
          <cell r="F95" t="str">
            <v>1315201</v>
          </cell>
          <cell r="G95" t="str">
            <v>㈱日本アポック</v>
          </cell>
        </row>
        <row r="96">
          <cell r="A96">
            <v>131</v>
          </cell>
          <cell r="B96" t="str">
            <v>売掛金</v>
          </cell>
          <cell r="E96">
            <v>5801</v>
          </cell>
          <cell r="F96" t="str">
            <v>1315801</v>
          </cell>
          <cell r="G96" t="str">
            <v>ノムラ宝石㈱</v>
          </cell>
        </row>
        <row r="97">
          <cell r="A97">
            <v>131</v>
          </cell>
          <cell r="B97" t="str">
            <v>売掛金</v>
          </cell>
          <cell r="E97">
            <v>6001</v>
          </cell>
          <cell r="F97" t="str">
            <v>1316001</v>
          </cell>
          <cell r="G97" t="str">
            <v>バースデイ</v>
          </cell>
        </row>
        <row r="98">
          <cell r="A98">
            <v>131</v>
          </cell>
          <cell r="B98" t="str">
            <v>売掛金</v>
          </cell>
          <cell r="E98">
            <v>6009</v>
          </cell>
          <cell r="F98" t="str">
            <v>1316009</v>
          </cell>
          <cell r="G98" t="str">
            <v>㈲長谷川ﾃﾞｻﾞｲﾝｵﾌｨｽ</v>
          </cell>
        </row>
        <row r="99">
          <cell r="A99">
            <v>131</v>
          </cell>
          <cell r="B99" t="str">
            <v>売掛金</v>
          </cell>
          <cell r="E99">
            <v>6401</v>
          </cell>
          <cell r="F99" t="str">
            <v>1316401</v>
          </cell>
          <cell r="G99" t="str">
            <v>㈱フレッセイ</v>
          </cell>
        </row>
        <row r="100">
          <cell r="A100">
            <v>131</v>
          </cell>
          <cell r="B100" t="str">
            <v>売掛金</v>
          </cell>
          <cell r="E100">
            <v>6407</v>
          </cell>
          <cell r="F100" t="str">
            <v>1316407</v>
          </cell>
          <cell r="G100" t="str">
            <v>㈱藤沢商事</v>
          </cell>
        </row>
        <row r="101">
          <cell r="A101">
            <v>131</v>
          </cell>
          <cell r="B101" t="str">
            <v>売掛金</v>
          </cell>
          <cell r="E101">
            <v>6410</v>
          </cell>
          <cell r="F101" t="str">
            <v>1316410</v>
          </cell>
          <cell r="G101" t="str">
            <v>福助工業㈱</v>
          </cell>
        </row>
        <row r="102">
          <cell r="A102">
            <v>131</v>
          </cell>
          <cell r="B102" t="str">
            <v>売掛金</v>
          </cell>
          <cell r="E102">
            <v>6446</v>
          </cell>
          <cell r="F102" t="str">
            <v>1316446</v>
          </cell>
          <cell r="G102" t="str">
            <v>㈱上野風月堂</v>
          </cell>
        </row>
        <row r="103">
          <cell r="A103">
            <v>131</v>
          </cell>
          <cell r="B103" t="str">
            <v>売掛金</v>
          </cell>
          <cell r="E103">
            <v>6601</v>
          </cell>
          <cell r="F103" t="str">
            <v>1316601</v>
          </cell>
          <cell r="G103" t="str">
            <v>㈱ベルク</v>
          </cell>
        </row>
        <row r="104">
          <cell r="A104">
            <v>131</v>
          </cell>
          <cell r="B104" t="str">
            <v>売掛金</v>
          </cell>
          <cell r="E104">
            <v>6802</v>
          </cell>
          <cell r="F104" t="str">
            <v>1316802</v>
          </cell>
          <cell r="G104" t="str">
            <v>㈱ホームデリカ</v>
          </cell>
        </row>
        <row r="105">
          <cell r="A105">
            <v>131</v>
          </cell>
          <cell r="B105" t="str">
            <v>売掛金</v>
          </cell>
          <cell r="E105">
            <v>7001</v>
          </cell>
          <cell r="F105" t="str">
            <v>1317001</v>
          </cell>
          <cell r="G105" t="str">
            <v>㈱マミーマート</v>
          </cell>
        </row>
        <row r="106">
          <cell r="A106">
            <v>131</v>
          </cell>
          <cell r="B106" t="str">
            <v>売掛金</v>
          </cell>
          <cell r="E106">
            <v>7209</v>
          </cell>
          <cell r="F106" t="str">
            <v>1317209</v>
          </cell>
          <cell r="G106" t="str">
            <v>㈱ミスターマックス</v>
          </cell>
        </row>
        <row r="107">
          <cell r="A107">
            <v>131</v>
          </cell>
          <cell r="B107" t="str">
            <v>売掛金</v>
          </cell>
          <cell r="E107">
            <v>7216</v>
          </cell>
          <cell r="F107" t="str">
            <v>1317216</v>
          </cell>
          <cell r="G107" t="str">
            <v>(有)三浦建工</v>
          </cell>
        </row>
        <row r="108">
          <cell r="A108">
            <v>131</v>
          </cell>
          <cell r="B108" t="str">
            <v>売掛金</v>
          </cell>
          <cell r="E108">
            <v>7217</v>
          </cell>
          <cell r="F108" t="str">
            <v>1317217</v>
          </cell>
          <cell r="G108" t="str">
            <v>三米施工</v>
          </cell>
        </row>
        <row r="109">
          <cell r="A109">
            <v>131</v>
          </cell>
          <cell r="E109">
            <v>7601</v>
          </cell>
          <cell r="F109" t="str">
            <v>1317601</v>
          </cell>
          <cell r="G109" t="str">
            <v>メディカルサービス</v>
          </cell>
        </row>
        <row r="110">
          <cell r="A110">
            <v>131</v>
          </cell>
          <cell r="B110" t="str">
            <v>売掛金</v>
          </cell>
          <cell r="E110">
            <v>7811</v>
          </cell>
          <cell r="F110" t="str">
            <v>1317811</v>
          </cell>
          <cell r="G110" t="str">
            <v>本町薬局</v>
          </cell>
        </row>
        <row r="111">
          <cell r="A111">
            <v>131</v>
          </cell>
          <cell r="B111" t="str">
            <v>売掛金</v>
          </cell>
          <cell r="E111">
            <v>8001</v>
          </cell>
          <cell r="F111" t="str">
            <v>1318001</v>
          </cell>
          <cell r="G111" t="str">
            <v>㈱ヤオコー</v>
          </cell>
        </row>
        <row r="112">
          <cell r="A112">
            <v>131</v>
          </cell>
          <cell r="B112" t="str">
            <v>売掛金</v>
          </cell>
          <cell r="E112">
            <v>8006</v>
          </cell>
          <cell r="F112" t="str">
            <v>1318006</v>
          </cell>
          <cell r="G112" t="str">
            <v>㈱やまかわ</v>
          </cell>
        </row>
        <row r="113">
          <cell r="A113">
            <v>131</v>
          </cell>
          <cell r="B113" t="str">
            <v>売掛金</v>
          </cell>
          <cell r="E113">
            <v>8026</v>
          </cell>
          <cell r="F113" t="str">
            <v>1318026</v>
          </cell>
          <cell r="G113" t="str">
            <v>ヤマト運輸㈱</v>
          </cell>
        </row>
        <row r="114">
          <cell r="A114">
            <v>131</v>
          </cell>
          <cell r="B114" t="str">
            <v>売掛金</v>
          </cell>
          <cell r="E114">
            <v>8805</v>
          </cell>
          <cell r="F114" t="str">
            <v>1318805</v>
          </cell>
          <cell r="G114" t="str">
            <v>㈱ワームス　本社</v>
          </cell>
        </row>
        <row r="115">
          <cell r="A115">
            <v>131</v>
          </cell>
          <cell r="B115" t="str">
            <v>売掛金</v>
          </cell>
          <cell r="E115">
            <v>8810</v>
          </cell>
          <cell r="F115" t="str">
            <v>1318810</v>
          </cell>
          <cell r="G115" t="str">
            <v>わかば薬局㈱</v>
          </cell>
        </row>
        <row r="116">
          <cell r="A116">
            <v>131</v>
          </cell>
          <cell r="B116" t="str">
            <v>売掛金</v>
          </cell>
          <cell r="E116">
            <v>8811</v>
          </cell>
          <cell r="F116" t="str">
            <v>1318811</v>
          </cell>
          <cell r="G116" t="str">
            <v>Y-TEC</v>
          </cell>
        </row>
        <row r="117">
          <cell r="A117">
            <v>131</v>
          </cell>
          <cell r="B117" t="str">
            <v>売掛金</v>
          </cell>
          <cell r="E117">
            <v>9997</v>
          </cell>
          <cell r="F117" t="str">
            <v>1319997</v>
          </cell>
          <cell r="G117" t="str">
            <v>その他得意先ﾁｰﾑＹ</v>
          </cell>
        </row>
        <row r="118">
          <cell r="A118">
            <v>131</v>
          </cell>
          <cell r="B118" t="str">
            <v>売掛金</v>
          </cell>
          <cell r="E118">
            <v>9998</v>
          </cell>
          <cell r="F118" t="str">
            <v>1319998</v>
          </cell>
          <cell r="G118" t="str">
            <v>その他得意先</v>
          </cell>
        </row>
        <row r="119">
          <cell r="A119">
            <v>132</v>
          </cell>
          <cell r="B119" t="str">
            <v>有価証券</v>
          </cell>
          <cell r="C119">
            <v>30</v>
          </cell>
          <cell r="F119" t="str">
            <v>132</v>
          </cell>
        </row>
        <row r="120">
          <cell r="A120">
            <v>140</v>
          </cell>
          <cell r="B120" t="str">
            <v>商品</v>
          </cell>
          <cell r="F120" t="str">
            <v>140</v>
          </cell>
        </row>
        <row r="121">
          <cell r="A121">
            <v>150</v>
          </cell>
          <cell r="B121" t="str">
            <v>前渡金</v>
          </cell>
          <cell r="E121">
            <v>1</v>
          </cell>
          <cell r="F121" t="str">
            <v>1501</v>
          </cell>
          <cell r="G121" t="str">
            <v>三研商貿有限公司</v>
          </cell>
        </row>
        <row r="122">
          <cell r="A122">
            <v>150</v>
          </cell>
          <cell r="B122" t="str">
            <v>前渡金</v>
          </cell>
          <cell r="E122">
            <v>2</v>
          </cell>
          <cell r="F122" t="str">
            <v>1502</v>
          </cell>
          <cell r="G122" t="str">
            <v>異業種交流会</v>
          </cell>
        </row>
        <row r="123">
          <cell r="A123">
            <v>151</v>
          </cell>
          <cell r="B123" t="str">
            <v>短期貸付金</v>
          </cell>
          <cell r="E123">
            <v>1</v>
          </cell>
          <cell r="F123" t="str">
            <v>1511</v>
          </cell>
          <cell r="G123" t="str">
            <v>㈱三和商研</v>
          </cell>
        </row>
        <row r="124">
          <cell r="A124">
            <v>151</v>
          </cell>
          <cell r="B124" t="str">
            <v>短期貸付金</v>
          </cell>
          <cell r="E124">
            <v>4</v>
          </cell>
          <cell r="F124" t="str">
            <v>1514</v>
          </cell>
          <cell r="G124" t="str">
            <v>三研商貿有限公司</v>
          </cell>
        </row>
        <row r="125">
          <cell r="A125">
            <v>152</v>
          </cell>
          <cell r="B125" t="str">
            <v>立替金</v>
          </cell>
          <cell r="E125">
            <v>1</v>
          </cell>
          <cell r="F125" t="str">
            <v>1521</v>
          </cell>
          <cell r="G125" t="str">
            <v>㈱三和商研</v>
          </cell>
        </row>
        <row r="126">
          <cell r="A126">
            <v>152</v>
          </cell>
          <cell r="B126" t="str">
            <v>立替金</v>
          </cell>
          <cell r="E126">
            <v>4</v>
          </cell>
          <cell r="F126" t="str">
            <v>1524</v>
          </cell>
          <cell r="G126" t="str">
            <v>中国</v>
          </cell>
        </row>
        <row r="127">
          <cell r="A127">
            <v>152</v>
          </cell>
          <cell r="B127" t="str">
            <v>立替金</v>
          </cell>
          <cell r="E127">
            <v>100</v>
          </cell>
          <cell r="F127" t="str">
            <v>152100</v>
          </cell>
          <cell r="G127" t="str">
            <v>一時的</v>
          </cell>
        </row>
        <row r="128">
          <cell r="A128">
            <v>152</v>
          </cell>
          <cell r="B128" t="str">
            <v>立替金</v>
          </cell>
          <cell r="E128">
            <v>101</v>
          </cell>
          <cell r="F128" t="str">
            <v>152101</v>
          </cell>
          <cell r="G128" t="str">
            <v>従業員立替</v>
          </cell>
        </row>
        <row r="129">
          <cell r="A129">
            <v>152</v>
          </cell>
          <cell r="B129" t="str">
            <v>立替金</v>
          </cell>
          <cell r="E129">
            <v>102</v>
          </cell>
          <cell r="F129" t="str">
            <v>152102</v>
          </cell>
          <cell r="G129" t="str">
            <v>ｻﾝﾜﾌﾟﾗﾝﾆﾝｸﾞ</v>
          </cell>
        </row>
        <row r="130">
          <cell r="A130">
            <v>152</v>
          </cell>
          <cell r="B130" t="str">
            <v>立替金</v>
          </cell>
          <cell r="E130">
            <v>103</v>
          </cell>
          <cell r="F130" t="str">
            <v>152103</v>
          </cell>
          <cell r="G130" t="str">
            <v>得意先</v>
          </cell>
        </row>
        <row r="131">
          <cell r="A131">
            <v>152</v>
          </cell>
          <cell r="B131" t="str">
            <v>立替金</v>
          </cell>
          <cell r="E131">
            <v>104</v>
          </cell>
          <cell r="F131" t="str">
            <v>152104</v>
          </cell>
          <cell r="G131" t="str">
            <v>永見</v>
          </cell>
        </row>
        <row r="132">
          <cell r="A132">
            <v>152</v>
          </cell>
          <cell r="B132" t="str">
            <v>立替金</v>
          </cell>
          <cell r="E132">
            <v>105</v>
          </cell>
          <cell r="F132" t="str">
            <v>152105</v>
          </cell>
          <cell r="G132" t="str">
            <v>三和会</v>
          </cell>
        </row>
        <row r="133">
          <cell r="A133">
            <v>153</v>
          </cell>
          <cell r="B133" t="str">
            <v>未収入金</v>
          </cell>
          <cell r="F133" t="str">
            <v>153</v>
          </cell>
        </row>
        <row r="134">
          <cell r="A134">
            <v>154</v>
          </cell>
          <cell r="B134" t="str">
            <v>仮払金</v>
          </cell>
          <cell r="E134">
            <v>4</v>
          </cell>
          <cell r="F134" t="str">
            <v>1544</v>
          </cell>
          <cell r="G134" t="str">
            <v>中国</v>
          </cell>
        </row>
        <row r="135">
          <cell r="A135">
            <v>154</v>
          </cell>
          <cell r="B135" t="str">
            <v>仮払金</v>
          </cell>
          <cell r="E135">
            <v>10</v>
          </cell>
          <cell r="F135" t="str">
            <v>15410</v>
          </cell>
          <cell r="G135" t="str">
            <v>社長小口</v>
          </cell>
        </row>
        <row r="136">
          <cell r="A136">
            <v>154</v>
          </cell>
          <cell r="B136" t="str">
            <v>仮払金</v>
          </cell>
          <cell r="E136">
            <v>11</v>
          </cell>
          <cell r="F136" t="str">
            <v>15411</v>
          </cell>
          <cell r="G136" t="str">
            <v>社長外貨</v>
          </cell>
        </row>
        <row r="137">
          <cell r="A137">
            <v>154</v>
          </cell>
          <cell r="B137" t="str">
            <v>仮払金</v>
          </cell>
          <cell r="E137">
            <v>100</v>
          </cell>
          <cell r="F137" t="str">
            <v>154100</v>
          </cell>
          <cell r="G137" t="str">
            <v>一時的</v>
          </cell>
        </row>
        <row r="138">
          <cell r="A138">
            <v>154</v>
          </cell>
          <cell r="B138" t="str">
            <v>仮払金</v>
          </cell>
          <cell r="E138">
            <v>101</v>
          </cell>
          <cell r="F138" t="str">
            <v>154101</v>
          </cell>
          <cell r="G138" t="str">
            <v>一時的</v>
          </cell>
        </row>
        <row r="139">
          <cell r="A139">
            <v>154</v>
          </cell>
          <cell r="B139" t="str">
            <v>仮払金</v>
          </cell>
          <cell r="E139">
            <v>999</v>
          </cell>
          <cell r="F139" t="str">
            <v>154999</v>
          </cell>
          <cell r="G139" t="str">
            <v>その他</v>
          </cell>
        </row>
        <row r="140">
          <cell r="A140">
            <v>154</v>
          </cell>
          <cell r="B140" t="str">
            <v>仮払金</v>
          </cell>
          <cell r="E140">
            <v>2401</v>
          </cell>
          <cell r="F140" t="str">
            <v>1542401</v>
          </cell>
          <cell r="G140" t="str">
            <v>ウエルシア</v>
          </cell>
        </row>
        <row r="141">
          <cell r="A141">
            <v>155</v>
          </cell>
          <cell r="B141" t="str">
            <v>前払費用</v>
          </cell>
          <cell r="E141">
            <v>1</v>
          </cell>
          <cell r="F141" t="str">
            <v>1551</v>
          </cell>
          <cell r="G141" t="str">
            <v>保証料</v>
          </cell>
        </row>
        <row r="142">
          <cell r="A142">
            <v>155</v>
          </cell>
          <cell r="B142" t="str">
            <v>前払費用</v>
          </cell>
          <cell r="E142">
            <v>10</v>
          </cell>
          <cell r="F142" t="str">
            <v>15510</v>
          </cell>
          <cell r="G142" t="str">
            <v>三井住友海上</v>
          </cell>
        </row>
        <row r="143">
          <cell r="A143">
            <v>155</v>
          </cell>
          <cell r="B143" t="str">
            <v>前払費用</v>
          </cell>
          <cell r="E143">
            <v>100</v>
          </cell>
          <cell r="F143" t="str">
            <v>155100</v>
          </cell>
          <cell r="G143" t="str">
            <v>家賃地代</v>
          </cell>
        </row>
        <row r="144">
          <cell r="A144">
            <v>158</v>
          </cell>
          <cell r="B144" t="str">
            <v>仮払消費税</v>
          </cell>
          <cell r="F144" t="str">
            <v>158</v>
          </cell>
        </row>
        <row r="145">
          <cell r="A145">
            <v>161</v>
          </cell>
          <cell r="B145" t="str">
            <v>建物付属設備</v>
          </cell>
          <cell r="C145">
            <v>32</v>
          </cell>
          <cell r="D145">
            <v>5</v>
          </cell>
          <cell r="F145" t="str">
            <v>161</v>
          </cell>
        </row>
        <row r="146">
          <cell r="A146">
            <v>162</v>
          </cell>
          <cell r="B146" t="str">
            <v>構築物</v>
          </cell>
          <cell r="C146">
            <v>32</v>
          </cell>
          <cell r="D146">
            <v>5</v>
          </cell>
          <cell r="F146" t="str">
            <v>162</v>
          </cell>
        </row>
        <row r="147">
          <cell r="A147">
            <v>164</v>
          </cell>
          <cell r="B147" t="str">
            <v>車両運搬具</v>
          </cell>
          <cell r="C147">
            <v>32</v>
          </cell>
          <cell r="D147">
            <v>8</v>
          </cell>
          <cell r="F147" t="str">
            <v>164</v>
          </cell>
        </row>
        <row r="148">
          <cell r="A148">
            <v>165</v>
          </cell>
          <cell r="B148" t="str">
            <v>器具備品</v>
          </cell>
          <cell r="C148">
            <v>32</v>
          </cell>
          <cell r="D148">
            <v>5</v>
          </cell>
          <cell r="F148" t="str">
            <v>165</v>
          </cell>
        </row>
        <row r="149">
          <cell r="A149">
            <v>169</v>
          </cell>
          <cell r="B149" t="str">
            <v>減価償却累計額</v>
          </cell>
          <cell r="F149" t="str">
            <v>169</v>
          </cell>
        </row>
        <row r="150">
          <cell r="A150">
            <v>171</v>
          </cell>
          <cell r="B150" t="str">
            <v>差入保証金</v>
          </cell>
          <cell r="E150">
            <v>1</v>
          </cell>
          <cell r="F150" t="str">
            <v>1711</v>
          </cell>
          <cell r="G150" t="str">
            <v>㈱岡村製作所</v>
          </cell>
        </row>
        <row r="151">
          <cell r="A151">
            <v>171</v>
          </cell>
          <cell r="B151" t="str">
            <v>差入保証金</v>
          </cell>
          <cell r="E151">
            <v>2</v>
          </cell>
          <cell r="F151" t="str">
            <v>1712</v>
          </cell>
          <cell r="G151" t="str">
            <v>富士火災海上保険㈱</v>
          </cell>
        </row>
        <row r="152">
          <cell r="A152">
            <v>171</v>
          </cell>
          <cell r="B152" t="str">
            <v>差入保証金</v>
          </cell>
          <cell r="E152">
            <v>3</v>
          </cell>
          <cell r="F152" t="str">
            <v>1713</v>
          </cell>
          <cell r="G152" t="str">
            <v>電気通信共済会</v>
          </cell>
        </row>
        <row r="153">
          <cell r="A153">
            <v>171</v>
          </cell>
          <cell r="B153" t="str">
            <v>差入保証金</v>
          </cell>
          <cell r="E153">
            <v>4</v>
          </cell>
          <cell r="F153" t="str">
            <v>1714</v>
          </cell>
          <cell r="G153" t="str">
            <v>ﾘｿﾞｰﾄﾄﾗｽﾄ㈱</v>
          </cell>
        </row>
        <row r="154">
          <cell r="A154">
            <v>173</v>
          </cell>
          <cell r="B154" t="str">
            <v>ソフトウェア</v>
          </cell>
          <cell r="C154">
            <v>32</v>
          </cell>
          <cell r="D154">
            <v>5</v>
          </cell>
          <cell r="F154" t="str">
            <v>173</v>
          </cell>
        </row>
        <row r="155">
          <cell r="A155">
            <v>173</v>
          </cell>
          <cell r="B155" t="str">
            <v>ソフトウェア</v>
          </cell>
          <cell r="C155">
            <v>81</v>
          </cell>
          <cell r="F155" t="str">
            <v>173</v>
          </cell>
        </row>
        <row r="156">
          <cell r="A156">
            <v>181</v>
          </cell>
          <cell r="B156" t="str">
            <v>出資金</v>
          </cell>
          <cell r="E156">
            <v>1</v>
          </cell>
          <cell r="F156" t="str">
            <v>1811</v>
          </cell>
          <cell r="G156" t="str">
            <v>埼玉縣信金</v>
          </cell>
        </row>
        <row r="157">
          <cell r="A157">
            <v>181</v>
          </cell>
          <cell r="B157" t="str">
            <v>出資金</v>
          </cell>
          <cell r="E157">
            <v>2</v>
          </cell>
          <cell r="F157" t="str">
            <v>1812</v>
          </cell>
          <cell r="G157" t="str">
            <v>熊谷異業種交流会</v>
          </cell>
        </row>
        <row r="158">
          <cell r="A158">
            <v>181</v>
          </cell>
          <cell r="B158" t="str">
            <v>出資金</v>
          </cell>
          <cell r="E158">
            <v>3</v>
          </cell>
          <cell r="F158" t="str">
            <v>1813</v>
          </cell>
          <cell r="G158" t="str">
            <v>エルテック㈱</v>
          </cell>
        </row>
        <row r="159">
          <cell r="A159">
            <v>181</v>
          </cell>
          <cell r="B159" t="str">
            <v>出資金</v>
          </cell>
          <cell r="E159">
            <v>4</v>
          </cell>
          <cell r="F159" t="str">
            <v>1814</v>
          </cell>
          <cell r="G159" t="str">
            <v>三研商貿有限公司</v>
          </cell>
        </row>
        <row r="160">
          <cell r="A160">
            <v>185</v>
          </cell>
          <cell r="B160" t="str">
            <v>保険積立金</v>
          </cell>
          <cell r="F160" t="str">
            <v>185</v>
          </cell>
        </row>
        <row r="161">
          <cell r="A161">
            <v>188</v>
          </cell>
          <cell r="B161" t="str">
            <v>その他の投資</v>
          </cell>
          <cell r="F161" t="str">
            <v>188</v>
          </cell>
        </row>
        <row r="162">
          <cell r="A162">
            <v>201</v>
          </cell>
          <cell r="B162" t="str">
            <v>買掛金</v>
          </cell>
          <cell r="E162">
            <v>1005</v>
          </cell>
          <cell r="F162" t="str">
            <v>2011005</v>
          </cell>
          <cell r="G162" t="str">
            <v>アイリスオーヤマ㈱</v>
          </cell>
        </row>
        <row r="163">
          <cell r="A163">
            <v>201</v>
          </cell>
          <cell r="B163" t="str">
            <v>買掛金</v>
          </cell>
          <cell r="E163">
            <v>1011</v>
          </cell>
          <cell r="F163" t="str">
            <v>2011011</v>
          </cell>
          <cell r="G163" t="str">
            <v>㈱ｱｸﾃｨｰ.ｽﾀｯﾌ</v>
          </cell>
        </row>
        <row r="164">
          <cell r="A164">
            <v>201</v>
          </cell>
          <cell r="B164" t="str">
            <v>買掛金</v>
          </cell>
          <cell r="E164">
            <v>1023</v>
          </cell>
          <cell r="F164" t="str">
            <v>2011023</v>
          </cell>
          <cell r="G164" t="str">
            <v>㈱アドシア</v>
          </cell>
        </row>
        <row r="165">
          <cell r="A165">
            <v>201</v>
          </cell>
          <cell r="B165" t="str">
            <v>買掛金</v>
          </cell>
          <cell r="E165">
            <v>1027</v>
          </cell>
          <cell r="F165" t="str">
            <v>2011027</v>
          </cell>
          <cell r="G165" t="str">
            <v>アイエイト</v>
          </cell>
        </row>
        <row r="166">
          <cell r="A166">
            <v>201</v>
          </cell>
          <cell r="B166" t="str">
            <v>買掛金</v>
          </cell>
          <cell r="E166">
            <v>1028</v>
          </cell>
          <cell r="F166" t="str">
            <v>2011028</v>
          </cell>
          <cell r="G166" t="str">
            <v>安西総合㈲</v>
          </cell>
        </row>
        <row r="167">
          <cell r="A167">
            <v>201</v>
          </cell>
          <cell r="B167" t="str">
            <v>買掛金</v>
          </cell>
          <cell r="E167">
            <v>1203</v>
          </cell>
          <cell r="F167" t="str">
            <v>2011203</v>
          </cell>
          <cell r="G167" t="str">
            <v>石山商工</v>
          </cell>
        </row>
        <row r="168">
          <cell r="A168">
            <v>201</v>
          </cell>
          <cell r="B168" t="str">
            <v>買掛金</v>
          </cell>
          <cell r="E168">
            <v>1209</v>
          </cell>
          <cell r="F168" t="str">
            <v>2011209</v>
          </cell>
          <cell r="G168" t="str">
            <v>井上金庫販売㈱</v>
          </cell>
        </row>
        <row r="169">
          <cell r="A169">
            <v>201</v>
          </cell>
          <cell r="B169" t="str">
            <v>買掛金</v>
          </cell>
          <cell r="E169">
            <v>1407</v>
          </cell>
          <cell r="F169" t="str">
            <v>2011407</v>
          </cell>
          <cell r="G169" t="str">
            <v>ｳｴﾙｼｱ薬局　各店</v>
          </cell>
        </row>
        <row r="170">
          <cell r="A170">
            <v>201</v>
          </cell>
          <cell r="B170" t="str">
            <v>買掛金</v>
          </cell>
          <cell r="E170">
            <v>1408</v>
          </cell>
          <cell r="F170" t="str">
            <v>2011408</v>
          </cell>
          <cell r="G170" t="str">
            <v>運送費</v>
          </cell>
        </row>
        <row r="171">
          <cell r="A171">
            <v>201</v>
          </cell>
          <cell r="B171" t="str">
            <v>買掛金</v>
          </cell>
          <cell r="E171">
            <v>1601</v>
          </cell>
          <cell r="F171" t="str">
            <v>2011601</v>
          </cell>
          <cell r="G171" t="str">
            <v>ｴﾙﾃｯｸ㈱　PF事業部</v>
          </cell>
        </row>
        <row r="172">
          <cell r="A172">
            <v>201</v>
          </cell>
          <cell r="B172" t="str">
            <v>買掛金</v>
          </cell>
          <cell r="E172">
            <v>1606</v>
          </cell>
          <cell r="F172" t="str">
            <v>2011606</v>
          </cell>
          <cell r="G172" t="str">
            <v>エルム室内㈱</v>
          </cell>
        </row>
        <row r="173">
          <cell r="A173">
            <v>201</v>
          </cell>
          <cell r="B173" t="str">
            <v>買掛金</v>
          </cell>
          <cell r="E173">
            <v>1615</v>
          </cell>
          <cell r="F173" t="str">
            <v>2011615</v>
          </cell>
          <cell r="G173" t="str">
            <v>エム木工</v>
          </cell>
        </row>
        <row r="174">
          <cell r="A174">
            <v>201</v>
          </cell>
          <cell r="B174" t="str">
            <v>買掛金</v>
          </cell>
          <cell r="E174">
            <v>1803</v>
          </cell>
          <cell r="F174" t="str">
            <v>2011803</v>
          </cell>
          <cell r="G174" t="str">
            <v>㈱岡村製作所埼玉支店</v>
          </cell>
        </row>
        <row r="175">
          <cell r="A175">
            <v>201</v>
          </cell>
          <cell r="B175" t="str">
            <v>買掛金</v>
          </cell>
          <cell r="E175">
            <v>1805</v>
          </cell>
          <cell r="F175" t="str">
            <v>2011805</v>
          </cell>
          <cell r="G175" t="str">
            <v>㈱岡村製作所高崎支店</v>
          </cell>
        </row>
        <row r="176">
          <cell r="A176">
            <v>201</v>
          </cell>
          <cell r="B176" t="str">
            <v>買掛金</v>
          </cell>
          <cell r="E176">
            <v>1807</v>
          </cell>
          <cell r="F176" t="str">
            <v>2011807</v>
          </cell>
          <cell r="G176" t="str">
            <v xml:space="preserve"> ㈱大里</v>
          </cell>
        </row>
        <row r="177">
          <cell r="A177">
            <v>201</v>
          </cell>
          <cell r="B177" t="str">
            <v>買掛金</v>
          </cell>
          <cell r="E177">
            <v>1827</v>
          </cell>
          <cell r="F177" t="str">
            <v>2011827</v>
          </cell>
          <cell r="G177" t="str">
            <v>㈱大塚商会</v>
          </cell>
        </row>
        <row r="178">
          <cell r="A178">
            <v>201</v>
          </cell>
          <cell r="B178" t="str">
            <v>買掛金</v>
          </cell>
          <cell r="E178">
            <v>1828</v>
          </cell>
          <cell r="F178" t="str">
            <v>2011828</v>
          </cell>
          <cell r="G178" t="str">
            <v>㈱ＯＴＡ</v>
          </cell>
        </row>
        <row r="179">
          <cell r="A179">
            <v>201</v>
          </cell>
          <cell r="B179" t="str">
            <v>買掛金</v>
          </cell>
          <cell r="E179">
            <v>2002</v>
          </cell>
          <cell r="F179" t="str">
            <v>2012002</v>
          </cell>
          <cell r="G179" t="str">
            <v>㈲カープ</v>
          </cell>
        </row>
        <row r="180">
          <cell r="A180">
            <v>201</v>
          </cell>
          <cell r="B180" t="str">
            <v>買掛金</v>
          </cell>
          <cell r="E180">
            <v>2004</v>
          </cell>
          <cell r="F180" t="str">
            <v>2012004</v>
          </cell>
          <cell r="G180" t="str">
            <v>カインズホーム</v>
          </cell>
        </row>
        <row r="181">
          <cell r="A181">
            <v>201</v>
          </cell>
          <cell r="B181" t="str">
            <v>買掛金</v>
          </cell>
          <cell r="E181">
            <v>2005</v>
          </cell>
          <cell r="F181" t="str">
            <v>2012005</v>
          </cell>
          <cell r="G181" t="str">
            <v>河淳㈱</v>
          </cell>
        </row>
        <row r="182">
          <cell r="A182">
            <v>201</v>
          </cell>
          <cell r="B182" t="str">
            <v>買掛金</v>
          </cell>
          <cell r="E182">
            <v>2007</v>
          </cell>
          <cell r="F182" t="str">
            <v>2012007</v>
          </cell>
          <cell r="G182" t="str">
            <v>関東ﾒﾃﾞｨｶﾙ㈱</v>
          </cell>
        </row>
        <row r="183">
          <cell r="A183">
            <v>201</v>
          </cell>
          <cell r="B183" t="str">
            <v>買掛金</v>
          </cell>
          <cell r="E183">
            <v>2012</v>
          </cell>
          <cell r="F183" t="str">
            <v>2012012</v>
          </cell>
          <cell r="G183" t="str">
            <v>㈲川口加工</v>
          </cell>
        </row>
        <row r="184">
          <cell r="A184">
            <v>201</v>
          </cell>
          <cell r="B184" t="str">
            <v>買掛金</v>
          </cell>
          <cell r="E184">
            <v>2022</v>
          </cell>
          <cell r="F184" t="str">
            <v>2012022</v>
          </cell>
          <cell r="G184" t="str">
            <v>川田電子工業</v>
          </cell>
        </row>
        <row r="185">
          <cell r="A185">
            <v>201</v>
          </cell>
          <cell r="B185" t="str">
            <v>買掛金</v>
          </cell>
          <cell r="E185">
            <v>2026</v>
          </cell>
          <cell r="F185" t="str">
            <v>2012026</v>
          </cell>
          <cell r="G185" t="str">
            <v>笠原住設</v>
          </cell>
        </row>
        <row r="186">
          <cell r="A186">
            <v>201</v>
          </cell>
          <cell r="B186" t="str">
            <v>買掛金</v>
          </cell>
          <cell r="E186">
            <v>2027</v>
          </cell>
          <cell r="F186" t="str">
            <v>2012027</v>
          </cell>
          <cell r="G186" t="str">
            <v>㈱小林工務店</v>
          </cell>
        </row>
        <row r="187">
          <cell r="A187">
            <v>201</v>
          </cell>
          <cell r="B187" t="str">
            <v>買掛金</v>
          </cell>
          <cell r="E187">
            <v>2029</v>
          </cell>
          <cell r="F187" t="str">
            <v>2012029</v>
          </cell>
          <cell r="G187" t="str">
            <v>㈲カートシステムズ</v>
          </cell>
        </row>
        <row r="188">
          <cell r="A188">
            <v>201</v>
          </cell>
          <cell r="B188" t="str">
            <v>買掛金</v>
          </cell>
          <cell r="E188">
            <v>2203</v>
          </cell>
          <cell r="F188" t="str">
            <v>2012203</v>
          </cell>
          <cell r="G188" t="str">
            <v>㈱桐生建窓</v>
          </cell>
        </row>
        <row r="189">
          <cell r="A189">
            <v>201</v>
          </cell>
          <cell r="B189" t="str">
            <v>買掛金</v>
          </cell>
          <cell r="E189">
            <v>2205</v>
          </cell>
          <cell r="F189" t="str">
            <v>2012205</v>
          </cell>
          <cell r="G189" t="str">
            <v>岐阜ﾌﾟﾗｽﾁｯｸ工業㈱</v>
          </cell>
        </row>
        <row r="190">
          <cell r="A190">
            <v>201</v>
          </cell>
          <cell r="B190" t="str">
            <v>買掛金</v>
          </cell>
          <cell r="E190">
            <v>2214</v>
          </cell>
          <cell r="F190" t="str">
            <v>2012214</v>
          </cell>
          <cell r="G190" t="str">
            <v>㈱協同技術センター</v>
          </cell>
        </row>
        <row r="191">
          <cell r="A191">
            <v>201</v>
          </cell>
          <cell r="B191" t="str">
            <v>買掛金</v>
          </cell>
          <cell r="E191">
            <v>2405</v>
          </cell>
          <cell r="F191" t="str">
            <v>2012405</v>
          </cell>
          <cell r="G191" t="str">
            <v>㈲軍司金物</v>
          </cell>
        </row>
        <row r="192">
          <cell r="A192">
            <v>201</v>
          </cell>
          <cell r="B192" t="str">
            <v>買掛金</v>
          </cell>
          <cell r="E192">
            <v>2410</v>
          </cell>
          <cell r="F192" t="str">
            <v>2012410</v>
          </cell>
          <cell r="G192" t="str">
            <v>㈱グローバル</v>
          </cell>
        </row>
        <row r="193">
          <cell r="A193">
            <v>201</v>
          </cell>
          <cell r="B193" t="str">
            <v>買掛金</v>
          </cell>
          <cell r="E193">
            <v>2602</v>
          </cell>
          <cell r="F193" t="str">
            <v>2012602</v>
          </cell>
          <cell r="G193" t="str">
            <v>㈲ケン鏡装</v>
          </cell>
        </row>
        <row r="194">
          <cell r="A194">
            <v>201</v>
          </cell>
          <cell r="B194" t="str">
            <v>買掛金</v>
          </cell>
          <cell r="E194">
            <v>2603</v>
          </cell>
          <cell r="F194" t="str">
            <v>2012603</v>
          </cell>
          <cell r="G194" t="str">
            <v>ｹｰﾖｰﾎｰﾑｾﾝﾀｰ</v>
          </cell>
        </row>
        <row r="195">
          <cell r="A195">
            <v>201</v>
          </cell>
          <cell r="B195" t="str">
            <v>買掛金</v>
          </cell>
          <cell r="E195">
            <v>2605</v>
          </cell>
          <cell r="F195" t="str">
            <v>2012605</v>
          </cell>
          <cell r="G195" t="str">
            <v>県北陸運㈲</v>
          </cell>
        </row>
        <row r="196">
          <cell r="A196">
            <v>201</v>
          </cell>
          <cell r="B196" t="str">
            <v>買掛金</v>
          </cell>
          <cell r="E196">
            <v>2801</v>
          </cell>
          <cell r="F196" t="str">
            <v>2012801</v>
          </cell>
          <cell r="G196" t="str">
            <v>光洋ファスナー㈱</v>
          </cell>
        </row>
        <row r="197">
          <cell r="A197">
            <v>201</v>
          </cell>
          <cell r="B197" t="str">
            <v>買掛金</v>
          </cell>
          <cell r="E197">
            <v>2802</v>
          </cell>
          <cell r="F197" t="str">
            <v>2012802</v>
          </cell>
          <cell r="G197" t="str">
            <v>㈲後藤衛生社</v>
          </cell>
        </row>
        <row r="198">
          <cell r="A198">
            <v>201</v>
          </cell>
          <cell r="B198" t="str">
            <v>買掛金</v>
          </cell>
          <cell r="E198">
            <v>2806</v>
          </cell>
          <cell r="F198" t="str">
            <v>2012806</v>
          </cell>
          <cell r="G198" t="str">
            <v>コスモプリンツ㈱</v>
          </cell>
        </row>
        <row r="199">
          <cell r="A199">
            <v>201</v>
          </cell>
          <cell r="B199" t="str">
            <v>買掛金</v>
          </cell>
          <cell r="E199">
            <v>2807</v>
          </cell>
          <cell r="F199" t="str">
            <v>2012807</v>
          </cell>
          <cell r="G199" t="str">
            <v>㈱小林製作所</v>
          </cell>
        </row>
        <row r="200">
          <cell r="A200">
            <v>201</v>
          </cell>
          <cell r="B200" t="str">
            <v>買掛金</v>
          </cell>
          <cell r="E200">
            <v>2809</v>
          </cell>
          <cell r="F200" t="str">
            <v>2012809</v>
          </cell>
          <cell r="G200" t="str">
            <v>コミー㈱</v>
          </cell>
        </row>
        <row r="201">
          <cell r="A201">
            <v>201</v>
          </cell>
          <cell r="B201" t="str">
            <v>買掛金</v>
          </cell>
          <cell r="E201">
            <v>2810</v>
          </cell>
          <cell r="F201" t="str">
            <v>2012810</v>
          </cell>
          <cell r="G201" t="str">
            <v>㈱小林設計事務所</v>
          </cell>
        </row>
        <row r="202">
          <cell r="A202">
            <v>201</v>
          </cell>
          <cell r="B202" t="str">
            <v>買掛金</v>
          </cell>
          <cell r="E202">
            <v>2811</v>
          </cell>
          <cell r="F202" t="str">
            <v>2012811</v>
          </cell>
          <cell r="G202" t="str">
            <v>コメリ</v>
          </cell>
        </row>
        <row r="203">
          <cell r="A203">
            <v>201</v>
          </cell>
          <cell r="B203" t="str">
            <v>買掛金</v>
          </cell>
          <cell r="E203">
            <v>2816</v>
          </cell>
          <cell r="F203" t="str">
            <v>2012816</v>
          </cell>
          <cell r="G203" t="str">
            <v>㈱甲世社</v>
          </cell>
        </row>
        <row r="204">
          <cell r="A204">
            <v>201</v>
          </cell>
          <cell r="B204" t="str">
            <v>買掛金</v>
          </cell>
          <cell r="E204">
            <v>2819</v>
          </cell>
          <cell r="F204" t="str">
            <v>2012819</v>
          </cell>
          <cell r="G204" t="str">
            <v>コウエイ建装</v>
          </cell>
        </row>
        <row r="205">
          <cell r="A205">
            <v>201</v>
          </cell>
          <cell r="B205" t="str">
            <v>買掛金</v>
          </cell>
          <cell r="E205">
            <v>2820</v>
          </cell>
          <cell r="F205" t="str">
            <v>2012820</v>
          </cell>
          <cell r="G205" t="str">
            <v>ｺｸﾖﾏｰｹﾃｨﾝｸﾞ㈱</v>
          </cell>
        </row>
        <row r="206">
          <cell r="A206">
            <v>201</v>
          </cell>
          <cell r="B206" t="str">
            <v>買掛金</v>
          </cell>
          <cell r="E206">
            <v>2821</v>
          </cell>
          <cell r="F206" t="str">
            <v>2012821</v>
          </cell>
          <cell r="G206" t="str">
            <v>交通費</v>
          </cell>
        </row>
        <row r="207">
          <cell r="A207">
            <v>201</v>
          </cell>
          <cell r="B207" t="str">
            <v>買掛金</v>
          </cell>
          <cell r="E207">
            <v>3003</v>
          </cell>
          <cell r="F207" t="str">
            <v>2013003</v>
          </cell>
          <cell r="G207" t="str">
            <v>㈱サガワ</v>
          </cell>
        </row>
        <row r="208">
          <cell r="A208">
            <v>201</v>
          </cell>
          <cell r="B208" t="str">
            <v>買掛金</v>
          </cell>
          <cell r="E208">
            <v>3007</v>
          </cell>
          <cell r="F208" t="str">
            <v>2013007</v>
          </cell>
          <cell r="G208" t="str">
            <v>ササキエクセ</v>
          </cell>
        </row>
        <row r="209">
          <cell r="A209">
            <v>201</v>
          </cell>
          <cell r="B209" t="str">
            <v>買掛金</v>
          </cell>
          <cell r="E209">
            <v>3014</v>
          </cell>
          <cell r="F209" t="str">
            <v>2013014</v>
          </cell>
          <cell r="G209" t="str">
            <v>㈱三電工業</v>
          </cell>
        </row>
        <row r="210">
          <cell r="A210">
            <v>201</v>
          </cell>
          <cell r="B210" t="str">
            <v>買掛金</v>
          </cell>
          <cell r="E210">
            <v>3015</v>
          </cell>
          <cell r="F210" t="str">
            <v>2013015</v>
          </cell>
          <cell r="G210" t="str">
            <v>サンワ通商㈱東京営業</v>
          </cell>
        </row>
        <row r="211">
          <cell r="A211">
            <v>201</v>
          </cell>
          <cell r="B211" t="str">
            <v>買掛金</v>
          </cell>
          <cell r="E211">
            <v>3019</v>
          </cell>
          <cell r="F211" t="str">
            <v>2013019</v>
          </cell>
          <cell r="G211" t="str">
            <v>㈱ｻﾝﾜﾌﾟﾗﾝﾆﾝｸﾞ</v>
          </cell>
        </row>
        <row r="212">
          <cell r="A212">
            <v>201</v>
          </cell>
          <cell r="B212" t="str">
            <v>買掛金</v>
          </cell>
          <cell r="E212">
            <v>3034</v>
          </cell>
          <cell r="F212" t="str">
            <v>2013034</v>
          </cell>
          <cell r="G212" t="str">
            <v>三和シャッター工業㈱</v>
          </cell>
        </row>
        <row r="213">
          <cell r="A213">
            <v>201</v>
          </cell>
          <cell r="B213" t="str">
            <v>買掛金</v>
          </cell>
          <cell r="E213">
            <v>3039</v>
          </cell>
          <cell r="F213" t="str">
            <v>2013039</v>
          </cell>
          <cell r="G213" t="str">
            <v>三甲㈱太田営業所</v>
          </cell>
        </row>
        <row r="214">
          <cell r="A214">
            <v>201</v>
          </cell>
          <cell r="B214" t="str">
            <v>買掛金</v>
          </cell>
          <cell r="E214">
            <v>3204</v>
          </cell>
          <cell r="F214" t="str">
            <v>2013204</v>
          </cell>
          <cell r="G214" t="str">
            <v>島忠ﾎｰﾑｾﾝﾀｰ（ｼﾏﾎ）</v>
          </cell>
        </row>
        <row r="215">
          <cell r="A215">
            <v>201</v>
          </cell>
          <cell r="B215" t="str">
            <v>買掛金</v>
          </cell>
          <cell r="E215">
            <v>3206</v>
          </cell>
          <cell r="F215" t="str">
            <v>2013206</v>
          </cell>
          <cell r="G215" t="str">
            <v>ジョイフル本田</v>
          </cell>
        </row>
        <row r="216">
          <cell r="A216">
            <v>201</v>
          </cell>
          <cell r="B216" t="str">
            <v>買掛金</v>
          </cell>
          <cell r="E216">
            <v>3218</v>
          </cell>
          <cell r="F216" t="str">
            <v>2013218</v>
          </cell>
          <cell r="G216" t="str">
            <v>ジンカンパニー</v>
          </cell>
        </row>
        <row r="217">
          <cell r="A217">
            <v>201</v>
          </cell>
          <cell r="B217" t="str">
            <v>買掛金</v>
          </cell>
          <cell r="E217">
            <v>3219</v>
          </cell>
          <cell r="F217" t="str">
            <v>2013219</v>
          </cell>
          <cell r="G217" t="str">
            <v>シーズン</v>
          </cell>
        </row>
        <row r="218">
          <cell r="A218">
            <v>201</v>
          </cell>
          <cell r="B218" t="str">
            <v>買掛金</v>
          </cell>
          <cell r="E218">
            <v>3274</v>
          </cell>
          <cell r="F218" t="str">
            <v>2013274</v>
          </cell>
          <cell r="G218" t="str">
            <v>十兵衛</v>
          </cell>
        </row>
        <row r="219">
          <cell r="A219">
            <v>201</v>
          </cell>
          <cell r="B219" t="str">
            <v>買掛金</v>
          </cell>
          <cell r="E219">
            <v>3402</v>
          </cell>
          <cell r="F219" t="str">
            <v>2013402</v>
          </cell>
          <cell r="G219" t="str">
            <v>㈲須藤商店</v>
          </cell>
        </row>
        <row r="220">
          <cell r="A220">
            <v>201</v>
          </cell>
          <cell r="B220" t="str">
            <v>買掛金</v>
          </cell>
          <cell r="E220">
            <v>3404</v>
          </cell>
          <cell r="F220" t="str">
            <v>2013404</v>
          </cell>
          <cell r="G220" t="str">
            <v>㈱ｽｰﾊﾟｰﾒｲﾄ北関東支社</v>
          </cell>
        </row>
        <row r="221">
          <cell r="A221">
            <v>201</v>
          </cell>
          <cell r="B221" t="str">
            <v>買掛金</v>
          </cell>
          <cell r="E221">
            <v>3409</v>
          </cell>
          <cell r="F221" t="str">
            <v>2013409</v>
          </cell>
          <cell r="G221" t="str">
            <v>ストアプロジェクト㈱</v>
          </cell>
        </row>
        <row r="222">
          <cell r="A222">
            <v>201</v>
          </cell>
          <cell r="B222" t="str">
            <v>買掛金</v>
          </cell>
          <cell r="E222">
            <v>3601</v>
          </cell>
          <cell r="F222" t="str">
            <v>2013601</v>
          </cell>
          <cell r="G222" t="str">
            <v>セキチュー</v>
          </cell>
        </row>
        <row r="223">
          <cell r="A223">
            <v>201</v>
          </cell>
          <cell r="B223" t="str">
            <v>買掛金</v>
          </cell>
          <cell r="E223">
            <v>3604</v>
          </cell>
          <cell r="F223" t="str">
            <v>2013604</v>
          </cell>
          <cell r="G223" t="str">
            <v>生興㈱関東事業所</v>
          </cell>
        </row>
        <row r="224">
          <cell r="A224">
            <v>201</v>
          </cell>
          <cell r="B224" t="str">
            <v>買掛金</v>
          </cell>
          <cell r="E224">
            <v>3802</v>
          </cell>
          <cell r="F224" t="str">
            <v>2013802</v>
          </cell>
          <cell r="G224" t="str">
            <v>㈲ソシアテクノ</v>
          </cell>
        </row>
        <row r="225">
          <cell r="A225">
            <v>201</v>
          </cell>
          <cell r="B225" t="str">
            <v>買掛金</v>
          </cell>
          <cell r="E225">
            <v>4002</v>
          </cell>
          <cell r="F225" t="str">
            <v>2014002</v>
          </cell>
          <cell r="G225" t="str">
            <v>㈱ダイフジ</v>
          </cell>
        </row>
        <row r="226">
          <cell r="A226">
            <v>201</v>
          </cell>
          <cell r="B226" t="str">
            <v>買掛金</v>
          </cell>
          <cell r="E226">
            <v>4003</v>
          </cell>
          <cell r="F226" t="str">
            <v>2014003</v>
          </cell>
          <cell r="G226" t="str">
            <v>ﾀﾃﾔﾏｱﾄﾞﾊﾞﾝｽ㈱埼玉支</v>
          </cell>
        </row>
        <row r="227">
          <cell r="A227">
            <v>201</v>
          </cell>
          <cell r="B227" t="str">
            <v>買掛金</v>
          </cell>
          <cell r="E227">
            <v>4004</v>
          </cell>
          <cell r="F227" t="str">
            <v>2014004</v>
          </cell>
          <cell r="G227" t="str">
            <v>㈱店装技研</v>
          </cell>
        </row>
        <row r="228">
          <cell r="A228">
            <v>201</v>
          </cell>
          <cell r="B228" t="str">
            <v>買掛金</v>
          </cell>
          <cell r="E228">
            <v>4006</v>
          </cell>
          <cell r="F228" t="str">
            <v>2014006</v>
          </cell>
          <cell r="G228" t="str">
            <v>棚澤建設</v>
          </cell>
        </row>
        <row r="229">
          <cell r="A229">
            <v>201</v>
          </cell>
          <cell r="B229" t="str">
            <v>買掛金</v>
          </cell>
          <cell r="E229">
            <v>4014</v>
          </cell>
          <cell r="F229" t="str">
            <v>2014014</v>
          </cell>
          <cell r="G229" t="str">
            <v>ダイソー</v>
          </cell>
        </row>
        <row r="230">
          <cell r="A230">
            <v>201</v>
          </cell>
          <cell r="B230" t="str">
            <v>買掛金</v>
          </cell>
          <cell r="E230">
            <v>4028</v>
          </cell>
          <cell r="F230" t="str">
            <v>2014028</v>
          </cell>
          <cell r="G230" t="str">
            <v>㈱大東電材</v>
          </cell>
        </row>
        <row r="231">
          <cell r="A231">
            <v>201</v>
          </cell>
          <cell r="B231" t="str">
            <v>買掛金</v>
          </cell>
          <cell r="E231">
            <v>4036</v>
          </cell>
          <cell r="F231" t="str">
            <v>2014036</v>
          </cell>
          <cell r="G231" t="str">
            <v>㈱Ｄanto　Ｔile</v>
          </cell>
        </row>
        <row r="232">
          <cell r="A232">
            <v>201</v>
          </cell>
          <cell r="B232" t="str">
            <v>買掛金</v>
          </cell>
          <cell r="E232">
            <v>4038</v>
          </cell>
          <cell r="F232" t="str">
            <v>2014038</v>
          </cell>
          <cell r="G232" t="str">
            <v>㈲タマルシステム</v>
          </cell>
        </row>
        <row r="233">
          <cell r="A233">
            <v>201</v>
          </cell>
          <cell r="B233" t="str">
            <v>買掛金</v>
          </cell>
          <cell r="E233">
            <v>4201</v>
          </cell>
          <cell r="F233" t="str">
            <v>2014201</v>
          </cell>
          <cell r="G233" t="str">
            <v>㈲中信</v>
          </cell>
        </row>
        <row r="234">
          <cell r="A234">
            <v>201</v>
          </cell>
          <cell r="B234" t="str">
            <v>買掛金</v>
          </cell>
          <cell r="E234">
            <v>4301</v>
          </cell>
          <cell r="F234" t="str">
            <v>2014301</v>
          </cell>
          <cell r="G234" t="str">
            <v>中日販売㈱</v>
          </cell>
        </row>
        <row r="235">
          <cell r="A235">
            <v>201</v>
          </cell>
          <cell r="B235" t="str">
            <v>買掛金</v>
          </cell>
          <cell r="E235">
            <v>4302</v>
          </cell>
          <cell r="F235" t="str">
            <v>2014302</v>
          </cell>
          <cell r="G235" t="str">
            <v>㈱中部ｳｲﾝﾄﾞ製作所</v>
          </cell>
        </row>
        <row r="236">
          <cell r="A236">
            <v>201</v>
          </cell>
          <cell r="B236" t="str">
            <v>買掛金</v>
          </cell>
          <cell r="E236">
            <v>4603</v>
          </cell>
          <cell r="F236" t="str">
            <v>2014603</v>
          </cell>
          <cell r="G236" t="str">
            <v>㈱店研創意</v>
          </cell>
        </row>
        <row r="237">
          <cell r="A237">
            <v>201</v>
          </cell>
          <cell r="B237" t="str">
            <v>買掛金</v>
          </cell>
          <cell r="E237">
            <v>4807</v>
          </cell>
          <cell r="F237" t="str">
            <v>2014807</v>
          </cell>
          <cell r="G237" t="str">
            <v>㈱ＬＩＸＩＬビバ</v>
          </cell>
        </row>
        <row r="238">
          <cell r="A238">
            <v>201</v>
          </cell>
          <cell r="B238" t="str">
            <v>買掛金</v>
          </cell>
          <cell r="E238">
            <v>4811</v>
          </cell>
          <cell r="F238" t="str">
            <v>2014811</v>
          </cell>
          <cell r="G238" t="str">
            <v>トッパンコンテナー㈱</v>
          </cell>
        </row>
        <row r="239">
          <cell r="A239">
            <v>201</v>
          </cell>
          <cell r="B239" t="str">
            <v>買掛金</v>
          </cell>
          <cell r="E239">
            <v>4813</v>
          </cell>
          <cell r="F239" t="str">
            <v>2014813</v>
          </cell>
          <cell r="G239" t="str">
            <v>㈱東京化成製作所</v>
          </cell>
        </row>
        <row r="240">
          <cell r="A240">
            <v>201</v>
          </cell>
          <cell r="B240" t="str">
            <v>買掛金</v>
          </cell>
          <cell r="E240">
            <v>4814</v>
          </cell>
          <cell r="F240" t="str">
            <v>2014814</v>
          </cell>
          <cell r="G240" t="str">
            <v>㈱東京ﾏｼﾝｾﾝﾀｰ</v>
          </cell>
        </row>
        <row r="241">
          <cell r="A241">
            <v>201</v>
          </cell>
          <cell r="B241" t="str">
            <v>買掛金</v>
          </cell>
          <cell r="E241">
            <v>4816</v>
          </cell>
          <cell r="F241" t="str">
            <v>2014816</v>
          </cell>
          <cell r="G241" t="str">
            <v>東京鋼鐵工業㈱</v>
          </cell>
        </row>
        <row r="242">
          <cell r="A242">
            <v>201</v>
          </cell>
          <cell r="B242" t="str">
            <v>買掛金</v>
          </cell>
          <cell r="E242">
            <v>4818</v>
          </cell>
          <cell r="F242" t="str">
            <v>2014818</v>
          </cell>
          <cell r="G242" t="str">
            <v>東京シンコーレザー㈱</v>
          </cell>
        </row>
        <row r="243">
          <cell r="A243">
            <v>201</v>
          </cell>
          <cell r="B243" t="str">
            <v>買掛金</v>
          </cell>
          <cell r="E243">
            <v>4825</v>
          </cell>
          <cell r="F243" t="str">
            <v>2014825</v>
          </cell>
          <cell r="G243" t="str">
            <v>東邦工機㈱</v>
          </cell>
        </row>
        <row r="244">
          <cell r="A244">
            <v>201</v>
          </cell>
          <cell r="B244" t="str">
            <v>買掛金</v>
          </cell>
          <cell r="E244">
            <v>4826</v>
          </cell>
          <cell r="F244" t="str">
            <v>2014826</v>
          </cell>
          <cell r="G244" t="str">
            <v>ドンキホーテ</v>
          </cell>
        </row>
        <row r="245">
          <cell r="A245">
            <v>201</v>
          </cell>
          <cell r="B245" t="str">
            <v>買掛金</v>
          </cell>
          <cell r="E245">
            <v>4836</v>
          </cell>
          <cell r="F245" t="str">
            <v>2014836</v>
          </cell>
          <cell r="G245" t="str">
            <v>㈱ＬＩＸＩＬ</v>
          </cell>
        </row>
        <row r="246">
          <cell r="A246">
            <v>201</v>
          </cell>
          <cell r="B246" t="str">
            <v>買掛金</v>
          </cell>
          <cell r="E246">
            <v>5003</v>
          </cell>
          <cell r="F246" t="str">
            <v>2015003</v>
          </cell>
          <cell r="G246" t="str">
            <v>中沢トータリア㈱</v>
          </cell>
        </row>
        <row r="247">
          <cell r="A247">
            <v>201</v>
          </cell>
          <cell r="B247" t="str">
            <v>買掛金</v>
          </cell>
          <cell r="E247">
            <v>5008</v>
          </cell>
          <cell r="F247" t="str">
            <v>2015008</v>
          </cell>
          <cell r="G247" t="str">
            <v>㈱永井工芸</v>
          </cell>
        </row>
        <row r="248">
          <cell r="A248">
            <v>201</v>
          </cell>
          <cell r="B248" t="str">
            <v>買掛金</v>
          </cell>
          <cell r="E248">
            <v>5009</v>
          </cell>
          <cell r="F248" t="str">
            <v>2015009</v>
          </cell>
          <cell r="G248" t="str">
            <v>㈱ナンシン</v>
          </cell>
        </row>
        <row r="249">
          <cell r="A249">
            <v>201</v>
          </cell>
          <cell r="B249" t="str">
            <v>買掛金</v>
          </cell>
          <cell r="E249">
            <v>5011</v>
          </cell>
          <cell r="F249" t="str">
            <v>2015011</v>
          </cell>
          <cell r="G249" t="str">
            <v>㈲ナック</v>
          </cell>
        </row>
        <row r="250">
          <cell r="A250">
            <v>201</v>
          </cell>
          <cell r="B250" t="str">
            <v>買掛金</v>
          </cell>
          <cell r="E250">
            <v>5016</v>
          </cell>
          <cell r="F250" t="str">
            <v>2015016</v>
          </cell>
          <cell r="G250" t="str">
            <v>㈲長沢金具店</v>
          </cell>
        </row>
        <row r="251">
          <cell r="A251">
            <v>201</v>
          </cell>
          <cell r="B251" t="str">
            <v>買掛金</v>
          </cell>
          <cell r="E251">
            <v>5202</v>
          </cell>
          <cell r="F251" t="str">
            <v>2015202</v>
          </cell>
          <cell r="G251" t="str">
            <v>日進工業㈱</v>
          </cell>
        </row>
        <row r="252">
          <cell r="A252">
            <v>201</v>
          </cell>
          <cell r="B252" t="str">
            <v>買掛金</v>
          </cell>
          <cell r="E252">
            <v>5203</v>
          </cell>
          <cell r="F252" t="str">
            <v>2015203</v>
          </cell>
          <cell r="G252" t="str">
            <v>ニチベイサービス㈱</v>
          </cell>
        </row>
        <row r="253">
          <cell r="A253">
            <v>201</v>
          </cell>
          <cell r="B253" t="str">
            <v>買掛金</v>
          </cell>
          <cell r="E253">
            <v>5209</v>
          </cell>
          <cell r="F253" t="str">
            <v>2015209</v>
          </cell>
          <cell r="G253" t="str">
            <v>ニューＧＡＤ</v>
          </cell>
        </row>
        <row r="254">
          <cell r="A254">
            <v>201</v>
          </cell>
          <cell r="B254" t="str">
            <v>買掛金</v>
          </cell>
          <cell r="E254">
            <v>5217</v>
          </cell>
          <cell r="F254" t="str">
            <v>2015217</v>
          </cell>
          <cell r="G254" t="str">
            <v>㈱日本アルミ</v>
          </cell>
        </row>
        <row r="255">
          <cell r="A255">
            <v>201</v>
          </cell>
          <cell r="B255" t="str">
            <v>買掛金</v>
          </cell>
          <cell r="E255">
            <v>5231</v>
          </cell>
          <cell r="F255" t="str">
            <v>2015231</v>
          </cell>
          <cell r="G255" t="str">
            <v>日本電気㈱</v>
          </cell>
        </row>
        <row r="256">
          <cell r="A256">
            <v>201</v>
          </cell>
          <cell r="B256" t="str">
            <v>買掛金</v>
          </cell>
          <cell r="E256">
            <v>5232</v>
          </cell>
          <cell r="F256" t="str">
            <v>2015232</v>
          </cell>
          <cell r="G256" t="str">
            <v>ﾆﾁﾚｲﾏｸﾞﾈｯﾄ㈱</v>
          </cell>
        </row>
        <row r="257">
          <cell r="A257">
            <v>201</v>
          </cell>
          <cell r="B257" t="str">
            <v>買掛金</v>
          </cell>
          <cell r="E257">
            <v>5233</v>
          </cell>
          <cell r="F257" t="str">
            <v>2015233</v>
          </cell>
          <cell r="G257" t="str">
            <v>日本ヒルティ㈱</v>
          </cell>
        </row>
        <row r="258">
          <cell r="A258">
            <v>201</v>
          </cell>
          <cell r="B258" t="str">
            <v>買掛金</v>
          </cell>
          <cell r="E258">
            <v>6001</v>
          </cell>
          <cell r="F258" t="str">
            <v>2016001</v>
          </cell>
          <cell r="G258" t="str">
            <v>花岡車輌㈱</v>
          </cell>
        </row>
        <row r="259">
          <cell r="A259">
            <v>201</v>
          </cell>
          <cell r="B259" t="str">
            <v>買掛金</v>
          </cell>
          <cell r="E259">
            <v>6002</v>
          </cell>
          <cell r="F259" t="str">
            <v>2016002</v>
          </cell>
          <cell r="G259" t="str">
            <v>長谷川工業㈱東京支店</v>
          </cell>
        </row>
        <row r="260">
          <cell r="A260">
            <v>201</v>
          </cell>
          <cell r="B260" t="str">
            <v>買掛金</v>
          </cell>
          <cell r="E260">
            <v>6008</v>
          </cell>
          <cell r="F260" t="str">
            <v>2016008</v>
          </cell>
          <cell r="G260" t="str">
            <v>㈱箱田製作所</v>
          </cell>
        </row>
        <row r="261">
          <cell r="A261">
            <v>201</v>
          </cell>
          <cell r="B261" t="str">
            <v>買掛金</v>
          </cell>
          <cell r="E261">
            <v>6010</v>
          </cell>
          <cell r="F261" t="str">
            <v>2016010</v>
          </cell>
          <cell r="G261" t="str">
            <v>ハヤノ産業㈱</v>
          </cell>
        </row>
        <row r="262">
          <cell r="A262">
            <v>201</v>
          </cell>
          <cell r="B262" t="str">
            <v>買掛金</v>
          </cell>
          <cell r="E262">
            <v>6209</v>
          </cell>
          <cell r="F262" t="str">
            <v>2016209</v>
          </cell>
          <cell r="G262" t="str">
            <v>ビジネスホテルホテル</v>
          </cell>
        </row>
        <row r="263">
          <cell r="A263">
            <v>201</v>
          </cell>
          <cell r="B263" t="str">
            <v>買掛金</v>
          </cell>
          <cell r="E263">
            <v>6401</v>
          </cell>
          <cell r="F263" t="str">
            <v>2016401</v>
          </cell>
          <cell r="G263" t="str">
            <v>㈱T･Yﾌｧｸﾄﾘｰ</v>
          </cell>
        </row>
        <row r="264">
          <cell r="A264">
            <v>201</v>
          </cell>
          <cell r="B264" t="str">
            <v>買掛金</v>
          </cell>
          <cell r="E264">
            <v>6402</v>
          </cell>
          <cell r="F264" t="str">
            <v>2016402</v>
          </cell>
          <cell r="G264" t="str">
            <v>㈱富士企画</v>
          </cell>
        </row>
        <row r="265">
          <cell r="A265">
            <v>201</v>
          </cell>
          <cell r="B265" t="str">
            <v>買掛金</v>
          </cell>
          <cell r="E265">
            <v>6403</v>
          </cell>
          <cell r="F265" t="str">
            <v>2016403</v>
          </cell>
          <cell r="G265" t="str">
            <v>㈱不動ｳｲﾝﾄﾞ製作所</v>
          </cell>
        </row>
        <row r="266">
          <cell r="A266">
            <v>201</v>
          </cell>
          <cell r="B266" t="str">
            <v>買掛金</v>
          </cell>
          <cell r="E266">
            <v>6406</v>
          </cell>
          <cell r="F266" t="str">
            <v>2016406</v>
          </cell>
          <cell r="G266" t="str">
            <v>㈱不二工芸埼玉工場</v>
          </cell>
        </row>
        <row r="267">
          <cell r="A267">
            <v>201</v>
          </cell>
          <cell r="B267" t="str">
            <v>買掛金</v>
          </cell>
          <cell r="E267">
            <v>6421</v>
          </cell>
          <cell r="F267" t="str">
            <v>2016421</v>
          </cell>
          <cell r="G267" t="str">
            <v>㈱ファースト</v>
          </cell>
        </row>
        <row r="268">
          <cell r="A268">
            <v>201</v>
          </cell>
          <cell r="B268" t="str">
            <v>買掛金</v>
          </cell>
          <cell r="E268">
            <v>6423</v>
          </cell>
          <cell r="F268" t="str">
            <v>2016423</v>
          </cell>
          <cell r="G268" t="str">
            <v>福田清</v>
          </cell>
        </row>
        <row r="269">
          <cell r="A269">
            <v>201</v>
          </cell>
          <cell r="B269" t="str">
            <v>買掛金</v>
          </cell>
          <cell r="E269">
            <v>6425</v>
          </cell>
          <cell r="F269" t="str">
            <v>2016425</v>
          </cell>
          <cell r="G269" t="str">
            <v>㈲フォーオール</v>
          </cell>
        </row>
        <row r="270">
          <cell r="A270">
            <v>201</v>
          </cell>
          <cell r="B270" t="str">
            <v>買掛金</v>
          </cell>
          <cell r="E270">
            <v>6427</v>
          </cell>
          <cell r="F270" t="str">
            <v>2016427</v>
          </cell>
          <cell r="G270" t="str">
            <v>㈱フォーエヌ</v>
          </cell>
        </row>
        <row r="271">
          <cell r="A271">
            <v>201</v>
          </cell>
          <cell r="B271" t="str">
            <v>買掛金</v>
          </cell>
          <cell r="E271">
            <v>6443</v>
          </cell>
          <cell r="F271" t="str">
            <v>2016443</v>
          </cell>
          <cell r="G271" t="str">
            <v>㈱プリズム・ジャパン</v>
          </cell>
        </row>
        <row r="272">
          <cell r="A272">
            <v>201</v>
          </cell>
          <cell r="B272" t="str">
            <v>買掛金</v>
          </cell>
          <cell r="E272">
            <v>6801</v>
          </cell>
          <cell r="F272" t="str">
            <v>2016801</v>
          </cell>
          <cell r="G272" t="str">
            <v>㈲程田電気商会</v>
          </cell>
        </row>
        <row r="273">
          <cell r="A273">
            <v>201</v>
          </cell>
          <cell r="B273" t="str">
            <v>買掛金</v>
          </cell>
          <cell r="E273">
            <v>6802</v>
          </cell>
          <cell r="F273" t="str">
            <v>2016802</v>
          </cell>
          <cell r="G273" t="str">
            <v>㈱北関スクリーン</v>
          </cell>
        </row>
        <row r="274">
          <cell r="A274">
            <v>201</v>
          </cell>
          <cell r="B274" t="str">
            <v>買掛金</v>
          </cell>
          <cell r="E274">
            <v>6806</v>
          </cell>
          <cell r="F274" t="str">
            <v>2016806</v>
          </cell>
          <cell r="G274" t="str">
            <v>㈱宝生</v>
          </cell>
        </row>
        <row r="275">
          <cell r="A275">
            <v>201</v>
          </cell>
          <cell r="B275" t="str">
            <v>買掛金</v>
          </cell>
          <cell r="E275">
            <v>7002</v>
          </cell>
          <cell r="F275" t="str">
            <v>2017002</v>
          </cell>
          <cell r="G275" t="str">
            <v>㈱マルタン</v>
          </cell>
        </row>
        <row r="276">
          <cell r="A276">
            <v>201</v>
          </cell>
          <cell r="B276" t="str">
            <v>買掛金</v>
          </cell>
          <cell r="E276">
            <v>7008</v>
          </cell>
          <cell r="F276" t="str">
            <v>2017008</v>
          </cell>
          <cell r="G276" t="str">
            <v>㈲前林商店</v>
          </cell>
        </row>
        <row r="277">
          <cell r="A277">
            <v>201</v>
          </cell>
          <cell r="B277" t="str">
            <v>買掛金</v>
          </cell>
          <cell r="E277">
            <v>7015</v>
          </cell>
          <cell r="F277" t="str">
            <v>2017015</v>
          </cell>
          <cell r="G277" t="str">
            <v>松坂屋建材㈱行田店</v>
          </cell>
        </row>
        <row r="278">
          <cell r="A278">
            <v>201</v>
          </cell>
          <cell r="B278" t="str">
            <v>買掛金</v>
          </cell>
          <cell r="E278">
            <v>7201</v>
          </cell>
          <cell r="F278" t="str">
            <v>2017201</v>
          </cell>
          <cell r="G278" t="str">
            <v>三米施工</v>
          </cell>
        </row>
        <row r="279">
          <cell r="A279">
            <v>201</v>
          </cell>
          <cell r="B279" t="str">
            <v>買掛金</v>
          </cell>
          <cell r="E279">
            <v>7204</v>
          </cell>
          <cell r="F279" t="str">
            <v>2017204</v>
          </cell>
          <cell r="G279" t="str">
            <v>㈱ミワックス</v>
          </cell>
        </row>
        <row r="280">
          <cell r="A280">
            <v>201</v>
          </cell>
          <cell r="B280" t="str">
            <v>買掛金</v>
          </cell>
          <cell r="E280">
            <v>7207</v>
          </cell>
          <cell r="F280" t="str">
            <v>2017207</v>
          </cell>
          <cell r="G280" t="str">
            <v>㈲三浦建工</v>
          </cell>
        </row>
        <row r="281">
          <cell r="A281">
            <v>201</v>
          </cell>
          <cell r="B281" t="str">
            <v>買掛金</v>
          </cell>
          <cell r="E281">
            <v>7216</v>
          </cell>
          <cell r="F281" t="str">
            <v>2017216</v>
          </cell>
          <cell r="G281" t="str">
            <v>宮城アルミ山形</v>
          </cell>
        </row>
        <row r="282">
          <cell r="A282">
            <v>201</v>
          </cell>
          <cell r="B282" t="str">
            <v>買掛金</v>
          </cell>
          <cell r="E282">
            <v>7803</v>
          </cell>
          <cell r="F282" t="str">
            <v>2017803</v>
          </cell>
          <cell r="G282" t="str">
            <v>Ｍクラフト</v>
          </cell>
        </row>
        <row r="283">
          <cell r="A283">
            <v>201</v>
          </cell>
          <cell r="B283" t="str">
            <v>買掛金</v>
          </cell>
          <cell r="E283">
            <v>8006</v>
          </cell>
          <cell r="F283" t="str">
            <v>2018006</v>
          </cell>
          <cell r="G283" t="str">
            <v>㈱山善営業1部営業2課</v>
          </cell>
        </row>
        <row r="284">
          <cell r="A284">
            <v>201</v>
          </cell>
          <cell r="B284" t="str">
            <v>買掛金</v>
          </cell>
          <cell r="E284">
            <v>8020</v>
          </cell>
          <cell r="F284" t="str">
            <v>2018020</v>
          </cell>
          <cell r="G284" t="str">
            <v>楽天ｼｮｯﾌﾟ</v>
          </cell>
        </row>
        <row r="285">
          <cell r="A285">
            <v>201</v>
          </cell>
          <cell r="B285" t="str">
            <v>買掛金</v>
          </cell>
          <cell r="E285">
            <v>8206</v>
          </cell>
          <cell r="F285" t="str">
            <v>2018206</v>
          </cell>
          <cell r="G285" t="str">
            <v>㈱ユニビジョン</v>
          </cell>
        </row>
        <row r="286">
          <cell r="A286">
            <v>201</v>
          </cell>
          <cell r="B286" t="str">
            <v>買掛金</v>
          </cell>
          <cell r="E286">
            <v>8804</v>
          </cell>
          <cell r="F286" t="str">
            <v>2018804</v>
          </cell>
          <cell r="G286" t="str">
            <v>㈱ワイズサイン</v>
          </cell>
        </row>
        <row r="287">
          <cell r="A287">
            <v>201</v>
          </cell>
          <cell r="B287" t="str">
            <v>買掛金</v>
          </cell>
          <cell r="E287">
            <v>8808</v>
          </cell>
          <cell r="F287" t="str">
            <v>2018808</v>
          </cell>
          <cell r="G287" t="str">
            <v>楽天トﾗﾍﾞﾙ㈱</v>
          </cell>
        </row>
        <row r="288">
          <cell r="A288">
            <v>201</v>
          </cell>
          <cell r="B288" t="str">
            <v>買掛金</v>
          </cell>
          <cell r="E288">
            <v>9801</v>
          </cell>
          <cell r="F288" t="str">
            <v>2019801</v>
          </cell>
          <cell r="G288" t="str">
            <v>ロイヤルﾎｰﾑｾﾝﾀｰ</v>
          </cell>
        </row>
        <row r="289">
          <cell r="A289">
            <v>202</v>
          </cell>
          <cell r="B289" t="str">
            <v>短期借入金</v>
          </cell>
          <cell r="F289" t="str">
            <v>202</v>
          </cell>
        </row>
        <row r="290">
          <cell r="A290">
            <v>204</v>
          </cell>
          <cell r="B290" t="str">
            <v>未払金</v>
          </cell>
          <cell r="E290">
            <v>1</v>
          </cell>
          <cell r="F290" t="str">
            <v>2041</v>
          </cell>
          <cell r="G290" t="str">
            <v>三和商研　経費</v>
          </cell>
        </row>
        <row r="291">
          <cell r="A291">
            <v>204</v>
          </cell>
          <cell r="B291" t="str">
            <v>未払金</v>
          </cell>
          <cell r="E291">
            <v>4</v>
          </cell>
          <cell r="F291" t="str">
            <v>2044</v>
          </cell>
          <cell r="G291" t="str">
            <v>中国</v>
          </cell>
        </row>
        <row r="292">
          <cell r="A292">
            <v>204</v>
          </cell>
          <cell r="B292" t="str">
            <v>未払金</v>
          </cell>
          <cell r="E292">
            <v>10</v>
          </cell>
          <cell r="F292" t="str">
            <v>20410</v>
          </cell>
          <cell r="G292" t="str">
            <v>浅沼</v>
          </cell>
        </row>
        <row r="293">
          <cell r="A293">
            <v>204</v>
          </cell>
          <cell r="B293" t="str">
            <v>未払金</v>
          </cell>
          <cell r="E293">
            <v>11</v>
          </cell>
          <cell r="F293" t="str">
            <v>20411</v>
          </cell>
          <cell r="G293" t="str">
            <v>ｱｯﾌﾟﾙ</v>
          </cell>
        </row>
        <row r="294">
          <cell r="A294">
            <v>204</v>
          </cell>
          <cell r="B294" t="str">
            <v>未払金</v>
          </cell>
          <cell r="E294">
            <v>40</v>
          </cell>
          <cell r="F294" t="str">
            <v>20440</v>
          </cell>
          <cell r="G294" t="str">
            <v>Ｍクラフト</v>
          </cell>
        </row>
        <row r="295">
          <cell r="A295">
            <v>204</v>
          </cell>
          <cell r="B295" t="str">
            <v>未払金</v>
          </cell>
          <cell r="E295">
            <v>41</v>
          </cell>
          <cell r="F295" t="str">
            <v>20441</v>
          </cell>
          <cell r="G295" t="str">
            <v>エルテック</v>
          </cell>
        </row>
        <row r="296">
          <cell r="A296">
            <v>204</v>
          </cell>
          <cell r="B296" t="str">
            <v>未払金</v>
          </cell>
          <cell r="E296">
            <v>42</v>
          </cell>
          <cell r="F296" t="str">
            <v>20442</v>
          </cell>
          <cell r="G296" t="str">
            <v>エルム室内㈱</v>
          </cell>
        </row>
        <row r="297">
          <cell r="A297">
            <v>204</v>
          </cell>
          <cell r="B297" t="str">
            <v>未払金</v>
          </cell>
          <cell r="E297">
            <v>50</v>
          </cell>
          <cell r="F297" t="str">
            <v>20450</v>
          </cell>
          <cell r="G297" t="str">
            <v>大石社労士</v>
          </cell>
        </row>
        <row r="298">
          <cell r="A298">
            <v>204</v>
          </cell>
          <cell r="B298" t="str">
            <v>未払金</v>
          </cell>
          <cell r="E298">
            <v>51</v>
          </cell>
          <cell r="F298" t="str">
            <v>20451</v>
          </cell>
          <cell r="G298" t="str">
            <v>大里</v>
          </cell>
        </row>
        <row r="299">
          <cell r="A299">
            <v>204</v>
          </cell>
          <cell r="B299" t="str">
            <v>未払金</v>
          </cell>
          <cell r="E299">
            <v>52</v>
          </cell>
          <cell r="F299" t="str">
            <v>20452</v>
          </cell>
          <cell r="G299" t="str">
            <v>大塚商会</v>
          </cell>
        </row>
        <row r="300">
          <cell r="A300">
            <v>204</v>
          </cell>
          <cell r="B300" t="str">
            <v>未払金</v>
          </cell>
          <cell r="E300">
            <v>53</v>
          </cell>
          <cell r="F300" t="str">
            <v>20453</v>
          </cell>
          <cell r="G300" t="str">
            <v>岡村製作所</v>
          </cell>
        </row>
        <row r="301">
          <cell r="A301">
            <v>204</v>
          </cell>
          <cell r="B301" t="str">
            <v>未払金</v>
          </cell>
          <cell r="E301">
            <v>120</v>
          </cell>
          <cell r="F301" t="str">
            <v>204120</v>
          </cell>
          <cell r="G301" t="str">
            <v>北本グリーンセンター</v>
          </cell>
        </row>
        <row r="302">
          <cell r="A302">
            <v>204</v>
          </cell>
          <cell r="B302" t="str">
            <v>未払金</v>
          </cell>
          <cell r="E302">
            <v>130</v>
          </cell>
          <cell r="F302" t="str">
            <v>204130</v>
          </cell>
          <cell r="G302" t="str">
            <v>久保ﾃﾞｻﾞｲﾝｽﾀｼﾞｵ</v>
          </cell>
        </row>
        <row r="303">
          <cell r="A303">
            <v>204</v>
          </cell>
          <cell r="B303" t="str">
            <v>未払金</v>
          </cell>
          <cell r="E303">
            <v>131</v>
          </cell>
          <cell r="F303" t="str">
            <v>204131</v>
          </cell>
          <cell r="G303" t="str">
            <v>ｸﾏﾋﾗ</v>
          </cell>
        </row>
        <row r="304">
          <cell r="A304">
            <v>204</v>
          </cell>
          <cell r="B304" t="str">
            <v>未払金</v>
          </cell>
          <cell r="E304">
            <v>132</v>
          </cell>
          <cell r="F304" t="str">
            <v>204132</v>
          </cell>
          <cell r="G304" t="str">
            <v>熊谷通運</v>
          </cell>
        </row>
        <row r="305">
          <cell r="A305">
            <v>204</v>
          </cell>
          <cell r="B305" t="str">
            <v>未払金</v>
          </cell>
          <cell r="E305">
            <v>133</v>
          </cell>
          <cell r="F305" t="str">
            <v>204133</v>
          </cell>
          <cell r="G305" t="str">
            <v>群馬日産太田</v>
          </cell>
        </row>
        <row r="306">
          <cell r="A306">
            <v>204</v>
          </cell>
          <cell r="B306" t="str">
            <v>未払金</v>
          </cell>
          <cell r="E306">
            <v>140</v>
          </cell>
          <cell r="F306" t="str">
            <v>204140</v>
          </cell>
          <cell r="G306" t="str">
            <v>ｹﾝ鏡装</v>
          </cell>
        </row>
        <row r="307">
          <cell r="A307">
            <v>204</v>
          </cell>
          <cell r="B307" t="str">
            <v>未払金</v>
          </cell>
          <cell r="E307">
            <v>150</v>
          </cell>
          <cell r="F307" t="str">
            <v>204150</v>
          </cell>
          <cell r="G307" t="str">
            <v>コスモプリンツ㈱</v>
          </cell>
        </row>
        <row r="308">
          <cell r="A308">
            <v>204</v>
          </cell>
          <cell r="B308" t="str">
            <v>未払金</v>
          </cell>
          <cell r="E308">
            <v>151</v>
          </cell>
          <cell r="F308" t="str">
            <v>204151</v>
          </cell>
          <cell r="G308" t="str">
            <v>コウエイ建装</v>
          </cell>
        </row>
        <row r="309">
          <cell r="A309">
            <v>204</v>
          </cell>
          <cell r="B309" t="str">
            <v>未払金</v>
          </cell>
          <cell r="E309">
            <v>210</v>
          </cell>
          <cell r="F309" t="str">
            <v>204210</v>
          </cell>
          <cell r="G309" t="str">
            <v>埼玉トヨペット</v>
          </cell>
        </row>
        <row r="310">
          <cell r="A310">
            <v>204</v>
          </cell>
          <cell r="B310" t="str">
            <v>未払金</v>
          </cell>
          <cell r="E310">
            <v>211</v>
          </cell>
          <cell r="F310" t="str">
            <v>204211</v>
          </cell>
          <cell r="G310" t="str">
            <v>サガワ</v>
          </cell>
        </row>
        <row r="311">
          <cell r="A311">
            <v>204</v>
          </cell>
          <cell r="B311" t="str">
            <v>未払金</v>
          </cell>
          <cell r="E311">
            <v>212</v>
          </cell>
          <cell r="F311" t="str">
            <v>204212</v>
          </cell>
          <cell r="G311" t="str">
            <v>三電</v>
          </cell>
        </row>
        <row r="312">
          <cell r="A312">
            <v>204</v>
          </cell>
          <cell r="B312" t="str">
            <v>未払金</v>
          </cell>
          <cell r="E312">
            <v>213</v>
          </cell>
          <cell r="F312" t="str">
            <v>204213</v>
          </cell>
          <cell r="G312" t="str">
            <v>三和ｻｰﾋﾞｽ車両ﾘｰｽ</v>
          </cell>
        </row>
        <row r="313">
          <cell r="A313">
            <v>204</v>
          </cell>
          <cell r="B313" t="str">
            <v>未払金</v>
          </cell>
          <cell r="E313">
            <v>214</v>
          </cell>
          <cell r="F313" t="str">
            <v>204214</v>
          </cell>
          <cell r="G313" t="str">
            <v>ｻﾝﾜﾌﾟﾗﾝﾆﾝｸﾞ</v>
          </cell>
        </row>
        <row r="314">
          <cell r="A314">
            <v>204</v>
          </cell>
          <cell r="B314" t="str">
            <v>未払金</v>
          </cell>
          <cell r="E314">
            <v>215</v>
          </cell>
          <cell r="F314" t="str">
            <v>204215</v>
          </cell>
          <cell r="G314" t="str">
            <v>佐川急便</v>
          </cell>
        </row>
        <row r="315">
          <cell r="A315">
            <v>204</v>
          </cell>
          <cell r="B315" t="str">
            <v>未払金</v>
          </cell>
          <cell r="E315">
            <v>216</v>
          </cell>
          <cell r="F315" t="str">
            <v>204216</v>
          </cell>
          <cell r="G315" t="str">
            <v>三甲㈱太田営業所</v>
          </cell>
        </row>
        <row r="316">
          <cell r="A316">
            <v>204</v>
          </cell>
          <cell r="B316" t="str">
            <v>未払金</v>
          </cell>
          <cell r="E316">
            <v>220</v>
          </cell>
          <cell r="F316" t="str">
            <v>204220</v>
          </cell>
          <cell r="G316" t="str">
            <v>出版文化社</v>
          </cell>
        </row>
        <row r="317">
          <cell r="A317">
            <v>204</v>
          </cell>
          <cell r="B317" t="str">
            <v>未払金</v>
          </cell>
          <cell r="E317">
            <v>221</v>
          </cell>
          <cell r="F317" t="str">
            <v>204221</v>
          </cell>
          <cell r="G317" t="str">
            <v>ｼﾞｬｯｸｽ</v>
          </cell>
        </row>
        <row r="318">
          <cell r="A318">
            <v>204</v>
          </cell>
          <cell r="B318" t="str">
            <v>未払金</v>
          </cell>
          <cell r="E318">
            <v>222</v>
          </cell>
          <cell r="F318" t="str">
            <v>204222</v>
          </cell>
          <cell r="G318" t="str">
            <v>ｼﾞｬｽﾄ</v>
          </cell>
        </row>
        <row r="319">
          <cell r="A319">
            <v>204</v>
          </cell>
          <cell r="B319" t="str">
            <v>未払金</v>
          </cell>
          <cell r="E319">
            <v>223</v>
          </cell>
          <cell r="F319" t="str">
            <v>204223</v>
          </cell>
          <cell r="G319" t="str">
            <v>澁澤倉庫</v>
          </cell>
        </row>
        <row r="320">
          <cell r="A320">
            <v>204</v>
          </cell>
          <cell r="B320" t="str">
            <v>未払金</v>
          </cell>
          <cell r="E320">
            <v>225</v>
          </cell>
          <cell r="F320" t="str">
            <v>204225</v>
          </cell>
          <cell r="G320" t="str">
            <v>JCB</v>
          </cell>
        </row>
        <row r="321">
          <cell r="A321">
            <v>204</v>
          </cell>
          <cell r="B321" t="str">
            <v>未払金</v>
          </cell>
          <cell r="E321">
            <v>230</v>
          </cell>
          <cell r="F321" t="str">
            <v>204230</v>
          </cell>
          <cell r="G321" t="str">
            <v>ｽｰﾊﾟｰﾒｲﾄ</v>
          </cell>
        </row>
        <row r="322">
          <cell r="A322">
            <v>204</v>
          </cell>
          <cell r="B322" t="str">
            <v>未払金</v>
          </cell>
          <cell r="E322">
            <v>240</v>
          </cell>
          <cell r="F322" t="str">
            <v>204240</v>
          </cell>
          <cell r="G322" t="str">
            <v>セコム</v>
          </cell>
        </row>
        <row r="323">
          <cell r="A323">
            <v>204</v>
          </cell>
          <cell r="B323" t="str">
            <v>未払金</v>
          </cell>
          <cell r="E323">
            <v>310</v>
          </cell>
          <cell r="F323" t="str">
            <v>204310</v>
          </cell>
          <cell r="G323" t="str">
            <v>ﾀﾊﾞﾀ設備</v>
          </cell>
        </row>
        <row r="324">
          <cell r="A324">
            <v>204</v>
          </cell>
          <cell r="B324" t="str">
            <v>未払金</v>
          </cell>
          <cell r="E324">
            <v>311</v>
          </cell>
          <cell r="F324" t="str">
            <v>204311</v>
          </cell>
          <cell r="G324" t="str">
            <v>ﾀﾞｲｵｰｽﾞ</v>
          </cell>
        </row>
        <row r="325">
          <cell r="A325">
            <v>204</v>
          </cell>
          <cell r="B325" t="str">
            <v>未払金</v>
          </cell>
          <cell r="E325">
            <v>320</v>
          </cell>
          <cell r="F325" t="str">
            <v>204320</v>
          </cell>
          <cell r="G325" t="str">
            <v>ﾁｬﾚｼﾞｮﾌﾞ</v>
          </cell>
        </row>
        <row r="326">
          <cell r="A326">
            <v>204</v>
          </cell>
          <cell r="B326" t="str">
            <v>未払金</v>
          </cell>
          <cell r="E326">
            <v>340</v>
          </cell>
          <cell r="F326" t="str">
            <v>204340</v>
          </cell>
          <cell r="G326" t="str">
            <v>帝国ﾃﾞｰﾀﾊﾞﾝｸ</v>
          </cell>
        </row>
        <row r="327">
          <cell r="A327">
            <v>204</v>
          </cell>
          <cell r="B327" t="str">
            <v>未払金</v>
          </cell>
          <cell r="E327">
            <v>341</v>
          </cell>
          <cell r="F327" t="str">
            <v>204341</v>
          </cell>
          <cell r="G327" t="str">
            <v>店装技研</v>
          </cell>
        </row>
        <row r="328">
          <cell r="A328">
            <v>204</v>
          </cell>
          <cell r="B328" t="str">
            <v>未払金</v>
          </cell>
          <cell r="E328">
            <v>342</v>
          </cell>
          <cell r="F328" t="str">
            <v>204342</v>
          </cell>
          <cell r="G328" t="str">
            <v>DHLジャパン</v>
          </cell>
        </row>
        <row r="329">
          <cell r="A329">
            <v>204</v>
          </cell>
          <cell r="B329" t="str">
            <v>未払金</v>
          </cell>
          <cell r="E329">
            <v>350</v>
          </cell>
          <cell r="F329" t="str">
            <v>204350</v>
          </cell>
          <cell r="G329" t="str">
            <v>東京マシン</v>
          </cell>
        </row>
        <row r="330">
          <cell r="A330">
            <v>204</v>
          </cell>
          <cell r="B330" t="str">
            <v>未払金</v>
          </cell>
          <cell r="E330">
            <v>351</v>
          </cell>
          <cell r="F330" t="str">
            <v>204351</v>
          </cell>
          <cell r="G330" t="str">
            <v>東京シンコーレザー㈱</v>
          </cell>
        </row>
        <row r="331">
          <cell r="A331">
            <v>204</v>
          </cell>
          <cell r="B331" t="str">
            <v>未払金</v>
          </cell>
          <cell r="E331">
            <v>352</v>
          </cell>
          <cell r="F331" t="str">
            <v>204352</v>
          </cell>
          <cell r="G331" t="str">
            <v>トヨタＬ＆Ｆ</v>
          </cell>
        </row>
        <row r="332">
          <cell r="A332">
            <v>204</v>
          </cell>
          <cell r="B332" t="str">
            <v>未払金</v>
          </cell>
          <cell r="E332">
            <v>353</v>
          </cell>
          <cell r="F332" t="str">
            <v>204353</v>
          </cell>
          <cell r="G332" t="str">
            <v>ﾄﾖﾀｶﾛｰﾗ新埼玉</v>
          </cell>
        </row>
        <row r="333">
          <cell r="A333">
            <v>204</v>
          </cell>
          <cell r="B333" t="str">
            <v>未払金</v>
          </cell>
          <cell r="E333">
            <v>410</v>
          </cell>
          <cell r="F333" t="str">
            <v>204410</v>
          </cell>
          <cell r="G333" t="str">
            <v>中島商会</v>
          </cell>
        </row>
        <row r="334">
          <cell r="A334">
            <v>204</v>
          </cell>
          <cell r="B334" t="str">
            <v>未払金</v>
          </cell>
          <cell r="E334">
            <v>411</v>
          </cell>
          <cell r="F334" t="str">
            <v>204411</v>
          </cell>
          <cell r="G334" t="str">
            <v>中沢ﾄｰﾀﾘｱ</v>
          </cell>
        </row>
        <row r="335">
          <cell r="A335">
            <v>204</v>
          </cell>
          <cell r="B335" t="str">
            <v>未払金</v>
          </cell>
          <cell r="E335">
            <v>412</v>
          </cell>
          <cell r="F335" t="str">
            <v>204412</v>
          </cell>
          <cell r="G335" t="str">
            <v>ナショナル消防化学</v>
          </cell>
        </row>
        <row r="336">
          <cell r="A336">
            <v>204</v>
          </cell>
          <cell r="B336" t="str">
            <v>未払金</v>
          </cell>
          <cell r="E336">
            <v>420</v>
          </cell>
          <cell r="F336" t="str">
            <v>204420</v>
          </cell>
          <cell r="G336" t="str">
            <v>日本ヒルティ</v>
          </cell>
        </row>
        <row r="337">
          <cell r="A337">
            <v>204</v>
          </cell>
          <cell r="B337" t="str">
            <v>未払金</v>
          </cell>
          <cell r="E337">
            <v>520</v>
          </cell>
          <cell r="F337" t="str">
            <v>204520</v>
          </cell>
          <cell r="G337" t="str">
            <v>東日本宇佐美</v>
          </cell>
        </row>
        <row r="338">
          <cell r="A338">
            <v>204</v>
          </cell>
          <cell r="B338" t="str">
            <v>未払金</v>
          </cell>
          <cell r="E338">
            <v>530</v>
          </cell>
          <cell r="F338" t="str">
            <v>204530</v>
          </cell>
          <cell r="G338" t="str">
            <v>福田電気管理事務所</v>
          </cell>
        </row>
        <row r="339">
          <cell r="A339">
            <v>204</v>
          </cell>
          <cell r="B339" t="str">
            <v>未払金</v>
          </cell>
          <cell r="E339">
            <v>531</v>
          </cell>
          <cell r="F339" t="str">
            <v>204531</v>
          </cell>
          <cell r="G339" t="str">
            <v>富士ｾﾞﾛｯｸｽ</v>
          </cell>
        </row>
        <row r="340">
          <cell r="A340">
            <v>204</v>
          </cell>
          <cell r="B340" t="str">
            <v>未払金</v>
          </cell>
          <cell r="E340">
            <v>610</v>
          </cell>
          <cell r="F340" t="str">
            <v>204610</v>
          </cell>
          <cell r="G340" t="str">
            <v>前林</v>
          </cell>
        </row>
        <row r="341">
          <cell r="A341">
            <v>204</v>
          </cell>
          <cell r="B341" t="str">
            <v>未払金</v>
          </cell>
          <cell r="E341">
            <v>611</v>
          </cell>
          <cell r="F341" t="str">
            <v>204611</v>
          </cell>
          <cell r="G341" t="str">
            <v>マミー</v>
          </cell>
        </row>
        <row r="342">
          <cell r="A342">
            <v>204</v>
          </cell>
          <cell r="B342" t="str">
            <v>未払金</v>
          </cell>
          <cell r="E342">
            <v>612</v>
          </cell>
          <cell r="F342" t="str">
            <v>204612</v>
          </cell>
          <cell r="G342" t="str">
            <v>マルタン</v>
          </cell>
        </row>
        <row r="343">
          <cell r="A343">
            <v>204</v>
          </cell>
          <cell r="B343" t="str">
            <v>未払金</v>
          </cell>
          <cell r="E343">
            <v>620</v>
          </cell>
          <cell r="F343" t="str">
            <v>204620</v>
          </cell>
          <cell r="G343" t="str">
            <v>三井住友</v>
          </cell>
        </row>
        <row r="344">
          <cell r="A344">
            <v>204</v>
          </cell>
          <cell r="B344" t="str">
            <v>未払金</v>
          </cell>
          <cell r="E344">
            <v>621</v>
          </cell>
          <cell r="F344" t="str">
            <v>204621</v>
          </cell>
          <cell r="G344" t="str">
            <v>三菱ふそうﾄﾗｯｸ・ﾊﾞｽ</v>
          </cell>
        </row>
        <row r="345">
          <cell r="A345">
            <v>204</v>
          </cell>
          <cell r="B345" t="str">
            <v>未払金</v>
          </cell>
          <cell r="E345">
            <v>710</v>
          </cell>
          <cell r="F345" t="str">
            <v>204710</v>
          </cell>
          <cell r="G345" t="str">
            <v>ヤマト運輸</v>
          </cell>
        </row>
        <row r="346">
          <cell r="A346">
            <v>204</v>
          </cell>
          <cell r="B346" t="str">
            <v>未払金</v>
          </cell>
          <cell r="E346">
            <v>810</v>
          </cell>
          <cell r="F346" t="str">
            <v>204810</v>
          </cell>
          <cell r="G346" t="str">
            <v>楽天</v>
          </cell>
        </row>
        <row r="347">
          <cell r="A347">
            <v>204</v>
          </cell>
          <cell r="B347" t="str">
            <v>未払金</v>
          </cell>
          <cell r="E347">
            <v>811</v>
          </cell>
          <cell r="F347" t="str">
            <v>204811</v>
          </cell>
          <cell r="G347" t="str">
            <v>ランスタッド</v>
          </cell>
        </row>
        <row r="348">
          <cell r="A348">
            <v>204</v>
          </cell>
          <cell r="B348" t="str">
            <v>未払金</v>
          </cell>
          <cell r="E348">
            <v>820</v>
          </cell>
          <cell r="F348" t="str">
            <v>204820</v>
          </cell>
          <cell r="G348" t="str">
            <v>りそなVISA</v>
          </cell>
        </row>
        <row r="349">
          <cell r="A349">
            <v>204</v>
          </cell>
          <cell r="B349" t="str">
            <v>未払金</v>
          </cell>
          <cell r="E349">
            <v>850</v>
          </cell>
          <cell r="F349" t="str">
            <v>204850</v>
          </cell>
          <cell r="G349" t="str">
            <v>ロフティー</v>
          </cell>
        </row>
        <row r="350">
          <cell r="A350">
            <v>204</v>
          </cell>
          <cell r="B350" t="str">
            <v>未払金</v>
          </cell>
          <cell r="E350">
            <v>999</v>
          </cell>
          <cell r="F350" t="str">
            <v>204999</v>
          </cell>
          <cell r="G350" t="str">
            <v>その他</v>
          </cell>
        </row>
        <row r="351">
          <cell r="A351">
            <v>204</v>
          </cell>
          <cell r="B351" t="str">
            <v>未払金</v>
          </cell>
          <cell r="E351">
            <v>1500</v>
          </cell>
          <cell r="F351" t="str">
            <v>2041500</v>
          </cell>
          <cell r="G351" t="str">
            <v>ＥＴＣ</v>
          </cell>
        </row>
        <row r="352">
          <cell r="A352">
            <v>204</v>
          </cell>
          <cell r="B352" t="str">
            <v>未払金</v>
          </cell>
          <cell r="E352">
            <v>1501</v>
          </cell>
          <cell r="F352" t="str">
            <v>2041501</v>
          </cell>
          <cell r="G352" t="str">
            <v>ＮＴＴドコモ</v>
          </cell>
        </row>
        <row r="353">
          <cell r="A353">
            <v>204</v>
          </cell>
          <cell r="B353" t="str">
            <v>未払金</v>
          </cell>
          <cell r="E353">
            <v>1502</v>
          </cell>
          <cell r="F353" t="str">
            <v>2041502</v>
          </cell>
          <cell r="G353" t="str">
            <v>ＫＤＤＩ</v>
          </cell>
        </row>
        <row r="354">
          <cell r="A354">
            <v>204</v>
          </cell>
          <cell r="B354" t="str">
            <v>未払金</v>
          </cell>
          <cell r="E354">
            <v>1503</v>
          </cell>
          <cell r="F354" t="str">
            <v>2041503</v>
          </cell>
          <cell r="G354" t="str">
            <v>ガス料金</v>
          </cell>
        </row>
        <row r="355">
          <cell r="A355">
            <v>204</v>
          </cell>
          <cell r="B355" t="str">
            <v>未払金</v>
          </cell>
          <cell r="E355">
            <v>1504</v>
          </cell>
          <cell r="F355" t="str">
            <v>2041504</v>
          </cell>
          <cell r="G355" t="str">
            <v>りそな振込手数料</v>
          </cell>
        </row>
        <row r="356">
          <cell r="A356">
            <v>204</v>
          </cell>
          <cell r="B356" t="str">
            <v>未払金</v>
          </cell>
          <cell r="E356">
            <v>1505</v>
          </cell>
          <cell r="F356" t="str">
            <v>2041505</v>
          </cell>
          <cell r="G356" t="str">
            <v>社会保険料</v>
          </cell>
        </row>
        <row r="357">
          <cell r="A357">
            <v>204</v>
          </cell>
          <cell r="B357" t="str">
            <v>未払金</v>
          </cell>
          <cell r="E357">
            <v>1506</v>
          </cell>
          <cell r="F357" t="str">
            <v>2041506</v>
          </cell>
          <cell r="G357" t="str">
            <v>電気料金</v>
          </cell>
        </row>
        <row r="358">
          <cell r="A358">
            <v>207</v>
          </cell>
          <cell r="B358" t="str">
            <v>仮受金</v>
          </cell>
          <cell r="E358">
            <v>1</v>
          </cell>
          <cell r="F358" t="str">
            <v>2071</v>
          </cell>
          <cell r="G358" t="str">
            <v>㈱三和商研</v>
          </cell>
        </row>
        <row r="359">
          <cell r="A359">
            <v>207</v>
          </cell>
          <cell r="B359" t="str">
            <v>仮受金</v>
          </cell>
          <cell r="E359">
            <v>4</v>
          </cell>
          <cell r="F359" t="str">
            <v>2074</v>
          </cell>
          <cell r="G359" t="str">
            <v>三研商貿有限公司</v>
          </cell>
        </row>
        <row r="360">
          <cell r="A360">
            <v>208</v>
          </cell>
          <cell r="B360" t="str">
            <v>預り金</v>
          </cell>
          <cell r="E360">
            <v>1</v>
          </cell>
          <cell r="F360" t="str">
            <v>2081</v>
          </cell>
          <cell r="G360" t="str">
            <v>給与源泉所得税</v>
          </cell>
        </row>
        <row r="361">
          <cell r="A361">
            <v>208</v>
          </cell>
          <cell r="B361" t="str">
            <v>預り金</v>
          </cell>
          <cell r="E361">
            <v>2</v>
          </cell>
          <cell r="F361" t="str">
            <v>2082</v>
          </cell>
          <cell r="G361" t="str">
            <v>飯島税理士</v>
          </cell>
        </row>
        <row r="362">
          <cell r="A362">
            <v>208</v>
          </cell>
          <cell r="B362" t="str">
            <v>預り金</v>
          </cell>
          <cell r="E362">
            <v>3</v>
          </cell>
          <cell r="F362" t="str">
            <v>2083</v>
          </cell>
          <cell r="G362" t="str">
            <v>大石社労士</v>
          </cell>
        </row>
        <row r="363">
          <cell r="A363">
            <v>208</v>
          </cell>
          <cell r="B363" t="str">
            <v>預り金</v>
          </cell>
          <cell r="E363">
            <v>4</v>
          </cell>
          <cell r="F363" t="str">
            <v>2084</v>
          </cell>
          <cell r="G363" t="str">
            <v>住民税</v>
          </cell>
        </row>
        <row r="364">
          <cell r="A364">
            <v>208</v>
          </cell>
          <cell r="B364" t="str">
            <v>預り金</v>
          </cell>
          <cell r="E364">
            <v>5</v>
          </cell>
          <cell r="F364" t="str">
            <v>2085</v>
          </cell>
          <cell r="G364" t="str">
            <v>健保・介護保険料</v>
          </cell>
        </row>
        <row r="365">
          <cell r="A365">
            <v>208</v>
          </cell>
          <cell r="B365" t="str">
            <v>預り金</v>
          </cell>
          <cell r="E365">
            <v>6</v>
          </cell>
          <cell r="F365" t="str">
            <v>2086</v>
          </cell>
          <cell r="G365" t="str">
            <v>厚生年金保険料</v>
          </cell>
        </row>
        <row r="366">
          <cell r="A366">
            <v>208</v>
          </cell>
          <cell r="B366" t="str">
            <v>預り金</v>
          </cell>
          <cell r="E366">
            <v>8</v>
          </cell>
          <cell r="F366" t="str">
            <v>2088</v>
          </cell>
          <cell r="G366" t="str">
            <v>司法書士田中事務所</v>
          </cell>
        </row>
        <row r="367">
          <cell r="A367">
            <v>208</v>
          </cell>
          <cell r="B367" t="str">
            <v>預り金</v>
          </cell>
          <cell r="E367">
            <v>10</v>
          </cell>
          <cell r="F367" t="str">
            <v>20810</v>
          </cell>
          <cell r="G367" t="str">
            <v>その他</v>
          </cell>
        </row>
        <row r="368">
          <cell r="A368">
            <v>208</v>
          </cell>
          <cell r="B368" t="str">
            <v>預り金</v>
          </cell>
          <cell r="E368">
            <v>44</v>
          </cell>
          <cell r="F368" t="str">
            <v>20844</v>
          </cell>
          <cell r="G368" t="str">
            <v>中国</v>
          </cell>
        </row>
        <row r="369">
          <cell r="A369">
            <v>2117</v>
          </cell>
          <cell r="B369" t="str">
            <v>研修教育費</v>
          </cell>
          <cell r="C369">
            <v>32</v>
          </cell>
          <cell r="D369">
            <v>8</v>
          </cell>
          <cell r="F369" t="str">
            <v>2117</v>
          </cell>
        </row>
        <row r="370">
          <cell r="A370">
            <v>212</v>
          </cell>
          <cell r="B370" t="str">
            <v>未払法人税等</v>
          </cell>
          <cell r="F370" t="str">
            <v>212</v>
          </cell>
        </row>
        <row r="371">
          <cell r="A371">
            <v>215</v>
          </cell>
          <cell r="B371" t="str">
            <v>仮受消費税等</v>
          </cell>
          <cell r="F371" t="str">
            <v>215</v>
          </cell>
        </row>
        <row r="372">
          <cell r="A372">
            <v>220</v>
          </cell>
          <cell r="B372" t="str">
            <v>長期借入金</v>
          </cell>
          <cell r="F372" t="str">
            <v>220</v>
          </cell>
        </row>
        <row r="373">
          <cell r="A373">
            <v>331</v>
          </cell>
          <cell r="B373" t="str">
            <v>繰越利益剰余金</v>
          </cell>
          <cell r="F373" t="str">
            <v>331</v>
          </cell>
        </row>
        <row r="374">
          <cell r="A374">
            <v>460</v>
          </cell>
          <cell r="B374" t="str">
            <v>期首棚卸高</v>
          </cell>
          <cell r="C374">
            <v>81</v>
          </cell>
          <cell r="F374" t="str">
            <v>460</v>
          </cell>
        </row>
        <row r="375">
          <cell r="A375">
            <v>461</v>
          </cell>
          <cell r="B375" t="str">
            <v>商品仕入高</v>
          </cell>
          <cell r="C375">
            <v>32</v>
          </cell>
          <cell r="D375">
            <v>5</v>
          </cell>
          <cell r="F375" t="str">
            <v>461</v>
          </cell>
        </row>
        <row r="376">
          <cell r="A376">
            <v>461</v>
          </cell>
          <cell r="B376" t="str">
            <v>商品仕入高</v>
          </cell>
          <cell r="C376">
            <v>32</v>
          </cell>
          <cell r="D376">
            <v>8</v>
          </cell>
          <cell r="F376" t="str">
            <v>461</v>
          </cell>
        </row>
        <row r="377">
          <cell r="A377">
            <v>465</v>
          </cell>
          <cell r="B377" t="str">
            <v>仕入値引・戻し高</v>
          </cell>
          <cell r="F377" t="str">
            <v>465</v>
          </cell>
        </row>
        <row r="378">
          <cell r="A378">
            <v>466</v>
          </cell>
          <cell r="B378" t="str">
            <v>期末棚卸高</v>
          </cell>
          <cell r="C378">
            <v>81</v>
          </cell>
          <cell r="F378" t="str">
            <v>466</v>
          </cell>
        </row>
        <row r="379">
          <cell r="A379">
            <v>504</v>
          </cell>
          <cell r="B379" t="str">
            <v>法定福利費</v>
          </cell>
          <cell r="C379">
            <v>81</v>
          </cell>
          <cell r="E379">
            <v>1</v>
          </cell>
          <cell r="F379" t="str">
            <v>5041</v>
          </cell>
          <cell r="G379" t="str">
            <v>㈱三和商研</v>
          </cell>
        </row>
        <row r="380">
          <cell r="A380">
            <v>505</v>
          </cell>
          <cell r="B380" t="str">
            <v>厚生費</v>
          </cell>
          <cell r="C380">
            <v>32</v>
          </cell>
          <cell r="D380">
            <v>8</v>
          </cell>
          <cell r="E380">
            <v>999</v>
          </cell>
          <cell r="F380" t="str">
            <v>505999</v>
          </cell>
          <cell r="G380" t="str">
            <v>その他</v>
          </cell>
        </row>
        <row r="381">
          <cell r="A381">
            <v>523</v>
          </cell>
          <cell r="B381" t="str">
            <v>消耗品費</v>
          </cell>
          <cell r="C381">
            <v>32</v>
          </cell>
          <cell r="D381">
            <v>8</v>
          </cell>
          <cell r="E381">
            <v>999</v>
          </cell>
          <cell r="F381" t="str">
            <v>523999</v>
          </cell>
          <cell r="G381" t="str">
            <v>その他</v>
          </cell>
        </row>
        <row r="382">
          <cell r="A382">
            <v>525</v>
          </cell>
          <cell r="B382" t="str">
            <v>保険料</v>
          </cell>
          <cell r="C382">
            <v>30</v>
          </cell>
          <cell r="E382">
            <v>1</v>
          </cell>
          <cell r="F382" t="str">
            <v>5251</v>
          </cell>
          <cell r="G382" t="str">
            <v>㈱三和商研</v>
          </cell>
        </row>
        <row r="383">
          <cell r="A383">
            <v>530</v>
          </cell>
          <cell r="B383" t="str">
            <v>旅費交通費</v>
          </cell>
          <cell r="E383">
            <v>999</v>
          </cell>
          <cell r="F383" t="str">
            <v>530999</v>
          </cell>
          <cell r="G383" t="str">
            <v>その他</v>
          </cell>
        </row>
        <row r="384">
          <cell r="A384">
            <v>531</v>
          </cell>
          <cell r="B384" t="str">
            <v>通信費</v>
          </cell>
          <cell r="C384">
            <v>32</v>
          </cell>
          <cell r="D384">
            <v>5</v>
          </cell>
          <cell r="E384">
            <v>999</v>
          </cell>
          <cell r="F384" t="str">
            <v>531999</v>
          </cell>
          <cell r="G384" t="str">
            <v>その他</v>
          </cell>
        </row>
        <row r="385">
          <cell r="A385">
            <v>532</v>
          </cell>
          <cell r="B385" t="str">
            <v>外注費</v>
          </cell>
          <cell r="C385">
            <v>31</v>
          </cell>
          <cell r="D385">
            <v>8</v>
          </cell>
          <cell r="F385" t="str">
            <v>532</v>
          </cell>
        </row>
        <row r="386">
          <cell r="A386">
            <v>533</v>
          </cell>
          <cell r="B386" t="str">
            <v>会議費</v>
          </cell>
          <cell r="F386" t="str">
            <v>533</v>
          </cell>
        </row>
        <row r="387">
          <cell r="A387">
            <v>534</v>
          </cell>
          <cell r="B387" t="str">
            <v>会費組合費</v>
          </cell>
          <cell r="C387">
            <v>32</v>
          </cell>
          <cell r="D387">
            <v>5</v>
          </cell>
          <cell r="F387" t="str">
            <v>534</v>
          </cell>
        </row>
        <row r="388">
          <cell r="A388">
            <v>536</v>
          </cell>
          <cell r="B388" t="str">
            <v>新聞図書費</v>
          </cell>
          <cell r="C388">
            <v>32</v>
          </cell>
          <cell r="D388">
            <v>8</v>
          </cell>
          <cell r="F388" t="str">
            <v>536</v>
          </cell>
        </row>
        <row r="389">
          <cell r="A389">
            <v>537</v>
          </cell>
          <cell r="B389" t="str">
            <v>報酬手当</v>
          </cell>
          <cell r="C389">
            <v>32</v>
          </cell>
          <cell r="D389">
            <v>5</v>
          </cell>
          <cell r="F389" t="str">
            <v>537</v>
          </cell>
        </row>
        <row r="390">
          <cell r="A390">
            <v>538</v>
          </cell>
          <cell r="B390" t="str">
            <v>警備費</v>
          </cell>
          <cell r="C390">
            <v>32</v>
          </cell>
          <cell r="D390">
            <v>8</v>
          </cell>
          <cell r="F390" t="str">
            <v>538</v>
          </cell>
        </row>
        <row r="391">
          <cell r="A391">
            <v>539</v>
          </cell>
          <cell r="B391" t="str">
            <v>雑費</v>
          </cell>
          <cell r="C391">
            <v>32</v>
          </cell>
          <cell r="D391">
            <v>8</v>
          </cell>
          <cell r="E391">
            <v>1</v>
          </cell>
          <cell r="F391" t="str">
            <v>5391</v>
          </cell>
          <cell r="G391" t="str">
            <v>㈱三和商研</v>
          </cell>
        </row>
        <row r="392">
          <cell r="A392">
            <v>600</v>
          </cell>
          <cell r="B392" t="str">
            <v>受取利息</v>
          </cell>
          <cell r="C392">
            <v>20</v>
          </cell>
          <cell r="F392" t="str">
            <v>600</v>
          </cell>
        </row>
        <row r="393">
          <cell r="A393">
            <v>601</v>
          </cell>
          <cell r="B393" t="str">
            <v>受取配当金</v>
          </cell>
          <cell r="C393">
            <v>80</v>
          </cell>
          <cell r="F393" t="str">
            <v>601</v>
          </cell>
        </row>
        <row r="394">
          <cell r="A394">
            <v>603</v>
          </cell>
          <cell r="B394" t="str">
            <v>為替差益</v>
          </cell>
          <cell r="F394" t="str">
            <v>603</v>
          </cell>
        </row>
        <row r="395">
          <cell r="A395">
            <v>604</v>
          </cell>
          <cell r="B395" t="str">
            <v>雑収入</v>
          </cell>
          <cell r="C395">
            <v>2</v>
          </cell>
          <cell r="D395">
            <v>5</v>
          </cell>
          <cell r="F395" t="str">
            <v>604</v>
          </cell>
        </row>
        <row r="396">
          <cell r="A396">
            <v>810</v>
          </cell>
          <cell r="B396" t="str">
            <v>売上高</v>
          </cell>
          <cell r="C396">
            <v>2</v>
          </cell>
          <cell r="D396">
            <v>8</v>
          </cell>
          <cell r="F396" t="str">
            <v>810</v>
          </cell>
        </row>
        <row r="397">
          <cell r="A397">
            <v>815</v>
          </cell>
          <cell r="B397" t="str">
            <v>売上値引・戻り高</v>
          </cell>
          <cell r="C397">
            <v>12</v>
          </cell>
          <cell r="D397">
            <v>8</v>
          </cell>
          <cell r="F397" t="str">
            <v>815</v>
          </cell>
        </row>
        <row r="398">
          <cell r="A398">
            <v>999</v>
          </cell>
          <cell r="B398" t="str">
            <v>諸口</v>
          </cell>
          <cell r="F398" t="str">
            <v>999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id="1" name="テーブル1232514" displayName="テーブル1232514" ref="A1:G564" totalsRowShown="0" headerRowDxfId="21" headerRowBorderDxfId="20" tableBorderDxfId="19" totalsRowBorderDxfId="18" dataCellStyle="標準 2">
  <autoFilter ref="A1:G564"/>
  <tableColumns count="7">
    <tableColumn id="1" name="借方勘定科目CD" dataDxfId="17" dataCellStyle="標準 2"/>
    <tableColumn id="2" name="借方勘定科目名" dataDxfId="16" dataCellStyle="標準 2"/>
    <tableColumn id="3" name="借方消費税CD" dataDxfId="15" dataCellStyle="標準 2"/>
    <tableColumn id="4" name="借方消費税率" dataDxfId="14" dataCellStyle="標準 2"/>
    <tableColumn id="5" name="借方補助科目CD" dataDxfId="13" dataCellStyle="標準 2"/>
    <tableColumn id="7" name="検索値" dataDxfId="12" dataCellStyle="標準 2">
      <calculatedColumnFormula>A2&amp;E2</calculatedColumnFormula>
    </tableColumn>
    <tableColumn id="6" name="借方補助科目名" dataDxfId="11" dataCellStyle="標準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テーブル2233" displayName="テーブル2233" ref="A1:G398" totalsRowShown="0" headerRowDxfId="10" headerRowBorderDxfId="9" tableBorderDxfId="8" totalsRowBorderDxfId="7">
  <autoFilter ref="A1:G398"/>
  <tableColumns count="7">
    <tableColumn id="1" name="貸方勘定科目CD" dataDxfId="6"/>
    <tableColumn id="2" name="貸方勘定科目名" dataDxfId="5"/>
    <tableColumn id="3" name="貸方消費税CD" dataDxfId="4"/>
    <tableColumn id="4" name="貸方消費税率" dataDxfId="3"/>
    <tableColumn id="5" name="貸方補助科目CD" dataDxfId="2"/>
    <tableColumn id="7" name="検索値" dataDxfId="1" dataCellStyle="標準 2">
      <calculatedColumnFormula>A2&amp;E2</calculatedColumnFormula>
    </tableColumn>
    <tableColumn id="6" name="貸方補助科目名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</row>
    <row r="2" spans="1:66" ht="20.100000000000001" customHeight="1" thickTop="1" x14ac:dyDescent="0.45">
      <c r="A2" s="8"/>
      <c r="B2" s="184" t="s">
        <v>0</v>
      </c>
      <c r="C2" s="185"/>
      <c r="D2" s="185"/>
      <c r="E2" s="185"/>
      <c r="F2" s="185"/>
      <c r="G2" s="185"/>
      <c r="H2" s="185" t="s">
        <v>17</v>
      </c>
      <c r="I2" s="185"/>
      <c r="J2" s="185"/>
      <c r="K2" s="185"/>
      <c r="L2" s="185" t="s">
        <v>1</v>
      </c>
      <c r="M2" s="185"/>
      <c r="N2" s="185"/>
      <c r="O2" s="185"/>
      <c r="P2" s="185"/>
      <c r="Q2" s="185"/>
      <c r="R2" s="185" t="s">
        <v>2</v>
      </c>
      <c r="S2" s="185"/>
      <c r="T2" s="185"/>
      <c r="U2" s="185"/>
      <c r="V2" s="185"/>
      <c r="W2" s="185"/>
      <c r="X2" s="186" t="s">
        <v>3</v>
      </c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8"/>
      <c r="AK2" s="186" t="s">
        <v>31</v>
      </c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8"/>
      <c r="AX2" s="185" t="s">
        <v>5</v>
      </c>
      <c r="AY2" s="185"/>
      <c r="AZ2" s="185"/>
      <c r="BA2" s="185"/>
      <c r="BB2" s="185" t="s">
        <v>4</v>
      </c>
      <c r="BC2" s="185"/>
      <c r="BD2" s="185"/>
      <c r="BE2" s="185"/>
      <c r="BF2" s="185" t="s">
        <v>6</v>
      </c>
      <c r="BG2" s="185"/>
      <c r="BH2" s="185"/>
      <c r="BI2" s="185"/>
      <c r="BJ2" s="185" t="s">
        <v>7</v>
      </c>
      <c r="BK2" s="185"/>
      <c r="BL2" s="185"/>
      <c r="BM2" s="199"/>
      <c r="BN2" s="13"/>
    </row>
    <row r="3" spans="1:66" ht="20.100000000000001" customHeight="1" x14ac:dyDescent="0.45">
      <c r="A3" s="8"/>
      <c r="B3" s="189" t="s">
        <v>838</v>
      </c>
      <c r="C3" s="190"/>
      <c r="D3" s="190"/>
      <c r="E3" s="190"/>
      <c r="F3" s="190"/>
      <c r="G3" s="190"/>
      <c r="H3" s="190" t="str">
        <f ca="1">LEFT($X$3,FIND("_",$X$3)-1)</f>
        <v>KH0500</v>
      </c>
      <c r="I3" s="190"/>
      <c r="J3" s="190"/>
      <c r="K3" s="190"/>
      <c r="L3" s="190" t="s">
        <v>839</v>
      </c>
      <c r="M3" s="190"/>
      <c r="N3" s="190"/>
      <c r="O3" s="190"/>
      <c r="P3" s="190"/>
      <c r="Q3" s="190"/>
      <c r="R3" s="193" t="str">
        <f ca="1">MID($X$3,FIND("_",$X$3,FIND("_",$X$3)+1)+1,LEN($X$3)-FIND("_",$X$3,FIND("_",$X$3)+1))</f>
        <v>インポート_帳票設計書</v>
      </c>
      <c r="S3" s="190"/>
      <c r="T3" s="190"/>
      <c r="U3" s="190"/>
      <c r="V3" s="190"/>
      <c r="W3" s="190"/>
      <c r="X3" s="194" t="str">
        <f ca="1">REPLACE(LEFT(CELL("filename",$B$2),FIND(".x",CELL("filename",$B$2))-1),1,FIND("[",CELL("filename",$B$2)),)</f>
        <v>KH0500_EXCEL仕訳TXT_インポート_帳票設計書</v>
      </c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1"/>
      <c r="AK3" s="194" t="str">
        <f ca="1">MID($X$3,FIND("_",$X$3)+1,FIND("_",$X$3,FIND("_",$X$3)+1)-FIND("_",$X$3)-1)</f>
        <v>EXCEL仕訳TXT</v>
      </c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1"/>
      <c r="AX3" s="201">
        <v>45539</v>
      </c>
      <c r="AY3" s="190"/>
      <c r="AZ3" s="190"/>
      <c r="BA3" s="190"/>
      <c r="BB3" s="190" t="s">
        <v>840</v>
      </c>
      <c r="BC3" s="190"/>
      <c r="BD3" s="190"/>
      <c r="BE3" s="190"/>
      <c r="BF3" s="201">
        <v>45539</v>
      </c>
      <c r="BG3" s="190"/>
      <c r="BH3" s="190"/>
      <c r="BI3" s="190"/>
      <c r="BJ3" s="190" t="s">
        <v>840</v>
      </c>
      <c r="BK3" s="190"/>
      <c r="BL3" s="190"/>
      <c r="BM3" s="202"/>
      <c r="BN3" s="13"/>
    </row>
    <row r="4" spans="1:66" ht="20.100000000000001" customHeight="1" thickBot="1" x14ac:dyDescent="0.5">
      <c r="A4" s="8"/>
      <c r="B4" s="191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6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96"/>
      <c r="AL4" s="197"/>
      <c r="AM4" s="197"/>
      <c r="AN4" s="197"/>
      <c r="AO4" s="197"/>
      <c r="AP4" s="197"/>
      <c r="AQ4" s="197"/>
      <c r="AR4" s="197"/>
      <c r="AS4" s="197"/>
      <c r="AT4" s="197"/>
      <c r="AU4" s="197"/>
      <c r="AV4" s="197"/>
      <c r="AW4" s="198"/>
      <c r="AX4" s="192"/>
      <c r="AY4" s="192"/>
      <c r="AZ4" s="192"/>
      <c r="BA4" s="192"/>
      <c r="BB4" s="192"/>
      <c r="BC4" s="192"/>
      <c r="BD4" s="192"/>
      <c r="BE4" s="192"/>
      <c r="BF4" s="192"/>
      <c r="BG4" s="192"/>
      <c r="BH4" s="192"/>
      <c r="BI4" s="192"/>
      <c r="BJ4" s="192"/>
      <c r="BK4" s="192"/>
      <c r="BL4" s="192"/>
      <c r="BM4" s="194"/>
      <c r="BN4" s="13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3"/>
    </row>
    <row r="7" spans="1:66" ht="20.100000000000001" customHeight="1" x14ac:dyDescent="0.45">
      <c r="A7" s="8"/>
      <c r="B7" s="7"/>
      <c r="C7" s="16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3"/>
    </row>
    <row r="8" spans="1:66" ht="20.100000000000001" customHeight="1" x14ac:dyDescent="0.45">
      <c r="A8" s="8"/>
      <c r="B8" s="7"/>
      <c r="C8" s="200" t="s">
        <v>8</v>
      </c>
      <c r="D8" s="200"/>
      <c r="E8" s="200"/>
      <c r="F8" s="200"/>
      <c r="G8" s="200" t="s">
        <v>9</v>
      </c>
      <c r="H8" s="200"/>
      <c r="I8" s="200"/>
      <c r="J8" s="200"/>
      <c r="K8" s="200" t="s">
        <v>10</v>
      </c>
      <c r="L8" s="200"/>
      <c r="M8" s="200"/>
      <c r="N8" s="200"/>
      <c r="O8" s="200" t="s">
        <v>11</v>
      </c>
      <c r="P8" s="200"/>
      <c r="Q8" s="200"/>
      <c r="R8" s="200"/>
      <c r="S8" s="200"/>
      <c r="T8" s="200"/>
      <c r="U8" s="200"/>
      <c r="V8" s="200"/>
      <c r="W8" s="200"/>
      <c r="X8" s="200"/>
      <c r="Y8" s="200" t="s">
        <v>12</v>
      </c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7"/>
      <c r="BN8" s="13"/>
    </row>
    <row r="9" spans="1:66" ht="20.100000000000001" customHeight="1" x14ac:dyDescent="0.45">
      <c r="A9" s="8"/>
      <c r="B9" s="7"/>
      <c r="C9" s="203">
        <v>45539</v>
      </c>
      <c r="D9" s="204"/>
      <c r="E9" s="204"/>
      <c r="F9" s="205"/>
      <c r="G9" s="206" t="s">
        <v>16</v>
      </c>
      <c r="H9" s="207"/>
      <c r="I9" s="207"/>
      <c r="J9" s="208"/>
      <c r="K9" s="209" t="s">
        <v>840</v>
      </c>
      <c r="L9" s="204"/>
      <c r="M9" s="204"/>
      <c r="N9" s="205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3"/>
    </row>
    <row r="10" spans="1:66" ht="20.100000000000001" customHeight="1" x14ac:dyDescent="0.45">
      <c r="A10" s="8"/>
      <c r="B10" s="7"/>
      <c r="C10" s="203"/>
      <c r="D10" s="204"/>
      <c r="E10" s="204"/>
      <c r="F10" s="205"/>
      <c r="G10" s="206"/>
      <c r="H10" s="207"/>
      <c r="I10" s="207"/>
      <c r="J10" s="208"/>
      <c r="K10" s="209"/>
      <c r="L10" s="204"/>
      <c r="M10" s="204"/>
      <c r="N10" s="205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3"/>
    </row>
    <row r="11" spans="1:66" ht="20.100000000000001" customHeight="1" x14ac:dyDescent="0.45">
      <c r="A11" s="8"/>
      <c r="B11" s="7"/>
      <c r="C11" s="203"/>
      <c r="D11" s="204"/>
      <c r="E11" s="204"/>
      <c r="F11" s="205"/>
      <c r="G11" s="206"/>
      <c r="H11" s="207"/>
      <c r="I11" s="207"/>
      <c r="J11" s="208"/>
      <c r="K11" s="209"/>
      <c r="L11" s="204"/>
      <c r="M11" s="204"/>
      <c r="N11" s="205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3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3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3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3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3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3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3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3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3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3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3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3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3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3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3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3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3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3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3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3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3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3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3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3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3"/>
    </row>
    <row r="36" spans="1:66" ht="20.100000000000001" customHeight="1" x14ac:dyDescent="0.45">
      <c r="A36" s="8"/>
      <c r="B36" s="7"/>
      <c r="C36" s="203"/>
      <c r="D36" s="204"/>
      <c r="E36" s="204"/>
      <c r="F36" s="205"/>
      <c r="G36" s="206"/>
      <c r="H36" s="207"/>
      <c r="I36" s="207"/>
      <c r="J36" s="208"/>
      <c r="K36" s="209"/>
      <c r="L36" s="204"/>
      <c r="M36" s="204"/>
      <c r="N36" s="205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3"/>
    </row>
    <row r="37" spans="1:66" ht="20.100000000000001" customHeight="1" x14ac:dyDescent="0.45">
      <c r="A37" s="8"/>
      <c r="B37" s="7"/>
      <c r="C37" s="203"/>
      <c r="D37" s="204"/>
      <c r="E37" s="204"/>
      <c r="F37" s="205"/>
      <c r="G37" s="206"/>
      <c r="H37" s="207"/>
      <c r="I37" s="207"/>
      <c r="J37" s="208"/>
      <c r="K37" s="209"/>
      <c r="L37" s="204"/>
      <c r="M37" s="204"/>
      <c r="N37" s="205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3"/>
    </row>
    <row r="38" spans="1:66" ht="20.100000000000001" customHeight="1" x14ac:dyDescent="0.45">
      <c r="A38" s="8"/>
      <c r="B38" s="7"/>
      <c r="C38" s="203"/>
      <c r="D38" s="204"/>
      <c r="E38" s="204"/>
      <c r="F38" s="205"/>
      <c r="G38" s="206"/>
      <c r="H38" s="207"/>
      <c r="I38" s="207"/>
      <c r="J38" s="208"/>
      <c r="K38" s="209"/>
      <c r="L38" s="204"/>
      <c r="M38" s="204"/>
      <c r="N38" s="205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3"/>
    </row>
    <row r="39" spans="1:66" ht="20.100000000000001" customHeight="1" x14ac:dyDescent="0.45">
      <c r="A39" s="8"/>
      <c r="B39" s="7"/>
      <c r="C39" s="203"/>
      <c r="D39" s="204"/>
      <c r="E39" s="204"/>
      <c r="F39" s="205"/>
      <c r="G39" s="206"/>
      <c r="H39" s="207"/>
      <c r="I39" s="207"/>
      <c r="J39" s="208"/>
      <c r="K39" s="209"/>
      <c r="L39" s="204"/>
      <c r="M39" s="204"/>
      <c r="N39" s="205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3"/>
    </row>
    <row r="40" spans="1:66" ht="20.100000000000001" customHeight="1" x14ac:dyDescent="0.45">
      <c r="A40" s="8"/>
      <c r="B40" s="7"/>
      <c r="C40" s="203"/>
      <c r="D40" s="204"/>
      <c r="E40" s="204"/>
      <c r="F40" s="205"/>
      <c r="G40" s="206"/>
      <c r="H40" s="207"/>
      <c r="I40" s="207"/>
      <c r="J40" s="208"/>
      <c r="K40" s="209"/>
      <c r="L40" s="204"/>
      <c r="M40" s="204"/>
      <c r="N40" s="205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3"/>
    </row>
    <row r="41" spans="1:66" ht="20.100000000000001" customHeight="1" x14ac:dyDescent="0.45">
      <c r="A41" s="8"/>
      <c r="B41" s="7"/>
      <c r="C41" s="203"/>
      <c r="D41" s="204"/>
      <c r="E41" s="204"/>
      <c r="F41" s="205"/>
      <c r="G41" s="206"/>
      <c r="H41" s="207"/>
      <c r="I41" s="207"/>
      <c r="J41" s="208"/>
      <c r="K41" s="209"/>
      <c r="L41" s="204"/>
      <c r="M41" s="204"/>
      <c r="N41" s="205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3"/>
    </row>
    <row r="42" spans="1:66" ht="20.100000000000001" customHeight="1" x14ac:dyDescent="0.45">
      <c r="A42" s="8"/>
      <c r="B42" s="7"/>
      <c r="C42" s="203"/>
      <c r="D42" s="204"/>
      <c r="E42" s="204"/>
      <c r="F42" s="205"/>
      <c r="G42" s="206"/>
      <c r="H42" s="207"/>
      <c r="I42" s="207"/>
      <c r="J42" s="208"/>
      <c r="K42" s="209"/>
      <c r="L42" s="204"/>
      <c r="M42" s="204"/>
      <c r="N42" s="205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3"/>
    </row>
    <row r="43" spans="1:66" ht="20.100000000000001" customHeight="1" x14ac:dyDescent="0.45">
      <c r="A43" s="8"/>
      <c r="B43" s="7"/>
      <c r="C43" s="203"/>
      <c r="D43" s="204"/>
      <c r="E43" s="204"/>
      <c r="F43" s="205"/>
      <c r="G43" s="206"/>
      <c r="H43" s="207"/>
      <c r="I43" s="207"/>
      <c r="J43" s="208"/>
      <c r="K43" s="209"/>
      <c r="L43" s="204"/>
      <c r="M43" s="204"/>
      <c r="N43" s="205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3"/>
    </row>
    <row r="44" spans="1:66" ht="20.100000000000001" customHeight="1" x14ac:dyDescent="0.45">
      <c r="A44" s="8"/>
      <c r="B44" s="7"/>
      <c r="C44" s="203"/>
      <c r="D44" s="204"/>
      <c r="E44" s="204"/>
      <c r="F44" s="205"/>
      <c r="G44" s="206"/>
      <c r="H44" s="207"/>
      <c r="I44" s="207"/>
      <c r="J44" s="208"/>
      <c r="K44" s="209"/>
      <c r="L44" s="204"/>
      <c r="M44" s="204"/>
      <c r="N44" s="205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3"/>
    </row>
    <row r="45" spans="1:66" ht="20.100000000000001" customHeight="1" x14ac:dyDescent="0.45">
      <c r="A45" s="8"/>
      <c r="B45" s="7"/>
      <c r="C45" s="203"/>
      <c r="D45" s="204"/>
      <c r="E45" s="204"/>
      <c r="F45" s="205"/>
      <c r="G45" s="206"/>
      <c r="H45" s="207"/>
      <c r="I45" s="207"/>
      <c r="J45" s="208"/>
      <c r="K45" s="209"/>
      <c r="L45" s="204"/>
      <c r="M45" s="204"/>
      <c r="N45" s="205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3"/>
    </row>
    <row r="46" spans="1:66" ht="20.100000000000001" customHeight="1" x14ac:dyDescent="0.45">
      <c r="A46" s="8"/>
      <c r="B46" s="7"/>
      <c r="C46" s="203"/>
      <c r="D46" s="204"/>
      <c r="E46" s="204"/>
      <c r="F46" s="205"/>
      <c r="G46" s="206"/>
      <c r="H46" s="207"/>
      <c r="I46" s="207"/>
      <c r="J46" s="208"/>
      <c r="K46" s="209"/>
      <c r="L46" s="204"/>
      <c r="M46" s="204"/>
      <c r="N46" s="205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3"/>
    </row>
    <row r="47" spans="1:66" ht="20.100000000000001" customHeight="1" x14ac:dyDescent="0.45">
      <c r="A47" s="8"/>
      <c r="B47" s="7"/>
      <c r="C47" s="203"/>
      <c r="D47" s="204"/>
      <c r="E47" s="204"/>
      <c r="F47" s="205"/>
      <c r="G47" s="206"/>
      <c r="H47" s="207"/>
      <c r="I47" s="207"/>
      <c r="J47" s="208"/>
      <c r="K47" s="209"/>
      <c r="L47" s="204"/>
      <c r="M47" s="204"/>
      <c r="N47" s="205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3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3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>
      <selection activeCell="F11" sqref="F11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</row>
    <row r="2" spans="1:66" ht="20.100000000000001" customHeight="1" thickTop="1" x14ac:dyDescent="0.45">
      <c r="A2" s="31"/>
      <c r="B2" s="184" t="s">
        <v>0</v>
      </c>
      <c r="C2" s="185"/>
      <c r="D2" s="185"/>
      <c r="E2" s="185"/>
      <c r="F2" s="185"/>
      <c r="G2" s="185"/>
      <c r="H2" s="185" t="s">
        <v>17</v>
      </c>
      <c r="I2" s="185"/>
      <c r="J2" s="185"/>
      <c r="K2" s="185"/>
      <c r="L2" s="185" t="s">
        <v>1</v>
      </c>
      <c r="M2" s="185"/>
      <c r="N2" s="185"/>
      <c r="O2" s="185"/>
      <c r="P2" s="185"/>
      <c r="Q2" s="185"/>
      <c r="R2" s="185" t="s">
        <v>2</v>
      </c>
      <c r="S2" s="185"/>
      <c r="T2" s="185"/>
      <c r="U2" s="185"/>
      <c r="V2" s="185"/>
      <c r="W2" s="185"/>
      <c r="X2" s="186" t="s">
        <v>3</v>
      </c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8"/>
      <c r="AK2" s="186" t="s">
        <v>32</v>
      </c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8"/>
      <c r="AX2" s="185" t="s">
        <v>5</v>
      </c>
      <c r="AY2" s="185"/>
      <c r="AZ2" s="185"/>
      <c r="BA2" s="185"/>
      <c r="BB2" s="185" t="s">
        <v>4</v>
      </c>
      <c r="BC2" s="185"/>
      <c r="BD2" s="185"/>
      <c r="BE2" s="185"/>
      <c r="BF2" s="185" t="s">
        <v>6</v>
      </c>
      <c r="BG2" s="185"/>
      <c r="BH2" s="185"/>
      <c r="BI2" s="185"/>
      <c r="BJ2" s="185" t="s">
        <v>7</v>
      </c>
      <c r="BK2" s="185"/>
      <c r="BL2" s="185"/>
      <c r="BM2" s="199"/>
      <c r="BN2" s="34"/>
    </row>
    <row r="3" spans="1:66" ht="20.100000000000001" customHeight="1" x14ac:dyDescent="0.45">
      <c r="A3" s="31"/>
      <c r="B3" s="189" t="str">
        <f>変更履歴!B3</f>
        <v>受発注システム</v>
      </c>
      <c r="C3" s="190"/>
      <c r="D3" s="190"/>
      <c r="E3" s="190"/>
      <c r="F3" s="190"/>
      <c r="G3" s="190"/>
      <c r="H3" s="190" t="str">
        <f ca="1">変更履歴!H3</f>
        <v>KH0500</v>
      </c>
      <c r="I3" s="190"/>
      <c r="J3" s="190"/>
      <c r="K3" s="190"/>
      <c r="L3" s="190" t="str">
        <f>変更履歴!L3</f>
        <v>受発注</v>
      </c>
      <c r="M3" s="190"/>
      <c r="N3" s="190"/>
      <c r="O3" s="190"/>
      <c r="P3" s="190"/>
      <c r="Q3" s="190"/>
      <c r="R3" s="190" t="str">
        <f ca="1">変更履歴!R3</f>
        <v>インポート_帳票設計書</v>
      </c>
      <c r="S3" s="190"/>
      <c r="T3" s="190"/>
      <c r="U3" s="190"/>
      <c r="V3" s="190"/>
      <c r="W3" s="190"/>
      <c r="X3" s="194" t="str">
        <f ca="1">変更履歴!X3</f>
        <v>KH0500_EXCEL仕訳TXT_インポート_帳票設計書</v>
      </c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1"/>
      <c r="AK3" s="194" t="str">
        <f ca="1">変更履歴!AK3</f>
        <v>EXCEL仕訳TXT</v>
      </c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1"/>
      <c r="AX3" s="201">
        <f>変更履歴!AX3</f>
        <v>45539</v>
      </c>
      <c r="AY3" s="201"/>
      <c r="AZ3" s="201"/>
      <c r="BA3" s="201"/>
      <c r="BB3" s="190" t="str">
        <f>変更履歴!BB3</f>
        <v>大谷</v>
      </c>
      <c r="BC3" s="190"/>
      <c r="BD3" s="190"/>
      <c r="BE3" s="190"/>
      <c r="BF3" s="201">
        <f>変更履歴!BF3</f>
        <v>45539</v>
      </c>
      <c r="BG3" s="201"/>
      <c r="BH3" s="201"/>
      <c r="BI3" s="201"/>
      <c r="BJ3" s="190" t="str">
        <f>変更履歴!BJ3</f>
        <v>大谷</v>
      </c>
      <c r="BK3" s="190"/>
      <c r="BL3" s="190"/>
      <c r="BM3" s="202"/>
      <c r="BN3" s="34"/>
    </row>
    <row r="4" spans="1:66" ht="20.100000000000001" customHeight="1" thickBot="1" x14ac:dyDescent="0.5">
      <c r="A4" s="31"/>
      <c r="B4" s="191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6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96"/>
      <c r="AL4" s="197"/>
      <c r="AM4" s="197"/>
      <c r="AN4" s="197"/>
      <c r="AO4" s="197"/>
      <c r="AP4" s="197"/>
      <c r="AQ4" s="197"/>
      <c r="AR4" s="197"/>
      <c r="AS4" s="197"/>
      <c r="AT4" s="197"/>
      <c r="AU4" s="197"/>
      <c r="AV4" s="197"/>
      <c r="AW4" s="198"/>
      <c r="AX4" s="210"/>
      <c r="AY4" s="210"/>
      <c r="AZ4" s="210"/>
      <c r="BA4" s="210"/>
      <c r="BB4" s="192"/>
      <c r="BC4" s="192"/>
      <c r="BD4" s="192"/>
      <c r="BE4" s="192"/>
      <c r="BF4" s="210"/>
      <c r="BG4" s="210"/>
      <c r="BH4" s="210"/>
      <c r="BI4" s="210"/>
      <c r="BJ4" s="192"/>
      <c r="BK4" s="192"/>
      <c r="BL4" s="192"/>
      <c r="BM4" s="194"/>
      <c r="BN4" s="34"/>
    </row>
    <row r="5" spans="1:66" ht="5.25" customHeight="1" thickTop="1" thickBot="1" x14ac:dyDescent="0.5"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</row>
    <row r="6" spans="1:66" ht="20.100000000000001" customHeight="1" thickTop="1" thickBot="1" x14ac:dyDescent="0.5">
      <c r="A6" s="31"/>
      <c r="B6" s="30"/>
      <c r="C6" s="30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30"/>
      <c r="BK6" s="30"/>
      <c r="BL6" s="30"/>
      <c r="BM6" s="30"/>
      <c r="BN6" s="34"/>
    </row>
    <row r="7" spans="1:66" ht="20.100000000000001" customHeight="1" thickTop="1" x14ac:dyDescent="0.45">
      <c r="A7" s="31"/>
      <c r="B7" s="30"/>
      <c r="C7" s="31"/>
      <c r="D7" s="64" t="s">
        <v>22</v>
      </c>
      <c r="E7" s="45"/>
      <c r="F7" s="45"/>
      <c r="G7" s="65"/>
      <c r="H7" s="46" t="str">
        <f ca="1">AK3</f>
        <v>EXCEL仕訳TXT</v>
      </c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9"/>
      <c r="AJ7" s="49"/>
      <c r="AK7" s="49"/>
      <c r="AL7" s="49"/>
      <c r="AM7" s="49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7"/>
      <c r="BF7" s="47"/>
      <c r="BG7" s="47"/>
      <c r="BH7" s="47"/>
      <c r="BI7" s="47"/>
      <c r="BJ7" s="34"/>
      <c r="BK7" s="30"/>
      <c r="BL7" s="30"/>
      <c r="BM7" s="30"/>
      <c r="BN7" s="34"/>
    </row>
    <row r="8" spans="1:66" ht="20.100000000000001" customHeight="1" x14ac:dyDescent="0.45">
      <c r="A8" s="31"/>
      <c r="B8" s="30"/>
      <c r="C8" s="31"/>
      <c r="D8" s="57" t="s">
        <v>25</v>
      </c>
      <c r="E8" s="48"/>
      <c r="F8" s="48"/>
      <c r="G8" s="54"/>
      <c r="H8" s="49" t="s">
        <v>90</v>
      </c>
      <c r="I8" s="49"/>
      <c r="J8" s="49"/>
      <c r="K8" s="49"/>
      <c r="L8" s="49"/>
      <c r="M8" s="49"/>
      <c r="N8" s="49"/>
      <c r="O8" s="49"/>
      <c r="P8" s="62"/>
      <c r="Q8" s="60"/>
      <c r="R8" s="62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50"/>
      <c r="BF8" s="50"/>
      <c r="BG8" s="50"/>
      <c r="BH8" s="50"/>
      <c r="BI8" s="50"/>
      <c r="BJ8" s="34"/>
      <c r="BK8" s="30"/>
      <c r="BL8" s="30"/>
      <c r="BM8" s="30"/>
      <c r="BN8" s="34"/>
    </row>
    <row r="9" spans="1:66" ht="20.100000000000001" customHeight="1" x14ac:dyDescent="0.45">
      <c r="A9" s="31"/>
      <c r="B9" s="30"/>
      <c r="C9" s="31"/>
      <c r="D9" s="57" t="s">
        <v>23</v>
      </c>
      <c r="E9" s="48"/>
      <c r="F9" s="48"/>
      <c r="G9" s="54"/>
      <c r="H9" s="49" t="s">
        <v>91</v>
      </c>
      <c r="I9" s="49"/>
      <c r="J9" s="49"/>
      <c r="K9" s="49"/>
      <c r="M9" s="49"/>
      <c r="N9" s="49"/>
      <c r="O9" s="49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50"/>
      <c r="BF9" s="50"/>
      <c r="BG9" s="50"/>
      <c r="BH9" s="50"/>
      <c r="BI9" s="50"/>
      <c r="BJ9" s="34"/>
      <c r="BK9" s="30"/>
      <c r="BL9" s="30"/>
      <c r="BM9" s="30"/>
      <c r="BN9" s="34"/>
    </row>
    <row r="10" spans="1:66" ht="20.100000000000001" customHeight="1" x14ac:dyDescent="0.45">
      <c r="A10" s="31"/>
      <c r="B10" s="30"/>
      <c r="C10" s="31"/>
      <c r="D10" s="57" t="s">
        <v>26</v>
      </c>
      <c r="E10" s="48"/>
      <c r="F10" s="48"/>
      <c r="G10" s="54"/>
      <c r="H10" s="52" t="s">
        <v>92</v>
      </c>
      <c r="I10" s="52"/>
      <c r="J10" s="52"/>
      <c r="K10" s="52"/>
      <c r="L10" s="52"/>
      <c r="M10" s="52"/>
      <c r="N10" s="52"/>
      <c r="O10" s="52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3"/>
      <c r="BF10" s="53"/>
      <c r="BG10" s="53"/>
      <c r="BH10" s="53"/>
      <c r="BI10" s="53"/>
      <c r="BJ10" s="34"/>
      <c r="BK10" s="30"/>
      <c r="BL10" s="30"/>
      <c r="BM10" s="30"/>
      <c r="BN10" s="34"/>
    </row>
    <row r="11" spans="1:66" ht="20.100000000000001" customHeight="1" x14ac:dyDescent="0.45">
      <c r="A11" s="31"/>
      <c r="B11" s="30"/>
      <c r="C11" s="30"/>
      <c r="D11" s="57" t="s">
        <v>27</v>
      </c>
      <c r="E11" s="48"/>
      <c r="F11" s="48"/>
      <c r="G11" s="54"/>
      <c r="H11" s="52" t="s">
        <v>93</v>
      </c>
      <c r="I11" s="52"/>
      <c r="J11" s="52"/>
      <c r="K11" s="52"/>
      <c r="L11" s="52"/>
      <c r="M11" s="52"/>
      <c r="N11" s="52"/>
      <c r="O11" s="52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3"/>
      <c r="BF11" s="53"/>
      <c r="BG11" s="53"/>
      <c r="BH11" s="53"/>
      <c r="BI11" s="63"/>
      <c r="BJ11" s="30"/>
      <c r="BK11" s="30"/>
      <c r="BL11" s="30"/>
      <c r="BM11" s="30"/>
      <c r="BN11" s="34"/>
    </row>
    <row r="12" spans="1:66" ht="20.100000000000001" customHeight="1" x14ac:dyDescent="0.45">
      <c r="A12" s="31"/>
      <c r="B12" s="30"/>
      <c r="C12" s="30"/>
      <c r="D12" s="57" t="s">
        <v>28</v>
      </c>
      <c r="E12" s="48"/>
      <c r="F12" s="48"/>
      <c r="G12" s="54"/>
      <c r="H12" s="52" t="s">
        <v>94</v>
      </c>
      <c r="I12" s="52"/>
      <c r="J12" s="52"/>
      <c r="K12" s="52"/>
      <c r="L12" s="52"/>
      <c r="M12" s="52"/>
      <c r="N12" s="52"/>
      <c r="O12" s="52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3"/>
      <c r="BF12" s="53"/>
      <c r="BG12" s="53"/>
      <c r="BH12" s="53"/>
      <c r="BI12" s="63"/>
      <c r="BJ12" s="30"/>
      <c r="BK12" s="30"/>
      <c r="BL12" s="30"/>
      <c r="BM12" s="30"/>
      <c r="BN12" s="34"/>
    </row>
    <row r="13" spans="1:66" ht="20.100000000000001" customHeight="1" x14ac:dyDescent="0.45">
      <c r="A13" s="31"/>
      <c r="B13" s="30"/>
      <c r="C13" s="30"/>
      <c r="D13" s="57" t="s">
        <v>29</v>
      </c>
      <c r="E13" s="48"/>
      <c r="F13" s="48"/>
      <c r="G13" s="54"/>
      <c r="H13" s="52" t="s">
        <v>95</v>
      </c>
      <c r="I13" s="52"/>
      <c r="J13" s="52"/>
      <c r="K13" s="52"/>
      <c r="L13" s="52"/>
      <c r="M13" s="52"/>
      <c r="N13" s="52"/>
      <c r="O13" s="52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3"/>
      <c r="BF13" s="53"/>
      <c r="BG13" s="53"/>
      <c r="BH13" s="50"/>
      <c r="BI13" s="58"/>
      <c r="BJ13" s="30"/>
      <c r="BK13" s="30"/>
      <c r="BL13" s="30"/>
      <c r="BM13" s="30"/>
      <c r="BN13" s="34"/>
    </row>
    <row r="14" spans="1:66" ht="20.100000000000001" customHeight="1" x14ac:dyDescent="0.45">
      <c r="A14" s="31"/>
      <c r="B14" s="30"/>
      <c r="C14" s="30"/>
      <c r="D14" s="57" t="s">
        <v>30</v>
      </c>
      <c r="E14" s="48"/>
      <c r="F14" s="48"/>
      <c r="G14" s="54"/>
      <c r="H14" s="49" t="s">
        <v>94</v>
      </c>
      <c r="I14" s="49"/>
      <c r="J14" s="49"/>
      <c r="K14" s="49"/>
      <c r="L14" s="49"/>
      <c r="M14" s="49"/>
      <c r="N14" s="49"/>
      <c r="O14" s="4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50"/>
      <c r="BF14" s="50"/>
      <c r="BG14" s="50"/>
      <c r="BH14" s="50"/>
      <c r="BI14" s="58"/>
      <c r="BJ14" s="30"/>
      <c r="BK14" s="30"/>
      <c r="BL14" s="30"/>
      <c r="BM14" s="30"/>
      <c r="BN14" s="34"/>
    </row>
    <row r="15" spans="1:66" ht="20.100000000000001" customHeight="1" x14ac:dyDescent="0.45">
      <c r="A15" s="31"/>
      <c r="B15" s="30"/>
      <c r="C15" s="30"/>
      <c r="D15" s="57" t="s">
        <v>44</v>
      </c>
      <c r="E15" s="48"/>
      <c r="F15" s="48"/>
      <c r="G15" s="54"/>
      <c r="H15" s="52"/>
      <c r="I15" s="52"/>
      <c r="J15" s="52"/>
      <c r="K15" s="52"/>
      <c r="L15" s="52"/>
      <c r="M15" s="52"/>
      <c r="N15" s="52"/>
      <c r="O15" s="52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3"/>
      <c r="BF15" s="53"/>
      <c r="BG15" s="53"/>
      <c r="BH15" s="53"/>
      <c r="BI15" s="63"/>
      <c r="BJ15" s="30"/>
      <c r="BK15" s="30"/>
      <c r="BL15" s="30"/>
      <c r="BM15" s="30"/>
      <c r="BN15" s="34"/>
    </row>
    <row r="16" spans="1:66" ht="20.100000000000001" customHeight="1" x14ac:dyDescent="0.45">
      <c r="A16" s="31"/>
      <c r="B16" s="30"/>
      <c r="C16" s="30"/>
      <c r="D16" s="59" t="s">
        <v>21</v>
      </c>
      <c r="E16" s="51"/>
      <c r="F16" s="51"/>
      <c r="G16" s="66"/>
      <c r="H16" s="52" t="s">
        <v>837</v>
      </c>
      <c r="I16" s="52"/>
      <c r="J16" s="52"/>
      <c r="K16" s="52"/>
      <c r="L16" s="52"/>
      <c r="M16" s="52"/>
      <c r="N16" s="52"/>
      <c r="O16" s="52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3"/>
      <c r="BF16" s="53"/>
      <c r="BG16" s="53"/>
      <c r="BH16" s="53"/>
      <c r="BI16" s="63"/>
      <c r="BJ16" s="30"/>
      <c r="BK16" s="30"/>
      <c r="BL16" s="30"/>
      <c r="BM16" s="30"/>
      <c r="BN16" s="34"/>
    </row>
    <row r="17" spans="1:66" ht="20.100000000000001" customHeight="1" thickBot="1" x14ac:dyDescent="0.5">
      <c r="A17" s="31"/>
      <c r="B17" s="30"/>
      <c r="C17" s="30"/>
      <c r="D17" s="55"/>
      <c r="E17" s="56"/>
      <c r="F17" s="56"/>
      <c r="G17" s="67"/>
      <c r="H17" s="73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33"/>
      <c r="BF17" s="33"/>
      <c r="BG17" s="33"/>
      <c r="BH17" s="33"/>
      <c r="BI17" s="27"/>
      <c r="BJ17" s="30"/>
      <c r="BK17" s="30"/>
      <c r="BL17" s="30"/>
      <c r="BM17" s="30"/>
      <c r="BN17" s="34"/>
    </row>
    <row r="18" spans="1:66" ht="20.100000000000001" customHeight="1" thickTop="1" x14ac:dyDescent="0.45">
      <c r="A18" s="31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4"/>
    </row>
    <row r="19" spans="1:66" ht="20.100000000000001" customHeight="1" x14ac:dyDescent="0.45">
      <c r="A19" s="31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4"/>
    </row>
    <row r="20" spans="1:66" ht="20.100000000000001" customHeight="1" x14ac:dyDescent="0.45">
      <c r="A20" s="3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4"/>
    </row>
    <row r="21" spans="1:66" ht="20.100000000000001" customHeight="1" x14ac:dyDescent="0.45">
      <c r="A21" s="31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4"/>
    </row>
    <row r="22" spans="1:66" ht="20.100000000000001" customHeight="1" x14ac:dyDescent="0.45">
      <c r="A22" s="31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4"/>
    </row>
    <row r="23" spans="1:66" ht="20.100000000000001" customHeight="1" x14ac:dyDescent="0.45">
      <c r="A23" s="31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4"/>
    </row>
    <row r="24" spans="1:66" ht="20.100000000000001" customHeight="1" x14ac:dyDescent="0.45">
      <c r="A24" s="31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4"/>
    </row>
    <row r="25" spans="1:66" ht="20.100000000000001" customHeight="1" x14ac:dyDescent="0.45">
      <c r="A25" s="31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4"/>
    </row>
    <row r="26" spans="1:66" ht="20.100000000000001" customHeight="1" thickBot="1" x14ac:dyDescent="0.5">
      <c r="A26" s="31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4"/>
    </row>
    <row r="27" spans="1:66" ht="20.100000000000001" customHeight="1" thickTop="1" x14ac:dyDescent="0.45">
      <c r="A27" s="30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0"/>
    </row>
    <row r="28" spans="1:66" ht="20.100000000000001" customHeight="1" x14ac:dyDescent="0.4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</row>
    <row r="29" spans="1:66" ht="20.100000000000001" customHeight="1" x14ac:dyDescent="0.4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</row>
    <row r="30" spans="1:66" ht="20.100000000000001" customHeight="1" x14ac:dyDescent="0.4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</row>
    <row r="31" spans="1:66" ht="5.0999999999999996" customHeight="1" x14ac:dyDescent="0.45"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</row>
    <row r="32" spans="1:66" ht="20.100000000000001" customHeight="1" x14ac:dyDescent="0.45"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9"/>
      <c r="B2" s="184" t="s">
        <v>0</v>
      </c>
      <c r="C2" s="185"/>
      <c r="D2" s="185"/>
      <c r="E2" s="185"/>
      <c r="F2" s="185"/>
      <c r="G2" s="185"/>
      <c r="H2" s="185" t="s">
        <v>17</v>
      </c>
      <c r="I2" s="185"/>
      <c r="J2" s="185"/>
      <c r="K2" s="185"/>
      <c r="L2" s="185" t="s">
        <v>1</v>
      </c>
      <c r="M2" s="185"/>
      <c r="N2" s="185"/>
      <c r="O2" s="185"/>
      <c r="P2" s="185"/>
      <c r="Q2" s="185"/>
      <c r="R2" s="185" t="s">
        <v>2</v>
      </c>
      <c r="S2" s="185"/>
      <c r="T2" s="185"/>
      <c r="U2" s="185"/>
      <c r="V2" s="185"/>
      <c r="W2" s="185"/>
      <c r="X2" s="186" t="s">
        <v>3</v>
      </c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8"/>
      <c r="AK2" s="186" t="s">
        <v>32</v>
      </c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8"/>
      <c r="AX2" s="185" t="s">
        <v>5</v>
      </c>
      <c r="AY2" s="185"/>
      <c r="AZ2" s="185"/>
      <c r="BA2" s="185"/>
      <c r="BB2" s="185" t="s">
        <v>4</v>
      </c>
      <c r="BC2" s="185"/>
      <c r="BD2" s="185"/>
      <c r="BE2" s="185"/>
      <c r="BF2" s="185" t="s">
        <v>6</v>
      </c>
      <c r="BG2" s="185"/>
      <c r="BH2" s="185"/>
      <c r="BI2" s="185"/>
      <c r="BJ2" s="185" t="s">
        <v>7</v>
      </c>
      <c r="BK2" s="185"/>
      <c r="BL2" s="185"/>
      <c r="BM2" s="199"/>
      <c r="BN2" s="14"/>
    </row>
    <row r="3" spans="1:66" ht="20.100000000000001" customHeight="1" x14ac:dyDescent="0.45">
      <c r="A3" s="9"/>
      <c r="B3" s="189" t="str">
        <f>変更履歴!B3</f>
        <v>受発注システム</v>
      </c>
      <c r="C3" s="190"/>
      <c r="D3" s="190"/>
      <c r="E3" s="190"/>
      <c r="F3" s="190"/>
      <c r="G3" s="190"/>
      <c r="H3" s="190" t="str">
        <f ca="1">変更履歴!H3</f>
        <v>KH0500</v>
      </c>
      <c r="I3" s="190"/>
      <c r="J3" s="190"/>
      <c r="K3" s="190"/>
      <c r="L3" s="190" t="str">
        <f>変更履歴!L3</f>
        <v>受発注</v>
      </c>
      <c r="M3" s="190"/>
      <c r="N3" s="190"/>
      <c r="O3" s="190"/>
      <c r="P3" s="190"/>
      <c r="Q3" s="190"/>
      <c r="R3" s="190" t="str">
        <f ca="1">変更履歴!R3</f>
        <v>インポート_帳票設計書</v>
      </c>
      <c r="S3" s="190"/>
      <c r="T3" s="190"/>
      <c r="U3" s="190"/>
      <c r="V3" s="190"/>
      <c r="W3" s="190"/>
      <c r="X3" s="194" t="str">
        <f ca="1">変更履歴!X3</f>
        <v>KH0500_EXCEL仕訳TXT_インポート_帳票設計書</v>
      </c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1"/>
      <c r="AK3" s="194" t="str">
        <f ca="1">変更履歴!AK3</f>
        <v>EXCEL仕訳TXT</v>
      </c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1"/>
      <c r="AX3" s="201">
        <f>変更履歴!AX3</f>
        <v>45539</v>
      </c>
      <c r="AY3" s="201"/>
      <c r="AZ3" s="201"/>
      <c r="BA3" s="201"/>
      <c r="BB3" s="190" t="str">
        <f>変更履歴!BB3</f>
        <v>大谷</v>
      </c>
      <c r="BC3" s="190"/>
      <c r="BD3" s="190"/>
      <c r="BE3" s="190"/>
      <c r="BF3" s="201">
        <f>変更履歴!BF3</f>
        <v>45539</v>
      </c>
      <c r="BG3" s="201"/>
      <c r="BH3" s="201"/>
      <c r="BI3" s="201"/>
      <c r="BJ3" s="190" t="str">
        <f>変更履歴!BJ3</f>
        <v>大谷</v>
      </c>
      <c r="BK3" s="190"/>
      <c r="BL3" s="190"/>
      <c r="BM3" s="202"/>
      <c r="BN3" s="14"/>
    </row>
    <row r="4" spans="1:66" ht="20.100000000000001" customHeight="1" thickBot="1" x14ac:dyDescent="0.5">
      <c r="A4" s="9"/>
      <c r="B4" s="191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6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96"/>
      <c r="AL4" s="197"/>
      <c r="AM4" s="197"/>
      <c r="AN4" s="197"/>
      <c r="AO4" s="197"/>
      <c r="AP4" s="197"/>
      <c r="AQ4" s="197"/>
      <c r="AR4" s="197"/>
      <c r="AS4" s="197"/>
      <c r="AT4" s="197"/>
      <c r="AU4" s="197"/>
      <c r="AV4" s="197"/>
      <c r="AW4" s="198"/>
      <c r="AX4" s="210"/>
      <c r="AY4" s="210"/>
      <c r="AZ4" s="210"/>
      <c r="BA4" s="210"/>
      <c r="BB4" s="192"/>
      <c r="BC4" s="192"/>
      <c r="BD4" s="192"/>
      <c r="BE4" s="192"/>
      <c r="BF4" s="210"/>
      <c r="BG4" s="210"/>
      <c r="BH4" s="210"/>
      <c r="BI4" s="210"/>
      <c r="BJ4" s="192"/>
      <c r="BK4" s="192"/>
      <c r="BL4" s="192"/>
      <c r="BM4" s="194"/>
      <c r="BN4" s="14"/>
    </row>
    <row r="5" spans="1:66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</row>
    <row r="6" spans="1:66" ht="20.100000000000001" customHeight="1" thickBot="1" x14ac:dyDescent="0.5">
      <c r="A6" s="30"/>
      <c r="B6" s="43" t="s">
        <v>45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0"/>
    </row>
    <row r="7" spans="1:66" ht="20.100000000000001" customHeight="1" thickTop="1" x14ac:dyDescent="0.45">
      <c r="A7" s="9"/>
      <c r="B7" s="7"/>
      <c r="C7" s="1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4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4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4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4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4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4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4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4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4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4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4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4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4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4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4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4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4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4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4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4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4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4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4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4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4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4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4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4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4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4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4"/>
    </row>
    <row r="39" spans="1:66" ht="20.100000000000001" customHeight="1" x14ac:dyDescent="0.45">
      <c r="B39" s="14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4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4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4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4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4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4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4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6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27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</row>
    <row r="2" spans="1:66" ht="20.100000000000001" customHeight="1" thickTop="1" x14ac:dyDescent="0.45">
      <c r="A2" s="31"/>
      <c r="B2" s="184" t="s">
        <v>0</v>
      </c>
      <c r="C2" s="185"/>
      <c r="D2" s="185"/>
      <c r="E2" s="185"/>
      <c r="F2" s="185"/>
      <c r="G2" s="185"/>
      <c r="H2" s="185" t="s">
        <v>17</v>
      </c>
      <c r="I2" s="185"/>
      <c r="J2" s="185"/>
      <c r="K2" s="185"/>
      <c r="L2" s="185" t="s">
        <v>1</v>
      </c>
      <c r="M2" s="185"/>
      <c r="N2" s="185"/>
      <c r="O2" s="185"/>
      <c r="P2" s="185"/>
      <c r="Q2" s="185"/>
      <c r="R2" s="185" t="s">
        <v>2</v>
      </c>
      <c r="S2" s="185"/>
      <c r="T2" s="185"/>
      <c r="U2" s="185"/>
      <c r="V2" s="185"/>
      <c r="W2" s="185"/>
      <c r="X2" s="186" t="s">
        <v>3</v>
      </c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8"/>
      <c r="AK2" s="186" t="s">
        <v>32</v>
      </c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8"/>
      <c r="AX2" s="185" t="s">
        <v>5</v>
      </c>
      <c r="AY2" s="185"/>
      <c r="AZ2" s="185"/>
      <c r="BA2" s="185"/>
      <c r="BB2" s="185" t="s">
        <v>4</v>
      </c>
      <c r="BC2" s="185"/>
      <c r="BD2" s="185"/>
      <c r="BE2" s="185"/>
      <c r="BF2" s="185" t="s">
        <v>6</v>
      </c>
      <c r="BG2" s="185"/>
      <c r="BH2" s="185"/>
      <c r="BI2" s="185"/>
      <c r="BJ2" s="185" t="s">
        <v>7</v>
      </c>
      <c r="BK2" s="185"/>
      <c r="BL2" s="185"/>
      <c r="BM2" s="199"/>
      <c r="BN2" s="34"/>
    </row>
    <row r="3" spans="1:66" ht="20.100000000000001" customHeight="1" x14ac:dyDescent="0.45">
      <c r="A3" s="31"/>
      <c r="B3" s="189" t="str">
        <f>変更履歴!B3</f>
        <v>受発注システム</v>
      </c>
      <c r="C3" s="190"/>
      <c r="D3" s="190"/>
      <c r="E3" s="190"/>
      <c r="F3" s="190"/>
      <c r="G3" s="190"/>
      <c r="H3" s="190" t="str">
        <f ca="1">変更履歴!H3</f>
        <v>KH0500</v>
      </c>
      <c r="I3" s="190"/>
      <c r="J3" s="190"/>
      <c r="K3" s="190"/>
      <c r="L3" s="190" t="str">
        <f>変更履歴!L3</f>
        <v>受発注</v>
      </c>
      <c r="M3" s="190"/>
      <c r="N3" s="190"/>
      <c r="O3" s="190"/>
      <c r="P3" s="190"/>
      <c r="Q3" s="190"/>
      <c r="R3" s="190" t="str">
        <f ca="1">変更履歴!R3</f>
        <v>インポート_帳票設計書</v>
      </c>
      <c r="S3" s="190"/>
      <c r="T3" s="190"/>
      <c r="U3" s="190"/>
      <c r="V3" s="190"/>
      <c r="W3" s="190"/>
      <c r="X3" s="194" t="str">
        <f ca="1">変更履歴!X3</f>
        <v>KH0500_EXCEL仕訳TXT_インポート_帳票設計書</v>
      </c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1"/>
      <c r="AK3" s="194" t="str">
        <f ca="1">変更履歴!AK3</f>
        <v>EXCEL仕訳TXT</v>
      </c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1"/>
      <c r="AX3" s="201">
        <f>変更履歴!AX3</f>
        <v>45539</v>
      </c>
      <c r="AY3" s="201"/>
      <c r="AZ3" s="201"/>
      <c r="BA3" s="201"/>
      <c r="BB3" s="190" t="str">
        <f>変更履歴!BB3</f>
        <v>大谷</v>
      </c>
      <c r="BC3" s="190"/>
      <c r="BD3" s="190"/>
      <c r="BE3" s="190"/>
      <c r="BF3" s="201">
        <f>変更履歴!BF3</f>
        <v>45539</v>
      </c>
      <c r="BG3" s="201"/>
      <c r="BH3" s="201"/>
      <c r="BI3" s="201"/>
      <c r="BJ3" s="190" t="str">
        <f>変更履歴!BJ3</f>
        <v>大谷</v>
      </c>
      <c r="BK3" s="190"/>
      <c r="BL3" s="190"/>
      <c r="BM3" s="202"/>
      <c r="BN3" s="34"/>
    </row>
    <row r="4" spans="1:66" ht="20.100000000000001" customHeight="1" thickBot="1" x14ac:dyDescent="0.5">
      <c r="A4" s="31"/>
      <c r="B4" s="191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6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96"/>
      <c r="AL4" s="197"/>
      <c r="AM4" s="197"/>
      <c r="AN4" s="197"/>
      <c r="AO4" s="197"/>
      <c r="AP4" s="197"/>
      <c r="AQ4" s="197"/>
      <c r="AR4" s="197"/>
      <c r="AS4" s="197"/>
      <c r="AT4" s="197"/>
      <c r="AU4" s="197"/>
      <c r="AV4" s="197"/>
      <c r="AW4" s="198"/>
      <c r="AX4" s="210"/>
      <c r="AY4" s="210"/>
      <c r="AZ4" s="210"/>
      <c r="BA4" s="210"/>
      <c r="BB4" s="192"/>
      <c r="BC4" s="192"/>
      <c r="BD4" s="192"/>
      <c r="BE4" s="192"/>
      <c r="BF4" s="210"/>
      <c r="BG4" s="210"/>
      <c r="BH4" s="210"/>
      <c r="BI4" s="210"/>
      <c r="BJ4" s="192"/>
      <c r="BK4" s="192"/>
      <c r="BL4" s="192"/>
      <c r="BM4" s="194"/>
      <c r="BN4" s="34"/>
    </row>
    <row r="5" spans="1:66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</row>
    <row r="6" spans="1:66" ht="20.100000000000001" customHeight="1" thickBot="1" x14ac:dyDescent="0.5">
      <c r="A6" s="30"/>
      <c r="B6" s="43" t="s">
        <v>45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0"/>
    </row>
    <row r="7" spans="1:66" ht="20.100000000000001" customHeight="1" thickTop="1" x14ac:dyDescent="0.45">
      <c r="A7" s="31"/>
      <c r="B7" s="30"/>
      <c r="C7" s="38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4"/>
    </row>
    <row r="8" spans="1:66" ht="20.100000000000001" customHeight="1" x14ac:dyDescent="0.45">
      <c r="A8" s="31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28"/>
      <c r="BH8" s="28"/>
      <c r="BI8" s="28"/>
      <c r="BJ8" s="28"/>
      <c r="BK8" s="30"/>
      <c r="BL8" s="30"/>
      <c r="BM8" s="30"/>
      <c r="BN8" s="34"/>
    </row>
    <row r="9" spans="1:66" ht="20.100000000000001" customHeight="1" x14ac:dyDescent="0.45">
      <c r="A9" s="31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28"/>
      <c r="BH9" s="28"/>
      <c r="BI9" s="28"/>
      <c r="BJ9" s="28"/>
      <c r="BK9" s="30"/>
      <c r="BL9" s="30"/>
      <c r="BM9" s="30"/>
      <c r="BN9" s="34"/>
    </row>
    <row r="10" spans="1:66" ht="20.100000000000001" customHeight="1" x14ac:dyDescent="0.45">
      <c r="A10" s="31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28"/>
      <c r="BH10" s="28"/>
      <c r="BI10" s="28"/>
      <c r="BJ10" s="28"/>
      <c r="BK10" s="30"/>
      <c r="BL10" s="30"/>
      <c r="BM10" s="30"/>
      <c r="BN10" s="34"/>
    </row>
    <row r="11" spans="1:66" ht="20.100000000000001" customHeight="1" x14ac:dyDescent="0.45">
      <c r="A11" s="31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28"/>
      <c r="BH11" s="28"/>
      <c r="BI11" s="28"/>
      <c r="BJ11" s="28"/>
      <c r="BK11" s="30"/>
      <c r="BL11" s="30"/>
      <c r="BM11" s="30"/>
      <c r="BN11" s="34"/>
    </row>
    <row r="12" spans="1:66" ht="20.100000000000001" customHeight="1" x14ac:dyDescent="0.45">
      <c r="A12" s="31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28"/>
      <c r="BH12" s="28"/>
      <c r="BI12" s="28"/>
      <c r="BJ12" s="28"/>
      <c r="BK12" s="30"/>
      <c r="BL12" s="30"/>
      <c r="BM12" s="30"/>
      <c r="BN12" s="34"/>
    </row>
    <row r="13" spans="1:66" ht="20.100000000000001" customHeight="1" x14ac:dyDescent="0.45">
      <c r="A13" s="31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28"/>
      <c r="BH13" s="28"/>
      <c r="BI13" s="28"/>
      <c r="BJ13" s="28"/>
      <c r="BK13" s="30"/>
      <c r="BL13" s="30"/>
      <c r="BM13" s="30"/>
      <c r="BN13" s="34"/>
    </row>
    <row r="14" spans="1:66" ht="20.100000000000001" customHeight="1" x14ac:dyDescent="0.45">
      <c r="A14" s="3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28"/>
      <c r="BH14" s="28"/>
      <c r="BI14" s="28"/>
      <c r="BJ14" s="28"/>
      <c r="BK14" s="30"/>
      <c r="BL14" s="30"/>
      <c r="BM14" s="30"/>
      <c r="BN14" s="34"/>
    </row>
    <row r="15" spans="1:66" ht="20.100000000000001" customHeight="1" x14ac:dyDescent="0.45">
      <c r="A15" s="31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28"/>
      <c r="BH15" s="28"/>
      <c r="BI15" s="28"/>
      <c r="BJ15" s="28"/>
      <c r="BK15" s="30"/>
      <c r="BL15" s="30"/>
      <c r="BM15" s="30"/>
      <c r="BN15" s="34"/>
    </row>
    <row r="16" spans="1:66" ht="20.100000000000001" customHeight="1" x14ac:dyDescent="0.45">
      <c r="A16" s="31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28"/>
      <c r="BH16" s="28"/>
      <c r="BI16" s="28"/>
      <c r="BJ16" s="28"/>
      <c r="BK16" s="30"/>
      <c r="BL16" s="30"/>
      <c r="BM16" s="30"/>
      <c r="BN16" s="34"/>
    </row>
    <row r="17" spans="1:66" ht="20.100000000000001" customHeight="1" x14ac:dyDescent="0.45">
      <c r="A17" s="31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28"/>
      <c r="BH17" s="28"/>
      <c r="BI17" s="28"/>
      <c r="BJ17" s="28"/>
      <c r="BK17" s="30"/>
      <c r="BL17" s="30"/>
      <c r="BM17" s="30"/>
      <c r="BN17" s="34"/>
    </row>
    <row r="18" spans="1:66" ht="20.100000000000001" customHeight="1" x14ac:dyDescent="0.45">
      <c r="A18" s="31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28"/>
      <c r="BH18" s="28"/>
      <c r="BI18" s="28"/>
      <c r="BJ18" s="28"/>
      <c r="BK18" s="30"/>
      <c r="BL18" s="30"/>
      <c r="BM18" s="30"/>
      <c r="BN18" s="34"/>
    </row>
    <row r="19" spans="1:66" ht="20.100000000000001" customHeight="1" x14ac:dyDescent="0.45">
      <c r="A19" s="31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28"/>
      <c r="BH19" s="28"/>
      <c r="BI19" s="28"/>
      <c r="BJ19" s="28"/>
      <c r="BK19" s="30"/>
      <c r="BL19" s="30"/>
      <c r="BM19" s="30"/>
      <c r="BN19" s="34"/>
    </row>
    <row r="20" spans="1:66" ht="20.100000000000001" customHeight="1" x14ac:dyDescent="0.45">
      <c r="A20" s="3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28"/>
      <c r="BH20" s="28"/>
      <c r="BI20" s="28"/>
      <c r="BJ20" s="28"/>
      <c r="BK20" s="30"/>
      <c r="BL20" s="30"/>
      <c r="BM20" s="30"/>
      <c r="BN20" s="34"/>
    </row>
    <row r="21" spans="1:66" ht="20.100000000000001" customHeight="1" x14ac:dyDescent="0.45">
      <c r="A21" s="31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28"/>
      <c r="BH21" s="28"/>
      <c r="BI21" s="28"/>
      <c r="BJ21" s="28"/>
      <c r="BK21" s="30"/>
      <c r="BL21" s="30"/>
      <c r="BM21" s="30"/>
      <c r="BN21" s="34"/>
    </row>
    <row r="22" spans="1:66" ht="20.100000000000001" customHeight="1" x14ac:dyDescent="0.45">
      <c r="A22" s="31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28"/>
      <c r="BH22" s="28"/>
      <c r="BI22" s="28"/>
      <c r="BJ22" s="28"/>
      <c r="BK22" s="30"/>
      <c r="BL22" s="30"/>
      <c r="BM22" s="30"/>
      <c r="BN22" s="34"/>
    </row>
    <row r="23" spans="1:66" ht="20.100000000000001" customHeight="1" x14ac:dyDescent="0.45">
      <c r="A23" s="31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28"/>
      <c r="BH23" s="28"/>
      <c r="BI23" s="28"/>
      <c r="BJ23" s="28"/>
      <c r="BK23" s="30"/>
      <c r="BL23" s="30"/>
      <c r="BM23" s="30"/>
      <c r="BN23" s="34"/>
    </row>
    <row r="24" spans="1:66" ht="20.100000000000001" customHeight="1" x14ac:dyDescent="0.45">
      <c r="A24" s="31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28"/>
      <c r="BH24" s="28"/>
      <c r="BI24" s="28"/>
      <c r="BJ24" s="28"/>
      <c r="BK24" s="30"/>
      <c r="BL24" s="30"/>
      <c r="BM24" s="30"/>
      <c r="BN24" s="34"/>
    </row>
    <row r="25" spans="1:66" ht="20.100000000000001" customHeight="1" x14ac:dyDescent="0.45">
      <c r="A25" s="31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28"/>
      <c r="BH25" s="28"/>
      <c r="BI25" s="28"/>
      <c r="BJ25" s="28"/>
      <c r="BK25" s="30"/>
      <c r="BL25" s="30"/>
      <c r="BM25" s="30"/>
      <c r="BN25" s="34"/>
    </row>
    <row r="26" spans="1:66" ht="20.100000000000001" customHeight="1" x14ac:dyDescent="0.45">
      <c r="A26" s="31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28"/>
      <c r="BH26" s="28"/>
      <c r="BI26" s="28"/>
      <c r="BJ26" s="28"/>
      <c r="BK26" s="30"/>
      <c r="BL26" s="30"/>
      <c r="BM26" s="30"/>
      <c r="BN26" s="34"/>
    </row>
    <row r="27" spans="1:66" ht="20.100000000000001" customHeight="1" x14ac:dyDescent="0.45">
      <c r="A27" s="31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28"/>
      <c r="BH27" s="28"/>
      <c r="BI27" s="28"/>
      <c r="BJ27" s="28"/>
      <c r="BK27" s="30"/>
      <c r="BL27" s="30"/>
      <c r="BM27" s="30"/>
      <c r="BN27" s="34"/>
    </row>
    <row r="28" spans="1:66" ht="20.100000000000001" customHeight="1" x14ac:dyDescent="0.45">
      <c r="A28" s="31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28"/>
      <c r="BH28" s="28"/>
      <c r="BI28" s="28"/>
      <c r="BJ28" s="28"/>
      <c r="BK28" s="30"/>
      <c r="BL28" s="30"/>
      <c r="BM28" s="30"/>
      <c r="BN28" s="34"/>
    </row>
    <row r="29" spans="1:66" ht="20.100000000000001" customHeight="1" x14ac:dyDescent="0.45">
      <c r="A29" s="3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28"/>
      <c r="BH29" s="28"/>
      <c r="BI29" s="28"/>
      <c r="BJ29" s="28"/>
      <c r="BK29" s="30"/>
      <c r="BL29" s="30"/>
      <c r="BM29" s="30"/>
      <c r="BN29" s="34"/>
    </row>
    <row r="30" spans="1:66" ht="20.100000000000001" customHeight="1" x14ac:dyDescent="0.45">
      <c r="A30" s="31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28"/>
      <c r="BH30" s="28"/>
      <c r="BI30" s="28"/>
      <c r="BJ30" s="28"/>
      <c r="BK30" s="30"/>
      <c r="BL30" s="30"/>
      <c r="BM30" s="30"/>
      <c r="BN30" s="34"/>
    </row>
    <row r="31" spans="1:66" ht="20.100000000000001" customHeight="1" x14ac:dyDescent="0.45">
      <c r="A31" s="31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28"/>
      <c r="BH31" s="28"/>
      <c r="BI31" s="28"/>
      <c r="BJ31" s="28"/>
      <c r="BK31" s="30"/>
      <c r="BL31" s="30"/>
      <c r="BM31" s="30"/>
      <c r="BN31" s="34"/>
    </row>
    <row r="32" spans="1:66" ht="20.100000000000001" customHeight="1" x14ac:dyDescent="0.45">
      <c r="A32" s="31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28"/>
      <c r="BH32" s="28"/>
      <c r="BI32" s="28"/>
      <c r="BJ32" s="28"/>
      <c r="BK32" s="30"/>
      <c r="BL32" s="30"/>
      <c r="BM32" s="30"/>
      <c r="BN32" s="34"/>
    </row>
    <row r="33" spans="1:66" ht="20.100000000000001" customHeight="1" x14ac:dyDescent="0.45">
      <c r="A33" s="3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28"/>
      <c r="BH33" s="28"/>
      <c r="BI33" s="28"/>
      <c r="BJ33" s="28"/>
      <c r="BK33" s="30"/>
      <c r="BL33" s="30"/>
      <c r="BM33" s="30"/>
      <c r="BN33" s="34"/>
    </row>
    <row r="34" spans="1:66" ht="20.100000000000001" customHeight="1" x14ac:dyDescent="0.45">
      <c r="A34" s="3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4"/>
    </row>
    <row r="35" spans="1:66" ht="20.100000000000001" customHeight="1" x14ac:dyDescent="0.45">
      <c r="A35" s="31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4"/>
    </row>
    <row r="36" spans="1:66" ht="20.100000000000001" customHeight="1" x14ac:dyDescent="0.45">
      <c r="A36" s="31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4"/>
    </row>
    <row r="37" spans="1:66" ht="20.100000000000001" customHeight="1" x14ac:dyDescent="0.45">
      <c r="A37" s="31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4"/>
    </row>
    <row r="38" spans="1:66" ht="20.100000000000001" customHeight="1" x14ac:dyDescent="0.45">
      <c r="A38" s="31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4"/>
    </row>
    <row r="39" spans="1:66" ht="20.100000000000001" customHeight="1" x14ac:dyDescent="0.45">
      <c r="B39" s="34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1"/>
    </row>
    <row r="40" spans="1:66" ht="20.100000000000001" customHeight="1" x14ac:dyDescent="0.45">
      <c r="B40" s="34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1"/>
    </row>
    <row r="41" spans="1:66" ht="20.100000000000001" customHeight="1" x14ac:dyDescent="0.45">
      <c r="B41" s="34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1"/>
    </row>
    <row r="42" spans="1:66" ht="20.100000000000001" customHeight="1" x14ac:dyDescent="0.45">
      <c r="B42" s="34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1"/>
    </row>
    <row r="43" spans="1:66" ht="20.100000000000001" customHeight="1" x14ac:dyDescent="0.45">
      <c r="B43" s="34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1"/>
    </row>
    <row r="44" spans="1:66" ht="20.100000000000001" customHeight="1" x14ac:dyDescent="0.45">
      <c r="B44" s="34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1"/>
    </row>
    <row r="45" spans="1:66" ht="20.100000000000001" customHeight="1" x14ac:dyDescent="0.45">
      <c r="B45" s="34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1"/>
    </row>
    <row r="46" spans="1:66" ht="20.100000000000001" customHeight="1" x14ac:dyDescent="0.45">
      <c r="B46" s="34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1"/>
    </row>
    <row r="47" spans="1:66" ht="20.100000000000001" customHeight="1" thickBot="1" x14ac:dyDescent="0.5">
      <c r="B47" s="26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27"/>
    </row>
    <row r="48" spans="1:66" ht="20.100000000000001" customHeight="1" thickTop="1" x14ac:dyDescent="0.45"/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</row>
    <row r="2" spans="1:66" ht="20.100000000000001" customHeight="1" thickTop="1" x14ac:dyDescent="0.45">
      <c r="A2" s="31"/>
      <c r="B2" s="184" t="s">
        <v>0</v>
      </c>
      <c r="C2" s="185"/>
      <c r="D2" s="185"/>
      <c r="E2" s="185"/>
      <c r="F2" s="185"/>
      <c r="G2" s="185"/>
      <c r="H2" s="185" t="s">
        <v>17</v>
      </c>
      <c r="I2" s="185"/>
      <c r="J2" s="185"/>
      <c r="K2" s="185"/>
      <c r="L2" s="185" t="s">
        <v>1</v>
      </c>
      <c r="M2" s="185"/>
      <c r="N2" s="185"/>
      <c r="O2" s="185"/>
      <c r="P2" s="185"/>
      <c r="Q2" s="185"/>
      <c r="R2" s="185" t="s">
        <v>2</v>
      </c>
      <c r="S2" s="185"/>
      <c r="T2" s="185"/>
      <c r="U2" s="185"/>
      <c r="V2" s="185"/>
      <c r="W2" s="185"/>
      <c r="X2" s="186" t="s">
        <v>3</v>
      </c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8"/>
      <c r="AK2" s="186" t="s">
        <v>32</v>
      </c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8"/>
      <c r="AX2" s="185" t="s">
        <v>5</v>
      </c>
      <c r="AY2" s="185"/>
      <c r="AZ2" s="185"/>
      <c r="BA2" s="185"/>
      <c r="BB2" s="185" t="s">
        <v>4</v>
      </c>
      <c r="BC2" s="185"/>
      <c r="BD2" s="185"/>
      <c r="BE2" s="185"/>
      <c r="BF2" s="185" t="s">
        <v>6</v>
      </c>
      <c r="BG2" s="185"/>
      <c r="BH2" s="185"/>
      <c r="BI2" s="185"/>
      <c r="BJ2" s="185" t="s">
        <v>7</v>
      </c>
      <c r="BK2" s="185"/>
      <c r="BL2" s="185"/>
      <c r="BM2" s="199"/>
      <c r="BN2" s="34"/>
    </row>
    <row r="3" spans="1:66" ht="20.100000000000001" customHeight="1" x14ac:dyDescent="0.45">
      <c r="A3" s="31"/>
      <c r="B3" s="189" t="str">
        <f>変更履歴!B3</f>
        <v>受発注システム</v>
      </c>
      <c r="C3" s="190"/>
      <c r="D3" s="190"/>
      <c r="E3" s="190"/>
      <c r="F3" s="190"/>
      <c r="G3" s="190"/>
      <c r="H3" s="190" t="str">
        <f ca="1">変更履歴!H3</f>
        <v>KH0500</v>
      </c>
      <c r="I3" s="190"/>
      <c r="J3" s="190"/>
      <c r="K3" s="190"/>
      <c r="L3" s="190" t="str">
        <f>変更履歴!L3</f>
        <v>受発注</v>
      </c>
      <c r="M3" s="190"/>
      <c r="N3" s="190"/>
      <c r="O3" s="190"/>
      <c r="P3" s="190"/>
      <c r="Q3" s="190"/>
      <c r="R3" s="190" t="str">
        <f ca="1">変更履歴!R3</f>
        <v>インポート_帳票設計書</v>
      </c>
      <c r="S3" s="190"/>
      <c r="T3" s="190"/>
      <c r="U3" s="190"/>
      <c r="V3" s="190"/>
      <c r="W3" s="190"/>
      <c r="X3" s="194" t="str">
        <f ca="1">変更履歴!X3</f>
        <v>KH0500_EXCEL仕訳TXT_インポート_帳票設計書</v>
      </c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1"/>
      <c r="AK3" s="194" t="str">
        <f ca="1">変更履歴!AK3</f>
        <v>EXCEL仕訳TXT</v>
      </c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1"/>
      <c r="AX3" s="201">
        <f>変更履歴!AX3</f>
        <v>45539</v>
      </c>
      <c r="AY3" s="201"/>
      <c r="AZ3" s="201"/>
      <c r="BA3" s="201"/>
      <c r="BB3" s="190" t="str">
        <f>変更履歴!BB3</f>
        <v>大谷</v>
      </c>
      <c r="BC3" s="190"/>
      <c r="BD3" s="190"/>
      <c r="BE3" s="190"/>
      <c r="BF3" s="201">
        <f>変更履歴!BF3</f>
        <v>45539</v>
      </c>
      <c r="BG3" s="201"/>
      <c r="BH3" s="201"/>
      <c r="BI3" s="201"/>
      <c r="BJ3" s="190" t="str">
        <f>変更履歴!BJ3</f>
        <v>大谷</v>
      </c>
      <c r="BK3" s="190"/>
      <c r="BL3" s="190"/>
      <c r="BM3" s="202"/>
      <c r="BN3" s="34"/>
    </row>
    <row r="4" spans="1:66" ht="20.100000000000001" customHeight="1" thickBot="1" x14ac:dyDescent="0.5">
      <c r="A4" s="31"/>
      <c r="B4" s="191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6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96"/>
      <c r="AL4" s="197"/>
      <c r="AM4" s="197"/>
      <c r="AN4" s="197"/>
      <c r="AO4" s="197"/>
      <c r="AP4" s="197"/>
      <c r="AQ4" s="197"/>
      <c r="AR4" s="197"/>
      <c r="AS4" s="197"/>
      <c r="AT4" s="197"/>
      <c r="AU4" s="197"/>
      <c r="AV4" s="197"/>
      <c r="AW4" s="198"/>
      <c r="AX4" s="210"/>
      <c r="AY4" s="210"/>
      <c r="AZ4" s="210"/>
      <c r="BA4" s="210"/>
      <c r="BB4" s="192"/>
      <c r="BC4" s="192"/>
      <c r="BD4" s="192"/>
      <c r="BE4" s="192"/>
      <c r="BF4" s="210"/>
      <c r="BG4" s="210"/>
      <c r="BH4" s="210"/>
      <c r="BI4" s="210"/>
      <c r="BJ4" s="192"/>
      <c r="BK4" s="192"/>
      <c r="BL4" s="192"/>
      <c r="BM4" s="194"/>
      <c r="BN4" s="34"/>
    </row>
    <row r="5" spans="1:66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</row>
    <row r="6" spans="1:66" ht="20.100000000000001" customHeight="1" thickBot="1" x14ac:dyDescent="0.5">
      <c r="A6" s="30"/>
      <c r="B6" s="43" t="s">
        <v>45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0"/>
    </row>
    <row r="7" spans="1:66" ht="20.100000000000001" customHeight="1" thickTop="1" x14ac:dyDescent="0.45">
      <c r="A7" s="31"/>
      <c r="B7" s="30"/>
      <c r="C7" s="38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4"/>
    </row>
    <row r="8" spans="1:66" ht="20.100000000000001" customHeight="1" x14ac:dyDescent="0.45">
      <c r="A8" s="31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28"/>
      <c r="BH8" s="28"/>
      <c r="BI8" s="28"/>
      <c r="BJ8" s="28"/>
      <c r="BK8" s="30"/>
      <c r="BL8" s="30"/>
      <c r="BM8" s="30"/>
      <c r="BN8" s="34"/>
    </row>
    <row r="9" spans="1:66" ht="20.100000000000001" customHeight="1" x14ac:dyDescent="0.45">
      <c r="A9" s="31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28"/>
      <c r="BH9" s="28"/>
      <c r="BI9" s="28"/>
      <c r="BJ9" s="28"/>
      <c r="BK9" s="30"/>
      <c r="BL9" s="30"/>
      <c r="BM9" s="30"/>
      <c r="BN9" s="34"/>
    </row>
    <row r="10" spans="1:66" ht="20.100000000000001" customHeight="1" x14ac:dyDescent="0.45">
      <c r="A10" s="31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28"/>
      <c r="BH10" s="28"/>
      <c r="BI10" s="28"/>
      <c r="BJ10" s="28"/>
      <c r="BK10" s="30"/>
      <c r="BL10" s="30"/>
      <c r="BM10" s="30"/>
      <c r="BN10" s="34"/>
    </row>
    <row r="11" spans="1:66" ht="20.100000000000001" customHeight="1" x14ac:dyDescent="0.45">
      <c r="A11" s="31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28"/>
      <c r="BH11" s="28"/>
      <c r="BI11" s="28"/>
      <c r="BJ11" s="28"/>
      <c r="BK11" s="30"/>
      <c r="BL11" s="30"/>
      <c r="BM11" s="30"/>
      <c r="BN11" s="34"/>
    </row>
    <row r="12" spans="1:66" ht="20.100000000000001" customHeight="1" x14ac:dyDescent="0.45">
      <c r="A12" s="31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28"/>
      <c r="BH12" s="28"/>
      <c r="BI12" s="28"/>
      <c r="BJ12" s="28"/>
      <c r="BK12" s="30"/>
      <c r="BL12" s="30"/>
      <c r="BM12" s="30"/>
      <c r="BN12" s="34"/>
    </row>
    <row r="13" spans="1:66" ht="20.100000000000001" customHeight="1" x14ac:dyDescent="0.45">
      <c r="A13" s="31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28"/>
      <c r="BH13" s="28"/>
      <c r="BI13" s="28"/>
      <c r="BJ13" s="28"/>
      <c r="BK13" s="30"/>
      <c r="BL13" s="30"/>
      <c r="BM13" s="30"/>
      <c r="BN13" s="34"/>
    </row>
    <row r="14" spans="1:66" ht="20.100000000000001" customHeight="1" x14ac:dyDescent="0.45">
      <c r="A14" s="3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28"/>
      <c r="BH14" s="28"/>
      <c r="BI14" s="28"/>
      <c r="BJ14" s="28"/>
      <c r="BK14" s="30"/>
      <c r="BL14" s="30"/>
      <c r="BM14" s="30"/>
      <c r="BN14" s="34"/>
    </row>
    <row r="15" spans="1:66" ht="20.100000000000001" customHeight="1" x14ac:dyDescent="0.45">
      <c r="A15" s="31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28"/>
      <c r="BH15" s="28"/>
      <c r="BI15" s="28"/>
      <c r="BJ15" s="28"/>
      <c r="BK15" s="30"/>
      <c r="BL15" s="30"/>
      <c r="BM15" s="30"/>
      <c r="BN15" s="34"/>
    </row>
    <row r="16" spans="1:66" ht="20.100000000000001" customHeight="1" x14ac:dyDescent="0.45">
      <c r="A16" s="31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28"/>
      <c r="BH16" s="28"/>
      <c r="BI16" s="28"/>
      <c r="BJ16" s="28"/>
      <c r="BK16" s="30"/>
      <c r="BL16" s="30"/>
      <c r="BM16" s="30"/>
      <c r="BN16" s="34"/>
    </row>
    <row r="17" spans="1:66" ht="20.100000000000001" customHeight="1" x14ac:dyDescent="0.45">
      <c r="A17" s="31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28"/>
      <c r="BH17" s="28"/>
      <c r="BI17" s="28"/>
      <c r="BJ17" s="28"/>
      <c r="BK17" s="30"/>
      <c r="BL17" s="30"/>
      <c r="BM17" s="30"/>
      <c r="BN17" s="34"/>
    </row>
    <row r="18" spans="1:66" ht="20.100000000000001" customHeight="1" x14ac:dyDescent="0.45">
      <c r="A18" s="31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28"/>
      <c r="BH18" s="28"/>
      <c r="BI18" s="28"/>
      <c r="BJ18" s="28"/>
      <c r="BK18" s="30"/>
      <c r="BL18" s="30"/>
      <c r="BM18" s="30"/>
      <c r="BN18" s="34"/>
    </row>
    <row r="19" spans="1:66" ht="20.100000000000001" customHeight="1" x14ac:dyDescent="0.45">
      <c r="A19" s="31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28"/>
      <c r="BH19" s="28"/>
      <c r="BI19" s="28"/>
      <c r="BJ19" s="28"/>
      <c r="BK19" s="30"/>
      <c r="BL19" s="30"/>
      <c r="BM19" s="30"/>
      <c r="BN19" s="34"/>
    </row>
    <row r="20" spans="1:66" ht="20.100000000000001" customHeight="1" x14ac:dyDescent="0.45">
      <c r="A20" s="3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28"/>
      <c r="BH20" s="28"/>
      <c r="BI20" s="28"/>
      <c r="BJ20" s="28"/>
      <c r="BK20" s="30"/>
      <c r="BL20" s="30"/>
      <c r="BM20" s="30"/>
      <c r="BN20" s="34"/>
    </row>
    <row r="21" spans="1:66" ht="20.100000000000001" customHeight="1" x14ac:dyDescent="0.45">
      <c r="A21" s="31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28"/>
      <c r="BH21" s="28"/>
      <c r="BI21" s="28"/>
      <c r="BJ21" s="28"/>
      <c r="BK21" s="30"/>
      <c r="BL21" s="30"/>
      <c r="BM21" s="30"/>
      <c r="BN21" s="34"/>
    </row>
    <row r="22" spans="1:66" ht="20.100000000000001" customHeight="1" x14ac:dyDescent="0.45">
      <c r="A22" s="31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28"/>
      <c r="BH22" s="28"/>
      <c r="BI22" s="28"/>
      <c r="BJ22" s="28"/>
      <c r="BK22" s="30"/>
      <c r="BL22" s="30"/>
      <c r="BM22" s="30"/>
      <c r="BN22" s="34"/>
    </row>
    <row r="23" spans="1:66" ht="20.100000000000001" customHeight="1" x14ac:dyDescent="0.45">
      <c r="A23" s="31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28"/>
      <c r="BH23" s="28"/>
      <c r="BI23" s="28"/>
      <c r="BJ23" s="28"/>
      <c r="BK23" s="30"/>
      <c r="BL23" s="30"/>
      <c r="BM23" s="30"/>
      <c r="BN23" s="34"/>
    </row>
    <row r="24" spans="1:66" ht="20.100000000000001" customHeight="1" x14ac:dyDescent="0.45">
      <c r="A24" s="31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28"/>
      <c r="BH24" s="28"/>
      <c r="BI24" s="28"/>
      <c r="BJ24" s="28"/>
      <c r="BK24" s="30"/>
      <c r="BL24" s="30"/>
      <c r="BM24" s="30"/>
      <c r="BN24" s="34"/>
    </row>
    <row r="25" spans="1:66" ht="20.100000000000001" customHeight="1" x14ac:dyDescent="0.45">
      <c r="A25" s="31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28"/>
      <c r="BH25" s="28"/>
      <c r="BI25" s="28"/>
      <c r="BJ25" s="28"/>
      <c r="BK25" s="30"/>
      <c r="BL25" s="30"/>
      <c r="BM25" s="30"/>
      <c r="BN25" s="34"/>
    </row>
    <row r="26" spans="1:66" ht="20.100000000000001" customHeight="1" x14ac:dyDescent="0.45">
      <c r="A26" s="31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28"/>
      <c r="BH26" s="28"/>
      <c r="BI26" s="28"/>
      <c r="BJ26" s="28"/>
      <c r="BK26" s="30"/>
      <c r="BL26" s="30"/>
      <c r="BM26" s="30"/>
      <c r="BN26" s="34"/>
    </row>
    <row r="27" spans="1:66" ht="20.100000000000001" customHeight="1" x14ac:dyDescent="0.45">
      <c r="A27" s="31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28"/>
      <c r="BH27" s="28"/>
      <c r="BI27" s="28"/>
      <c r="BJ27" s="28"/>
      <c r="BK27" s="30"/>
      <c r="BL27" s="30"/>
      <c r="BM27" s="30"/>
      <c r="BN27" s="34"/>
    </row>
    <row r="28" spans="1:66" ht="20.100000000000001" customHeight="1" x14ac:dyDescent="0.45">
      <c r="A28" s="31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28"/>
      <c r="BH28" s="28"/>
      <c r="BI28" s="28"/>
      <c r="BJ28" s="28"/>
      <c r="BK28" s="30"/>
      <c r="BL28" s="30"/>
      <c r="BM28" s="30"/>
      <c r="BN28" s="34"/>
    </row>
    <row r="29" spans="1:66" ht="20.100000000000001" customHeight="1" x14ac:dyDescent="0.45">
      <c r="A29" s="3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28"/>
      <c r="BH29" s="28"/>
      <c r="BI29" s="28"/>
      <c r="BJ29" s="28"/>
      <c r="BK29" s="30"/>
      <c r="BL29" s="30"/>
      <c r="BM29" s="30"/>
      <c r="BN29" s="34"/>
    </row>
    <row r="30" spans="1:66" ht="20.100000000000001" customHeight="1" x14ac:dyDescent="0.45">
      <c r="A30" s="31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28"/>
      <c r="BH30" s="28"/>
      <c r="BI30" s="28"/>
      <c r="BJ30" s="28"/>
      <c r="BK30" s="30"/>
      <c r="BL30" s="30"/>
      <c r="BM30" s="30"/>
      <c r="BN30" s="34"/>
    </row>
    <row r="31" spans="1:66" ht="20.100000000000001" customHeight="1" x14ac:dyDescent="0.45">
      <c r="A31" s="31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28"/>
      <c r="BH31" s="28"/>
      <c r="BI31" s="28"/>
      <c r="BJ31" s="28"/>
      <c r="BK31" s="30"/>
      <c r="BL31" s="30"/>
      <c r="BM31" s="30"/>
      <c r="BN31" s="34"/>
    </row>
    <row r="32" spans="1:66" ht="20.100000000000001" customHeight="1" x14ac:dyDescent="0.45">
      <c r="A32" s="31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28"/>
      <c r="BH32" s="28"/>
      <c r="BI32" s="28"/>
      <c r="BJ32" s="28"/>
      <c r="BK32" s="30"/>
      <c r="BL32" s="30"/>
      <c r="BM32" s="30"/>
      <c r="BN32" s="34"/>
    </row>
    <row r="33" spans="1:66" ht="20.100000000000001" customHeight="1" x14ac:dyDescent="0.45">
      <c r="A33" s="3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28"/>
      <c r="BH33" s="28"/>
      <c r="BI33" s="28"/>
      <c r="BJ33" s="28"/>
      <c r="BK33" s="30"/>
      <c r="BL33" s="30"/>
      <c r="BM33" s="30"/>
      <c r="BN33" s="34"/>
    </row>
    <row r="34" spans="1:66" ht="20.100000000000001" customHeight="1" x14ac:dyDescent="0.45">
      <c r="A34" s="3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4"/>
    </row>
    <row r="35" spans="1:66" ht="20.100000000000001" customHeight="1" x14ac:dyDescent="0.45">
      <c r="A35" s="31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4"/>
    </row>
    <row r="36" spans="1:66" ht="20.100000000000001" customHeight="1" x14ac:dyDescent="0.45">
      <c r="A36" s="31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4"/>
    </row>
    <row r="37" spans="1:66" ht="20.100000000000001" customHeight="1" x14ac:dyDescent="0.45">
      <c r="A37" s="31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4"/>
    </row>
    <row r="38" spans="1:66" ht="20.100000000000001" customHeight="1" x14ac:dyDescent="0.45">
      <c r="A38" s="31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4"/>
    </row>
    <row r="39" spans="1:66" ht="20.100000000000001" customHeight="1" x14ac:dyDescent="0.45">
      <c r="B39" s="34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1"/>
    </row>
    <row r="40" spans="1:66" ht="20.100000000000001" customHeight="1" x14ac:dyDescent="0.45">
      <c r="B40" s="34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1"/>
    </row>
    <row r="41" spans="1:66" ht="20.100000000000001" customHeight="1" x14ac:dyDescent="0.45">
      <c r="B41" s="34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1"/>
    </row>
    <row r="42" spans="1:66" ht="20.100000000000001" customHeight="1" x14ac:dyDescent="0.45">
      <c r="B42" s="34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1"/>
    </row>
    <row r="43" spans="1:66" ht="20.100000000000001" customHeight="1" x14ac:dyDescent="0.45">
      <c r="B43" s="34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1"/>
    </row>
    <row r="44" spans="1:66" ht="20.100000000000001" customHeight="1" x14ac:dyDescent="0.45">
      <c r="B44" s="34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1"/>
    </row>
    <row r="45" spans="1:66" ht="20.100000000000001" customHeight="1" x14ac:dyDescent="0.45">
      <c r="B45" s="34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1"/>
    </row>
    <row r="46" spans="1:66" ht="20.100000000000001" customHeight="1" x14ac:dyDescent="0.45">
      <c r="B46" s="34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1"/>
    </row>
    <row r="47" spans="1:66" ht="20.100000000000001" customHeight="1" thickBot="1" x14ac:dyDescent="0.5">
      <c r="B47" s="26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27"/>
    </row>
    <row r="48" spans="1:66" ht="20.100000000000001" customHeight="1" thickTop="1" x14ac:dyDescent="0.45"/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M76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91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</row>
    <row r="2" spans="1:91" ht="20.100000000000001" customHeight="1" thickTop="1" x14ac:dyDescent="0.45">
      <c r="A2" s="31"/>
      <c r="B2" s="184" t="s">
        <v>0</v>
      </c>
      <c r="C2" s="185"/>
      <c r="D2" s="185"/>
      <c r="E2" s="185"/>
      <c r="F2" s="185"/>
      <c r="G2" s="185"/>
      <c r="H2" s="185" t="s">
        <v>17</v>
      </c>
      <c r="I2" s="185"/>
      <c r="J2" s="185"/>
      <c r="K2" s="185"/>
      <c r="L2" s="185" t="s">
        <v>1</v>
      </c>
      <c r="M2" s="185"/>
      <c r="N2" s="185"/>
      <c r="O2" s="185"/>
      <c r="P2" s="185"/>
      <c r="Q2" s="185"/>
      <c r="R2" s="185" t="s">
        <v>2</v>
      </c>
      <c r="S2" s="185"/>
      <c r="T2" s="185"/>
      <c r="U2" s="185"/>
      <c r="V2" s="185"/>
      <c r="W2" s="185"/>
      <c r="X2" s="186" t="s">
        <v>3</v>
      </c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8"/>
      <c r="AK2" s="186" t="s">
        <v>32</v>
      </c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8"/>
      <c r="AX2" s="185" t="s">
        <v>5</v>
      </c>
      <c r="AY2" s="185"/>
      <c r="AZ2" s="185"/>
      <c r="BA2" s="185"/>
      <c r="BB2" s="185" t="s">
        <v>4</v>
      </c>
      <c r="BC2" s="185"/>
      <c r="BD2" s="185"/>
      <c r="BE2" s="185"/>
      <c r="BF2" s="185" t="s">
        <v>6</v>
      </c>
      <c r="BG2" s="185"/>
      <c r="BH2" s="185"/>
      <c r="BI2" s="185"/>
      <c r="BJ2" s="185" t="s">
        <v>7</v>
      </c>
      <c r="BK2" s="185"/>
      <c r="BL2" s="185"/>
      <c r="BM2" s="199"/>
      <c r="BN2" s="34"/>
    </row>
    <row r="3" spans="1:91" ht="20.100000000000001" customHeight="1" x14ac:dyDescent="0.45">
      <c r="A3" s="31"/>
      <c r="B3" s="189" t="str">
        <f>[1]変更履歴!B3</f>
        <v>XXXXXXXX</v>
      </c>
      <c r="C3" s="190"/>
      <c r="D3" s="190"/>
      <c r="E3" s="190"/>
      <c r="F3" s="190"/>
      <c r="G3" s="190"/>
      <c r="H3" s="190" t="str">
        <f>[1]変更履歴!H3</f>
        <v>KH0300</v>
      </c>
      <c r="I3" s="190"/>
      <c r="J3" s="190"/>
      <c r="K3" s="190"/>
      <c r="L3" s="190" t="str">
        <f>[1]変更履歴!L3</f>
        <v>運用自動化</v>
      </c>
      <c r="M3" s="190"/>
      <c r="N3" s="190"/>
      <c r="O3" s="190"/>
      <c r="P3" s="190"/>
      <c r="Q3" s="190"/>
      <c r="R3" s="190" t="str">
        <f>[1]変更履歴!R3</f>
        <v>インポート_帳票設計書</v>
      </c>
      <c r="S3" s="190"/>
      <c r="T3" s="190"/>
      <c r="U3" s="190"/>
      <c r="V3" s="190"/>
      <c r="W3" s="190"/>
      <c r="X3" s="194" t="str">
        <f>[1]変更履歴!X3</f>
        <v>KH0300_経費データ仕訳TXT_インポート_帳票設計書</v>
      </c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1"/>
      <c r="AK3" s="194" t="str">
        <f>[1]変更履歴!AK3</f>
        <v>経費データ仕訳TXT</v>
      </c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1"/>
      <c r="AX3" s="201">
        <f>[1]変更履歴!AX3</f>
        <v>0</v>
      </c>
      <c r="AY3" s="201"/>
      <c r="AZ3" s="201"/>
      <c r="BA3" s="201"/>
      <c r="BB3" s="190">
        <f>[1]変更履歴!BB3</f>
        <v>0</v>
      </c>
      <c r="BC3" s="190"/>
      <c r="BD3" s="190"/>
      <c r="BE3" s="190"/>
      <c r="BF3" s="201">
        <f>[1]変更履歴!BF3</f>
        <v>0</v>
      </c>
      <c r="BG3" s="201"/>
      <c r="BH3" s="201"/>
      <c r="BI3" s="201"/>
      <c r="BJ3" s="190">
        <f>[1]変更履歴!BJ3</f>
        <v>0</v>
      </c>
      <c r="BK3" s="190"/>
      <c r="BL3" s="190"/>
      <c r="BM3" s="202"/>
      <c r="BN3" s="34"/>
    </row>
    <row r="4" spans="1:91" ht="20.100000000000001" customHeight="1" thickBot="1" x14ac:dyDescent="0.5">
      <c r="A4" s="31"/>
      <c r="B4" s="191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6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96"/>
      <c r="AL4" s="197"/>
      <c r="AM4" s="197"/>
      <c r="AN4" s="197"/>
      <c r="AO4" s="197"/>
      <c r="AP4" s="197"/>
      <c r="AQ4" s="197"/>
      <c r="AR4" s="197"/>
      <c r="AS4" s="197"/>
      <c r="AT4" s="197"/>
      <c r="AU4" s="197"/>
      <c r="AV4" s="197"/>
      <c r="AW4" s="198"/>
      <c r="AX4" s="210"/>
      <c r="AY4" s="210"/>
      <c r="AZ4" s="210"/>
      <c r="BA4" s="210"/>
      <c r="BB4" s="192"/>
      <c r="BC4" s="192"/>
      <c r="BD4" s="192"/>
      <c r="BE4" s="192"/>
      <c r="BF4" s="210"/>
      <c r="BG4" s="210"/>
      <c r="BH4" s="210"/>
      <c r="BI4" s="210"/>
      <c r="BJ4" s="192"/>
      <c r="BK4" s="192"/>
      <c r="BL4" s="192"/>
      <c r="BM4" s="194"/>
      <c r="BN4" s="34"/>
    </row>
    <row r="5" spans="1:91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</row>
    <row r="6" spans="1:91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</row>
    <row r="7" spans="1:91" ht="20.100000000000001" customHeight="1" thickBot="1" x14ac:dyDescent="0.5">
      <c r="A7" s="30"/>
      <c r="B7" s="43" t="s">
        <v>18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</row>
    <row r="8" spans="1:91" ht="20.100000000000001" customHeight="1" thickTop="1" x14ac:dyDescent="0.45">
      <c r="A8" s="30"/>
      <c r="B8" s="4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70"/>
    </row>
    <row r="9" spans="1:91" ht="20.100000000000001" customHeight="1" thickBot="1" x14ac:dyDescent="0.5">
      <c r="A9" s="29"/>
      <c r="B9" s="34"/>
      <c r="C9" s="38" t="s">
        <v>46</v>
      </c>
      <c r="D9" s="33"/>
      <c r="E9" s="33"/>
      <c r="F9" s="86" t="s">
        <v>52</v>
      </c>
      <c r="G9" s="33"/>
      <c r="H9" s="33"/>
      <c r="I9" s="33"/>
      <c r="J9" s="33"/>
      <c r="K9" s="33"/>
      <c r="L9" s="33"/>
      <c r="M9" s="33"/>
      <c r="N9" s="33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28"/>
      <c r="BA9" s="28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30"/>
      <c r="BV9" s="30"/>
      <c r="BW9" s="30"/>
      <c r="BX9" s="30"/>
      <c r="BY9" s="30"/>
      <c r="BZ9" s="30"/>
      <c r="CA9" s="31"/>
    </row>
    <row r="10" spans="1:91" s="5" customFormat="1" ht="18.600000000000001" customHeight="1" thickTop="1" x14ac:dyDescent="0.45">
      <c r="A10" s="29"/>
      <c r="B10" s="42"/>
      <c r="C10" s="31"/>
      <c r="D10" s="37" t="s">
        <v>19</v>
      </c>
      <c r="E10" s="237" t="s">
        <v>20</v>
      </c>
      <c r="F10" s="238"/>
      <c r="G10" s="238"/>
      <c r="H10" s="238"/>
      <c r="I10" s="238"/>
      <c r="J10" s="238"/>
      <c r="K10" s="238"/>
      <c r="L10" s="239"/>
      <c r="M10" s="240" t="s">
        <v>24</v>
      </c>
      <c r="N10" s="241"/>
      <c r="O10" s="241"/>
      <c r="P10" s="240" t="s">
        <v>33</v>
      </c>
      <c r="Q10" s="241"/>
      <c r="R10" s="241"/>
      <c r="S10" s="240" t="s">
        <v>34</v>
      </c>
      <c r="T10" s="241"/>
      <c r="U10" s="241"/>
      <c r="V10" s="240" t="s">
        <v>36</v>
      </c>
      <c r="W10" s="241"/>
      <c r="X10" s="241"/>
      <c r="Y10" s="241"/>
      <c r="Z10" s="241"/>
      <c r="AA10" s="242"/>
      <c r="AB10" s="240" t="s">
        <v>762</v>
      </c>
      <c r="AC10" s="241"/>
      <c r="AD10" s="241"/>
      <c r="AE10" s="241"/>
      <c r="AF10" s="241"/>
      <c r="AG10" s="242"/>
      <c r="AH10" s="240" t="s">
        <v>35</v>
      </c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2"/>
      <c r="AX10" s="240" t="s">
        <v>42</v>
      </c>
      <c r="AY10" s="241"/>
      <c r="AZ10" s="241"/>
      <c r="BA10" s="241"/>
      <c r="BB10" s="241"/>
      <c r="BC10" s="242"/>
      <c r="BD10" s="240" t="s">
        <v>43</v>
      </c>
      <c r="BE10" s="241"/>
      <c r="BF10" s="241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  <c r="BW10" s="241"/>
      <c r="BX10" s="241"/>
      <c r="BY10" s="241"/>
      <c r="BZ10" s="243"/>
      <c r="CA10" s="40"/>
      <c r="CB10" s="39"/>
      <c r="CC10" s="40"/>
      <c r="CD10" s="40"/>
      <c r="CE10" s="40"/>
      <c r="CF10" s="40"/>
      <c r="CG10" s="40"/>
      <c r="CH10" s="29"/>
      <c r="CI10" s="29"/>
      <c r="CJ10" s="29"/>
      <c r="CK10" s="29"/>
      <c r="CL10" s="29"/>
      <c r="CM10" s="29"/>
    </row>
    <row r="11" spans="1:91" s="5" customFormat="1" ht="20.100000000000001" customHeight="1" x14ac:dyDescent="0.45">
      <c r="A11" s="29"/>
      <c r="B11" s="42"/>
      <c r="C11" s="31"/>
      <c r="D11" s="36">
        <v>1</v>
      </c>
      <c r="E11" s="217" t="s">
        <v>808</v>
      </c>
      <c r="F11" s="218"/>
      <c r="G11" s="218"/>
      <c r="H11" s="218"/>
      <c r="I11" s="218"/>
      <c r="J11" s="218"/>
      <c r="K11" s="218"/>
      <c r="L11" s="219"/>
      <c r="M11" s="209" t="s">
        <v>47</v>
      </c>
      <c r="N11" s="204"/>
      <c r="O11" s="204"/>
      <c r="P11" s="209" t="s">
        <v>835</v>
      </c>
      <c r="Q11" s="204"/>
      <c r="R11" s="204"/>
      <c r="S11" s="209"/>
      <c r="T11" s="204"/>
      <c r="U11" s="204"/>
      <c r="V11" s="234" t="s">
        <v>809</v>
      </c>
      <c r="W11" s="235"/>
      <c r="X11" s="235"/>
      <c r="Y11" s="235"/>
      <c r="Z11" s="235"/>
      <c r="AA11" s="236"/>
      <c r="AB11" s="214" t="s">
        <v>779</v>
      </c>
      <c r="AC11" s="215"/>
      <c r="AD11" s="215"/>
      <c r="AE11" s="215"/>
      <c r="AF11" s="215"/>
      <c r="AG11" s="223"/>
      <c r="AH11" s="231" t="s">
        <v>833</v>
      </c>
      <c r="AI11" s="232"/>
      <c r="AJ11" s="232"/>
      <c r="AK11" s="232"/>
      <c r="AL11" s="232"/>
      <c r="AM11" s="232"/>
      <c r="AN11" s="232"/>
      <c r="AO11" s="232"/>
      <c r="AP11" s="232"/>
      <c r="AQ11" s="232"/>
      <c r="AR11" s="232"/>
      <c r="AS11" s="232"/>
      <c r="AT11" s="232"/>
      <c r="AU11" s="232"/>
      <c r="AV11" s="232"/>
      <c r="AW11" s="233"/>
      <c r="AX11" s="209"/>
      <c r="AY11" s="204"/>
      <c r="AZ11" s="204"/>
      <c r="BA11" s="204"/>
      <c r="BB11" s="204"/>
      <c r="BC11" s="205"/>
      <c r="BD11" s="214"/>
      <c r="BE11" s="215"/>
      <c r="BF11" s="215"/>
      <c r="BG11" s="215"/>
      <c r="BH11" s="215"/>
      <c r="BI11" s="215"/>
      <c r="BJ11" s="215"/>
      <c r="BK11" s="215"/>
      <c r="BL11" s="215"/>
      <c r="BM11" s="215"/>
      <c r="BN11" s="215"/>
      <c r="BO11" s="215"/>
      <c r="BP11" s="215"/>
      <c r="BQ11" s="215"/>
      <c r="BR11" s="215"/>
      <c r="BS11" s="215"/>
      <c r="BT11" s="215"/>
      <c r="BU11" s="215"/>
      <c r="BV11" s="215"/>
      <c r="BW11" s="215"/>
      <c r="BX11" s="215"/>
      <c r="BY11" s="215"/>
      <c r="BZ11" s="216"/>
      <c r="CA11" s="40"/>
      <c r="CB11" s="39"/>
      <c r="CC11" s="40"/>
      <c r="CD11" s="40"/>
      <c r="CE11" s="40"/>
      <c r="CF11" s="40"/>
      <c r="CG11" s="40"/>
      <c r="CH11" s="29"/>
      <c r="CI11" s="29"/>
      <c r="CJ11" s="29"/>
      <c r="CK11" s="29"/>
      <c r="CL11" s="29"/>
      <c r="CM11" s="29"/>
    </row>
    <row r="12" spans="1:91" s="5" customFormat="1" ht="20.100000000000001" customHeight="1" x14ac:dyDescent="0.45">
      <c r="A12" s="29"/>
      <c r="B12" s="42"/>
      <c r="C12" s="31"/>
      <c r="D12" s="36">
        <v>2</v>
      </c>
      <c r="E12" s="217" t="s">
        <v>763</v>
      </c>
      <c r="F12" s="218"/>
      <c r="G12" s="218"/>
      <c r="H12" s="218"/>
      <c r="I12" s="218"/>
      <c r="J12" s="218"/>
      <c r="K12" s="218"/>
      <c r="L12" s="219"/>
      <c r="M12" s="209" t="s">
        <v>47</v>
      </c>
      <c r="N12" s="204"/>
      <c r="O12" s="204"/>
      <c r="P12" s="209" t="s">
        <v>835</v>
      </c>
      <c r="Q12" s="204"/>
      <c r="R12" s="204"/>
      <c r="S12" s="209"/>
      <c r="T12" s="204"/>
      <c r="U12" s="204"/>
      <c r="V12" s="234" t="s">
        <v>810</v>
      </c>
      <c r="W12" s="235"/>
      <c r="X12" s="235"/>
      <c r="Y12" s="235"/>
      <c r="Z12" s="235"/>
      <c r="AA12" s="236"/>
      <c r="AB12" s="214" t="s">
        <v>780</v>
      </c>
      <c r="AC12" s="215"/>
      <c r="AD12" s="215"/>
      <c r="AE12" s="215"/>
      <c r="AF12" s="215"/>
      <c r="AG12" s="223"/>
      <c r="AH12" s="231" t="s">
        <v>833</v>
      </c>
      <c r="AI12" s="232"/>
      <c r="AJ12" s="232"/>
      <c r="AK12" s="232"/>
      <c r="AL12" s="232"/>
      <c r="AM12" s="232"/>
      <c r="AN12" s="232"/>
      <c r="AO12" s="232"/>
      <c r="AP12" s="232"/>
      <c r="AQ12" s="232"/>
      <c r="AR12" s="232"/>
      <c r="AS12" s="232"/>
      <c r="AT12" s="232"/>
      <c r="AU12" s="232"/>
      <c r="AV12" s="232"/>
      <c r="AW12" s="233"/>
      <c r="AX12" s="209"/>
      <c r="AY12" s="204"/>
      <c r="AZ12" s="204"/>
      <c r="BA12" s="204"/>
      <c r="BB12" s="204"/>
      <c r="BC12" s="205"/>
      <c r="BD12" s="214"/>
      <c r="BE12" s="215"/>
      <c r="BF12" s="215"/>
      <c r="BG12" s="215"/>
      <c r="BH12" s="215"/>
      <c r="BI12" s="215"/>
      <c r="BJ12" s="215"/>
      <c r="BK12" s="215"/>
      <c r="BL12" s="215"/>
      <c r="BM12" s="215"/>
      <c r="BN12" s="215"/>
      <c r="BO12" s="215"/>
      <c r="BP12" s="215"/>
      <c r="BQ12" s="215"/>
      <c r="BR12" s="215"/>
      <c r="BS12" s="215"/>
      <c r="BT12" s="215"/>
      <c r="BU12" s="215"/>
      <c r="BV12" s="215"/>
      <c r="BW12" s="215"/>
      <c r="BX12" s="215"/>
      <c r="BY12" s="215"/>
      <c r="BZ12" s="216"/>
      <c r="CA12" s="40"/>
      <c r="CB12" s="39"/>
      <c r="CC12" s="40"/>
      <c r="CD12" s="40"/>
      <c r="CE12" s="40"/>
      <c r="CF12" s="40"/>
      <c r="CG12" s="40"/>
      <c r="CH12" s="29"/>
      <c r="CI12" s="29"/>
      <c r="CJ12" s="29"/>
      <c r="CK12" s="29"/>
      <c r="CL12" s="29"/>
      <c r="CM12" s="29"/>
    </row>
    <row r="13" spans="1:91" s="5" customFormat="1" ht="20.100000000000001" customHeight="1" x14ac:dyDescent="0.45">
      <c r="A13" s="29"/>
      <c r="B13" s="42"/>
      <c r="C13" s="31"/>
      <c r="D13" s="36">
        <v>3</v>
      </c>
      <c r="E13" s="217" t="s">
        <v>764</v>
      </c>
      <c r="F13" s="218"/>
      <c r="G13" s="218"/>
      <c r="H13" s="218"/>
      <c r="I13" s="218"/>
      <c r="J13" s="218"/>
      <c r="K13" s="218"/>
      <c r="L13" s="219"/>
      <c r="M13" s="209" t="s">
        <v>47</v>
      </c>
      <c r="N13" s="204"/>
      <c r="O13" s="204"/>
      <c r="P13" s="209" t="s">
        <v>835</v>
      </c>
      <c r="Q13" s="204"/>
      <c r="R13" s="204"/>
      <c r="S13" s="209"/>
      <c r="T13" s="204"/>
      <c r="U13" s="204"/>
      <c r="V13" s="234" t="s">
        <v>811</v>
      </c>
      <c r="W13" s="235"/>
      <c r="X13" s="235"/>
      <c r="Y13" s="235"/>
      <c r="Z13" s="235"/>
      <c r="AA13" s="236"/>
      <c r="AB13" s="214" t="s">
        <v>781</v>
      </c>
      <c r="AC13" s="215"/>
      <c r="AD13" s="215"/>
      <c r="AE13" s="215"/>
      <c r="AF13" s="215"/>
      <c r="AG13" s="223"/>
      <c r="AH13" s="231" t="s">
        <v>833</v>
      </c>
      <c r="AI13" s="232"/>
      <c r="AJ13" s="232"/>
      <c r="AK13" s="232"/>
      <c r="AL13" s="232"/>
      <c r="AM13" s="232"/>
      <c r="AN13" s="232"/>
      <c r="AO13" s="232"/>
      <c r="AP13" s="232"/>
      <c r="AQ13" s="232"/>
      <c r="AR13" s="232"/>
      <c r="AS13" s="232"/>
      <c r="AT13" s="232"/>
      <c r="AU13" s="232"/>
      <c r="AV13" s="232"/>
      <c r="AW13" s="233"/>
      <c r="AX13" s="209"/>
      <c r="AY13" s="204"/>
      <c r="AZ13" s="204"/>
      <c r="BA13" s="204"/>
      <c r="BB13" s="204"/>
      <c r="BC13" s="205"/>
      <c r="BD13" s="214"/>
      <c r="BE13" s="215"/>
      <c r="BF13" s="215"/>
      <c r="BG13" s="215"/>
      <c r="BH13" s="215"/>
      <c r="BI13" s="215"/>
      <c r="BJ13" s="215"/>
      <c r="BK13" s="215"/>
      <c r="BL13" s="215"/>
      <c r="BM13" s="215"/>
      <c r="BN13" s="215"/>
      <c r="BO13" s="215"/>
      <c r="BP13" s="215"/>
      <c r="BQ13" s="215"/>
      <c r="BR13" s="215"/>
      <c r="BS13" s="215"/>
      <c r="BT13" s="215"/>
      <c r="BU13" s="215"/>
      <c r="BV13" s="215"/>
      <c r="BW13" s="215"/>
      <c r="BX13" s="215"/>
      <c r="BY13" s="215"/>
      <c r="BZ13" s="216"/>
      <c r="CA13" s="40"/>
      <c r="CB13" s="39"/>
      <c r="CC13" s="40"/>
      <c r="CD13" s="40"/>
      <c r="CE13" s="40"/>
      <c r="CF13" s="40"/>
      <c r="CG13" s="40"/>
      <c r="CH13" s="29"/>
      <c r="CI13" s="29"/>
      <c r="CJ13" s="29"/>
      <c r="CK13" s="29"/>
      <c r="CL13" s="29"/>
      <c r="CM13" s="29"/>
    </row>
    <row r="14" spans="1:91" s="5" customFormat="1" ht="20.100000000000001" customHeight="1" x14ac:dyDescent="0.45">
      <c r="A14" s="29"/>
      <c r="B14" s="42"/>
      <c r="C14" s="31"/>
      <c r="D14" s="36">
        <v>4</v>
      </c>
      <c r="E14" s="217" t="s">
        <v>765</v>
      </c>
      <c r="F14" s="218"/>
      <c r="G14" s="218"/>
      <c r="H14" s="218"/>
      <c r="I14" s="218"/>
      <c r="J14" s="218"/>
      <c r="K14" s="218"/>
      <c r="L14" s="219"/>
      <c r="M14" s="209" t="s">
        <v>47</v>
      </c>
      <c r="N14" s="204"/>
      <c r="O14" s="204"/>
      <c r="P14" s="209" t="s">
        <v>835</v>
      </c>
      <c r="Q14" s="204"/>
      <c r="R14" s="204"/>
      <c r="S14" s="209"/>
      <c r="T14" s="204"/>
      <c r="U14" s="204"/>
      <c r="V14" s="234" t="s">
        <v>812</v>
      </c>
      <c r="W14" s="235"/>
      <c r="X14" s="235"/>
      <c r="Y14" s="235"/>
      <c r="Z14" s="235"/>
      <c r="AA14" s="236"/>
      <c r="AB14" s="214" t="s">
        <v>782</v>
      </c>
      <c r="AC14" s="215"/>
      <c r="AD14" s="215"/>
      <c r="AE14" s="215"/>
      <c r="AF14" s="215"/>
      <c r="AG14" s="223"/>
      <c r="AH14" s="231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3"/>
      <c r="AX14" s="209"/>
      <c r="AY14" s="204"/>
      <c r="AZ14" s="204"/>
      <c r="BA14" s="204"/>
      <c r="BB14" s="204"/>
      <c r="BC14" s="205"/>
      <c r="BD14" s="214"/>
      <c r="BE14" s="215"/>
      <c r="BF14" s="215"/>
      <c r="BG14" s="215"/>
      <c r="BH14" s="215"/>
      <c r="BI14" s="215"/>
      <c r="BJ14" s="215"/>
      <c r="BK14" s="215"/>
      <c r="BL14" s="215"/>
      <c r="BM14" s="215"/>
      <c r="BN14" s="215"/>
      <c r="BO14" s="215"/>
      <c r="BP14" s="215"/>
      <c r="BQ14" s="215"/>
      <c r="BR14" s="215"/>
      <c r="BS14" s="215"/>
      <c r="BT14" s="215"/>
      <c r="BU14" s="215"/>
      <c r="BV14" s="215"/>
      <c r="BW14" s="215"/>
      <c r="BX14" s="215"/>
      <c r="BY14" s="215"/>
      <c r="BZ14" s="216"/>
      <c r="CA14" s="40"/>
      <c r="CB14" s="39"/>
      <c r="CC14" s="40"/>
      <c r="CD14" s="40"/>
      <c r="CE14" s="40"/>
      <c r="CF14" s="40"/>
      <c r="CG14" s="40"/>
      <c r="CH14" s="29"/>
      <c r="CI14" s="29"/>
      <c r="CJ14" s="29"/>
      <c r="CK14" s="29"/>
      <c r="CL14" s="29"/>
      <c r="CM14" s="29"/>
    </row>
    <row r="15" spans="1:91" s="5" customFormat="1" ht="20.100000000000001" customHeight="1" x14ac:dyDescent="0.45">
      <c r="A15" s="29"/>
      <c r="B15" s="42"/>
      <c r="C15" s="35"/>
      <c r="D15" s="36">
        <v>5</v>
      </c>
      <c r="E15" s="217" t="s">
        <v>766</v>
      </c>
      <c r="F15" s="218"/>
      <c r="G15" s="218"/>
      <c r="H15" s="218"/>
      <c r="I15" s="218"/>
      <c r="J15" s="218"/>
      <c r="K15" s="218"/>
      <c r="L15" s="219"/>
      <c r="M15" s="209" t="s">
        <v>47</v>
      </c>
      <c r="N15" s="204"/>
      <c r="O15" s="204"/>
      <c r="P15" s="209" t="s">
        <v>835</v>
      </c>
      <c r="Q15" s="204"/>
      <c r="R15" s="204"/>
      <c r="S15" s="209"/>
      <c r="T15" s="204"/>
      <c r="U15" s="204"/>
      <c r="V15" s="234" t="s">
        <v>813</v>
      </c>
      <c r="W15" s="235"/>
      <c r="X15" s="235"/>
      <c r="Y15" s="235"/>
      <c r="Z15" s="235"/>
      <c r="AA15" s="236"/>
      <c r="AB15" s="214" t="s">
        <v>783</v>
      </c>
      <c r="AC15" s="215"/>
      <c r="AD15" s="215"/>
      <c r="AE15" s="215"/>
      <c r="AF15" s="215"/>
      <c r="AG15" s="223"/>
      <c r="AH15" s="231" t="s">
        <v>833</v>
      </c>
      <c r="AI15" s="232"/>
      <c r="AJ15" s="232"/>
      <c r="AK15" s="232"/>
      <c r="AL15" s="232"/>
      <c r="AM15" s="232"/>
      <c r="AN15" s="232"/>
      <c r="AO15" s="232"/>
      <c r="AP15" s="232"/>
      <c r="AQ15" s="232"/>
      <c r="AR15" s="232"/>
      <c r="AS15" s="232"/>
      <c r="AT15" s="232"/>
      <c r="AU15" s="232"/>
      <c r="AV15" s="232"/>
      <c r="AW15" s="233"/>
      <c r="AX15" s="209"/>
      <c r="AY15" s="204"/>
      <c r="AZ15" s="204"/>
      <c r="BA15" s="204"/>
      <c r="BB15" s="204"/>
      <c r="BC15" s="205"/>
      <c r="BD15" s="214"/>
      <c r="BE15" s="215"/>
      <c r="BF15" s="215"/>
      <c r="BG15" s="215"/>
      <c r="BH15" s="215"/>
      <c r="BI15" s="215"/>
      <c r="BJ15" s="215"/>
      <c r="BK15" s="215"/>
      <c r="BL15" s="215"/>
      <c r="BM15" s="215"/>
      <c r="BN15" s="215"/>
      <c r="BO15" s="215"/>
      <c r="BP15" s="215"/>
      <c r="BQ15" s="215"/>
      <c r="BR15" s="215"/>
      <c r="BS15" s="215"/>
      <c r="BT15" s="215"/>
      <c r="BU15" s="215"/>
      <c r="BV15" s="215"/>
      <c r="BW15" s="215"/>
      <c r="BX15" s="215"/>
      <c r="BY15" s="215"/>
      <c r="BZ15" s="216"/>
      <c r="CA15" s="40"/>
      <c r="CB15" s="39"/>
      <c r="CC15" s="40"/>
      <c r="CD15" s="40"/>
      <c r="CE15" s="40"/>
      <c r="CF15" s="40"/>
      <c r="CG15" s="40"/>
      <c r="CH15" s="40"/>
      <c r="CI15" s="29"/>
      <c r="CJ15" s="29"/>
      <c r="CK15" s="29"/>
      <c r="CL15" s="29"/>
      <c r="CM15" s="29"/>
    </row>
    <row r="16" spans="1:91" s="5" customFormat="1" ht="20.100000000000001" customHeight="1" x14ac:dyDescent="0.45">
      <c r="A16" s="29"/>
      <c r="B16" s="42"/>
      <c r="C16" s="35"/>
      <c r="D16" s="36">
        <v>6</v>
      </c>
      <c r="E16" s="217" t="s">
        <v>96</v>
      </c>
      <c r="F16" s="218"/>
      <c r="G16" s="218"/>
      <c r="H16" s="218"/>
      <c r="I16" s="218"/>
      <c r="J16" s="218"/>
      <c r="K16" s="218"/>
      <c r="L16" s="219"/>
      <c r="M16" s="209" t="s">
        <v>47</v>
      </c>
      <c r="N16" s="204"/>
      <c r="O16" s="204"/>
      <c r="P16" s="209" t="s">
        <v>835</v>
      </c>
      <c r="Q16" s="204"/>
      <c r="R16" s="204"/>
      <c r="S16" s="209"/>
      <c r="T16" s="204"/>
      <c r="U16" s="204"/>
      <c r="V16" s="234" t="s">
        <v>815</v>
      </c>
      <c r="W16" s="235"/>
      <c r="X16" s="235"/>
      <c r="Y16" s="235"/>
      <c r="Z16" s="235"/>
      <c r="AA16" s="236"/>
      <c r="AB16" s="214" t="s">
        <v>784</v>
      </c>
      <c r="AC16" s="215"/>
      <c r="AD16" s="215"/>
      <c r="AE16" s="215"/>
      <c r="AF16" s="215"/>
      <c r="AG16" s="223"/>
      <c r="AH16" s="231" t="s">
        <v>833</v>
      </c>
      <c r="AI16" s="232"/>
      <c r="AJ16" s="232"/>
      <c r="AK16" s="232"/>
      <c r="AL16" s="232"/>
      <c r="AM16" s="232"/>
      <c r="AN16" s="232"/>
      <c r="AO16" s="232"/>
      <c r="AP16" s="232"/>
      <c r="AQ16" s="232"/>
      <c r="AR16" s="232"/>
      <c r="AS16" s="232"/>
      <c r="AT16" s="232"/>
      <c r="AU16" s="232"/>
      <c r="AV16" s="232"/>
      <c r="AW16" s="233"/>
      <c r="AX16" s="209"/>
      <c r="AY16" s="204"/>
      <c r="AZ16" s="204"/>
      <c r="BA16" s="204"/>
      <c r="BB16" s="204"/>
      <c r="BC16" s="205"/>
      <c r="BD16" s="214"/>
      <c r="BE16" s="215"/>
      <c r="BF16" s="215"/>
      <c r="BG16" s="215"/>
      <c r="BH16" s="215"/>
      <c r="BI16" s="215"/>
      <c r="BJ16" s="215"/>
      <c r="BK16" s="215"/>
      <c r="BL16" s="215"/>
      <c r="BM16" s="215"/>
      <c r="BN16" s="215"/>
      <c r="BO16" s="215"/>
      <c r="BP16" s="215"/>
      <c r="BQ16" s="215"/>
      <c r="BR16" s="215"/>
      <c r="BS16" s="215"/>
      <c r="BT16" s="215"/>
      <c r="BU16" s="215"/>
      <c r="BV16" s="215"/>
      <c r="BW16" s="215"/>
      <c r="BX16" s="215"/>
      <c r="BY16" s="215"/>
      <c r="BZ16" s="216"/>
      <c r="CA16" s="40"/>
      <c r="CB16" s="39"/>
      <c r="CC16" s="40"/>
      <c r="CD16" s="40"/>
      <c r="CE16" s="40"/>
      <c r="CF16" s="40"/>
      <c r="CG16" s="40"/>
      <c r="CH16" s="40"/>
      <c r="CI16" s="29"/>
      <c r="CJ16" s="29"/>
      <c r="CK16" s="29"/>
      <c r="CL16" s="29"/>
      <c r="CM16" s="29"/>
    </row>
    <row r="17" spans="1:91" s="5" customFormat="1" ht="20.100000000000001" customHeight="1" x14ac:dyDescent="0.45">
      <c r="A17" s="29"/>
      <c r="B17" s="42"/>
      <c r="C17" s="35"/>
      <c r="D17" s="36">
        <v>7</v>
      </c>
      <c r="E17" s="217" t="s">
        <v>814</v>
      </c>
      <c r="F17" s="218"/>
      <c r="G17" s="218"/>
      <c r="H17" s="218"/>
      <c r="I17" s="218"/>
      <c r="J17" s="218"/>
      <c r="K17" s="218"/>
      <c r="L17" s="219"/>
      <c r="M17" s="209" t="s">
        <v>38</v>
      </c>
      <c r="N17" s="204"/>
      <c r="O17" s="204"/>
      <c r="P17" s="209" t="s">
        <v>836</v>
      </c>
      <c r="Q17" s="204"/>
      <c r="R17" s="204"/>
      <c r="S17" s="209">
        <v>24</v>
      </c>
      <c r="T17" s="204"/>
      <c r="U17" s="204"/>
      <c r="V17" s="234" t="s">
        <v>820</v>
      </c>
      <c r="W17" s="235"/>
      <c r="X17" s="235"/>
      <c r="Y17" s="235"/>
      <c r="Z17" s="235"/>
      <c r="AA17" s="236"/>
      <c r="AB17" s="214" t="s">
        <v>785</v>
      </c>
      <c r="AC17" s="215"/>
      <c r="AD17" s="215"/>
      <c r="AE17" s="215"/>
      <c r="AF17" s="215"/>
      <c r="AG17" s="223"/>
      <c r="AH17" s="231" t="s">
        <v>833</v>
      </c>
      <c r="AI17" s="232"/>
      <c r="AJ17" s="232"/>
      <c r="AK17" s="232"/>
      <c r="AL17" s="232"/>
      <c r="AM17" s="232"/>
      <c r="AN17" s="232"/>
      <c r="AO17" s="232"/>
      <c r="AP17" s="232"/>
      <c r="AQ17" s="232"/>
      <c r="AR17" s="232"/>
      <c r="AS17" s="232"/>
      <c r="AT17" s="232"/>
      <c r="AU17" s="232"/>
      <c r="AV17" s="232"/>
      <c r="AW17" s="233"/>
      <c r="AX17" s="209"/>
      <c r="AY17" s="204"/>
      <c r="AZ17" s="204"/>
      <c r="BA17" s="204"/>
      <c r="BB17" s="204"/>
      <c r="BC17" s="205"/>
      <c r="BD17" s="214"/>
      <c r="BE17" s="215"/>
      <c r="BF17" s="215"/>
      <c r="BG17" s="215"/>
      <c r="BH17" s="215"/>
      <c r="BI17" s="215"/>
      <c r="BJ17" s="215"/>
      <c r="BK17" s="215"/>
      <c r="BL17" s="215"/>
      <c r="BM17" s="215"/>
      <c r="BN17" s="215"/>
      <c r="BO17" s="215"/>
      <c r="BP17" s="215"/>
      <c r="BQ17" s="215"/>
      <c r="BR17" s="215"/>
      <c r="BS17" s="215"/>
      <c r="BT17" s="215"/>
      <c r="BU17" s="215"/>
      <c r="BV17" s="215"/>
      <c r="BW17" s="215"/>
      <c r="BX17" s="215"/>
      <c r="BY17" s="215"/>
      <c r="BZ17" s="216"/>
      <c r="CA17" s="40"/>
      <c r="CB17" s="39"/>
      <c r="CC17" s="40"/>
      <c r="CD17" s="40"/>
      <c r="CE17" s="40"/>
      <c r="CF17" s="40"/>
      <c r="CG17" s="40"/>
      <c r="CH17" s="40"/>
      <c r="CI17" s="29"/>
      <c r="CJ17" s="29"/>
      <c r="CK17" s="29"/>
      <c r="CL17" s="29"/>
      <c r="CM17" s="29"/>
    </row>
    <row r="18" spans="1:91" s="5" customFormat="1" ht="20.100000000000001" customHeight="1" x14ac:dyDescent="0.45">
      <c r="A18" s="29"/>
      <c r="B18" s="42"/>
      <c r="C18" s="29"/>
      <c r="D18" s="36">
        <v>8</v>
      </c>
      <c r="E18" s="217" t="s">
        <v>98</v>
      </c>
      <c r="F18" s="218"/>
      <c r="G18" s="218"/>
      <c r="H18" s="218"/>
      <c r="I18" s="218"/>
      <c r="J18" s="218"/>
      <c r="K18" s="218"/>
      <c r="L18" s="219"/>
      <c r="M18" s="209" t="s">
        <v>47</v>
      </c>
      <c r="N18" s="204"/>
      <c r="O18" s="204"/>
      <c r="P18" s="209" t="s">
        <v>835</v>
      </c>
      <c r="Q18" s="204"/>
      <c r="R18" s="204"/>
      <c r="S18" s="209"/>
      <c r="T18" s="204"/>
      <c r="U18" s="204"/>
      <c r="V18" s="234" t="s">
        <v>821</v>
      </c>
      <c r="W18" s="235"/>
      <c r="X18" s="235"/>
      <c r="Y18" s="235"/>
      <c r="Z18" s="235"/>
      <c r="AA18" s="236"/>
      <c r="AB18" s="214" t="s">
        <v>786</v>
      </c>
      <c r="AC18" s="215"/>
      <c r="AD18" s="215"/>
      <c r="AE18" s="215"/>
      <c r="AF18" s="215"/>
      <c r="AG18" s="223"/>
      <c r="AH18" s="231" t="s">
        <v>834</v>
      </c>
      <c r="AI18" s="232"/>
      <c r="AJ18" s="232"/>
      <c r="AK18" s="232"/>
      <c r="AL18" s="232"/>
      <c r="AM18" s="232"/>
      <c r="AN18" s="232"/>
      <c r="AO18" s="232"/>
      <c r="AP18" s="232"/>
      <c r="AQ18" s="232"/>
      <c r="AR18" s="232"/>
      <c r="AS18" s="232"/>
      <c r="AT18" s="232"/>
      <c r="AU18" s="232"/>
      <c r="AV18" s="232"/>
      <c r="AW18" s="233"/>
      <c r="AX18" s="209"/>
      <c r="AY18" s="204"/>
      <c r="AZ18" s="204"/>
      <c r="BA18" s="204"/>
      <c r="BB18" s="204"/>
      <c r="BC18" s="205"/>
      <c r="BD18" s="214"/>
      <c r="BE18" s="215"/>
      <c r="BF18" s="215"/>
      <c r="BG18" s="215"/>
      <c r="BH18" s="215"/>
      <c r="BI18" s="215"/>
      <c r="BJ18" s="215"/>
      <c r="BK18" s="215"/>
      <c r="BL18" s="215"/>
      <c r="BM18" s="215"/>
      <c r="BN18" s="215"/>
      <c r="BO18" s="215"/>
      <c r="BP18" s="215"/>
      <c r="BQ18" s="215"/>
      <c r="BR18" s="215"/>
      <c r="BS18" s="215"/>
      <c r="BT18" s="215"/>
      <c r="BU18" s="215"/>
      <c r="BV18" s="215"/>
      <c r="BW18" s="215"/>
      <c r="BX18" s="215"/>
      <c r="BY18" s="215"/>
      <c r="BZ18" s="216"/>
      <c r="CA18" s="40"/>
      <c r="CB18" s="39"/>
      <c r="CC18" s="40"/>
      <c r="CD18" s="40"/>
      <c r="CE18" s="40"/>
      <c r="CF18" s="40"/>
      <c r="CG18" s="40"/>
      <c r="CH18" s="40"/>
      <c r="CI18" s="29"/>
      <c r="CJ18" s="29"/>
      <c r="CK18" s="29"/>
      <c r="CL18" s="29"/>
      <c r="CM18" s="29"/>
    </row>
    <row r="19" spans="1:91" s="5" customFormat="1" ht="20.100000000000001" customHeight="1" x14ac:dyDescent="0.45">
      <c r="A19" s="29"/>
      <c r="B19" s="42"/>
      <c r="C19" s="28"/>
      <c r="D19" s="36">
        <v>9</v>
      </c>
      <c r="E19" s="217" t="s">
        <v>816</v>
      </c>
      <c r="F19" s="218"/>
      <c r="G19" s="218"/>
      <c r="H19" s="218"/>
      <c r="I19" s="218"/>
      <c r="J19" s="218"/>
      <c r="K19" s="218"/>
      <c r="L19" s="219"/>
      <c r="M19" s="209" t="s">
        <v>47</v>
      </c>
      <c r="N19" s="204"/>
      <c r="O19" s="204"/>
      <c r="P19" s="209" t="s">
        <v>835</v>
      </c>
      <c r="Q19" s="204"/>
      <c r="R19" s="204"/>
      <c r="S19" s="209"/>
      <c r="T19" s="204"/>
      <c r="U19" s="204"/>
      <c r="V19" s="234" t="s">
        <v>822</v>
      </c>
      <c r="W19" s="235"/>
      <c r="X19" s="235"/>
      <c r="Y19" s="235"/>
      <c r="Z19" s="235"/>
      <c r="AA19" s="236"/>
      <c r="AB19" s="214" t="s">
        <v>787</v>
      </c>
      <c r="AC19" s="215"/>
      <c r="AD19" s="215"/>
      <c r="AE19" s="215"/>
      <c r="AF19" s="215"/>
      <c r="AG19" s="223"/>
      <c r="AH19" s="231" t="s">
        <v>834</v>
      </c>
      <c r="AI19" s="232"/>
      <c r="AJ19" s="232"/>
      <c r="AK19" s="232"/>
      <c r="AL19" s="232"/>
      <c r="AM19" s="232"/>
      <c r="AN19" s="232"/>
      <c r="AO19" s="232"/>
      <c r="AP19" s="232"/>
      <c r="AQ19" s="232"/>
      <c r="AR19" s="232"/>
      <c r="AS19" s="232"/>
      <c r="AT19" s="232"/>
      <c r="AU19" s="232"/>
      <c r="AV19" s="232"/>
      <c r="AW19" s="233"/>
      <c r="AX19" s="209"/>
      <c r="AY19" s="204"/>
      <c r="AZ19" s="204"/>
      <c r="BA19" s="204"/>
      <c r="BB19" s="204"/>
      <c r="BC19" s="205"/>
      <c r="BD19" s="214"/>
      <c r="BE19" s="215"/>
      <c r="BF19" s="215"/>
      <c r="BG19" s="215"/>
      <c r="BH19" s="215"/>
      <c r="BI19" s="215"/>
      <c r="BJ19" s="215"/>
      <c r="BK19" s="215"/>
      <c r="BL19" s="215"/>
      <c r="BM19" s="215"/>
      <c r="BN19" s="215"/>
      <c r="BO19" s="215"/>
      <c r="BP19" s="215"/>
      <c r="BQ19" s="215"/>
      <c r="BR19" s="215"/>
      <c r="BS19" s="215"/>
      <c r="BT19" s="215"/>
      <c r="BU19" s="215"/>
      <c r="BV19" s="215"/>
      <c r="BW19" s="215"/>
      <c r="BX19" s="215"/>
      <c r="BY19" s="215"/>
      <c r="BZ19" s="216"/>
      <c r="CA19" s="40"/>
      <c r="CB19" s="39"/>
      <c r="CC19" s="40"/>
      <c r="CD19" s="40"/>
      <c r="CE19" s="40"/>
      <c r="CF19" s="40"/>
      <c r="CG19" s="40"/>
      <c r="CH19" s="40"/>
      <c r="CI19" s="29"/>
      <c r="CJ19" s="29"/>
      <c r="CK19" s="29"/>
      <c r="CL19" s="29"/>
      <c r="CM19" s="29"/>
    </row>
    <row r="20" spans="1:91" s="5" customFormat="1" ht="20.100000000000001" customHeight="1" x14ac:dyDescent="0.45">
      <c r="A20" s="28"/>
      <c r="B20" s="34"/>
      <c r="C20" s="28"/>
      <c r="D20" s="36">
        <v>10</v>
      </c>
      <c r="E20" s="217" t="s">
        <v>767</v>
      </c>
      <c r="F20" s="218"/>
      <c r="G20" s="218"/>
      <c r="H20" s="218"/>
      <c r="I20" s="218"/>
      <c r="J20" s="218"/>
      <c r="K20" s="218"/>
      <c r="L20" s="219"/>
      <c r="M20" s="209" t="s">
        <v>47</v>
      </c>
      <c r="N20" s="204"/>
      <c r="O20" s="204"/>
      <c r="P20" s="209" t="s">
        <v>835</v>
      </c>
      <c r="Q20" s="204"/>
      <c r="R20" s="204"/>
      <c r="S20" s="209"/>
      <c r="T20" s="204"/>
      <c r="U20" s="204"/>
      <c r="V20" s="234" t="s">
        <v>817</v>
      </c>
      <c r="W20" s="235"/>
      <c r="X20" s="235"/>
      <c r="Y20" s="235"/>
      <c r="Z20" s="235"/>
      <c r="AA20" s="236"/>
      <c r="AB20" s="214" t="s">
        <v>788</v>
      </c>
      <c r="AC20" s="215"/>
      <c r="AD20" s="215"/>
      <c r="AE20" s="215"/>
      <c r="AF20" s="215"/>
      <c r="AG20" s="223"/>
      <c r="AH20" s="231"/>
      <c r="AI20" s="232"/>
      <c r="AJ20" s="232"/>
      <c r="AK20" s="232"/>
      <c r="AL20" s="232"/>
      <c r="AM20" s="232"/>
      <c r="AN20" s="232"/>
      <c r="AO20" s="232"/>
      <c r="AP20" s="232"/>
      <c r="AQ20" s="232"/>
      <c r="AR20" s="232"/>
      <c r="AS20" s="232"/>
      <c r="AT20" s="232"/>
      <c r="AU20" s="232"/>
      <c r="AV20" s="232"/>
      <c r="AW20" s="233"/>
      <c r="AX20" s="209"/>
      <c r="AY20" s="204"/>
      <c r="AZ20" s="204"/>
      <c r="BA20" s="204"/>
      <c r="BB20" s="204"/>
      <c r="BC20" s="205"/>
      <c r="BD20" s="214"/>
      <c r="BE20" s="215"/>
      <c r="BF20" s="215"/>
      <c r="BG20" s="215"/>
      <c r="BH20" s="215"/>
      <c r="BI20" s="215"/>
      <c r="BJ20" s="215"/>
      <c r="BK20" s="215"/>
      <c r="BL20" s="215"/>
      <c r="BM20" s="215"/>
      <c r="BN20" s="215"/>
      <c r="BO20" s="215"/>
      <c r="BP20" s="215"/>
      <c r="BQ20" s="215"/>
      <c r="BR20" s="215"/>
      <c r="BS20" s="215"/>
      <c r="BT20" s="215"/>
      <c r="BU20" s="215"/>
      <c r="BV20" s="215"/>
      <c r="BW20" s="215"/>
      <c r="BX20" s="215"/>
      <c r="BY20" s="215"/>
      <c r="BZ20" s="216"/>
      <c r="CA20" s="28"/>
      <c r="CB20" s="39"/>
      <c r="CC20" s="40"/>
      <c r="CD20" s="40"/>
      <c r="CE20" s="40"/>
      <c r="CF20" s="40"/>
      <c r="CG20" s="40"/>
      <c r="CH20" s="40"/>
      <c r="CI20" s="40"/>
      <c r="CJ20" s="40"/>
      <c r="CK20" s="40"/>
      <c r="CL20" s="30"/>
      <c r="CM20" s="30"/>
    </row>
    <row r="21" spans="1:91" s="5" customFormat="1" ht="20.100000000000001" customHeight="1" x14ac:dyDescent="0.45">
      <c r="A21" s="28"/>
      <c r="B21" s="34"/>
      <c r="C21" s="28"/>
      <c r="D21" s="36">
        <v>11</v>
      </c>
      <c r="E21" s="217" t="s">
        <v>100</v>
      </c>
      <c r="F21" s="218"/>
      <c r="G21" s="218"/>
      <c r="H21" s="218"/>
      <c r="I21" s="218"/>
      <c r="J21" s="218"/>
      <c r="K21" s="218"/>
      <c r="L21" s="219"/>
      <c r="M21" s="209" t="s">
        <v>47</v>
      </c>
      <c r="N21" s="204"/>
      <c r="O21" s="204"/>
      <c r="P21" s="209" t="s">
        <v>835</v>
      </c>
      <c r="Q21" s="204"/>
      <c r="R21" s="204"/>
      <c r="S21" s="209"/>
      <c r="T21" s="204"/>
      <c r="U21" s="204"/>
      <c r="V21" s="214" t="s">
        <v>823</v>
      </c>
      <c r="W21" s="215"/>
      <c r="X21" s="215"/>
      <c r="Y21" s="215"/>
      <c r="Z21" s="215"/>
      <c r="AA21" s="223"/>
      <c r="AB21" s="214" t="s">
        <v>789</v>
      </c>
      <c r="AC21" s="215"/>
      <c r="AD21" s="215"/>
      <c r="AE21" s="215"/>
      <c r="AF21" s="215"/>
      <c r="AG21" s="223"/>
      <c r="AH21" s="231" t="s">
        <v>834</v>
      </c>
      <c r="AI21" s="232"/>
      <c r="AJ21" s="232"/>
      <c r="AK21" s="232"/>
      <c r="AL21" s="232"/>
      <c r="AM21" s="232"/>
      <c r="AN21" s="232"/>
      <c r="AO21" s="232"/>
      <c r="AP21" s="232"/>
      <c r="AQ21" s="232"/>
      <c r="AR21" s="232"/>
      <c r="AS21" s="232"/>
      <c r="AT21" s="232"/>
      <c r="AU21" s="232"/>
      <c r="AV21" s="232"/>
      <c r="AW21" s="233"/>
      <c r="AX21" s="209"/>
      <c r="AY21" s="204"/>
      <c r="AZ21" s="204"/>
      <c r="BA21" s="204"/>
      <c r="BB21" s="204"/>
      <c r="BC21" s="205"/>
      <c r="BD21" s="214"/>
      <c r="BE21" s="215"/>
      <c r="BF21" s="215"/>
      <c r="BG21" s="215"/>
      <c r="BH21" s="215"/>
      <c r="BI21" s="215"/>
      <c r="BJ21" s="215"/>
      <c r="BK21" s="215"/>
      <c r="BL21" s="215"/>
      <c r="BM21" s="215"/>
      <c r="BN21" s="215"/>
      <c r="BO21" s="215"/>
      <c r="BP21" s="215"/>
      <c r="BQ21" s="215"/>
      <c r="BR21" s="215"/>
      <c r="BS21" s="215"/>
      <c r="BT21" s="215"/>
      <c r="BU21" s="215"/>
      <c r="BV21" s="215"/>
      <c r="BW21" s="215"/>
      <c r="BX21" s="215"/>
      <c r="BY21" s="215"/>
      <c r="BZ21" s="216"/>
      <c r="CA21" s="40"/>
      <c r="CB21" s="39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</row>
    <row r="22" spans="1:91" s="5" customFormat="1" ht="20.100000000000001" customHeight="1" x14ac:dyDescent="0.45">
      <c r="A22" s="28"/>
      <c r="B22" s="34"/>
      <c r="C22" s="28"/>
      <c r="D22" s="36">
        <v>12</v>
      </c>
      <c r="E22" s="217" t="s">
        <v>818</v>
      </c>
      <c r="F22" s="218"/>
      <c r="G22" s="218"/>
      <c r="H22" s="218"/>
      <c r="I22" s="218"/>
      <c r="J22" s="218"/>
      <c r="K22" s="218"/>
      <c r="L22" s="219"/>
      <c r="M22" s="209" t="s">
        <v>38</v>
      </c>
      <c r="N22" s="204"/>
      <c r="O22" s="204"/>
      <c r="P22" s="209" t="s">
        <v>836</v>
      </c>
      <c r="Q22" s="204"/>
      <c r="R22" s="204"/>
      <c r="S22" s="209">
        <v>24</v>
      </c>
      <c r="T22" s="204"/>
      <c r="U22" s="204"/>
      <c r="V22" s="214" t="s">
        <v>824</v>
      </c>
      <c r="W22" s="215"/>
      <c r="X22" s="215"/>
      <c r="Y22" s="215"/>
      <c r="Z22" s="215"/>
      <c r="AA22" s="223"/>
      <c r="AB22" s="214" t="s">
        <v>790</v>
      </c>
      <c r="AC22" s="215"/>
      <c r="AD22" s="215"/>
      <c r="AE22" s="215"/>
      <c r="AF22" s="215"/>
      <c r="AG22" s="223"/>
      <c r="AH22" s="231" t="s">
        <v>834</v>
      </c>
      <c r="AI22" s="232"/>
      <c r="AJ22" s="232"/>
      <c r="AK22" s="232"/>
      <c r="AL22" s="232"/>
      <c r="AM22" s="232"/>
      <c r="AN22" s="232"/>
      <c r="AO22" s="232"/>
      <c r="AP22" s="232"/>
      <c r="AQ22" s="232"/>
      <c r="AR22" s="232"/>
      <c r="AS22" s="232"/>
      <c r="AT22" s="232"/>
      <c r="AU22" s="232"/>
      <c r="AV22" s="232"/>
      <c r="AW22" s="233"/>
      <c r="AX22" s="209"/>
      <c r="AY22" s="204"/>
      <c r="AZ22" s="204"/>
      <c r="BA22" s="204"/>
      <c r="BB22" s="204"/>
      <c r="BC22" s="205"/>
      <c r="BD22" s="214"/>
      <c r="BE22" s="215"/>
      <c r="BF22" s="215"/>
      <c r="BG22" s="215"/>
      <c r="BH22" s="215"/>
      <c r="BI22" s="215"/>
      <c r="BJ22" s="215"/>
      <c r="BK22" s="215"/>
      <c r="BL22" s="215"/>
      <c r="BM22" s="215"/>
      <c r="BN22" s="215"/>
      <c r="BO22" s="215"/>
      <c r="BP22" s="215"/>
      <c r="BQ22" s="215"/>
      <c r="BR22" s="215"/>
      <c r="BS22" s="215"/>
      <c r="BT22" s="215"/>
      <c r="BU22" s="215"/>
      <c r="BV22" s="215"/>
      <c r="BW22" s="215"/>
      <c r="BX22" s="215"/>
      <c r="BY22" s="215"/>
      <c r="BZ22" s="216"/>
      <c r="CA22" s="40"/>
      <c r="CB22" s="39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</row>
    <row r="23" spans="1:91" s="5" customFormat="1" ht="20.100000000000001" customHeight="1" x14ac:dyDescent="0.45">
      <c r="A23" s="28"/>
      <c r="B23" s="34"/>
      <c r="C23" s="28"/>
      <c r="D23" s="36">
        <v>13</v>
      </c>
      <c r="E23" s="217" t="s">
        <v>768</v>
      </c>
      <c r="F23" s="218"/>
      <c r="G23" s="218"/>
      <c r="H23" s="218"/>
      <c r="I23" s="218"/>
      <c r="J23" s="218"/>
      <c r="K23" s="218"/>
      <c r="L23" s="219"/>
      <c r="M23" s="209" t="s">
        <v>47</v>
      </c>
      <c r="N23" s="204"/>
      <c r="O23" s="204"/>
      <c r="P23" s="209" t="s">
        <v>835</v>
      </c>
      <c r="Q23" s="204"/>
      <c r="R23" s="204"/>
      <c r="S23" s="209"/>
      <c r="T23" s="204"/>
      <c r="U23" s="204"/>
      <c r="V23" s="214" t="s">
        <v>819</v>
      </c>
      <c r="W23" s="215"/>
      <c r="X23" s="215"/>
      <c r="Y23" s="215"/>
      <c r="Z23" s="215"/>
      <c r="AA23" s="223"/>
      <c r="AB23" s="214" t="s">
        <v>791</v>
      </c>
      <c r="AC23" s="215"/>
      <c r="AD23" s="215"/>
      <c r="AE23" s="215"/>
      <c r="AF23" s="215"/>
      <c r="AG23" s="223"/>
      <c r="AH23" s="228"/>
      <c r="AI23" s="229"/>
      <c r="AJ23" s="229"/>
      <c r="AK23" s="229"/>
      <c r="AL23" s="229"/>
      <c r="AM23" s="229"/>
      <c r="AN23" s="229"/>
      <c r="AO23" s="229"/>
      <c r="AP23" s="229"/>
      <c r="AQ23" s="229"/>
      <c r="AR23" s="229"/>
      <c r="AS23" s="229"/>
      <c r="AT23" s="229"/>
      <c r="AU23" s="229"/>
      <c r="AV23" s="229"/>
      <c r="AW23" s="230"/>
      <c r="AX23" s="209"/>
      <c r="AY23" s="204"/>
      <c r="AZ23" s="204"/>
      <c r="BA23" s="204"/>
      <c r="BB23" s="204"/>
      <c r="BC23" s="205"/>
      <c r="BD23" s="214"/>
      <c r="BE23" s="215"/>
      <c r="BF23" s="215"/>
      <c r="BG23" s="215"/>
      <c r="BH23" s="215"/>
      <c r="BI23" s="215"/>
      <c r="BJ23" s="215"/>
      <c r="BK23" s="215"/>
      <c r="BL23" s="215"/>
      <c r="BM23" s="215"/>
      <c r="BN23" s="215"/>
      <c r="BO23" s="215"/>
      <c r="BP23" s="215"/>
      <c r="BQ23" s="215"/>
      <c r="BR23" s="215"/>
      <c r="BS23" s="215"/>
      <c r="BT23" s="215"/>
      <c r="BU23" s="215"/>
      <c r="BV23" s="215"/>
      <c r="BW23" s="215"/>
      <c r="BX23" s="215"/>
      <c r="BY23" s="215"/>
      <c r="BZ23" s="216"/>
      <c r="CA23" s="40"/>
      <c r="CB23" s="39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</row>
    <row r="24" spans="1:91" s="5" customFormat="1" ht="20.100000000000001" customHeight="1" x14ac:dyDescent="0.45">
      <c r="A24" s="28"/>
      <c r="B24" s="34"/>
      <c r="C24" s="28"/>
      <c r="D24" s="36">
        <v>14</v>
      </c>
      <c r="E24" s="217" t="s">
        <v>769</v>
      </c>
      <c r="F24" s="218"/>
      <c r="G24" s="218"/>
      <c r="H24" s="218"/>
      <c r="I24" s="218"/>
      <c r="J24" s="218"/>
      <c r="K24" s="218"/>
      <c r="L24" s="219"/>
      <c r="M24" s="209" t="s">
        <v>38</v>
      </c>
      <c r="N24" s="204"/>
      <c r="O24" s="204"/>
      <c r="P24" s="209" t="s">
        <v>836</v>
      </c>
      <c r="Q24" s="204"/>
      <c r="R24" s="204"/>
      <c r="S24" s="209">
        <v>30</v>
      </c>
      <c r="T24" s="204"/>
      <c r="U24" s="204"/>
      <c r="V24" s="214" t="s">
        <v>817</v>
      </c>
      <c r="W24" s="215"/>
      <c r="X24" s="215"/>
      <c r="Y24" s="215"/>
      <c r="Z24" s="215"/>
      <c r="AA24" s="223"/>
      <c r="AB24" s="214" t="s">
        <v>792</v>
      </c>
      <c r="AC24" s="215"/>
      <c r="AD24" s="215"/>
      <c r="AE24" s="215"/>
      <c r="AF24" s="215"/>
      <c r="AG24" s="223"/>
      <c r="AH24" s="228"/>
      <c r="AI24" s="229"/>
      <c r="AJ24" s="229"/>
      <c r="AK24" s="229"/>
      <c r="AL24" s="229"/>
      <c r="AM24" s="229"/>
      <c r="AN24" s="229"/>
      <c r="AO24" s="229"/>
      <c r="AP24" s="229"/>
      <c r="AQ24" s="229"/>
      <c r="AR24" s="229"/>
      <c r="AS24" s="229"/>
      <c r="AT24" s="229"/>
      <c r="AU24" s="229"/>
      <c r="AV24" s="229"/>
      <c r="AW24" s="230"/>
      <c r="AX24" s="209"/>
      <c r="AY24" s="204"/>
      <c r="AZ24" s="204"/>
      <c r="BA24" s="204"/>
      <c r="BB24" s="204"/>
      <c r="BC24" s="205"/>
      <c r="BD24" s="214"/>
      <c r="BE24" s="215"/>
      <c r="BF24" s="215"/>
      <c r="BG24" s="215"/>
      <c r="BH24" s="215"/>
      <c r="BI24" s="215"/>
      <c r="BJ24" s="215"/>
      <c r="BK24" s="215"/>
      <c r="BL24" s="215"/>
      <c r="BM24" s="215"/>
      <c r="BN24" s="215"/>
      <c r="BO24" s="215"/>
      <c r="BP24" s="215"/>
      <c r="BQ24" s="215"/>
      <c r="BR24" s="215"/>
      <c r="BS24" s="215"/>
      <c r="BT24" s="215"/>
      <c r="BU24" s="215"/>
      <c r="BV24" s="215"/>
      <c r="BW24" s="215"/>
      <c r="BX24" s="215"/>
      <c r="BY24" s="215"/>
      <c r="BZ24" s="216"/>
      <c r="CA24" s="40"/>
      <c r="CB24" s="39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</row>
    <row r="25" spans="1:91" s="5" customFormat="1" ht="20.100000000000001" customHeight="1" x14ac:dyDescent="0.45">
      <c r="A25" s="28"/>
      <c r="B25" s="34"/>
      <c r="C25" s="28"/>
      <c r="D25" s="36">
        <v>15</v>
      </c>
      <c r="E25" s="217" t="s">
        <v>608</v>
      </c>
      <c r="F25" s="218"/>
      <c r="G25" s="218"/>
      <c r="H25" s="218"/>
      <c r="I25" s="218"/>
      <c r="J25" s="218"/>
      <c r="K25" s="218"/>
      <c r="L25" s="219"/>
      <c r="M25" s="209" t="s">
        <v>47</v>
      </c>
      <c r="N25" s="204"/>
      <c r="O25" s="204"/>
      <c r="P25" s="209" t="s">
        <v>835</v>
      </c>
      <c r="Q25" s="204"/>
      <c r="R25" s="204"/>
      <c r="S25" s="209"/>
      <c r="T25" s="204"/>
      <c r="U25" s="204"/>
      <c r="V25" s="234" t="s">
        <v>825</v>
      </c>
      <c r="W25" s="235"/>
      <c r="X25" s="235"/>
      <c r="Y25" s="235"/>
      <c r="Z25" s="235"/>
      <c r="AA25" s="236"/>
      <c r="AB25" s="214" t="s">
        <v>793</v>
      </c>
      <c r="AC25" s="215"/>
      <c r="AD25" s="215"/>
      <c r="AE25" s="215"/>
      <c r="AF25" s="215"/>
      <c r="AG25" s="223"/>
      <c r="AH25" s="231" t="s">
        <v>833</v>
      </c>
      <c r="AI25" s="232"/>
      <c r="AJ25" s="232"/>
      <c r="AK25" s="232"/>
      <c r="AL25" s="232"/>
      <c r="AM25" s="232"/>
      <c r="AN25" s="232"/>
      <c r="AO25" s="232"/>
      <c r="AP25" s="232"/>
      <c r="AQ25" s="232"/>
      <c r="AR25" s="232"/>
      <c r="AS25" s="232"/>
      <c r="AT25" s="232"/>
      <c r="AU25" s="232"/>
      <c r="AV25" s="232"/>
      <c r="AW25" s="233"/>
      <c r="AX25" s="209"/>
      <c r="AY25" s="204"/>
      <c r="AZ25" s="204"/>
      <c r="BA25" s="204"/>
      <c r="BB25" s="204"/>
      <c r="BC25" s="205"/>
      <c r="BD25" s="214"/>
      <c r="BE25" s="215"/>
      <c r="BF25" s="215"/>
      <c r="BG25" s="215"/>
      <c r="BH25" s="215"/>
      <c r="BI25" s="215"/>
      <c r="BJ25" s="215"/>
      <c r="BK25" s="215"/>
      <c r="BL25" s="215"/>
      <c r="BM25" s="215"/>
      <c r="BN25" s="215"/>
      <c r="BO25" s="215"/>
      <c r="BP25" s="215"/>
      <c r="BQ25" s="215"/>
      <c r="BR25" s="215"/>
      <c r="BS25" s="215"/>
      <c r="BT25" s="215"/>
      <c r="BU25" s="215"/>
      <c r="BV25" s="215"/>
      <c r="BW25" s="215"/>
      <c r="BX25" s="215"/>
      <c r="BY25" s="215"/>
      <c r="BZ25" s="216"/>
      <c r="CA25" s="40"/>
      <c r="CB25" s="39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</row>
    <row r="26" spans="1:91" s="5" customFormat="1" ht="20.100000000000001" customHeight="1" x14ac:dyDescent="0.45">
      <c r="A26" s="28"/>
      <c r="B26" s="34"/>
      <c r="C26" s="28"/>
      <c r="D26" s="36">
        <v>16</v>
      </c>
      <c r="E26" s="217" t="s">
        <v>609</v>
      </c>
      <c r="F26" s="218"/>
      <c r="G26" s="218"/>
      <c r="H26" s="218"/>
      <c r="I26" s="218"/>
      <c r="J26" s="218"/>
      <c r="K26" s="218"/>
      <c r="L26" s="219"/>
      <c r="M26" s="209" t="s">
        <v>38</v>
      </c>
      <c r="N26" s="204"/>
      <c r="O26" s="204"/>
      <c r="P26" s="209" t="s">
        <v>836</v>
      </c>
      <c r="Q26" s="204"/>
      <c r="R26" s="204"/>
      <c r="S26" s="209">
        <v>24</v>
      </c>
      <c r="T26" s="204"/>
      <c r="U26" s="204"/>
      <c r="V26" s="234" t="s">
        <v>826</v>
      </c>
      <c r="W26" s="235"/>
      <c r="X26" s="235"/>
      <c r="Y26" s="235"/>
      <c r="Z26" s="235"/>
      <c r="AA26" s="236"/>
      <c r="AB26" s="214" t="s">
        <v>794</v>
      </c>
      <c r="AC26" s="215"/>
      <c r="AD26" s="215"/>
      <c r="AE26" s="215"/>
      <c r="AF26" s="215"/>
      <c r="AG26" s="223"/>
      <c r="AH26" s="231" t="s">
        <v>833</v>
      </c>
      <c r="AI26" s="232"/>
      <c r="AJ26" s="232"/>
      <c r="AK26" s="232"/>
      <c r="AL26" s="232"/>
      <c r="AM26" s="232"/>
      <c r="AN26" s="232"/>
      <c r="AO26" s="232"/>
      <c r="AP26" s="232"/>
      <c r="AQ26" s="232"/>
      <c r="AR26" s="232"/>
      <c r="AS26" s="232"/>
      <c r="AT26" s="232"/>
      <c r="AU26" s="232"/>
      <c r="AV26" s="232"/>
      <c r="AW26" s="233"/>
      <c r="AX26" s="209"/>
      <c r="AY26" s="204"/>
      <c r="AZ26" s="204"/>
      <c r="BA26" s="204"/>
      <c r="BB26" s="204"/>
      <c r="BC26" s="205"/>
      <c r="BD26" s="214"/>
      <c r="BE26" s="215"/>
      <c r="BF26" s="215"/>
      <c r="BG26" s="215"/>
      <c r="BH26" s="215"/>
      <c r="BI26" s="215"/>
      <c r="BJ26" s="215"/>
      <c r="BK26" s="215"/>
      <c r="BL26" s="215"/>
      <c r="BM26" s="215"/>
      <c r="BN26" s="215"/>
      <c r="BO26" s="215"/>
      <c r="BP26" s="215"/>
      <c r="BQ26" s="215"/>
      <c r="BR26" s="215"/>
      <c r="BS26" s="215"/>
      <c r="BT26" s="215"/>
      <c r="BU26" s="215"/>
      <c r="BV26" s="215"/>
      <c r="BW26" s="215"/>
      <c r="BX26" s="215"/>
      <c r="BY26" s="215"/>
      <c r="BZ26" s="216"/>
      <c r="CA26" s="40"/>
      <c r="CB26" s="39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</row>
    <row r="27" spans="1:91" s="5" customFormat="1" ht="20.100000000000001" customHeight="1" x14ac:dyDescent="0.45">
      <c r="A27" s="28"/>
      <c r="B27" s="34"/>
      <c r="C27" s="28"/>
      <c r="D27" s="36">
        <v>17</v>
      </c>
      <c r="E27" s="217" t="s">
        <v>610</v>
      </c>
      <c r="F27" s="218"/>
      <c r="G27" s="218"/>
      <c r="H27" s="218"/>
      <c r="I27" s="218"/>
      <c r="J27" s="218"/>
      <c r="K27" s="218"/>
      <c r="L27" s="219"/>
      <c r="M27" s="209" t="s">
        <v>47</v>
      </c>
      <c r="N27" s="204"/>
      <c r="O27" s="204"/>
      <c r="P27" s="209" t="s">
        <v>835</v>
      </c>
      <c r="Q27" s="204"/>
      <c r="R27" s="204"/>
      <c r="S27" s="209"/>
      <c r="T27" s="204"/>
      <c r="U27" s="204"/>
      <c r="V27" s="214" t="s">
        <v>827</v>
      </c>
      <c r="W27" s="215"/>
      <c r="X27" s="215"/>
      <c r="Y27" s="215"/>
      <c r="Z27" s="215"/>
      <c r="AA27" s="223"/>
      <c r="AB27" s="214" t="s">
        <v>795</v>
      </c>
      <c r="AC27" s="215"/>
      <c r="AD27" s="215"/>
      <c r="AE27" s="215"/>
      <c r="AF27" s="215"/>
      <c r="AG27" s="223"/>
      <c r="AH27" s="231" t="s">
        <v>834</v>
      </c>
      <c r="AI27" s="232"/>
      <c r="AJ27" s="232"/>
      <c r="AK27" s="232"/>
      <c r="AL27" s="232"/>
      <c r="AM27" s="232"/>
      <c r="AN27" s="232"/>
      <c r="AO27" s="232"/>
      <c r="AP27" s="232"/>
      <c r="AQ27" s="232"/>
      <c r="AR27" s="232"/>
      <c r="AS27" s="232"/>
      <c r="AT27" s="232"/>
      <c r="AU27" s="232"/>
      <c r="AV27" s="232"/>
      <c r="AW27" s="233"/>
      <c r="AX27" s="209"/>
      <c r="AY27" s="204"/>
      <c r="AZ27" s="204"/>
      <c r="BA27" s="204"/>
      <c r="BB27" s="204"/>
      <c r="BC27" s="205"/>
      <c r="BD27" s="214"/>
      <c r="BE27" s="215"/>
      <c r="BF27" s="215"/>
      <c r="BG27" s="215"/>
      <c r="BH27" s="215"/>
      <c r="BI27" s="215"/>
      <c r="BJ27" s="215"/>
      <c r="BK27" s="215"/>
      <c r="BL27" s="215"/>
      <c r="BM27" s="215"/>
      <c r="BN27" s="215"/>
      <c r="BO27" s="215"/>
      <c r="BP27" s="215"/>
      <c r="BQ27" s="215"/>
      <c r="BR27" s="215"/>
      <c r="BS27" s="215"/>
      <c r="BT27" s="215"/>
      <c r="BU27" s="215"/>
      <c r="BV27" s="215"/>
      <c r="BW27" s="215"/>
      <c r="BX27" s="215"/>
      <c r="BY27" s="215"/>
      <c r="BZ27" s="216"/>
      <c r="CA27" s="40"/>
      <c r="CB27" s="39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</row>
    <row r="28" spans="1:91" s="5" customFormat="1" ht="20.100000000000001" customHeight="1" x14ac:dyDescent="0.45">
      <c r="A28" s="28"/>
      <c r="B28" s="34"/>
      <c r="C28" s="28"/>
      <c r="D28" s="36">
        <v>18</v>
      </c>
      <c r="E28" s="217" t="s">
        <v>611</v>
      </c>
      <c r="F28" s="218"/>
      <c r="G28" s="218"/>
      <c r="H28" s="218"/>
      <c r="I28" s="218"/>
      <c r="J28" s="218"/>
      <c r="K28" s="218"/>
      <c r="L28" s="219"/>
      <c r="M28" s="209" t="s">
        <v>47</v>
      </c>
      <c r="N28" s="204"/>
      <c r="O28" s="204"/>
      <c r="P28" s="209" t="s">
        <v>835</v>
      </c>
      <c r="Q28" s="204"/>
      <c r="R28" s="204"/>
      <c r="S28" s="209"/>
      <c r="T28" s="204"/>
      <c r="U28" s="204"/>
      <c r="V28" s="214" t="s">
        <v>828</v>
      </c>
      <c r="W28" s="215"/>
      <c r="X28" s="215"/>
      <c r="Y28" s="215"/>
      <c r="Z28" s="215"/>
      <c r="AA28" s="223"/>
      <c r="AB28" s="214" t="s">
        <v>796</v>
      </c>
      <c r="AC28" s="215"/>
      <c r="AD28" s="215"/>
      <c r="AE28" s="215"/>
      <c r="AF28" s="215"/>
      <c r="AG28" s="223"/>
      <c r="AH28" s="231" t="s">
        <v>834</v>
      </c>
      <c r="AI28" s="232"/>
      <c r="AJ28" s="232"/>
      <c r="AK28" s="232"/>
      <c r="AL28" s="232"/>
      <c r="AM28" s="232"/>
      <c r="AN28" s="232"/>
      <c r="AO28" s="232"/>
      <c r="AP28" s="232"/>
      <c r="AQ28" s="232"/>
      <c r="AR28" s="232"/>
      <c r="AS28" s="232"/>
      <c r="AT28" s="232"/>
      <c r="AU28" s="232"/>
      <c r="AV28" s="232"/>
      <c r="AW28" s="233"/>
      <c r="AX28" s="209"/>
      <c r="AY28" s="204"/>
      <c r="AZ28" s="204"/>
      <c r="BA28" s="204"/>
      <c r="BB28" s="204"/>
      <c r="BC28" s="205"/>
      <c r="BD28" s="214"/>
      <c r="BE28" s="215"/>
      <c r="BF28" s="215"/>
      <c r="BG28" s="215"/>
      <c r="BH28" s="215"/>
      <c r="BI28" s="215"/>
      <c r="BJ28" s="215"/>
      <c r="BK28" s="215"/>
      <c r="BL28" s="215"/>
      <c r="BM28" s="215"/>
      <c r="BN28" s="215"/>
      <c r="BO28" s="215"/>
      <c r="BP28" s="215"/>
      <c r="BQ28" s="215"/>
      <c r="BR28" s="215"/>
      <c r="BS28" s="215"/>
      <c r="BT28" s="215"/>
      <c r="BU28" s="215"/>
      <c r="BV28" s="215"/>
      <c r="BW28" s="215"/>
      <c r="BX28" s="215"/>
      <c r="BY28" s="215"/>
      <c r="BZ28" s="216"/>
      <c r="CA28" s="40"/>
      <c r="CB28" s="39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</row>
    <row r="29" spans="1:91" ht="20.100000000000001" customHeight="1" x14ac:dyDescent="0.45">
      <c r="A29" s="28"/>
      <c r="B29" s="42"/>
      <c r="C29" s="28"/>
      <c r="D29" s="36">
        <v>19</v>
      </c>
      <c r="E29" s="217" t="s">
        <v>770</v>
      </c>
      <c r="F29" s="218"/>
      <c r="G29" s="218"/>
      <c r="H29" s="218"/>
      <c r="I29" s="218"/>
      <c r="J29" s="218"/>
      <c r="K29" s="218"/>
      <c r="L29" s="219"/>
      <c r="M29" s="209" t="s">
        <v>47</v>
      </c>
      <c r="N29" s="204"/>
      <c r="O29" s="204"/>
      <c r="P29" s="209" t="s">
        <v>835</v>
      </c>
      <c r="Q29" s="204"/>
      <c r="R29" s="204"/>
      <c r="S29" s="209"/>
      <c r="T29" s="204"/>
      <c r="U29" s="204"/>
      <c r="V29" s="214" t="s">
        <v>812</v>
      </c>
      <c r="W29" s="215"/>
      <c r="X29" s="215"/>
      <c r="Y29" s="215"/>
      <c r="Z29" s="215"/>
      <c r="AA29" s="223"/>
      <c r="AB29" s="214" t="s">
        <v>797</v>
      </c>
      <c r="AC29" s="215"/>
      <c r="AD29" s="215"/>
      <c r="AE29" s="215"/>
      <c r="AF29" s="215"/>
      <c r="AG29" s="223"/>
      <c r="AH29" s="228"/>
      <c r="AI29" s="229"/>
      <c r="AJ29" s="229"/>
      <c r="AK29" s="229"/>
      <c r="AL29" s="229"/>
      <c r="AM29" s="229"/>
      <c r="AN29" s="229"/>
      <c r="AO29" s="229"/>
      <c r="AP29" s="229"/>
      <c r="AQ29" s="229"/>
      <c r="AR29" s="229"/>
      <c r="AS29" s="229"/>
      <c r="AT29" s="229"/>
      <c r="AU29" s="229"/>
      <c r="AV29" s="229"/>
      <c r="AW29" s="230"/>
      <c r="AX29" s="209"/>
      <c r="AY29" s="204"/>
      <c r="AZ29" s="204"/>
      <c r="BA29" s="204"/>
      <c r="BB29" s="204"/>
      <c r="BC29" s="205"/>
      <c r="BD29" s="214"/>
      <c r="BE29" s="215"/>
      <c r="BF29" s="215"/>
      <c r="BG29" s="215"/>
      <c r="BH29" s="215"/>
      <c r="BI29" s="215"/>
      <c r="BJ29" s="215"/>
      <c r="BK29" s="215"/>
      <c r="BL29" s="215"/>
      <c r="BM29" s="215"/>
      <c r="BN29" s="215"/>
      <c r="BO29" s="215"/>
      <c r="BP29" s="215"/>
      <c r="BQ29" s="215"/>
      <c r="BR29" s="215"/>
      <c r="BS29" s="215"/>
      <c r="BT29" s="215"/>
      <c r="BU29" s="215"/>
      <c r="BV29" s="215"/>
      <c r="BW29" s="215"/>
      <c r="BX29" s="215"/>
      <c r="BY29" s="215"/>
      <c r="BZ29" s="216"/>
      <c r="CA29" s="40"/>
      <c r="CB29" s="39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</row>
    <row r="30" spans="1:91" ht="19.5" customHeight="1" x14ac:dyDescent="0.45">
      <c r="A30" s="28"/>
      <c r="B30" s="42"/>
      <c r="C30" s="28"/>
      <c r="D30" s="36">
        <v>20</v>
      </c>
      <c r="E30" s="217" t="s">
        <v>612</v>
      </c>
      <c r="F30" s="218"/>
      <c r="G30" s="218"/>
      <c r="H30" s="218"/>
      <c r="I30" s="218"/>
      <c r="J30" s="218"/>
      <c r="K30" s="218"/>
      <c r="L30" s="219"/>
      <c r="M30" s="209" t="s">
        <v>47</v>
      </c>
      <c r="N30" s="204"/>
      <c r="O30" s="204"/>
      <c r="P30" s="209" t="s">
        <v>835</v>
      </c>
      <c r="Q30" s="204"/>
      <c r="R30" s="204"/>
      <c r="S30" s="209"/>
      <c r="T30" s="204"/>
      <c r="U30" s="204"/>
      <c r="V30" s="214" t="s">
        <v>829</v>
      </c>
      <c r="W30" s="215"/>
      <c r="X30" s="215"/>
      <c r="Y30" s="215"/>
      <c r="Z30" s="215"/>
      <c r="AA30" s="223"/>
      <c r="AB30" s="214" t="s">
        <v>798</v>
      </c>
      <c r="AC30" s="215"/>
      <c r="AD30" s="215"/>
      <c r="AE30" s="215"/>
      <c r="AF30" s="215"/>
      <c r="AG30" s="223"/>
      <c r="AH30" s="231" t="s">
        <v>834</v>
      </c>
      <c r="AI30" s="232"/>
      <c r="AJ30" s="232"/>
      <c r="AK30" s="232"/>
      <c r="AL30" s="232"/>
      <c r="AM30" s="232"/>
      <c r="AN30" s="232"/>
      <c r="AO30" s="232"/>
      <c r="AP30" s="232"/>
      <c r="AQ30" s="232"/>
      <c r="AR30" s="232"/>
      <c r="AS30" s="232"/>
      <c r="AT30" s="232"/>
      <c r="AU30" s="232"/>
      <c r="AV30" s="232"/>
      <c r="AW30" s="233"/>
      <c r="AX30" s="209"/>
      <c r="AY30" s="204"/>
      <c r="AZ30" s="204"/>
      <c r="BA30" s="204"/>
      <c r="BB30" s="204"/>
      <c r="BC30" s="205"/>
      <c r="BD30" s="214"/>
      <c r="BE30" s="215"/>
      <c r="BF30" s="215"/>
      <c r="BG30" s="215"/>
      <c r="BH30" s="215"/>
      <c r="BI30" s="215"/>
      <c r="BJ30" s="215"/>
      <c r="BK30" s="215"/>
      <c r="BL30" s="215"/>
      <c r="BM30" s="215"/>
      <c r="BN30" s="215"/>
      <c r="BO30" s="215"/>
      <c r="BP30" s="215"/>
      <c r="BQ30" s="215"/>
      <c r="BR30" s="215"/>
      <c r="BS30" s="215"/>
      <c r="BT30" s="215"/>
      <c r="BU30" s="215"/>
      <c r="BV30" s="215"/>
      <c r="BW30" s="215"/>
      <c r="BX30" s="215"/>
      <c r="BY30" s="215"/>
      <c r="BZ30" s="216"/>
      <c r="CA30" s="40"/>
      <c r="CB30" s="39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</row>
    <row r="31" spans="1:91" ht="19.5" customHeight="1" x14ac:dyDescent="0.45">
      <c r="A31" s="28"/>
      <c r="B31" s="42"/>
      <c r="C31" s="28"/>
      <c r="D31" s="36">
        <v>21</v>
      </c>
      <c r="E31" s="217" t="s">
        <v>613</v>
      </c>
      <c r="F31" s="218"/>
      <c r="G31" s="218"/>
      <c r="H31" s="218"/>
      <c r="I31" s="218"/>
      <c r="J31" s="218"/>
      <c r="K31" s="218"/>
      <c r="L31" s="219"/>
      <c r="M31" s="209" t="s">
        <v>38</v>
      </c>
      <c r="N31" s="204"/>
      <c r="O31" s="204"/>
      <c r="P31" s="209" t="s">
        <v>836</v>
      </c>
      <c r="Q31" s="204"/>
      <c r="R31" s="204"/>
      <c r="S31" s="209">
        <v>24</v>
      </c>
      <c r="T31" s="204"/>
      <c r="U31" s="204"/>
      <c r="V31" s="214" t="s">
        <v>830</v>
      </c>
      <c r="W31" s="215"/>
      <c r="X31" s="215"/>
      <c r="Y31" s="215"/>
      <c r="Z31" s="215"/>
      <c r="AA31" s="223"/>
      <c r="AB31" s="214" t="s">
        <v>799</v>
      </c>
      <c r="AC31" s="215"/>
      <c r="AD31" s="215"/>
      <c r="AE31" s="215"/>
      <c r="AF31" s="215"/>
      <c r="AG31" s="223"/>
      <c r="AH31" s="231" t="s">
        <v>833</v>
      </c>
      <c r="AI31" s="232"/>
      <c r="AJ31" s="232"/>
      <c r="AK31" s="232"/>
      <c r="AL31" s="232"/>
      <c r="AM31" s="232"/>
      <c r="AN31" s="232"/>
      <c r="AO31" s="232"/>
      <c r="AP31" s="232"/>
      <c r="AQ31" s="232"/>
      <c r="AR31" s="232"/>
      <c r="AS31" s="232"/>
      <c r="AT31" s="232"/>
      <c r="AU31" s="232"/>
      <c r="AV31" s="232"/>
      <c r="AW31" s="233"/>
      <c r="AX31" s="209"/>
      <c r="AY31" s="204"/>
      <c r="AZ31" s="204"/>
      <c r="BA31" s="204"/>
      <c r="BB31" s="204"/>
      <c r="BC31" s="205"/>
      <c r="BD31" s="214"/>
      <c r="BE31" s="215"/>
      <c r="BF31" s="215"/>
      <c r="BG31" s="215"/>
      <c r="BH31" s="215"/>
      <c r="BI31" s="215"/>
      <c r="BJ31" s="215"/>
      <c r="BK31" s="215"/>
      <c r="BL31" s="215"/>
      <c r="BM31" s="215"/>
      <c r="BN31" s="215"/>
      <c r="BO31" s="215"/>
      <c r="BP31" s="215"/>
      <c r="BQ31" s="215"/>
      <c r="BR31" s="215"/>
      <c r="BS31" s="215"/>
      <c r="BT31" s="215"/>
      <c r="BU31" s="215"/>
      <c r="BV31" s="215"/>
      <c r="BW31" s="215"/>
      <c r="BX31" s="215"/>
      <c r="BY31" s="215"/>
      <c r="BZ31" s="216"/>
      <c r="CA31" s="40"/>
      <c r="CB31" s="39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</row>
    <row r="32" spans="1:91" ht="20.100000000000001" customHeight="1" x14ac:dyDescent="0.45">
      <c r="A32" s="28"/>
      <c r="B32" s="42"/>
      <c r="C32" s="28"/>
      <c r="D32" s="36">
        <v>22</v>
      </c>
      <c r="E32" s="217" t="s">
        <v>771</v>
      </c>
      <c r="F32" s="218"/>
      <c r="G32" s="218"/>
      <c r="H32" s="218"/>
      <c r="I32" s="218"/>
      <c r="J32" s="218"/>
      <c r="K32" s="218"/>
      <c r="L32" s="219"/>
      <c r="M32" s="209" t="s">
        <v>47</v>
      </c>
      <c r="N32" s="204"/>
      <c r="O32" s="204"/>
      <c r="P32" s="209" t="s">
        <v>835</v>
      </c>
      <c r="Q32" s="204"/>
      <c r="R32" s="204"/>
      <c r="S32" s="220"/>
      <c r="T32" s="221"/>
      <c r="U32" s="221"/>
      <c r="V32" s="211" t="s">
        <v>817</v>
      </c>
      <c r="W32" s="212"/>
      <c r="X32" s="212"/>
      <c r="Y32" s="212"/>
      <c r="Z32" s="212"/>
      <c r="AA32" s="222"/>
      <c r="AB32" s="214" t="s">
        <v>800</v>
      </c>
      <c r="AC32" s="215"/>
      <c r="AD32" s="215"/>
      <c r="AE32" s="215"/>
      <c r="AF32" s="215"/>
      <c r="AG32" s="223"/>
      <c r="AH32" s="224"/>
      <c r="AI32" s="225"/>
      <c r="AJ32" s="225"/>
      <c r="AK32" s="225"/>
      <c r="AL32" s="225"/>
      <c r="AM32" s="225"/>
      <c r="AN32" s="225"/>
      <c r="AO32" s="225"/>
      <c r="AP32" s="225"/>
      <c r="AQ32" s="225"/>
      <c r="AR32" s="225"/>
      <c r="AS32" s="225"/>
      <c r="AT32" s="225"/>
      <c r="AU32" s="225"/>
      <c r="AV32" s="225"/>
      <c r="AW32" s="226"/>
      <c r="AX32" s="220"/>
      <c r="AY32" s="221"/>
      <c r="AZ32" s="221"/>
      <c r="BA32" s="221"/>
      <c r="BB32" s="221"/>
      <c r="BC32" s="227"/>
      <c r="BD32" s="211"/>
      <c r="BE32" s="212"/>
      <c r="BF32" s="212"/>
      <c r="BG32" s="212"/>
      <c r="BH32" s="212"/>
      <c r="BI32" s="212"/>
      <c r="BJ32" s="212"/>
      <c r="BK32" s="212"/>
      <c r="BL32" s="212"/>
      <c r="BM32" s="212"/>
      <c r="BN32" s="212"/>
      <c r="BO32" s="212"/>
      <c r="BP32" s="212"/>
      <c r="BQ32" s="212"/>
      <c r="BR32" s="212"/>
      <c r="BS32" s="212"/>
      <c r="BT32" s="212"/>
      <c r="BU32" s="212"/>
      <c r="BV32" s="212"/>
      <c r="BW32" s="212"/>
      <c r="BX32" s="212"/>
      <c r="BY32" s="212"/>
      <c r="BZ32" s="213"/>
      <c r="CA32" s="40"/>
      <c r="CB32" s="39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</row>
    <row r="33" spans="1:91" ht="19.5" customHeight="1" x14ac:dyDescent="0.45">
      <c r="A33" s="28"/>
      <c r="B33" s="42"/>
      <c r="C33" s="28"/>
      <c r="D33" s="36">
        <v>23</v>
      </c>
      <c r="E33" s="217" t="s">
        <v>772</v>
      </c>
      <c r="F33" s="218"/>
      <c r="G33" s="218"/>
      <c r="H33" s="218"/>
      <c r="I33" s="218"/>
      <c r="J33" s="218"/>
      <c r="K33" s="218"/>
      <c r="L33" s="219"/>
      <c r="M33" s="209" t="s">
        <v>38</v>
      </c>
      <c r="N33" s="204"/>
      <c r="O33" s="204"/>
      <c r="P33" s="209" t="s">
        <v>836</v>
      </c>
      <c r="Q33" s="204"/>
      <c r="R33" s="204"/>
      <c r="S33" s="209">
        <v>30</v>
      </c>
      <c r="T33" s="204"/>
      <c r="U33" s="204"/>
      <c r="V33" s="214" t="s">
        <v>817</v>
      </c>
      <c r="W33" s="215"/>
      <c r="X33" s="215"/>
      <c r="Y33" s="215"/>
      <c r="Z33" s="215"/>
      <c r="AA33" s="223"/>
      <c r="AB33" s="214" t="s">
        <v>801</v>
      </c>
      <c r="AC33" s="215"/>
      <c r="AD33" s="215"/>
      <c r="AE33" s="215"/>
      <c r="AF33" s="215"/>
      <c r="AG33" s="223"/>
      <c r="AH33" s="228"/>
      <c r="AI33" s="229"/>
      <c r="AJ33" s="229"/>
      <c r="AK33" s="229"/>
      <c r="AL33" s="229"/>
      <c r="AM33" s="229"/>
      <c r="AN33" s="229"/>
      <c r="AO33" s="229"/>
      <c r="AP33" s="229"/>
      <c r="AQ33" s="229"/>
      <c r="AR33" s="229"/>
      <c r="AS33" s="229"/>
      <c r="AT33" s="229"/>
      <c r="AU33" s="229"/>
      <c r="AV33" s="229"/>
      <c r="AW33" s="230"/>
      <c r="AX33" s="209"/>
      <c r="AY33" s="204"/>
      <c r="AZ33" s="204"/>
      <c r="BA33" s="204"/>
      <c r="BB33" s="204"/>
      <c r="BC33" s="205"/>
      <c r="BD33" s="214"/>
      <c r="BE33" s="215"/>
      <c r="BF33" s="215"/>
      <c r="BG33" s="215"/>
      <c r="BH33" s="215"/>
      <c r="BI33" s="215"/>
      <c r="BJ33" s="215"/>
      <c r="BK33" s="215"/>
      <c r="BL33" s="215"/>
      <c r="BM33" s="215"/>
      <c r="BN33" s="215"/>
      <c r="BO33" s="215"/>
      <c r="BP33" s="215"/>
      <c r="BQ33" s="215"/>
      <c r="BR33" s="215"/>
      <c r="BS33" s="215"/>
      <c r="BT33" s="215"/>
      <c r="BU33" s="215"/>
      <c r="BV33" s="215"/>
      <c r="BW33" s="215"/>
      <c r="BX33" s="215"/>
      <c r="BY33" s="215"/>
      <c r="BZ33" s="216"/>
      <c r="CA33" s="40"/>
      <c r="CB33" s="39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</row>
    <row r="34" spans="1:91" ht="19.5" customHeight="1" x14ac:dyDescent="0.45">
      <c r="A34" s="28"/>
      <c r="B34" s="42"/>
      <c r="C34" s="28"/>
      <c r="D34" s="36">
        <v>24</v>
      </c>
      <c r="E34" s="217" t="s">
        <v>773</v>
      </c>
      <c r="F34" s="218"/>
      <c r="G34" s="218"/>
      <c r="H34" s="218"/>
      <c r="I34" s="218"/>
      <c r="J34" s="218"/>
      <c r="K34" s="218"/>
      <c r="L34" s="219"/>
      <c r="M34" s="209" t="s">
        <v>47</v>
      </c>
      <c r="N34" s="204"/>
      <c r="O34" s="204"/>
      <c r="P34" s="209" t="s">
        <v>835</v>
      </c>
      <c r="Q34" s="204"/>
      <c r="R34" s="204"/>
      <c r="S34" s="209"/>
      <c r="T34" s="204"/>
      <c r="U34" s="204"/>
      <c r="V34" s="214" t="s">
        <v>831</v>
      </c>
      <c r="W34" s="215"/>
      <c r="X34" s="215"/>
      <c r="Y34" s="215"/>
      <c r="Z34" s="215"/>
      <c r="AA34" s="223"/>
      <c r="AB34" s="214" t="s">
        <v>802</v>
      </c>
      <c r="AC34" s="215"/>
      <c r="AD34" s="215"/>
      <c r="AE34" s="215"/>
      <c r="AF34" s="215"/>
      <c r="AG34" s="223"/>
      <c r="AH34" s="231" t="s">
        <v>833</v>
      </c>
      <c r="AI34" s="232"/>
      <c r="AJ34" s="232"/>
      <c r="AK34" s="232"/>
      <c r="AL34" s="232"/>
      <c r="AM34" s="232"/>
      <c r="AN34" s="232"/>
      <c r="AO34" s="232"/>
      <c r="AP34" s="232"/>
      <c r="AQ34" s="232"/>
      <c r="AR34" s="232"/>
      <c r="AS34" s="232"/>
      <c r="AT34" s="232"/>
      <c r="AU34" s="232"/>
      <c r="AV34" s="232"/>
      <c r="AW34" s="233"/>
      <c r="AX34" s="209"/>
      <c r="AY34" s="204"/>
      <c r="AZ34" s="204"/>
      <c r="BA34" s="204"/>
      <c r="BB34" s="204"/>
      <c r="BC34" s="205"/>
      <c r="BD34" s="214"/>
      <c r="BE34" s="215"/>
      <c r="BF34" s="215"/>
      <c r="BG34" s="215"/>
      <c r="BH34" s="215"/>
      <c r="BI34" s="215"/>
      <c r="BJ34" s="215"/>
      <c r="BK34" s="215"/>
      <c r="BL34" s="215"/>
      <c r="BM34" s="215"/>
      <c r="BN34" s="215"/>
      <c r="BO34" s="215"/>
      <c r="BP34" s="215"/>
      <c r="BQ34" s="215"/>
      <c r="BR34" s="215"/>
      <c r="BS34" s="215"/>
      <c r="BT34" s="215"/>
      <c r="BU34" s="215"/>
      <c r="BV34" s="215"/>
      <c r="BW34" s="215"/>
      <c r="BX34" s="215"/>
      <c r="BY34" s="215"/>
      <c r="BZ34" s="216"/>
      <c r="CA34" s="40"/>
      <c r="CB34" s="39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</row>
    <row r="35" spans="1:91" ht="20.100000000000001" customHeight="1" x14ac:dyDescent="0.45">
      <c r="A35" s="28"/>
      <c r="B35" s="42"/>
      <c r="C35" s="28"/>
      <c r="D35" s="36">
        <v>25</v>
      </c>
      <c r="E35" s="217" t="s">
        <v>774</v>
      </c>
      <c r="F35" s="218"/>
      <c r="G35" s="218"/>
      <c r="H35" s="218"/>
      <c r="I35" s="218"/>
      <c r="J35" s="218"/>
      <c r="K35" s="218"/>
      <c r="L35" s="219"/>
      <c r="M35" s="209" t="s">
        <v>38</v>
      </c>
      <c r="N35" s="204"/>
      <c r="O35" s="204"/>
      <c r="P35" s="209" t="s">
        <v>836</v>
      </c>
      <c r="Q35" s="204"/>
      <c r="R35" s="204"/>
      <c r="S35" s="220">
        <v>96</v>
      </c>
      <c r="T35" s="221"/>
      <c r="U35" s="221"/>
      <c r="V35" s="211" t="s">
        <v>832</v>
      </c>
      <c r="W35" s="212"/>
      <c r="X35" s="212"/>
      <c r="Y35" s="212"/>
      <c r="Z35" s="212"/>
      <c r="AA35" s="222"/>
      <c r="AB35" s="214" t="s">
        <v>803</v>
      </c>
      <c r="AC35" s="215"/>
      <c r="AD35" s="215"/>
      <c r="AE35" s="215"/>
      <c r="AF35" s="215"/>
      <c r="AG35" s="223"/>
      <c r="AH35" s="231" t="s">
        <v>833</v>
      </c>
      <c r="AI35" s="232"/>
      <c r="AJ35" s="232"/>
      <c r="AK35" s="232"/>
      <c r="AL35" s="232"/>
      <c r="AM35" s="232"/>
      <c r="AN35" s="232"/>
      <c r="AO35" s="232"/>
      <c r="AP35" s="232"/>
      <c r="AQ35" s="232"/>
      <c r="AR35" s="232"/>
      <c r="AS35" s="232"/>
      <c r="AT35" s="232"/>
      <c r="AU35" s="232"/>
      <c r="AV35" s="232"/>
      <c r="AW35" s="233"/>
      <c r="AX35" s="220"/>
      <c r="AY35" s="221"/>
      <c r="AZ35" s="221"/>
      <c r="BA35" s="221"/>
      <c r="BB35" s="221"/>
      <c r="BC35" s="227"/>
      <c r="BD35" s="211"/>
      <c r="BE35" s="212"/>
      <c r="BF35" s="212"/>
      <c r="BG35" s="212"/>
      <c r="BH35" s="212"/>
      <c r="BI35" s="212"/>
      <c r="BJ35" s="212"/>
      <c r="BK35" s="212"/>
      <c r="BL35" s="212"/>
      <c r="BM35" s="212"/>
      <c r="BN35" s="212"/>
      <c r="BO35" s="212"/>
      <c r="BP35" s="212"/>
      <c r="BQ35" s="212"/>
      <c r="BR35" s="212"/>
      <c r="BS35" s="212"/>
      <c r="BT35" s="212"/>
      <c r="BU35" s="212"/>
      <c r="BV35" s="212"/>
      <c r="BW35" s="212"/>
      <c r="BX35" s="212"/>
      <c r="BY35" s="212"/>
      <c r="BZ35" s="213"/>
      <c r="CA35" s="40"/>
      <c r="CB35" s="39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</row>
    <row r="36" spans="1:91" ht="19.5" customHeight="1" x14ac:dyDescent="0.45">
      <c r="A36" s="28"/>
      <c r="B36" s="42"/>
      <c r="C36" s="28"/>
      <c r="D36" s="36">
        <v>26</v>
      </c>
      <c r="E36" s="217" t="s">
        <v>775</v>
      </c>
      <c r="F36" s="218"/>
      <c r="G36" s="218"/>
      <c r="H36" s="218"/>
      <c r="I36" s="218"/>
      <c r="J36" s="218"/>
      <c r="K36" s="218"/>
      <c r="L36" s="219"/>
      <c r="M36" s="209" t="s">
        <v>47</v>
      </c>
      <c r="N36" s="204"/>
      <c r="O36" s="204"/>
      <c r="P36" s="209" t="s">
        <v>835</v>
      </c>
      <c r="Q36" s="204"/>
      <c r="R36" s="204"/>
      <c r="S36" s="209"/>
      <c r="T36" s="204"/>
      <c r="U36" s="204"/>
      <c r="V36" s="214" t="s">
        <v>817</v>
      </c>
      <c r="W36" s="215"/>
      <c r="X36" s="215"/>
      <c r="Y36" s="215"/>
      <c r="Z36" s="215"/>
      <c r="AA36" s="223"/>
      <c r="AB36" s="214" t="s">
        <v>804</v>
      </c>
      <c r="AC36" s="215"/>
      <c r="AD36" s="215"/>
      <c r="AE36" s="215"/>
      <c r="AF36" s="215"/>
      <c r="AG36" s="223"/>
      <c r="AH36" s="228"/>
      <c r="AI36" s="229"/>
      <c r="AJ36" s="229"/>
      <c r="AK36" s="229"/>
      <c r="AL36" s="229"/>
      <c r="AM36" s="229"/>
      <c r="AN36" s="229"/>
      <c r="AO36" s="229"/>
      <c r="AP36" s="229"/>
      <c r="AQ36" s="229"/>
      <c r="AR36" s="229"/>
      <c r="AS36" s="229"/>
      <c r="AT36" s="229"/>
      <c r="AU36" s="229"/>
      <c r="AV36" s="229"/>
      <c r="AW36" s="230"/>
      <c r="AX36" s="209"/>
      <c r="AY36" s="204"/>
      <c r="AZ36" s="204"/>
      <c r="BA36" s="204"/>
      <c r="BB36" s="204"/>
      <c r="BC36" s="205"/>
      <c r="BD36" s="214"/>
      <c r="BE36" s="215"/>
      <c r="BF36" s="215"/>
      <c r="BG36" s="215"/>
      <c r="BH36" s="215"/>
      <c r="BI36" s="215"/>
      <c r="BJ36" s="215"/>
      <c r="BK36" s="215"/>
      <c r="BL36" s="215"/>
      <c r="BM36" s="215"/>
      <c r="BN36" s="215"/>
      <c r="BO36" s="215"/>
      <c r="BP36" s="215"/>
      <c r="BQ36" s="215"/>
      <c r="BR36" s="215"/>
      <c r="BS36" s="215"/>
      <c r="BT36" s="215"/>
      <c r="BU36" s="215"/>
      <c r="BV36" s="215"/>
      <c r="BW36" s="215"/>
      <c r="BX36" s="215"/>
      <c r="BY36" s="215"/>
      <c r="BZ36" s="216"/>
      <c r="CA36" s="40"/>
      <c r="CB36" s="39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</row>
    <row r="37" spans="1:91" ht="20.100000000000001" customHeight="1" x14ac:dyDescent="0.45">
      <c r="A37" s="28"/>
      <c r="B37" s="42"/>
      <c r="C37" s="28"/>
      <c r="D37" s="36">
        <v>27</v>
      </c>
      <c r="E37" s="217" t="s">
        <v>776</v>
      </c>
      <c r="F37" s="218"/>
      <c r="G37" s="218"/>
      <c r="H37" s="218"/>
      <c r="I37" s="218"/>
      <c r="J37" s="218"/>
      <c r="K37" s="218"/>
      <c r="L37" s="219"/>
      <c r="M37" s="209" t="s">
        <v>47</v>
      </c>
      <c r="N37" s="204"/>
      <c r="O37" s="204"/>
      <c r="P37" s="209" t="s">
        <v>835</v>
      </c>
      <c r="Q37" s="204"/>
      <c r="R37" s="204"/>
      <c r="S37" s="220"/>
      <c r="T37" s="221"/>
      <c r="U37" s="221"/>
      <c r="V37" s="214" t="s">
        <v>817</v>
      </c>
      <c r="W37" s="215"/>
      <c r="X37" s="215"/>
      <c r="Y37" s="215"/>
      <c r="Z37" s="215"/>
      <c r="AA37" s="223"/>
      <c r="AB37" s="214" t="s">
        <v>805</v>
      </c>
      <c r="AC37" s="215"/>
      <c r="AD37" s="215"/>
      <c r="AE37" s="215"/>
      <c r="AF37" s="215"/>
      <c r="AG37" s="223"/>
      <c r="AH37" s="224"/>
      <c r="AI37" s="225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5"/>
      <c r="AU37" s="225"/>
      <c r="AV37" s="225"/>
      <c r="AW37" s="226"/>
      <c r="AX37" s="220"/>
      <c r="AY37" s="221"/>
      <c r="AZ37" s="221"/>
      <c r="BA37" s="221"/>
      <c r="BB37" s="221"/>
      <c r="BC37" s="227"/>
      <c r="BD37" s="211"/>
      <c r="BE37" s="212"/>
      <c r="BF37" s="212"/>
      <c r="BG37" s="212"/>
      <c r="BH37" s="212"/>
      <c r="BI37" s="212"/>
      <c r="BJ37" s="212"/>
      <c r="BK37" s="212"/>
      <c r="BL37" s="212"/>
      <c r="BM37" s="212"/>
      <c r="BN37" s="212"/>
      <c r="BO37" s="212"/>
      <c r="BP37" s="212"/>
      <c r="BQ37" s="212"/>
      <c r="BR37" s="212"/>
      <c r="BS37" s="212"/>
      <c r="BT37" s="212"/>
      <c r="BU37" s="212"/>
      <c r="BV37" s="212"/>
      <c r="BW37" s="212"/>
      <c r="BX37" s="212"/>
      <c r="BY37" s="212"/>
      <c r="BZ37" s="213"/>
      <c r="CA37" s="40"/>
      <c r="CB37" s="39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</row>
    <row r="38" spans="1:91" ht="19.5" customHeight="1" x14ac:dyDescent="0.45">
      <c r="A38" s="28"/>
      <c r="B38" s="42"/>
      <c r="C38" s="28"/>
      <c r="D38" s="36">
        <v>28</v>
      </c>
      <c r="E38" s="217" t="s">
        <v>777</v>
      </c>
      <c r="F38" s="218"/>
      <c r="G38" s="218"/>
      <c r="H38" s="218"/>
      <c r="I38" s="218"/>
      <c r="J38" s="218"/>
      <c r="K38" s="218"/>
      <c r="L38" s="219"/>
      <c r="M38" s="209" t="s">
        <v>47</v>
      </c>
      <c r="N38" s="204"/>
      <c r="O38" s="204"/>
      <c r="P38" s="209" t="s">
        <v>835</v>
      </c>
      <c r="Q38" s="204"/>
      <c r="R38" s="204"/>
      <c r="S38" s="209"/>
      <c r="T38" s="204"/>
      <c r="U38" s="204"/>
      <c r="V38" s="214" t="s">
        <v>817</v>
      </c>
      <c r="W38" s="215"/>
      <c r="X38" s="215"/>
      <c r="Y38" s="215"/>
      <c r="Z38" s="215"/>
      <c r="AA38" s="223"/>
      <c r="AB38" s="214" t="s">
        <v>806</v>
      </c>
      <c r="AC38" s="215"/>
      <c r="AD38" s="215"/>
      <c r="AE38" s="215"/>
      <c r="AF38" s="215"/>
      <c r="AG38" s="223"/>
      <c r="AH38" s="228"/>
      <c r="AI38" s="229"/>
      <c r="AJ38" s="229"/>
      <c r="AK38" s="229"/>
      <c r="AL38" s="229"/>
      <c r="AM38" s="229"/>
      <c r="AN38" s="229"/>
      <c r="AO38" s="229"/>
      <c r="AP38" s="229"/>
      <c r="AQ38" s="229"/>
      <c r="AR38" s="229"/>
      <c r="AS38" s="229"/>
      <c r="AT38" s="229"/>
      <c r="AU38" s="229"/>
      <c r="AV38" s="229"/>
      <c r="AW38" s="230"/>
      <c r="AX38" s="209"/>
      <c r="AY38" s="204"/>
      <c r="AZ38" s="204"/>
      <c r="BA38" s="204"/>
      <c r="BB38" s="204"/>
      <c r="BC38" s="205"/>
      <c r="BD38" s="214"/>
      <c r="BE38" s="215"/>
      <c r="BF38" s="215"/>
      <c r="BG38" s="215"/>
      <c r="BH38" s="215"/>
      <c r="BI38" s="215"/>
      <c r="BJ38" s="215"/>
      <c r="BK38" s="215"/>
      <c r="BL38" s="215"/>
      <c r="BM38" s="215"/>
      <c r="BN38" s="215"/>
      <c r="BO38" s="215"/>
      <c r="BP38" s="215"/>
      <c r="BQ38" s="215"/>
      <c r="BR38" s="215"/>
      <c r="BS38" s="215"/>
      <c r="BT38" s="215"/>
      <c r="BU38" s="215"/>
      <c r="BV38" s="215"/>
      <c r="BW38" s="215"/>
      <c r="BX38" s="215"/>
      <c r="BY38" s="215"/>
      <c r="BZ38" s="216"/>
      <c r="CA38" s="40"/>
      <c r="CB38" s="39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</row>
    <row r="39" spans="1:91" ht="19.5" customHeight="1" x14ac:dyDescent="0.45">
      <c r="A39" s="28"/>
      <c r="B39" s="42"/>
      <c r="C39" s="28"/>
      <c r="D39" s="36">
        <v>29</v>
      </c>
      <c r="E39" s="217" t="s">
        <v>778</v>
      </c>
      <c r="F39" s="218"/>
      <c r="G39" s="218"/>
      <c r="H39" s="218"/>
      <c r="I39" s="218"/>
      <c r="J39" s="218"/>
      <c r="K39" s="218"/>
      <c r="L39" s="219"/>
      <c r="M39" s="209" t="s">
        <v>47</v>
      </c>
      <c r="N39" s="204"/>
      <c r="O39" s="204"/>
      <c r="P39" s="209" t="s">
        <v>835</v>
      </c>
      <c r="Q39" s="204"/>
      <c r="R39" s="204"/>
      <c r="S39" s="209"/>
      <c r="T39" s="204"/>
      <c r="U39" s="204"/>
      <c r="V39" s="214" t="s">
        <v>817</v>
      </c>
      <c r="W39" s="215"/>
      <c r="X39" s="215"/>
      <c r="Y39" s="215"/>
      <c r="Z39" s="215"/>
      <c r="AA39" s="223"/>
      <c r="AB39" s="214" t="s">
        <v>807</v>
      </c>
      <c r="AC39" s="215"/>
      <c r="AD39" s="215"/>
      <c r="AE39" s="215"/>
      <c r="AF39" s="215"/>
      <c r="AG39" s="223"/>
      <c r="AH39" s="228"/>
      <c r="AI39" s="229"/>
      <c r="AJ39" s="229"/>
      <c r="AK39" s="229"/>
      <c r="AL39" s="229"/>
      <c r="AM39" s="229"/>
      <c r="AN39" s="229"/>
      <c r="AO39" s="229"/>
      <c r="AP39" s="229"/>
      <c r="AQ39" s="229"/>
      <c r="AR39" s="229"/>
      <c r="AS39" s="229"/>
      <c r="AT39" s="229"/>
      <c r="AU39" s="229"/>
      <c r="AV39" s="229"/>
      <c r="AW39" s="230"/>
      <c r="AX39" s="209"/>
      <c r="AY39" s="204"/>
      <c r="AZ39" s="204"/>
      <c r="BA39" s="204"/>
      <c r="BB39" s="204"/>
      <c r="BC39" s="205"/>
      <c r="BD39" s="214"/>
      <c r="BE39" s="215"/>
      <c r="BF39" s="215"/>
      <c r="BG39" s="215"/>
      <c r="BH39" s="215"/>
      <c r="BI39" s="215"/>
      <c r="BJ39" s="215"/>
      <c r="BK39" s="215"/>
      <c r="BL39" s="215"/>
      <c r="BM39" s="215"/>
      <c r="BN39" s="215"/>
      <c r="BO39" s="215"/>
      <c r="BP39" s="215"/>
      <c r="BQ39" s="215"/>
      <c r="BR39" s="215"/>
      <c r="BS39" s="215"/>
      <c r="BT39" s="215"/>
      <c r="BU39" s="215"/>
      <c r="BV39" s="215"/>
      <c r="BW39" s="215"/>
      <c r="BX39" s="215"/>
      <c r="BY39" s="215"/>
      <c r="BZ39" s="216"/>
      <c r="CA39" s="40"/>
      <c r="CB39" s="39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</row>
    <row r="40" spans="1:91" ht="20.100000000000001" customHeight="1" thickBot="1" x14ac:dyDescent="0.5">
      <c r="A40" s="28"/>
      <c r="B40" s="42"/>
      <c r="C40" s="28"/>
      <c r="D40" s="36">
        <v>30</v>
      </c>
      <c r="E40" s="217"/>
      <c r="F40" s="218"/>
      <c r="G40" s="218"/>
      <c r="H40" s="218"/>
      <c r="I40" s="218"/>
      <c r="J40" s="218"/>
      <c r="K40" s="218"/>
      <c r="L40" s="219"/>
      <c r="M40" s="209"/>
      <c r="N40" s="204"/>
      <c r="O40" s="204"/>
      <c r="P40" s="220"/>
      <c r="Q40" s="221"/>
      <c r="R40" s="221"/>
      <c r="S40" s="220"/>
      <c r="T40" s="221"/>
      <c r="U40" s="221"/>
      <c r="V40" s="211"/>
      <c r="W40" s="212"/>
      <c r="X40" s="212"/>
      <c r="Y40" s="212"/>
      <c r="Z40" s="212"/>
      <c r="AA40" s="222"/>
      <c r="AB40" s="214"/>
      <c r="AC40" s="215"/>
      <c r="AD40" s="215"/>
      <c r="AE40" s="215"/>
      <c r="AF40" s="215"/>
      <c r="AG40" s="223"/>
      <c r="AH40" s="224"/>
      <c r="AI40" s="225"/>
      <c r="AJ40" s="225"/>
      <c r="AK40" s="225"/>
      <c r="AL40" s="225"/>
      <c r="AM40" s="225"/>
      <c r="AN40" s="225"/>
      <c r="AO40" s="225"/>
      <c r="AP40" s="225"/>
      <c r="AQ40" s="225"/>
      <c r="AR40" s="225"/>
      <c r="AS40" s="225"/>
      <c r="AT40" s="225"/>
      <c r="AU40" s="225"/>
      <c r="AV40" s="225"/>
      <c r="AW40" s="226"/>
      <c r="AX40" s="220"/>
      <c r="AY40" s="221"/>
      <c r="AZ40" s="221"/>
      <c r="BA40" s="221"/>
      <c r="BB40" s="221"/>
      <c r="BC40" s="227"/>
      <c r="BD40" s="211"/>
      <c r="BE40" s="212"/>
      <c r="BF40" s="212"/>
      <c r="BG40" s="212"/>
      <c r="BH40" s="212"/>
      <c r="BI40" s="212"/>
      <c r="BJ40" s="212"/>
      <c r="BK40" s="212"/>
      <c r="BL40" s="212"/>
      <c r="BM40" s="212"/>
      <c r="BN40" s="212"/>
      <c r="BO40" s="212"/>
      <c r="BP40" s="212"/>
      <c r="BQ40" s="212"/>
      <c r="BR40" s="212"/>
      <c r="BS40" s="212"/>
      <c r="BT40" s="212"/>
      <c r="BU40" s="212"/>
      <c r="BV40" s="212"/>
      <c r="BW40" s="212"/>
      <c r="BX40" s="212"/>
      <c r="BY40" s="212"/>
      <c r="BZ40" s="213"/>
      <c r="CA40" s="40"/>
      <c r="CB40" s="39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</row>
    <row r="41" spans="1:91" ht="20.100000000000001" customHeight="1" thickTop="1" thickBot="1" x14ac:dyDescent="0.5">
      <c r="A41" s="28"/>
      <c r="B41" s="182"/>
      <c r="C41" s="183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44"/>
      <c r="BX41" s="44"/>
      <c r="BY41" s="44"/>
      <c r="BZ41" s="44"/>
      <c r="CA41" s="27"/>
    </row>
    <row r="42" spans="1:91" s="28" customFormat="1" ht="20.100000000000001" customHeight="1" thickTop="1" x14ac:dyDescent="0.45"/>
    <row r="43" spans="1:91" s="28" customFormat="1" ht="20.100000000000001" customHeight="1" x14ac:dyDescent="0.45"/>
    <row r="44" spans="1:91" s="28" customFormat="1" ht="20.100000000000001" customHeight="1" x14ac:dyDescent="0.45"/>
    <row r="45" spans="1:91" s="28" customFormat="1" ht="20.100000000000001" customHeight="1" x14ac:dyDescent="0.45"/>
    <row r="46" spans="1:91" s="28" customFormat="1" ht="19.5" customHeight="1" x14ac:dyDescent="0.45"/>
    <row r="47" spans="1:91" s="28" customFormat="1" ht="19.5" customHeight="1" x14ac:dyDescent="0.45"/>
    <row r="48" spans="1:91" s="28" customFormat="1" ht="20.100000000000001" customHeight="1" x14ac:dyDescent="0.45"/>
    <row r="49" spans="2:68" s="28" customFormat="1" ht="20.100000000000001" customHeight="1" x14ac:dyDescent="0.45"/>
    <row r="50" spans="2:68" s="28" customFormat="1" ht="20.100000000000001" customHeight="1" x14ac:dyDescent="0.45"/>
    <row r="51" spans="2:68" s="28" customFormat="1" ht="19.5" customHeight="1" x14ac:dyDescent="0.45"/>
    <row r="52" spans="2:68" s="28" customFormat="1" ht="19.5" customHeight="1" x14ac:dyDescent="0.45"/>
    <row r="53" spans="2:68" s="28" customFormat="1" ht="20.100000000000001" customHeight="1" x14ac:dyDescent="0.45"/>
    <row r="54" spans="2:68" s="28" customFormat="1" ht="20.100000000000001" customHeight="1" x14ac:dyDescent="0.45"/>
    <row r="55" spans="2:68" s="28" customFormat="1" ht="20.100000000000001" customHeight="1" x14ac:dyDescent="0.45"/>
    <row r="56" spans="2:68" ht="20.100000000000001" customHeight="1" x14ac:dyDescent="0.45"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</row>
    <row r="57" spans="2:68" ht="20.100000000000001" customHeight="1" x14ac:dyDescent="0.45"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30"/>
      <c r="BH57" s="30"/>
      <c r="BI57" s="30"/>
      <c r="BJ57" s="30"/>
      <c r="BK57" s="30"/>
      <c r="BL57" s="30"/>
      <c r="BM57" s="30"/>
      <c r="BN57" s="30"/>
      <c r="BO57" s="30"/>
      <c r="BP57" s="30"/>
    </row>
    <row r="58" spans="2:68" ht="20.100000000000001" customHeight="1" x14ac:dyDescent="0.45"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30"/>
      <c r="BH58" s="30"/>
      <c r="BI58" s="30"/>
      <c r="BJ58" s="30"/>
      <c r="BK58" s="30"/>
      <c r="BL58" s="30"/>
      <c r="BM58" s="30"/>
      <c r="BN58" s="30"/>
      <c r="BO58" s="30"/>
      <c r="BP58" s="30"/>
    </row>
    <row r="59" spans="2:68" ht="20.100000000000001" customHeight="1" x14ac:dyDescent="0.45"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30"/>
      <c r="BH59" s="30"/>
      <c r="BI59" s="30"/>
      <c r="BJ59" s="30"/>
      <c r="BK59" s="30"/>
      <c r="BL59" s="30"/>
      <c r="BM59" s="30"/>
      <c r="BN59" s="30"/>
      <c r="BO59" s="30"/>
      <c r="BP59" s="30"/>
    </row>
    <row r="60" spans="2:68" ht="20.100000000000001" customHeight="1" x14ac:dyDescent="0.45"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30"/>
      <c r="BH60" s="30"/>
      <c r="BI60" s="30"/>
      <c r="BJ60" s="30"/>
      <c r="BK60" s="30"/>
      <c r="BL60" s="30"/>
      <c r="BM60" s="30"/>
      <c r="BN60" s="30"/>
      <c r="BO60" s="30"/>
      <c r="BP60" s="30"/>
    </row>
    <row r="61" spans="2:68" ht="20.100000000000001" customHeight="1" x14ac:dyDescent="0.45"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30"/>
      <c r="BH61" s="30"/>
      <c r="BI61" s="30"/>
      <c r="BJ61" s="30"/>
      <c r="BK61" s="30"/>
      <c r="BL61" s="30"/>
      <c r="BM61" s="30"/>
      <c r="BN61" s="30"/>
      <c r="BO61" s="30"/>
      <c r="BP61" s="30"/>
    </row>
    <row r="62" spans="2:68" ht="20.100000000000001" customHeight="1" x14ac:dyDescent="0.45"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30"/>
      <c r="BH62" s="30"/>
      <c r="BI62" s="30"/>
      <c r="BJ62" s="30"/>
      <c r="BK62" s="30"/>
      <c r="BL62" s="30"/>
      <c r="BM62" s="30"/>
      <c r="BN62" s="30"/>
      <c r="BO62" s="30"/>
      <c r="BP62" s="30"/>
    </row>
    <row r="63" spans="2:68" ht="20.100000000000001" customHeight="1" x14ac:dyDescent="0.45"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30"/>
      <c r="BH63" s="30"/>
      <c r="BI63" s="30"/>
      <c r="BJ63" s="30"/>
      <c r="BK63" s="30"/>
      <c r="BL63" s="30"/>
      <c r="BM63" s="30"/>
      <c r="BN63" s="30"/>
      <c r="BO63" s="30"/>
      <c r="BP63" s="30"/>
    </row>
    <row r="64" spans="2:68" ht="20.100000000000001" customHeight="1" x14ac:dyDescent="0.45"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30"/>
      <c r="BH64" s="30"/>
      <c r="BI64" s="30"/>
      <c r="BJ64" s="30"/>
      <c r="BK64" s="30"/>
      <c r="BL64" s="30"/>
      <c r="BM64" s="30"/>
      <c r="BN64" s="30"/>
      <c r="BO64" s="30"/>
      <c r="BP64" s="30"/>
    </row>
    <row r="65" spans="1:68" ht="20.100000000000001" customHeight="1" x14ac:dyDescent="0.45"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30"/>
      <c r="BH65" s="30"/>
      <c r="BI65" s="30"/>
      <c r="BJ65" s="30"/>
      <c r="BK65" s="30"/>
      <c r="BL65" s="30"/>
      <c r="BM65" s="30"/>
      <c r="BN65" s="30"/>
      <c r="BO65" s="30"/>
      <c r="BP65" s="30"/>
    </row>
    <row r="66" spans="1:68" ht="20.100000000000001" customHeight="1" x14ac:dyDescent="0.45"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30"/>
      <c r="BH66" s="30"/>
      <c r="BI66" s="30"/>
      <c r="BJ66" s="30"/>
      <c r="BK66" s="30"/>
      <c r="BL66" s="30"/>
      <c r="BM66" s="30"/>
      <c r="BN66" s="30"/>
      <c r="BO66" s="30"/>
      <c r="BP66" s="30"/>
    </row>
    <row r="67" spans="1:68" ht="20.100000000000001" customHeight="1" x14ac:dyDescent="0.45"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</row>
    <row r="68" spans="1:68" ht="20.100000000000001" customHeight="1" x14ac:dyDescent="0.45">
      <c r="B68" s="3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</row>
    <row r="69" spans="1:68" ht="20.100000000000001" customHeight="1" x14ac:dyDescent="0.45"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30"/>
      <c r="BP69" s="30"/>
    </row>
    <row r="70" spans="1:68" ht="20.100000000000001" customHeight="1" x14ac:dyDescent="0.45"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30"/>
      <c r="BP70" s="30"/>
    </row>
    <row r="71" spans="1:68" ht="20.100000000000001" customHeight="1" x14ac:dyDescent="0.45"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30"/>
      <c r="BP71" s="30"/>
    </row>
    <row r="72" spans="1:68" ht="20.100000000000001" customHeight="1" x14ac:dyDescent="0.45">
      <c r="A72" s="28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30"/>
      <c r="BP72" s="30"/>
    </row>
    <row r="73" spans="1:68" ht="20.100000000000001" customHeight="1" x14ac:dyDescent="0.45">
      <c r="A73" s="28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30"/>
      <c r="BP73" s="30"/>
    </row>
    <row r="74" spans="1:68" ht="20.100000000000001" customHeight="1" x14ac:dyDescent="0.4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</row>
    <row r="75" spans="1:68" ht="20.100000000000001" customHeight="1" x14ac:dyDescent="0.4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</row>
    <row r="76" spans="1:68" ht="20.100000000000001" customHeight="1" x14ac:dyDescent="0.4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</row>
  </sheetData>
  <mergeCells count="299"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E10:L10"/>
    <mergeCell ref="M10:O10"/>
    <mergeCell ref="P10:R10"/>
    <mergeCell ref="S10:U10"/>
    <mergeCell ref="V10:AA10"/>
    <mergeCell ref="AB10:AG10"/>
    <mergeCell ref="AH10:AW10"/>
    <mergeCell ref="AX10:BC10"/>
    <mergeCell ref="BD10:BZ10"/>
    <mergeCell ref="E11:L11"/>
    <mergeCell ref="M11:O11"/>
    <mergeCell ref="P11:R11"/>
    <mergeCell ref="S11:U11"/>
    <mergeCell ref="V11:AA11"/>
    <mergeCell ref="AB11:AG11"/>
    <mergeCell ref="AH11:AW11"/>
    <mergeCell ref="AX11:BC11"/>
    <mergeCell ref="BD11:BZ11"/>
    <mergeCell ref="E12:L12"/>
    <mergeCell ref="M12:O12"/>
    <mergeCell ref="P12:R12"/>
    <mergeCell ref="S12:U12"/>
    <mergeCell ref="V12:AA12"/>
    <mergeCell ref="AB12:AG12"/>
    <mergeCell ref="AH12:AW12"/>
    <mergeCell ref="AX12:BC12"/>
    <mergeCell ref="BD12:BZ12"/>
    <mergeCell ref="E13:L13"/>
    <mergeCell ref="M13:O13"/>
    <mergeCell ref="P13:R13"/>
    <mergeCell ref="S13:U13"/>
    <mergeCell ref="V13:AA13"/>
    <mergeCell ref="AB13:AG13"/>
    <mergeCell ref="AH13:AW13"/>
    <mergeCell ref="AX13:BC13"/>
    <mergeCell ref="BD13:BZ13"/>
    <mergeCell ref="AH14:AW14"/>
    <mergeCell ref="AX14:BC14"/>
    <mergeCell ref="BD14:BZ14"/>
    <mergeCell ref="E15:L15"/>
    <mergeCell ref="M15:O15"/>
    <mergeCell ref="P15:R15"/>
    <mergeCell ref="S15:U15"/>
    <mergeCell ref="V15:AA15"/>
    <mergeCell ref="AB15:AG15"/>
    <mergeCell ref="AH15:AW15"/>
    <mergeCell ref="E14:L14"/>
    <mergeCell ref="M14:O14"/>
    <mergeCell ref="P14:R14"/>
    <mergeCell ref="S14:U14"/>
    <mergeCell ref="V14:AA14"/>
    <mergeCell ref="AB14:AG14"/>
    <mergeCell ref="AX15:BC15"/>
    <mergeCell ref="BD15:BZ15"/>
    <mergeCell ref="E16:L16"/>
    <mergeCell ref="M16:O16"/>
    <mergeCell ref="P16:R16"/>
    <mergeCell ref="S16:U16"/>
    <mergeCell ref="V16:AA16"/>
    <mergeCell ref="AB16:AG16"/>
    <mergeCell ref="AH16:AW16"/>
    <mergeCell ref="AX16:BC16"/>
    <mergeCell ref="BD16:BZ16"/>
    <mergeCell ref="E17:L17"/>
    <mergeCell ref="M17:O17"/>
    <mergeCell ref="P17:R17"/>
    <mergeCell ref="S17:U17"/>
    <mergeCell ref="V17:AA17"/>
    <mergeCell ref="AB17:AG17"/>
    <mergeCell ref="AH17:AW17"/>
    <mergeCell ref="AX17:BC17"/>
    <mergeCell ref="BD17:BZ17"/>
    <mergeCell ref="AH18:AW18"/>
    <mergeCell ref="AX18:BC18"/>
    <mergeCell ref="BD18:BZ18"/>
    <mergeCell ref="E19:L19"/>
    <mergeCell ref="M19:O19"/>
    <mergeCell ref="P19:R19"/>
    <mergeCell ref="S19:U19"/>
    <mergeCell ref="V19:AA19"/>
    <mergeCell ref="AB19:AG19"/>
    <mergeCell ref="AH19:AW19"/>
    <mergeCell ref="E18:L18"/>
    <mergeCell ref="M18:O18"/>
    <mergeCell ref="P18:R18"/>
    <mergeCell ref="S18:U18"/>
    <mergeCell ref="V18:AA18"/>
    <mergeCell ref="AB18:AG18"/>
    <mergeCell ref="AX19:BC19"/>
    <mergeCell ref="BD19:BZ19"/>
    <mergeCell ref="E20:L20"/>
    <mergeCell ref="M20:O20"/>
    <mergeCell ref="P20:R20"/>
    <mergeCell ref="S20:U20"/>
    <mergeCell ref="V20:AA20"/>
    <mergeCell ref="AB20:AG20"/>
    <mergeCell ref="AH20:AW20"/>
    <mergeCell ref="AX20:BC20"/>
    <mergeCell ref="BD20:BZ20"/>
    <mergeCell ref="E21:L21"/>
    <mergeCell ref="M21:O21"/>
    <mergeCell ref="P21:R21"/>
    <mergeCell ref="S21:U21"/>
    <mergeCell ref="V21:AA21"/>
    <mergeCell ref="AB21:AG21"/>
    <mergeCell ref="AH21:AW21"/>
    <mergeCell ref="AX21:BC21"/>
    <mergeCell ref="BD21:BZ21"/>
    <mergeCell ref="AH22:AW22"/>
    <mergeCell ref="AX22:BC22"/>
    <mergeCell ref="BD22:BZ22"/>
    <mergeCell ref="E23:L23"/>
    <mergeCell ref="M23:O23"/>
    <mergeCell ref="P23:R23"/>
    <mergeCell ref="S23:U23"/>
    <mergeCell ref="V23:AA23"/>
    <mergeCell ref="AB23:AG23"/>
    <mergeCell ref="AH23:AW23"/>
    <mergeCell ref="E22:L22"/>
    <mergeCell ref="M22:O22"/>
    <mergeCell ref="P22:R22"/>
    <mergeCell ref="S22:U22"/>
    <mergeCell ref="V22:AA22"/>
    <mergeCell ref="AB22:AG22"/>
    <mergeCell ref="AX23:BC23"/>
    <mergeCell ref="BD23:BZ23"/>
    <mergeCell ref="E24:L24"/>
    <mergeCell ref="M24:O24"/>
    <mergeCell ref="P24:R24"/>
    <mergeCell ref="S24:U24"/>
    <mergeCell ref="V24:AA24"/>
    <mergeCell ref="AB24:AG24"/>
    <mergeCell ref="AH24:AW24"/>
    <mergeCell ref="AX24:BC24"/>
    <mergeCell ref="BD24:BZ24"/>
    <mergeCell ref="E25:L25"/>
    <mergeCell ref="M25:O25"/>
    <mergeCell ref="P25:R25"/>
    <mergeCell ref="S25:U25"/>
    <mergeCell ref="V25:AA25"/>
    <mergeCell ref="AB25:AG25"/>
    <mergeCell ref="AH25:AW25"/>
    <mergeCell ref="AX25:BC25"/>
    <mergeCell ref="BD25:BZ25"/>
    <mergeCell ref="AH26:AW26"/>
    <mergeCell ref="AX26:BC26"/>
    <mergeCell ref="BD26:BZ26"/>
    <mergeCell ref="E27:L27"/>
    <mergeCell ref="M27:O27"/>
    <mergeCell ref="P27:R27"/>
    <mergeCell ref="S27:U27"/>
    <mergeCell ref="V27:AA27"/>
    <mergeCell ref="AB27:AG27"/>
    <mergeCell ref="AH27:AW27"/>
    <mergeCell ref="E26:L26"/>
    <mergeCell ref="M26:O26"/>
    <mergeCell ref="P26:R26"/>
    <mergeCell ref="S26:U26"/>
    <mergeCell ref="V26:AA26"/>
    <mergeCell ref="AB26:AG26"/>
    <mergeCell ref="AX27:BC27"/>
    <mergeCell ref="BD27:BZ27"/>
    <mergeCell ref="E28:L28"/>
    <mergeCell ref="M28:O28"/>
    <mergeCell ref="P28:R28"/>
    <mergeCell ref="S28:U28"/>
    <mergeCell ref="V28:AA28"/>
    <mergeCell ref="AB28:AG28"/>
    <mergeCell ref="AH28:AW28"/>
    <mergeCell ref="AX28:BC28"/>
    <mergeCell ref="BD28:BZ28"/>
    <mergeCell ref="E29:L29"/>
    <mergeCell ref="M29:O29"/>
    <mergeCell ref="P29:R29"/>
    <mergeCell ref="S29:U29"/>
    <mergeCell ref="V29:AA29"/>
    <mergeCell ref="AB29:AG29"/>
    <mergeCell ref="AH29:AW29"/>
    <mergeCell ref="AX29:BC29"/>
    <mergeCell ref="BD29:BZ29"/>
    <mergeCell ref="AH30:AW30"/>
    <mergeCell ref="AX30:BC30"/>
    <mergeCell ref="BD30:BZ30"/>
    <mergeCell ref="E31:L31"/>
    <mergeCell ref="M31:O31"/>
    <mergeCell ref="P31:R31"/>
    <mergeCell ref="S31:U31"/>
    <mergeCell ref="V31:AA31"/>
    <mergeCell ref="AB31:AG31"/>
    <mergeCell ref="AH31:AW31"/>
    <mergeCell ref="E30:L30"/>
    <mergeCell ref="M30:O30"/>
    <mergeCell ref="P30:R30"/>
    <mergeCell ref="S30:U30"/>
    <mergeCell ref="V30:AA30"/>
    <mergeCell ref="AB30:AG30"/>
    <mergeCell ref="AX31:BC31"/>
    <mergeCell ref="BD31:BZ31"/>
    <mergeCell ref="E32:L32"/>
    <mergeCell ref="M32:O32"/>
    <mergeCell ref="P32:R32"/>
    <mergeCell ref="S32:U32"/>
    <mergeCell ref="V32:AA32"/>
    <mergeCell ref="AB32:AG32"/>
    <mergeCell ref="AH32:AW32"/>
    <mergeCell ref="AX32:BC32"/>
    <mergeCell ref="BD32:BZ32"/>
    <mergeCell ref="E33:L33"/>
    <mergeCell ref="M33:O33"/>
    <mergeCell ref="P33:R33"/>
    <mergeCell ref="S33:U33"/>
    <mergeCell ref="V33:AA33"/>
    <mergeCell ref="AB33:AG33"/>
    <mergeCell ref="AH33:AW33"/>
    <mergeCell ref="AX33:BC33"/>
    <mergeCell ref="BD33:BZ33"/>
    <mergeCell ref="AH34:AW34"/>
    <mergeCell ref="AX34:BC34"/>
    <mergeCell ref="BD34:BZ34"/>
    <mergeCell ref="E35:L35"/>
    <mergeCell ref="M35:O35"/>
    <mergeCell ref="P35:R35"/>
    <mergeCell ref="S35:U35"/>
    <mergeCell ref="V35:AA35"/>
    <mergeCell ref="AB35:AG35"/>
    <mergeCell ref="AH35:AW35"/>
    <mergeCell ref="E34:L34"/>
    <mergeCell ref="M34:O34"/>
    <mergeCell ref="P34:R34"/>
    <mergeCell ref="S34:U34"/>
    <mergeCell ref="V34:AA34"/>
    <mergeCell ref="AB34:AG34"/>
    <mergeCell ref="AX35:BC35"/>
    <mergeCell ref="BD35:BZ35"/>
    <mergeCell ref="E36:L36"/>
    <mergeCell ref="M36:O36"/>
    <mergeCell ref="P36:R36"/>
    <mergeCell ref="S36:U36"/>
    <mergeCell ref="V36:AA36"/>
    <mergeCell ref="AB36:AG36"/>
    <mergeCell ref="AH36:AW36"/>
    <mergeCell ref="AX36:BC36"/>
    <mergeCell ref="BD36:BZ36"/>
    <mergeCell ref="E37:L37"/>
    <mergeCell ref="M37:O37"/>
    <mergeCell ref="P37:R37"/>
    <mergeCell ref="S37:U37"/>
    <mergeCell ref="V37:AA37"/>
    <mergeCell ref="AB37:AG37"/>
    <mergeCell ref="AH37:AW37"/>
    <mergeCell ref="AX37:BC37"/>
    <mergeCell ref="BD37:BZ37"/>
    <mergeCell ref="AH38:AW38"/>
    <mergeCell ref="AX38:BC38"/>
    <mergeCell ref="BD38:BZ38"/>
    <mergeCell ref="E39:L39"/>
    <mergeCell ref="M39:O39"/>
    <mergeCell ref="P39:R39"/>
    <mergeCell ref="S39:U39"/>
    <mergeCell ref="V39:AA39"/>
    <mergeCell ref="AB39:AG39"/>
    <mergeCell ref="AH39:AW39"/>
    <mergeCell ref="E38:L38"/>
    <mergeCell ref="M38:O38"/>
    <mergeCell ref="P38:R38"/>
    <mergeCell ref="S38:U38"/>
    <mergeCell ref="V38:AA38"/>
    <mergeCell ref="AB38:AG38"/>
    <mergeCell ref="BD40:BZ40"/>
    <mergeCell ref="AX39:BC39"/>
    <mergeCell ref="BD39:BZ39"/>
    <mergeCell ref="E40:L40"/>
    <mergeCell ref="M40:O40"/>
    <mergeCell ref="P40:R40"/>
    <mergeCell ref="S40:U40"/>
    <mergeCell ref="V40:AA40"/>
    <mergeCell ref="AB40:AG40"/>
    <mergeCell ref="AH40:AW40"/>
    <mergeCell ref="AX40:BC40"/>
  </mergeCells>
  <phoneticPr fontId="2"/>
  <pageMargins left="0.70866141732283472" right="0.70866141732283472" top="0.74803149606299213" bottom="0.74803149606299213" header="0.31496062992125984" footer="0.31496062992125984"/>
  <pageSetup paperSize="9" scale="41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M11:O40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BM30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53" t="s">
        <v>0</v>
      </c>
      <c r="C2" s="248"/>
      <c r="D2" s="248"/>
      <c r="E2" s="248"/>
      <c r="F2" s="248"/>
      <c r="G2" s="248"/>
      <c r="H2" s="248" t="s">
        <v>17</v>
      </c>
      <c r="I2" s="248"/>
      <c r="J2" s="248"/>
      <c r="K2" s="248"/>
      <c r="L2" s="248" t="s">
        <v>1</v>
      </c>
      <c r="M2" s="248"/>
      <c r="N2" s="248"/>
      <c r="O2" s="248"/>
      <c r="P2" s="248"/>
      <c r="Q2" s="248"/>
      <c r="R2" s="248" t="s">
        <v>2</v>
      </c>
      <c r="S2" s="248"/>
      <c r="T2" s="248"/>
      <c r="U2" s="248"/>
      <c r="V2" s="248"/>
      <c r="W2" s="248"/>
      <c r="X2" s="254" t="s">
        <v>3</v>
      </c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6"/>
      <c r="AK2" s="254" t="s">
        <v>32</v>
      </c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6"/>
      <c r="AX2" s="248" t="s">
        <v>5</v>
      </c>
      <c r="AY2" s="248"/>
      <c r="AZ2" s="248"/>
      <c r="BA2" s="248"/>
      <c r="BB2" s="248" t="s">
        <v>4</v>
      </c>
      <c r="BC2" s="248"/>
      <c r="BD2" s="248"/>
      <c r="BE2" s="248"/>
      <c r="BF2" s="248" t="s">
        <v>6</v>
      </c>
      <c r="BG2" s="248"/>
      <c r="BH2" s="248"/>
      <c r="BI2" s="248"/>
      <c r="BJ2" s="248" t="s">
        <v>7</v>
      </c>
      <c r="BK2" s="248"/>
      <c r="BL2" s="248"/>
      <c r="BM2" s="249"/>
    </row>
    <row r="3" spans="2:65" ht="20.100000000000001" customHeight="1" x14ac:dyDescent="0.45">
      <c r="B3" s="257" t="str">
        <f>変更履歴!B3</f>
        <v>受発注システム</v>
      </c>
      <c r="C3" s="190"/>
      <c r="D3" s="190"/>
      <c r="E3" s="190"/>
      <c r="F3" s="190"/>
      <c r="G3" s="190"/>
      <c r="H3" s="190" t="str">
        <f ca="1">変更履歴!H3</f>
        <v>KH0500</v>
      </c>
      <c r="I3" s="190"/>
      <c r="J3" s="190"/>
      <c r="K3" s="190"/>
      <c r="L3" s="190" t="str">
        <f>変更履歴!L3</f>
        <v>受発注</v>
      </c>
      <c r="M3" s="190"/>
      <c r="N3" s="190"/>
      <c r="O3" s="190"/>
      <c r="P3" s="190"/>
      <c r="Q3" s="190"/>
      <c r="R3" s="190" t="str">
        <f ca="1">変更履歴!R3</f>
        <v>インポート_帳票設計書</v>
      </c>
      <c r="S3" s="190"/>
      <c r="T3" s="190"/>
      <c r="U3" s="190"/>
      <c r="V3" s="190"/>
      <c r="W3" s="190"/>
      <c r="X3" s="194" t="str">
        <f ca="1">変更履歴!X3</f>
        <v>KH0500_EXCEL仕訳TXT_インポート_帳票設計書</v>
      </c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1"/>
      <c r="AK3" s="194" t="str">
        <f ca="1">変更履歴!AK3</f>
        <v>EXCEL仕訳TXT</v>
      </c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1"/>
      <c r="AX3" s="201">
        <f>変更履歴!AX3</f>
        <v>45539</v>
      </c>
      <c r="AY3" s="201"/>
      <c r="AZ3" s="201"/>
      <c r="BA3" s="201"/>
      <c r="BB3" s="190" t="str">
        <f>変更履歴!BB3</f>
        <v>大谷</v>
      </c>
      <c r="BC3" s="190"/>
      <c r="BD3" s="190"/>
      <c r="BE3" s="190"/>
      <c r="BF3" s="201">
        <f>変更履歴!BF3</f>
        <v>45539</v>
      </c>
      <c r="BG3" s="201"/>
      <c r="BH3" s="201"/>
      <c r="BI3" s="201"/>
      <c r="BJ3" s="190" t="str">
        <f>変更履歴!BJ3</f>
        <v>大谷</v>
      </c>
      <c r="BK3" s="190"/>
      <c r="BL3" s="190"/>
      <c r="BM3" s="246"/>
    </row>
    <row r="4" spans="2:65" ht="20.100000000000001" customHeight="1" thickBot="1" x14ac:dyDescent="0.5">
      <c r="B4" s="258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50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2"/>
      <c r="AK4" s="250"/>
      <c r="AL4" s="251"/>
      <c r="AM4" s="251"/>
      <c r="AN4" s="251"/>
      <c r="AO4" s="251"/>
      <c r="AP4" s="251"/>
      <c r="AQ4" s="251"/>
      <c r="AR4" s="251"/>
      <c r="AS4" s="251"/>
      <c r="AT4" s="251"/>
      <c r="AU4" s="251"/>
      <c r="AV4" s="251"/>
      <c r="AW4" s="252"/>
      <c r="AX4" s="244"/>
      <c r="AY4" s="244"/>
      <c r="AZ4" s="244"/>
      <c r="BA4" s="244"/>
      <c r="BB4" s="245"/>
      <c r="BC4" s="245"/>
      <c r="BD4" s="245"/>
      <c r="BE4" s="245"/>
      <c r="BF4" s="244"/>
      <c r="BG4" s="244"/>
      <c r="BH4" s="244"/>
      <c r="BI4" s="244"/>
      <c r="BJ4" s="245"/>
      <c r="BK4" s="245"/>
      <c r="BL4" s="245"/>
      <c r="BM4" s="247"/>
    </row>
    <row r="5" spans="2:65" ht="5.0999999999999996" customHeight="1" thickBot="1" x14ac:dyDescent="0.5"/>
    <row r="6" spans="2:65" ht="20.100000000000001" customHeight="1" x14ac:dyDescent="0.45">
      <c r="B6" s="87">
        <v>1</v>
      </c>
      <c r="C6" s="88"/>
      <c r="D6" s="88"/>
      <c r="E6" s="88"/>
      <c r="F6" s="88"/>
      <c r="G6" s="89"/>
      <c r="H6" s="90" t="s">
        <v>84</v>
      </c>
      <c r="I6" s="88"/>
      <c r="J6" s="118"/>
      <c r="K6" s="119"/>
      <c r="L6" s="119"/>
      <c r="M6" s="119"/>
      <c r="N6" s="119"/>
      <c r="O6" s="119"/>
      <c r="P6" s="119"/>
      <c r="Q6" s="120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20"/>
      <c r="AK6" s="91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92"/>
    </row>
    <row r="7" spans="2:65" ht="20.100000000000001" customHeight="1" x14ac:dyDescent="0.45">
      <c r="B7" s="121"/>
      <c r="C7" s="30"/>
      <c r="D7" s="30"/>
      <c r="E7" s="30"/>
      <c r="F7" s="30"/>
      <c r="G7" s="94"/>
      <c r="H7" s="95"/>
      <c r="I7" s="30"/>
      <c r="J7" s="122"/>
      <c r="K7" s="50"/>
      <c r="L7" s="50"/>
      <c r="M7" s="50"/>
      <c r="N7" s="50"/>
      <c r="O7" s="50"/>
      <c r="P7" s="50"/>
      <c r="Q7" s="123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123"/>
      <c r="AK7" s="96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97"/>
    </row>
    <row r="8" spans="2:65" ht="20.100000000000001" customHeight="1" x14ac:dyDescent="0.45">
      <c r="B8" s="121"/>
      <c r="C8" s="30"/>
      <c r="D8" s="30"/>
      <c r="E8" s="30"/>
      <c r="F8" s="30"/>
      <c r="G8" s="94"/>
      <c r="H8" s="95"/>
      <c r="I8" s="30"/>
      <c r="J8" s="122"/>
      <c r="K8" s="50"/>
      <c r="L8" s="50"/>
      <c r="M8" s="50"/>
      <c r="N8" s="50"/>
      <c r="O8" s="50"/>
      <c r="P8" s="50"/>
      <c r="Q8" s="123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123"/>
      <c r="AK8" s="96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97"/>
    </row>
    <row r="9" spans="2:65" ht="20.100000000000001" customHeight="1" x14ac:dyDescent="0.45">
      <c r="B9" s="121"/>
      <c r="C9" s="30"/>
      <c r="D9" s="30"/>
      <c r="E9" s="30"/>
      <c r="F9" s="30"/>
      <c r="G9" s="94"/>
      <c r="H9" s="95"/>
      <c r="I9" s="30"/>
      <c r="J9" s="122"/>
      <c r="K9" s="50"/>
      <c r="L9" s="50"/>
      <c r="M9" s="50"/>
      <c r="N9" s="50"/>
      <c r="O9" s="50"/>
      <c r="P9" s="50"/>
      <c r="Q9" s="123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123"/>
      <c r="AK9" s="96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97"/>
    </row>
    <row r="10" spans="2:65" ht="20.100000000000001" customHeight="1" x14ac:dyDescent="0.45">
      <c r="B10" s="121"/>
      <c r="C10" s="30"/>
      <c r="D10" s="30"/>
      <c r="E10" s="30"/>
      <c r="F10" s="30"/>
      <c r="G10" s="94"/>
      <c r="H10" s="30"/>
      <c r="I10" s="30"/>
      <c r="J10" s="122"/>
      <c r="K10" s="50"/>
      <c r="L10" s="50"/>
      <c r="M10" s="50"/>
      <c r="N10" s="50"/>
      <c r="O10" s="50"/>
      <c r="P10" s="50"/>
      <c r="Q10" s="123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123"/>
      <c r="AK10" s="96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97"/>
    </row>
    <row r="11" spans="2:65" ht="20.100000000000001" customHeight="1" x14ac:dyDescent="0.45">
      <c r="B11" s="121"/>
      <c r="C11" s="30"/>
      <c r="D11" s="30"/>
      <c r="E11" s="30"/>
      <c r="F11" s="30"/>
      <c r="G11" s="94"/>
      <c r="H11" s="30"/>
      <c r="I11" s="30"/>
      <c r="J11" s="122"/>
      <c r="K11" s="50"/>
      <c r="L11" s="50"/>
      <c r="M11" s="50"/>
      <c r="N11" s="50"/>
      <c r="O11" s="50"/>
      <c r="P11" s="50"/>
      <c r="Q11" s="123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123"/>
      <c r="AK11" s="96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97"/>
    </row>
    <row r="12" spans="2:65" ht="20.100000000000001" customHeight="1" x14ac:dyDescent="0.45">
      <c r="B12" s="121"/>
      <c r="C12" s="30"/>
      <c r="D12" s="30"/>
      <c r="E12" s="30"/>
      <c r="F12" s="30"/>
      <c r="G12" s="94"/>
      <c r="H12" s="30"/>
      <c r="I12" s="30"/>
      <c r="J12" s="122"/>
      <c r="K12" s="50"/>
      <c r="L12" s="50"/>
      <c r="M12" s="50"/>
      <c r="N12" s="50"/>
      <c r="O12" s="50"/>
      <c r="P12" s="50"/>
      <c r="Q12" s="123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123"/>
      <c r="AK12" s="96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97"/>
    </row>
    <row r="13" spans="2:65" ht="20.100000000000001" customHeight="1" x14ac:dyDescent="0.45">
      <c r="B13" s="121"/>
      <c r="C13" s="30"/>
      <c r="D13" s="30"/>
      <c r="E13" s="30"/>
      <c r="F13" s="30"/>
      <c r="G13" s="94"/>
      <c r="I13" s="30"/>
      <c r="J13" s="122"/>
      <c r="K13" s="50"/>
      <c r="L13" s="50"/>
      <c r="M13" s="50"/>
      <c r="N13" s="50"/>
      <c r="O13" s="50"/>
      <c r="P13" s="50"/>
      <c r="Q13" s="123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123"/>
      <c r="AK13" s="96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97"/>
    </row>
    <row r="14" spans="2:65" ht="20.100000000000001" customHeight="1" x14ac:dyDescent="0.45">
      <c r="B14" s="121"/>
      <c r="C14" s="30"/>
      <c r="D14" s="30"/>
      <c r="E14" s="30"/>
      <c r="F14" s="30"/>
      <c r="G14" s="94"/>
      <c r="H14" s="98" t="s">
        <v>53</v>
      </c>
      <c r="I14" s="53"/>
      <c r="J14" s="98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99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100"/>
    </row>
    <row r="15" spans="2:65" ht="20.100000000000001" customHeight="1" x14ac:dyDescent="0.45">
      <c r="B15" s="121"/>
      <c r="C15" s="30"/>
      <c r="D15" s="30"/>
      <c r="E15" s="30"/>
      <c r="F15" s="30"/>
      <c r="G15" s="94"/>
      <c r="H15" s="95"/>
      <c r="I15" s="30"/>
      <c r="J15" s="95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96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97"/>
    </row>
    <row r="16" spans="2:65" ht="20.100000000000001" customHeight="1" x14ac:dyDescent="0.45">
      <c r="B16" s="93"/>
      <c r="C16" s="30"/>
      <c r="D16" s="30"/>
      <c r="E16" s="30"/>
      <c r="F16" s="30"/>
      <c r="G16" s="94"/>
      <c r="I16" s="30"/>
      <c r="J16" s="95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96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97"/>
    </row>
    <row r="17" spans="2:61" ht="20.100000000000001" customHeight="1" x14ac:dyDescent="0.45">
      <c r="B17" s="93"/>
      <c r="C17" s="30"/>
      <c r="D17" s="30"/>
      <c r="E17" s="30"/>
      <c r="F17" s="30"/>
      <c r="G17" s="94"/>
      <c r="H17" s="95"/>
      <c r="I17" s="30"/>
      <c r="J17" s="95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96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97"/>
    </row>
    <row r="18" spans="2:61" ht="20.100000000000001" customHeight="1" x14ac:dyDescent="0.45">
      <c r="B18" s="93"/>
      <c r="C18" s="30"/>
      <c r="D18" s="30"/>
      <c r="E18" s="30"/>
      <c r="F18" s="30"/>
      <c r="G18" s="94"/>
      <c r="H18" s="95"/>
      <c r="I18" s="30"/>
      <c r="J18" s="95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96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97"/>
    </row>
    <row r="19" spans="2:61" ht="20.100000000000001" customHeight="1" x14ac:dyDescent="0.45">
      <c r="B19" s="93"/>
      <c r="C19" s="30"/>
      <c r="D19" s="30"/>
      <c r="E19" s="30"/>
      <c r="F19" s="30"/>
      <c r="G19" s="94"/>
      <c r="H19" s="98" t="s">
        <v>54</v>
      </c>
      <c r="I19" s="53"/>
      <c r="J19" s="98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99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100"/>
    </row>
    <row r="20" spans="2:61" ht="20.100000000000001" customHeight="1" x14ac:dyDescent="0.45">
      <c r="B20" s="93"/>
      <c r="C20" s="30"/>
      <c r="D20" s="30"/>
      <c r="E20" s="30"/>
      <c r="F20" s="30"/>
      <c r="G20" s="94"/>
      <c r="H20" s="95"/>
      <c r="I20" s="30"/>
      <c r="J20" s="95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96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97"/>
    </row>
    <row r="21" spans="2:61" ht="20.100000000000001" customHeight="1" x14ac:dyDescent="0.45">
      <c r="B21" s="93"/>
      <c r="C21" s="30"/>
      <c r="D21" s="30"/>
      <c r="E21" s="30"/>
      <c r="F21" s="30"/>
      <c r="G21" s="94"/>
      <c r="H21" s="95"/>
      <c r="I21" s="30"/>
      <c r="J21" s="95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96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97"/>
    </row>
    <row r="22" spans="2:61" ht="20.100000000000001" customHeight="1" x14ac:dyDescent="0.45">
      <c r="B22" s="93"/>
      <c r="C22" s="30"/>
      <c r="D22" s="30"/>
      <c r="E22" s="30"/>
      <c r="F22" s="30"/>
      <c r="G22" s="94"/>
      <c r="H22" s="95"/>
      <c r="I22" s="30"/>
      <c r="J22" s="95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96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97"/>
    </row>
    <row r="23" spans="2:61" ht="20.100000000000001" customHeight="1" x14ac:dyDescent="0.45">
      <c r="B23" s="93"/>
      <c r="C23" s="30"/>
      <c r="D23" s="30"/>
      <c r="E23" s="30"/>
      <c r="F23" s="30"/>
      <c r="G23" s="94"/>
      <c r="H23" s="95"/>
      <c r="I23" s="30"/>
      <c r="J23" s="95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96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97"/>
    </row>
    <row r="24" spans="2:61" ht="20.100000000000001" customHeight="1" x14ac:dyDescent="0.45">
      <c r="B24" s="93"/>
      <c r="C24" s="30"/>
      <c r="D24" s="30"/>
      <c r="E24" s="30"/>
      <c r="F24" s="30"/>
      <c r="G24" s="94"/>
      <c r="H24" s="101"/>
      <c r="I24" s="102"/>
      <c r="J24" s="101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3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4"/>
    </row>
    <row r="25" spans="2:61" ht="20.100000000000001" customHeight="1" x14ac:dyDescent="0.45">
      <c r="B25" s="93"/>
      <c r="C25" s="30"/>
      <c r="D25" s="30"/>
      <c r="E25" s="30"/>
      <c r="F25" s="30"/>
      <c r="G25" s="94"/>
      <c r="H25" s="95" t="s">
        <v>55</v>
      </c>
      <c r="I25" s="30"/>
      <c r="J25" s="95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96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97"/>
    </row>
    <row r="26" spans="2:61" ht="20.100000000000001" customHeight="1" x14ac:dyDescent="0.45">
      <c r="B26" s="93"/>
      <c r="C26" s="30"/>
      <c r="D26" s="30"/>
      <c r="E26" s="30"/>
      <c r="F26" s="30"/>
      <c r="G26" s="94"/>
      <c r="H26" s="95"/>
      <c r="I26" s="30"/>
      <c r="J26" s="95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95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97"/>
    </row>
    <row r="27" spans="2:61" ht="20.100000000000001" customHeight="1" x14ac:dyDescent="0.45">
      <c r="B27" s="93"/>
      <c r="C27" s="30"/>
      <c r="D27" s="30"/>
      <c r="E27" s="30"/>
      <c r="F27" s="30"/>
      <c r="G27" s="94"/>
      <c r="H27" s="95"/>
      <c r="I27" s="30"/>
      <c r="J27" s="95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95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97"/>
    </row>
    <row r="28" spans="2:61" ht="20.100000000000001" customHeight="1" x14ac:dyDescent="0.45">
      <c r="B28" s="93"/>
      <c r="C28" s="30"/>
      <c r="D28" s="30"/>
      <c r="E28" s="30"/>
      <c r="F28" s="30"/>
      <c r="G28" s="94"/>
      <c r="H28" s="95"/>
      <c r="I28" s="30"/>
      <c r="J28" s="95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95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97"/>
    </row>
    <row r="29" spans="2:61" ht="20.100000000000001" customHeight="1" thickBot="1" x14ac:dyDescent="0.5">
      <c r="B29" s="93"/>
      <c r="C29" s="30"/>
      <c r="D29" s="30"/>
      <c r="E29" s="30"/>
      <c r="F29" s="30"/>
      <c r="G29" s="94"/>
      <c r="H29" s="101"/>
      <c r="I29" s="102"/>
      <c r="J29" s="101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1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4"/>
    </row>
    <row r="30" spans="2:61" ht="5.0999999999999996" customHeight="1" x14ac:dyDescent="0.45"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53" t="s">
        <v>0</v>
      </c>
      <c r="C2" s="248"/>
      <c r="D2" s="248"/>
      <c r="E2" s="248"/>
      <c r="F2" s="248"/>
      <c r="G2" s="248"/>
      <c r="H2" s="248" t="s">
        <v>17</v>
      </c>
      <c r="I2" s="248"/>
      <c r="J2" s="248"/>
      <c r="K2" s="248"/>
      <c r="L2" s="248" t="s">
        <v>1</v>
      </c>
      <c r="M2" s="248"/>
      <c r="N2" s="248"/>
      <c r="O2" s="248"/>
      <c r="P2" s="248"/>
      <c r="Q2" s="248"/>
      <c r="R2" s="248" t="s">
        <v>2</v>
      </c>
      <c r="S2" s="248"/>
      <c r="T2" s="248"/>
      <c r="U2" s="248"/>
      <c r="V2" s="248"/>
      <c r="W2" s="248"/>
      <c r="X2" s="254" t="s">
        <v>3</v>
      </c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6"/>
      <c r="AK2" s="254" t="s">
        <v>32</v>
      </c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6"/>
      <c r="AX2" s="248" t="s">
        <v>5</v>
      </c>
      <c r="AY2" s="248"/>
      <c r="AZ2" s="248"/>
      <c r="BA2" s="248"/>
      <c r="BB2" s="248" t="s">
        <v>4</v>
      </c>
      <c r="BC2" s="248"/>
      <c r="BD2" s="248"/>
      <c r="BE2" s="248"/>
      <c r="BF2" s="248" t="s">
        <v>6</v>
      </c>
      <c r="BG2" s="248"/>
      <c r="BH2" s="248"/>
      <c r="BI2" s="248"/>
      <c r="BJ2" s="248" t="s">
        <v>7</v>
      </c>
      <c r="BK2" s="248"/>
      <c r="BL2" s="248"/>
      <c r="BM2" s="249"/>
    </row>
    <row r="3" spans="2:65" ht="20.100000000000001" customHeight="1" x14ac:dyDescent="0.45">
      <c r="B3" s="257" t="str">
        <f>変更履歴!B3</f>
        <v>受発注システム</v>
      </c>
      <c r="C3" s="190"/>
      <c r="D3" s="190"/>
      <c r="E3" s="190"/>
      <c r="F3" s="190"/>
      <c r="G3" s="190"/>
      <c r="H3" s="190" t="str">
        <f ca="1">変更履歴!H3</f>
        <v>KH0500</v>
      </c>
      <c r="I3" s="190"/>
      <c r="J3" s="190"/>
      <c r="K3" s="190"/>
      <c r="L3" s="190" t="str">
        <f>変更履歴!L3</f>
        <v>受発注</v>
      </c>
      <c r="M3" s="190"/>
      <c r="N3" s="190"/>
      <c r="O3" s="190"/>
      <c r="P3" s="190"/>
      <c r="Q3" s="190"/>
      <c r="R3" s="190" t="str">
        <f ca="1">変更履歴!R3</f>
        <v>インポート_帳票設計書</v>
      </c>
      <c r="S3" s="190"/>
      <c r="T3" s="190"/>
      <c r="U3" s="190"/>
      <c r="V3" s="190"/>
      <c r="W3" s="190"/>
      <c r="X3" s="194" t="str">
        <f ca="1">変更履歴!X3</f>
        <v>KH0500_EXCEL仕訳TXT_インポート_帳票設計書</v>
      </c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1"/>
      <c r="AK3" s="194" t="str">
        <f ca="1">変更履歴!AK3</f>
        <v>EXCEL仕訳TXT</v>
      </c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1"/>
      <c r="AX3" s="201">
        <f>変更履歴!AX3</f>
        <v>45539</v>
      </c>
      <c r="AY3" s="201"/>
      <c r="AZ3" s="201"/>
      <c r="BA3" s="201"/>
      <c r="BB3" s="190" t="str">
        <f>変更履歴!BB3</f>
        <v>大谷</v>
      </c>
      <c r="BC3" s="190"/>
      <c r="BD3" s="190"/>
      <c r="BE3" s="190"/>
      <c r="BF3" s="201">
        <f>変更履歴!BF3</f>
        <v>45539</v>
      </c>
      <c r="BG3" s="201"/>
      <c r="BH3" s="201"/>
      <c r="BI3" s="201"/>
      <c r="BJ3" s="190" t="str">
        <f>変更履歴!BJ3</f>
        <v>大谷</v>
      </c>
      <c r="BK3" s="190"/>
      <c r="BL3" s="190"/>
      <c r="BM3" s="246"/>
    </row>
    <row r="4" spans="2:65" ht="20.100000000000001" customHeight="1" thickBot="1" x14ac:dyDescent="0.5">
      <c r="B4" s="258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50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2"/>
      <c r="AK4" s="250"/>
      <c r="AL4" s="251"/>
      <c r="AM4" s="251"/>
      <c r="AN4" s="251"/>
      <c r="AO4" s="251"/>
      <c r="AP4" s="251"/>
      <c r="AQ4" s="251"/>
      <c r="AR4" s="251"/>
      <c r="AS4" s="251"/>
      <c r="AT4" s="251"/>
      <c r="AU4" s="251"/>
      <c r="AV4" s="251"/>
      <c r="AW4" s="252"/>
      <c r="AX4" s="244"/>
      <c r="AY4" s="244"/>
      <c r="AZ4" s="244"/>
      <c r="BA4" s="244"/>
      <c r="BB4" s="245"/>
      <c r="BC4" s="245"/>
      <c r="BD4" s="245"/>
      <c r="BE4" s="245"/>
      <c r="BF4" s="244"/>
      <c r="BG4" s="244"/>
      <c r="BH4" s="244"/>
      <c r="BI4" s="244"/>
      <c r="BJ4" s="245"/>
      <c r="BK4" s="245"/>
      <c r="BL4" s="245"/>
      <c r="BM4" s="247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7" t="s">
        <v>56</v>
      </c>
      <c r="C7" s="88"/>
      <c r="D7" s="88"/>
      <c r="E7" s="88"/>
      <c r="F7" s="88"/>
      <c r="G7" s="88"/>
      <c r="H7" s="90" t="s">
        <v>84</v>
      </c>
      <c r="I7" s="89"/>
      <c r="J7" s="124" t="s">
        <v>20</v>
      </c>
      <c r="K7" s="119"/>
      <c r="L7" s="119"/>
      <c r="M7" s="119"/>
      <c r="N7" s="119"/>
      <c r="O7" s="119"/>
      <c r="P7" s="119"/>
      <c r="Q7" s="119"/>
      <c r="R7" s="124" t="s">
        <v>85</v>
      </c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20"/>
      <c r="AK7" s="91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  <c r="BI7" s="92"/>
      <c r="BJ7" s="28"/>
      <c r="BK7" s="28"/>
      <c r="BL7" s="28"/>
      <c r="BM7" s="28"/>
    </row>
    <row r="8" spans="2:65" ht="20.100000000000001" customHeight="1" x14ac:dyDescent="0.45">
      <c r="B8" s="121"/>
      <c r="C8" s="30"/>
      <c r="D8" s="30"/>
      <c r="E8" s="30"/>
      <c r="F8" s="30"/>
      <c r="G8" s="30"/>
      <c r="H8" s="95"/>
      <c r="I8" s="94"/>
      <c r="J8" s="122" t="s">
        <v>86</v>
      </c>
      <c r="K8" s="50"/>
      <c r="L8" s="50"/>
      <c r="M8" s="50"/>
      <c r="N8" s="50"/>
      <c r="O8" s="50"/>
      <c r="P8" s="50"/>
      <c r="Q8" s="50"/>
      <c r="R8" s="122" t="s">
        <v>87</v>
      </c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123"/>
      <c r="AK8" s="96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97"/>
      <c r="BJ8" s="28"/>
      <c r="BK8" s="28"/>
      <c r="BL8" s="28"/>
      <c r="BM8" s="28"/>
    </row>
    <row r="9" spans="2:65" ht="20.100000000000001" customHeight="1" x14ac:dyDescent="0.45">
      <c r="B9" s="121"/>
      <c r="C9" s="30"/>
      <c r="D9" s="30"/>
      <c r="E9" s="30"/>
      <c r="F9" s="30"/>
      <c r="G9" s="30"/>
      <c r="H9" s="101"/>
      <c r="I9" s="125"/>
      <c r="J9" s="122" t="s">
        <v>88</v>
      </c>
      <c r="K9" s="50"/>
      <c r="L9" s="50"/>
      <c r="M9" s="50"/>
      <c r="N9" s="50"/>
      <c r="O9" s="50"/>
      <c r="P9" s="50"/>
      <c r="Q9" s="50"/>
      <c r="R9" s="122" t="s">
        <v>89</v>
      </c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123"/>
      <c r="AK9" s="103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4"/>
      <c r="BJ9" s="28"/>
      <c r="BK9" s="28"/>
      <c r="BL9" s="28"/>
      <c r="BM9" s="28"/>
    </row>
    <row r="10" spans="2:65" ht="20.100000000000001" customHeight="1" x14ac:dyDescent="0.45">
      <c r="B10" s="121"/>
      <c r="C10" s="30"/>
      <c r="D10" s="30"/>
      <c r="E10" s="30"/>
      <c r="F10" s="30"/>
      <c r="G10" s="94"/>
      <c r="H10" s="95" t="s">
        <v>57</v>
      </c>
      <c r="I10" s="30"/>
      <c r="J10" s="109" t="s">
        <v>58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96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97"/>
      <c r="BJ10" s="28"/>
      <c r="BK10" s="28"/>
      <c r="BL10" s="28"/>
      <c r="BM10" s="28"/>
    </row>
    <row r="11" spans="2:65" ht="20.100000000000001" customHeight="1" x14ac:dyDescent="0.45">
      <c r="B11" s="93"/>
      <c r="C11" s="30"/>
      <c r="D11" s="30"/>
      <c r="E11" s="30"/>
      <c r="F11" s="30"/>
      <c r="G11" s="94"/>
      <c r="H11" s="95"/>
      <c r="I11" s="30"/>
      <c r="J11" s="95" t="s">
        <v>59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96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97"/>
      <c r="BJ11" s="28"/>
      <c r="BK11" s="28"/>
      <c r="BL11" s="28"/>
      <c r="BM11" s="28"/>
    </row>
    <row r="12" spans="2:65" ht="20.100000000000001" customHeight="1" x14ac:dyDescent="0.45">
      <c r="B12" s="93"/>
      <c r="C12" s="30"/>
      <c r="D12" s="30"/>
      <c r="E12" s="30"/>
      <c r="F12" s="30"/>
      <c r="G12" s="94"/>
      <c r="H12" s="95"/>
      <c r="I12" s="30"/>
      <c r="J12" s="95" t="s">
        <v>60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96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97"/>
      <c r="BJ12" s="28"/>
      <c r="BK12" s="28"/>
      <c r="BL12" s="28"/>
      <c r="BM12" s="28"/>
    </row>
    <row r="13" spans="2:65" ht="20.100000000000001" customHeight="1" x14ac:dyDescent="0.45">
      <c r="B13" s="93"/>
      <c r="C13" s="30"/>
      <c r="D13" s="30"/>
      <c r="E13" s="30"/>
      <c r="F13" s="30"/>
      <c r="G13" s="94"/>
      <c r="H13" s="95"/>
      <c r="I13" s="30"/>
      <c r="J13" s="95" t="s">
        <v>61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96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97"/>
      <c r="BJ13" s="28"/>
      <c r="BK13" s="28"/>
      <c r="BL13" s="28"/>
      <c r="BM13" s="28"/>
    </row>
    <row r="14" spans="2:65" ht="20.100000000000001" customHeight="1" x14ac:dyDescent="0.45">
      <c r="B14" s="93"/>
      <c r="C14" s="30"/>
      <c r="D14" s="30"/>
      <c r="E14" s="30"/>
      <c r="F14" s="30"/>
      <c r="G14" s="94"/>
      <c r="H14" s="98" t="s">
        <v>62</v>
      </c>
      <c r="I14" s="53"/>
      <c r="J14" s="105" t="s">
        <v>63</v>
      </c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99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100"/>
      <c r="BJ14" s="28"/>
      <c r="BK14" s="28"/>
      <c r="BL14" s="28"/>
      <c r="BM14" s="28"/>
    </row>
    <row r="15" spans="2:65" ht="20.100000000000001" customHeight="1" x14ac:dyDescent="0.45">
      <c r="B15" s="93"/>
      <c r="C15" s="30"/>
      <c r="D15" s="30"/>
      <c r="E15" s="30"/>
      <c r="F15" s="30"/>
      <c r="G15" s="94"/>
      <c r="H15" s="95"/>
      <c r="I15" s="30"/>
      <c r="J15" s="106"/>
      <c r="K15" s="107" t="s">
        <v>64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96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97"/>
      <c r="BJ15" s="28"/>
      <c r="BK15" s="28"/>
      <c r="BL15" s="28"/>
      <c r="BM15" s="28"/>
    </row>
    <row r="16" spans="2:65" ht="20.100000000000001" customHeight="1" x14ac:dyDescent="0.45">
      <c r="B16" s="93"/>
      <c r="C16" s="30"/>
      <c r="D16" s="30"/>
      <c r="E16" s="30"/>
      <c r="F16" s="30"/>
      <c r="G16" s="94"/>
      <c r="H16" s="95"/>
      <c r="I16" s="30"/>
      <c r="J16" s="95"/>
      <c r="K16" s="28"/>
      <c r="L16" s="108"/>
      <c r="M16" s="107" t="s">
        <v>65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96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97"/>
      <c r="BJ16" s="28"/>
      <c r="BK16" s="28"/>
      <c r="BL16" s="28"/>
      <c r="BM16" s="28"/>
    </row>
    <row r="17" spans="2:65" ht="20.100000000000001" customHeight="1" x14ac:dyDescent="0.45">
      <c r="B17" s="93"/>
      <c r="C17" s="30"/>
      <c r="D17" s="30"/>
      <c r="E17" s="30"/>
      <c r="F17" s="30"/>
      <c r="G17" s="94"/>
      <c r="H17" s="95"/>
      <c r="I17" s="30"/>
      <c r="J17" s="95"/>
      <c r="K17" s="28"/>
      <c r="L17" s="108" t="s">
        <v>66</v>
      </c>
      <c r="M17" s="107" t="s">
        <v>65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96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97"/>
      <c r="BJ17" s="28"/>
      <c r="BK17" s="28"/>
      <c r="BL17" s="28"/>
      <c r="BM17" s="28"/>
    </row>
    <row r="18" spans="2:65" ht="20.100000000000001" customHeight="1" x14ac:dyDescent="0.45">
      <c r="B18" s="93"/>
      <c r="C18" s="30"/>
      <c r="D18" s="30"/>
      <c r="E18" s="30"/>
      <c r="F18" s="30"/>
      <c r="G18" s="94"/>
      <c r="H18" s="95"/>
      <c r="I18" s="30"/>
      <c r="J18" s="95"/>
      <c r="K18" s="28"/>
      <c r="L18" s="108" t="s">
        <v>67</v>
      </c>
      <c r="M18" s="107" t="s">
        <v>65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96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97"/>
      <c r="BJ18" s="28"/>
      <c r="BK18" s="28"/>
      <c r="BL18" s="28"/>
      <c r="BM18" s="28"/>
    </row>
    <row r="19" spans="2:65" ht="20.100000000000001" customHeight="1" x14ac:dyDescent="0.45">
      <c r="B19" s="93"/>
      <c r="C19" s="30"/>
      <c r="D19" s="30"/>
      <c r="E19" s="30"/>
      <c r="F19" s="30"/>
      <c r="G19" s="94"/>
      <c r="H19" s="95"/>
      <c r="I19" s="30"/>
      <c r="J19" s="95" t="s">
        <v>68</v>
      </c>
      <c r="K19" s="108"/>
      <c r="L19" s="107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96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97"/>
      <c r="BJ19" s="28"/>
      <c r="BK19" s="28"/>
      <c r="BL19" s="28"/>
      <c r="BM19" s="28"/>
    </row>
    <row r="20" spans="2:65" ht="20.100000000000001" customHeight="1" x14ac:dyDescent="0.45">
      <c r="B20" s="93"/>
      <c r="C20" s="30"/>
      <c r="D20" s="30"/>
      <c r="E20" s="30"/>
      <c r="F20" s="30"/>
      <c r="G20" s="94"/>
      <c r="H20" s="95"/>
      <c r="I20" s="30"/>
      <c r="J20" s="95"/>
      <c r="K20" s="30" t="s">
        <v>69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96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97"/>
      <c r="BJ20" s="28"/>
      <c r="BK20" s="28"/>
      <c r="BL20" s="28"/>
      <c r="BM20" s="28"/>
    </row>
    <row r="21" spans="2:65" ht="20.100000000000001" customHeight="1" x14ac:dyDescent="0.45">
      <c r="B21" s="93"/>
      <c r="C21" s="30"/>
      <c r="D21" s="30"/>
      <c r="E21" s="30"/>
      <c r="F21" s="30"/>
      <c r="G21" s="94"/>
      <c r="H21" s="95"/>
      <c r="I21" s="30"/>
      <c r="J21" s="95"/>
      <c r="K21" s="28"/>
      <c r="L21" s="30"/>
      <c r="M21" s="30" t="s">
        <v>70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96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97"/>
    </row>
    <row r="22" spans="2:65" ht="20.100000000000001" customHeight="1" x14ac:dyDescent="0.45">
      <c r="B22" s="93"/>
      <c r="C22" s="30"/>
      <c r="D22" s="30"/>
      <c r="E22" s="30"/>
      <c r="F22" s="30"/>
      <c r="G22" s="94"/>
      <c r="H22" s="101"/>
      <c r="I22" s="102"/>
      <c r="J22" s="101"/>
      <c r="K22" s="102"/>
      <c r="L22" s="102" t="s">
        <v>66</v>
      </c>
      <c r="M22" s="102" t="s">
        <v>71</v>
      </c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3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4"/>
    </row>
    <row r="23" spans="2:65" ht="20.100000000000001" customHeight="1" x14ac:dyDescent="0.45">
      <c r="B23" s="93"/>
      <c r="C23" s="30"/>
      <c r="D23" s="30"/>
      <c r="E23" s="30"/>
      <c r="F23" s="30"/>
      <c r="G23" s="94"/>
      <c r="H23" s="95" t="s">
        <v>72</v>
      </c>
      <c r="I23" s="30"/>
      <c r="J23" s="109"/>
      <c r="K23" s="107" t="s">
        <v>73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110" t="s">
        <v>74</v>
      </c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97"/>
    </row>
    <row r="24" spans="2:65" ht="20.100000000000001" customHeight="1" x14ac:dyDescent="0.45">
      <c r="B24" s="93"/>
      <c r="C24" s="30"/>
      <c r="D24" s="30"/>
      <c r="E24" s="30"/>
      <c r="F24" s="30"/>
      <c r="G24" s="94"/>
      <c r="H24" s="95"/>
      <c r="I24" s="30"/>
      <c r="J24" s="109" t="s">
        <v>66</v>
      </c>
      <c r="K24" s="107" t="s">
        <v>75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96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97"/>
    </row>
    <row r="25" spans="2:65" ht="20.100000000000001" customHeight="1" x14ac:dyDescent="0.45">
      <c r="B25" s="93"/>
      <c r="C25" s="30"/>
      <c r="D25" s="30"/>
      <c r="E25" s="30"/>
      <c r="F25" s="30"/>
      <c r="G25" s="94"/>
      <c r="H25" s="95"/>
      <c r="I25" s="30"/>
      <c r="J25" s="109" t="s">
        <v>67</v>
      </c>
      <c r="K25" s="107" t="s">
        <v>75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96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97"/>
    </row>
    <row r="26" spans="2:65" ht="20.100000000000001" customHeight="1" x14ac:dyDescent="0.45">
      <c r="B26" s="93"/>
      <c r="C26" s="30"/>
      <c r="D26" s="30"/>
      <c r="E26" s="30"/>
      <c r="F26" s="30"/>
      <c r="G26" s="94"/>
      <c r="H26" s="95"/>
      <c r="I26" s="30"/>
      <c r="J26" s="109" t="s">
        <v>76</v>
      </c>
      <c r="K26" s="107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96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97"/>
    </row>
    <row r="27" spans="2:65" ht="20.100000000000001" customHeight="1" x14ac:dyDescent="0.45">
      <c r="B27" s="93"/>
      <c r="C27" s="30"/>
      <c r="D27" s="30"/>
      <c r="E27" s="30"/>
      <c r="F27" s="30"/>
      <c r="G27" s="94"/>
      <c r="H27" s="95"/>
      <c r="I27" s="30"/>
      <c r="J27" s="95"/>
      <c r="K27" s="30" t="s">
        <v>77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111" t="s">
        <v>78</v>
      </c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97"/>
    </row>
    <row r="28" spans="2:65" ht="20.100000000000001" customHeight="1" x14ac:dyDescent="0.45">
      <c r="B28" s="93"/>
      <c r="C28" s="30"/>
      <c r="D28" s="30"/>
      <c r="E28" s="30"/>
      <c r="F28" s="30"/>
      <c r="G28" s="94"/>
      <c r="H28" s="95"/>
      <c r="I28" s="30"/>
      <c r="J28" s="95" t="s">
        <v>66</v>
      </c>
      <c r="K28" s="30" t="s">
        <v>79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95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97"/>
    </row>
    <row r="29" spans="2:65" ht="20.100000000000001" customHeight="1" x14ac:dyDescent="0.45">
      <c r="B29" s="93"/>
      <c r="C29" s="30"/>
      <c r="D29" s="30"/>
      <c r="E29" s="30"/>
      <c r="F29" s="30"/>
      <c r="G29" s="94"/>
      <c r="H29" s="95"/>
      <c r="I29" s="30"/>
      <c r="J29" s="109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95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97"/>
    </row>
    <row r="30" spans="2:65" ht="20.100000000000001" customHeight="1" x14ac:dyDescent="0.45">
      <c r="B30" s="93"/>
      <c r="C30" s="30"/>
      <c r="D30" s="30"/>
      <c r="E30" s="30"/>
      <c r="F30" s="30"/>
      <c r="G30" s="94"/>
      <c r="H30" s="95"/>
      <c r="I30" s="30"/>
      <c r="J30" s="95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95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97"/>
    </row>
    <row r="31" spans="2:65" ht="20.100000000000001" customHeight="1" x14ac:dyDescent="0.45">
      <c r="B31" s="93"/>
      <c r="C31" s="30"/>
      <c r="D31" s="30"/>
      <c r="E31" s="30"/>
      <c r="F31" s="30"/>
      <c r="G31" s="94"/>
      <c r="H31" s="101"/>
      <c r="I31" s="102"/>
      <c r="J31" s="101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1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4"/>
    </row>
    <row r="32" spans="2:65" ht="20.100000000000001" customHeight="1" x14ac:dyDescent="0.45">
      <c r="B32" s="93"/>
      <c r="C32" s="30"/>
      <c r="D32" s="30"/>
      <c r="E32" s="30"/>
      <c r="F32" s="30"/>
      <c r="G32" s="94"/>
      <c r="H32" s="95" t="s">
        <v>80</v>
      </c>
      <c r="I32" s="30"/>
      <c r="J32" s="109" t="s">
        <v>81</v>
      </c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95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97"/>
    </row>
    <row r="33" spans="2:61" ht="20.100000000000001" customHeight="1" x14ac:dyDescent="0.45">
      <c r="B33" s="93"/>
      <c r="C33" s="30"/>
      <c r="D33" s="30"/>
      <c r="E33" s="30"/>
      <c r="F33" s="30"/>
      <c r="G33" s="94"/>
      <c r="H33" s="95"/>
      <c r="I33" s="30"/>
      <c r="J33" s="109" t="s">
        <v>82</v>
      </c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95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97"/>
    </row>
    <row r="34" spans="2:61" ht="20.100000000000001" customHeight="1" thickBot="1" x14ac:dyDescent="0.5">
      <c r="B34" s="112"/>
      <c r="C34" s="113"/>
      <c r="D34" s="113"/>
      <c r="E34" s="113"/>
      <c r="F34" s="113"/>
      <c r="G34" s="114"/>
      <c r="H34" s="115"/>
      <c r="I34" s="113"/>
      <c r="J34" s="115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5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3"/>
      <c r="BF34" s="113"/>
      <c r="BG34" s="113"/>
      <c r="BH34" s="113"/>
      <c r="BI34" s="116"/>
    </row>
    <row r="35" spans="2:61" ht="20.100000000000001" customHeight="1" x14ac:dyDescent="0.45"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</row>
    <row r="36" spans="2:61" ht="20.100000000000001" customHeight="1" x14ac:dyDescent="0.45">
      <c r="B36" s="28"/>
      <c r="C36" s="28"/>
      <c r="D36" s="28"/>
      <c r="E36" s="28"/>
      <c r="F36" s="28"/>
      <c r="G36" s="28"/>
      <c r="H36" s="117" t="s">
        <v>83</v>
      </c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RowHeight="18" x14ac:dyDescent="0.45"/>
  <cols>
    <col min="1" max="2" width="8.796875" style="28"/>
    <col min="3" max="3" width="26.59765625" style="28" customWidth="1"/>
    <col min="4" max="4" width="35.09765625" style="28" customWidth="1"/>
    <col min="5" max="5" width="106.8984375" style="28" customWidth="1"/>
    <col min="6" max="16384" width="8.796875" style="28"/>
  </cols>
  <sheetData>
    <row r="2" spans="2:6" ht="19.2" thickBot="1" x14ac:dyDescent="0.5">
      <c r="B2" s="85" t="s">
        <v>48</v>
      </c>
    </row>
    <row r="3" spans="2:6" ht="18.600000000000001" thickTop="1" x14ac:dyDescent="0.45">
      <c r="B3" s="37" t="s">
        <v>19</v>
      </c>
      <c r="C3" s="75" t="s">
        <v>49</v>
      </c>
      <c r="D3" s="75" t="s">
        <v>50</v>
      </c>
      <c r="E3" s="72" t="s">
        <v>21</v>
      </c>
      <c r="F3" s="76" t="s">
        <v>51</v>
      </c>
    </row>
    <row r="4" spans="2:6" x14ac:dyDescent="0.45">
      <c r="B4" s="36">
        <v>1</v>
      </c>
      <c r="C4" s="77"/>
      <c r="D4" s="77"/>
      <c r="E4" s="78"/>
      <c r="F4" s="79"/>
    </row>
    <row r="5" spans="2:6" x14ac:dyDescent="0.45">
      <c r="B5" s="36">
        <v>2</v>
      </c>
      <c r="C5" s="77"/>
      <c r="D5" s="77"/>
      <c r="E5" s="80"/>
      <c r="F5" s="79"/>
    </row>
    <row r="6" spans="2:6" x14ac:dyDescent="0.45">
      <c r="B6" s="36">
        <v>3</v>
      </c>
      <c r="C6" s="77"/>
      <c r="D6" s="77"/>
      <c r="E6" s="80"/>
      <c r="F6" s="79"/>
    </row>
    <row r="7" spans="2:6" x14ac:dyDescent="0.45">
      <c r="B7" s="36">
        <v>4</v>
      </c>
      <c r="C7" s="77"/>
      <c r="D7" s="77"/>
      <c r="E7" s="80"/>
      <c r="F7" s="79"/>
    </row>
    <row r="8" spans="2:6" x14ac:dyDescent="0.45">
      <c r="B8" s="36">
        <v>5</v>
      </c>
      <c r="C8" s="77"/>
      <c r="D8" s="77"/>
      <c r="E8" s="80"/>
      <c r="F8" s="79"/>
    </row>
    <row r="9" spans="2:6" x14ac:dyDescent="0.45">
      <c r="B9" s="36">
        <v>6</v>
      </c>
      <c r="C9" s="77"/>
      <c r="D9" s="77"/>
      <c r="E9" s="80"/>
      <c r="F9" s="79"/>
    </row>
    <row r="10" spans="2:6" x14ac:dyDescent="0.45">
      <c r="B10" s="36">
        <v>7</v>
      </c>
      <c r="C10" s="77"/>
      <c r="D10" s="77"/>
      <c r="E10" s="80"/>
      <c r="F10" s="79"/>
    </row>
    <row r="11" spans="2:6" x14ac:dyDescent="0.45">
      <c r="B11" s="36">
        <v>8</v>
      </c>
      <c r="C11" s="77"/>
      <c r="D11" s="77"/>
      <c r="E11" s="80"/>
      <c r="F11" s="79"/>
    </row>
    <row r="12" spans="2:6" x14ac:dyDescent="0.45">
      <c r="B12" s="36">
        <v>9</v>
      </c>
      <c r="C12" s="77"/>
      <c r="D12" s="77"/>
      <c r="E12" s="80"/>
      <c r="F12" s="79"/>
    </row>
    <row r="13" spans="2:6" x14ac:dyDescent="0.45">
      <c r="B13" s="36">
        <v>10</v>
      </c>
      <c r="C13" s="77"/>
      <c r="D13" s="77"/>
      <c r="E13" s="80"/>
      <c r="F13" s="79"/>
    </row>
    <row r="14" spans="2:6" x14ac:dyDescent="0.45">
      <c r="B14" s="36">
        <v>11</v>
      </c>
      <c r="C14" s="77"/>
      <c r="D14" s="77"/>
      <c r="E14" s="80"/>
      <c r="F14" s="79"/>
    </row>
    <row r="15" spans="2:6" x14ac:dyDescent="0.45">
      <c r="B15" s="36">
        <v>12</v>
      </c>
      <c r="C15" s="77"/>
      <c r="D15" s="77"/>
      <c r="E15" s="80"/>
      <c r="F15" s="79"/>
    </row>
    <row r="16" spans="2:6" x14ac:dyDescent="0.45">
      <c r="B16" s="36">
        <v>13</v>
      </c>
      <c r="C16" s="77"/>
      <c r="D16" s="77"/>
      <c r="E16" s="80"/>
      <c r="F16" s="79"/>
    </row>
    <row r="17" spans="2:6" x14ac:dyDescent="0.45">
      <c r="B17" s="36">
        <v>14</v>
      </c>
      <c r="C17" s="77"/>
      <c r="D17" s="77"/>
      <c r="E17" s="80"/>
      <c r="F17" s="79"/>
    </row>
    <row r="18" spans="2:6" x14ac:dyDescent="0.45">
      <c r="B18" s="36">
        <v>15</v>
      </c>
      <c r="C18" s="77"/>
      <c r="D18" s="77"/>
      <c r="E18" s="80"/>
      <c r="F18" s="79"/>
    </row>
    <row r="19" spans="2:6" x14ac:dyDescent="0.45">
      <c r="B19" s="36">
        <v>16</v>
      </c>
      <c r="C19" s="77"/>
      <c r="D19" s="77"/>
      <c r="E19" s="80"/>
      <c r="F19" s="79"/>
    </row>
    <row r="20" spans="2:6" x14ac:dyDescent="0.45">
      <c r="B20" s="36">
        <v>17</v>
      </c>
      <c r="C20" s="77"/>
      <c r="D20" s="77"/>
      <c r="E20" s="80"/>
      <c r="F20" s="79"/>
    </row>
    <row r="21" spans="2:6" x14ac:dyDescent="0.45">
      <c r="B21" s="36">
        <v>18</v>
      </c>
      <c r="C21" s="77"/>
      <c r="D21" s="77"/>
      <c r="E21" s="80"/>
      <c r="F21" s="79"/>
    </row>
    <row r="22" spans="2:6" x14ac:dyDescent="0.45">
      <c r="B22" s="36">
        <v>19</v>
      </c>
      <c r="C22" s="77"/>
      <c r="D22" s="77"/>
      <c r="E22" s="80"/>
      <c r="F22" s="79"/>
    </row>
    <row r="23" spans="2:6" x14ac:dyDescent="0.45">
      <c r="B23" s="36">
        <v>20</v>
      </c>
      <c r="C23" s="77"/>
      <c r="D23" s="77"/>
      <c r="E23" s="80"/>
      <c r="F23" s="79"/>
    </row>
    <row r="24" spans="2:6" x14ac:dyDescent="0.45">
      <c r="B24" s="36">
        <v>21</v>
      </c>
      <c r="C24" s="77"/>
      <c r="D24" s="77"/>
      <c r="E24" s="80"/>
      <c r="F24" s="79"/>
    </row>
    <row r="25" spans="2:6" x14ac:dyDescent="0.45">
      <c r="B25" s="36">
        <v>22</v>
      </c>
      <c r="C25" s="77"/>
      <c r="D25" s="77"/>
      <c r="E25" s="80"/>
      <c r="F25" s="79"/>
    </row>
    <row r="26" spans="2:6" x14ac:dyDescent="0.45">
      <c r="B26" s="36">
        <v>23</v>
      </c>
      <c r="C26" s="77"/>
      <c r="D26" s="77"/>
      <c r="E26" s="80"/>
      <c r="F26" s="79"/>
    </row>
    <row r="27" spans="2:6" x14ac:dyDescent="0.45">
      <c r="B27" s="36">
        <v>24</v>
      </c>
      <c r="C27" s="77"/>
      <c r="D27" s="77"/>
      <c r="E27" s="80"/>
      <c r="F27" s="79"/>
    </row>
    <row r="28" spans="2:6" x14ac:dyDescent="0.45">
      <c r="B28" s="36">
        <v>25</v>
      </c>
      <c r="C28" s="77"/>
      <c r="D28" s="77"/>
      <c r="E28" s="80"/>
      <c r="F28" s="79"/>
    </row>
    <row r="29" spans="2:6" x14ac:dyDescent="0.45">
      <c r="B29" s="36">
        <v>26</v>
      </c>
      <c r="C29" s="77"/>
      <c r="D29" s="77"/>
      <c r="E29" s="80"/>
      <c r="F29" s="79"/>
    </row>
    <row r="30" spans="2:6" x14ac:dyDescent="0.45">
      <c r="B30" s="36">
        <v>27</v>
      </c>
      <c r="C30" s="77"/>
      <c r="D30" s="77"/>
      <c r="E30" s="80"/>
      <c r="F30" s="79"/>
    </row>
    <row r="31" spans="2:6" x14ac:dyDescent="0.45">
      <c r="B31" s="36">
        <v>28</v>
      </c>
      <c r="C31" s="77"/>
      <c r="D31" s="77"/>
      <c r="E31" s="80"/>
      <c r="F31" s="79"/>
    </row>
    <row r="32" spans="2:6" x14ac:dyDescent="0.45">
      <c r="B32" s="36">
        <v>29</v>
      </c>
      <c r="C32" s="77"/>
      <c r="D32" s="77"/>
      <c r="E32" s="80"/>
      <c r="F32" s="79"/>
    </row>
    <row r="33" spans="2:6" x14ac:dyDescent="0.45">
      <c r="B33" s="36">
        <v>30</v>
      </c>
      <c r="C33" s="77"/>
      <c r="D33" s="77"/>
      <c r="E33" s="80"/>
      <c r="F33" s="79"/>
    </row>
    <row r="34" spans="2:6" x14ac:dyDescent="0.45">
      <c r="B34" s="36">
        <v>31</v>
      </c>
      <c r="C34" s="77"/>
      <c r="D34" s="77"/>
      <c r="E34" s="80"/>
      <c r="F34" s="79"/>
    </row>
    <row r="35" spans="2:6" x14ac:dyDescent="0.45">
      <c r="B35" s="36">
        <v>32</v>
      </c>
      <c r="C35" s="77"/>
      <c r="D35" s="77"/>
      <c r="E35" s="80"/>
      <c r="F35" s="79"/>
    </row>
    <row r="36" spans="2:6" x14ac:dyDescent="0.45">
      <c r="B36" s="36">
        <v>33</v>
      </c>
      <c r="C36" s="77"/>
      <c r="D36" s="77"/>
      <c r="E36" s="80"/>
      <c r="F36" s="79"/>
    </row>
    <row r="37" spans="2:6" x14ac:dyDescent="0.45">
      <c r="B37" s="36">
        <v>34</v>
      </c>
      <c r="C37" s="77"/>
      <c r="D37" s="77"/>
      <c r="E37" s="80"/>
      <c r="F37" s="79"/>
    </row>
    <row r="38" spans="2:6" x14ac:dyDescent="0.45">
      <c r="B38" s="36">
        <v>35</v>
      </c>
      <c r="C38" s="77"/>
      <c r="D38" s="77"/>
      <c r="E38" s="80"/>
      <c r="F38" s="79"/>
    </row>
    <row r="39" spans="2:6" x14ac:dyDescent="0.45">
      <c r="B39" s="36">
        <v>36</v>
      </c>
      <c r="C39" s="77"/>
      <c r="D39" s="77"/>
      <c r="E39" s="80"/>
      <c r="F39" s="79"/>
    </row>
    <row r="40" spans="2:6" x14ac:dyDescent="0.45">
      <c r="B40" s="36">
        <v>37</v>
      </c>
      <c r="C40" s="77"/>
      <c r="D40" s="77"/>
      <c r="E40" s="80"/>
      <c r="F40" s="79"/>
    </row>
    <row r="41" spans="2:6" x14ac:dyDescent="0.45">
      <c r="B41" s="36">
        <v>38</v>
      </c>
      <c r="C41" s="77"/>
      <c r="D41" s="77"/>
      <c r="E41" s="80"/>
      <c r="F41" s="79"/>
    </row>
    <row r="42" spans="2:6" x14ac:dyDescent="0.45">
      <c r="B42" s="36">
        <v>39</v>
      </c>
      <c r="C42" s="77"/>
      <c r="D42" s="77"/>
      <c r="E42" s="80"/>
      <c r="F42" s="79"/>
    </row>
    <row r="43" spans="2:6" x14ac:dyDescent="0.45">
      <c r="B43" s="36">
        <v>40</v>
      </c>
      <c r="C43" s="77"/>
      <c r="D43" s="77"/>
      <c r="E43" s="80"/>
      <c r="F43" s="79"/>
    </row>
    <row r="44" spans="2:6" x14ac:dyDescent="0.45">
      <c r="B44" s="36">
        <v>41</v>
      </c>
      <c r="C44" s="77"/>
      <c r="D44" s="77"/>
      <c r="E44" s="80"/>
      <c r="F44" s="79"/>
    </row>
    <row r="45" spans="2:6" x14ac:dyDescent="0.45">
      <c r="B45" s="36">
        <v>42</v>
      </c>
      <c r="C45" s="77"/>
      <c r="D45" s="77"/>
      <c r="E45" s="80"/>
      <c r="F45" s="79"/>
    </row>
    <row r="46" spans="2:6" x14ac:dyDescent="0.45">
      <c r="B46" s="36">
        <v>43</v>
      </c>
      <c r="C46" s="77"/>
      <c r="D46" s="77"/>
      <c r="E46" s="80"/>
      <c r="F46" s="79"/>
    </row>
    <row r="47" spans="2:6" x14ac:dyDescent="0.45">
      <c r="B47" s="36">
        <v>44</v>
      </c>
      <c r="C47" s="77"/>
      <c r="D47" s="77"/>
      <c r="E47" s="80"/>
      <c r="F47" s="79"/>
    </row>
    <row r="48" spans="2:6" x14ac:dyDescent="0.45">
      <c r="B48" s="36">
        <v>45</v>
      </c>
      <c r="C48" s="77"/>
      <c r="D48" s="77"/>
      <c r="E48" s="80"/>
      <c r="F48" s="79"/>
    </row>
    <row r="49" spans="2:6" x14ac:dyDescent="0.45">
      <c r="B49" s="36">
        <v>46</v>
      </c>
      <c r="C49" s="77"/>
      <c r="D49" s="77"/>
      <c r="E49" s="80"/>
      <c r="F49" s="79"/>
    </row>
    <row r="50" spans="2:6" x14ac:dyDescent="0.45">
      <c r="B50" s="36">
        <v>47</v>
      </c>
      <c r="C50" s="77"/>
      <c r="D50" s="77"/>
      <c r="E50" s="80"/>
      <c r="F50" s="79"/>
    </row>
    <row r="51" spans="2:6" x14ac:dyDescent="0.45">
      <c r="B51" s="36">
        <v>48</v>
      </c>
      <c r="C51" s="77"/>
      <c r="D51" s="77"/>
      <c r="E51" s="80"/>
      <c r="F51" s="79"/>
    </row>
    <row r="52" spans="2:6" x14ac:dyDescent="0.45">
      <c r="B52" s="36">
        <v>49</v>
      </c>
      <c r="C52" s="77"/>
      <c r="D52" s="77"/>
      <c r="E52" s="80"/>
      <c r="F52" s="79"/>
    </row>
    <row r="53" spans="2:6" x14ac:dyDescent="0.45">
      <c r="B53" s="36">
        <v>50</v>
      </c>
      <c r="C53" s="77"/>
      <c r="D53" s="77"/>
      <c r="E53" s="80"/>
      <c r="F53" s="79"/>
    </row>
    <row r="54" spans="2:6" ht="18.600000000000001" thickBot="1" x14ac:dyDescent="0.5">
      <c r="B54" s="81">
        <v>51</v>
      </c>
      <c r="C54" s="82"/>
      <c r="D54" s="82"/>
      <c r="E54" s="83"/>
      <c r="F54" s="84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4"/>
  <sheetViews>
    <sheetView workbookViewId="0"/>
  </sheetViews>
  <sheetFormatPr defaultColWidth="8.09765625" defaultRowHeight="18" x14ac:dyDescent="0.45"/>
  <cols>
    <col min="1" max="1" width="10.59765625" style="129" bestFit="1" customWidth="1"/>
    <col min="2" max="2" width="14.5" style="129" bestFit="1" customWidth="1"/>
    <col min="3" max="3" width="10.59765625" style="129" bestFit="1" customWidth="1"/>
    <col min="4" max="4" width="8.796875" style="129" bestFit="1" customWidth="1"/>
    <col min="5" max="5" width="10.59765625" style="129" bestFit="1" customWidth="1"/>
    <col min="6" max="6" width="8.09765625" style="129"/>
    <col min="7" max="7" width="19.796875" style="129" bestFit="1" customWidth="1"/>
    <col min="8" max="8" width="8" style="134" customWidth="1"/>
    <col min="9" max="256" width="8.09765625" style="129"/>
    <col min="257" max="257" width="10.59765625" style="129" bestFit="1" customWidth="1"/>
    <col min="258" max="258" width="14.5" style="129" bestFit="1" customWidth="1"/>
    <col min="259" max="259" width="10.59765625" style="129" bestFit="1" customWidth="1"/>
    <col min="260" max="260" width="8.796875" style="129" bestFit="1" customWidth="1"/>
    <col min="261" max="261" width="10.59765625" style="129" bestFit="1" customWidth="1"/>
    <col min="262" max="262" width="8.09765625" style="129"/>
    <col min="263" max="263" width="19.796875" style="129" bestFit="1" customWidth="1"/>
    <col min="264" max="264" width="8" style="129" customWidth="1"/>
    <col min="265" max="512" width="8.09765625" style="129"/>
    <col min="513" max="513" width="10.59765625" style="129" bestFit="1" customWidth="1"/>
    <col min="514" max="514" width="14.5" style="129" bestFit="1" customWidth="1"/>
    <col min="515" max="515" width="10.59765625" style="129" bestFit="1" customWidth="1"/>
    <col min="516" max="516" width="8.796875" style="129" bestFit="1" customWidth="1"/>
    <col min="517" max="517" width="10.59765625" style="129" bestFit="1" customWidth="1"/>
    <col min="518" max="518" width="8.09765625" style="129"/>
    <col min="519" max="519" width="19.796875" style="129" bestFit="1" customWidth="1"/>
    <col min="520" max="520" width="8" style="129" customWidth="1"/>
    <col min="521" max="768" width="8.09765625" style="129"/>
    <col min="769" max="769" width="10.59765625" style="129" bestFit="1" customWidth="1"/>
    <col min="770" max="770" width="14.5" style="129" bestFit="1" customWidth="1"/>
    <col min="771" max="771" width="10.59765625" style="129" bestFit="1" customWidth="1"/>
    <col min="772" max="772" width="8.796875" style="129" bestFit="1" customWidth="1"/>
    <col min="773" max="773" width="10.59765625" style="129" bestFit="1" customWidth="1"/>
    <col min="774" max="774" width="8.09765625" style="129"/>
    <col min="775" max="775" width="19.796875" style="129" bestFit="1" customWidth="1"/>
    <col min="776" max="776" width="8" style="129" customWidth="1"/>
    <col min="777" max="1024" width="8.09765625" style="129"/>
    <col min="1025" max="1025" width="10.59765625" style="129" bestFit="1" customWidth="1"/>
    <col min="1026" max="1026" width="14.5" style="129" bestFit="1" customWidth="1"/>
    <col min="1027" max="1027" width="10.59765625" style="129" bestFit="1" customWidth="1"/>
    <col min="1028" max="1028" width="8.796875" style="129" bestFit="1" customWidth="1"/>
    <col min="1029" max="1029" width="10.59765625" style="129" bestFit="1" customWidth="1"/>
    <col min="1030" max="1030" width="8.09765625" style="129"/>
    <col min="1031" max="1031" width="19.796875" style="129" bestFit="1" customWidth="1"/>
    <col min="1032" max="1032" width="8" style="129" customWidth="1"/>
    <col min="1033" max="1280" width="8.09765625" style="129"/>
    <col min="1281" max="1281" width="10.59765625" style="129" bestFit="1" customWidth="1"/>
    <col min="1282" max="1282" width="14.5" style="129" bestFit="1" customWidth="1"/>
    <col min="1283" max="1283" width="10.59765625" style="129" bestFit="1" customWidth="1"/>
    <col min="1284" max="1284" width="8.796875" style="129" bestFit="1" customWidth="1"/>
    <col min="1285" max="1285" width="10.59765625" style="129" bestFit="1" customWidth="1"/>
    <col min="1286" max="1286" width="8.09765625" style="129"/>
    <col min="1287" max="1287" width="19.796875" style="129" bestFit="1" customWidth="1"/>
    <col min="1288" max="1288" width="8" style="129" customWidth="1"/>
    <col min="1289" max="1536" width="8.09765625" style="129"/>
    <col min="1537" max="1537" width="10.59765625" style="129" bestFit="1" customWidth="1"/>
    <col min="1538" max="1538" width="14.5" style="129" bestFit="1" customWidth="1"/>
    <col min="1539" max="1539" width="10.59765625" style="129" bestFit="1" customWidth="1"/>
    <col min="1540" max="1540" width="8.796875" style="129" bestFit="1" customWidth="1"/>
    <col min="1541" max="1541" width="10.59765625" style="129" bestFit="1" customWidth="1"/>
    <col min="1542" max="1542" width="8.09765625" style="129"/>
    <col min="1543" max="1543" width="19.796875" style="129" bestFit="1" customWidth="1"/>
    <col min="1544" max="1544" width="8" style="129" customWidth="1"/>
    <col min="1545" max="1792" width="8.09765625" style="129"/>
    <col min="1793" max="1793" width="10.59765625" style="129" bestFit="1" customWidth="1"/>
    <col min="1794" max="1794" width="14.5" style="129" bestFit="1" customWidth="1"/>
    <col min="1795" max="1795" width="10.59765625" style="129" bestFit="1" customWidth="1"/>
    <col min="1796" max="1796" width="8.796875" style="129" bestFit="1" customWidth="1"/>
    <col min="1797" max="1797" width="10.59765625" style="129" bestFit="1" customWidth="1"/>
    <col min="1798" max="1798" width="8.09765625" style="129"/>
    <col min="1799" max="1799" width="19.796875" style="129" bestFit="1" customWidth="1"/>
    <col min="1800" max="1800" width="8" style="129" customWidth="1"/>
    <col min="1801" max="2048" width="8.09765625" style="129"/>
    <col min="2049" max="2049" width="10.59765625" style="129" bestFit="1" customWidth="1"/>
    <col min="2050" max="2050" width="14.5" style="129" bestFit="1" customWidth="1"/>
    <col min="2051" max="2051" width="10.59765625" style="129" bestFit="1" customWidth="1"/>
    <col min="2052" max="2052" width="8.796875" style="129" bestFit="1" customWidth="1"/>
    <col min="2053" max="2053" width="10.59765625" style="129" bestFit="1" customWidth="1"/>
    <col min="2054" max="2054" width="8.09765625" style="129"/>
    <col min="2055" max="2055" width="19.796875" style="129" bestFit="1" customWidth="1"/>
    <col min="2056" max="2056" width="8" style="129" customWidth="1"/>
    <col min="2057" max="2304" width="8.09765625" style="129"/>
    <col min="2305" max="2305" width="10.59765625" style="129" bestFit="1" customWidth="1"/>
    <col min="2306" max="2306" width="14.5" style="129" bestFit="1" customWidth="1"/>
    <col min="2307" max="2307" width="10.59765625" style="129" bestFit="1" customWidth="1"/>
    <col min="2308" max="2308" width="8.796875" style="129" bestFit="1" customWidth="1"/>
    <col min="2309" max="2309" width="10.59765625" style="129" bestFit="1" customWidth="1"/>
    <col min="2310" max="2310" width="8.09765625" style="129"/>
    <col min="2311" max="2311" width="19.796875" style="129" bestFit="1" customWidth="1"/>
    <col min="2312" max="2312" width="8" style="129" customWidth="1"/>
    <col min="2313" max="2560" width="8.09765625" style="129"/>
    <col min="2561" max="2561" width="10.59765625" style="129" bestFit="1" customWidth="1"/>
    <col min="2562" max="2562" width="14.5" style="129" bestFit="1" customWidth="1"/>
    <col min="2563" max="2563" width="10.59765625" style="129" bestFit="1" customWidth="1"/>
    <col min="2564" max="2564" width="8.796875" style="129" bestFit="1" customWidth="1"/>
    <col min="2565" max="2565" width="10.59765625" style="129" bestFit="1" customWidth="1"/>
    <col min="2566" max="2566" width="8.09765625" style="129"/>
    <col min="2567" max="2567" width="19.796875" style="129" bestFit="1" customWidth="1"/>
    <col min="2568" max="2568" width="8" style="129" customWidth="1"/>
    <col min="2569" max="2816" width="8.09765625" style="129"/>
    <col min="2817" max="2817" width="10.59765625" style="129" bestFit="1" customWidth="1"/>
    <col min="2818" max="2818" width="14.5" style="129" bestFit="1" customWidth="1"/>
    <col min="2819" max="2819" width="10.59765625" style="129" bestFit="1" customWidth="1"/>
    <col min="2820" max="2820" width="8.796875" style="129" bestFit="1" customWidth="1"/>
    <col min="2821" max="2821" width="10.59765625" style="129" bestFit="1" customWidth="1"/>
    <col min="2822" max="2822" width="8.09765625" style="129"/>
    <col min="2823" max="2823" width="19.796875" style="129" bestFit="1" customWidth="1"/>
    <col min="2824" max="2824" width="8" style="129" customWidth="1"/>
    <col min="2825" max="3072" width="8.09765625" style="129"/>
    <col min="3073" max="3073" width="10.59765625" style="129" bestFit="1" customWidth="1"/>
    <col min="3074" max="3074" width="14.5" style="129" bestFit="1" customWidth="1"/>
    <col min="3075" max="3075" width="10.59765625" style="129" bestFit="1" customWidth="1"/>
    <col min="3076" max="3076" width="8.796875" style="129" bestFit="1" customWidth="1"/>
    <col min="3077" max="3077" width="10.59765625" style="129" bestFit="1" customWidth="1"/>
    <col min="3078" max="3078" width="8.09765625" style="129"/>
    <col min="3079" max="3079" width="19.796875" style="129" bestFit="1" customWidth="1"/>
    <col min="3080" max="3080" width="8" style="129" customWidth="1"/>
    <col min="3081" max="3328" width="8.09765625" style="129"/>
    <col min="3329" max="3329" width="10.59765625" style="129" bestFit="1" customWidth="1"/>
    <col min="3330" max="3330" width="14.5" style="129" bestFit="1" customWidth="1"/>
    <col min="3331" max="3331" width="10.59765625" style="129" bestFit="1" customWidth="1"/>
    <col min="3332" max="3332" width="8.796875" style="129" bestFit="1" customWidth="1"/>
    <col min="3333" max="3333" width="10.59765625" style="129" bestFit="1" customWidth="1"/>
    <col min="3334" max="3334" width="8.09765625" style="129"/>
    <col min="3335" max="3335" width="19.796875" style="129" bestFit="1" customWidth="1"/>
    <col min="3336" max="3336" width="8" style="129" customWidth="1"/>
    <col min="3337" max="3584" width="8.09765625" style="129"/>
    <col min="3585" max="3585" width="10.59765625" style="129" bestFit="1" customWidth="1"/>
    <col min="3586" max="3586" width="14.5" style="129" bestFit="1" customWidth="1"/>
    <col min="3587" max="3587" width="10.59765625" style="129" bestFit="1" customWidth="1"/>
    <col min="3588" max="3588" width="8.796875" style="129" bestFit="1" customWidth="1"/>
    <col min="3589" max="3589" width="10.59765625" style="129" bestFit="1" customWidth="1"/>
    <col min="3590" max="3590" width="8.09765625" style="129"/>
    <col min="3591" max="3591" width="19.796875" style="129" bestFit="1" customWidth="1"/>
    <col min="3592" max="3592" width="8" style="129" customWidth="1"/>
    <col min="3593" max="3840" width="8.09765625" style="129"/>
    <col min="3841" max="3841" width="10.59765625" style="129" bestFit="1" customWidth="1"/>
    <col min="3842" max="3842" width="14.5" style="129" bestFit="1" customWidth="1"/>
    <col min="3843" max="3843" width="10.59765625" style="129" bestFit="1" customWidth="1"/>
    <col min="3844" max="3844" width="8.796875" style="129" bestFit="1" customWidth="1"/>
    <col min="3845" max="3845" width="10.59765625" style="129" bestFit="1" customWidth="1"/>
    <col min="3846" max="3846" width="8.09765625" style="129"/>
    <col min="3847" max="3847" width="19.796875" style="129" bestFit="1" customWidth="1"/>
    <col min="3848" max="3848" width="8" style="129" customWidth="1"/>
    <col min="3849" max="4096" width="8.09765625" style="129"/>
    <col min="4097" max="4097" width="10.59765625" style="129" bestFit="1" customWidth="1"/>
    <col min="4098" max="4098" width="14.5" style="129" bestFit="1" customWidth="1"/>
    <col min="4099" max="4099" width="10.59765625" style="129" bestFit="1" customWidth="1"/>
    <col min="4100" max="4100" width="8.796875" style="129" bestFit="1" customWidth="1"/>
    <col min="4101" max="4101" width="10.59765625" style="129" bestFit="1" customWidth="1"/>
    <col min="4102" max="4102" width="8.09765625" style="129"/>
    <col min="4103" max="4103" width="19.796875" style="129" bestFit="1" customWidth="1"/>
    <col min="4104" max="4104" width="8" style="129" customWidth="1"/>
    <col min="4105" max="4352" width="8.09765625" style="129"/>
    <col min="4353" max="4353" width="10.59765625" style="129" bestFit="1" customWidth="1"/>
    <col min="4354" max="4354" width="14.5" style="129" bestFit="1" customWidth="1"/>
    <col min="4355" max="4355" width="10.59765625" style="129" bestFit="1" customWidth="1"/>
    <col min="4356" max="4356" width="8.796875" style="129" bestFit="1" customWidth="1"/>
    <col min="4357" max="4357" width="10.59765625" style="129" bestFit="1" customWidth="1"/>
    <col min="4358" max="4358" width="8.09765625" style="129"/>
    <col min="4359" max="4359" width="19.796875" style="129" bestFit="1" customWidth="1"/>
    <col min="4360" max="4360" width="8" style="129" customWidth="1"/>
    <col min="4361" max="4608" width="8.09765625" style="129"/>
    <col min="4609" max="4609" width="10.59765625" style="129" bestFit="1" customWidth="1"/>
    <col min="4610" max="4610" width="14.5" style="129" bestFit="1" customWidth="1"/>
    <col min="4611" max="4611" width="10.59765625" style="129" bestFit="1" customWidth="1"/>
    <col min="4612" max="4612" width="8.796875" style="129" bestFit="1" customWidth="1"/>
    <col min="4613" max="4613" width="10.59765625" style="129" bestFit="1" customWidth="1"/>
    <col min="4614" max="4614" width="8.09765625" style="129"/>
    <col min="4615" max="4615" width="19.796875" style="129" bestFit="1" customWidth="1"/>
    <col min="4616" max="4616" width="8" style="129" customWidth="1"/>
    <col min="4617" max="4864" width="8.09765625" style="129"/>
    <col min="4865" max="4865" width="10.59765625" style="129" bestFit="1" customWidth="1"/>
    <col min="4866" max="4866" width="14.5" style="129" bestFit="1" customWidth="1"/>
    <col min="4867" max="4867" width="10.59765625" style="129" bestFit="1" customWidth="1"/>
    <col min="4868" max="4868" width="8.796875" style="129" bestFit="1" customWidth="1"/>
    <col min="4869" max="4869" width="10.59765625" style="129" bestFit="1" customWidth="1"/>
    <col min="4870" max="4870" width="8.09765625" style="129"/>
    <col min="4871" max="4871" width="19.796875" style="129" bestFit="1" customWidth="1"/>
    <col min="4872" max="4872" width="8" style="129" customWidth="1"/>
    <col min="4873" max="5120" width="8.09765625" style="129"/>
    <col min="5121" max="5121" width="10.59765625" style="129" bestFit="1" customWidth="1"/>
    <col min="5122" max="5122" width="14.5" style="129" bestFit="1" customWidth="1"/>
    <col min="5123" max="5123" width="10.59765625" style="129" bestFit="1" customWidth="1"/>
    <col min="5124" max="5124" width="8.796875" style="129" bestFit="1" customWidth="1"/>
    <col min="5125" max="5125" width="10.59765625" style="129" bestFit="1" customWidth="1"/>
    <col min="5126" max="5126" width="8.09765625" style="129"/>
    <col min="5127" max="5127" width="19.796875" style="129" bestFit="1" customWidth="1"/>
    <col min="5128" max="5128" width="8" style="129" customWidth="1"/>
    <col min="5129" max="5376" width="8.09765625" style="129"/>
    <col min="5377" max="5377" width="10.59765625" style="129" bestFit="1" customWidth="1"/>
    <col min="5378" max="5378" width="14.5" style="129" bestFit="1" customWidth="1"/>
    <col min="5379" max="5379" width="10.59765625" style="129" bestFit="1" customWidth="1"/>
    <col min="5380" max="5380" width="8.796875" style="129" bestFit="1" customWidth="1"/>
    <col min="5381" max="5381" width="10.59765625" style="129" bestFit="1" customWidth="1"/>
    <col min="5382" max="5382" width="8.09765625" style="129"/>
    <col min="5383" max="5383" width="19.796875" style="129" bestFit="1" customWidth="1"/>
    <col min="5384" max="5384" width="8" style="129" customWidth="1"/>
    <col min="5385" max="5632" width="8.09765625" style="129"/>
    <col min="5633" max="5633" width="10.59765625" style="129" bestFit="1" customWidth="1"/>
    <col min="5634" max="5634" width="14.5" style="129" bestFit="1" customWidth="1"/>
    <col min="5635" max="5635" width="10.59765625" style="129" bestFit="1" customWidth="1"/>
    <col min="5636" max="5636" width="8.796875" style="129" bestFit="1" customWidth="1"/>
    <col min="5637" max="5637" width="10.59765625" style="129" bestFit="1" customWidth="1"/>
    <col min="5638" max="5638" width="8.09765625" style="129"/>
    <col min="5639" max="5639" width="19.796875" style="129" bestFit="1" customWidth="1"/>
    <col min="5640" max="5640" width="8" style="129" customWidth="1"/>
    <col min="5641" max="5888" width="8.09765625" style="129"/>
    <col min="5889" max="5889" width="10.59765625" style="129" bestFit="1" customWidth="1"/>
    <col min="5890" max="5890" width="14.5" style="129" bestFit="1" customWidth="1"/>
    <col min="5891" max="5891" width="10.59765625" style="129" bestFit="1" customWidth="1"/>
    <col min="5892" max="5892" width="8.796875" style="129" bestFit="1" customWidth="1"/>
    <col min="5893" max="5893" width="10.59765625" style="129" bestFit="1" customWidth="1"/>
    <col min="5894" max="5894" width="8.09765625" style="129"/>
    <col min="5895" max="5895" width="19.796875" style="129" bestFit="1" customWidth="1"/>
    <col min="5896" max="5896" width="8" style="129" customWidth="1"/>
    <col min="5897" max="6144" width="8.09765625" style="129"/>
    <col min="6145" max="6145" width="10.59765625" style="129" bestFit="1" customWidth="1"/>
    <col min="6146" max="6146" width="14.5" style="129" bestFit="1" customWidth="1"/>
    <col min="6147" max="6147" width="10.59765625" style="129" bestFit="1" customWidth="1"/>
    <col min="6148" max="6148" width="8.796875" style="129" bestFit="1" customWidth="1"/>
    <col min="6149" max="6149" width="10.59765625" style="129" bestFit="1" customWidth="1"/>
    <col min="6150" max="6150" width="8.09765625" style="129"/>
    <col min="6151" max="6151" width="19.796875" style="129" bestFit="1" customWidth="1"/>
    <col min="6152" max="6152" width="8" style="129" customWidth="1"/>
    <col min="6153" max="6400" width="8.09765625" style="129"/>
    <col min="6401" max="6401" width="10.59765625" style="129" bestFit="1" customWidth="1"/>
    <col min="6402" max="6402" width="14.5" style="129" bestFit="1" customWidth="1"/>
    <col min="6403" max="6403" width="10.59765625" style="129" bestFit="1" customWidth="1"/>
    <col min="6404" max="6404" width="8.796875" style="129" bestFit="1" customWidth="1"/>
    <col min="6405" max="6405" width="10.59765625" style="129" bestFit="1" customWidth="1"/>
    <col min="6406" max="6406" width="8.09765625" style="129"/>
    <col min="6407" max="6407" width="19.796875" style="129" bestFit="1" customWidth="1"/>
    <col min="6408" max="6408" width="8" style="129" customWidth="1"/>
    <col min="6409" max="6656" width="8.09765625" style="129"/>
    <col min="6657" max="6657" width="10.59765625" style="129" bestFit="1" customWidth="1"/>
    <col min="6658" max="6658" width="14.5" style="129" bestFit="1" customWidth="1"/>
    <col min="6659" max="6659" width="10.59765625" style="129" bestFit="1" customWidth="1"/>
    <col min="6660" max="6660" width="8.796875" style="129" bestFit="1" customWidth="1"/>
    <col min="6661" max="6661" width="10.59765625" style="129" bestFit="1" customWidth="1"/>
    <col min="6662" max="6662" width="8.09765625" style="129"/>
    <col min="6663" max="6663" width="19.796875" style="129" bestFit="1" customWidth="1"/>
    <col min="6664" max="6664" width="8" style="129" customWidth="1"/>
    <col min="6665" max="6912" width="8.09765625" style="129"/>
    <col min="6913" max="6913" width="10.59765625" style="129" bestFit="1" customWidth="1"/>
    <col min="6914" max="6914" width="14.5" style="129" bestFit="1" customWidth="1"/>
    <col min="6915" max="6915" width="10.59765625" style="129" bestFit="1" customWidth="1"/>
    <col min="6916" max="6916" width="8.796875" style="129" bestFit="1" customWidth="1"/>
    <col min="6917" max="6917" width="10.59765625" style="129" bestFit="1" customWidth="1"/>
    <col min="6918" max="6918" width="8.09765625" style="129"/>
    <col min="6919" max="6919" width="19.796875" style="129" bestFit="1" customWidth="1"/>
    <col min="6920" max="6920" width="8" style="129" customWidth="1"/>
    <col min="6921" max="7168" width="8.09765625" style="129"/>
    <col min="7169" max="7169" width="10.59765625" style="129" bestFit="1" customWidth="1"/>
    <col min="7170" max="7170" width="14.5" style="129" bestFit="1" customWidth="1"/>
    <col min="7171" max="7171" width="10.59765625" style="129" bestFit="1" customWidth="1"/>
    <col min="7172" max="7172" width="8.796875" style="129" bestFit="1" customWidth="1"/>
    <col min="7173" max="7173" width="10.59765625" style="129" bestFit="1" customWidth="1"/>
    <col min="7174" max="7174" width="8.09765625" style="129"/>
    <col min="7175" max="7175" width="19.796875" style="129" bestFit="1" customWidth="1"/>
    <col min="7176" max="7176" width="8" style="129" customWidth="1"/>
    <col min="7177" max="7424" width="8.09765625" style="129"/>
    <col min="7425" max="7425" width="10.59765625" style="129" bestFit="1" customWidth="1"/>
    <col min="7426" max="7426" width="14.5" style="129" bestFit="1" customWidth="1"/>
    <col min="7427" max="7427" width="10.59765625" style="129" bestFit="1" customWidth="1"/>
    <col min="7428" max="7428" width="8.796875" style="129" bestFit="1" customWidth="1"/>
    <col min="7429" max="7429" width="10.59765625" style="129" bestFit="1" customWidth="1"/>
    <col min="7430" max="7430" width="8.09765625" style="129"/>
    <col min="7431" max="7431" width="19.796875" style="129" bestFit="1" customWidth="1"/>
    <col min="7432" max="7432" width="8" style="129" customWidth="1"/>
    <col min="7433" max="7680" width="8.09765625" style="129"/>
    <col min="7681" max="7681" width="10.59765625" style="129" bestFit="1" customWidth="1"/>
    <col min="7682" max="7682" width="14.5" style="129" bestFit="1" customWidth="1"/>
    <col min="7683" max="7683" width="10.59765625" style="129" bestFit="1" customWidth="1"/>
    <col min="7684" max="7684" width="8.796875" style="129" bestFit="1" customWidth="1"/>
    <col min="7685" max="7685" width="10.59765625" style="129" bestFit="1" customWidth="1"/>
    <col min="7686" max="7686" width="8.09765625" style="129"/>
    <col min="7687" max="7687" width="19.796875" style="129" bestFit="1" customWidth="1"/>
    <col min="7688" max="7688" width="8" style="129" customWidth="1"/>
    <col min="7689" max="7936" width="8.09765625" style="129"/>
    <col min="7937" max="7937" width="10.59765625" style="129" bestFit="1" customWidth="1"/>
    <col min="7938" max="7938" width="14.5" style="129" bestFit="1" customWidth="1"/>
    <col min="7939" max="7939" width="10.59765625" style="129" bestFit="1" customWidth="1"/>
    <col min="7940" max="7940" width="8.796875" style="129" bestFit="1" customWidth="1"/>
    <col min="7941" max="7941" width="10.59765625" style="129" bestFit="1" customWidth="1"/>
    <col min="7942" max="7942" width="8.09765625" style="129"/>
    <col min="7943" max="7943" width="19.796875" style="129" bestFit="1" customWidth="1"/>
    <col min="7944" max="7944" width="8" style="129" customWidth="1"/>
    <col min="7945" max="8192" width="8.09765625" style="129"/>
    <col min="8193" max="8193" width="10.59765625" style="129" bestFit="1" customWidth="1"/>
    <col min="8194" max="8194" width="14.5" style="129" bestFit="1" customWidth="1"/>
    <col min="8195" max="8195" width="10.59765625" style="129" bestFit="1" customWidth="1"/>
    <col min="8196" max="8196" width="8.796875" style="129" bestFit="1" customWidth="1"/>
    <col min="8197" max="8197" width="10.59765625" style="129" bestFit="1" customWidth="1"/>
    <col min="8198" max="8198" width="8.09765625" style="129"/>
    <col min="8199" max="8199" width="19.796875" style="129" bestFit="1" customWidth="1"/>
    <col min="8200" max="8200" width="8" style="129" customWidth="1"/>
    <col min="8201" max="8448" width="8.09765625" style="129"/>
    <col min="8449" max="8449" width="10.59765625" style="129" bestFit="1" customWidth="1"/>
    <col min="8450" max="8450" width="14.5" style="129" bestFit="1" customWidth="1"/>
    <col min="8451" max="8451" width="10.59765625" style="129" bestFit="1" customWidth="1"/>
    <col min="8452" max="8452" width="8.796875" style="129" bestFit="1" customWidth="1"/>
    <col min="8453" max="8453" width="10.59765625" style="129" bestFit="1" customWidth="1"/>
    <col min="8454" max="8454" width="8.09765625" style="129"/>
    <col min="8455" max="8455" width="19.796875" style="129" bestFit="1" customWidth="1"/>
    <col min="8456" max="8456" width="8" style="129" customWidth="1"/>
    <col min="8457" max="8704" width="8.09765625" style="129"/>
    <col min="8705" max="8705" width="10.59765625" style="129" bestFit="1" customWidth="1"/>
    <col min="8706" max="8706" width="14.5" style="129" bestFit="1" customWidth="1"/>
    <col min="8707" max="8707" width="10.59765625" style="129" bestFit="1" customWidth="1"/>
    <col min="8708" max="8708" width="8.796875" style="129" bestFit="1" customWidth="1"/>
    <col min="8709" max="8709" width="10.59765625" style="129" bestFit="1" customWidth="1"/>
    <col min="8710" max="8710" width="8.09765625" style="129"/>
    <col min="8711" max="8711" width="19.796875" style="129" bestFit="1" customWidth="1"/>
    <col min="8712" max="8712" width="8" style="129" customWidth="1"/>
    <col min="8713" max="8960" width="8.09765625" style="129"/>
    <col min="8961" max="8961" width="10.59765625" style="129" bestFit="1" customWidth="1"/>
    <col min="8962" max="8962" width="14.5" style="129" bestFit="1" customWidth="1"/>
    <col min="8963" max="8963" width="10.59765625" style="129" bestFit="1" customWidth="1"/>
    <col min="8964" max="8964" width="8.796875" style="129" bestFit="1" customWidth="1"/>
    <col min="8965" max="8965" width="10.59765625" style="129" bestFit="1" customWidth="1"/>
    <col min="8966" max="8966" width="8.09765625" style="129"/>
    <col min="8967" max="8967" width="19.796875" style="129" bestFit="1" customWidth="1"/>
    <col min="8968" max="8968" width="8" style="129" customWidth="1"/>
    <col min="8969" max="9216" width="8.09765625" style="129"/>
    <col min="9217" max="9217" width="10.59765625" style="129" bestFit="1" customWidth="1"/>
    <col min="9218" max="9218" width="14.5" style="129" bestFit="1" customWidth="1"/>
    <col min="9219" max="9219" width="10.59765625" style="129" bestFit="1" customWidth="1"/>
    <col min="9220" max="9220" width="8.796875" style="129" bestFit="1" customWidth="1"/>
    <col min="9221" max="9221" width="10.59765625" style="129" bestFit="1" customWidth="1"/>
    <col min="9222" max="9222" width="8.09765625" style="129"/>
    <col min="9223" max="9223" width="19.796875" style="129" bestFit="1" customWidth="1"/>
    <col min="9224" max="9224" width="8" style="129" customWidth="1"/>
    <col min="9225" max="9472" width="8.09765625" style="129"/>
    <col min="9473" max="9473" width="10.59765625" style="129" bestFit="1" customWidth="1"/>
    <col min="9474" max="9474" width="14.5" style="129" bestFit="1" customWidth="1"/>
    <col min="9475" max="9475" width="10.59765625" style="129" bestFit="1" customWidth="1"/>
    <col min="9476" max="9476" width="8.796875" style="129" bestFit="1" customWidth="1"/>
    <col min="9477" max="9477" width="10.59765625" style="129" bestFit="1" customWidth="1"/>
    <col min="9478" max="9478" width="8.09765625" style="129"/>
    <col min="9479" max="9479" width="19.796875" style="129" bestFit="1" customWidth="1"/>
    <col min="9480" max="9480" width="8" style="129" customWidth="1"/>
    <col min="9481" max="9728" width="8.09765625" style="129"/>
    <col min="9729" max="9729" width="10.59765625" style="129" bestFit="1" customWidth="1"/>
    <col min="9730" max="9730" width="14.5" style="129" bestFit="1" customWidth="1"/>
    <col min="9731" max="9731" width="10.59765625" style="129" bestFit="1" customWidth="1"/>
    <col min="9732" max="9732" width="8.796875" style="129" bestFit="1" customWidth="1"/>
    <col min="9733" max="9733" width="10.59765625" style="129" bestFit="1" customWidth="1"/>
    <col min="9734" max="9734" width="8.09765625" style="129"/>
    <col min="9735" max="9735" width="19.796875" style="129" bestFit="1" customWidth="1"/>
    <col min="9736" max="9736" width="8" style="129" customWidth="1"/>
    <col min="9737" max="9984" width="8.09765625" style="129"/>
    <col min="9985" max="9985" width="10.59765625" style="129" bestFit="1" customWidth="1"/>
    <col min="9986" max="9986" width="14.5" style="129" bestFit="1" customWidth="1"/>
    <col min="9987" max="9987" width="10.59765625" style="129" bestFit="1" customWidth="1"/>
    <col min="9988" max="9988" width="8.796875" style="129" bestFit="1" customWidth="1"/>
    <col min="9989" max="9989" width="10.59765625" style="129" bestFit="1" customWidth="1"/>
    <col min="9990" max="9990" width="8.09765625" style="129"/>
    <col min="9991" max="9991" width="19.796875" style="129" bestFit="1" customWidth="1"/>
    <col min="9992" max="9992" width="8" style="129" customWidth="1"/>
    <col min="9993" max="10240" width="8.09765625" style="129"/>
    <col min="10241" max="10241" width="10.59765625" style="129" bestFit="1" customWidth="1"/>
    <col min="10242" max="10242" width="14.5" style="129" bestFit="1" customWidth="1"/>
    <col min="10243" max="10243" width="10.59765625" style="129" bestFit="1" customWidth="1"/>
    <col min="10244" max="10244" width="8.796875" style="129" bestFit="1" customWidth="1"/>
    <col min="10245" max="10245" width="10.59765625" style="129" bestFit="1" customWidth="1"/>
    <col min="10246" max="10246" width="8.09765625" style="129"/>
    <col min="10247" max="10247" width="19.796875" style="129" bestFit="1" customWidth="1"/>
    <col min="10248" max="10248" width="8" style="129" customWidth="1"/>
    <col min="10249" max="10496" width="8.09765625" style="129"/>
    <col min="10497" max="10497" width="10.59765625" style="129" bestFit="1" customWidth="1"/>
    <col min="10498" max="10498" width="14.5" style="129" bestFit="1" customWidth="1"/>
    <col min="10499" max="10499" width="10.59765625" style="129" bestFit="1" customWidth="1"/>
    <col min="10500" max="10500" width="8.796875" style="129" bestFit="1" customWidth="1"/>
    <col min="10501" max="10501" width="10.59765625" style="129" bestFit="1" customWidth="1"/>
    <col min="10502" max="10502" width="8.09765625" style="129"/>
    <col min="10503" max="10503" width="19.796875" style="129" bestFit="1" customWidth="1"/>
    <col min="10504" max="10504" width="8" style="129" customWidth="1"/>
    <col min="10505" max="10752" width="8.09765625" style="129"/>
    <col min="10753" max="10753" width="10.59765625" style="129" bestFit="1" customWidth="1"/>
    <col min="10754" max="10754" width="14.5" style="129" bestFit="1" customWidth="1"/>
    <col min="10755" max="10755" width="10.59765625" style="129" bestFit="1" customWidth="1"/>
    <col min="10756" max="10756" width="8.796875" style="129" bestFit="1" customWidth="1"/>
    <col min="10757" max="10757" width="10.59765625" style="129" bestFit="1" customWidth="1"/>
    <col min="10758" max="10758" width="8.09765625" style="129"/>
    <col min="10759" max="10759" width="19.796875" style="129" bestFit="1" customWidth="1"/>
    <col min="10760" max="10760" width="8" style="129" customWidth="1"/>
    <col min="10761" max="11008" width="8.09765625" style="129"/>
    <col min="11009" max="11009" width="10.59765625" style="129" bestFit="1" customWidth="1"/>
    <col min="11010" max="11010" width="14.5" style="129" bestFit="1" customWidth="1"/>
    <col min="11011" max="11011" width="10.59765625" style="129" bestFit="1" customWidth="1"/>
    <col min="11012" max="11012" width="8.796875" style="129" bestFit="1" customWidth="1"/>
    <col min="11013" max="11013" width="10.59765625" style="129" bestFit="1" customWidth="1"/>
    <col min="11014" max="11014" width="8.09765625" style="129"/>
    <col min="11015" max="11015" width="19.796875" style="129" bestFit="1" customWidth="1"/>
    <col min="11016" max="11016" width="8" style="129" customWidth="1"/>
    <col min="11017" max="11264" width="8.09765625" style="129"/>
    <col min="11265" max="11265" width="10.59765625" style="129" bestFit="1" customWidth="1"/>
    <col min="11266" max="11266" width="14.5" style="129" bestFit="1" customWidth="1"/>
    <col min="11267" max="11267" width="10.59765625" style="129" bestFit="1" customWidth="1"/>
    <col min="11268" max="11268" width="8.796875" style="129" bestFit="1" customWidth="1"/>
    <col min="11269" max="11269" width="10.59765625" style="129" bestFit="1" customWidth="1"/>
    <col min="11270" max="11270" width="8.09765625" style="129"/>
    <col min="11271" max="11271" width="19.796875" style="129" bestFit="1" customWidth="1"/>
    <col min="11272" max="11272" width="8" style="129" customWidth="1"/>
    <col min="11273" max="11520" width="8.09765625" style="129"/>
    <col min="11521" max="11521" width="10.59765625" style="129" bestFit="1" customWidth="1"/>
    <col min="11522" max="11522" width="14.5" style="129" bestFit="1" customWidth="1"/>
    <col min="11523" max="11523" width="10.59765625" style="129" bestFit="1" customWidth="1"/>
    <col min="11524" max="11524" width="8.796875" style="129" bestFit="1" customWidth="1"/>
    <col min="11525" max="11525" width="10.59765625" style="129" bestFit="1" customWidth="1"/>
    <col min="11526" max="11526" width="8.09765625" style="129"/>
    <col min="11527" max="11527" width="19.796875" style="129" bestFit="1" customWidth="1"/>
    <col min="11528" max="11528" width="8" style="129" customWidth="1"/>
    <col min="11529" max="11776" width="8.09765625" style="129"/>
    <col min="11777" max="11777" width="10.59765625" style="129" bestFit="1" customWidth="1"/>
    <col min="11778" max="11778" width="14.5" style="129" bestFit="1" customWidth="1"/>
    <col min="11779" max="11779" width="10.59765625" style="129" bestFit="1" customWidth="1"/>
    <col min="11780" max="11780" width="8.796875" style="129" bestFit="1" customWidth="1"/>
    <col min="11781" max="11781" width="10.59765625" style="129" bestFit="1" customWidth="1"/>
    <col min="11782" max="11782" width="8.09765625" style="129"/>
    <col min="11783" max="11783" width="19.796875" style="129" bestFit="1" customWidth="1"/>
    <col min="11784" max="11784" width="8" style="129" customWidth="1"/>
    <col min="11785" max="12032" width="8.09765625" style="129"/>
    <col min="12033" max="12033" width="10.59765625" style="129" bestFit="1" customWidth="1"/>
    <col min="12034" max="12034" width="14.5" style="129" bestFit="1" customWidth="1"/>
    <col min="12035" max="12035" width="10.59765625" style="129" bestFit="1" customWidth="1"/>
    <col min="12036" max="12036" width="8.796875" style="129" bestFit="1" customWidth="1"/>
    <col min="12037" max="12037" width="10.59765625" style="129" bestFit="1" customWidth="1"/>
    <col min="12038" max="12038" width="8.09765625" style="129"/>
    <col min="12039" max="12039" width="19.796875" style="129" bestFit="1" customWidth="1"/>
    <col min="12040" max="12040" width="8" style="129" customWidth="1"/>
    <col min="12041" max="12288" width="8.09765625" style="129"/>
    <col min="12289" max="12289" width="10.59765625" style="129" bestFit="1" customWidth="1"/>
    <col min="12290" max="12290" width="14.5" style="129" bestFit="1" customWidth="1"/>
    <col min="12291" max="12291" width="10.59765625" style="129" bestFit="1" customWidth="1"/>
    <col min="12292" max="12292" width="8.796875" style="129" bestFit="1" customWidth="1"/>
    <col min="12293" max="12293" width="10.59765625" style="129" bestFit="1" customWidth="1"/>
    <col min="12294" max="12294" width="8.09765625" style="129"/>
    <col min="12295" max="12295" width="19.796875" style="129" bestFit="1" customWidth="1"/>
    <col min="12296" max="12296" width="8" style="129" customWidth="1"/>
    <col min="12297" max="12544" width="8.09765625" style="129"/>
    <col min="12545" max="12545" width="10.59765625" style="129" bestFit="1" customWidth="1"/>
    <col min="12546" max="12546" width="14.5" style="129" bestFit="1" customWidth="1"/>
    <col min="12547" max="12547" width="10.59765625" style="129" bestFit="1" customWidth="1"/>
    <col min="12548" max="12548" width="8.796875" style="129" bestFit="1" customWidth="1"/>
    <col min="12549" max="12549" width="10.59765625" style="129" bestFit="1" customWidth="1"/>
    <col min="12550" max="12550" width="8.09765625" style="129"/>
    <col min="12551" max="12551" width="19.796875" style="129" bestFit="1" customWidth="1"/>
    <col min="12552" max="12552" width="8" style="129" customWidth="1"/>
    <col min="12553" max="12800" width="8.09765625" style="129"/>
    <col min="12801" max="12801" width="10.59765625" style="129" bestFit="1" customWidth="1"/>
    <col min="12802" max="12802" width="14.5" style="129" bestFit="1" customWidth="1"/>
    <col min="12803" max="12803" width="10.59765625" style="129" bestFit="1" customWidth="1"/>
    <col min="12804" max="12804" width="8.796875" style="129" bestFit="1" customWidth="1"/>
    <col min="12805" max="12805" width="10.59765625" style="129" bestFit="1" customWidth="1"/>
    <col min="12806" max="12806" width="8.09765625" style="129"/>
    <col min="12807" max="12807" width="19.796875" style="129" bestFit="1" customWidth="1"/>
    <col min="12808" max="12808" width="8" style="129" customWidth="1"/>
    <col min="12809" max="13056" width="8.09765625" style="129"/>
    <col min="13057" max="13057" width="10.59765625" style="129" bestFit="1" customWidth="1"/>
    <col min="13058" max="13058" width="14.5" style="129" bestFit="1" customWidth="1"/>
    <col min="13059" max="13059" width="10.59765625" style="129" bestFit="1" customWidth="1"/>
    <col min="13060" max="13060" width="8.796875" style="129" bestFit="1" customWidth="1"/>
    <col min="13061" max="13061" width="10.59765625" style="129" bestFit="1" customWidth="1"/>
    <col min="13062" max="13062" width="8.09765625" style="129"/>
    <col min="13063" max="13063" width="19.796875" style="129" bestFit="1" customWidth="1"/>
    <col min="13064" max="13064" width="8" style="129" customWidth="1"/>
    <col min="13065" max="13312" width="8.09765625" style="129"/>
    <col min="13313" max="13313" width="10.59765625" style="129" bestFit="1" customWidth="1"/>
    <col min="13314" max="13314" width="14.5" style="129" bestFit="1" customWidth="1"/>
    <col min="13315" max="13315" width="10.59765625" style="129" bestFit="1" customWidth="1"/>
    <col min="13316" max="13316" width="8.796875" style="129" bestFit="1" customWidth="1"/>
    <col min="13317" max="13317" width="10.59765625" style="129" bestFit="1" customWidth="1"/>
    <col min="13318" max="13318" width="8.09765625" style="129"/>
    <col min="13319" max="13319" width="19.796875" style="129" bestFit="1" customWidth="1"/>
    <col min="13320" max="13320" width="8" style="129" customWidth="1"/>
    <col min="13321" max="13568" width="8.09765625" style="129"/>
    <col min="13569" max="13569" width="10.59765625" style="129" bestFit="1" customWidth="1"/>
    <col min="13570" max="13570" width="14.5" style="129" bestFit="1" customWidth="1"/>
    <col min="13571" max="13571" width="10.59765625" style="129" bestFit="1" customWidth="1"/>
    <col min="13572" max="13572" width="8.796875" style="129" bestFit="1" customWidth="1"/>
    <col min="13573" max="13573" width="10.59765625" style="129" bestFit="1" customWidth="1"/>
    <col min="13574" max="13574" width="8.09765625" style="129"/>
    <col min="13575" max="13575" width="19.796875" style="129" bestFit="1" customWidth="1"/>
    <col min="13576" max="13576" width="8" style="129" customWidth="1"/>
    <col min="13577" max="13824" width="8.09765625" style="129"/>
    <col min="13825" max="13825" width="10.59765625" style="129" bestFit="1" customWidth="1"/>
    <col min="13826" max="13826" width="14.5" style="129" bestFit="1" customWidth="1"/>
    <col min="13827" max="13827" width="10.59765625" style="129" bestFit="1" customWidth="1"/>
    <col min="13828" max="13828" width="8.796875" style="129" bestFit="1" customWidth="1"/>
    <col min="13829" max="13829" width="10.59765625" style="129" bestFit="1" customWidth="1"/>
    <col min="13830" max="13830" width="8.09765625" style="129"/>
    <col min="13831" max="13831" width="19.796875" style="129" bestFit="1" customWidth="1"/>
    <col min="13832" max="13832" width="8" style="129" customWidth="1"/>
    <col min="13833" max="14080" width="8.09765625" style="129"/>
    <col min="14081" max="14081" width="10.59765625" style="129" bestFit="1" customWidth="1"/>
    <col min="14082" max="14082" width="14.5" style="129" bestFit="1" customWidth="1"/>
    <col min="14083" max="14083" width="10.59765625" style="129" bestFit="1" customWidth="1"/>
    <col min="14084" max="14084" width="8.796875" style="129" bestFit="1" customWidth="1"/>
    <col min="14085" max="14085" width="10.59765625" style="129" bestFit="1" customWidth="1"/>
    <col min="14086" max="14086" width="8.09765625" style="129"/>
    <col min="14087" max="14087" width="19.796875" style="129" bestFit="1" customWidth="1"/>
    <col min="14088" max="14088" width="8" style="129" customWidth="1"/>
    <col min="14089" max="14336" width="8.09765625" style="129"/>
    <col min="14337" max="14337" width="10.59765625" style="129" bestFit="1" customWidth="1"/>
    <col min="14338" max="14338" width="14.5" style="129" bestFit="1" customWidth="1"/>
    <col min="14339" max="14339" width="10.59765625" style="129" bestFit="1" customWidth="1"/>
    <col min="14340" max="14340" width="8.796875" style="129" bestFit="1" customWidth="1"/>
    <col min="14341" max="14341" width="10.59765625" style="129" bestFit="1" customWidth="1"/>
    <col min="14342" max="14342" width="8.09765625" style="129"/>
    <col min="14343" max="14343" width="19.796875" style="129" bestFit="1" customWidth="1"/>
    <col min="14344" max="14344" width="8" style="129" customWidth="1"/>
    <col min="14345" max="14592" width="8.09765625" style="129"/>
    <col min="14593" max="14593" width="10.59765625" style="129" bestFit="1" customWidth="1"/>
    <col min="14594" max="14594" width="14.5" style="129" bestFit="1" customWidth="1"/>
    <col min="14595" max="14595" width="10.59765625" style="129" bestFit="1" customWidth="1"/>
    <col min="14596" max="14596" width="8.796875" style="129" bestFit="1" customWidth="1"/>
    <col min="14597" max="14597" width="10.59765625" style="129" bestFit="1" customWidth="1"/>
    <col min="14598" max="14598" width="8.09765625" style="129"/>
    <col min="14599" max="14599" width="19.796875" style="129" bestFit="1" customWidth="1"/>
    <col min="14600" max="14600" width="8" style="129" customWidth="1"/>
    <col min="14601" max="14848" width="8.09765625" style="129"/>
    <col min="14849" max="14849" width="10.59765625" style="129" bestFit="1" customWidth="1"/>
    <col min="14850" max="14850" width="14.5" style="129" bestFit="1" customWidth="1"/>
    <col min="14851" max="14851" width="10.59765625" style="129" bestFit="1" customWidth="1"/>
    <col min="14852" max="14852" width="8.796875" style="129" bestFit="1" customWidth="1"/>
    <col min="14853" max="14853" width="10.59765625" style="129" bestFit="1" customWidth="1"/>
    <col min="14854" max="14854" width="8.09765625" style="129"/>
    <col min="14855" max="14855" width="19.796875" style="129" bestFit="1" customWidth="1"/>
    <col min="14856" max="14856" width="8" style="129" customWidth="1"/>
    <col min="14857" max="15104" width="8.09765625" style="129"/>
    <col min="15105" max="15105" width="10.59765625" style="129" bestFit="1" customWidth="1"/>
    <col min="15106" max="15106" width="14.5" style="129" bestFit="1" customWidth="1"/>
    <col min="15107" max="15107" width="10.59765625" style="129" bestFit="1" customWidth="1"/>
    <col min="15108" max="15108" width="8.796875" style="129" bestFit="1" customWidth="1"/>
    <col min="15109" max="15109" width="10.59765625" style="129" bestFit="1" customWidth="1"/>
    <col min="15110" max="15110" width="8.09765625" style="129"/>
    <col min="15111" max="15111" width="19.796875" style="129" bestFit="1" customWidth="1"/>
    <col min="15112" max="15112" width="8" style="129" customWidth="1"/>
    <col min="15113" max="15360" width="8.09765625" style="129"/>
    <col min="15361" max="15361" width="10.59765625" style="129" bestFit="1" customWidth="1"/>
    <col min="15362" max="15362" width="14.5" style="129" bestFit="1" customWidth="1"/>
    <col min="15363" max="15363" width="10.59765625" style="129" bestFit="1" customWidth="1"/>
    <col min="15364" max="15364" width="8.796875" style="129" bestFit="1" customWidth="1"/>
    <col min="15365" max="15365" width="10.59765625" style="129" bestFit="1" customWidth="1"/>
    <col min="15366" max="15366" width="8.09765625" style="129"/>
    <col min="15367" max="15367" width="19.796875" style="129" bestFit="1" customWidth="1"/>
    <col min="15368" max="15368" width="8" style="129" customWidth="1"/>
    <col min="15369" max="15616" width="8.09765625" style="129"/>
    <col min="15617" max="15617" width="10.59765625" style="129" bestFit="1" customWidth="1"/>
    <col min="15618" max="15618" width="14.5" style="129" bestFit="1" customWidth="1"/>
    <col min="15619" max="15619" width="10.59765625" style="129" bestFit="1" customWidth="1"/>
    <col min="15620" max="15620" width="8.796875" style="129" bestFit="1" customWidth="1"/>
    <col min="15621" max="15621" width="10.59765625" style="129" bestFit="1" customWidth="1"/>
    <col min="15622" max="15622" width="8.09765625" style="129"/>
    <col min="15623" max="15623" width="19.796875" style="129" bestFit="1" customWidth="1"/>
    <col min="15624" max="15624" width="8" style="129" customWidth="1"/>
    <col min="15625" max="15872" width="8.09765625" style="129"/>
    <col min="15873" max="15873" width="10.59765625" style="129" bestFit="1" customWidth="1"/>
    <col min="15874" max="15874" width="14.5" style="129" bestFit="1" customWidth="1"/>
    <col min="15875" max="15875" width="10.59765625" style="129" bestFit="1" customWidth="1"/>
    <col min="15876" max="15876" width="8.796875" style="129" bestFit="1" customWidth="1"/>
    <col min="15877" max="15877" width="10.59765625" style="129" bestFit="1" customWidth="1"/>
    <col min="15878" max="15878" width="8.09765625" style="129"/>
    <col min="15879" max="15879" width="19.796875" style="129" bestFit="1" customWidth="1"/>
    <col min="15880" max="15880" width="8" style="129" customWidth="1"/>
    <col min="15881" max="16128" width="8.09765625" style="129"/>
    <col min="16129" max="16129" width="10.59765625" style="129" bestFit="1" customWidth="1"/>
    <col min="16130" max="16130" width="14.5" style="129" bestFit="1" customWidth="1"/>
    <col min="16131" max="16131" width="10.59765625" style="129" bestFit="1" customWidth="1"/>
    <col min="16132" max="16132" width="8.796875" style="129" bestFit="1" customWidth="1"/>
    <col min="16133" max="16133" width="10.59765625" style="129" bestFit="1" customWidth="1"/>
    <col min="16134" max="16134" width="8.09765625" style="129"/>
    <col min="16135" max="16135" width="19.796875" style="129" bestFit="1" customWidth="1"/>
    <col min="16136" max="16136" width="8" style="129" customWidth="1"/>
    <col min="16137" max="16384" width="8.09765625" style="129"/>
  </cols>
  <sheetData>
    <row r="1" spans="1:8" ht="36" x14ac:dyDescent="0.45">
      <c r="A1" s="126" t="s">
        <v>96</v>
      </c>
      <c r="B1" s="127" t="s">
        <v>97</v>
      </c>
      <c r="C1" s="127" t="s">
        <v>98</v>
      </c>
      <c r="D1" s="127" t="s">
        <v>99</v>
      </c>
      <c r="E1" s="127" t="s">
        <v>100</v>
      </c>
      <c r="F1" s="127" t="s">
        <v>101</v>
      </c>
      <c r="G1" s="128" t="s">
        <v>102</v>
      </c>
      <c r="H1" s="129"/>
    </row>
    <row r="2" spans="1:8" x14ac:dyDescent="0.45">
      <c r="A2" s="130">
        <v>100</v>
      </c>
      <c r="B2" s="131" t="s">
        <v>103</v>
      </c>
      <c r="C2" s="131"/>
      <c r="D2" s="131"/>
      <c r="E2" s="131">
        <v>1</v>
      </c>
      <c r="F2" s="132" t="str">
        <f t="shared" ref="F2:F88" si="0">A2&amp;E2</f>
        <v>1001</v>
      </c>
      <c r="G2" s="133" t="s">
        <v>104</v>
      </c>
      <c r="H2" s="129"/>
    </row>
    <row r="3" spans="1:8" x14ac:dyDescent="0.45">
      <c r="A3" s="130">
        <v>100</v>
      </c>
      <c r="B3" s="131" t="s">
        <v>103</v>
      </c>
      <c r="C3" s="131"/>
      <c r="D3" s="131"/>
      <c r="E3" s="131">
        <v>2</v>
      </c>
      <c r="F3" s="131" t="str">
        <f>A3&amp;E3</f>
        <v>1002</v>
      </c>
      <c r="G3" s="133" t="s">
        <v>105</v>
      </c>
      <c r="H3" s="129"/>
    </row>
    <row r="4" spans="1:8" x14ac:dyDescent="0.45">
      <c r="A4" s="130">
        <v>110</v>
      </c>
      <c r="B4" s="131" t="s">
        <v>106</v>
      </c>
      <c r="C4" s="131"/>
      <c r="D4" s="131"/>
      <c r="E4" s="131">
        <v>1</v>
      </c>
      <c r="F4" s="131" t="str">
        <f t="shared" si="0"/>
        <v>1101</v>
      </c>
      <c r="G4" s="133" t="s">
        <v>107</v>
      </c>
      <c r="H4" s="129"/>
    </row>
    <row r="5" spans="1:8" x14ac:dyDescent="0.45">
      <c r="A5" s="130">
        <v>110</v>
      </c>
      <c r="B5" s="131" t="s">
        <v>106</v>
      </c>
      <c r="C5" s="131"/>
      <c r="D5" s="131"/>
      <c r="E5" s="131">
        <v>2</v>
      </c>
      <c r="F5" s="131" t="str">
        <f t="shared" si="0"/>
        <v>1102</v>
      </c>
      <c r="G5" s="133" t="s">
        <v>108</v>
      </c>
      <c r="H5" s="129"/>
    </row>
    <row r="6" spans="1:8" x14ac:dyDescent="0.45">
      <c r="A6" s="130">
        <v>110</v>
      </c>
      <c r="B6" s="131" t="s">
        <v>106</v>
      </c>
      <c r="C6" s="131"/>
      <c r="D6" s="131"/>
      <c r="E6" s="131">
        <v>10</v>
      </c>
      <c r="F6" s="131" t="str">
        <f>A6&amp;E6</f>
        <v>11010</v>
      </c>
      <c r="G6" s="133" t="s">
        <v>109</v>
      </c>
      <c r="H6" s="129"/>
    </row>
    <row r="7" spans="1:8" x14ac:dyDescent="0.45">
      <c r="A7" s="130">
        <v>114</v>
      </c>
      <c r="B7" s="131" t="s">
        <v>110</v>
      </c>
      <c r="C7" s="131"/>
      <c r="D7" s="131"/>
      <c r="E7" s="131">
        <v>1</v>
      </c>
      <c r="F7" s="131" t="str">
        <f t="shared" si="0"/>
        <v>1141</v>
      </c>
      <c r="G7" s="133" t="s">
        <v>107</v>
      </c>
      <c r="H7" s="129"/>
    </row>
    <row r="8" spans="1:8" x14ac:dyDescent="0.45">
      <c r="A8" s="130">
        <v>114</v>
      </c>
      <c r="B8" s="131" t="s">
        <v>110</v>
      </c>
      <c r="C8" s="131"/>
      <c r="D8" s="131"/>
      <c r="E8" s="131">
        <v>2</v>
      </c>
      <c r="F8" s="131" t="str">
        <f t="shared" si="0"/>
        <v>1142</v>
      </c>
      <c r="G8" s="133" t="s">
        <v>108</v>
      </c>
      <c r="H8" s="129"/>
    </row>
    <row r="9" spans="1:8" x14ac:dyDescent="0.45">
      <c r="A9" s="130">
        <v>114</v>
      </c>
      <c r="B9" s="131" t="s">
        <v>110</v>
      </c>
      <c r="C9" s="131"/>
      <c r="D9" s="131"/>
      <c r="E9" s="131">
        <v>3</v>
      </c>
      <c r="F9" s="131" t="str">
        <f t="shared" si="0"/>
        <v>1143</v>
      </c>
      <c r="G9" s="133" t="s">
        <v>111</v>
      </c>
      <c r="H9" s="129"/>
    </row>
    <row r="10" spans="1:8" x14ac:dyDescent="0.45">
      <c r="A10" s="130">
        <v>114</v>
      </c>
      <c r="B10" s="131" t="s">
        <v>110</v>
      </c>
      <c r="C10" s="131"/>
      <c r="D10" s="131"/>
      <c r="E10" s="131">
        <v>4</v>
      </c>
      <c r="F10" s="131" t="str">
        <f t="shared" si="0"/>
        <v>1144</v>
      </c>
      <c r="G10" s="133" t="s">
        <v>112</v>
      </c>
      <c r="H10" s="129"/>
    </row>
    <row r="11" spans="1:8" x14ac:dyDescent="0.45">
      <c r="A11" s="130">
        <v>114</v>
      </c>
      <c r="B11" s="131" t="s">
        <v>110</v>
      </c>
      <c r="C11" s="131"/>
      <c r="D11" s="131"/>
      <c r="E11" s="131">
        <v>5</v>
      </c>
      <c r="F11" s="131" t="str">
        <f t="shared" si="0"/>
        <v>1145</v>
      </c>
      <c r="G11" s="133" t="s">
        <v>113</v>
      </c>
      <c r="H11" s="129"/>
    </row>
    <row r="12" spans="1:8" x14ac:dyDescent="0.45">
      <c r="A12" s="130">
        <v>114</v>
      </c>
      <c r="B12" s="131" t="s">
        <v>110</v>
      </c>
      <c r="C12" s="131"/>
      <c r="D12" s="131"/>
      <c r="E12" s="131">
        <v>6</v>
      </c>
      <c r="F12" s="131" t="str">
        <f t="shared" si="0"/>
        <v>1146</v>
      </c>
      <c r="G12" s="133" t="s">
        <v>114</v>
      </c>
      <c r="H12" s="129"/>
    </row>
    <row r="13" spans="1:8" x14ac:dyDescent="0.45">
      <c r="A13" s="130">
        <v>114</v>
      </c>
      <c r="B13" s="131" t="s">
        <v>110</v>
      </c>
      <c r="C13" s="131"/>
      <c r="D13" s="131"/>
      <c r="E13" s="131">
        <v>7</v>
      </c>
      <c r="F13" s="131" t="str">
        <f t="shared" si="0"/>
        <v>1147</v>
      </c>
      <c r="G13" s="133" t="s">
        <v>115</v>
      </c>
      <c r="H13" s="129"/>
    </row>
    <row r="14" spans="1:8" x14ac:dyDescent="0.45">
      <c r="A14" s="130">
        <v>114</v>
      </c>
      <c r="B14" s="131" t="s">
        <v>110</v>
      </c>
      <c r="C14" s="131"/>
      <c r="D14" s="131"/>
      <c r="E14" s="131">
        <v>8</v>
      </c>
      <c r="F14" s="131" t="str">
        <f t="shared" si="0"/>
        <v>1148</v>
      </c>
      <c r="G14" s="133" t="s">
        <v>116</v>
      </c>
      <c r="H14" s="129"/>
    </row>
    <row r="15" spans="1:8" x14ac:dyDescent="0.45">
      <c r="A15" s="130">
        <v>114</v>
      </c>
      <c r="B15" s="131" t="s">
        <v>110</v>
      </c>
      <c r="C15" s="131"/>
      <c r="D15" s="131"/>
      <c r="E15" s="131">
        <v>9</v>
      </c>
      <c r="F15" s="131" t="str">
        <f t="shared" si="0"/>
        <v>1149</v>
      </c>
      <c r="G15" s="133" t="s">
        <v>117</v>
      </c>
      <c r="H15" s="129"/>
    </row>
    <row r="16" spans="1:8" x14ac:dyDescent="0.45">
      <c r="A16" s="130">
        <v>121</v>
      </c>
      <c r="B16" s="131" t="s">
        <v>118</v>
      </c>
      <c r="C16" s="131"/>
      <c r="D16" s="131"/>
      <c r="E16" s="131">
        <v>1</v>
      </c>
      <c r="F16" s="131" t="str">
        <f t="shared" si="0"/>
        <v>1211</v>
      </c>
      <c r="G16" s="133" t="s">
        <v>107</v>
      </c>
      <c r="H16" s="129"/>
    </row>
    <row r="17" spans="1:8" x14ac:dyDescent="0.45">
      <c r="A17" s="130">
        <v>121</v>
      </c>
      <c r="B17" s="131" t="s">
        <v>118</v>
      </c>
      <c r="C17" s="131"/>
      <c r="D17" s="131"/>
      <c r="E17" s="131">
        <v>2</v>
      </c>
      <c r="F17" s="131" t="str">
        <f>A17&amp;E17</f>
        <v>1212</v>
      </c>
      <c r="G17" s="133" t="s">
        <v>108</v>
      </c>
      <c r="H17" s="129"/>
    </row>
    <row r="18" spans="1:8" x14ac:dyDescent="0.45">
      <c r="A18" s="130">
        <v>121</v>
      </c>
      <c r="B18" s="131" t="s">
        <v>118</v>
      </c>
      <c r="C18" s="131"/>
      <c r="D18" s="131"/>
      <c r="E18" s="131">
        <v>6</v>
      </c>
      <c r="F18" s="131" t="str">
        <f>A18&amp;E18</f>
        <v>1216</v>
      </c>
      <c r="G18" s="133" t="s">
        <v>114</v>
      </c>
      <c r="H18" s="129"/>
    </row>
    <row r="19" spans="1:8" x14ac:dyDescent="0.45">
      <c r="A19" s="130">
        <v>125</v>
      </c>
      <c r="B19" s="131" t="s">
        <v>119</v>
      </c>
      <c r="C19" s="131"/>
      <c r="D19" s="131"/>
      <c r="E19" s="131">
        <v>1</v>
      </c>
      <c r="F19" s="131" t="str">
        <f t="shared" si="0"/>
        <v>1251</v>
      </c>
      <c r="G19" s="133" t="s">
        <v>107</v>
      </c>
      <c r="H19" s="129"/>
    </row>
    <row r="20" spans="1:8" x14ac:dyDescent="0.45">
      <c r="A20" s="130">
        <v>125</v>
      </c>
      <c r="B20" s="131" t="s">
        <v>119</v>
      </c>
      <c r="C20" s="131"/>
      <c r="D20" s="131"/>
      <c r="E20" s="131">
        <v>2</v>
      </c>
      <c r="F20" s="131" t="str">
        <f>A20&amp;E20</f>
        <v>1252</v>
      </c>
      <c r="G20" s="133" t="s">
        <v>108</v>
      </c>
      <c r="H20" s="129"/>
    </row>
    <row r="21" spans="1:8" x14ac:dyDescent="0.45">
      <c r="A21" s="130">
        <v>130</v>
      </c>
      <c r="B21" s="131" t="s">
        <v>120</v>
      </c>
      <c r="C21" s="131"/>
      <c r="D21" s="131"/>
      <c r="E21" s="131"/>
      <c r="F21" s="131" t="str">
        <f t="shared" si="0"/>
        <v>130</v>
      </c>
      <c r="G21" s="133"/>
      <c r="H21" s="129"/>
    </row>
    <row r="22" spans="1:8" x14ac:dyDescent="0.45">
      <c r="A22" s="130">
        <v>131</v>
      </c>
      <c r="B22" s="131" t="s">
        <v>121</v>
      </c>
      <c r="C22" s="131"/>
      <c r="D22" s="131"/>
      <c r="E22" s="131">
        <v>1001</v>
      </c>
      <c r="F22" s="131" t="str">
        <f t="shared" si="0"/>
        <v>1311001</v>
      </c>
      <c r="G22" s="133" t="s">
        <v>122</v>
      </c>
      <c r="H22" s="129"/>
    </row>
    <row r="23" spans="1:8" x14ac:dyDescent="0.45">
      <c r="A23" s="130">
        <v>131</v>
      </c>
      <c r="B23" s="131" t="s">
        <v>121</v>
      </c>
      <c r="C23" s="131"/>
      <c r="D23" s="131"/>
      <c r="E23" s="131">
        <v>1036</v>
      </c>
      <c r="F23" s="131" t="str">
        <f t="shared" si="0"/>
        <v>1311036</v>
      </c>
      <c r="G23" s="133" t="s">
        <v>123</v>
      </c>
      <c r="H23" s="129"/>
    </row>
    <row r="24" spans="1:8" x14ac:dyDescent="0.45">
      <c r="A24" s="130">
        <v>131</v>
      </c>
      <c r="B24" s="131" t="s">
        <v>121</v>
      </c>
      <c r="C24" s="131"/>
      <c r="D24" s="131"/>
      <c r="E24" s="131">
        <v>1201</v>
      </c>
      <c r="F24" s="131" t="str">
        <f t="shared" si="0"/>
        <v>1311201</v>
      </c>
      <c r="G24" s="133" t="s">
        <v>124</v>
      </c>
      <c r="H24" s="129"/>
    </row>
    <row r="25" spans="1:8" x14ac:dyDescent="0.45">
      <c r="A25" s="130">
        <v>131</v>
      </c>
      <c r="B25" s="131" t="s">
        <v>121</v>
      </c>
      <c r="C25" s="131"/>
      <c r="D25" s="131"/>
      <c r="E25" s="131">
        <v>1243</v>
      </c>
      <c r="F25" s="131" t="str">
        <f t="shared" si="0"/>
        <v>1311243</v>
      </c>
      <c r="G25" s="133" t="s">
        <v>125</v>
      </c>
      <c r="H25" s="129"/>
    </row>
    <row r="26" spans="1:8" x14ac:dyDescent="0.45">
      <c r="A26" s="130">
        <v>131</v>
      </c>
      <c r="B26" s="131" t="s">
        <v>121</v>
      </c>
      <c r="C26" s="131"/>
      <c r="D26" s="131"/>
      <c r="E26" s="131">
        <v>1608</v>
      </c>
      <c r="F26" s="131" t="str">
        <f t="shared" si="0"/>
        <v>1311608</v>
      </c>
      <c r="G26" s="133" t="s">
        <v>126</v>
      </c>
      <c r="H26" s="129"/>
    </row>
    <row r="27" spans="1:8" x14ac:dyDescent="0.45">
      <c r="A27" s="130">
        <v>131</v>
      </c>
      <c r="B27" s="131" t="s">
        <v>121</v>
      </c>
      <c r="C27" s="131"/>
      <c r="D27" s="131"/>
      <c r="E27" s="131">
        <v>1617</v>
      </c>
      <c r="F27" s="131" t="str">
        <f t="shared" si="0"/>
        <v>1311617</v>
      </c>
      <c r="G27" s="133" t="s">
        <v>127</v>
      </c>
      <c r="H27" s="129"/>
    </row>
    <row r="28" spans="1:8" x14ac:dyDescent="0.45">
      <c r="A28" s="130">
        <v>131</v>
      </c>
      <c r="B28" s="131" t="s">
        <v>121</v>
      </c>
      <c r="C28" s="131"/>
      <c r="D28" s="131"/>
      <c r="E28" s="131">
        <v>1803</v>
      </c>
      <c r="F28" s="131" t="str">
        <f t="shared" si="0"/>
        <v>1311803</v>
      </c>
      <c r="G28" s="133" t="s">
        <v>128</v>
      </c>
      <c r="H28" s="129"/>
    </row>
    <row r="29" spans="1:8" x14ac:dyDescent="0.45">
      <c r="A29" s="130">
        <v>131</v>
      </c>
      <c r="B29" s="131" t="s">
        <v>121</v>
      </c>
      <c r="C29" s="131"/>
      <c r="D29" s="131"/>
      <c r="E29" s="131">
        <v>1816</v>
      </c>
      <c r="F29" s="131" t="str">
        <f t="shared" si="0"/>
        <v>1311816</v>
      </c>
      <c r="G29" s="133" t="s">
        <v>129</v>
      </c>
      <c r="H29" s="129"/>
    </row>
    <row r="30" spans="1:8" x14ac:dyDescent="0.45">
      <c r="A30" s="130">
        <v>131</v>
      </c>
      <c r="B30" s="131" t="s">
        <v>121</v>
      </c>
      <c r="C30" s="131"/>
      <c r="D30" s="131"/>
      <c r="E30" s="131">
        <v>1855</v>
      </c>
      <c r="F30" s="131" t="str">
        <f t="shared" si="0"/>
        <v>1311855</v>
      </c>
      <c r="G30" s="133" t="s">
        <v>130</v>
      </c>
      <c r="H30" s="129"/>
    </row>
    <row r="31" spans="1:8" x14ac:dyDescent="0.45">
      <c r="A31" s="130">
        <v>131</v>
      </c>
      <c r="B31" s="131" t="s">
        <v>121</v>
      </c>
      <c r="C31" s="131"/>
      <c r="D31" s="131"/>
      <c r="E31" s="131">
        <v>2010</v>
      </c>
      <c r="F31" s="131" t="str">
        <f t="shared" si="0"/>
        <v>1312010</v>
      </c>
      <c r="G31" s="133" t="s">
        <v>131</v>
      </c>
      <c r="H31" s="129"/>
    </row>
    <row r="32" spans="1:8" x14ac:dyDescent="0.45">
      <c r="A32" s="130">
        <v>131</v>
      </c>
      <c r="B32" s="131" t="s">
        <v>121</v>
      </c>
      <c r="C32" s="131"/>
      <c r="D32" s="131"/>
      <c r="E32" s="131">
        <v>2011</v>
      </c>
      <c r="F32" s="131" t="str">
        <f t="shared" si="0"/>
        <v>1312011</v>
      </c>
      <c r="G32" s="133" t="s">
        <v>132</v>
      </c>
      <c r="H32" s="129"/>
    </row>
    <row r="33" spans="1:8" x14ac:dyDescent="0.45">
      <c r="A33" s="130">
        <v>131</v>
      </c>
      <c r="B33" s="131" t="s">
        <v>121</v>
      </c>
      <c r="C33" s="131"/>
      <c r="D33" s="131"/>
      <c r="E33" s="131">
        <v>2012</v>
      </c>
      <c r="F33" s="131" t="str">
        <f t="shared" si="0"/>
        <v>1312012</v>
      </c>
      <c r="G33" s="133" t="s">
        <v>133</v>
      </c>
      <c r="H33" s="129"/>
    </row>
    <row r="34" spans="1:8" x14ac:dyDescent="0.45">
      <c r="A34" s="130">
        <v>131</v>
      </c>
      <c r="B34" s="131" t="s">
        <v>121</v>
      </c>
      <c r="C34" s="131"/>
      <c r="D34" s="131"/>
      <c r="E34" s="131">
        <v>2013</v>
      </c>
      <c r="F34" s="131" t="str">
        <f t="shared" si="0"/>
        <v>1312013</v>
      </c>
      <c r="G34" s="133" t="s">
        <v>134</v>
      </c>
      <c r="H34" s="129"/>
    </row>
    <row r="35" spans="1:8" x14ac:dyDescent="0.45">
      <c r="A35" s="130">
        <v>131</v>
      </c>
      <c r="B35" s="131" t="s">
        <v>121</v>
      </c>
      <c r="C35" s="131"/>
      <c r="D35" s="131"/>
      <c r="E35" s="131">
        <v>2017</v>
      </c>
      <c r="F35" s="131" t="str">
        <f t="shared" si="0"/>
        <v>1312017</v>
      </c>
      <c r="G35" s="133" t="s">
        <v>135</v>
      </c>
      <c r="H35" s="129"/>
    </row>
    <row r="36" spans="1:8" x14ac:dyDescent="0.45">
      <c r="A36" s="130">
        <v>131</v>
      </c>
      <c r="B36" s="131" t="s">
        <v>121</v>
      </c>
      <c r="C36" s="131"/>
      <c r="D36" s="131"/>
      <c r="E36" s="131">
        <v>2026</v>
      </c>
      <c r="F36" s="131" t="str">
        <f t="shared" si="0"/>
        <v>1312026</v>
      </c>
      <c r="G36" s="133" t="s">
        <v>136</v>
      </c>
      <c r="H36" s="129"/>
    </row>
    <row r="37" spans="1:8" x14ac:dyDescent="0.45">
      <c r="A37" s="130">
        <v>131</v>
      </c>
      <c r="B37" s="131" t="s">
        <v>121</v>
      </c>
      <c r="C37" s="131"/>
      <c r="D37" s="131"/>
      <c r="E37" s="131">
        <v>2045</v>
      </c>
      <c r="F37" s="131" t="str">
        <f t="shared" si="0"/>
        <v>1312045</v>
      </c>
      <c r="G37" s="133" t="s">
        <v>137</v>
      </c>
      <c r="H37" s="129"/>
    </row>
    <row r="38" spans="1:8" x14ac:dyDescent="0.45">
      <c r="A38" s="130">
        <v>131</v>
      </c>
      <c r="B38" s="131" t="s">
        <v>121</v>
      </c>
      <c r="C38" s="131"/>
      <c r="D38" s="131"/>
      <c r="E38" s="131">
        <v>2070</v>
      </c>
      <c r="F38" s="131" t="str">
        <f t="shared" si="0"/>
        <v>1312070</v>
      </c>
      <c r="G38" s="133" t="s">
        <v>138</v>
      </c>
      <c r="H38" s="129"/>
    </row>
    <row r="39" spans="1:8" x14ac:dyDescent="0.45">
      <c r="A39" s="130">
        <v>131</v>
      </c>
      <c r="B39" s="131" t="s">
        <v>121</v>
      </c>
      <c r="C39" s="131"/>
      <c r="D39" s="131"/>
      <c r="E39" s="131">
        <v>2081</v>
      </c>
      <c r="F39" s="131" t="str">
        <f>A39&amp;E39</f>
        <v>1312081</v>
      </c>
      <c r="G39" s="133" t="s">
        <v>139</v>
      </c>
      <c r="H39" s="129"/>
    </row>
    <row r="40" spans="1:8" x14ac:dyDescent="0.45">
      <c r="A40" s="130">
        <v>131</v>
      </c>
      <c r="B40" s="131" t="s">
        <v>121</v>
      </c>
      <c r="C40" s="131"/>
      <c r="D40" s="131"/>
      <c r="E40" s="131">
        <v>2401</v>
      </c>
      <c r="F40" s="131" t="str">
        <f t="shared" si="0"/>
        <v>1312401</v>
      </c>
      <c r="G40" s="133" t="s">
        <v>140</v>
      </c>
      <c r="H40" s="129"/>
    </row>
    <row r="41" spans="1:8" x14ac:dyDescent="0.45">
      <c r="A41" s="130">
        <v>131</v>
      </c>
      <c r="B41" s="131" t="s">
        <v>121</v>
      </c>
      <c r="C41" s="131"/>
      <c r="D41" s="131"/>
      <c r="E41" s="131">
        <v>2430</v>
      </c>
      <c r="F41" s="131" t="str">
        <f t="shared" si="0"/>
        <v>1312430</v>
      </c>
      <c r="G41" s="133" t="s">
        <v>141</v>
      </c>
      <c r="H41" s="129"/>
    </row>
    <row r="42" spans="1:8" x14ac:dyDescent="0.45">
      <c r="A42" s="130">
        <v>131</v>
      </c>
      <c r="B42" s="131" t="s">
        <v>121</v>
      </c>
      <c r="C42" s="131"/>
      <c r="D42" s="131"/>
      <c r="E42" s="131">
        <v>2607</v>
      </c>
      <c r="F42" s="131" t="str">
        <f t="shared" si="0"/>
        <v>1312607</v>
      </c>
      <c r="G42" s="133" t="s">
        <v>142</v>
      </c>
      <c r="H42" s="129"/>
    </row>
    <row r="43" spans="1:8" x14ac:dyDescent="0.45">
      <c r="A43" s="130">
        <v>131</v>
      </c>
      <c r="B43" s="131" t="s">
        <v>121</v>
      </c>
      <c r="C43" s="131"/>
      <c r="D43" s="131"/>
      <c r="E43" s="131">
        <v>2827</v>
      </c>
      <c r="F43" s="131" t="str">
        <f t="shared" si="0"/>
        <v>1312827</v>
      </c>
      <c r="G43" s="133" t="s">
        <v>143</v>
      </c>
      <c r="H43" s="129"/>
    </row>
    <row r="44" spans="1:8" x14ac:dyDescent="0.45">
      <c r="A44" s="130">
        <v>131</v>
      </c>
      <c r="B44" s="131" t="s">
        <v>121</v>
      </c>
      <c r="C44" s="131"/>
      <c r="D44" s="131"/>
      <c r="E44" s="131">
        <v>2846</v>
      </c>
      <c r="F44" s="131" t="str">
        <f t="shared" si="0"/>
        <v>1312846</v>
      </c>
      <c r="G44" s="133" t="s">
        <v>144</v>
      </c>
      <c r="H44" s="129"/>
    </row>
    <row r="45" spans="1:8" x14ac:dyDescent="0.45">
      <c r="A45" s="130">
        <v>131</v>
      </c>
      <c r="B45" s="131" t="s">
        <v>121</v>
      </c>
      <c r="C45" s="131"/>
      <c r="D45" s="131"/>
      <c r="E45" s="131">
        <v>3001</v>
      </c>
      <c r="F45" s="131" t="str">
        <f t="shared" si="0"/>
        <v>1313001</v>
      </c>
      <c r="G45" s="133" t="s">
        <v>145</v>
      </c>
      <c r="H45" s="129"/>
    </row>
    <row r="46" spans="1:8" x14ac:dyDescent="0.45">
      <c r="A46" s="130">
        <v>131</v>
      </c>
      <c r="B46" s="131" t="s">
        <v>121</v>
      </c>
      <c r="C46" s="131"/>
      <c r="D46" s="131"/>
      <c r="E46" s="131">
        <v>3013</v>
      </c>
      <c r="F46" s="131" t="str">
        <f t="shared" si="0"/>
        <v>1313013</v>
      </c>
      <c r="G46" s="133" t="s">
        <v>146</v>
      </c>
      <c r="H46" s="129"/>
    </row>
    <row r="47" spans="1:8" x14ac:dyDescent="0.45">
      <c r="A47" s="130">
        <v>131</v>
      </c>
      <c r="B47" s="131" t="s">
        <v>121</v>
      </c>
      <c r="C47" s="131"/>
      <c r="D47" s="131"/>
      <c r="E47" s="131">
        <v>3028</v>
      </c>
      <c r="F47" s="131" t="str">
        <f t="shared" si="0"/>
        <v>1313028</v>
      </c>
      <c r="G47" s="133" t="s">
        <v>147</v>
      </c>
      <c r="H47" s="129"/>
    </row>
    <row r="48" spans="1:8" x14ac:dyDescent="0.45">
      <c r="A48" s="130">
        <v>131</v>
      </c>
      <c r="B48" s="131" t="s">
        <v>121</v>
      </c>
      <c r="C48" s="131"/>
      <c r="D48" s="131"/>
      <c r="E48" s="131">
        <v>3201</v>
      </c>
      <c r="F48" s="131" t="str">
        <f t="shared" si="0"/>
        <v>1313201</v>
      </c>
      <c r="G48" s="133" t="s">
        <v>148</v>
      </c>
      <c r="H48" s="129"/>
    </row>
    <row r="49" spans="1:8" x14ac:dyDescent="0.45">
      <c r="A49" s="130">
        <v>131</v>
      </c>
      <c r="B49" s="131" t="s">
        <v>121</v>
      </c>
      <c r="C49" s="131"/>
      <c r="D49" s="131"/>
      <c r="E49" s="131">
        <v>3202</v>
      </c>
      <c r="F49" s="131" t="str">
        <f t="shared" si="0"/>
        <v>1313202</v>
      </c>
      <c r="G49" s="133" t="s">
        <v>149</v>
      </c>
      <c r="H49" s="129"/>
    </row>
    <row r="50" spans="1:8" x14ac:dyDescent="0.45">
      <c r="A50" s="130">
        <v>131</v>
      </c>
      <c r="B50" s="131" t="s">
        <v>121</v>
      </c>
      <c r="C50" s="131"/>
      <c r="D50" s="131"/>
      <c r="E50" s="131">
        <v>3203</v>
      </c>
      <c r="F50" s="131" t="str">
        <f t="shared" si="0"/>
        <v>1313203</v>
      </c>
      <c r="G50" s="133" t="s">
        <v>150</v>
      </c>
      <c r="H50" s="129"/>
    </row>
    <row r="51" spans="1:8" x14ac:dyDescent="0.45">
      <c r="A51" s="130">
        <v>131</v>
      </c>
      <c r="B51" s="131" t="s">
        <v>121</v>
      </c>
      <c r="C51" s="131"/>
      <c r="D51" s="131"/>
      <c r="E51" s="131">
        <v>3210</v>
      </c>
      <c r="F51" s="131" t="str">
        <f t="shared" si="0"/>
        <v>1313210</v>
      </c>
      <c r="G51" s="133" t="s">
        <v>151</v>
      </c>
      <c r="H51" s="129"/>
    </row>
    <row r="52" spans="1:8" x14ac:dyDescent="0.45">
      <c r="A52" s="130">
        <v>131</v>
      </c>
      <c r="B52" s="131" t="s">
        <v>121</v>
      </c>
      <c r="C52" s="131"/>
      <c r="D52" s="131"/>
      <c r="E52" s="131">
        <v>3211</v>
      </c>
      <c r="F52" s="131" t="str">
        <f t="shared" si="0"/>
        <v>1313211</v>
      </c>
      <c r="G52" s="133" t="s">
        <v>152</v>
      </c>
      <c r="H52" s="129"/>
    </row>
    <row r="53" spans="1:8" x14ac:dyDescent="0.45">
      <c r="A53" s="130">
        <v>131</v>
      </c>
      <c r="B53" s="131" t="s">
        <v>121</v>
      </c>
      <c r="C53" s="131"/>
      <c r="D53" s="131"/>
      <c r="E53" s="131">
        <v>3212</v>
      </c>
      <c r="F53" s="131" t="str">
        <f t="shared" si="0"/>
        <v>1313212</v>
      </c>
      <c r="G53" s="133" t="s">
        <v>153</v>
      </c>
      <c r="H53" s="129"/>
    </row>
    <row r="54" spans="1:8" x14ac:dyDescent="0.45">
      <c r="A54" s="130">
        <v>131</v>
      </c>
      <c r="B54" s="131" t="s">
        <v>121</v>
      </c>
      <c r="C54" s="131"/>
      <c r="D54" s="131"/>
      <c r="E54" s="131">
        <v>3218</v>
      </c>
      <c r="F54" s="131" t="str">
        <f t="shared" si="0"/>
        <v>1313218</v>
      </c>
      <c r="G54" s="133" t="s">
        <v>154</v>
      </c>
      <c r="H54" s="129"/>
    </row>
    <row r="55" spans="1:8" x14ac:dyDescent="0.45">
      <c r="A55" s="130">
        <v>131</v>
      </c>
      <c r="B55" s="131" t="s">
        <v>121</v>
      </c>
      <c r="C55" s="131"/>
      <c r="D55" s="131"/>
      <c r="E55" s="131">
        <v>3219</v>
      </c>
      <c r="F55" s="131" t="str">
        <f t="shared" si="0"/>
        <v>1313219</v>
      </c>
      <c r="G55" s="133" t="s">
        <v>155</v>
      </c>
      <c r="H55" s="129"/>
    </row>
    <row r="56" spans="1:8" x14ac:dyDescent="0.45">
      <c r="A56" s="130">
        <v>131</v>
      </c>
      <c r="B56" s="131" t="s">
        <v>121</v>
      </c>
      <c r="C56" s="131"/>
      <c r="D56" s="131"/>
      <c r="E56" s="131">
        <v>3236</v>
      </c>
      <c r="F56" s="131" t="str">
        <f t="shared" si="0"/>
        <v>1313236</v>
      </c>
      <c r="G56" s="133" t="s">
        <v>156</v>
      </c>
      <c r="H56" s="129"/>
    </row>
    <row r="57" spans="1:8" x14ac:dyDescent="0.45">
      <c r="A57" s="130">
        <v>131</v>
      </c>
      <c r="B57" s="131" t="s">
        <v>121</v>
      </c>
      <c r="C57" s="131"/>
      <c r="D57" s="131"/>
      <c r="E57" s="131">
        <v>3279</v>
      </c>
      <c r="F57" s="131" t="str">
        <f>A57&amp;E57</f>
        <v>1313279</v>
      </c>
      <c r="G57" s="133" t="s">
        <v>157</v>
      </c>
      <c r="H57" s="129"/>
    </row>
    <row r="58" spans="1:8" x14ac:dyDescent="0.45">
      <c r="A58" s="130">
        <v>131</v>
      </c>
      <c r="B58" s="131" t="s">
        <v>121</v>
      </c>
      <c r="C58" s="131"/>
      <c r="D58" s="131"/>
      <c r="E58" s="131">
        <v>4028</v>
      </c>
      <c r="F58" s="131" t="str">
        <f t="shared" si="0"/>
        <v>1314028</v>
      </c>
      <c r="G58" s="133" t="s">
        <v>158</v>
      </c>
      <c r="H58" s="129"/>
    </row>
    <row r="59" spans="1:8" x14ac:dyDescent="0.45">
      <c r="A59" s="130">
        <v>131</v>
      </c>
      <c r="B59" s="131" t="s">
        <v>121</v>
      </c>
      <c r="C59" s="131"/>
      <c r="D59" s="131"/>
      <c r="E59" s="131">
        <v>4052</v>
      </c>
      <c r="F59" s="131" t="str">
        <f t="shared" si="0"/>
        <v>1314052</v>
      </c>
      <c r="G59" s="133" t="s">
        <v>159</v>
      </c>
      <c r="H59" s="129"/>
    </row>
    <row r="60" spans="1:8" x14ac:dyDescent="0.45">
      <c r="A60" s="130">
        <v>131</v>
      </c>
      <c r="B60" s="131" t="s">
        <v>121</v>
      </c>
      <c r="C60" s="131"/>
      <c r="D60" s="131"/>
      <c r="E60" s="131">
        <v>4204</v>
      </c>
      <c r="F60" s="131" t="str">
        <f t="shared" si="0"/>
        <v>1314204</v>
      </c>
      <c r="G60" s="133" t="s">
        <v>160</v>
      </c>
      <c r="H60" s="129"/>
    </row>
    <row r="61" spans="1:8" x14ac:dyDescent="0.45">
      <c r="A61" s="130">
        <v>131</v>
      </c>
      <c r="B61" s="131" t="s">
        <v>121</v>
      </c>
      <c r="C61" s="131"/>
      <c r="D61" s="131"/>
      <c r="E61" s="131">
        <v>4608</v>
      </c>
      <c r="F61" s="131" t="str">
        <f t="shared" si="0"/>
        <v>1314608</v>
      </c>
      <c r="G61" s="133" t="s">
        <v>161</v>
      </c>
      <c r="H61" s="129"/>
    </row>
    <row r="62" spans="1:8" x14ac:dyDescent="0.45">
      <c r="A62" s="130">
        <v>131</v>
      </c>
      <c r="B62" s="131" t="s">
        <v>121</v>
      </c>
      <c r="C62" s="131"/>
      <c r="D62" s="131"/>
      <c r="E62" s="131">
        <v>4801</v>
      </c>
      <c r="F62" s="131" t="str">
        <f t="shared" si="0"/>
        <v>1314801</v>
      </c>
      <c r="G62" s="133" t="s">
        <v>162</v>
      </c>
      <c r="H62" s="129"/>
    </row>
    <row r="63" spans="1:8" x14ac:dyDescent="0.45">
      <c r="A63" s="130">
        <v>131</v>
      </c>
      <c r="B63" s="131" t="s">
        <v>121</v>
      </c>
      <c r="C63" s="131"/>
      <c r="D63" s="131"/>
      <c r="E63" s="131">
        <v>4836</v>
      </c>
      <c r="F63" s="131" t="str">
        <f t="shared" si="0"/>
        <v>1314836</v>
      </c>
      <c r="G63" s="133" t="s">
        <v>163</v>
      </c>
      <c r="H63" s="129"/>
    </row>
    <row r="64" spans="1:8" x14ac:dyDescent="0.45">
      <c r="A64" s="130">
        <v>131</v>
      </c>
      <c r="B64" s="131" t="s">
        <v>121</v>
      </c>
      <c r="C64" s="131"/>
      <c r="D64" s="131"/>
      <c r="E64" s="131">
        <v>4845</v>
      </c>
      <c r="F64" s="131" t="str">
        <f t="shared" si="0"/>
        <v>1314845</v>
      </c>
      <c r="G64" s="133" t="s">
        <v>164</v>
      </c>
      <c r="H64" s="129"/>
    </row>
    <row r="65" spans="1:8" x14ac:dyDescent="0.45">
      <c r="A65" s="130">
        <v>131</v>
      </c>
      <c r="B65" s="131" t="s">
        <v>121</v>
      </c>
      <c r="C65" s="131"/>
      <c r="D65" s="131"/>
      <c r="E65" s="131">
        <v>5011</v>
      </c>
      <c r="F65" s="131" t="str">
        <f t="shared" si="0"/>
        <v>1315011</v>
      </c>
      <c r="G65" s="133" t="s">
        <v>165</v>
      </c>
      <c r="H65" s="129"/>
    </row>
    <row r="66" spans="1:8" x14ac:dyDescent="0.45">
      <c r="A66" s="130">
        <v>131</v>
      </c>
      <c r="B66" s="131" t="s">
        <v>121</v>
      </c>
      <c r="C66" s="131"/>
      <c r="D66" s="131"/>
      <c r="E66" s="131">
        <v>5201</v>
      </c>
      <c r="F66" s="131" t="str">
        <f>A66&amp;E66</f>
        <v>1315201</v>
      </c>
      <c r="G66" s="133" t="s">
        <v>166</v>
      </c>
      <c r="H66" s="129"/>
    </row>
    <row r="67" spans="1:8" x14ac:dyDescent="0.45">
      <c r="A67" s="130">
        <v>131</v>
      </c>
      <c r="B67" s="131" t="s">
        <v>121</v>
      </c>
      <c r="C67" s="131"/>
      <c r="D67" s="131"/>
      <c r="E67" s="131">
        <v>6001</v>
      </c>
      <c r="F67" s="131" t="str">
        <f t="shared" si="0"/>
        <v>1316001</v>
      </c>
      <c r="G67" s="133" t="s">
        <v>167</v>
      </c>
      <c r="H67" s="129"/>
    </row>
    <row r="68" spans="1:8" x14ac:dyDescent="0.45">
      <c r="A68" s="130">
        <v>131</v>
      </c>
      <c r="B68" s="131" t="s">
        <v>121</v>
      </c>
      <c r="C68" s="131"/>
      <c r="D68" s="131"/>
      <c r="E68" s="131">
        <v>6009</v>
      </c>
      <c r="F68" s="131" t="str">
        <f t="shared" si="0"/>
        <v>1316009</v>
      </c>
      <c r="G68" s="133" t="s">
        <v>168</v>
      </c>
      <c r="H68" s="129"/>
    </row>
    <row r="69" spans="1:8" x14ac:dyDescent="0.45">
      <c r="A69" s="130">
        <v>131</v>
      </c>
      <c r="B69" s="131" t="s">
        <v>121</v>
      </c>
      <c r="C69" s="131"/>
      <c r="D69" s="131"/>
      <c r="E69" s="131">
        <v>6401</v>
      </c>
      <c r="F69" s="131" t="str">
        <f t="shared" si="0"/>
        <v>1316401</v>
      </c>
      <c r="G69" s="133" t="s">
        <v>169</v>
      </c>
      <c r="H69" s="129"/>
    </row>
    <row r="70" spans="1:8" x14ac:dyDescent="0.45">
      <c r="A70" s="130">
        <v>131</v>
      </c>
      <c r="B70" s="131" t="s">
        <v>121</v>
      </c>
      <c r="C70" s="131"/>
      <c r="D70" s="131"/>
      <c r="E70" s="131">
        <v>6407</v>
      </c>
      <c r="F70" s="131" t="str">
        <f t="shared" si="0"/>
        <v>1316407</v>
      </c>
      <c r="G70" s="133" t="s">
        <v>170</v>
      </c>
      <c r="H70" s="129"/>
    </row>
    <row r="71" spans="1:8" x14ac:dyDescent="0.45">
      <c r="A71" s="130">
        <v>131</v>
      </c>
      <c r="B71" s="131" t="s">
        <v>121</v>
      </c>
      <c r="C71" s="131"/>
      <c r="D71" s="131"/>
      <c r="E71" s="131">
        <v>6410</v>
      </c>
      <c r="F71" s="131" t="str">
        <f t="shared" si="0"/>
        <v>1316410</v>
      </c>
      <c r="G71" s="133" t="s">
        <v>171</v>
      </c>
      <c r="H71" s="129"/>
    </row>
    <row r="72" spans="1:8" x14ac:dyDescent="0.45">
      <c r="A72" s="130">
        <v>131</v>
      </c>
      <c r="B72" s="131" t="s">
        <v>121</v>
      </c>
      <c r="C72" s="131"/>
      <c r="D72" s="131"/>
      <c r="E72" s="131">
        <v>6601</v>
      </c>
      <c r="F72" s="131" t="str">
        <f t="shared" si="0"/>
        <v>1316601</v>
      </c>
      <c r="G72" s="133" t="s">
        <v>172</v>
      </c>
      <c r="H72" s="129"/>
    </row>
    <row r="73" spans="1:8" x14ac:dyDescent="0.45">
      <c r="A73" s="130">
        <v>131</v>
      </c>
      <c r="B73" s="131" t="s">
        <v>121</v>
      </c>
      <c r="C73" s="131"/>
      <c r="D73" s="131"/>
      <c r="E73" s="131">
        <v>6802</v>
      </c>
      <c r="F73" s="131" t="str">
        <f>A73&amp;E73</f>
        <v>1316802</v>
      </c>
      <c r="G73" s="133" t="s">
        <v>173</v>
      </c>
      <c r="H73" s="129"/>
    </row>
    <row r="74" spans="1:8" x14ac:dyDescent="0.45">
      <c r="A74" s="130">
        <v>131</v>
      </c>
      <c r="B74" s="131" t="s">
        <v>121</v>
      </c>
      <c r="C74" s="131"/>
      <c r="D74" s="131"/>
      <c r="E74" s="131">
        <v>7001</v>
      </c>
      <c r="F74" s="131" t="str">
        <f t="shared" si="0"/>
        <v>1317001</v>
      </c>
      <c r="G74" s="133" t="s">
        <v>174</v>
      </c>
      <c r="H74" s="129"/>
    </row>
    <row r="75" spans="1:8" x14ac:dyDescent="0.45">
      <c r="A75" s="130">
        <v>131</v>
      </c>
      <c r="B75" s="131" t="s">
        <v>121</v>
      </c>
      <c r="C75" s="131"/>
      <c r="D75" s="131"/>
      <c r="E75" s="131">
        <v>7209</v>
      </c>
      <c r="F75" s="131" t="str">
        <f t="shared" si="0"/>
        <v>1317209</v>
      </c>
      <c r="G75" s="133" t="s">
        <v>175</v>
      </c>
      <c r="H75" s="129"/>
    </row>
    <row r="76" spans="1:8" x14ac:dyDescent="0.45">
      <c r="A76" s="130">
        <v>131</v>
      </c>
      <c r="B76" s="131" t="s">
        <v>121</v>
      </c>
      <c r="C76" s="131"/>
      <c r="D76" s="131"/>
      <c r="E76" s="131">
        <v>8001</v>
      </c>
      <c r="F76" s="131" t="str">
        <f t="shared" si="0"/>
        <v>1318001</v>
      </c>
      <c r="G76" s="133" t="s">
        <v>176</v>
      </c>
      <c r="H76" s="129"/>
    </row>
    <row r="77" spans="1:8" x14ac:dyDescent="0.45">
      <c r="A77" s="130">
        <v>131</v>
      </c>
      <c r="B77" s="131" t="s">
        <v>121</v>
      </c>
      <c r="C77" s="131"/>
      <c r="D77" s="131"/>
      <c r="E77" s="131">
        <v>8805</v>
      </c>
      <c r="F77" s="131" t="str">
        <f t="shared" si="0"/>
        <v>1318805</v>
      </c>
      <c r="G77" s="133" t="s">
        <v>177</v>
      </c>
      <c r="H77" s="129"/>
    </row>
    <row r="78" spans="1:8" x14ac:dyDescent="0.45">
      <c r="A78" s="130">
        <v>132</v>
      </c>
      <c r="B78" s="131" t="s">
        <v>178</v>
      </c>
      <c r="C78" s="131">
        <v>30</v>
      </c>
      <c r="D78" s="131"/>
      <c r="E78" s="131">
        <v>2401</v>
      </c>
      <c r="F78" s="131" t="str">
        <f t="shared" si="0"/>
        <v>1322401</v>
      </c>
      <c r="G78" s="133" t="s">
        <v>179</v>
      </c>
      <c r="H78" s="129"/>
    </row>
    <row r="79" spans="1:8" x14ac:dyDescent="0.45">
      <c r="A79" s="130">
        <v>132</v>
      </c>
      <c r="B79" s="131" t="s">
        <v>178</v>
      </c>
      <c r="C79" s="131"/>
      <c r="D79" s="131"/>
      <c r="E79" s="131">
        <v>3028</v>
      </c>
      <c r="F79" s="131" t="str">
        <f t="shared" si="0"/>
        <v>1323028</v>
      </c>
      <c r="G79" s="133" t="s">
        <v>180</v>
      </c>
      <c r="H79" s="129"/>
    </row>
    <row r="80" spans="1:8" x14ac:dyDescent="0.45">
      <c r="A80" s="130">
        <v>132</v>
      </c>
      <c r="B80" s="131" t="s">
        <v>178</v>
      </c>
      <c r="C80" s="131"/>
      <c r="D80" s="131"/>
      <c r="E80" s="131">
        <v>3201</v>
      </c>
      <c r="F80" s="131" t="str">
        <f t="shared" si="0"/>
        <v>1323201</v>
      </c>
      <c r="G80" s="133" t="s">
        <v>181</v>
      </c>
      <c r="H80" s="129"/>
    </row>
    <row r="81" spans="1:8" x14ac:dyDescent="0.45">
      <c r="A81" s="130">
        <v>132</v>
      </c>
      <c r="B81" s="131" t="s">
        <v>178</v>
      </c>
      <c r="C81" s="131"/>
      <c r="D81" s="131"/>
      <c r="E81" s="131">
        <v>4801</v>
      </c>
      <c r="F81" s="131" t="str">
        <f t="shared" si="0"/>
        <v>1324801</v>
      </c>
      <c r="G81" s="133" t="s">
        <v>182</v>
      </c>
      <c r="H81" s="129"/>
    </row>
    <row r="82" spans="1:8" x14ac:dyDescent="0.45">
      <c r="A82" s="130">
        <v>132</v>
      </c>
      <c r="B82" s="131" t="s">
        <v>178</v>
      </c>
      <c r="C82" s="131"/>
      <c r="D82" s="131"/>
      <c r="E82" s="131">
        <v>6601</v>
      </c>
      <c r="F82" s="131" t="str">
        <f t="shared" si="0"/>
        <v>1326601</v>
      </c>
      <c r="G82" s="133" t="s">
        <v>183</v>
      </c>
      <c r="H82" s="129"/>
    </row>
    <row r="83" spans="1:8" x14ac:dyDescent="0.45">
      <c r="A83" s="130">
        <v>132</v>
      </c>
      <c r="B83" s="131" t="s">
        <v>178</v>
      </c>
      <c r="C83" s="131"/>
      <c r="D83" s="131"/>
      <c r="E83" s="131">
        <v>7001</v>
      </c>
      <c r="F83" s="131" t="str">
        <f t="shared" si="0"/>
        <v>1327001</v>
      </c>
      <c r="G83" s="133" t="s">
        <v>184</v>
      </c>
      <c r="H83" s="129"/>
    </row>
    <row r="84" spans="1:8" x14ac:dyDescent="0.45">
      <c r="A84" s="130">
        <v>132</v>
      </c>
      <c r="B84" s="131" t="s">
        <v>178</v>
      </c>
      <c r="C84" s="131"/>
      <c r="D84" s="131"/>
      <c r="E84" s="131">
        <v>8001</v>
      </c>
      <c r="F84" s="131" t="str">
        <f t="shared" si="0"/>
        <v>1328001</v>
      </c>
      <c r="G84" s="133" t="s">
        <v>185</v>
      </c>
      <c r="H84" s="129"/>
    </row>
    <row r="85" spans="1:8" x14ac:dyDescent="0.45">
      <c r="A85" s="130">
        <v>132</v>
      </c>
      <c r="B85" s="131" t="s">
        <v>178</v>
      </c>
      <c r="C85" s="131"/>
      <c r="D85" s="131"/>
      <c r="E85" s="131">
        <v>9997</v>
      </c>
      <c r="F85" s="131" t="str">
        <f t="shared" si="0"/>
        <v>1329997</v>
      </c>
      <c r="G85" s="133" t="s">
        <v>186</v>
      </c>
      <c r="H85" s="129"/>
    </row>
    <row r="86" spans="1:8" x14ac:dyDescent="0.45">
      <c r="A86" s="130">
        <v>132</v>
      </c>
      <c r="B86" s="131" t="s">
        <v>178</v>
      </c>
      <c r="C86" s="131"/>
      <c r="D86" s="131"/>
      <c r="E86" s="131">
        <v>9998</v>
      </c>
      <c r="F86" s="131" t="str">
        <f t="shared" si="0"/>
        <v>1329998</v>
      </c>
      <c r="G86" s="133" t="s">
        <v>187</v>
      </c>
      <c r="H86" s="129"/>
    </row>
    <row r="87" spans="1:8" x14ac:dyDescent="0.45">
      <c r="A87" s="130">
        <v>132</v>
      </c>
      <c r="B87" s="131" t="s">
        <v>178</v>
      </c>
      <c r="C87" s="131"/>
      <c r="D87" s="131"/>
      <c r="E87" s="131">
        <v>9999</v>
      </c>
      <c r="F87" s="131" t="str">
        <f t="shared" si="0"/>
        <v>1329999</v>
      </c>
      <c r="G87" s="133" t="s">
        <v>188</v>
      </c>
      <c r="H87" s="129"/>
    </row>
    <row r="88" spans="1:8" x14ac:dyDescent="0.45">
      <c r="A88" s="130">
        <v>140</v>
      </c>
      <c r="B88" s="131" t="s">
        <v>189</v>
      </c>
      <c r="C88" s="131"/>
      <c r="D88" s="131"/>
      <c r="E88" s="131"/>
      <c r="F88" s="131" t="str">
        <f t="shared" si="0"/>
        <v>140</v>
      </c>
      <c r="G88" s="133"/>
      <c r="H88" s="129"/>
    </row>
    <row r="89" spans="1:8" x14ac:dyDescent="0.45">
      <c r="A89" s="130">
        <v>150</v>
      </c>
      <c r="B89" s="131" t="s">
        <v>190</v>
      </c>
      <c r="C89" s="131"/>
      <c r="D89" s="131"/>
      <c r="E89" s="131">
        <v>1</v>
      </c>
      <c r="F89" s="131" t="str">
        <f>A89&amp;E89</f>
        <v>1501</v>
      </c>
      <c r="G89" s="133" t="s">
        <v>191</v>
      </c>
      <c r="H89" s="129"/>
    </row>
    <row r="90" spans="1:8" x14ac:dyDescent="0.45">
      <c r="A90" s="130">
        <v>150</v>
      </c>
      <c r="B90" s="131" t="s">
        <v>190</v>
      </c>
      <c r="C90" s="131"/>
      <c r="D90" s="131"/>
      <c r="E90" s="131">
        <v>2</v>
      </c>
      <c r="F90" s="131" t="str">
        <f>A90&amp;E90</f>
        <v>1502</v>
      </c>
      <c r="G90" s="133" t="s">
        <v>192</v>
      </c>
      <c r="H90" s="129"/>
    </row>
    <row r="91" spans="1:8" x14ac:dyDescent="0.45">
      <c r="A91" s="130">
        <v>151</v>
      </c>
      <c r="B91" s="131" t="s">
        <v>193</v>
      </c>
      <c r="C91" s="131"/>
      <c r="D91" s="131"/>
      <c r="E91" s="131">
        <v>1</v>
      </c>
      <c r="F91" s="131" t="str">
        <f>A91&amp;E91</f>
        <v>1511</v>
      </c>
      <c r="G91" s="133" t="s">
        <v>194</v>
      </c>
      <c r="H91" s="129"/>
    </row>
    <row r="92" spans="1:8" x14ac:dyDescent="0.45">
      <c r="A92" s="130">
        <v>151</v>
      </c>
      <c r="B92" s="131" t="s">
        <v>193</v>
      </c>
      <c r="C92" s="131"/>
      <c r="D92" s="131"/>
      <c r="E92" s="131">
        <v>4</v>
      </c>
      <c r="F92" s="131" t="str">
        <f t="shared" ref="F92:F206" si="1">A92&amp;E92</f>
        <v>1514</v>
      </c>
      <c r="G92" s="133" t="s">
        <v>195</v>
      </c>
      <c r="H92" s="129"/>
    </row>
    <row r="93" spans="1:8" x14ac:dyDescent="0.45">
      <c r="A93" s="130">
        <v>152</v>
      </c>
      <c r="B93" s="131" t="s">
        <v>196</v>
      </c>
      <c r="C93" s="131"/>
      <c r="D93" s="131"/>
      <c r="E93" s="131">
        <v>1</v>
      </c>
      <c r="F93" s="131" t="str">
        <f t="shared" si="1"/>
        <v>1521</v>
      </c>
      <c r="G93" s="133" t="s">
        <v>197</v>
      </c>
      <c r="H93" s="129"/>
    </row>
    <row r="94" spans="1:8" x14ac:dyDescent="0.45">
      <c r="A94" s="130">
        <v>152</v>
      </c>
      <c r="B94" s="131" t="s">
        <v>196</v>
      </c>
      <c r="C94" s="131"/>
      <c r="D94" s="131"/>
      <c r="E94" s="131">
        <v>4</v>
      </c>
      <c r="F94" s="131" t="str">
        <f t="shared" si="1"/>
        <v>1524</v>
      </c>
      <c r="G94" s="133" t="s">
        <v>198</v>
      </c>
      <c r="H94" s="129"/>
    </row>
    <row r="95" spans="1:8" x14ac:dyDescent="0.45">
      <c r="A95" s="130">
        <v>152</v>
      </c>
      <c r="B95" s="131" t="s">
        <v>196</v>
      </c>
      <c r="C95" s="131"/>
      <c r="D95" s="131"/>
      <c r="E95" s="131">
        <v>100</v>
      </c>
      <c r="F95" s="131" t="str">
        <f t="shared" si="1"/>
        <v>152100</v>
      </c>
      <c r="G95" s="133" t="s">
        <v>199</v>
      </c>
      <c r="H95" s="129"/>
    </row>
    <row r="96" spans="1:8" x14ac:dyDescent="0.45">
      <c r="A96" s="130">
        <v>152</v>
      </c>
      <c r="B96" s="131" t="s">
        <v>196</v>
      </c>
      <c r="C96" s="131"/>
      <c r="D96" s="131"/>
      <c r="E96" s="131">
        <v>101</v>
      </c>
      <c r="F96" s="131" t="str">
        <f t="shared" si="1"/>
        <v>152101</v>
      </c>
      <c r="G96" s="133" t="s">
        <v>200</v>
      </c>
      <c r="H96" s="129"/>
    </row>
    <row r="97" spans="1:8" x14ac:dyDescent="0.45">
      <c r="A97" s="130">
        <v>152</v>
      </c>
      <c r="B97" s="131" t="s">
        <v>196</v>
      </c>
      <c r="C97" s="131"/>
      <c r="D97" s="131"/>
      <c r="E97" s="131">
        <v>102</v>
      </c>
      <c r="F97" s="131" t="str">
        <f t="shared" si="1"/>
        <v>152102</v>
      </c>
      <c r="G97" s="133" t="s">
        <v>201</v>
      </c>
      <c r="H97" s="129"/>
    </row>
    <row r="98" spans="1:8" x14ac:dyDescent="0.45">
      <c r="A98" s="130">
        <v>152</v>
      </c>
      <c r="B98" s="131" t="s">
        <v>196</v>
      </c>
      <c r="C98" s="131"/>
      <c r="D98" s="131"/>
      <c r="E98" s="131">
        <v>103</v>
      </c>
      <c r="F98" s="131" t="str">
        <f t="shared" si="1"/>
        <v>152103</v>
      </c>
      <c r="G98" s="133" t="s">
        <v>202</v>
      </c>
      <c r="H98" s="129"/>
    </row>
    <row r="99" spans="1:8" x14ac:dyDescent="0.45">
      <c r="A99" s="130">
        <v>152</v>
      </c>
      <c r="B99" s="131" t="s">
        <v>196</v>
      </c>
      <c r="C99" s="131"/>
      <c r="D99" s="131"/>
      <c r="E99" s="131">
        <v>104</v>
      </c>
      <c r="F99" s="131" t="str">
        <f t="shared" si="1"/>
        <v>152104</v>
      </c>
      <c r="G99" s="133" t="s">
        <v>203</v>
      </c>
      <c r="H99" s="129"/>
    </row>
    <row r="100" spans="1:8" x14ac:dyDescent="0.45">
      <c r="A100" s="130">
        <v>152</v>
      </c>
      <c r="B100" s="131" t="s">
        <v>196</v>
      </c>
      <c r="C100" s="131"/>
      <c r="D100" s="131"/>
      <c r="E100" s="131">
        <v>105</v>
      </c>
      <c r="F100" s="131" t="str">
        <f t="shared" si="1"/>
        <v>152105</v>
      </c>
      <c r="G100" s="133" t="s">
        <v>204</v>
      </c>
      <c r="H100" s="129"/>
    </row>
    <row r="101" spans="1:8" x14ac:dyDescent="0.45">
      <c r="A101" s="130">
        <v>153</v>
      </c>
      <c r="B101" s="131" t="s">
        <v>205</v>
      </c>
      <c r="C101" s="131"/>
      <c r="D101" s="131"/>
      <c r="E101" s="131">
        <v>7008</v>
      </c>
      <c r="F101" s="131" t="str">
        <f t="shared" si="1"/>
        <v>1537008</v>
      </c>
      <c r="G101" s="133" t="s">
        <v>206</v>
      </c>
      <c r="H101" s="129"/>
    </row>
    <row r="102" spans="1:8" x14ac:dyDescent="0.45">
      <c r="A102" s="130">
        <v>153</v>
      </c>
      <c r="B102" s="131" t="s">
        <v>205</v>
      </c>
      <c r="C102" s="131"/>
      <c r="D102" s="131"/>
      <c r="E102" s="131">
        <v>1621</v>
      </c>
      <c r="F102" s="131" t="str">
        <f>A102&amp;E102</f>
        <v>1531621</v>
      </c>
      <c r="G102" s="133" t="s">
        <v>207</v>
      </c>
      <c r="H102" s="129"/>
    </row>
    <row r="103" spans="1:8" x14ac:dyDescent="0.45">
      <c r="A103" s="130">
        <v>153</v>
      </c>
      <c r="B103" s="131" t="s">
        <v>205</v>
      </c>
      <c r="C103" s="131"/>
      <c r="D103" s="131"/>
      <c r="E103" s="131">
        <v>1620</v>
      </c>
      <c r="F103" s="131" t="str">
        <f>A103&amp;E103</f>
        <v>1531620</v>
      </c>
      <c r="G103" s="133" t="s">
        <v>208</v>
      </c>
      <c r="H103" s="129"/>
    </row>
    <row r="104" spans="1:8" x14ac:dyDescent="0.45">
      <c r="A104" s="130">
        <v>153</v>
      </c>
      <c r="B104" s="131" t="s">
        <v>205</v>
      </c>
      <c r="C104" s="131"/>
      <c r="D104" s="131"/>
      <c r="E104" s="131">
        <v>1</v>
      </c>
      <c r="F104" s="131" t="str">
        <f>A104&amp;E104</f>
        <v>1531</v>
      </c>
      <c r="G104" s="133" t="s">
        <v>209</v>
      </c>
      <c r="H104" s="129"/>
    </row>
    <row r="105" spans="1:8" x14ac:dyDescent="0.45">
      <c r="A105" s="130">
        <v>154</v>
      </c>
      <c r="B105" s="131" t="s">
        <v>210</v>
      </c>
      <c r="C105" s="131"/>
      <c r="D105" s="131"/>
      <c r="E105" s="131">
        <v>4</v>
      </c>
      <c r="F105" s="131" t="str">
        <f t="shared" si="1"/>
        <v>1544</v>
      </c>
      <c r="G105" s="133" t="s">
        <v>198</v>
      </c>
      <c r="H105" s="129"/>
    </row>
    <row r="106" spans="1:8" x14ac:dyDescent="0.45">
      <c r="A106" s="130">
        <v>154</v>
      </c>
      <c r="B106" s="131" t="s">
        <v>210</v>
      </c>
      <c r="C106" s="131"/>
      <c r="D106" s="131"/>
      <c r="E106" s="131">
        <v>10</v>
      </c>
      <c r="F106" s="131" t="str">
        <f t="shared" si="1"/>
        <v>15410</v>
      </c>
      <c r="G106" s="133" t="s">
        <v>211</v>
      </c>
      <c r="H106" s="129"/>
    </row>
    <row r="107" spans="1:8" x14ac:dyDescent="0.45">
      <c r="A107" s="130">
        <v>154</v>
      </c>
      <c r="B107" s="131" t="s">
        <v>210</v>
      </c>
      <c r="C107" s="131"/>
      <c r="D107" s="131"/>
      <c r="E107" s="131">
        <v>11</v>
      </c>
      <c r="F107" s="131" t="str">
        <f>A107&amp;E107</f>
        <v>15411</v>
      </c>
      <c r="G107" s="133" t="s">
        <v>212</v>
      </c>
      <c r="H107" s="129"/>
    </row>
    <row r="108" spans="1:8" x14ac:dyDescent="0.45">
      <c r="A108" s="130">
        <v>154</v>
      </c>
      <c r="B108" s="131" t="s">
        <v>210</v>
      </c>
      <c r="C108" s="131"/>
      <c r="D108" s="131"/>
      <c r="E108" s="131">
        <v>100</v>
      </c>
      <c r="F108" s="131" t="str">
        <f t="shared" si="1"/>
        <v>154100</v>
      </c>
      <c r="G108" s="133" t="s">
        <v>199</v>
      </c>
      <c r="H108" s="129"/>
    </row>
    <row r="109" spans="1:8" x14ac:dyDescent="0.45">
      <c r="A109" s="130">
        <v>154</v>
      </c>
      <c r="B109" s="131" t="s">
        <v>210</v>
      </c>
      <c r="C109" s="131"/>
      <c r="D109" s="131"/>
      <c r="E109" s="131">
        <v>101</v>
      </c>
      <c r="F109" s="131" t="str">
        <f t="shared" si="1"/>
        <v>154101</v>
      </c>
      <c r="G109" s="133" t="s">
        <v>199</v>
      </c>
      <c r="H109" s="129"/>
    </row>
    <row r="110" spans="1:8" x14ac:dyDescent="0.45">
      <c r="A110" s="130">
        <v>154</v>
      </c>
      <c r="B110" s="131" t="s">
        <v>210</v>
      </c>
      <c r="C110" s="131"/>
      <c r="D110" s="131"/>
      <c r="E110" s="131">
        <v>999</v>
      </c>
      <c r="F110" s="131" t="str">
        <f t="shared" si="1"/>
        <v>154999</v>
      </c>
      <c r="G110" s="133" t="s">
        <v>213</v>
      </c>
      <c r="H110" s="129"/>
    </row>
    <row r="111" spans="1:8" x14ac:dyDescent="0.45">
      <c r="A111" s="130">
        <v>154</v>
      </c>
      <c r="B111" s="131" t="s">
        <v>210</v>
      </c>
      <c r="C111" s="131"/>
      <c r="D111" s="131"/>
      <c r="E111" s="131">
        <v>2401</v>
      </c>
      <c r="F111" s="131" t="str">
        <f t="shared" si="1"/>
        <v>1542401</v>
      </c>
      <c r="G111" s="133" t="s">
        <v>214</v>
      </c>
      <c r="H111" s="129"/>
    </row>
    <row r="112" spans="1:8" x14ac:dyDescent="0.45">
      <c r="A112" s="130">
        <v>155</v>
      </c>
      <c r="B112" s="131" t="s">
        <v>215</v>
      </c>
      <c r="C112" s="131"/>
      <c r="D112" s="131"/>
      <c r="E112" s="131">
        <v>1</v>
      </c>
      <c r="F112" s="131" t="str">
        <f t="shared" si="1"/>
        <v>1551</v>
      </c>
      <c r="G112" s="133" t="s">
        <v>216</v>
      </c>
      <c r="H112" s="129"/>
    </row>
    <row r="113" spans="1:8" x14ac:dyDescent="0.45">
      <c r="A113" s="130">
        <v>155</v>
      </c>
      <c r="B113" s="131" t="s">
        <v>215</v>
      </c>
      <c r="C113" s="131"/>
      <c r="D113" s="131"/>
      <c r="E113" s="131">
        <v>10</v>
      </c>
      <c r="F113" s="131" t="str">
        <f t="shared" si="1"/>
        <v>15510</v>
      </c>
      <c r="G113" s="133" t="s">
        <v>217</v>
      </c>
      <c r="H113" s="129"/>
    </row>
    <row r="114" spans="1:8" x14ac:dyDescent="0.45">
      <c r="A114" s="130">
        <v>155</v>
      </c>
      <c r="B114" s="131" t="s">
        <v>215</v>
      </c>
      <c r="C114" s="131"/>
      <c r="D114" s="131"/>
      <c r="E114" s="131">
        <v>100</v>
      </c>
      <c r="F114" s="131" t="str">
        <f t="shared" si="1"/>
        <v>155100</v>
      </c>
      <c r="G114" s="133" t="s">
        <v>218</v>
      </c>
      <c r="H114" s="129"/>
    </row>
    <row r="115" spans="1:8" x14ac:dyDescent="0.45">
      <c r="A115" s="130">
        <v>155</v>
      </c>
      <c r="B115" s="131" t="s">
        <v>215</v>
      </c>
      <c r="C115" s="131"/>
      <c r="D115" s="131"/>
      <c r="E115" s="131">
        <v>101</v>
      </c>
      <c r="F115" s="131" t="str">
        <f>A115&amp;E115</f>
        <v>155101</v>
      </c>
      <c r="G115" s="133" t="s">
        <v>219</v>
      </c>
      <c r="H115" s="129"/>
    </row>
    <row r="116" spans="1:8" x14ac:dyDescent="0.45">
      <c r="A116" s="130">
        <v>155</v>
      </c>
      <c r="B116" s="131" t="s">
        <v>215</v>
      </c>
      <c r="C116" s="131"/>
      <c r="D116" s="131"/>
      <c r="E116" s="131">
        <v>102</v>
      </c>
      <c r="F116" s="131" t="str">
        <f>A116&amp;E116</f>
        <v>155102</v>
      </c>
      <c r="G116" s="133" t="s">
        <v>220</v>
      </c>
      <c r="H116" s="129"/>
    </row>
    <row r="117" spans="1:8" x14ac:dyDescent="0.45">
      <c r="A117" s="130">
        <v>156</v>
      </c>
      <c r="B117" s="131" t="s">
        <v>221</v>
      </c>
      <c r="C117" s="131"/>
      <c r="D117" s="131"/>
      <c r="E117" s="131"/>
      <c r="F117" s="131" t="str">
        <f>A117&amp;E117</f>
        <v>156</v>
      </c>
      <c r="G117" s="133"/>
      <c r="H117" s="129"/>
    </row>
    <row r="118" spans="1:8" x14ac:dyDescent="0.45">
      <c r="A118" s="130">
        <v>158</v>
      </c>
      <c r="B118" s="131" t="s">
        <v>222</v>
      </c>
      <c r="C118" s="131"/>
      <c r="D118" s="131"/>
      <c r="E118" s="131"/>
      <c r="F118" s="131" t="str">
        <f t="shared" si="1"/>
        <v>158</v>
      </c>
      <c r="G118" s="133"/>
      <c r="H118" s="129"/>
    </row>
    <row r="119" spans="1:8" x14ac:dyDescent="0.45">
      <c r="A119" s="130">
        <v>161</v>
      </c>
      <c r="B119" s="131" t="s">
        <v>223</v>
      </c>
      <c r="C119" s="131">
        <v>32</v>
      </c>
      <c r="D119" s="131">
        <v>5</v>
      </c>
      <c r="E119" s="131"/>
      <c r="F119" s="131" t="str">
        <f t="shared" si="1"/>
        <v>161</v>
      </c>
      <c r="G119" s="133"/>
      <c r="H119" s="129"/>
    </row>
    <row r="120" spans="1:8" x14ac:dyDescent="0.45">
      <c r="A120" s="130">
        <v>162</v>
      </c>
      <c r="B120" s="131" t="s">
        <v>224</v>
      </c>
      <c r="C120" s="131">
        <v>32</v>
      </c>
      <c r="D120" s="131">
        <v>5</v>
      </c>
      <c r="E120" s="131"/>
      <c r="F120" s="131" t="str">
        <f t="shared" si="1"/>
        <v>162</v>
      </c>
      <c r="G120" s="133"/>
      <c r="H120" s="129"/>
    </row>
    <row r="121" spans="1:8" x14ac:dyDescent="0.45">
      <c r="A121" s="130">
        <v>164</v>
      </c>
      <c r="B121" s="131" t="s">
        <v>225</v>
      </c>
      <c r="C121" s="131">
        <v>32</v>
      </c>
      <c r="D121" s="131">
        <v>8</v>
      </c>
      <c r="E121" s="131"/>
      <c r="F121" s="131" t="str">
        <f>A121&amp;E121</f>
        <v>164</v>
      </c>
      <c r="G121" s="133"/>
      <c r="H121" s="129"/>
    </row>
    <row r="122" spans="1:8" x14ac:dyDescent="0.45">
      <c r="A122" s="130">
        <v>165</v>
      </c>
      <c r="B122" s="131" t="s">
        <v>226</v>
      </c>
      <c r="C122" s="131">
        <v>32</v>
      </c>
      <c r="D122" s="131">
        <v>5</v>
      </c>
      <c r="E122" s="131"/>
      <c r="F122" s="131" t="str">
        <f t="shared" si="1"/>
        <v>165</v>
      </c>
      <c r="G122" s="133"/>
      <c r="H122" s="129"/>
    </row>
    <row r="123" spans="1:8" x14ac:dyDescent="0.45">
      <c r="A123" s="130">
        <v>171</v>
      </c>
      <c r="B123" s="131" t="s">
        <v>227</v>
      </c>
      <c r="C123" s="131"/>
      <c r="D123" s="131"/>
      <c r="E123" s="131">
        <v>1</v>
      </c>
      <c r="F123" s="131" t="str">
        <f>A123&amp;E123</f>
        <v>1711</v>
      </c>
      <c r="G123" s="133" t="s">
        <v>228</v>
      </c>
      <c r="H123" s="129"/>
    </row>
    <row r="124" spans="1:8" x14ac:dyDescent="0.45">
      <c r="A124" s="130">
        <v>171</v>
      </c>
      <c r="B124" s="131" t="s">
        <v>227</v>
      </c>
      <c r="C124" s="131"/>
      <c r="D124" s="131"/>
      <c r="E124" s="131">
        <v>2</v>
      </c>
      <c r="F124" s="131" t="str">
        <f>A124&amp;E124</f>
        <v>1712</v>
      </c>
      <c r="G124" s="133" t="s">
        <v>229</v>
      </c>
      <c r="H124" s="129"/>
    </row>
    <row r="125" spans="1:8" x14ac:dyDescent="0.45">
      <c r="A125" s="130">
        <v>171</v>
      </c>
      <c r="B125" s="131" t="s">
        <v>227</v>
      </c>
      <c r="C125" s="131"/>
      <c r="D125" s="131"/>
      <c r="E125" s="131">
        <v>3</v>
      </c>
      <c r="F125" s="131" t="str">
        <f>A125&amp;E125</f>
        <v>1713</v>
      </c>
      <c r="G125" s="133" t="s">
        <v>230</v>
      </c>
      <c r="H125" s="129"/>
    </row>
    <row r="126" spans="1:8" x14ac:dyDescent="0.45">
      <c r="A126" s="130">
        <v>171</v>
      </c>
      <c r="B126" s="131" t="s">
        <v>227</v>
      </c>
      <c r="C126" s="131"/>
      <c r="D126" s="131"/>
      <c r="E126" s="131">
        <v>4</v>
      </c>
      <c r="F126" s="131" t="str">
        <f>A126&amp;E126</f>
        <v>1714</v>
      </c>
      <c r="G126" s="133" t="s">
        <v>231</v>
      </c>
      <c r="H126" s="129"/>
    </row>
    <row r="127" spans="1:8" x14ac:dyDescent="0.45">
      <c r="A127" s="130">
        <v>173</v>
      </c>
      <c r="B127" s="131" t="s">
        <v>232</v>
      </c>
      <c r="C127" s="131">
        <v>32</v>
      </c>
      <c r="D127" s="131">
        <v>5</v>
      </c>
      <c r="E127" s="131"/>
      <c r="F127" s="131" t="str">
        <f t="shared" si="1"/>
        <v>173</v>
      </c>
      <c r="G127" s="133"/>
      <c r="H127" s="129"/>
    </row>
    <row r="128" spans="1:8" x14ac:dyDescent="0.45">
      <c r="A128" s="130">
        <v>173</v>
      </c>
      <c r="B128" s="131" t="s">
        <v>232</v>
      </c>
      <c r="C128" s="131">
        <v>81</v>
      </c>
      <c r="D128" s="131"/>
      <c r="E128" s="131"/>
      <c r="F128" s="131" t="str">
        <f t="shared" si="1"/>
        <v>173</v>
      </c>
      <c r="G128" s="133"/>
      <c r="H128" s="129"/>
    </row>
    <row r="129" spans="1:8" x14ac:dyDescent="0.45">
      <c r="A129" s="130">
        <v>181</v>
      </c>
      <c r="B129" s="131" t="s">
        <v>233</v>
      </c>
      <c r="C129" s="131"/>
      <c r="D129" s="131"/>
      <c r="E129" s="131">
        <v>1</v>
      </c>
      <c r="F129" s="131" t="str">
        <f>A129&amp;E129</f>
        <v>1811</v>
      </c>
      <c r="G129" s="133" t="s">
        <v>234</v>
      </c>
      <c r="H129" s="129"/>
    </row>
    <row r="130" spans="1:8" x14ac:dyDescent="0.45">
      <c r="A130" s="130">
        <v>181</v>
      </c>
      <c r="B130" s="131" t="s">
        <v>233</v>
      </c>
      <c r="C130" s="131"/>
      <c r="D130" s="131"/>
      <c r="E130" s="131">
        <v>2</v>
      </c>
      <c r="F130" s="131" t="str">
        <f>A130&amp;E130</f>
        <v>1812</v>
      </c>
      <c r="G130" s="133" t="s">
        <v>235</v>
      </c>
      <c r="H130" s="129"/>
    </row>
    <row r="131" spans="1:8" x14ac:dyDescent="0.45">
      <c r="A131" s="130">
        <v>181</v>
      </c>
      <c r="B131" s="131" t="s">
        <v>233</v>
      </c>
      <c r="C131" s="131"/>
      <c r="D131" s="131"/>
      <c r="E131" s="131">
        <v>3</v>
      </c>
      <c r="F131" s="131" t="str">
        <f>A131&amp;E131</f>
        <v>1813</v>
      </c>
      <c r="G131" s="133" t="s">
        <v>236</v>
      </c>
      <c r="H131" s="129"/>
    </row>
    <row r="132" spans="1:8" x14ac:dyDescent="0.45">
      <c r="A132" s="130">
        <v>181</v>
      </c>
      <c r="B132" s="131" t="s">
        <v>233</v>
      </c>
      <c r="C132" s="131"/>
      <c r="D132" s="131"/>
      <c r="E132" s="131">
        <v>4</v>
      </c>
      <c r="F132" s="131" t="str">
        <f>A132&amp;E132</f>
        <v>1814</v>
      </c>
      <c r="G132" s="133" t="s">
        <v>237</v>
      </c>
      <c r="H132" s="129"/>
    </row>
    <row r="133" spans="1:8" x14ac:dyDescent="0.45">
      <c r="A133" s="130">
        <v>185</v>
      </c>
      <c r="B133" s="131" t="s">
        <v>238</v>
      </c>
      <c r="C133" s="131"/>
      <c r="D133" s="131"/>
      <c r="E133" s="131"/>
      <c r="F133" s="131" t="str">
        <f t="shared" si="1"/>
        <v>185</v>
      </c>
      <c r="G133" s="133"/>
      <c r="H133" s="129"/>
    </row>
    <row r="134" spans="1:8" x14ac:dyDescent="0.45">
      <c r="A134" s="130">
        <v>188</v>
      </c>
      <c r="B134" s="131" t="s">
        <v>239</v>
      </c>
      <c r="C134" s="131"/>
      <c r="D134" s="131"/>
      <c r="E134" s="131"/>
      <c r="F134" s="131" t="str">
        <f>A134&amp;E134</f>
        <v>188</v>
      </c>
      <c r="G134" s="133"/>
      <c r="H134" s="129"/>
    </row>
    <row r="135" spans="1:8" x14ac:dyDescent="0.45">
      <c r="A135" s="130">
        <v>201</v>
      </c>
      <c r="B135" s="131" t="s">
        <v>240</v>
      </c>
      <c r="C135" s="131"/>
      <c r="D135" s="131"/>
      <c r="E135" s="131">
        <v>1005</v>
      </c>
      <c r="F135" s="131" t="str">
        <f t="shared" si="1"/>
        <v>2011005</v>
      </c>
      <c r="G135" s="133" t="s">
        <v>241</v>
      </c>
      <c r="H135" s="129"/>
    </row>
    <row r="136" spans="1:8" x14ac:dyDescent="0.45">
      <c r="A136" s="130">
        <v>201</v>
      </c>
      <c r="B136" s="131" t="s">
        <v>240</v>
      </c>
      <c r="C136" s="131"/>
      <c r="D136" s="131"/>
      <c r="E136" s="131">
        <v>1011</v>
      </c>
      <c r="F136" s="131" t="str">
        <f t="shared" si="1"/>
        <v>2011011</v>
      </c>
      <c r="G136" s="133" t="s">
        <v>242</v>
      </c>
      <c r="H136" s="129"/>
    </row>
    <row r="137" spans="1:8" x14ac:dyDescent="0.45">
      <c r="A137" s="130">
        <v>201</v>
      </c>
      <c r="B137" s="131" t="s">
        <v>240</v>
      </c>
      <c r="C137" s="131"/>
      <c r="D137" s="131"/>
      <c r="E137" s="131">
        <v>1023</v>
      </c>
      <c r="F137" s="131" t="str">
        <f t="shared" si="1"/>
        <v>2011023</v>
      </c>
      <c r="G137" s="133" t="s">
        <v>243</v>
      </c>
      <c r="H137" s="129"/>
    </row>
    <row r="138" spans="1:8" x14ac:dyDescent="0.45">
      <c r="A138" s="130">
        <v>201</v>
      </c>
      <c r="B138" s="131" t="s">
        <v>240</v>
      </c>
      <c r="C138" s="131"/>
      <c r="D138" s="131"/>
      <c r="E138" s="131">
        <v>1024</v>
      </c>
      <c r="F138" s="131" t="str">
        <f>A138&amp;E138</f>
        <v>2011024</v>
      </c>
      <c r="G138" s="133" t="s">
        <v>244</v>
      </c>
      <c r="H138" s="129"/>
    </row>
    <row r="139" spans="1:8" x14ac:dyDescent="0.45">
      <c r="A139" s="130">
        <v>201</v>
      </c>
      <c r="B139" s="131" t="s">
        <v>240</v>
      </c>
      <c r="C139" s="131"/>
      <c r="D139" s="131"/>
      <c r="E139" s="131">
        <v>1027</v>
      </c>
      <c r="F139" s="131" t="str">
        <f>A139&amp;E139</f>
        <v>2011027</v>
      </c>
      <c r="G139" s="133" t="s">
        <v>245</v>
      </c>
      <c r="H139" s="129"/>
    </row>
    <row r="140" spans="1:8" x14ac:dyDescent="0.45">
      <c r="A140" s="130">
        <v>201</v>
      </c>
      <c r="B140" s="131" t="s">
        <v>240</v>
      </c>
      <c r="C140" s="131"/>
      <c r="D140" s="131"/>
      <c r="E140" s="131">
        <v>1028</v>
      </c>
      <c r="F140" s="131" t="str">
        <f>A140&amp;E140</f>
        <v>2011028</v>
      </c>
      <c r="G140" s="133" t="s">
        <v>246</v>
      </c>
      <c r="H140" s="129"/>
    </row>
    <row r="141" spans="1:8" x14ac:dyDescent="0.45">
      <c r="A141" s="130">
        <v>201</v>
      </c>
      <c r="B141" s="131" t="s">
        <v>240</v>
      </c>
      <c r="C141" s="131"/>
      <c r="D141" s="131"/>
      <c r="E141" s="131">
        <v>1203</v>
      </c>
      <c r="F141" s="131" t="str">
        <f t="shared" si="1"/>
        <v>2011203</v>
      </c>
      <c r="G141" s="133" t="s">
        <v>247</v>
      </c>
      <c r="H141" s="129"/>
    </row>
    <row r="142" spans="1:8" x14ac:dyDescent="0.45">
      <c r="A142" s="130">
        <v>201</v>
      </c>
      <c r="B142" s="131" t="s">
        <v>240</v>
      </c>
      <c r="C142" s="131"/>
      <c r="D142" s="131"/>
      <c r="E142" s="131">
        <v>1209</v>
      </c>
      <c r="F142" s="131" t="str">
        <f t="shared" si="1"/>
        <v>2011209</v>
      </c>
      <c r="G142" s="133" t="s">
        <v>248</v>
      </c>
      <c r="H142" s="129"/>
    </row>
    <row r="143" spans="1:8" x14ac:dyDescent="0.45">
      <c r="A143" s="130">
        <v>201</v>
      </c>
      <c r="B143" s="131" t="s">
        <v>240</v>
      </c>
      <c r="C143" s="131"/>
      <c r="D143" s="131"/>
      <c r="E143" s="131">
        <v>1224</v>
      </c>
      <c r="F143" s="131" t="str">
        <f t="shared" si="1"/>
        <v>2011224</v>
      </c>
      <c r="G143" s="133" t="s">
        <v>249</v>
      </c>
      <c r="H143" s="129"/>
    </row>
    <row r="144" spans="1:8" x14ac:dyDescent="0.45">
      <c r="A144" s="130">
        <v>201</v>
      </c>
      <c r="B144" s="131" t="s">
        <v>240</v>
      </c>
      <c r="C144" s="131"/>
      <c r="D144" s="131"/>
      <c r="E144" s="131">
        <v>1226</v>
      </c>
      <c r="F144" s="131" t="str">
        <f t="shared" si="1"/>
        <v>2011226</v>
      </c>
      <c r="G144" s="133" t="s">
        <v>250</v>
      </c>
      <c r="H144" s="129"/>
    </row>
    <row r="145" spans="1:8" x14ac:dyDescent="0.45">
      <c r="A145" s="130">
        <v>201</v>
      </c>
      <c r="B145" s="131" t="s">
        <v>240</v>
      </c>
      <c r="C145" s="131"/>
      <c r="D145" s="131"/>
      <c r="E145" s="131">
        <v>1227</v>
      </c>
      <c r="F145" s="131" t="str">
        <f t="shared" si="1"/>
        <v>2011227</v>
      </c>
      <c r="G145" s="133" t="s">
        <v>251</v>
      </c>
      <c r="H145" s="129"/>
    </row>
    <row r="146" spans="1:8" x14ac:dyDescent="0.45">
      <c r="A146" s="130">
        <v>201</v>
      </c>
      <c r="B146" s="131" t="s">
        <v>240</v>
      </c>
      <c r="C146" s="131"/>
      <c r="D146" s="131"/>
      <c r="E146" s="131">
        <v>1407</v>
      </c>
      <c r="F146" s="131" t="str">
        <f t="shared" si="1"/>
        <v>2011407</v>
      </c>
      <c r="G146" s="133" t="s">
        <v>252</v>
      </c>
      <c r="H146" s="129"/>
    </row>
    <row r="147" spans="1:8" x14ac:dyDescent="0.45">
      <c r="A147" s="130">
        <v>201</v>
      </c>
      <c r="B147" s="131" t="s">
        <v>240</v>
      </c>
      <c r="C147" s="131"/>
      <c r="D147" s="131"/>
      <c r="E147" s="131">
        <v>1408</v>
      </c>
      <c r="F147" s="131" t="str">
        <f t="shared" si="1"/>
        <v>2011408</v>
      </c>
      <c r="G147" s="133" t="s">
        <v>253</v>
      </c>
      <c r="H147" s="129"/>
    </row>
    <row r="148" spans="1:8" x14ac:dyDescent="0.45">
      <c r="A148" s="130">
        <v>201</v>
      </c>
      <c r="B148" s="131" t="s">
        <v>240</v>
      </c>
      <c r="C148" s="131"/>
      <c r="D148" s="131"/>
      <c r="E148" s="131">
        <v>1409</v>
      </c>
      <c r="F148" s="131" t="str">
        <f>A148&amp;E148</f>
        <v>2011409</v>
      </c>
      <c r="G148" s="133" t="s">
        <v>254</v>
      </c>
      <c r="H148" s="129"/>
    </row>
    <row r="149" spans="1:8" x14ac:dyDescent="0.45">
      <c r="A149" s="130">
        <v>201</v>
      </c>
      <c r="B149" s="131" t="s">
        <v>240</v>
      </c>
      <c r="C149" s="131"/>
      <c r="D149" s="131"/>
      <c r="E149" s="131">
        <v>1601</v>
      </c>
      <c r="F149" s="131" t="str">
        <f t="shared" si="1"/>
        <v>2011601</v>
      </c>
      <c r="G149" s="133" t="s">
        <v>255</v>
      </c>
      <c r="H149" s="129"/>
    </row>
    <row r="150" spans="1:8" x14ac:dyDescent="0.45">
      <c r="A150" s="130">
        <v>201</v>
      </c>
      <c r="B150" s="131" t="s">
        <v>240</v>
      </c>
      <c r="C150" s="131"/>
      <c r="D150" s="131"/>
      <c r="E150" s="131">
        <v>1606</v>
      </c>
      <c r="F150" s="131" t="str">
        <f t="shared" si="1"/>
        <v>2011606</v>
      </c>
      <c r="G150" s="133" t="s">
        <v>256</v>
      </c>
      <c r="H150" s="129"/>
    </row>
    <row r="151" spans="1:8" x14ac:dyDescent="0.45">
      <c r="A151" s="130">
        <v>201</v>
      </c>
      <c r="B151" s="131" t="s">
        <v>240</v>
      </c>
      <c r="C151" s="131"/>
      <c r="D151" s="131"/>
      <c r="E151" s="131">
        <v>1614</v>
      </c>
      <c r="F151" s="131" t="str">
        <f t="shared" si="1"/>
        <v>2011614</v>
      </c>
      <c r="G151" s="133" t="s">
        <v>257</v>
      </c>
      <c r="H151" s="129"/>
    </row>
    <row r="152" spans="1:8" x14ac:dyDescent="0.45">
      <c r="A152" s="130">
        <v>201</v>
      </c>
      <c r="B152" s="131" t="s">
        <v>240</v>
      </c>
      <c r="C152" s="131"/>
      <c r="D152" s="131"/>
      <c r="E152" s="131">
        <v>1615</v>
      </c>
      <c r="F152" s="131" t="str">
        <f t="shared" si="1"/>
        <v>2011615</v>
      </c>
      <c r="G152" s="133" t="s">
        <v>258</v>
      </c>
      <c r="H152" s="129"/>
    </row>
    <row r="153" spans="1:8" x14ac:dyDescent="0.45">
      <c r="A153" s="130">
        <v>201</v>
      </c>
      <c r="B153" s="131" t="s">
        <v>240</v>
      </c>
      <c r="C153" s="131"/>
      <c r="D153" s="131"/>
      <c r="E153" s="131">
        <v>1616</v>
      </c>
      <c r="F153" s="131" t="str">
        <f t="shared" si="1"/>
        <v>2011616</v>
      </c>
      <c r="G153" s="133" t="s">
        <v>259</v>
      </c>
      <c r="H153" s="129"/>
    </row>
    <row r="154" spans="1:8" x14ac:dyDescent="0.45">
      <c r="A154" s="130">
        <v>201</v>
      </c>
      <c r="B154" s="131" t="s">
        <v>240</v>
      </c>
      <c r="C154" s="131"/>
      <c r="D154" s="131"/>
      <c r="E154" s="131">
        <v>1617</v>
      </c>
      <c r="F154" s="131" t="str">
        <f>A154&amp;E154</f>
        <v>2011617</v>
      </c>
      <c r="G154" s="133" t="s">
        <v>260</v>
      </c>
      <c r="H154" s="129"/>
    </row>
    <row r="155" spans="1:8" x14ac:dyDescent="0.45">
      <c r="A155" s="130">
        <v>201</v>
      </c>
      <c r="B155" s="131" t="s">
        <v>240</v>
      </c>
      <c r="C155" s="131"/>
      <c r="D155" s="131"/>
      <c r="E155" s="131">
        <v>1803</v>
      </c>
      <c r="F155" s="131" t="str">
        <f t="shared" si="1"/>
        <v>2011803</v>
      </c>
      <c r="G155" s="133" t="s">
        <v>261</v>
      </c>
      <c r="H155" s="129"/>
    </row>
    <row r="156" spans="1:8" x14ac:dyDescent="0.45">
      <c r="A156" s="130">
        <v>201</v>
      </c>
      <c r="B156" s="131" t="s">
        <v>240</v>
      </c>
      <c r="C156" s="131"/>
      <c r="D156" s="131"/>
      <c r="E156" s="131">
        <v>1805</v>
      </c>
      <c r="F156" s="131" t="str">
        <f t="shared" si="1"/>
        <v>2011805</v>
      </c>
      <c r="G156" s="133" t="s">
        <v>262</v>
      </c>
      <c r="H156" s="129"/>
    </row>
    <row r="157" spans="1:8" x14ac:dyDescent="0.45">
      <c r="A157" s="130">
        <v>201</v>
      </c>
      <c r="B157" s="131" t="s">
        <v>240</v>
      </c>
      <c r="C157" s="131"/>
      <c r="D157" s="131"/>
      <c r="E157" s="131">
        <v>1807</v>
      </c>
      <c r="F157" s="131" t="str">
        <f t="shared" si="1"/>
        <v>2011807</v>
      </c>
      <c r="G157" s="133" t="s">
        <v>263</v>
      </c>
      <c r="H157" s="129"/>
    </row>
    <row r="158" spans="1:8" x14ac:dyDescent="0.45">
      <c r="A158" s="130">
        <v>201</v>
      </c>
      <c r="B158" s="131" t="s">
        <v>240</v>
      </c>
      <c r="C158" s="131"/>
      <c r="D158" s="131"/>
      <c r="E158" s="131">
        <v>1818</v>
      </c>
      <c r="F158" s="131" t="str">
        <f>A158&amp;E158</f>
        <v>2011818</v>
      </c>
      <c r="G158" s="133" t="s">
        <v>264</v>
      </c>
      <c r="H158" s="129"/>
    </row>
    <row r="159" spans="1:8" x14ac:dyDescent="0.45">
      <c r="A159" s="130">
        <v>201</v>
      </c>
      <c r="B159" s="131" t="s">
        <v>240</v>
      </c>
      <c r="C159" s="131"/>
      <c r="D159" s="131"/>
      <c r="E159" s="131">
        <v>1823</v>
      </c>
      <c r="F159" s="131" t="str">
        <f t="shared" si="1"/>
        <v>2011823</v>
      </c>
      <c r="G159" s="133" t="s">
        <v>265</v>
      </c>
      <c r="H159" s="129"/>
    </row>
    <row r="160" spans="1:8" x14ac:dyDescent="0.45">
      <c r="A160" s="130">
        <v>201</v>
      </c>
      <c r="B160" s="131" t="s">
        <v>240</v>
      </c>
      <c r="C160" s="131"/>
      <c r="D160" s="131"/>
      <c r="E160" s="131">
        <v>1826</v>
      </c>
      <c r="F160" s="131" t="str">
        <f>A160&amp;E160</f>
        <v>2011826</v>
      </c>
      <c r="G160" s="133" t="s">
        <v>266</v>
      </c>
      <c r="H160" s="129"/>
    </row>
    <row r="161" spans="1:8" x14ac:dyDescent="0.45">
      <c r="A161" s="130">
        <v>201</v>
      </c>
      <c r="B161" s="131" t="s">
        <v>240</v>
      </c>
      <c r="C161" s="131"/>
      <c r="D161" s="131"/>
      <c r="E161" s="131">
        <v>1827</v>
      </c>
      <c r="F161" s="131" t="str">
        <f t="shared" si="1"/>
        <v>2011827</v>
      </c>
      <c r="G161" s="133" t="s">
        <v>267</v>
      </c>
      <c r="H161" s="129"/>
    </row>
    <row r="162" spans="1:8" x14ac:dyDescent="0.45">
      <c r="A162" s="130">
        <v>201</v>
      </c>
      <c r="B162" s="131" t="s">
        <v>240</v>
      </c>
      <c r="C162" s="131"/>
      <c r="D162" s="131"/>
      <c r="E162" s="131">
        <v>1828</v>
      </c>
      <c r="F162" s="131" t="str">
        <f t="shared" si="1"/>
        <v>2011828</v>
      </c>
      <c r="G162" s="133" t="s">
        <v>268</v>
      </c>
      <c r="H162" s="129"/>
    </row>
    <row r="163" spans="1:8" x14ac:dyDescent="0.45">
      <c r="A163" s="130">
        <v>201</v>
      </c>
      <c r="B163" s="131" t="s">
        <v>240</v>
      </c>
      <c r="C163" s="131"/>
      <c r="D163" s="131"/>
      <c r="E163" s="131">
        <v>2002</v>
      </c>
      <c r="F163" s="131" t="str">
        <f t="shared" si="1"/>
        <v>2012002</v>
      </c>
      <c r="G163" s="133" t="s">
        <v>269</v>
      </c>
      <c r="H163" s="129"/>
    </row>
    <row r="164" spans="1:8" x14ac:dyDescent="0.45">
      <c r="A164" s="130">
        <v>201</v>
      </c>
      <c r="B164" s="131" t="s">
        <v>240</v>
      </c>
      <c r="C164" s="131"/>
      <c r="D164" s="131"/>
      <c r="E164" s="131">
        <v>2004</v>
      </c>
      <c r="F164" s="131" t="str">
        <f t="shared" si="1"/>
        <v>2012004</v>
      </c>
      <c r="G164" s="133" t="s">
        <v>270</v>
      </c>
      <c r="H164" s="129"/>
    </row>
    <row r="165" spans="1:8" x14ac:dyDescent="0.45">
      <c r="A165" s="130">
        <v>201</v>
      </c>
      <c r="B165" s="131" t="s">
        <v>240</v>
      </c>
      <c r="C165" s="131"/>
      <c r="D165" s="131"/>
      <c r="E165" s="131">
        <v>2005</v>
      </c>
      <c r="F165" s="131" t="str">
        <f t="shared" si="1"/>
        <v>2012005</v>
      </c>
      <c r="G165" s="133" t="s">
        <v>271</v>
      </c>
      <c r="H165" s="129"/>
    </row>
    <row r="166" spans="1:8" x14ac:dyDescent="0.45">
      <c r="A166" s="130">
        <v>201</v>
      </c>
      <c r="B166" s="131" t="s">
        <v>240</v>
      </c>
      <c r="C166" s="131"/>
      <c r="D166" s="131"/>
      <c r="E166" s="131">
        <v>2007</v>
      </c>
      <c r="F166" s="131" t="str">
        <f t="shared" si="1"/>
        <v>2012007</v>
      </c>
      <c r="G166" s="133" t="s">
        <v>272</v>
      </c>
      <c r="H166" s="129"/>
    </row>
    <row r="167" spans="1:8" x14ac:dyDescent="0.45">
      <c r="A167" s="130">
        <v>201</v>
      </c>
      <c r="B167" s="131" t="s">
        <v>240</v>
      </c>
      <c r="C167" s="131"/>
      <c r="D167" s="131"/>
      <c r="E167" s="131">
        <v>2012</v>
      </c>
      <c r="F167" s="131" t="str">
        <f t="shared" si="1"/>
        <v>2012012</v>
      </c>
      <c r="G167" s="133" t="s">
        <v>273</v>
      </c>
      <c r="H167" s="129"/>
    </row>
    <row r="168" spans="1:8" x14ac:dyDescent="0.45">
      <c r="A168" s="130">
        <v>201</v>
      </c>
      <c r="B168" s="131" t="s">
        <v>240</v>
      </c>
      <c r="C168" s="131"/>
      <c r="D168" s="131"/>
      <c r="E168" s="131">
        <v>2021</v>
      </c>
      <c r="F168" s="131" t="str">
        <f t="shared" si="1"/>
        <v>2012021</v>
      </c>
      <c r="G168" s="133" t="s">
        <v>274</v>
      </c>
      <c r="H168" s="129"/>
    </row>
    <row r="169" spans="1:8" x14ac:dyDescent="0.45">
      <c r="A169" s="130">
        <v>201</v>
      </c>
      <c r="B169" s="131" t="s">
        <v>240</v>
      </c>
      <c r="C169" s="131"/>
      <c r="D169" s="131"/>
      <c r="E169" s="131">
        <v>2022</v>
      </c>
      <c r="F169" s="131" t="str">
        <f t="shared" si="1"/>
        <v>2012022</v>
      </c>
      <c r="G169" s="133" t="s">
        <v>275</v>
      </c>
      <c r="H169" s="129"/>
    </row>
    <row r="170" spans="1:8" x14ac:dyDescent="0.45">
      <c r="A170" s="130">
        <v>201</v>
      </c>
      <c r="B170" s="131" t="s">
        <v>240</v>
      </c>
      <c r="C170" s="131"/>
      <c r="D170" s="131"/>
      <c r="E170" s="131">
        <v>2023</v>
      </c>
      <c r="F170" s="131" t="str">
        <f>A170&amp;E170</f>
        <v>2012023</v>
      </c>
      <c r="G170" s="133" t="s">
        <v>276</v>
      </c>
      <c r="H170" s="129"/>
    </row>
    <row r="171" spans="1:8" x14ac:dyDescent="0.45">
      <c r="A171" s="130">
        <v>201</v>
      </c>
      <c r="B171" s="131" t="s">
        <v>240</v>
      </c>
      <c r="C171" s="131"/>
      <c r="D171" s="131"/>
      <c r="E171" s="131">
        <v>2025</v>
      </c>
      <c r="F171" s="131" t="str">
        <f>A171&amp;E171</f>
        <v>2012025</v>
      </c>
      <c r="G171" s="133" t="s">
        <v>277</v>
      </c>
      <c r="H171" s="129"/>
    </row>
    <row r="172" spans="1:8" x14ac:dyDescent="0.45">
      <c r="A172" s="130">
        <v>201</v>
      </c>
      <c r="B172" s="131" t="s">
        <v>240</v>
      </c>
      <c r="C172" s="131"/>
      <c r="D172" s="131"/>
      <c r="E172" s="131">
        <v>2026</v>
      </c>
      <c r="F172" s="131" t="str">
        <f t="shared" si="1"/>
        <v>2012026</v>
      </c>
      <c r="G172" s="133" t="s">
        <v>278</v>
      </c>
      <c r="H172" s="129"/>
    </row>
    <row r="173" spans="1:8" x14ac:dyDescent="0.45">
      <c r="A173" s="130">
        <v>201</v>
      </c>
      <c r="B173" s="131" t="s">
        <v>240</v>
      </c>
      <c r="C173" s="131"/>
      <c r="D173" s="131"/>
      <c r="E173" s="131">
        <v>2029</v>
      </c>
      <c r="F173" s="131" t="str">
        <f>A173&amp;E173</f>
        <v>2012029</v>
      </c>
      <c r="G173" s="133" t="s">
        <v>279</v>
      </c>
      <c r="H173" s="129"/>
    </row>
    <row r="174" spans="1:8" x14ac:dyDescent="0.45">
      <c r="A174" s="130">
        <v>201</v>
      </c>
      <c r="B174" s="131" t="s">
        <v>240</v>
      </c>
      <c r="C174" s="131"/>
      <c r="D174" s="131"/>
      <c r="E174" s="131">
        <v>2203</v>
      </c>
      <c r="F174" s="131" t="str">
        <f t="shared" si="1"/>
        <v>2012203</v>
      </c>
      <c r="G174" s="133" t="s">
        <v>280</v>
      </c>
      <c r="H174" s="129"/>
    </row>
    <row r="175" spans="1:8" x14ac:dyDescent="0.45">
      <c r="A175" s="130">
        <v>201</v>
      </c>
      <c r="B175" s="131" t="s">
        <v>240</v>
      </c>
      <c r="C175" s="131"/>
      <c r="D175" s="131"/>
      <c r="E175" s="131">
        <v>2205</v>
      </c>
      <c r="F175" s="131" t="str">
        <f t="shared" si="1"/>
        <v>2012205</v>
      </c>
      <c r="G175" s="133" t="s">
        <v>281</v>
      </c>
      <c r="H175" s="129"/>
    </row>
    <row r="176" spans="1:8" x14ac:dyDescent="0.45">
      <c r="A176" s="130">
        <v>201</v>
      </c>
      <c r="B176" s="131" t="s">
        <v>240</v>
      </c>
      <c r="C176" s="131"/>
      <c r="D176" s="131"/>
      <c r="E176" s="131">
        <v>2209</v>
      </c>
      <c r="F176" s="131" t="str">
        <f>A176&amp;E176</f>
        <v>2012209</v>
      </c>
      <c r="G176" s="133" t="s">
        <v>282</v>
      </c>
      <c r="H176" s="129"/>
    </row>
    <row r="177" spans="1:8" x14ac:dyDescent="0.45">
      <c r="A177" s="130">
        <v>201</v>
      </c>
      <c r="B177" s="131" t="s">
        <v>240</v>
      </c>
      <c r="C177" s="131"/>
      <c r="D177" s="131"/>
      <c r="E177" s="131">
        <v>2214</v>
      </c>
      <c r="F177" s="131" t="str">
        <f t="shared" si="1"/>
        <v>2012214</v>
      </c>
      <c r="G177" s="133" t="s">
        <v>283</v>
      </c>
      <c r="H177" s="129"/>
    </row>
    <row r="178" spans="1:8" x14ac:dyDescent="0.45">
      <c r="A178" s="130">
        <v>201</v>
      </c>
      <c r="B178" s="131" t="s">
        <v>240</v>
      </c>
      <c r="C178" s="131"/>
      <c r="D178" s="131"/>
      <c r="E178" s="131">
        <v>2403</v>
      </c>
      <c r="F178" s="131" t="str">
        <f>A178&amp;E178</f>
        <v>2012403</v>
      </c>
      <c r="G178" s="133" t="s">
        <v>284</v>
      </c>
      <c r="H178" s="129"/>
    </row>
    <row r="179" spans="1:8" x14ac:dyDescent="0.45">
      <c r="A179" s="130">
        <v>201</v>
      </c>
      <c r="B179" s="131" t="s">
        <v>240</v>
      </c>
      <c r="C179" s="131"/>
      <c r="D179" s="131"/>
      <c r="E179" s="131">
        <v>2405</v>
      </c>
      <c r="F179" s="131" t="str">
        <f t="shared" si="1"/>
        <v>2012405</v>
      </c>
      <c r="G179" s="133" t="s">
        <v>285</v>
      </c>
      <c r="H179" s="129"/>
    </row>
    <row r="180" spans="1:8" x14ac:dyDescent="0.45">
      <c r="A180" s="130">
        <v>201</v>
      </c>
      <c r="B180" s="131" t="s">
        <v>240</v>
      </c>
      <c r="C180" s="131"/>
      <c r="D180" s="131"/>
      <c r="E180" s="131">
        <v>2406</v>
      </c>
      <c r="F180" s="131" t="str">
        <f>A180&amp;E180</f>
        <v>2012406</v>
      </c>
      <c r="G180" s="133" t="s">
        <v>286</v>
      </c>
      <c r="H180" s="129"/>
    </row>
    <row r="181" spans="1:8" x14ac:dyDescent="0.45">
      <c r="A181" s="130">
        <v>201</v>
      </c>
      <c r="B181" s="131" t="s">
        <v>240</v>
      </c>
      <c r="C181" s="131"/>
      <c r="D181" s="131"/>
      <c r="E181" s="131">
        <v>2410</v>
      </c>
      <c r="F181" s="131" t="str">
        <f t="shared" si="1"/>
        <v>2012410</v>
      </c>
      <c r="G181" s="133" t="s">
        <v>287</v>
      </c>
      <c r="H181" s="129"/>
    </row>
    <row r="182" spans="1:8" x14ac:dyDescent="0.45">
      <c r="A182" s="130">
        <v>201</v>
      </c>
      <c r="B182" s="131" t="s">
        <v>240</v>
      </c>
      <c r="C182" s="131"/>
      <c r="D182" s="131"/>
      <c r="E182" s="131">
        <v>2411</v>
      </c>
      <c r="F182" s="131" t="str">
        <f t="shared" si="1"/>
        <v>2012411</v>
      </c>
      <c r="G182" s="133" t="s">
        <v>288</v>
      </c>
      <c r="H182" s="129"/>
    </row>
    <row r="183" spans="1:8" x14ac:dyDescent="0.45">
      <c r="A183" s="130">
        <v>201</v>
      </c>
      <c r="B183" s="131" t="s">
        <v>240</v>
      </c>
      <c r="C183" s="131"/>
      <c r="D183" s="131"/>
      <c r="E183" s="131">
        <v>2602</v>
      </c>
      <c r="F183" s="131" t="str">
        <f t="shared" si="1"/>
        <v>2012602</v>
      </c>
      <c r="G183" s="133" t="s">
        <v>289</v>
      </c>
      <c r="H183" s="129"/>
    </row>
    <row r="184" spans="1:8" x14ac:dyDescent="0.45">
      <c r="A184" s="130">
        <v>201</v>
      </c>
      <c r="B184" s="131" t="s">
        <v>240</v>
      </c>
      <c r="C184" s="131"/>
      <c r="D184" s="131"/>
      <c r="E184" s="131">
        <v>2603</v>
      </c>
      <c r="F184" s="131" t="str">
        <f t="shared" si="1"/>
        <v>2012603</v>
      </c>
      <c r="G184" s="133" t="s">
        <v>290</v>
      </c>
      <c r="H184" s="129"/>
    </row>
    <row r="185" spans="1:8" x14ac:dyDescent="0.45">
      <c r="A185" s="130">
        <v>201</v>
      </c>
      <c r="B185" s="131" t="s">
        <v>240</v>
      </c>
      <c r="C185" s="131"/>
      <c r="D185" s="131"/>
      <c r="E185" s="131">
        <v>2605</v>
      </c>
      <c r="F185" s="131" t="str">
        <f t="shared" si="1"/>
        <v>2012605</v>
      </c>
      <c r="G185" s="133" t="s">
        <v>291</v>
      </c>
      <c r="H185" s="129"/>
    </row>
    <row r="186" spans="1:8" x14ac:dyDescent="0.45">
      <c r="A186" s="130">
        <v>201</v>
      </c>
      <c r="B186" s="131" t="s">
        <v>240</v>
      </c>
      <c r="C186" s="131"/>
      <c r="D186" s="131"/>
      <c r="E186" s="131">
        <v>2606</v>
      </c>
      <c r="F186" s="131" t="str">
        <f>A186&amp;E186</f>
        <v>2012606</v>
      </c>
      <c r="G186" s="133" t="s">
        <v>292</v>
      </c>
      <c r="H186" s="129"/>
    </row>
    <row r="187" spans="1:8" x14ac:dyDescent="0.45">
      <c r="A187" s="130">
        <v>201</v>
      </c>
      <c r="B187" s="131" t="s">
        <v>240</v>
      </c>
      <c r="C187" s="131"/>
      <c r="D187" s="131"/>
      <c r="E187" s="131">
        <v>2608</v>
      </c>
      <c r="F187" s="131" t="str">
        <f>A187&amp;E187</f>
        <v>2012608</v>
      </c>
      <c r="G187" s="133" t="s">
        <v>293</v>
      </c>
      <c r="H187" s="129"/>
    </row>
    <row r="188" spans="1:8" x14ac:dyDescent="0.45">
      <c r="A188" s="130">
        <v>201</v>
      </c>
      <c r="B188" s="131" t="s">
        <v>240</v>
      </c>
      <c r="C188" s="131"/>
      <c r="D188" s="131"/>
      <c r="E188" s="131">
        <v>2611</v>
      </c>
      <c r="F188" s="131" t="str">
        <f>A188&amp;E188</f>
        <v>2012611</v>
      </c>
      <c r="G188" s="133" t="s">
        <v>294</v>
      </c>
      <c r="H188" s="129"/>
    </row>
    <row r="189" spans="1:8" x14ac:dyDescent="0.45">
      <c r="A189" s="130">
        <v>201</v>
      </c>
      <c r="B189" s="131" t="s">
        <v>240</v>
      </c>
      <c r="C189" s="131"/>
      <c r="D189" s="131"/>
      <c r="E189" s="131">
        <v>2612</v>
      </c>
      <c r="F189" s="131" t="str">
        <f>A189&amp;E189</f>
        <v>2012612</v>
      </c>
      <c r="G189" s="133" t="s">
        <v>295</v>
      </c>
      <c r="H189" s="129"/>
    </row>
    <row r="190" spans="1:8" x14ac:dyDescent="0.45">
      <c r="A190" s="130">
        <v>201</v>
      </c>
      <c r="B190" s="131" t="s">
        <v>240</v>
      </c>
      <c r="C190" s="131"/>
      <c r="D190" s="131"/>
      <c r="E190" s="131">
        <v>2801</v>
      </c>
      <c r="F190" s="131" t="str">
        <f t="shared" si="1"/>
        <v>2012801</v>
      </c>
      <c r="G190" s="133" t="s">
        <v>296</v>
      </c>
      <c r="H190" s="129"/>
    </row>
    <row r="191" spans="1:8" x14ac:dyDescent="0.45">
      <c r="A191" s="130">
        <v>201</v>
      </c>
      <c r="B191" s="131" t="s">
        <v>240</v>
      </c>
      <c r="C191" s="131"/>
      <c r="D191" s="131"/>
      <c r="E191" s="131">
        <v>2802</v>
      </c>
      <c r="F191" s="131" t="str">
        <f t="shared" si="1"/>
        <v>2012802</v>
      </c>
      <c r="G191" s="133" t="s">
        <v>297</v>
      </c>
      <c r="H191" s="129"/>
    </row>
    <row r="192" spans="1:8" x14ac:dyDescent="0.45">
      <c r="A192" s="130">
        <v>201</v>
      </c>
      <c r="B192" s="131" t="s">
        <v>240</v>
      </c>
      <c r="C192" s="131"/>
      <c r="D192" s="131"/>
      <c r="E192" s="131">
        <v>2806</v>
      </c>
      <c r="F192" s="131" t="str">
        <f t="shared" si="1"/>
        <v>2012806</v>
      </c>
      <c r="G192" s="133" t="s">
        <v>298</v>
      </c>
      <c r="H192" s="129"/>
    </row>
    <row r="193" spans="1:8" x14ac:dyDescent="0.45">
      <c r="A193" s="130">
        <v>201</v>
      </c>
      <c r="B193" s="131" t="s">
        <v>240</v>
      </c>
      <c r="C193" s="131"/>
      <c r="D193" s="131"/>
      <c r="E193" s="131">
        <v>2807</v>
      </c>
      <c r="F193" s="131" t="str">
        <f t="shared" si="1"/>
        <v>2012807</v>
      </c>
      <c r="G193" s="133" t="s">
        <v>299</v>
      </c>
      <c r="H193" s="129"/>
    </row>
    <row r="194" spans="1:8" x14ac:dyDescent="0.45">
      <c r="A194" s="130">
        <v>201</v>
      </c>
      <c r="B194" s="131" t="s">
        <v>240</v>
      </c>
      <c r="C194" s="131"/>
      <c r="D194" s="131"/>
      <c r="E194" s="131">
        <v>2809</v>
      </c>
      <c r="F194" s="131" t="str">
        <f>A194&amp;E194</f>
        <v>2012809</v>
      </c>
      <c r="G194" s="133" t="s">
        <v>300</v>
      </c>
      <c r="H194" s="129"/>
    </row>
    <row r="195" spans="1:8" x14ac:dyDescent="0.45">
      <c r="A195" s="130">
        <v>201</v>
      </c>
      <c r="B195" s="131" t="s">
        <v>240</v>
      </c>
      <c r="C195" s="131"/>
      <c r="D195" s="131"/>
      <c r="E195" s="131">
        <v>2810</v>
      </c>
      <c r="F195" s="131" t="str">
        <f t="shared" si="1"/>
        <v>2012810</v>
      </c>
      <c r="G195" s="133" t="s">
        <v>301</v>
      </c>
      <c r="H195" s="129"/>
    </row>
    <row r="196" spans="1:8" x14ac:dyDescent="0.45">
      <c r="A196" s="130">
        <v>201</v>
      </c>
      <c r="B196" s="131" t="s">
        <v>240</v>
      </c>
      <c r="C196" s="131"/>
      <c r="D196" s="131"/>
      <c r="E196" s="131">
        <v>2811</v>
      </c>
      <c r="F196" s="131" t="str">
        <f t="shared" si="1"/>
        <v>2012811</v>
      </c>
      <c r="G196" s="133" t="s">
        <v>302</v>
      </c>
      <c r="H196" s="129"/>
    </row>
    <row r="197" spans="1:8" x14ac:dyDescent="0.45">
      <c r="A197" s="130">
        <v>201</v>
      </c>
      <c r="B197" s="131" t="s">
        <v>240</v>
      </c>
      <c r="C197" s="131"/>
      <c r="D197" s="131"/>
      <c r="E197" s="131">
        <v>2816</v>
      </c>
      <c r="F197" s="131" t="str">
        <f t="shared" si="1"/>
        <v>2012816</v>
      </c>
      <c r="G197" s="133" t="s">
        <v>303</v>
      </c>
      <c r="H197" s="129"/>
    </row>
    <row r="198" spans="1:8" x14ac:dyDescent="0.45">
      <c r="A198" s="130">
        <v>201</v>
      </c>
      <c r="B198" s="131" t="s">
        <v>240</v>
      </c>
      <c r="C198" s="131"/>
      <c r="D198" s="131"/>
      <c r="E198" s="131">
        <v>2817</v>
      </c>
      <c r="F198" s="131" t="str">
        <f>A198&amp;E198</f>
        <v>2012817</v>
      </c>
      <c r="G198" s="133" t="s">
        <v>304</v>
      </c>
      <c r="H198" s="129"/>
    </row>
    <row r="199" spans="1:8" x14ac:dyDescent="0.45">
      <c r="A199" s="130">
        <v>201</v>
      </c>
      <c r="B199" s="131" t="s">
        <v>240</v>
      </c>
      <c r="C199" s="131"/>
      <c r="D199" s="131"/>
      <c r="E199" s="131">
        <v>2819</v>
      </c>
      <c r="F199" s="131" t="str">
        <f t="shared" si="1"/>
        <v>2012819</v>
      </c>
      <c r="G199" s="133" t="s">
        <v>305</v>
      </c>
      <c r="H199" s="129"/>
    </row>
    <row r="200" spans="1:8" x14ac:dyDescent="0.45">
      <c r="A200" s="130">
        <v>201</v>
      </c>
      <c r="B200" s="131" t="s">
        <v>240</v>
      </c>
      <c r="C200" s="131"/>
      <c r="D200" s="131"/>
      <c r="E200" s="131">
        <v>2820</v>
      </c>
      <c r="F200" s="131" t="str">
        <f t="shared" si="1"/>
        <v>2012820</v>
      </c>
      <c r="G200" s="133" t="s">
        <v>306</v>
      </c>
      <c r="H200" s="129"/>
    </row>
    <row r="201" spans="1:8" x14ac:dyDescent="0.45">
      <c r="A201" s="130">
        <v>201</v>
      </c>
      <c r="B201" s="131" t="s">
        <v>240</v>
      </c>
      <c r="C201" s="131"/>
      <c r="D201" s="131"/>
      <c r="E201" s="131">
        <v>2821</v>
      </c>
      <c r="F201" s="131" t="str">
        <f t="shared" si="1"/>
        <v>2012821</v>
      </c>
      <c r="G201" s="133" t="s">
        <v>307</v>
      </c>
      <c r="H201" s="129"/>
    </row>
    <row r="202" spans="1:8" x14ac:dyDescent="0.45">
      <c r="A202" s="130">
        <v>201</v>
      </c>
      <c r="B202" s="131" t="s">
        <v>240</v>
      </c>
      <c r="C202" s="131"/>
      <c r="D202" s="131"/>
      <c r="E202" s="131">
        <v>2823</v>
      </c>
      <c r="F202" s="131" t="str">
        <f>A202&amp;E202</f>
        <v>2012823</v>
      </c>
      <c r="G202" s="133" t="s">
        <v>308</v>
      </c>
      <c r="H202" s="129"/>
    </row>
    <row r="203" spans="1:8" x14ac:dyDescent="0.45">
      <c r="A203" s="130">
        <v>201</v>
      </c>
      <c r="B203" s="131" t="s">
        <v>240</v>
      </c>
      <c r="C203" s="131"/>
      <c r="D203" s="131"/>
      <c r="E203" s="131">
        <v>3003</v>
      </c>
      <c r="F203" s="131" t="str">
        <f t="shared" si="1"/>
        <v>2013003</v>
      </c>
      <c r="G203" s="133" t="s">
        <v>309</v>
      </c>
      <c r="H203" s="129"/>
    </row>
    <row r="204" spans="1:8" x14ac:dyDescent="0.45">
      <c r="A204" s="130">
        <v>201</v>
      </c>
      <c r="B204" s="131" t="s">
        <v>240</v>
      </c>
      <c r="C204" s="131"/>
      <c r="D204" s="131"/>
      <c r="E204" s="131">
        <v>3007</v>
      </c>
      <c r="F204" s="131" t="str">
        <f t="shared" si="1"/>
        <v>2013007</v>
      </c>
      <c r="G204" s="133" t="s">
        <v>310</v>
      </c>
      <c r="H204" s="129"/>
    </row>
    <row r="205" spans="1:8" x14ac:dyDescent="0.45">
      <c r="A205" s="130">
        <v>201</v>
      </c>
      <c r="B205" s="131" t="s">
        <v>311</v>
      </c>
      <c r="C205" s="131"/>
      <c r="D205" s="131"/>
      <c r="E205" s="131">
        <v>3038</v>
      </c>
      <c r="F205" s="131" t="str">
        <f t="shared" si="1"/>
        <v>2013038</v>
      </c>
      <c r="G205" s="133" t="s">
        <v>312</v>
      </c>
      <c r="H205" s="129"/>
    </row>
    <row r="206" spans="1:8" x14ac:dyDescent="0.45">
      <c r="A206" s="130">
        <v>201</v>
      </c>
      <c r="B206" s="131" t="s">
        <v>240</v>
      </c>
      <c r="C206" s="131"/>
      <c r="D206" s="131"/>
      <c r="E206" s="131">
        <v>3014</v>
      </c>
      <c r="F206" s="131" t="str">
        <f t="shared" si="1"/>
        <v>2013014</v>
      </c>
      <c r="G206" s="133" t="s">
        <v>313</v>
      </c>
      <c r="H206" s="129"/>
    </row>
    <row r="207" spans="1:8" x14ac:dyDescent="0.45">
      <c r="A207" s="130">
        <v>201</v>
      </c>
      <c r="B207" s="131" t="s">
        <v>240</v>
      </c>
      <c r="C207" s="131"/>
      <c r="D207" s="131"/>
      <c r="E207" s="131">
        <v>3015</v>
      </c>
      <c r="F207" s="131" t="str">
        <f t="shared" ref="F207:F301" si="2">A207&amp;E207</f>
        <v>2013015</v>
      </c>
      <c r="G207" s="133" t="s">
        <v>314</v>
      </c>
      <c r="H207" s="129"/>
    </row>
    <row r="208" spans="1:8" x14ac:dyDescent="0.45">
      <c r="A208" s="130">
        <v>201</v>
      </c>
      <c r="B208" s="131" t="s">
        <v>240</v>
      </c>
      <c r="C208" s="131"/>
      <c r="D208" s="131"/>
      <c r="E208" s="131">
        <v>3019</v>
      </c>
      <c r="F208" s="131" t="str">
        <f t="shared" si="2"/>
        <v>2013019</v>
      </c>
      <c r="G208" s="133" t="s">
        <v>315</v>
      </c>
      <c r="H208" s="129"/>
    </row>
    <row r="209" spans="1:8" x14ac:dyDescent="0.45">
      <c r="A209" s="130">
        <v>201</v>
      </c>
      <c r="B209" s="131" t="s">
        <v>240</v>
      </c>
      <c r="C209" s="131"/>
      <c r="D209" s="131"/>
      <c r="E209" s="131">
        <v>3034</v>
      </c>
      <c r="F209" s="131" t="str">
        <f>A209&amp;E209</f>
        <v>2013034</v>
      </c>
      <c r="G209" s="133" t="s">
        <v>316</v>
      </c>
      <c r="H209" s="129"/>
    </row>
    <row r="210" spans="1:8" x14ac:dyDescent="0.45">
      <c r="A210" s="130">
        <v>201</v>
      </c>
      <c r="B210" s="131" t="s">
        <v>240</v>
      </c>
      <c r="C210" s="131"/>
      <c r="D210" s="131"/>
      <c r="E210" s="131">
        <v>3039</v>
      </c>
      <c r="F210" s="131" t="str">
        <f t="shared" si="2"/>
        <v>2013039</v>
      </c>
      <c r="G210" s="133" t="s">
        <v>317</v>
      </c>
      <c r="H210" s="129"/>
    </row>
    <row r="211" spans="1:8" x14ac:dyDescent="0.45">
      <c r="A211" s="130">
        <v>201</v>
      </c>
      <c r="B211" s="131" t="s">
        <v>240</v>
      </c>
      <c r="C211" s="131"/>
      <c r="D211" s="131"/>
      <c r="E211" s="131">
        <v>3043</v>
      </c>
      <c r="F211" s="131" t="str">
        <f>A211&amp;E211</f>
        <v>2013043</v>
      </c>
      <c r="G211" s="133" t="s">
        <v>318</v>
      </c>
      <c r="H211" s="129"/>
    </row>
    <row r="212" spans="1:8" x14ac:dyDescent="0.45">
      <c r="A212" s="130">
        <v>201</v>
      </c>
      <c r="B212" s="131" t="s">
        <v>240</v>
      </c>
      <c r="C212" s="131"/>
      <c r="D212" s="131"/>
      <c r="E212" s="131">
        <v>3044</v>
      </c>
      <c r="F212" s="131" t="str">
        <f>A212&amp;E212</f>
        <v>2013044</v>
      </c>
      <c r="G212" s="133" t="s">
        <v>319</v>
      </c>
      <c r="H212" s="129"/>
    </row>
    <row r="213" spans="1:8" x14ac:dyDescent="0.45">
      <c r="A213" s="130">
        <v>201</v>
      </c>
      <c r="B213" s="131" t="s">
        <v>240</v>
      </c>
      <c r="C213" s="131"/>
      <c r="D213" s="131"/>
      <c r="E213" s="131">
        <v>3045</v>
      </c>
      <c r="F213" s="131" t="str">
        <f>A213&amp;E213</f>
        <v>2013045</v>
      </c>
      <c r="G213" s="133" t="s">
        <v>320</v>
      </c>
      <c r="H213" s="129"/>
    </row>
    <row r="214" spans="1:8" x14ac:dyDescent="0.45">
      <c r="A214" s="130">
        <v>201</v>
      </c>
      <c r="B214" s="131" t="s">
        <v>240</v>
      </c>
      <c r="C214" s="131"/>
      <c r="D214" s="131"/>
      <c r="E214" s="131">
        <v>3204</v>
      </c>
      <c r="F214" s="131" t="str">
        <f>A214&amp;E214</f>
        <v>2013204</v>
      </c>
      <c r="G214" s="133" t="s">
        <v>321</v>
      </c>
      <c r="H214" s="129"/>
    </row>
    <row r="215" spans="1:8" x14ac:dyDescent="0.45">
      <c r="A215" s="130">
        <v>201</v>
      </c>
      <c r="B215" s="131" t="s">
        <v>240</v>
      </c>
      <c r="C215" s="131"/>
      <c r="D215" s="131"/>
      <c r="E215" s="131">
        <v>3206</v>
      </c>
      <c r="F215" s="131" t="str">
        <f t="shared" si="2"/>
        <v>2013206</v>
      </c>
      <c r="G215" s="133" t="s">
        <v>322</v>
      </c>
      <c r="H215" s="129"/>
    </row>
    <row r="216" spans="1:8" x14ac:dyDescent="0.45">
      <c r="A216" s="130">
        <v>201</v>
      </c>
      <c r="B216" s="131" t="s">
        <v>240</v>
      </c>
      <c r="C216" s="131"/>
      <c r="D216" s="131"/>
      <c r="E216" s="131">
        <v>3218</v>
      </c>
      <c r="F216" s="131" t="str">
        <f t="shared" si="2"/>
        <v>2013218</v>
      </c>
      <c r="G216" s="133" t="s">
        <v>323</v>
      </c>
      <c r="H216" s="129"/>
    </row>
    <row r="217" spans="1:8" x14ac:dyDescent="0.45">
      <c r="A217" s="130">
        <v>201</v>
      </c>
      <c r="B217" s="131" t="s">
        <v>240</v>
      </c>
      <c r="C217" s="131"/>
      <c r="D217" s="131"/>
      <c r="E217" s="131">
        <v>3219</v>
      </c>
      <c r="F217" s="131" t="str">
        <f t="shared" si="2"/>
        <v>2013219</v>
      </c>
      <c r="G217" s="133" t="s">
        <v>324</v>
      </c>
      <c r="H217" s="129"/>
    </row>
    <row r="218" spans="1:8" x14ac:dyDescent="0.45">
      <c r="A218" s="130">
        <v>201</v>
      </c>
      <c r="B218" s="131" t="s">
        <v>240</v>
      </c>
      <c r="C218" s="131"/>
      <c r="D218" s="131"/>
      <c r="E218" s="131">
        <v>3221</v>
      </c>
      <c r="F218" s="131" t="str">
        <f>A218&amp;E218</f>
        <v>2013221</v>
      </c>
      <c r="G218" s="133" t="s">
        <v>325</v>
      </c>
      <c r="H218" s="129"/>
    </row>
    <row r="219" spans="1:8" x14ac:dyDescent="0.45">
      <c r="A219" s="130">
        <v>201</v>
      </c>
      <c r="B219" s="131" t="s">
        <v>240</v>
      </c>
      <c r="C219" s="131"/>
      <c r="D219" s="131"/>
      <c r="E219" s="131">
        <v>3222</v>
      </c>
      <c r="F219" s="131" t="str">
        <f>A219&amp;E219</f>
        <v>2013222</v>
      </c>
      <c r="G219" s="133" t="s">
        <v>326</v>
      </c>
      <c r="H219" s="129"/>
    </row>
    <row r="220" spans="1:8" x14ac:dyDescent="0.45">
      <c r="A220" s="130">
        <v>201</v>
      </c>
      <c r="B220" s="131" t="s">
        <v>240</v>
      </c>
      <c r="C220" s="131"/>
      <c r="D220" s="131"/>
      <c r="E220" s="131">
        <v>3223</v>
      </c>
      <c r="F220" s="131" t="str">
        <f>A220&amp;E220</f>
        <v>2013223</v>
      </c>
      <c r="G220" s="133" t="s">
        <v>327</v>
      </c>
      <c r="H220" s="129"/>
    </row>
    <row r="221" spans="1:8" x14ac:dyDescent="0.45">
      <c r="A221" s="130">
        <v>201</v>
      </c>
      <c r="B221" s="131" t="s">
        <v>240</v>
      </c>
      <c r="C221" s="131"/>
      <c r="D221" s="131"/>
      <c r="E221" s="131">
        <v>3274</v>
      </c>
      <c r="F221" s="131" t="str">
        <f t="shared" si="2"/>
        <v>2013274</v>
      </c>
      <c r="G221" s="133" t="s">
        <v>328</v>
      </c>
      <c r="H221" s="129"/>
    </row>
    <row r="222" spans="1:8" x14ac:dyDescent="0.45">
      <c r="A222" s="130">
        <v>201</v>
      </c>
      <c r="B222" s="131" t="s">
        <v>240</v>
      </c>
      <c r="C222" s="131"/>
      <c r="D222" s="131"/>
      <c r="E222" s="131">
        <v>3275</v>
      </c>
      <c r="F222" s="131" t="str">
        <f>A222&amp;E222</f>
        <v>2013275</v>
      </c>
      <c r="G222" s="133" t="s">
        <v>329</v>
      </c>
      <c r="H222" s="129"/>
    </row>
    <row r="223" spans="1:8" x14ac:dyDescent="0.45">
      <c r="A223" s="130">
        <v>201</v>
      </c>
      <c r="B223" s="131" t="s">
        <v>240</v>
      </c>
      <c r="C223" s="131"/>
      <c r="D223" s="131"/>
      <c r="E223" s="131">
        <v>3402</v>
      </c>
      <c r="F223" s="131" t="str">
        <f t="shared" si="2"/>
        <v>2013402</v>
      </c>
      <c r="G223" s="133" t="s">
        <v>330</v>
      </c>
      <c r="H223" s="129"/>
    </row>
    <row r="224" spans="1:8" x14ac:dyDescent="0.45">
      <c r="A224" s="130">
        <v>201</v>
      </c>
      <c r="B224" s="131" t="s">
        <v>240</v>
      </c>
      <c r="C224" s="131"/>
      <c r="D224" s="131"/>
      <c r="E224" s="131">
        <v>3404</v>
      </c>
      <c r="F224" s="131" t="str">
        <f t="shared" si="2"/>
        <v>2013404</v>
      </c>
      <c r="G224" s="133" t="s">
        <v>331</v>
      </c>
      <c r="H224" s="129"/>
    </row>
    <row r="225" spans="1:8" x14ac:dyDescent="0.45">
      <c r="A225" s="130">
        <v>201</v>
      </c>
      <c r="B225" s="131" t="s">
        <v>240</v>
      </c>
      <c r="C225" s="131"/>
      <c r="D225" s="131"/>
      <c r="E225" s="131">
        <v>3409</v>
      </c>
      <c r="F225" s="131" t="str">
        <f t="shared" si="2"/>
        <v>2013409</v>
      </c>
      <c r="G225" s="133" t="s">
        <v>332</v>
      </c>
      <c r="H225" s="129"/>
    </row>
    <row r="226" spans="1:8" x14ac:dyDescent="0.45">
      <c r="A226" s="130">
        <v>201</v>
      </c>
      <c r="B226" s="131" t="s">
        <v>240</v>
      </c>
      <c r="C226" s="131"/>
      <c r="D226" s="131"/>
      <c r="E226" s="131">
        <v>3601</v>
      </c>
      <c r="F226" s="131" t="str">
        <f t="shared" si="2"/>
        <v>2013601</v>
      </c>
      <c r="G226" s="133" t="s">
        <v>333</v>
      </c>
      <c r="H226" s="129"/>
    </row>
    <row r="227" spans="1:8" x14ac:dyDescent="0.45">
      <c r="A227" s="130">
        <v>201</v>
      </c>
      <c r="B227" s="131" t="s">
        <v>311</v>
      </c>
      <c r="C227" s="131"/>
      <c r="D227" s="131"/>
      <c r="E227" s="131">
        <v>3604</v>
      </c>
      <c r="F227" s="131" t="str">
        <f t="shared" si="2"/>
        <v>2013604</v>
      </c>
      <c r="G227" s="133" t="s">
        <v>334</v>
      </c>
      <c r="H227" s="129"/>
    </row>
    <row r="228" spans="1:8" x14ac:dyDescent="0.45">
      <c r="A228" s="130">
        <v>201</v>
      </c>
      <c r="B228" s="131" t="s">
        <v>240</v>
      </c>
      <c r="C228" s="131"/>
      <c r="D228" s="131"/>
      <c r="E228" s="131">
        <v>3802</v>
      </c>
      <c r="F228" s="131" t="str">
        <f t="shared" si="2"/>
        <v>2013802</v>
      </c>
      <c r="G228" s="133" t="s">
        <v>335</v>
      </c>
      <c r="H228" s="129"/>
    </row>
    <row r="229" spans="1:8" x14ac:dyDescent="0.45">
      <c r="A229" s="130">
        <v>201</v>
      </c>
      <c r="B229" s="131" t="s">
        <v>240</v>
      </c>
      <c r="C229" s="131"/>
      <c r="D229" s="131"/>
      <c r="E229" s="131">
        <v>4002</v>
      </c>
      <c r="F229" s="131" t="str">
        <f t="shared" si="2"/>
        <v>2014002</v>
      </c>
      <c r="G229" s="133" t="s">
        <v>336</v>
      </c>
      <c r="H229" s="129"/>
    </row>
    <row r="230" spans="1:8" x14ac:dyDescent="0.45">
      <c r="A230" s="130">
        <v>201</v>
      </c>
      <c r="B230" s="131" t="s">
        <v>337</v>
      </c>
      <c r="C230" s="131"/>
      <c r="D230" s="131"/>
      <c r="E230" s="131">
        <v>4003</v>
      </c>
      <c r="F230" s="131" t="str">
        <f>A230&amp;E230</f>
        <v>2014003</v>
      </c>
      <c r="G230" s="133" t="s">
        <v>338</v>
      </c>
      <c r="H230" s="129"/>
    </row>
    <row r="231" spans="1:8" x14ac:dyDescent="0.45">
      <c r="A231" s="130">
        <v>201</v>
      </c>
      <c r="B231" s="131" t="s">
        <v>240</v>
      </c>
      <c r="C231" s="131"/>
      <c r="D231" s="131"/>
      <c r="E231" s="131">
        <v>4004</v>
      </c>
      <c r="F231" s="131" t="str">
        <f t="shared" si="2"/>
        <v>2014004</v>
      </c>
      <c r="G231" s="133" t="s">
        <v>339</v>
      </c>
      <c r="H231" s="129"/>
    </row>
    <row r="232" spans="1:8" x14ac:dyDescent="0.45">
      <c r="A232" s="130">
        <v>201</v>
      </c>
      <c r="B232" s="131" t="s">
        <v>240</v>
      </c>
      <c r="C232" s="131"/>
      <c r="D232" s="131"/>
      <c r="E232" s="131">
        <v>4014</v>
      </c>
      <c r="F232" s="131" t="str">
        <f t="shared" si="2"/>
        <v>2014014</v>
      </c>
      <c r="G232" s="133" t="s">
        <v>340</v>
      </c>
      <c r="H232" s="129"/>
    </row>
    <row r="233" spans="1:8" x14ac:dyDescent="0.45">
      <c r="A233" s="130">
        <v>201</v>
      </c>
      <c r="B233" s="131" t="s">
        <v>240</v>
      </c>
      <c r="C233" s="131"/>
      <c r="D233" s="131"/>
      <c r="E233" s="131">
        <v>4021</v>
      </c>
      <c r="F233" s="131" t="str">
        <f>A233&amp;E233</f>
        <v>2014021</v>
      </c>
      <c r="G233" s="133" t="s">
        <v>341</v>
      </c>
      <c r="H233" s="129"/>
    </row>
    <row r="234" spans="1:8" x14ac:dyDescent="0.45">
      <c r="A234" s="130">
        <v>201</v>
      </c>
      <c r="B234" s="131" t="s">
        <v>240</v>
      </c>
      <c r="C234" s="131"/>
      <c r="D234" s="131"/>
      <c r="E234" s="131">
        <v>4028</v>
      </c>
      <c r="F234" s="131" t="str">
        <f t="shared" si="2"/>
        <v>2014028</v>
      </c>
      <c r="G234" s="133" t="s">
        <v>342</v>
      </c>
      <c r="H234" s="129"/>
    </row>
    <row r="235" spans="1:8" x14ac:dyDescent="0.45">
      <c r="A235" s="130">
        <v>201</v>
      </c>
      <c r="B235" s="131" t="s">
        <v>240</v>
      </c>
      <c r="C235" s="131"/>
      <c r="D235" s="131"/>
      <c r="E235" s="131">
        <v>4036</v>
      </c>
      <c r="F235" s="131" t="str">
        <f t="shared" si="2"/>
        <v>2014036</v>
      </c>
      <c r="G235" s="133" t="s">
        <v>343</v>
      </c>
      <c r="H235" s="129"/>
    </row>
    <row r="236" spans="1:8" x14ac:dyDescent="0.45">
      <c r="A236" s="130">
        <v>201</v>
      </c>
      <c r="B236" s="131" t="s">
        <v>240</v>
      </c>
      <c r="C236" s="131"/>
      <c r="D236" s="131"/>
      <c r="E236" s="131">
        <v>4037</v>
      </c>
      <c r="F236" s="131" t="str">
        <f>A236&amp;E236</f>
        <v>2014037</v>
      </c>
      <c r="G236" s="133" t="s">
        <v>344</v>
      </c>
      <c r="H236" s="129"/>
    </row>
    <row r="237" spans="1:8" x14ac:dyDescent="0.45">
      <c r="A237" s="130">
        <v>201</v>
      </c>
      <c r="B237" s="131" t="s">
        <v>240</v>
      </c>
      <c r="C237" s="131"/>
      <c r="D237" s="131"/>
      <c r="E237" s="131">
        <v>4038</v>
      </c>
      <c r="F237" s="131" t="str">
        <f>A237&amp;E237</f>
        <v>2014038</v>
      </c>
      <c r="G237" s="133" t="s">
        <v>345</v>
      </c>
      <c r="H237" s="129"/>
    </row>
    <row r="238" spans="1:8" x14ac:dyDescent="0.45">
      <c r="A238" s="130">
        <v>201</v>
      </c>
      <c r="B238" s="131" t="s">
        <v>240</v>
      </c>
      <c r="C238" s="131"/>
      <c r="D238" s="131"/>
      <c r="E238" s="131">
        <v>4045</v>
      </c>
      <c r="F238" s="131" t="str">
        <f>A238&amp;E238</f>
        <v>2014045</v>
      </c>
      <c r="G238" s="133" t="s">
        <v>346</v>
      </c>
      <c r="H238" s="129"/>
    </row>
    <row r="239" spans="1:8" x14ac:dyDescent="0.45">
      <c r="A239" s="130">
        <v>201</v>
      </c>
      <c r="B239" s="131" t="s">
        <v>240</v>
      </c>
      <c r="C239" s="131"/>
      <c r="D239" s="131"/>
      <c r="E239" s="131">
        <v>4201</v>
      </c>
      <c r="F239" s="131" t="str">
        <f t="shared" si="2"/>
        <v>2014201</v>
      </c>
      <c r="G239" s="133" t="s">
        <v>347</v>
      </c>
      <c r="H239" s="129"/>
    </row>
    <row r="240" spans="1:8" x14ac:dyDescent="0.45">
      <c r="A240" s="130">
        <v>201</v>
      </c>
      <c r="B240" s="131" t="s">
        <v>240</v>
      </c>
      <c r="C240" s="131"/>
      <c r="D240" s="131"/>
      <c r="E240" s="131">
        <v>4301</v>
      </c>
      <c r="F240" s="131" t="str">
        <f t="shared" si="2"/>
        <v>2014301</v>
      </c>
      <c r="G240" s="133" t="s">
        <v>160</v>
      </c>
      <c r="H240" s="129"/>
    </row>
    <row r="241" spans="1:8" x14ac:dyDescent="0.45">
      <c r="A241" s="130">
        <v>201</v>
      </c>
      <c r="B241" s="131" t="s">
        <v>240</v>
      </c>
      <c r="C241" s="131"/>
      <c r="D241" s="131"/>
      <c r="E241" s="131">
        <v>4302</v>
      </c>
      <c r="F241" s="131" t="str">
        <f t="shared" si="2"/>
        <v>2014302</v>
      </c>
      <c r="G241" s="133" t="s">
        <v>348</v>
      </c>
      <c r="H241" s="129"/>
    </row>
    <row r="242" spans="1:8" x14ac:dyDescent="0.45">
      <c r="A242" s="130">
        <v>201</v>
      </c>
      <c r="B242" s="131" t="s">
        <v>240</v>
      </c>
      <c r="C242" s="131"/>
      <c r="D242" s="131"/>
      <c r="E242" s="131">
        <v>4603</v>
      </c>
      <c r="F242" s="131" t="str">
        <f t="shared" si="2"/>
        <v>2014603</v>
      </c>
      <c r="G242" s="133" t="s">
        <v>349</v>
      </c>
      <c r="H242" s="129"/>
    </row>
    <row r="243" spans="1:8" x14ac:dyDescent="0.45">
      <c r="A243" s="130">
        <v>201</v>
      </c>
      <c r="B243" s="131" t="s">
        <v>240</v>
      </c>
      <c r="C243" s="131"/>
      <c r="D243" s="131"/>
      <c r="E243" s="131">
        <v>4607</v>
      </c>
      <c r="F243" s="131" t="str">
        <f>A243&amp;E243</f>
        <v>2014607</v>
      </c>
      <c r="G243" s="133" t="s">
        <v>350</v>
      </c>
      <c r="H243" s="129"/>
    </row>
    <row r="244" spans="1:8" x14ac:dyDescent="0.45">
      <c r="A244" s="130">
        <v>201</v>
      </c>
      <c r="B244" s="131" t="s">
        <v>240</v>
      </c>
      <c r="C244" s="131"/>
      <c r="D244" s="131"/>
      <c r="E244" s="131">
        <v>4807</v>
      </c>
      <c r="F244" s="131" t="str">
        <f t="shared" si="2"/>
        <v>2014807</v>
      </c>
      <c r="G244" s="133" t="s">
        <v>162</v>
      </c>
      <c r="H244" s="129"/>
    </row>
    <row r="245" spans="1:8" x14ac:dyDescent="0.45">
      <c r="A245" s="130">
        <v>201</v>
      </c>
      <c r="B245" s="131" t="s">
        <v>240</v>
      </c>
      <c r="C245" s="131"/>
      <c r="D245" s="131"/>
      <c r="E245" s="131">
        <v>4809</v>
      </c>
      <c r="F245" s="131" t="str">
        <f>A245&amp;E245</f>
        <v>2014809</v>
      </c>
      <c r="G245" s="133" t="s">
        <v>351</v>
      </c>
      <c r="H245" s="129"/>
    </row>
    <row r="246" spans="1:8" x14ac:dyDescent="0.45">
      <c r="A246" s="130">
        <v>201</v>
      </c>
      <c r="B246" s="131" t="s">
        <v>240</v>
      </c>
      <c r="C246" s="131"/>
      <c r="D246" s="131"/>
      <c r="E246" s="131">
        <v>4811</v>
      </c>
      <c r="F246" s="131" t="str">
        <f t="shared" si="2"/>
        <v>2014811</v>
      </c>
      <c r="G246" s="133" t="s">
        <v>352</v>
      </c>
      <c r="H246" s="129"/>
    </row>
    <row r="247" spans="1:8" x14ac:dyDescent="0.45">
      <c r="A247" s="130">
        <v>201</v>
      </c>
      <c r="B247" s="131" t="s">
        <v>240</v>
      </c>
      <c r="C247" s="131"/>
      <c r="D247" s="131"/>
      <c r="E247" s="131">
        <v>4813</v>
      </c>
      <c r="F247" s="131" t="str">
        <f t="shared" si="2"/>
        <v>2014813</v>
      </c>
      <c r="G247" s="133" t="s">
        <v>353</v>
      </c>
      <c r="H247" s="129"/>
    </row>
    <row r="248" spans="1:8" x14ac:dyDescent="0.45">
      <c r="A248" s="130">
        <v>201</v>
      </c>
      <c r="B248" s="131" t="s">
        <v>240</v>
      </c>
      <c r="C248" s="131"/>
      <c r="D248" s="131"/>
      <c r="E248" s="131">
        <v>4814</v>
      </c>
      <c r="F248" s="131" t="str">
        <f t="shared" si="2"/>
        <v>2014814</v>
      </c>
      <c r="G248" s="133" t="s">
        <v>354</v>
      </c>
      <c r="H248" s="129"/>
    </row>
    <row r="249" spans="1:8" x14ac:dyDescent="0.45">
      <c r="A249" s="130">
        <v>201</v>
      </c>
      <c r="B249" s="131" t="s">
        <v>240</v>
      </c>
      <c r="C249" s="131"/>
      <c r="D249" s="131"/>
      <c r="E249" s="131">
        <v>4816</v>
      </c>
      <c r="F249" s="131" t="str">
        <f t="shared" si="2"/>
        <v>2014816</v>
      </c>
      <c r="G249" s="133" t="s">
        <v>355</v>
      </c>
      <c r="H249" s="129"/>
    </row>
    <row r="250" spans="1:8" x14ac:dyDescent="0.45">
      <c r="A250" s="130">
        <v>201</v>
      </c>
      <c r="B250" s="131" t="s">
        <v>240</v>
      </c>
      <c r="C250" s="131"/>
      <c r="D250" s="131"/>
      <c r="E250" s="131">
        <v>4818</v>
      </c>
      <c r="F250" s="131" t="str">
        <f t="shared" si="2"/>
        <v>2014818</v>
      </c>
      <c r="G250" s="133" t="s">
        <v>356</v>
      </c>
      <c r="H250" s="129"/>
    </row>
    <row r="251" spans="1:8" x14ac:dyDescent="0.45">
      <c r="A251" s="130">
        <v>201</v>
      </c>
      <c r="B251" s="131" t="s">
        <v>240</v>
      </c>
      <c r="C251" s="131"/>
      <c r="D251" s="131"/>
      <c r="E251" s="131">
        <v>4825</v>
      </c>
      <c r="F251" s="131" t="str">
        <f t="shared" si="2"/>
        <v>2014825</v>
      </c>
      <c r="G251" s="133" t="s">
        <v>357</v>
      </c>
      <c r="H251" s="129"/>
    </row>
    <row r="252" spans="1:8" x14ac:dyDescent="0.45">
      <c r="A252" s="130">
        <v>201</v>
      </c>
      <c r="B252" s="131" t="s">
        <v>240</v>
      </c>
      <c r="C252" s="131"/>
      <c r="D252" s="131"/>
      <c r="E252" s="131">
        <v>4826</v>
      </c>
      <c r="F252" s="131" t="str">
        <f t="shared" si="2"/>
        <v>2014826</v>
      </c>
      <c r="G252" s="133" t="s">
        <v>358</v>
      </c>
      <c r="H252" s="129"/>
    </row>
    <row r="253" spans="1:8" x14ac:dyDescent="0.45">
      <c r="A253" s="130">
        <v>201</v>
      </c>
      <c r="B253" s="131" t="s">
        <v>240</v>
      </c>
      <c r="C253" s="131"/>
      <c r="D253" s="131"/>
      <c r="E253" s="131">
        <v>4830</v>
      </c>
      <c r="F253" s="131" t="str">
        <f>A253&amp;E253</f>
        <v>2014830</v>
      </c>
      <c r="G253" s="133" t="s">
        <v>359</v>
      </c>
      <c r="H253" s="129"/>
    </row>
    <row r="254" spans="1:8" x14ac:dyDescent="0.45">
      <c r="A254" s="130">
        <v>201</v>
      </c>
      <c r="B254" s="131" t="s">
        <v>240</v>
      </c>
      <c r="C254" s="131"/>
      <c r="D254" s="131"/>
      <c r="E254" s="131">
        <v>4836</v>
      </c>
      <c r="F254" s="131" t="str">
        <f t="shared" si="2"/>
        <v>2014836</v>
      </c>
      <c r="G254" s="133" t="s">
        <v>163</v>
      </c>
      <c r="H254" s="129"/>
    </row>
    <row r="255" spans="1:8" x14ac:dyDescent="0.45">
      <c r="A255" s="130">
        <v>201</v>
      </c>
      <c r="B255" s="131" t="s">
        <v>240</v>
      </c>
      <c r="C255" s="131"/>
      <c r="D255" s="131"/>
      <c r="E255" s="131">
        <v>5003</v>
      </c>
      <c r="F255" s="131" t="str">
        <f t="shared" si="2"/>
        <v>2015003</v>
      </c>
      <c r="G255" s="133" t="s">
        <v>360</v>
      </c>
      <c r="H255" s="129"/>
    </row>
    <row r="256" spans="1:8" x14ac:dyDescent="0.45">
      <c r="A256" s="130">
        <v>201</v>
      </c>
      <c r="B256" s="131" t="s">
        <v>240</v>
      </c>
      <c r="C256" s="131"/>
      <c r="D256" s="131"/>
      <c r="E256" s="131">
        <v>5008</v>
      </c>
      <c r="F256" s="131" t="str">
        <f t="shared" si="2"/>
        <v>2015008</v>
      </c>
      <c r="G256" s="133" t="s">
        <v>361</v>
      </c>
      <c r="H256" s="129"/>
    </row>
    <row r="257" spans="1:8" x14ac:dyDescent="0.45">
      <c r="A257" s="130">
        <v>201</v>
      </c>
      <c r="B257" s="131" t="s">
        <v>240</v>
      </c>
      <c r="C257" s="131"/>
      <c r="D257" s="131"/>
      <c r="E257" s="131">
        <v>5009</v>
      </c>
      <c r="F257" s="131" t="str">
        <f t="shared" si="2"/>
        <v>2015009</v>
      </c>
      <c r="G257" s="133" t="s">
        <v>362</v>
      </c>
      <c r="H257" s="129"/>
    </row>
    <row r="258" spans="1:8" x14ac:dyDescent="0.45">
      <c r="A258" s="130">
        <v>201</v>
      </c>
      <c r="B258" s="131" t="s">
        <v>240</v>
      </c>
      <c r="C258" s="131"/>
      <c r="D258" s="131"/>
      <c r="E258" s="131">
        <v>5011</v>
      </c>
      <c r="F258" s="131" t="str">
        <f t="shared" si="2"/>
        <v>2015011</v>
      </c>
      <c r="G258" s="133" t="s">
        <v>363</v>
      </c>
      <c r="H258" s="129"/>
    </row>
    <row r="259" spans="1:8" x14ac:dyDescent="0.45">
      <c r="A259" s="130">
        <v>201</v>
      </c>
      <c r="B259" s="131" t="s">
        <v>240</v>
      </c>
      <c r="C259" s="131"/>
      <c r="D259" s="131"/>
      <c r="E259" s="131">
        <v>5016</v>
      </c>
      <c r="F259" s="131" t="str">
        <f t="shared" si="2"/>
        <v>2015016</v>
      </c>
      <c r="G259" s="133" t="s">
        <v>364</v>
      </c>
      <c r="H259" s="129"/>
    </row>
    <row r="260" spans="1:8" x14ac:dyDescent="0.45">
      <c r="A260" s="130">
        <v>201</v>
      </c>
      <c r="B260" s="131" t="s">
        <v>240</v>
      </c>
      <c r="C260" s="131"/>
      <c r="D260" s="131"/>
      <c r="E260" s="131">
        <v>5017</v>
      </c>
      <c r="F260" s="131" t="str">
        <f>A260&amp;E260</f>
        <v>2015017</v>
      </c>
      <c r="G260" s="133" t="s">
        <v>365</v>
      </c>
      <c r="H260" s="129"/>
    </row>
    <row r="261" spans="1:8" x14ac:dyDescent="0.45">
      <c r="A261" s="130">
        <v>201</v>
      </c>
      <c r="B261" s="131" t="s">
        <v>240</v>
      </c>
      <c r="C261" s="131"/>
      <c r="D261" s="131"/>
      <c r="E261" s="131">
        <v>5200</v>
      </c>
      <c r="F261" s="131" t="str">
        <f>A261&amp;E261</f>
        <v>2015200</v>
      </c>
      <c r="G261" s="133" t="s">
        <v>366</v>
      </c>
      <c r="H261" s="129"/>
    </row>
    <row r="262" spans="1:8" x14ac:dyDescent="0.45">
      <c r="A262" s="130">
        <v>201</v>
      </c>
      <c r="B262" s="131" t="s">
        <v>240</v>
      </c>
      <c r="C262" s="131"/>
      <c r="D262" s="131"/>
      <c r="E262" s="131">
        <v>5201</v>
      </c>
      <c r="F262" s="131" t="str">
        <f>A262&amp;E262</f>
        <v>2015201</v>
      </c>
      <c r="G262" s="133" t="s">
        <v>367</v>
      </c>
      <c r="H262" s="129"/>
    </row>
    <row r="263" spans="1:8" x14ac:dyDescent="0.45">
      <c r="A263" s="130">
        <v>201</v>
      </c>
      <c r="B263" s="131" t="s">
        <v>240</v>
      </c>
      <c r="C263" s="131"/>
      <c r="D263" s="131"/>
      <c r="E263" s="131">
        <v>5202</v>
      </c>
      <c r="F263" s="131" t="str">
        <f t="shared" si="2"/>
        <v>2015202</v>
      </c>
      <c r="G263" s="133" t="s">
        <v>368</v>
      </c>
      <c r="H263" s="129"/>
    </row>
    <row r="264" spans="1:8" x14ac:dyDescent="0.45">
      <c r="A264" s="130">
        <v>201</v>
      </c>
      <c r="B264" s="131" t="s">
        <v>240</v>
      </c>
      <c r="C264" s="131"/>
      <c r="D264" s="131"/>
      <c r="E264" s="131">
        <v>5203</v>
      </c>
      <c r="F264" s="131" t="str">
        <f t="shared" si="2"/>
        <v>2015203</v>
      </c>
      <c r="G264" s="133" t="s">
        <v>369</v>
      </c>
      <c r="H264" s="129"/>
    </row>
    <row r="265" spans="1:8" x14ac:dyDescent="0.45">
      <c r="A265" s="130">
        <v>201</v>
      </c>
      <c r="B265" s="131" t="s">
        <v>240</v>
      </c>
      <c r="C265" s="131"/>
      <c r="D265" s="131"/>
      <c r="E265" s="131">
        <v>5209</v>
      </c>
      <c r="F265" s="131" t="str">
        <f t="shared" si="2"/>
        <v>2015209</v>
      </c>
      <c r="G265" s="133" t="s">
        <v>370</v>
      </c>
      <c r="H265" s="129"/>
    </row>
    <row r="266" spans="1:8" x14ac:dyDescent="0.45">
      <c r="A266" s="130">
        <v>201</v>
      </c>
      <c r="B266" s="131" t="s">
        <v>240</v>
      </c>
      <c r="C266" s="131"/>
      <c r="D266" s="131"/>
      <c r="E266" s="131">
        <v>5217</v>
      </c>
      <c r="F266" s="131" t="str">
        <f t="shared" si="2"/>
        <v>2015217</v>
      </c>
      <c r="G266" s="133" t="s">
        <v>371</v>
      </c>
      <c r="H266" s="129"/>
    </row>
    <row r="267" spans="1:8" x14ac:dyDescent="0.45">
      <c r="A267" s="130">
        <v>201</v>
      </c>
      <c r="B267" s="131" t="s">
        <v>240</v>
      </c>
      <c r="C267" s="131"/>
      <c r="D267" s="131"/>
      <c r="E267" s="131">
        <v>5219</v>
      </c>
      <c r="F267" s="131" t="str">
        <f>A267&amp;E267</f>
        <v>2015219</v>
      </c>
      <c r="G267" s="133" t="s">
        <v>372</v>
      </c>
      <c r="H267" s="129"/>
    </row>
    <row r="268" spans="1:8" x14ac:dyDescent="0.45">
      <c r="A268" s="130">
        <v>201</v>
      </c>
      <c r="B268" s="131" t="s">
        <v>240</v>
      </c>
      <c r="C268" s="131"/>
      <c r="D268" s="131"/>
      <c r="E268" s="131">
        <v>5231</v>
      </c>
      <c r="F268" s="131" t="str">
        <f t="shared" si="2"/>
        <v>2015231</v>
      </c>
      <c r="G268" s="133" t="s">
        <v>373</v>
      </c>
      <c r="H268" s="129"/>
    </row>
    <row r="269" spans="1:8" x14ac:dyDescent="0.45">
      <c r="A269" s="130">
        <v>201</v>
      </c>
      <c r="B269" s="131" t="s">
        <v>240</v>
      </c>
      <c r="C269" s="131"/>
      <c r="D269" s="131"/>
      <c r="E269" s="131">
        <v>5232</v>
      </c>
      <c r="F269" s="131" t="str">
        <f t="shared" si="2"/>
        <v>2015232</v>
      </c>
      <c r="G269" s="133" t="s">
        <v>374</v>
      </c>
      <c r="H269" s="129"/>
    </row>
    <row r="270" spans="1:8" x14ac:dyDescent="0.45">
      <c r="A270" s="130">
        <v>201</v>
      </c>
      <c r="B270" s="131" t="s">
        <v>240</v>
      </c>
      <c r="C270" s="131"/>
      <c r="D270" s="131"/>
      <c r="E270" s="131">
        <v>5235</v>
      </c>
      <c r="F270" s="131" t="str">
        <f>A270&amp;E270</f>
        <v>2015235</v>
      </c>
      <c r="G270" s="133" t="s">
        <v>375</v>
      </c>
      <c r="H270" s="129"/>
    </row>
    <row r="271" spans="1:8" x14ac:dyDescent="0.45">
      <c r="A271" s="130">
        <v>201</v>
      </c>
      <c r="B271" s="131" t="s">
        <v>240</v>
      </c>
      <c r="C271" s="131"/>
      <c r="D271" s="131"/>
      <c r="E271" s="131">
        <v>5602</v>
      </c>
      <c r="F271" s="131" t="str">
        <f>A271&amp;E271</f>
        <v>2015602</v>
      </c>
      <c r="G271" s="133" t="s">
        <v>376</v>
      </c>
      <c r="H271" s="129"/>
    </row>
    <row r="272" spans="1:8" x14ac:dyDescent="0.45">
      <c r="A272" s="130">
        <v>201</v>
      </c>
      <c r="B272" s="131" t="s">
        <v>240</v>
      </c>
      <c r="C272" s="131"/>
      <c r="D272" s="131"/>
      <c r="E272" s="131">
        <v>6001</v>
      </c>
      <c r="F272" s="131" t="str">
        <f t="shared" si="2"/>
        <v>2016001</v>
      </c>
      <c r="G272" s="133" t="s">
        <v>377</v>
      </c>
      <c r="H272" s="129"/>
    </row>
    <row r="273" spans="1:8" x14ac:dyDescent="0.45">
      <c r="A273" s="130">
        <v>201</v>
      </c>
      <c r="B273" s="131" t="s">
        <v>240</v>
      </c>
      <c r="C273" s="131"/>
      <c r="D273" s="131"/>
      <c r="E273" s="131">
        <v>6002</v>
      </c>
      <c r="F273" s="131" t="str">
        <f t="shared" si="2"/>
        <v>2016002</v>
      </c>
      <c r="G273" s="133" t="s">
        <v>378</v>
      </c>
      <c r="H273" s="129"/>
    </row>
    <row r="274" spans="1:8" x14ac:dyDescent="0.45">
      <c r="A274" s="130">
        <v>201</v>
      </c>
      <c r="B274" s="131" t="s">
        <v>240</v>
      </c>
      <c r="C274" s="131"/>
      <c r="D274" s="131"/>
      <c r="E274" s="131">
        <v>6006</v>
      </c>
      <c r="F274" s="131" t="str">
        <f>A274&amp;E274</f>
        <v>2016006</v>
      </c>
      <c r="G274" s="133" t="s">
        <v>379</v>
      </c>
      <c r="H274" s="129"/>
    </row>
    <row r="275" spans="1:8" x14ac:dyDescent="0.45">
      <c r="A275" s="130">
        <v>201</v>
      </c>
      <c r="B275" s="131" t="s">
        <v>240</v>
      </c>
      <c r="C275" s="131"/>
      <c r="D275" s="131"/>
      <c r="E275" s="131">
        <v>6008</v>
      </c>
      <c r="F275" s="131" t="str">
        <f t="shared" si="2"/>
        <v>2016008</v>
      </c>
      <c r="G275" s="133" t="s">
        <v>380</v>
      </c>
      <c r="H275" s="129"/>
    </row>
    <row r="276" spans="1:8" x14ac:dyDescent="0.45">
      <c r="A276" s="130">
        <v>201</v>
      </c>
      <c r="B276" s="131" t="s">
        <v>240</v>
      </c>
      <c r="C276" s="131"/>
      <c r="D276" s="131"/>
      <c r="E276" s="131">
        <v>6010</v>
      </c>
      <c r="F276" s="131" t="str">
        <f t="shared" si="2"/>
        <v>2016010</v>
      </c>
      <c r="G276" s="133" t="s">
        <v>381</v>
      </c>
      <c r="H276" s="129"/>
    </row>
    <row r="277" spans="1:8" x14ac:dyDescent="0.45">
      <c r="A277" s="130">
        <v>201</v>
      </c>
      <c r="B277" s="131" t="s">
        <v>240</v>
      </c>
      <c r="C277" s="131"/>
      <c r="D277" s="131"/>
      <c r="E277" s="131">
        <v>6209</v>
      </c>
      <c r="F277" s="131" t="str">
        <f t="shared" si="2"/>
        <v>2016209</v>
      </c>
      <c r="G277" s="133" t="s">
        <v>382</v>
      </c>
      <c r="H277" s="129"/>
    </row>
    <row r="278" spans="1:8" x14ac:dyDescent="0.45">
      <c r="A278" s="130">
        <v>201</v>
      </c>
      <c r="B278" s="131" t="s">
        <v>240</v>
      </c>
      <c r="C278" s="131"/>
      <c r="D278" s="131"/>
      <c r="E278" s="131">
        <v>6210</v>
      </c>
      <c r="F278" s="131" t="str">
        <f>A278&amp;E278</f>
        <v>2016210</v>
      </c>
      <c r="G278" s="133" t="s">
        <v>383</v>
      </c>
      <c r="H278" s="129"/>
    </row>
    <row r="279" spans="1:8" x14ac:dyDescent="0.45">
      <c r="A279" s="130">
        <v>201</v>
      </c>
      <c r="B279" s="131" t="s">
        <v>240</v>
      </c>
      <c r="C279" s="131"/>
      <c r="D279" s="131"/>
      <c r="E279" s="131">
        <v>6401</v>
      </c>
      <c r="F279" s="131" t="str">
        <f t="shared" si="2"/>
        <v>2016401</v>
      </c>
      <c r="G279" s="133" t="s">
        <v>384</v>
      </c>
      <c r="H279" s="129"/>
    </row>
    <row r="280" spans="1:8" x14ac:dyDescent="0.45">
      <c r="A280" s="130">
        <v>201</v>
      </c>
      <c r="B280" s="131" t="s">
        <v>240</v>
      </c>
      <c r="C280" s="131"/>
      <c r="D280" s="131"/>
      <c r="E280" s="131">
        <v>6402</v>
      </c>
      <c r="F280" s="131" t="str">
        <f t="shared" si="2"/>
        <v>2016402</v>
      </c>
      <c r="G280" s="133" t="s">
        <v>385</v>
      </c>
      <c r="H280" s="129"/>
    </row>
    <row r="281" spans="1:8" x14ac:dyDescent="0.45">
      <c r="A281" s="130">
        <v>201</v>
      </c>
      <c r="B281" s="131" t="s">
        <v>240</v>
      </c>
      <c r="C281" s="131"/>
      <c r="D281" s="131"/>
      <c r="E281" s="131">
        <v>6403</v>
      </c>
      <c r="F281" s="131" t="str">
        <f t="shared" si="2"/>
        <v>2016403</v>
      </c>
      <c r="G281" s="133" t="s">
        <v>386</v>
      </c>
      <c r="H281" s="129"/>
    </row>
    <row r="282" spans="1:8" x14ac:dyDescent="0.45">
      <c r="A282" s="130">
        <v>201</v>
      </c>
      <c r="B282" s="131" t="s">
        <v>311</v>
      </c>
      <c r="C282" s="131"/>
      <c r="D282" s="131"/>
      <c r="E282" s="131">
        <v>6404</v>
      </c>
      <c r="F282" s="131" t="str">
        <f t="shared" si="2"/>
        <v>2016404</v>
      </c>
      <c r="G282" s="133" t="s">
        <v>387</v>
      </c>
      <c r="H282" s="129"/>
    </row>
    <row r="283" spans="1:8" x14ac:dyDescent="0.45">
      <c r="A283" s="130">
        <v>201</v>
      </c>
      <c r="B283" s="131" t="s">
        <v>240</v>
      </c>
      <c r="C283" s="131"/>
      <c r="D283" s="131"/>
      <c r="E283" s="131">
        <v>6406</v>
      </c>
      <c r="F283" s="131" t="str">
        <f t="shared" si="2"/>
        <v>2016406</v>
      </c>
      <c r="G283" s="133" t="s">
        <v>388</v>
      </c>
      <c r="H283" s="129"/>
    </row>
    <row r="284" spans="1:8" x14ac:dyDescent="0.45">
      <c r="A284" s="130">
        <v>201</v>
      </c>
      <c r="B284" s="131" t="s">
        <v>240</v>
      </c>
      <c r="C284" s="131"/>
      <c r="D284" s="131"/>
      <c r="E284" s="131">
        <v>6421</v>
      </c>
      <c r="F284" s="131" t="str">
        <f t="shared" si="2"/>
        <v>2016421</v>
      </c>
      <c r="G284" s="133" t="s">
        <v>389</v>
      </c>
      <c r="H284" s="129"/>
    </row>
    <row r="285" spans="1:8" x14ac:dyDescent="0.45">
      <c r="A285" s="130">
        <v>201</v>
      </c>
      <c r="B285" s="131" t="s">
        <v>240</v>
      </c>
      <c r="C285" s="131"/>
      <c r="D285" s="131"/>
      <c r="E285" s="131">
        <v>6423</v>
      </c>
      <c r="F285" s="131" t="str">
        <f t="shared" si="2"/>
        <v>2016423</v>
      </c>
      <c r="G285" s="133" t="s">
        <v>390</v>
      </c>
      <c r="H285" s="129"/>
    </row>
    <row r="286" spans="1:8" x14ac:dyDescent="0.45">
      <c r="A286" s="130">
        <v>201</v>
      </c>
      <c r="B286" s="131" t="s">
        <v>240</v>
      </c>
      <c r="C286" s="131"/>
      <c r="D286" s="131"/>
      <c r="E286" s="131">
        <v>6425</v>
      </c>
      <c r="F286" s="131" t="str">
        <f t="shared" si="2"/>
        <v>2016425</v>
      </c>
      <c r="G286" s="133" t="s">
        <v>391</v>
      </c>
      <c r="H286" s="129"/>
    </row>
    <row r="287" spans="1:8" x14ac:dyDescent="0.45">
      <c r="A287" s="130">
        <v>201</v>
      </c>
      <c r="B287" s="131" t="s">
        <v>311</v>
      </c>
      <c r="C287" s="131"/>
      <c r="D287" s="131"/>
      <c r="E287" s="131">
        <v>6427</v>
      </c>
      <c r="F287" s="131" t="str">
        <f t="shared" si="2"/>
        <v>2016427</v>
      </c>
      <c r="G287" s="133" t="s">
        <v>392</v>
      </c>
      <c r="H287" s="129"/>
    </row>
    <row r="288" spans="1:8" x14ac:dyDescent="0.45">
      <c r="A288" s="130">
        <v>201</v>
      </c>
      <c r="B288" s="131" t="s">
        <v>240</v>
      </c>
      <c r="C288" s="131"/>
      <c r="D288" s="131"/>
      <c r="E288" s="131">
        <v>6430</v>
      </c>
      <c r="F288" s="131" t="str">
        <f>A288&amp;E288</f>
        <v>2016430</v>
      </c>
      <c r="G288" s="133" t="s">
        <v>393</v>
      </c>
      <c r="H288" s="129"/>
    </row>
    <row r="289" spans="1:8" x14ac:dyDescent="0.45">
      <c r="A289" s="130">
        <v>201</v>
      </c>
      <c r="B289" s="131" t="s">
        <v>240</v>
      </c>
      <c r="C289" s="131"/>
      <c r="D289" s="131"/>
      <c r="E289" s="131">
        <v>6431</v>
      </c>
      <c r="F289" s="131" t="str">
        <f>A289&amp;E289</f>
        <v>2016431</v>
      </c>
      <c r="G289" s="133" t="s">
        <v>394</v>
      </c>
      <c r="H289" s="129"/>
    </row>
    <row r="290" spans="1:8" x14ac:dyDescent="0.45">
      <c r="A290" s="130">
        <v>201</v>
      </c>
      <c r="B290" s="131" t="s">
        <v>311</v>
      </c>
      <c r="C290" s="131"/>
      <c r="D290" s="131"/>
      <c r="E290" s="131">
        <v>6443</v>
      </c>
      <c r="F290" s="131" t="str">
        <f>A290&amp;E290</f>
        <v>2016443</v>
      </c>
      <c r="G290" s="133" t="s">
        <v>395</v>
      </c>
      <c r="H290" s="129"/>
    </row>
    <row r="291" spans="1:8" x14ac:dyDescent="0.45">
      <c r="A291" s="130">
        <v>201</v>
      </c>
      <c r="B291" s="131" t="s">
        <v>240</v>
      </c>
      <c r="C291" s="131"/>
      <c r="D291" s="131"/>
      <c r="E291" s="131">
        <v>6428</v>
      </c>
      <c r="F291" s="131" t="str">
        <f>A291&amp;E291</f>
        <v>2016428</v>
      </c>
      <c r="G291" s="133" t="s">
        <v>396</v>
      </c>
      <c r="H291" s="129"/>
    </row>
    <row r="292" spans="1:8" x14ac:dyDescent="0.45">
      <c r="A292" s="130">
        <v>201</v>
      </c>
      <c r="B292" s="131" t="s">
        <v>240</v>
      </c>
      <c r="C292" s="131"/>
      <c r="D292" s="131"/>
      <c r="E292" s="131">
        <v>6801</v>
      </c>
      <c r="F292" s="131" t="str">
        <f t="shared" si="2"/>
        <v>2016801</v>
      </c>
      <c r="G292" s="133" t="s">
        <v>397</v>
      </c>
      <c r="H292" s="129"/>
    </row>
    <row r="293" spans="1:8" x14ac:dyDescent="0.45">
      <c r="A293" s="130">
        <v>201</v>
      </c>
      <c r="B293" s="131" t="s">
        <v>240</v>
      </c>
      <c r="C293" s="131"/>
      <c r="D293" s="131"/>
      <c r="E293" s="131">
        <v>6802</v>
      </c>
      <c r="F293" s="131" t="str">
        <f t="shared" si="2"/>
        <v>2016802</v>
      </c>
      <c r="G293" s="133" t="s">
        <v>398</v>
      </c>
      <c r="H293" s="129"/>
    </row>
    <row r="294" spans="1:8" x14ac:dyDescent="0.45">
      <c r="A294" s="130">
        <v>201</v>
      </c>
      <c r="B294" s="131" t="s">
        <v>240</v>
      </c>
      <c r="C294" s="131"/>
      <c r="D294" s="131"/>
      <c r="E294" s="131">
        <v>6806</v>
      </c>
      <c r="F294" s="131" t="str">
        <f t="shared" si="2"/>
        <v>2016806</v>
      </c>
      <c r="G294" s="133" t="s">
        <v>399</v>
      </c>
      <c r="H294" s="129"/>
    </row>
    <row r="295" spans="1:8" x14ac:dyDescent="0.45">
      <c r="A295" s="130">
        <v>201</v>
      </c>
      <c r="B295" s="131" t="s">
        <v>240</v>
      </c>
      <c r="C295" s="131"/>
      <c r="D295" s="131"/>
      <c r="E295" s="131">
        <v>6810</v>
      </c>
      <c r="F295" s="131" t="str">
        <f>A295&amp;E295</f>
        <v>2016810</v>
      </c>
      <c r="G295" s="133" t="s">
        <v>400</v>
      </c>
      <c r="H295" s="129"/>
    </row>
    <row r="296" spans="1:8" x14ac:dyDescent="0.45">
      <c r="A296" s="130">
        <v>201</v>
      </c>
      <c r="B296" s="131" t="s">
        <v>240</v>
      </c>
      <c r="C296" s="131"/>
      <c r="D296" s="131"/>
      <c r="E296" s="131">
        <v>7002</v>
      </c>
      <c r="F296" s="131" t="str">
        <f t="shared" si="2"/>
        <v>2017002</v>
      </c>
      <c r="G296" s="133" t="s">
        <v>401</v>
      </c>
      <c r="H296" s="129"/>
    </row>
    <row r="297" spans="1:8" x14ac:dyDescent="0.45">
      <c r="A297" s="130">
        <v>201</v>
      </c>
      <c r="B297" s="131" t="s">
        <v>240</v>
      </c>
      <c r="C297" s="131"/>
      <c r="D297" s="131"/>
      <c r="E297" s="131">
        <v>7008</v>
      </c>
      <c r="F297" s="131" t="str">
        <f t="shared" si="2"/>
        <v>2017008</v>
      </c>
      <c r="G297" s="133" t="s">
        <v>402</v>
      </c>
      <c r="H297" s="129"/>
    </row>
    <row r="298" spans="1:8" x14ac:dyDescent="0.45">
      <c r="A298" s="130">
        <v>201</v>
      </c>
      <c r="B298" s="131" t="s">
        <v>240</v>
      </c>
      <c r="C298" s="131"/>
      <c r="D298" s="131"/>
      <c r="E298" s="131">
        <v>7010</v>
      </c>
      <c r="F298" s="131" t="str">
        <f>A298&amp;E298</f>
        <v>2017010</v>
      </c>
      <c r="G298" s="133" t="s">
        <v>403</v>
      </c>
      <c r="H298" s="129"/>
    </row>
    <row r="299" spans="1:8" x14ac:dyDescent="0.45">
      <c r="A299" s="130">
        <v>201</v>
      </c>
      <c r="B299" s="131" t="s">
        <v>240</v>
      </c>
      <c r="C299" s="131"/>
      <c r="D299" s="131"/>
      <c r="E299" s="131">
        <v>7015</v>
      </c>
      <c r="F299" s="131" t="str">
        <f t="shared" si="2"/>
        <v>2017015</v>
      </c>
      <c r="G299" s="133" t="s">
        <v>404</v>
      </c>
      <c r="H299" s="129"/>
    </row>
    <row r="300" spans="1:8" x14ac:dyDescent="0.45">
      <c r="A300" s="130">
        <v>201</v>
      </c>
      <c r="B300" s="131" t="s">
        <v>240</v>
      </c>
      <c r="C300" s="131"/>
      <c r="D300" s="131"/>
      <c r="E300" s="131">
        <v>7201</v>
      </c>
      <c r="F300" s="131" t="str">
        <f t="shared" si="2"/>
        <v>2017201</v>
      </c>
      <c r="G300" s="133" t="s">
        <v>405</v>
      </c>
      <c r="H300" s="129"/>
    </row>
    <row r="301" spans="1:8" x14ac:dyDescent="0.45">
      <c r="A301" s="130">
        <v>201</v>
      </c>
      <c r="B301" s="131" t="s">
        <v>240</v>
      </c>
      <c r="C301" s="131"/>
      <c r="D301" s="131"/>
      <c r="E301" s="131">
        <v>7204</v>
      </c>
      <c r="F301" s="131" t="str">
        <f t="shared" si="2"/>
        <v>2017204</v>
      </c>
      <c r="G301" s="133" t="s">
        <v>406</v>
      </c>
      <c r="H301" s="129"/>
    </row>
    <row r="302" spans="1:8" x14ac:dyDescent="0.45">
      <c r="A302" s="130">
        <v>201</v>
      </c>
      <c r="B302" s="131" t="s">
        <v>240</v>
      </c>
      <c r="C302" s="131"/>
      <c r="D302" s="131"/>
      <c r="E302" s="131">
        <v>7207</v>
      </c>
      <c r="F302" s="131" t="str">
        <f t="shared" ref="F302:F388" si="3">A302&amp;E302</f>
        <v>2017207</v>
      </c>
      <c r="G302" s="133" t="s">
        <v>407</v>
      </c>
      <c r="H302" s="129"/>
    </row>
    <row r="303" spans="1:8" x14ac:dyDescent="0.45">
      <c r="A303" s="130">
        <v>201</v>
      </c>
      <c r="B303" s="131" t="s">
        <v>240</v>
      </c>
      <c r="C303" s="131"/>
      <c r="D303" s="131"/>
      <c r="E303" s="131">
        <v>7216</v>
      </c>
      <c r="F303" s="131" t="str">
        <f t="shared" si="3"/>
        <v>2017216</v>
      </c>
      <c r="G303" s="133" t="s">
        <v>408</v>
      </c>
      <c r="H303" s="129"/>
    </row>
    <row r="304" spans="1:8" x14ac:dyDescent="0.45">
      <c r="A304" s="130">
        <v>201</v>
      </c>
      <c r="B304" s="131" t="s">
        <v>240</v>
      </c>
      <c r="C304" s="131"/>
      <c r="D304" s="131"/>
      <c r="E304" s="131">
        <v>7217</v>
      </c>
      <c r="F304" s="131" t="str">
        <f t="shared" si="3"/>
        <v>2017217</v>
      </c>
      <c r="G304" s="133" t="s">
        <v>409</v>
      </c>
      <c r="H304" s="129"/>
    </row>
    <row r="305" spans="1:8" x14ac:dyDescent="0.45">
      <c r="A305" s="130">
        <v>201</v>
      </c>
      <c r="B305" s="131" t="s">
        <v>240</v>
      </c>
      <c r="C305" s="131"/>
      <c r="D305" s="131"/>
      <c r="E305" s="131">
        <v>7803</v>
      </c>
      <c r="F305" s="131" t="str">
        <f t="shared" si="3"/>
        <v>2017803</v>
      </c>
      <c r="G305" s="133" t="s">
        <v>410</v>
      </c>
      <c r="H305" s="129"/>
    </row>
    <row r="306" spans="1:8" x14ac:dyDescent="0.45">
      <c r="A306" s="130">
        <v>201</v>
      </c>
      <c r="B306" s="131" t="s">
        <v>311</v>
      </c>
      <c r="C306" s="131"/>
      <c r="D306" s="131"/>
      <c r="E306" s="131">
        <v>8001</v>
      </c>
      <c r="F306" s="131" t="str">
        <f t="shared" si="3"/>
        <v>2018001</v>
      </c>
      <c r="G306" s="133" t="s">
        <v>411</v>
      </c>
      <c r="H306" s="129"/>
    </row>
    <row r="307" spans="1:8" x14ac:dyDescent="0.45">
      <c r="A307" s="130">
        <v>201</v>
      </c>
      <c r="B307" s="131" t="s">
        <v>311</v>
      </c>
      <c r="C307" s="131"/>
      <c r="D307" s="131"/>
      <c r="E307" s="131">
        <v>8004</v>
      </c>
      <c r="F307" s="131" t="str">
        <f t="shared" si="3"/>
        <v>2018004</v>
      </c>
      <c r="G307" s="133" t="s">
        <v>412</v>
      </c>
      <c r="H307" s="129"/>
    </row>
    <row r="308" spans="1:8" x14ac:dyDescent="0.45">
      <c r="A308" s="130">
        <v>201</v>
      </c>
      <c r="B308" s="131" t="s">
        <v>311</v>
      </c>
      <c r="C308" s="131"/>
      <c r="D308" s="131"/>
      <c r="E308" s="131">
        <v>8006</v>
      </c>
      <c r="F308" s="131" t="str">
        <f t="shared" si="3"/>
        <v>2018006</v>
      </c>
      <c r="G308" s="133" t="s">
        <v>413</v>
      </c>
      <c r="H308" s="129"/>
    </row>
    <row r="309" spans="1:8" x14ac:dyDescent="0.45">
      <c r="A309" s="130">
        <v>201</v>
      </c>
      <c r="B309" s="131" t="s">
        <v>240</v>
      </c>
      <c r="C309" s="131"/>
      <c r="D309" s="131"/>
      <c r="E309" s="131">
        <v>8018</v>
      </c>
      <c r="F309" s="131" t="str">
        <f t="shared" si="3"/>
        <v>2018018</v>
      </c>
      <c r="G309" s="133" t="s">
        <v>414</v>
      </c>
      <c r="H309" s="129"/>
    </row>
    <row r="310" spans="1:8" x14ac:dyDescent="0.45">
      <c r="A310" s="130">
        <v>201</v>
      </c>
      <c r="B310" s="131" t="s">
        <v>240</v>
      </c>
      <c r="C310" s="131"/>
      <c r="D310" s="131"/>
      <c r="E310" s="131">
        <v>8020</v>
      </c>
      <c r="F310" s="131" t="str">
        <f t="shared" si="3"/>
        <v>2018020</v>
      </c>
      <c r="G310" s="133" t="s">
        <v>415</v>
      </c>
      <c r="H310" s="129"/>
    </row>
    <row r="311" spans="1:8" x14ac:dyDescent="0.45">
      <c r="A311" s="130">
        <v>201</v>
      </c>
      <c r="B311" s="131" t="s">
        <v>240</v>
      </c>
      <c r="C311" s="131"/>
      <c r="D311" s="131"/>
      <c r="E311" s="131">
        <v>8206</v>
      </c>
      <c r="F311" s="131" t="str">
        <f t="shared" si="3"/>
        <v>2018206</v>
      </c>
      <c r="G311" s="133" t="s">
        <v>416</v>
      </c>
      <c r="H311" s="129"/>
    </row>
    <row r="312" spans="1:8" x14ac:dyDescent="0.45">
      <c r="A312" s="130">
        <v>201</v>
      </c>
      <c r="B312" s="131" t="s">
        <v>240</v>
      </c>
      <c r="C312" s="131"/>
      <c r="D312" s="131"/>
      <c r="E312" s="131">
        <v>8804</v>
      </c>
      <c r="F312" s="131" t="str">
        <f t="shared" si="3"/>
        <v>2018804</v>
      </c>
      <c r="G312" s="133" t="s">
        <v>417</v>
      </c>
      <c r="H312" s="129"/>
    </row>
    <row r="313" spans="1:8" x14ac:dyDescent="0.45">
      <c r="A313" s="130">
        <v>201</v>
      </c>
      <c r="B313" s="131" t="s">
        <v>240</v>
      </c>
      <c r="C313" s="131"/>
      <c r="D313" s="131"/>
      <c r="E313" s="131">
        <v>8807</v>
      </c>
      <c r="F313" s="131" t="str">
        <f t="shared" si="3"/>
        <v>2018807</v>
      </c>
      <c r="G313" s="133" t="s">
        <v>418</v>
      </c>
      <c r="H313" s="129"/>
    </row>
    <row r="314" spans="1:8" x14ac:dyDescent="0.45">
      <c r="A314" s="130">
        <v>201</v>
      </c>
      <c r="B314" s="131" t="s">
        <v>240</v>
      </c>
      <c r="C314" s="131"/>
      <c r="D314" s="131"/>
      <c r="E314" s="131">
        <v>8808</v>
      </c>
      <c r="F314" s="131" t="str">
        <f t="shared" si="3"/>
        <v>2018808</v>
      </c>
      <c r="G314" s="133" t="s">
        <v>419</v>
      </c>
      <c r="H314" s="129"/>
    </row>
    <row r="315" spans="1:8" x14ac:dyDescent="0.45">
      <c r="A315" s="130">
        <v>201</v>
      </c>
      <c r="B315" s="131" t="s">
        <v>240</v>
      </c>
      <c r="C315" s="131"/>
      <c r="D315" s="131"/>
      <c r="E315" s="131">
        <v>9003</v>
      </c>
      <c r="F315" s="131" t="str">
        <f t="shared" si="3"/>
        <v>2019003</v>
      </c>
      <c r="G315" s="133" t="s">
        <v>420</v>
      </c>
      <c r="H315" s="129"/>
    </row>
    <row r="316" spans="1:8" x14ac:dyDescent="0.45">
      <c r="A316" s="130">
        <v>201</v>
      </c>
      <c r="B316" s="131" t="s">
        <v>240</v>
      </c>
      <c r="C316" s="131"/>
      <c r="D316" s="131"/>
      <c r="E316" s="131">
        <v>9801</v>
      </c>
      <c r="F316" s="131" t="str">
        <f t="shared" si="3"/>
        <v>2019801</v>
      </c>
      <c r="G316" s="133" t="s">
        <v>421</v>
      </c>
      <c r="H316" s="129"/>
    </row>
    <row r="317" spans="1:8" x14ac:dyDescent="0.45">
      <c r="A317" s="130">
        <v>201</v>
      </c>
      <c r="B317" s="131" t="s">
        <v>240</v>
      </c>
      <c r="C317" s="131"/>
      <c r="D317" s="131"/>
      <c r="E317" s="131">
        <v>9803</v>
      </c>
      <c r="F317" s="131" t="str">
        <f t="shared" si="3"/>
        <v>2019803</v>
      </c>
      <c r="G317" s="133" t="s">
        <v>422</v>
      </c>
      <c r="H317" s="129"/>
    </row>
    <row r="318" spans="1:8" x14ac:dyDescent="0.45">
      <c r="A318" s="130">
        <v>201</v>
      </c>
      <c r="B318" s="131" t="s">
        <v>240</v>
      </c>
      <c r="C318" s="131"/>
      <c r="D318" s="131"/>
      <c r="E318" s="131">
        <v>9997</v>
      </c>
      <c r="F318" s="131" t="str">
        <f t="shared" si="3"/>
        <v>2019997</v>
      </c>
      <c r="G318" s="133" t="s">
        <v>423</v>
      </c>
      <c r="H318" s="129"/>
    </row>
    <row r="319" spans="1:8" x14ac:dyDescent="0.45">
      <c r="A319" s="130">
        <v>201</v>
      </c>
      <c r="B319" s="131" t="s">
        <v>240</v>
      </c>
      <c r="C319" s="131"/>
      <c r="D319" s="131"/>
      <c r="E319" s="131">
        <v>9998</v>
      </c>
      <c r="F319" s="131" t="str">
        <f t="shared" si="3"/>
        <v>2019998</v>
      </c>
      <c r="G319" s="133" t="s">
        <v>424</v>
      </c>
      <c r="H319" s="129"/>
    </row>
    <row r="320" spans="1:8" x14ac:dyDescent="0.45">
      <c r="A320" s="130">
        <v>201</v>
      </c>
      <c r="B320" s="131" t="s">
        <v>240</v>
      </c>
      <c r="C320" s="131"/>
      <c r="D320" s="131"/>
      <c r="E320" s="131">
        <v>9999</v>
      </c>
      <c r="F320" s="131" t="str">
        <f t="shared" si="3"/>
        <v>2019999</v>
      </c>
      <c r="G320" s="133" t="s">
        <v>425</v>
      </c>
      <c r="H320" s="129"/>
    </row>
    <row r="321" spans="1:8" x14ac:dyDescent="0.45">
      <c r="A321" s="130">
        <v>202</v>
      </c>
      <c r="B321" s="131" t="s">
        <v>426</v>
      </c>
      <c r="C321" s="131"/>
      <c r="D321" s="131"/>
      <c r="E321" s="131"/>
      <c r="F321" s="131" t="str">
        <f t="shared" si="3"/>
        <v>202</v>
      </c>
      <c r="G321" s="133"/>
      <c r="H321" s="129"/>
    </row>
    <row r="322" spans="1:8" x14ac:dyDescent="0.45">
      <c r="A322" s="130">
        <v>204</v>
      </c>
      <c r="B322" s="131" t="s">
        <v>427</v>
      </c>
      <c r="C322" s="131"/>
      <c r="D322" s="131"/>
      <c r="E322" s="131">
        <v>1</v>
      </c>
      <c r="F322" s="131" t="str">
        <f t="shared" si="3"/>
        <v>2041</v>
      </c>
      <c r="G322" s="133" t="s">
        <v>428</v>
      </c>
      <c r="H322" s="129"/>
    </row>
    <row r="323" spans="1:8" x14ac:dyDescent="0.45">
      <c r="A323" s="130">
        <v>204</v>
      </c>
      <c r="B323" s="131" t="s">
        <v>427</v>
      </c>
      <c r="C323" s="131"/>
      <c r="D323" s="131"/>
      <c r="E323" s="131">
        <v>4</v>
      </c>
      <c r="F323" s="131" t="str">
        <f t="shared" si="3"/>
        <v>2044</v>
      </c>
      <c r="G323" s="133" t="s">
        <v>198</v>
      </c>
      <c r="H323" s="129"/>
    </row>
    <row r="324" spans="1:8" x14ac:dyDescent="0.45">
      <c r="A324" s="130">
        <v>204</v>
      </c>
      <c r="B324" s="131" t="s">
        <v>427</v>
      </c>
      <c r="C324" s="131"/>
      <c r="D324" s="131"/>
      <c r="E324" s="131">
        <v>10</v>
      </c>
      <c r="F324" s="131" t="str">
        <f t="shared" si="3"/>
        <v>20410</v>
      </c>
      <c r="G324" s="133" t="s">
        <v>429</v>
      </c>
      <c r="H324" s="129"/>
    </row>
    <row r="325" spans="1:8" x14ac:dyDescent="0.45">
      <c r="A325" s="130">
        <v>204</v>
      </c>
      <c r="B325" s="131" t="s">
        <v>427</v>
      </c>
      <c r="C325" s="131"/>
      <c r="D325" s="131"/>
      <c r="E325" s="131">
        <v>11</v>
      </c>
      <c r="F325" s="131" t="str">
        <f t="shared" si="3"/>
        <v>20411</v>
      </c>
      <c r="G325" s="133" t="s">
        <v>430</v>
      </c>
      <c r="H325" s="129"/>
    </row>
    <row r="326" spans="1:8" x14ac:dyDescent="0.45">
      <c r="A326" s="130">
        <v>204</v>
      </c>
      <c r="B326" s="131" t="s">
        <v>427</v>
      </c>
      <c r="C326" s="131"/>
      <c r="D326" s="131"/>
      <c r="E326" s="131">
        <v>40</v>
      </c>
      <c r="F326" s="131" t="str">
        <f t="shared" si="3"/>
        <v>20440</v>
      </c>
      <c r="G326" s="133" t="s">
        <v>431</v>
      </c>
      <c r="H326" s="129"/>
    </row>
    <row r="327" spans="1:8" x14ac:dyDescent="0.45">
      <c r="A327" s="130">
        <v>204</v>
      </c>
      <c r="B327" s="131" t="s">
        <v>427</v>
      </c>
      <c r="C327" s="131"/>
      <c r="D327" s="131"/>
      <c r="E327" s="131">
        <v>41</v>
      </c>
      <c r="F327" s="131" t="str">
        <f t="shared" si="3"/>
        <v>20441</v>
      </c>
      <c r="G327" s="133" t="s">
        <v>432</v>
      </c>
      <c r="H327" s="129"/>
    </row>
    <row r="328" spans="1:8" x14ac:dyDescent="0.45">
      <c r="A328" s="130">
        <v>204</v>
      </c>
      <c r="B328" s="131" t="s">
        <v>427</v>
      </c>
      <c r="C328" s="131"/>
      <c r="D328" s="131"/>
      <c r="E328" s="131">
        <v>42</v>
      </c>
      <c r="F328" s="131" t="str">
        <f t="shared" si="3"/>
        <v>20442</v>
      </c>
      <c r="G328" s="133" t="s">
        <v>433</v>
      </c>
      <c r="H328" s="129"/>
    </row>
    <row r="329" spans="1:8" x14ac:dyDescent="0.45">
      <c r="A329" s="130">
        <v>204</v>
      </c>
      <c r="B329" s="131" t="s">
        <v>427</v>
      </c>
      <c r="C329" s="131"/>
      <c r="D329" s="131"/>
      <c r="E329" s="131">
        <v>50</v>
      </c>
      <c r="F329" s="131" t="str">
        <f t="shared" si="3"/>
        <v>20450</v>
      </c>
      <c r="G329" s="133" t="s">
        <v>434</v>
      </c>
      <c r="H329" s="129"/>
    </row>
    <row r="330" spans="1:8" x14ac:dyDescent="0.45">
      <c r="A330" s="130">
        <v>204</v>
      </c>
      <c r="B330" s="131" t="s">
        <v>427</v>
      </c>
      <c r="C330" s="131"/>
      <c r="D330" s="131"/>
      <c r="E330" s="131">
        <v>51</v>
      </c>
      <c r="F330" s="131" t="str">
        <f t="shared" si="3"/>
        <v>20451</v>
      </c>
      <c r="G330" s="133" t="s">
        <v>435</v>
      </c>
      <c r="H330" s="129"/>
    </row>
    <row r="331" spans="1:8" x14ac:dyDescent="0.45">
      <c r="A331" s="130">
        <v>204</v>
      </c>
      <c r="B331" s="131" t="s">
        <v>427</v>
      </c>
      <c r="C331" s="131"/>
      <c r="D331" s="131"/>
      <c r="E331" s="131">
        <v>52</v>
      </c>
      <c r="F331" s="131" t="str">
        <f t="shared" si="3"/>
        <v>20452</v>
      </c>
      <c r="G331" s="133" t="s">
        <v>436</v>
      </c>
      <c r="H331" s="129"/>
    </row>
    <row r="332" spans="1:8" x14ac:dyDescent="0.45">
      <c r="A332" s="130">
        <v>204</v>
      </c>
      <c r="B332" s="131" t="s">
        <v>427</v>
      </c>
      <c r="C332" s="131"/>
      <c r="D332" s="131"/>
      <c r="E332" s="131">
        <v>53</v>
      </c>
      <c r="F332" s="131" t="str">
        <f t="shared" si="3"/>
        <v>20453</v>
      </c>
      <c r="G332" s="133" t="s">
        <v>437</v>
      </c>
      <c r="H332" s="129"/>
    </row>
    <row r="333" spans="1:8" x14ac:dyDescent="0.45">
      <c r="A333" s="130">
        <v>204</v>
      </c>
      <c r="B333" s="131" t="s">
        <v>427</v>
      </c>
      <c r="C333" s="131"/>
      <c r="D333" s="131"/>
      <c r="E333" s="131">
        <v>120</v>
      </c>
      <c r="F333" s="131" t="str">
        <f t="shared" si="3"/>
        <v>204120</v>
      </c>
      <c r="G333" s="133" t="s">
        <v>438</v>
      </c>
      <c r="H333" s="129"/>
    </row>
    <row r="334" spans="1:8" x14ac:dyDescent="0.45">
      <c r="A334" s="130">
        <v>204</v>
      </c>
      <c r="B334" s="131" t="s">
        <v>427</v>
      </c>
      <c r="C334" s="131"/>
      <c r="D334" s="131"/>
      <c r="E334" s="131">
        <v>130</v>
      </c>
      <c r="F334" s="131" t="str">
        <f t="shared" si="3"/>
        <v>204130</v>
      </c>
      <c r="G334" s="133" t="s">
        <v>439</v>
      </c>
      <c r="H334" s="129"/>
    </row>
    <row r="335" spans="1:8" x14ac:dyDescent="0.45">
      <c r="A335" s="130">
        <v>204</v>
      </c>
      <c r="B335" s="131" t="s">
        <v>427</v>
      </c>
      <c r="C335" s="131"/>
      <c r="D335" s="131"/>
      <c r="E335" s="131">
        <v>131</v>
      </c>
      <c r="F335" s="131" t="str">
        <f t="shared" si="3"/>
        <v>204131</v>
      </c>
      <c r="G335" s="133" t="s">
        <v>440</v>
      </c>
      <c r="H335" s="129"/>
    </row>
    <row r="336" spans="1:8" x14ac:dyDescent="0.45">
      <c r="A336" s="130">
        <v>204</v>
      </c>
      <c r="B336" s="131" t="s">
        <v>427</v>
      </c>
      <c r="C336" s="131"/>
      <c r="D336" s="131"/>
      <c r="E336" s="131">
        <v>132</v>
      </c>
      <c r="F336" s="131" t="str">
        <f>A336&amp;E336</f>
        <v>204132</v>
      </c>
      <c r="G336" s="133" t="s">
        <v>441</v>
      </c>
      <c r="H336" s="129"/>
    </row>
    <row r="337" spans="1:8" x14ac:dyDescent="0.45">
      <c r="A337" s="130">
        <v>204</v>
      </c>
      <c r="B337" s="131" t="s">
        <v>427</v>
      </c>
      <c r="C337" s="131"/>
      <c r="D337" s="131"/>
      <c r="E337" s="131">
        <v>133</v>
      </c>
      <c r="F337" s="131" t="str">
        <f>A337&amp;E337</f>
        <v>204133</v>
      </c>
      <c r="G337" s="133" t="s">
        <v>442</v>
      </c>
      <c r="H337" s="129"/>
    </row>
    <row r="338" spans="1:8" x14ac:dyDescent="0.45">
      <c r="A338" s="130">
        <v>204</v>
      </c>
      <c r="B338" s="131" t="s">
        <v>427</v>
      </c>
      <c r="C338" s="131"/>
      <c r="D338" s="131"/>
      <c r="E338" s="131">
        <v>140</v>
      </c>
      <c r="F338" s="131" t="str">
        <f t="shared" si="3"/>
        <v>204140</v>
      </c>
      <c r="G338" s="133" t="s">
        <v>443</v>
      </c>
      <c r="H338" s="129"/>
    </row>
    <row r="339" spans="1:8" x14ac:dyDescent="0.45">
      <c r="A339" s="130">
        <v>204</v>
      </c>
      <c r="B339" s="131" t="s">
        <v>427</v>
      </c>
      <c r="C339" s="131"/>
      <c r="D339" s="131"/>
      <c r="E339" s="131">
        <v>150</v>
      </c>
      <c r="F339" s="131" t="str">
        <f t="shared" si="3"/>
        <v>204150</v>
      </c>
      <c r="G339" s="133" t="s">
        <v>444</v>
      </c>
      <c r="H339" s="129"/>
    </row>
    <row r="340" spans="1:8" x14ac:dyDescent="0.45">
      <c r="A340" s="130">
        <v>204</v>
      </c>
      <c r="B340" s="131" t="s">
        <v>427</v>
      </c>
      <c r="C340" s="131"/>
      <c r="D340" s="131"/>
      <c r="E340" s="131">
        <v>151</v>
      </c>
      <c r="F340" s="131" t="str">
        <f>A340&amp;E340</f>
        <v>204151</v>
      </c>
      <c r="G340" s="133" t="s">
        <v>445</v>
      </c>
      <c r="H340" s="129"/>
    </row>
    <row r="341" spans="1:8" x14ac:dyDescent="0.45">
      <c r="A341" s="130">
        <v>204</v>
      </c>
      <c r="B341" s="131" t="s">
        <v>427</v>
      </c>
      <c r="C341" s="131"/>
      <c r="D341" s="131"/>
      <c r="E341" s="131">
        <v>210</v>
      </c>
      <c r="F341" s="131" t="str">
        <f t="shared" si="3"/>
        <v>204210</v>
      </c>
      <c r="G341" s="133" t="s">
        <v>446</v>
      </c>
      <c r="H341" s="129"/>
    </row>
    <row r="342" spans="1:8" x14ac:dyDescent="0.45">
      <c r="A342" s="130">
        <v>204</v>
      </c>
      <c r="B342" s="131" t="s">
        <v>427</v>
      </c>
      <c r="C342" s="131"/>
      <c r="D342" s="131"/>
      <c r="E342" s="131">
        <v>211</v>
      </c>
      <c r="F342" s="131" t="str">
        <f t="shared" si="3"/>
        <v>204211</v>
      </c>
      <c r="G342" s="133" t="s">
        <v>447</v>
      </c>
      <c r="H342" s="129"/>
    </row>
    <row r="343" spans="1:8" x14ac:dyDescent="0.45">
      <c r="A343" s="130">
        <v>204</v>
      </c>
      <c r="B343" s="131" t="s">
        <v>427</v>
      </c>
      <c r="C343" s="131"/>
      <c r="D343" s="131"/>
      <c r="E343" s="131">
        <v>212</v>
      </c>
      <c r="F343" s="131" t="str">
        <f t="shared" si="3"/>
        <v>204212</v>
      </c>
      <c r="G343" s="133" t="s">
        <v>448</v>
      </c>
      <c r="H343" s="129"/>
    </row>
    <row r="344" spans="1:8" x14ac:dyDescent="0.45">
      <c r="A344" s="130">
        <v>204</v>
      </c>
      <c r="B344" s="131" t="s">
        <v>427</v>
      </c>
      <c r="C344" s="131"/>
      <c r="D344" s="131"/>
      <c r="E344" s="131">
        <v>213</v>
      </c>
      <c r="F344" s="131" t="str">
        <f t="shared" si="3"/>
        <v>204213</v>
      </c>
      <c r="G344" s="133" t="s">
        <v>449</v>
      </c>
      <c r="H344" s="129"/>
    </row>
    <row r="345" spans="1:8" x14ac:dyDescent="0.45">
      <c r="A345" s="130">
        <v>204</v>
      </c>
      <c r="B345" s="131" t="s">
        <v>427</v>
      </c>
      <c r="C345" s="131"/>
      <c r="D345" s="131"/>
      <c r="E345" s="131">
        <v>214</v>
      </c>
      <c r="F345" s="131" t="str">
        <f t="shared" si="3"/>
        <v>204214</v>
      </c>
      <c r="G345" s="133" t="s">
        <v>450</v>
      </c>
      <c r="H345" s="129"/>
    </row>
    <row r="346" spans="1:8" x14ac:dyDescent="0.45">
      <c r="A346" s="130">
        <v>204</v>
      </c>
      <c r="B346" s="131" t="s">
        <v>427</v>
      </c>
      <c r="C346" s="131"/>
      <c r="D346" s="131"/>
      <c r="E346" s="131">
        <v>215</v>
      </c>
      <c r="F346" s="131" t="str">
        <f>A346&amp;E346</f>
        <v>204215</v>
      </c>
      <c r="G346" s="133" t="s">
        <v>451</v>
      </c>
      <c r="H346" s="129"/>
    </row>
    <row r="347" spans="1:8" x14ac:dyDescent="0.45">
      <c r="A347" s="130">
        <v>204</v>
      </c>
      <c r="B347" s="131" t="s">
        <v>427</v>
      </c>
      <c r="C347" s="131"/>
      <c r="D347" s="131"/>
      <c r="E347" s="131">
        <v>220</v>
      </c>
      <c r="F347" s="131" t="str">
        <f t="shared" si="3"/>
        <v>204220</v>
      </c>
      <c r="G347" s="133" t="s">
        <v>452</v>
      </c>
      <c r="H347" s="129"/>
    </row>
    <row r="348" spans="1:8" x14ac:dyDescent="0.45">
      <c r="A348" s="130">
        <v>204</v>
      </c>
      <c r="B348" s="131" t="s">
        <v>427</v>
      </c>
      <c r="C348" s="131"/>
      <c r="D348" s="131"/>
      <c r="E348" s="131">
        <v>221</v>
      </c>
      <c r="F348" s="131" t="str">
        <f t="shared" si="3"/>
        <v>204221</v>
      </c>
      <c r="G348" s="133" t="s">
        <v>453</v>
      </c>
      <c r="H348" s="129"/>
    </row>
    <row r="349" spans="1:8" x14ac:dyDescent="0.45">
      <c r="A349" s="130">
        <v>204</v>
      </c>
      <c r="B349" s="131" t="s">
        <v>427</v>
      </c>
      <c r="C349" s="131"/>
      <c r="D349" s="131"/>
      <c r="E349" s="131">
        <v>222</v>
      </c>
      <c r="F349" s="131" t="str">
        <f t="shared" si="3"/>
        <v>204222</v>
      </c>
      <c r="G349" s="133" t="s">
        <v>454</v>
      </c>
      <c r="H349" s="129"/>
    </row>
    <row r="350" spans="1:8" x14ac:dyDescent="0.45">
      <c r="A350" s="130">
        <v>204</v>
      </c>
      <c r="B350" s="131" t="s">
        <v>427</v>
      </c>
      <c r="C350" s="131"/>
      <c r="D350" s="131"/>
      <c r="E350" s="131">
        <v>223</v>
      </c>
      <c r="F350" s="131" t="str">
        <f>A350&amp;E350</f>
        <v>204223</v>
      </c>
      <c r="G350" s="133" t="s">
        <v>455</v>
      </c>
      <c r="H350" s="129"/>
    </row>
    <row r="351" spans="1:8" x14ac:dyDescent="0.45">
      <c r="A351" s="130">
        <v>204</v>
      </c>
      <c r="B351" s="131" t="s">
        <v>427</v>
      </c>
      <c r="C351" s="131"/>
      <c r="D351" s="131"/>
      <c r="E351" s="131">
        <v>230</v>
      </c>
      <c r="F351" s="131" t="str">
        <f t="shared" si="3"/>
        <v>204230</v>
      </c>
      <c r="G351" s="133" t="s">
        <v>456</v>
      </c>
      <c r="H351" s="129"/>
    </row>
    <row r="352" spans="1:8" x14ac:dyDescent="0.45">
      <c r="A352" s="130">
        <v>204</v>
      </c>
      <c r="B352" s="131" t="s">
        <v>427</v>
      </c>
      <c r="C352" s="131"/>
      <c r="D352" s="131"/>
      <c r="E352" s="131">
        <v>240</v>
      </c>
      <c r="F352" s="131" t="str">
        <f>A352&amp;E352</f>
        <v>204240</v>
      </c>
      <c r="G352" s="133" t="s">
        <v>457</v>
      </c>
      <c r="H352" s="129"/>
    </row>
    <row r="353" spans="1:8" x14ac:dyDescent="0.45">
      <c r="A353" s="130">
        <v>204</v>
      </c>
      <c r="B353" s="131" t="s">
        <v>427</v>
      </c>
      <c r="C353" s="131"/>
      <c r="D353" s="131"/>
      <c r="E353" s="131">
        <v>310</v>
      </c>
      <c r="F353" s="131" t="str">
        <f t="shared" si="3"/>
        <v>204310</v>
      </c>
      <c r="G353" s="133" t="s">
        <v>458</v>
      </c>
      <c r="H353" s="129"/>
    </row>
    <row r="354" spans="1:8" x14ac:dyDescent="0.45">
      <c r="A354" s="130">
        <v>204</v>
      </c>
      <c r="B354" s="131" t="s">
        <v>427</v>
      </c>
      <c r="C354" s="131"/>
      <c r="D354" s="131"/>
      <c r="E354" s="131">
        <v>311</v>
      </c>
      <c r="F354" s="131" t="str">
        <f t="shared" si="3"/>
        <v>204311</v>
      </c>
      <c r="G354" s="133" t="s">
        <v>459</v>
      </c>
      <c r="H354" s="129"/>
    </row>
    <row r="355" spans="1:8" x14ac:dyDescent="0.45">
      <c r="A355" s="130">
        <v>204</v>
      </c>
      <c r="B355" s="131" t="s">
        <v>427</v>
      </c>
      <c r="C355" s="131"/>
      <c r="D355" s="131"/>
      <c r="E355" s="131">
        <v>320</v>
      </c>
      <c r="F355" s="131" t="str">
        <f t="shared" si="3"/>
        <v>204320</v>
      </c>
      <c r="G355" s="133" t="s">
        <v>460</v>
      </c>
      <c r="H355" s="129"/>
    </row>
    <row r="356" spans="1:8" x14ac:dyDescent="0.45">
      <c r="A356" s="130">
        <v>204</v>
      </c>
      <c r="B356" s="131" t="s">
        <v>427</v>
      </c>
      <c r="C356" s="131"/>
      <c r="D356" s="131"/>
      <c r="E356" s="131">
        <v>340</v>
      </c>
      <c r="F356" s="131" t="str">
        <f t="shared" si="3"/>
        <v>204340</v>
      </c>
      <c r="G356" s="133" t="s">
        <v>461</v>
      </c>
      <c r="H356" s="129"/>
    </row>
    <row r="357" spans="1:8" x14ac:dyDescent="0.45">
      <c r="A357" s="130">
        <v>204</v>
      </c>
      <c r="B357" s="131" t="s">
        <v>427</v>
      </c>
      <c r="C357" s="131"/>
      <c r="D357" s="131"/>
      <c r="E357" s="131">
        <v>341</v>
      </c>
      <c r="F357" s="131" t="str">
        <f t="shared" si="3"/>
        <v>204341</v>
      </c>
      <c r="G357" s="133" t="s">
        <v>462</v>
      </c>
      <c r="H357" s="129"/>
    </row>
    <row r="358" spans="1:8" x14ac:dyDescent="0.45">
      <c r="A358" s="130">
        <v>204</v>
      </c>
      <c r="B358" s="131" t="s">
        <v>427</v>
      </c>
      <c r="C358" s="131"/>
      <c r="D358" s="131"/>
      <c r="E358" s="131">
        <v>342</v>
      </c>
      <c r="F358" s="131" t="str">
        <f>A358&amp;E358</f>
        <v>204342</v>
      </c>
      <c r="G358" s="133" t="s">
        <v>463</v>
      </c>
      <c r="H358" s="129"/>
    </row>
    <row r="359" spans="1:8" x14ac:dyDescent="0.45">
      <c r="A359" s="130">
        <v>204</v>
      </c>
      <c r="B359" s="131" t="s">
        <v>427</v>
      </c>
      <c r="C359" s="131"/>
      <c r="D359" s="131"/>
      <c r="E359" s="131">
        <v>350</v>
      </c>
      <c r="F359" s="131" t="str">
        <f t="shared" si="3"/>
        <v>204350</v>
      </c>
      <c r="G359" s="133" t="s">
        <v>464</v>
      </c>
      <c r="H359" s="129"/>
    </row>
    <row r="360" spans="1:8" x14ac:dyDescent="0.45">
      <c r="A360" s="130">
        <v>204</v>
      </c>
      <c r="B360" s="131" t="s">
        <v>427</v>
      </c>
      <c r="C360" s="131"/>
      <c r="D360" s="131"/>
      <c r="E360" s="131">
        <v>351</v>
      </c>
      <c r="F360" s="131" t="str">
        <f t="shared" si="3"/>
        <v>204351</v>
      </c>
      <c r="G360" s="133" t="s">
        <v>465</v>
      </c>
      <c r="H360" s="129"/>
    </row>
    <row r="361" spans="1:8" x14ac:dyDescent="0.45">
      <c r="A361" s="130">
        <v>204</v>
      </c>
      <c r="B361" s="131" t="s">
        <v>427</v>
      </c>
      <c r="C361" s="131"/>
      <c r="D361" s="131"/>
      <c r="E361" s="131">
        <v>352</v>
      </c>
      <c r="F361" s="131" t="str">
        <f t="shared" si="3"/>
        <v>204352</v>
      </c>
      <c r="G361" s="133" t="s">
        <v>466</v>
      </c>
      <c r="H361" s="129"/>
    </row>
    <row r="362" spans="1:8" x14ac:dyDescent="0.45">
      <c r="A362" s="130">
        <v>204</v>
      </c>
      <c r="B362" s="131" t="s">
        <v>427</v>
      </c>
      <c r="C362" s="131"/>
      <c r="D362" s="131"/>
      <c r="E362" s="131">
        <v>353</v>
      </c>
      <c r="F362" s="131" t="str">
        <f t="shared" si="3"/>
        <v>204353</v>
      </c>
      <c r="G362" s="133" t="s">
        <v>467</v>
      </c>
      <c r="H362" s="129"/>
    </row>
    <row r="363" spans="1:8" x14ac:dyDescent="0.45">
      <c r="A363" s="130">
        <v>204</v>
      </c>
      <c r="B363" s="131" t="s">
        <v>427</v>
      </c>
      <c r="C363" s="131"/>
      <c r="D363" s="131"/>
      <c r="E363" s="131">
        <v>410</v>
      </c>
      <c r="F363" s="131" t="str">
        <f t="shared" si="3"/>
        <v>204410</v>
      </c>
      <c r="G363" s="133" t="s">
        <v>468</v>
      </c>
      <c r="H363" s="129"/>
    </row>
    <row r="364" spans="1:8" x14ac:dyDescent="0.45">
      <c r="A364" s="130">
        <v>204</v>
      </c>
      <c r="B364" s="131" t="s">
        <v>427</v>
      </c>
      <c r="C364" s="131"/>
      <c r="D364" s="131"/>
      <c r="E364" s="131">
        <v>411</v>
      </c>
      <c r="F364" s="131" t="str">
        <f t="shared" si="3"/>
        <v>204411</v>
      </c>
      <c r="G364" s="133" t="s">
        <v>469</v>
      </c>
      <c r="H364" s="129"/>
    </row>
    <row r="365" spans="1:8" x14ac:dyDescent="0.45">
      <c r="A365" s="130">
        <v>204</v>
      </c>
      <c r="B365" s="131" t="s">
        <v>427</v>
      </c>
      <c r="C365" s="131"/>
      <c r="D365" s="131"/>
      <c r="E365" s="131">
        <v>412</v>
      </c>
      <c r="F365" s="131" t="str">
        <f>A365&amp;E365</f>
        <v>204412</v>
      </c>
      <c r="G365" s="133" t="s">
        <v>470</v>
      </c>
      <c r="H365" s="129"/>
    </row>
    <row r="366" spans="1:8" x14ac:dyDescent="0.45">
      <c r="A366" s="130">
        <v>204</v>
      </c>
      <c r="B366" s="131" t="s">
        <v>427</v>
      </c>
      <c r="C366" s="131"/>
      <c r="D366" s="131"/>
      <c r="E366" s="131">
        <v>420</v>
      </c>
      <c r="F366" s="131" t="str">
        <f t="shared" si="3"/>
        <v>204420</v>
      </c>
      <c r="G366" s="133" t="s">
        <v>471</v>
      </c>
      <c r="H366" s="129"/>
    </row>
    <row r="367" spans="1:8" x14ac:dyDescent="0.45">
      <c r="A367" s="130">
        <v>204</v>
      </c>
      <c r="B367" s="131" t="s">
        <v>427</v>
      </c>
      <c r="C367" s="131"/>
      <c r="D367" s="131"/>
      <c r="E367" s="131">
        <v>520</v>
      </c>
      <c r="F367" s="131" t="str">
        <f t="shared" si="3"/>
        <v>204520</v>
      </c>
      <c r="G367" s="133" t="s">
        <v>472</v>
      </c>
      <c r="H367" s="129"/>
    </row>
    <row r="368" spans="1:8" x14ac:dyDescent="0.45">
      <c r="A368" s="130">
        <v>204</v>
      </c>
      <c r="B368" s="131" t="s">
        <v>427</v>
      </c>
      <c r="C368" s="131"/>
      <c r="D368" s="131"/>
      <c r="E368" s="131">
        <v>530</v>
      </c>
      <c r="F368" s="131" t="str">
        <f t="shared" si="3"/>
        <v>204530</v>
      </c>
      <c r="G368" s="133" t="s">
        <v>473</v>
      </c>
      <c r="H368" s="129"/>
    </row>
    <row r="369" spans="1:8" x14ac:dyDescent="0.45">
      <c r="A369" s="130">
        <v>204</v>
      </c>
      <c r="B369" s="131" t="s">
        <v>427</v>
      </c>
      <c r="C369" s="131"/>
      <c r="D369" s="131"/>
      <c r="E369" s="131">
        <v>531</v>
      </c>
      <c r="F369" s="131" t="str">
        <f t="shared" si="3"/>
        <v>204531</v>
      </c>
      <c r="G369" s="133" t="s">
        <v>474</v>
      </c>
      <c r="H369" s="129"/>
    </row>
    <row r="370" spans="1:8" x14ac:dyDescent="0.45">
      <c r="A370" s="130">
        <v>204</v>
      </c>
      <c r="B370" s="131" t="s">
        <v>427</v>
      </c>
      <c r="C370" s="131"/>
      <c r="D370" s="131"/>
      <c r="E370" s="131">
        <v>610</v>
      </c>
      <c r="F370" s="131" t="str">
        <f t="shared" si="3"/>
        <v>204610</v>
      </c>
      <c r="G370" s="133" t="s">
        <v>475</v>
      </c>
      <c r="H370" s="129"/>
    </row>
    <row r="371" spans="1:8" x14ac:dyDescent="0.45">
      <c r="A371" s="130">
        <v>204</v>
      </c>
      <c r="B371" s="131" t="s">
        <v>427</v>
      </c>
      <c r="C371" s="131"/>
      <c r="D371" s="131"/>
      <c r="E371" s="131">
        <v>611</v>
      </c>
      <c r="F371" s="131" t="str">
        <f t="shared" si="3"/>
        <v>204611</v>
      </c>
      <c r="G371" s="133" t="s">
        <v>476</v>
      </c>
      <c r="H371" s="129"/>
    </row>
    <row r="372" spans="1:8" x14ac:dyDescent="0.45">
      <c r="A372" s="130">
        <v>204</v>
      </c>
      <c r="B372" s="131" t="s">
        <v>427</v>
      </c>
      <c r="C372" s="131"/>
      <c r="D372" s="131"/>
      <c r="E372" s="131">
        <v>620</v>
      </c>
      <c r="F372" s="131" t="str">
        <f t="shared" si="3"/>
        <v>204620</v>
      </c>
      <c r="G372" s="133" t="s">
        <v>111</v>
      </c>
      <c r="H372" s="129"/>
    </row>
    <row r="373" spans="1:8" x14ac:dyDescent="0.45">
      <c r="A373" s="130">
        <v>204</v>
      </c>
      <c r="B373" s="131" t="s">
        <v>427</v>
      </c>
      <c r="C373" s="131"/>
      <c r="D373" s="131"/>
      <c r="E373" s="131">
        <v>621</v>
      </c>
      <c r="F373" s="131" t="str">
        <f>A373&amp;E373</f>
        <v>204621</v>
      </c>
      <c r="G373" s="133" t="s">
        <v>477</v>
      </c>
      <c r="H373" s="129"/>
    </row>
    <row r="374" spans="1:8" x14ac:dyDescent="0.45">
      <c r="A374" s="130">
        <v>204</v>
      </c>
      <c r="B374" s="131" t="s">
        <v>427</v>
      </c>
      <c r="C374" s="131"/>
      <c r="D374" s="131"/>
      <c r="E374" s="131">
        <v>710</v>
      </c>
      <c r="F374" s="131" t="str">
        <f t="shared" si="3"/>
        <v>204710</v>
      </c>
      <c r="G374" s="133" t="s">
        <v>478</v>
      </c>
      <c r="H374" s="129"/>
    </row>
    <row r="375" spans="1:8" x14ac:dyDescent="0.45">
      <c r="A375" s="130">
        <v>204</v>
      </c>
      <c r="B375" s="131" t="s">
        <v>427</v>
      </c>
      <c r="C375" s="131"/>
      <c r="D375" s="131"/>
      <c r="E375" s="131">
        <v>720</v>
      </c>
      <c r="F375" s="131" t="str">
        <f>A375&amp;E375</f>
        <v>204720</v>
      </c>
      <c r="G375" s="133" t="s">
        <v>479</v>
      </c>
      <c r="H375" s="129"/>
    </row>
    <row r="376" spans="1:8" x14ac:dyDescent="0.45">
      <c r="A376" s="130">
        <v>204</v>
      </c>
      <c r="B376" s="131" t="s">
        <v>427</v>
      </c>
      <c r="C376" s="131"/>
      <c r="D376" s="131"/>
      <c r="E376" s="131">
        <v>810</v>
      </c>
      <c r="F376" s="131" t="str">
        <f t="shared" si="3"/>
        <v>204810</v>
      </c>
      <c r="G376" s="133" t="s">
        <v>480</v>
      </c>
      <c r="H376" s="129"/>
    </row>
    <row r="377" spans="1:8" x14ac:dyDescent="0.45">
      <c r="A377" s="130">
        <v>204</v>
      </c>
      <c r="B377" s="131" t="s">
        <v>427</v>
      </c>
      <c r="C377" s="131"/>
      <c r="D377" s="131"/>
      <c r="E377" s="131">
        <v>811</v>
      </c>
      <c r="F377" s="131" t="str">
        <f t="shared" si="3"/>
        <v>204811</v>
      </c>
      <c r="G377" s="133" t="s">
        <v>481</v>
      </c>
      <c r="H377" s="129"/>
    </row>
    <row r="378" spans="1:8" x14ac:dyDescent="0.45">
      <c r="A378" s="130">
        <v>204</v>
      </c>
      <c r="B378" s="131" t="s">
        <v>427</v>
      </c>
      <c r="C378" s="131"/>
      <c r="D378" s="131"/>
      <c r="E378" s="131">
        <v>812</v>
      </c>
      <c r="F378" s="131" t="str">
        <f>A378&amp;E378</f>
        <v>204812</v>
      </c>
      <c r="G378" s="133" t="s">
        <v>482</v>
      </c>
      <c r="H378" s="129"/>
    </row>
    <row r="379" spans="1:8" x14ac:dyDescent="0.45">
      <c r="A379" s="130">
        <v>204</v>
      </c>
      <c r="B379" s="131" t="s">
        <v>427</v>
      </c>
      <c r="C379" s="131"/>
      <c r="D379" s="131"/>
      <c r="E379" s="131">
        <v>820</v>
      </c>
      <c r="F379" s="131" t="str">
        <f t="shared" si="3"/>
        <v>204820</v>
      </c>
      <c r="G379" s="133" t="s">
        <v>483</v>
      </c>
      <c r="H379" s="129"/>
    </row>
    <row r="380" spans="1:8" x14ac:dyDescent="0.45">
      <c r="A380" s="130">
        <v>204</v>
      </c>
      <c r="B380" s="131" t="s">
        <v>427</v>
      </c>
      <c r="C380" s="131"/>
      <c r="D380" s="131"/>
      <c r="E380" s="131">
        <v>850</v>
      </c>
      <c r="F380" s="131" t="str">
        <f t="shared" si="3"/>
        <v>204850</v>
      </c>
      <c r="G380" s="133" t="s">
        <v>484</v>
      </c>
      <c r="H380" s="129"/>
    </row>
    <row r="381" spans="1:8" x14ac:dyDescent="0.45">
      <c r="A381" s="130">
        <v>204</v>
      </c>
      <c r="B381" s="131" t="s">
        <v>427</v>
      </c>
      <c r="C381" s="131"/>
      <c r="D381" s="131"/>
      <c r="E381" s="131">
        <v>851</v>
      </c>
      <c r="F381" s="131" t="str">
        <f>A381&amp;E381</f>
        <v>204851</v>
      </c>
      <c r="G381" s="133" t="s">
        <v>485</v>
      </c>
      <c r="H381" s="129"/>
    </row>
    <row r="382" spans="1:8" x14ac:dyDescent="0.45">
      <c r="A382" s="130">
        <v>204</v>
      </c>
      <c r="B382" s="131" t="s">
        <v>427</v>
      </c>
      <c r="C382" s="131"/>
      <c r="D382" s="131"/>
      <c r="E382" s="131">
        <v>1500</v>
      </c>
      <c r="F382" s="131" t="str">
        <f t="shared" si="3"/>
        <v>2041500</v>
      </c>
      <c r="G382" s="133" t="s">
        <v>486</v>
      </c>
      <c r="H382" s="129"/>
    </row>
    <row r="383" spans="1:8" x14ac:dyDescent="0.45">
      <c r="A383" s="130">
        <v>204</v>
      </c>
      <c r="B383" s="131" t="s">
        <v>427</v>
      </c>
      <c r="C383" s="131"/>
      <c r="D383" s="131"/>
      <c r="E383" s="131">
        <v>1502</v>
      </c>
      <c r="F383" s="131" t="str">
        <f t="shared" si="3"/>
        <v>2041502</v>
      </c>
      <c r="G383" s="133" t="s">
        <v>487</v>
      </c>
      <c r="H383" s="129"/>
    </row>
    <row r="384" spans="1:8" x14ac:dyDescent="0.45">
      <c r="A384" s="130">
        <v>204</v>
      </c>
      <c r="B384" s="131" t="s">
        <v>427</v>
      </c>
      <c r="C384" s="131"/>
      <c r="D384" s="131"/>
      <c r="E384" s="131">
        <v>1503</v>
      </c>
      <c r="F384" s="131" t="str">
        <f t="shared" si="3"/>
        <v>2041503</v>
      </c>
      <c r="G384" s="133" t="s">
        <v>488</v>
      </c>
      <c r="H384" s="129"/>
    </row>
    <row r="385" spans="1:8" x14ac:dyDescent="0.45">
      <c r="A385" s="130">
        <v>204</v>
      </c>
      <c r="B385" s="131" t="s">
        <v>427</v>
      </c>
      <c r="C385" s="131"/>
      <c r="D385" s="131"/>
      <c r="E385" s="131">
        <v>1504</v>
      </c>
      <c r="F385" s="131" t="str">
        <f t="shared" si="3"/>
        <v>2041504</v>
      </c>
      <c r="G385" s="133" t="s">
        <v>489</v>
      </c>
      <c r="H385" s="129"/>
    </row>
    <row r="386" spans="1:8" x14ac:dyDescent="0.45">
      <c r="A386" s="130">
        <v>204</v>
      </c>
      <c r="B386" s="131" t="s">
        <v>427</v>
      </c>
      <c r="C386" s="131"/>
      <c r="D386" s="131"/>
      <c r="E386" s="131">
        <v>1546</v>
      </c>
      <c r="F386" s="131" t="str">
        <f t="shared" si="3"/>
        <v>2041546</v>
      </c>
      <c r="G386" s="133" t="s">
        <v>490</v>
      </c>
      <c r="H386" s="129"/>
    </row>
    <row r="387" spans="1:8" x14ac:dyDescent="0.45">
      <c r="A387" s="130">
        <v>204</v>
      </c>
      <c r="B387" s="131" t="s">
        <v>427</v>
      </c>
      <c r="C387" s="131"/>
      <c r="D387" s="131"/>
      <c r="E387" s="131">
        <v>1547</v>
      </c>
      <c r="F387" s="131" t="str">
        <f t="shared" si="3"/>
        <v>2041547</v>
      </c>
      <c r="G387" s="133" t="s">
        <v>491</v>
      </c>
      <c r="H387" s="129"/>
    </row>
    <row r="388" spans="1:8" x14ac:dyDescent="0.45">
      <c r="A388" s="130">
        <v>204</v>
      </c>
      <c r="B388" s="131" t="s">
        <v>427</v>
      </c>
      <c r="C388" s="131"/>
      <c r="D388" s="131"/>
      <c r="E388" s="131">
        <v>1548</v>
      </c>
      <c r="F388" s="131" t="str">
        <f t="shared" si="3"/>
        <v>2041548</v>
      </c>
      <c r="G388" s="133" t="s">
        <v>492</v>
      </c>
      <c r="H388" s="129"/>
    </row>
    <row r="389" spans="1:8" x14ac:dyDescent="0.45">
      <c r="A389" s="130">
        <v>207</v>
      </c>
      <c r="B389" s="131" t="s">
        <v>493</v>
      </c>
      <c r="C389" s="131"/>
      <c r="D389" s="131"/>
      <c r="E389" s="131">
        <v>1</v>
      </c>
      <c r="F389" s="131" t="str">
        <f t="shared" ref="F389:F408" si="4">A389&amp;E389</f>
        <v>2071</v>
      </c>
      <c r="G389" s="133" t="s">
        <v>197</v>
      </c>
      <c r="H389" s="129"/>
    </row>
    <row r="390" spans="1:8" x14ac:dyDescent="0.45">
      <c r="A390" s="130">
        <v>207</v>
      </c>
      <c r="B390" s="131" t="s">
        <v>493</v>
      </c>
      <c r="C390" s="131"/>
      <c r="D390" s="131"/>
      <c r="E390" s="131">
        <v>4</v>
      </c>
      <c r="F390" s="131" t="str">
        <f t="shared" si="4"/>
        <v>2074</v>
      </c>
      <c r="G390" s="133" t="s">
        <v>494</v>
      </c>
      <c r="H390" s="129"/>
    </row>
    <row r="391" spans="1:8" x14ac:dyDescent="0.45">
      <c r="A391" s="130">
        <v>208</v>
      </c>
      <c r="B391" s="131" t="s">
        <v>495</v>
      </c>
      <c r="C391" s="131"/>
      <c r="D391" s="131"/>
      <c r="E391" s="131">
        <v>1</v>
      </c>
      <c r="F391" s="131" t="str">
        <f t="shared" si="4"/>
        <v>2081</v>
      </c>
      <c r="G391" s="133" t="s">
        <v>496</v>
      </c>
      <c r="H391" s="129"/>
    </row>
    <row r="392" spans="1:8" x14ac:dyDescent="0.45">
      <c r="A392" s="130">
        <v>208</v>
      </c>
      <c r="B392" s="131" t="s">
        <v>495</v>
      </c>
      <c r="C392" s="131"/>
      <c r="D392" s="131"/>
      <c r="E392" s="131">
        <v>2</v>
      </c>
      <c r="F392" s="131" t="str">
        <f t="shared" si="4"/>
        <v>2082</v>
      </c>
      <c r="G392" s="133" t="s">
        <v>497</v>
      </c>
      <c r="H392" s="129"/>
    </row>
    <row r="393" spans="1:8" x14ac:dyDescent="0.45">
      <c r="A393" s="130">
        <v>208</v>
      </c>
      <c r="B393" s="131" t="s">
        <v>495</v>
      </c>
      <c r="C393" s="131"/>
      <c r="D393" s="131"/>
      <c r="E393" s="131">
        <v>3</v>
      </c>
      <c r="F393" s="131" t="str">
        <f t="shared" si="4"/>
        <v>2083</v>
      </c>
      <c r="G393" s="133" t="s">
        <v>498</v>
      </c>
      <c r="H393" s="129"/>
    </row>
    <row r="394" spans="1:8" x14ac:dyDescent="0.45">
      <c r="A394" s="130">
        <v>208</v>
      </c>
      <c r="B394" s="131" t="s">
        <v>495</v>
      </c>
      <c r="C394" s="131"/>
      <c r="D394" s="131"/>
      <c r="E394" s="131">
        <v>4</v>
      </c>
      <c r="F394" s="131" t="str">
        <f t="shared" si="4"/>
        <v>2084</v>
      </c>
      <c r="G394" s="133" t="s">
        <v>499</v>
      </c>
      <c r="H394" s="129"/>
    </row>
    <row r="395" spans="1:8" x14ac:dyDescent="0.45">
      <c r="A395" s="130">
        <v>208</v>
      </c>
      <c r="B395" s="131" t="s">
        <v>495</v>
      </c>
      <c r="C395" s="131"/>
      <c r="D395" s="131"/>
      <c r="E395" s="131">
        <v>5</v>
      </c>
      <c r="F395" s="131" t="str">
        <f t="shared" si="4"/>
        <v>2085</v>
      </c>
      <c r="G395" s="133" t="s">
        <v>500</v>
      </c>
      <c r="H395" s="129"/>
    </row>
    <row r="396" spans="1:8" x14ac:dyDescent="0.45">
      <c r="A396" s="130">
        <v>208</v>
      </c>
      <c r="B396" s="131" t="s">
        <v>495</v>
      </c>
      <c r="C396" s="131"/>
      <c r="D396" s="131"/>
      <c r="E396" s="131">
        <v>6</v>
      </c>
      <c r="F396" s="131" t="str">
        <f t="shared" si="4"/>
        <v>2086</v>
      </c>
      <c r="G396" s="133" t="s">
        <v>501</v>
      </c>
      <c r="H396" s="129"/>
    </row>
    <row r="397" spans="1:8" x14ac:dyDescent="0.45">
      <c r="A397" s="130">
        <v>208</v>
      </c>
      <c r="B397" s="131" t="s">
        <v>495</v>
      </c>
      <c r="C397" s="131"/>
      <c r="D397" s="131"/>
      <c r="E397" s="131">
        <v>8</v>
      </c>
      <c r="F397" s="131" t="str">
        <f t="shared" si="4"/>
        <v>2088</v>
      </c>
      <c r="G397" s="133" t="s">
        <v>502</v>
      </c>
      <c r="H397" s="129"/>
    </row>
    <row r="398" spans="1:8" x14ac:dyDescent="0.45">
      <c r="A398" s="130">
        <v>208</v>
      </c>
      <c r="B398" s="131" t="s">
        <v>495</v>
      </c>
      <c r="C398" s="131"/>
      <c r="D398" s="131"/>
      <c r="E398" s="131">
        <v>10</v>
      </c>
      <c r="F398" s="131" t="str">
        <f t="shared" si="4"/>
        <v>20810</v>
      </c>
      <c r="G398" s="133" t="s">
        <v>503</v>
      </c>
      <c r="H398" s="129"/>
    </row>
    <row r="399" spans="1:8" x14ac:dyDescent="0.45">
      <c r="A399" s="130">
        <v>208</v>
      </c>
      <c r="B399" s="131" t="s">
        <v>495</v>
      </c>
      <c r="C399" s="131"/>
      <c r="D399" s="131"/>
      <c r="E399" s="131">
        <v>44</v>
      </c>
      <c r="F399" s="131" t="str">
        <f t="shared" si="4"/>
        <v>20844</v>
      </c>
      <c r="G399" s="133" t="s">
        <v>504</v>
      </c>
      <c r="H399" s="129"/>
    </row>
    <row r="400" spans="1:8" x14ac:dyDescent="0.45">
      <c r="A400" s="130">
        <v>2117</v>
      </c>
      <c r="B400" s="131" t="s">
        <v>505</v>
      </c>
      <c r="C400" s="131">
        <v>32</v>
      </c>
      <c r="D400" s="131">
        <v>8</v>
      </c>
      <c r="E400" s="131"/>
      <c r="F400" s="131" t="str">
        <f t="shared" si="4"/>
        <v>2117</v>
      </c>
      <c r="G400" s="133"/>
      <c r="H400" s="129"/>
    </row>
    <row r="401" spans="1:8" x14ac:dyDescent="0.45">
      <c r="A401" s="130">
        <v>212</v>
      </c>
      <c r="B401" s="131" t="s">
        <v>506</v>
      </c>
      <c r="C401" s="131"/>
      <c r="D401" s="131"/>
      <c r="E401" s="131"/>
      <c r="F401" s="131" t="str">
        <f t="shared" si="4"/>
        <v>212</v>
      </c>
      <c r="G401" s="133"/>
      <c r="H401" s="129"/>
    </row>
    <row r="402" spans="1:8" x14ac:dyDescent="0.45">
      <c r="A402" s="130">
        <v>220</v>
      </c>
      <c r="B402" s="131" t="s">
        <v>507</v>
      </c>
      <c r="C402" s="131"/>
      <c r="D402" s="131"/>
      <c r="E402" s="131"/>
      <c r="F402" s="131" t="str">
        <f t="shared" si="4"/>
        <v>220</v>
      </c>
      <c r="G402" s="133"/>
      <c r="H402" s="129"/>
    </row>
    <row r="403" spans="1:8" x14ac:dyDescent="0.45">
      <c r="A403" s="130">
        <v>331</v>
      </c>
      <c r="B403" s="131" t="s">
        <v>508</v>
      </c>
      <c r="C403" s="131"/>
      <c r="D403" s="131"/>
      <c r="E403" s="131"/>
      <c r="F403" s="131" t="str">
        <f t="shared" si="4"/>
        <v>331</v>
      </c>
      <c r="G403" s="133"/>
      <c r="H403" s="129"/>
    </row>
    <row r="404" spans="1:8" x14ac:dyDescent="0.45">
      <c r="A404" s="130">
        <v>460</v>
      </c>
      <c r="B404" s="131" t="s">
        <v>509</v>
      </c>
      <c r="C404" s="131">
        <v>81</v>
      </c>
      <c r="D404" s="131"/>
      <c r="E404" s="131"/>
      <c r="F404" s="131" t="str">
        <f t="shared" si="4"/>
        <v>460</v>
      </c>
      <c r="G404" s="133"/>
      <c r="H404" s="129"/>
    </row>
    <row r="405" spans="1:8" x14ac:dyDescent="0.45">
      <c r="A405" s="130">
        <v>461</v>
      </c>
      <c r="B405" s="131" t="s">
        <v>510</v>
      </c>
      <c r="C405" s="131">
        <v>32</v>
      </c>
      <c r="D405" s="131">
        <v>5</v>
      </c>
      <c r="E405" s="131"/>
      <c r="F405" s="131" t="str">
        <f t="shared" si="4"/>
        <v>461</v>
      </c>
      <c r="G405" s="133"/>
      <c r="H405" s="129"/>
    </row>
    <row r="406" spans="1:8" x14ac:dyDescent="0.45">
      <c r="A406" s="130">
        <v>461</v>
      </c>
      <c r="B406" s="131" t="s">
        <v>510</v>
      </c>
      <c r="C406" s="131">
        <v>32</v>
      </c>
      <c r="D406" s="131">
        <v>8</v>
      </c>
      <c r="E406" s="131"/>
      <c r="F406" s="131" t="str">
        <f t="shared" si="4"/>
        <v>461</v>
      </c>
      <c r="G406" s="133"/>
      <c r="H406" s="129"/>
    </row>
    <row r="407" spans="1:8" x14ac:dyDescent="0.45">
      <c r="A407" s="130">
        <v>466</v>
      </c>
      <c r="B407" s="131" t="s">
        <v>511</v>
      </c>
      <c r="C407" s="131">
        <v>81</v>
      </c>
      <c r="D407" s="131"/>
      <c r="E407" s="131"/>
      <c r="F407" s="131" t="str">
        <f t="shared" si="4"/>
        <v>466</v>
      </c>
      <c r="G407" s="133"/>
      <c r="H407" s="129"/>
    </row>
    <row r="408" spans="1:8" x14ac:dyDescent="0.45">
      <c r="A408" s="130">
        <v>501</v>
      </c>
      <c r="B408" s="131" t="s">
        <v>512</v>
      </c>
      <c r="C408" s="131">
        <v>81</v>
      </c>
      <c r="D408" s="131"/>
      <c r="E408" s="131">
        <v>1</v>
      </c>
      <c r="F408" s="131" t="str">
        <f t="shared" si="4"/>
        <v>5011</v>
      </c>
      <c r="G408" s="133" t="s">
        <v>197</v>
      </c>
      <c r="H408" s="129"/>
    </row>
    <row r="409" spans="1:8" x14ac:dyDescent="0.45">
      <c r="A409" s="130">
        <v>502</v>
      </c>
      <c r="B409" s="131" t="s">
        <v>513</v>
      </c>
      <c r="C409" s="131">
        <v>81</v>
      </c>
      <c r="D409" s="131"/>
      <c r="E409" s="131"/>
      <c r="F409" s="131" t="str">
        <f>A409&amp;E409</f>
        <v>502</v>
      </c>
      <c r="G409" s="133"/>
      <c r="H409" s="129"/>
    </row>
    <row r="410" spans="1:8" x14ac:dyDescent="0.45">
      <c r="A410" s="130">
        <v>504</v>
      </c>
      <c r="B410" s="131" t="s">
        <v>514</v>
      </c>
      <c r="C410" s="131">
        <v>81</v>
      </c>
      <c r="D410" s="131"/>
      <c r="E410" s="131">
        <v>1</v>
      </c>
      <c r="F410" s="131" t="str">
        <f t="shared" ref="F410:F473" si="5">A410&amp;E410</f>
        <v>5041</v>
      </c>
      <c r="G410" s="133" t="s">
        <v>197</v>
      </c>
      <c r="H410" s="129"/>
    </row>
    <row r="411" spans="1:8" x14ac:dyDescent="0.45">
      <c r="A411" s="130">
        <v>505</v>
      </c>
      <c r="B411" s="131" t="s">
        <v>515</v>
      </c>
      <c r="C411" s="131">
        <v>32</v>
      </c>
      <c r="D411" s="131">
        <v>8</v>
      </c>
      <c r="E411" s="131">
        <v>4</v>
      </c>
      <c r="F411" s="131" t="str">
        <f t="shared" si="5"/>
        <v>5054</v>
      </c>
      <c r="G411" s="133" t="s">
        <v>198</v>
      </c>
      <c r="H411" s="129"/>
    </row>
    <row r="412" spans="1:8" x14ac:dyDescent="0.45">
      <c r="A412" s="130">
        <v>505</v>
      </c>
      <c r="B412" s="131" t="s">
        <v>515</v>
      </c>
      <c r="C412" s="131">
        <v>32</v>
      </c>
      <c r="D412" s="131">
        <v>8</v>
      </c>
      <c r="E412" s="131">
        <v>11</v>
      </c>
      <c r="F412" s="131" t="str">
        <f t="shared" si="5"/>
        <v>50511</v>
      </c>
      <c r="G412" s="133" t="s">
        <v>516</v>
      </c>
      <c r="H412" s="129"/>
    </row>
    <row r="413" spans="1:8" x14ac:dyDescent="0.45">
      <c r="A413" s="130">
        <v>505</v>
      </c>
      <c r="B413" s="131" t="s">
        <v>515</v>
      </c>
      <c r="C413" s="131">
        <v>32</v>
      </c>
      <c r="D413" s="131">
        <v>8</v>
      </c>
      <c r="E413" s="131">
        <v>12</v>
      </c>
      <c r="F413" s="131" t="str">
        <f t="shared" si="5"/>
        <v>50512</v>
      </c>
      <c r="G413" s="133" t="s">
        <v>517</v>
      </c>
      <c r="H413" s="129"/>
    </row>
    <row r="414" spans="1:8" ht="15" customHeight="1" x14ac:dyDescent="0.45">
      <c r="A414" s="130">
        <v>505</v>
      </c>
      <c r="B414" s="131" t="s">
        <v>515</v>
      </c>
      <c r="C414" s="131">
        <v>32</v>
      </c>
      <c r="D414" s="131">
        <v>8</v>
      </c>
      <c r="E414" s="131">
        <v>100</v>
      </c>
      <c r="F414" s="131" t="str">
        <f t="shared" si="5"/>
        <v>505100</v>
      </c>
      <c r="G414" s="133" t="s">
        <v>518</v>
      </c>
      <c r="H414" s="129"/>
    </row>
    <row r="415" spans="1:8" ht="15" customHeight="1" x14ac:dyDescent="0.45">
      <c r="A415" s="130">
        <v>505</v>
      </c>
      <c r="B415" s="131" t="s">
        <v>515</v>
      </c>
      <c r="C415" s="131">
        <v>32</v>
      </c>
      <c r="D415" s="131">
        <v>8</v>
      </c>
      <c r="E415" s="131">
        <v>999</v>
      </c>
      <c r="F415" s="131" t="str">
        <f t="shared" si="5"/>
        <v>505999</v>
      </c>
      <c r="G415" s="133" t="s">
        <v>503</v>
      </c>
      <c r="H415" s="129"/>
    </row>
    <row r="416" spans="1:8" ht="15" customHeight="1" x14ac:dyDescent="0.45">
      <c r="A416" s="130">
        <v>506</v>
      </c>
      <c r="B416" s="131" t="s">
        <v>519</v>
      </c>
      <c r="C416" s="131"/>
      <c r="D416" s="131"/>
      <c r="E416" s="131"/>
      <c r="F416" s="131" t="str">
        <f>A416&amp;E416</f>
        <v>506</v>
      </c>
      <c r="G416" s="133"/>
      <c r="H416" s="129"/>
    </row>
    <row r="417" spans="1:8" x14ac:dyDescent="0.45">
      <c r="A417" s="130">
        <v>510</v>
      </c>
      <c r="B417" s="131" t="s">
        <v>520</v>
      </c>
      <c r="C417" s="131">
        <v>32</v>
      </c>
      <c r="D417" s="131">
        <v>5</v>
      </c>
      <c r="E417" s="131">
        <v>4</v>
      </c>
      <c r="F417" s="131" t="str">
        <f t="shared" si="5"/>
        <v>5104</v>
      </c>
      <c r="G417" s="133" t="s">
        <v>198</v>
      </c>
      <c r="H417" s="129"/>
    </row>
    <row r="418" spans="1:8" x14ac:dyDescent="0.45">
      <c r="A418" s="130">
        <v>510</v>
      </c>
      <c r="B418" s="131" t="s">
        <v>520</v>
      </c>
      <c r="C418" s="131">
        <v>32</v>
      </c>
      <c r="D418" s="131">
        <v>5</v>
      </c>
      <c r="E418" s="131">
        <v>11</v>
      </c>
      <c r="F418" s="131" t="str">
        <f t="shared" si="5"/>
        <v>51011</v>
      </c>
      <c r="G418" s="133" t="s">
        <v>516</v>
      </c>
      <c r="H418" s="129"/>
    </row>
    <row r="419" spans="1:8" x14ac:dyDescent="0.45">
      <c r="A419" s="130">
        <v>510</v>
      </c>
      <c r="B419" s="131" t="s">
        <v>520</v>
      </c>
      <c r="C419" s="131">
        <v>32</v>
      </c>
      <c r="D419" s="131">
        <v>8</v>
      </c>
      <c r="E419" s="131">
        <v>12</v>
      </c>
      <c r="F419" s="131" t="str">
        <f t="shared" si="5"/>
        <v>51012</v>
      </c>
      <c r="G419" s="133" t="s">
        <v>517</v>
      </c>
      <c r="H419" s="129"/>
    </row>
    <row r="420" spans="1:8" x14ac:dyDescent="0.45">
      <c r="A420" s="130">
        <v>510</v>
      </c>
      <c r="B420" s="131" t="s">
        <v>520</v>
      </c>
      <c r="C420" s="131">
        <v>32</v>
      </c>
      <c r="D420" s="131">
        <v>5</v>
      </c>
      <c r="E420" s="131">
        <v>100</v>
      </c>
      <c r="F420" s="131" t="str">
        <f t="shared" si="5"/>
        <v>510100</v>
      </c>
      <c r="G420" s="133" t="s">
        <v>518</v>
      </c>
      <c r="H420" s="129"/>
    </row>
    <row r="421" spans="1:8" x14ac:dyDescent="0.45">
      <c r="A421" s="130">
        <v>510</v>
      </c>
      <c r="B421" s="131" t="s">
        <v>520</v>
      </c>
      <c r="C421" s="131">
        <v>32</v>
      </c>
      <c r="D421" s="131">
        <v>5</v>
      </c>
      <c r="E421" s="131">
        <v>101</v>
      </c>
      <c r="F421" s="131" t="str">
        <f t="shared" si="5"/>
        <v>510101</v>
      </c>
      <c r="G421" s="133" t="s">
        <v>521</v>
      </c>
      <c r="H421" s="129"/>
    </row>
    <row r="422" spans="1:8" x14ac:dyDescent="0.45">
      <c r="A422" s="130">
        <v>510</v>
      </c>
      <c r="B422" s="131" t="s">
        <v>520</v>
      </c>
      <c r="C422" s="131">
        <v>32</v>
      </c>
      <c r="D422" s="131">
        <v>5</v>
      </c>
      <c r="E422" s="131">
        <v>111</v>
      </c>
      <c r="F422" s="131" t="str">
        <f t="shared" si="5"/>
        <v>510111</v>
      </c>
      <c r="G422" s="133" t="s">
        <v>522</v>
      </c>
      <c r="H422" s="129"/>
    </row>
    <row r="423" spans="1:8" x14ac:dyDescent="0.45">
      <c r="A423" s="130">
        <v>510</v>
      </c>
      <c r="B423" s="131" t="s">
        <v>520</v>
      </c>
      <c r="C423" s="131">
        <v>32</v>
      </c>
      <c r="D423" s="131">
        <v>8</v>
      </c>
      <c r="E423" s="131">
        <v>999</v>
      </c>
      <c r="F423" s="131" t="str">
        <f t="shared" si="5"/>
        <v>510999</v>
      </c>
      <c r="G423" s="133" t="s">
        <v>503</v>
      </c>
      <c r="H423" s="129"/>
    </row>
    <row r="424" spans="1:8" x14ac:dyDescent="0.45">
      <c r="A424" s="130">
        <v>511</v>
      </c>
      <c r="B424" s="131" t="s">
        <v>523</v>
      </c>
      <c r="C424" s="131">
        <v>31</v>
      </c>
      <c r="D424" s="131">
        <v>8</v>
      </c>
      <c r="E424" s="131">
        <v>2401</v>
      </c>
      <c r="F424" s="131" t="str">
        <f t="shared" si="5"/>
        <v>5112401</v>
      </c>
      <c r="G424" s="133" t="s">
        <v>524</v>
      </c>
      <c r="H424" s="129"/>
    </row>
    <row r="425" spans="1:8" x14ac:dyDescent="0.45">
      <c r="A425" s="130">
        <v>511</v>
      </c>
      <c r="B425" s="131" t="s">
        <v>523</v>
      </c>
      <c r="C425" s="131">
        <v>31</v>
      </c>
      <c r="D425" s="131">
        <v>8</v>
      </c>
      <c r="E425" s="131">
        <v>3001</v>
      </c>
      <c r="F425" s="131" t="str">
        <f t="shared" si="5"/>
        <v>5113001</v>
      </c>
      <c r="G425" s="133" t="s">
        <v>525</v>
      </c>
      <c r="H425" s="129"/>
    </row>
    <row r="426" spans="1:8" x14ac:dyDescent="0.45">
      <c r="A426" s="130">
        <v>511</v>
      </c>
      <c r="B426" s="131" t="s">
        <v>523</v>
      </c>
      <c r="C426" s="131">
        <v>31</v>
      </c>
      <c r="D426" s="131">
        <v>8</v>
      </c>
      <c r="E426" s="131">
        <v>3201</v>
      </c>
      <c r="F426" s="131" t="str">
        <f t="shared" si="5"/>
        <v>5113201</v>
      </c>
      <c r="G426" s="133" t="s">
        <v>181</v>
      </c>
      <c r="H426" s="129"/>
    </row>
    <row r="427" spans="1:8" x14ac:dyDescent="0.45">
      <c r="A427" s="130">
        <v>511</v>
      </c>
      <c r="B427" s="131" t="s">
        <v>523</v>
      </c>
      <c r="C427" s="131">
        <v>31</v>
      </c>
      <c r="D427" s="131">
        <v>8</v>
      </c>
      <c r="E427" s="131">
        <v>4801</v>
      </c>
      <c r="F427" s="131" t="str">
        <f t="shared" si="5"/>
        <v>5114801</v>
      </c>
      <c r="G427" s="133" t="s">
        <v>526</v>
      </c>
      <c r="H427" s="129"/>
    </row>
    <row r="428" spans="1:8" x14ac:dyDescent="0.45">
      <c r="A428" s="130">
        <v>511</v>
      </c>
      <c r="B428" s="131" t="s">
        <v>523</v>
      </c>
      <c r="C428" s="131">
        <v>31</v>
      </c>
      <c r="D428" s="131">
        <v>8</v>
      </c>
      <c r="E428" s="131">
        <v>6601</v>
      </c>
      <c r="F428" s="131" t="str">
        <f t="shared" si="5"/>
        <v>5116601</v>
      </c>
      <c r="G428" s="133" t="s">
        <v>527</v>
      </c>
      <c r="H428" s="129"/>
    </row>
    <row r="429" spans="1:8" x14ac:dyDescent="0.45">
      <c r="A429" s="130">
        <v>511</v>
      </c>
      <c r="B429" s="131" t="s">
        <v>523</v>
      </c>
      <c r="C429" s="131">
        <v>31</v>
      </c>
      <c r="D429" s="131">
        <v>8</v>
      </c>
      <c r="E429" s="131">
        <v>7001</v>
      </c>
      <c r="F429" s="131" t="str">
        <f t="shared" si="5"/>
        <v>5117001</v>
      </c>
      <c r="G429" s="133" t="s">
        <v>528</v>
      </c>
      <c r="H429" s="129"/>
    </row>
    <row r="430" spans="1:8" x14ac:dyDescent="0.45">
      <c r="A430" s="130">
        <v>511</v>
      </c>
      <c r="B430" s="131" t="s">
        <v>523</v>
      </c>
      <c r="C430" s="131">
        <v>31</v>
      </c>
      <c r="D430" s="131">
        <v>8</v>
      </c>
      <c r="E430" s="131">
        <v>8001</v>
      </c>
      <c r="F430" s="131" t="str">
        <f t="shared" si="5"/>
        <v>5118001</v>
      </c>
      <c r="G430" s="133" t="s">
        <v>529</v>
      </c>
      <c r="H430" s="129"/>
    </row>
    <row r="431" spans="1:8" x14ac:dyDescent="0.45">
      <c r="A431" s="130">
        <v>511</v>
      </c>
      <c r="B431" s="131" t="s">
        <v>523</v>
      </c>
      <c r="C431" s="131">
        <v>31</v>
      </c>
      <c r="D431" s="131">
        <v>8</v>
      </c>
      <c r="E431" s="131">
        <v>9991</v>
      </c>
      <c r="F431" s="131" t="str">
        <f t="shared" si="5"/>
        <v>5119991</v>
      </c>
      <c r="G431" s="133" t="s">
        <v>530</v>
      </c>
      <c r="H431" s="129"/>
    </row>
    <row r="432" spans="1:8" x14ac:dyDescent="0.45">
      <c r="A432" s="130">
        <v>511</v>
      </c>
      <c r="B432" s="131" t="s">
        <v>523</v>
      </c>
      <c r="C432" s="131">
        <v>31</v>
      </c>
      <c r="D432" s="131">
        <v>8</v>
      </c>
      <c r="E432" s="131">
        <v>9992</v>
      </c>
      <c r="F432" s="131" t="str">
        <f t="shared" si="5"/>
        <v>5119992</v>
      </c>
      <c r="G432" s="133" t="s">
        <v>531</v>
      </c>
      <c r="H432" s="129"/>
    </row>
    <row r="433" spans="1:8" x14ac:dyDescent="0.45">
      <c r="A433" s="130">
        <v>511</v>
      </c>
      <c r="B433" s="131" t="s">
        <v>523</v>
      </c>
      <c r="C433" s="131">
        <v>31</v>
      </c>
      <c r="D433" s="131">
        <v>8</v>
      </c>
      <c r="E433" s="131">
        <v>9998</v>
      </c>
      <c r="F433" s="131" t="str">
        <f>A433&amp;E433</f>
        <v>5119998</v>
      </c>
      <c r="G433" s="133" t="s">
        <v>532</v>
      </c>
      <c r="H433" s="129"/>
    </row>
    <row r="434" spans="1:8" x14ac:dyDescent="0.45">
      <c r="A434" s="130">
        <v>512</v>
      </c>
      <c r="B434" s="131" t="s">
        <v>533</v>
      </c>
      <c r="C434" s="131">
        <v>32</v>
      </c>
      <c r="D434" s="131">
        <v>8</v>
      </c>
      <c r="E434" s="131">
        <v>4</v>
      </c>
      <c r="F434" s="131" t="str">
        <f t="shared" si="5"/>
        <v>5124</v>
      </c>
      <c r="G434" s="133" t="s">
        <v>504</v>
      </c>
      <c r="H434" s="129"/>
    </row>
    <row r="435" spans="1:8" x14ac:dyDescent="0.45">
      <c r="A435" s="130">
        <v>512</v>
      </c>
      <c r="B435" s="131" t="s">
        <v>533</v>
      </c>
      <c r="C435" s="131">
        <v>32</v>
      </c>
      <c r="D435" s="131">
        <v>8</v>
      </c>
      <c r="E435" s="131">
        <v>11</v>
      </c>
      <c r="F435" s="131" t="str">
        <f t="shared" si="5"/>
        <v>51211</v>
      </c>
      <c r="G435" s="133" t="s">
        <v>516</v>
      </c>
      <c r="H435" s="129"/>
    </row>
    <row r="436" spans="1:8" x14ac:dyDescent="0.45">
      <c r="A436" s="130">
        <v>512</v>
      </c>
      <c r="B436" s="131" t="s">
        <v>533</v>
      </c>
      <c r="C436" s="131">
        <v>32</v>
      </c>
      <c r="D436" s="131">
        <v>8</v>
      </c>
      <c r="E436" s="131">
        <v>12</v>
      </c>
      <c r="F436" s="131" t="str">
        <f t="shared" si="5"/>
        <v>51212</v>
      </c>
      <c r="G436" s="133" t="s">
        <v>534</v>
      </c>
      <c r="H436" s="129"/>
    </row>
    <row r="437" spans="1:8" x14ac:dyDescent="0.45">
      <c r="A437" s="130">
        <v>512</v>
      </c>
      <c r="B437" s="131" t="s">
        <v>533</v>
      </c>
      <c r="C437" s="131">
        <v>32</v>
      </c>
      <c r="D437" s="131">
        <v>8</v>
      </c>
      <c r="E437" s="131">
        <v>13</v>
      </c>
      <c r="F437" s="131" t="str">
        <f t="shared" si="5"/>
        <v>51213</v>
      </c>
      <c r="G437" s="133" t="s">
        <v>535</v>
      </c>
      <c r="H437" s="129"/>
    </row>
    <row r="438" spans="1:8" x14ac:dyDescent="0.45">
      <c r="A438" s="130">
        <v>513</v>
      </c>
      <c r="B438" s="131" t="s">
        <v>536</v>
      </c>
      <c r="C438" s="131"/>
      <c r="D438" s="131"/>
      <c r="E438" s="131">
        <v>1</v>
      </c>
      <c r="F438" s="131" t="str">
        <f t="shared" si="5"/>
        <v>5131</v>
      </c>
      <c r="G438" s="133" t="s">
        <v>194</v>
      </c>
      <c r="H438" s="129"/>
    </row>
    <row r="439" spans="1:8" x14ac:dyDescent="0.45">
      <c r="A439" s="130">
        <v>514</v>
      </c>
      <c r="B439" s="131" t="s">
        <v>537</v>
      </c>
      <c r="C439" s="131"/>
      <c r="D439" s="131"/>
      <c r="E439" s="131">
        <v>1</v>
      </c>
      <c r="F439" s="131" t="str">
        <f t="shared" si="5"/>
        <v>5141</v>
      </c>
      <c r="G439" s="133" t="s">
        <v>538</v>
      </c>
      <c r="H439" s="129"/>
    </row>
    <row r="440" spans="1:8" x14ac:dyDescent="0.45">
      <c r="A440" s="130">
        <v>514</v>
      </c>
      <c r="B440" s="131" t="s">
        <v>537</v>
      </c>
      <c r="C440" s="131">
        <v>32</v>
      </c>
      <c r="D440" s="131">
        <v>5</v>
      </c>
      <c r="E440" s="131">
        <v>2</v>
      </c>
      <c r="F440" s="131" t="str">
        <f t="shared" si="5"/>
        <v>5142</v>
      </c>
      <c r="G440" s="133" t="s">
        <v>539</v>
      </c>
      <c r="H440" s="129"/>
    </row>
    <row r="441" spans="1:8" x14ac:dyDescent="0.45">
      <c r="A441" s="130">
        <v>514</v>
      </c>
      <c r="B441" s="131" t="s">
        <v>537</v>
      </c>
      <c r="C441" s="131"/>
      <c r="D441" s="131"/>
      <c r="E441" s="131">
        <v>3</v>
      </c>
      <c r="F441" s="131" t="str">
        <f t="shared" si="5"/>
        <v>5143</v>
      </c>
      <c r="G441" s="133" t="s">
        <v>540</v>
      </c>
      <c r="H441" s="129"/>
    </row>
    <row r="442" spans="1:8" x14ac:dyDescent="0.45">
      <c r="A442" s="130">
        <v>514</v>
      </c>
      <c r="B442" s="131" t="s">
        <v>537</v>
      </c>
      <c r="C442" s="131">
        <v>81</v>
      </c>
      <c r="D442" s="131"/>
      <c r="E442" s="131">
        <v>4</v>
      </c>
      <c r="F442" s="131" t="str">
        <f t="shared" si="5"/>
        <v>5144</v>
      </c>
      <c r="G442" s="133" t="s">
        <v>541</v>
      </c>
      <c r="H442" s="129"/>
    </row>
    <row r="443" spans="1:8" x14ac:dyDescent="0.45">
      <c r="A443" s="130">
        <v>514</v>
      </c>
      <c r="B443" s="131" t="s">
        <v>537</v>
      </c>
      <c r="C443" s="131">
        <v>81</v>
      </c>
      <c r="D443" s="131"/>
      <c r="E443" s="131">
        <v>5</v>
      </c>
      <c r="F443" s="131" t="str">
        <f t="shared" si="5"/>
        <v>5145</v>
      </c>
      <c r="G443" s="133" t="s">
        <v>542</v>
      </c>
      <c r="H443" s="129"/>
    </row>
    <row r="444" spans="1:8" x14ac:dyDescent="0.45">
      <c r="A444" s="130">
        <v>514</v>
      </c>
      <c r="B444" s="131" t="s">
        <v>537</v>
      </c>
      <c r="C444" s="131">
        <v>32</v>
      </c>
      <c r="D444" s="131">
        <v>5</v>
      </c>
      <c r="E444" s="131">
        <v>6</v>
      </c>
      <c r="F444" s="131" t="str">
        <f t="shared" si="5"/>
        <v>5146</v>
      </c>
      <c r="G444" s="133" t="s">
        <v>543</v>
      </c>
      <c r="H444" s="129"/>
    </row>
    <row r="445" spans="1:8" x14ac:dyDescent="0.45">
      <c r="A445" s="130">
        <v>514</v>
      </c>
      <c r="B445" s="131" t="s">
        <v>537</v>
      </c>
      <c r="C445" s="131">
        <v>32</v>
      </c>
      <c r="D445" s="131">
        <v>8</v>
      </c>
      <c r="E445" s="131">
        <v>7</v>
      </c>
      <c r="F445" s="131" t="str">
        <f t="shared" si="5"/>
        <v>5147</v>
      </c>
      <c r="G445" s="133" t="s">
        <v>544</v>
      </c>
      <c r="H445" s="129"/>
    </row>
    <row r="446" spans="1:8" x14ac:dyDescent="0.45">
      <c r="A446" s="130">
        <v>514</v>
      </c>
      <c r="B446" s="131" t="s">
        <v>537</v>
      </c>
      <c r="C446" s="131">
        <v>32</v>
      </c>
      <c r="D446" s="131">
        <v>8</v>
      </c>
      <c r="E446" s="131">
        <v>8</v>
      </c>
      <c r="F446" s="131" t="str">
        <f t="shared" si="5"/>
        <v>5148</v>
      </c>
      <c r="G446" s="133" t="s">
        <v>545</v>
      </c>
      <c r="H446" s="129"/>
    </row>
    <row r="447" spans="1:8" x14ac:dyDescent="0.45">
      <c r="A447" s="130">
        <v>514</v>
      </c>
      <c r="B447" s="131" t="s">
        <v>537</v>
      </c>
      <c r="C447" s="131"/>
      <c r="D447" s="131"/>
      <c r="E447" s="131">
        <v>9</v>
      </c>
      <c r="F447" s="131" t="str">
        <f t="shared" si="5"/>
        <v>5149</v>
      </c>
      <c r="G447" s="133" t="s">
        <v>546</v>
      </c>
      <c r="H447" s="129"/>
    </row>
    <row r="448" spans="1:8" x14ac:dyDescent="0.45">
      <c r="A448" s="130">
        <v>514</v>
      </c>
      <c r="B448" s="131" t="s">
        <v>537</v>
      </c>
      <c r="C448" s="131"/>
      <c r="D448" s="131"/>
      <c r="E448" s="131">
        <v>10</v>
      </c>
      <c r="F448" s="131" t="str">
        <f t="shared" si="5"/>
        <v>51410</v>
      </c>
      <c r="G448" s="133" t="s">
        <v>547</v>
      </c>
      <c r="H448" s="129"/>
    </row>
    <row r="449" spans="1:8" x14ac:dyDescent="0.45">
      <c r="A449" s="130">
        <v>514</v>
      </c>
      <c r="B449" s="131" t="s">
        <v>537</v>
      </c>
      <c r="C449" s="131"/>
      <c r="D449" s="131"/>
      <c r="E449" s="131">
        <v>11</v>
      </c>
      <c r="F449" s="131" t="str">
        <f>A449&amp;E449</f>
        <v>51411</v>
      </c>
      <c r="G449" s="133" t="s">
        <v>548</v>
      </c>
      <c r="H449" s="129"/>
    </row>
    <row r="450" spans="1:8" x14ac:dyDescent="0.45">
      <c r="A450" s="130">
        <v>514</v>
      </c>
      <c r="B450" s="131" t="s">
        <v>537</v>
      </c>
      <c r="C450" s="131"/>
      <c r="D450" s="131"/>
      <c r="E450" s="131">
        <v>12</v>
      </c>
      <c r="F450" s="131" t="str">
        <f>A450&amp;E450</f>
        <v>51412</v>
      </c>
      <c r="G450" s="133" t="s">
        <v>549</v>
      </c>
      <c r="H450" s="129"/>
    </row>
    <row r="451" spans="1:8" x14ac:dyDescent="0.45">
      <c r="A451" s="130">
        <v>515</v>
      </c>
      <c r="B451" s="131" t="s">
        <v>550</v>
      </c>
      <c r="C451" s="131">
        <v>81</v>
      </c>
      <c r="D451" s="131"/>
      <c r="E451" s="131">
        <v>4</v>
      </c>
      <c r="F451" s="131" t="str">
        <f t="shared" si="5"/>
        <v>5154</v>
      </c>
      <c r="G451" s="133" t="s">
        <v>198</v>
      </c>
      <c r="H451" s="129"/>
    </row>
    <row r="452" spans="1:8" x14ac:dyDescent="0.45">
      <c r="A452" s="130">
        <v>515</v>
      </c>
      <c r="B452" s="131" t="s">
        <v>550</v>
      </c>
      <c r="C452" s="131">
        <v>32</v>
      </c>
      <c r="D452" s="131">
        <v>8</v>
      </c>
      <c r="E452" s="131">
        <v>11</v>
      </c>
      <c r="F452" s="131" t="str">
        <f t="shared" si="5"/>
        <v>51511</v>
      </c>
      <c r="G452" s="133" t="s">
        <v>551</v>
      </c>
      <c r="H452" s="129"/>
    </row>
    <row r="453" spans="1:8" x14ac:dyDescent="0.45">
      <c r="A453" s="130">
        <v>515</v>
      </c>
      <c r="B453" s="131" t="s">
        <v>550</v>
      </c>
      <c r="C453" s="131">
        <v>32</v>
      </c>
      <c r="D453" s="131">
        <v>8</v>
      </c>
      <c r="E453" s="131">
        <v>12</v>
      </c>
      <c r="F453" s="131" t="str">
        <f t="shared" si="5"/>
        <v>51512</v>
      </c>
      <c r="G453" s="133" t="s">
        <v>517</v>
      </c>
      <c r="H453" s="129"/>
    </row>
    <row r="454" spans="1:8" x14ac:dyDescent="0.45">
      <c r="A454" s="130">
        <v>515</v>
      </c>
      <c r="B454" s="131" t="s">
        <v>550</v>
      </c>
      <c r="C454" s="131">
        <v>32</v>
      </c>
      <c r="D454" s="131">
        <v>8</v>
      </c>
      <c r="E454" s="131">
        <v>999</v>
      </c>
      <c r="F454" s="131" t="str">
        <f>A454&amp;E454</f>
        <v>515999</v>
      </c>
      <c r="G454" s="133" t="s">
        <v>213</v>
      </c>
      <c r="H454" s="129"/>
    </row>
    <row r="455" spans="1:8" x14ac:dyDescent="0.45">
      <c r="A455" s="130">
        <v>516</v>
      </c>
      <c r="B455" s="131" t="s">
        <v>552</v>
      </c>
      <c r="C455" s="131">
        <v>41</v>
      </c>
      <c r="D455" s="131">
        <v>8</v>
      </c>
      <c r="E455" s="131">
        <v>2401</v>
      </c>
      <c r="F455" s="131" t="str">
        <f t="shared" si="5"/>
        <v>5162401</v>
      </c>
      <c r="G455" s="133" t="s">
        <v>524</v>
      </c>
      <c r="H455" s="129"/>
    </row>
    <row r="456" spans="1:8" x14ac:dyDescent="0.45">
      <c r="A456" s="130">
        <v>516</v>
      </c>
      <c r="B456" s="131" t="s">
        <v>552</v>
      </c>
      <c r="C456" s="131">
        <v>41</v>
      </c>
      <c r="D456" s="131">
        <v>8</v>
      </c>
      <c r="E456" s="131">
        <v>3001</v>
      </c>
      <c r="F456" s="131" t="str">
        <f t="shared" si="5"/>
        <v>5163001</v>
      </c>
      <c r="G456" s="133" t="s">
        <v>525</v>
      </c>
      <c r="H456" s="129"/>
    </row>
    <row r="457" spans="1:8" x14ac:dyDescent="0.45">
      <c r="A457" s="130">
        <v>516</v>
      </c>
      <c r="B457" s="131" t="s">
        <v>552</v>
      </c>
      <c r="C457" s="131">
        <v>41</v>
      </c>
      <c r="D457" s="131">
        <v>8</v>
      </c>
      <c r="E457" s="131">
        <v>3201</v>
      </c>
      <c r="F457" s="131" t="str">
        <f t="shared" si="5"/>
        <v>5163201</v>
      </c>
      <c r="G457" s="133" t="s">
        <v>553</v>
      </c>
      <c r="H457" s="129"/>
    </row>
    <row r="458" spans="1:8" x14ac:dyDescent="0.45">
      <c r="A458" s="130">
        <v>516</v>
      </c>
      <c r="B458" s="131" t="s">
        <v>552</v>
      </c>
      <c r="C458" s="131">
        <v>41</v>
      </c>
      <c r="D458" s="131">
        <v>8</v>
      </c>
      <c r="E458" s="131">
        <v>4801</v>
      </c>
      <c r="F458" s="131" t="str">
        <f t="shared" si="5"/>
        <v>5164801</v>
      </c>
      <c r="G458" s="133" t="s">
        <v>554</v>
      </c>
      <c r="H458" s="129"/>
    </row>
    <row r="459" spans="1:8" x14ac:dyDescent="0.45">
      <c r="A459" s="130">
        <v>516</v>
      </c>
      <c r="B459" s="131" t="s">
        <v>552</v>
      </c>
      <c r="C459" s="131">
        <v>41</v>
      </c>
      <c r="D459" s="131">
        <v>8</v>
      </c>
      <c r="E459" s="131">
        <v>6601</v>
      </c>
      <c r="F459" s="131" t="str">
        <f t="shared" si="5"/>
        <v>5166601</v>
      </c>
      <c r="G459" s="133" t="s">
        <v>555</v>
      </c>
      <c r="H459" s="129"/>
    </row>
    <row r="460" spans="1:8" x14ac:dyDescent="0.45">
      <c r="A460" s="130">
        <v>516</v>
      </c>
      <c r="B460" s="131" t="s">
        <v>552</v>
      </c>
      <c r="C460" s="131">
        <v>41</v>
      </c>
      <c r="D460" s="131">
        <v>8</v>
      </c>
      <c r="E460" s="131">
        <v>7001</v>
      </c>
      <c r="F460" s="131" t="str">
        <f t="shared" si="5"/>
        <v>5167001</v>
      </c>
      <c r="G460" s="133" t="s">
        <v>528</v>
      </c>
      <c r="H460" s="129"/>
    </row>
    <row r="461" spans="1:8" x14ac:dyDescent="0.45">
      <c r="A461" s="130">
        <v>516</v>
      </c>
      <c r="B461" s="131" t="s">
        <v>552</v>
      </c>
      <c r="C461" s="131">
        <v>41</v>
      </c>
      <c r="D461" s="131">
        <v>8</v>
      </c>
      <c r="E461" s="131">
        <v>8001</v>
      </c>
      <c r="F461" s="131" t="str">
        <f t="shared" si="5"/>
        <v>5168001</v>
      </c>
      <c r="G461" s="133" t="s">
        <v>556</v>
      </c>
      <c r="H461" s="129"/>
    </row>
    <row r="462" spans="1:8" x14ac:dyDescent="0.45">
      <c r="A462" s="130">
        <v>516</v>
      </c>
      <c r="B462" s="131" t="s">
        <v>552</v>
      </c>
      <c r="C462" s="131">
        <v>41</v>
      </c>
      <c r="D462" s="131">
        <v>8</v>
      </c>
      <c r="E462" s="131">
        <v>9991</v>
      </c>
      <c r="F462" s="131" t="str">
        <f t="shared" si="5"/>
        <v>5169991</v>
      </c>
      <c r="G462" s="133" t="s">
        <v>530</v>
      </c>
      <c r="H462" s="129"/>
    </row>
    <row r="463" spans="1:8" x14ac:dyDescent="0.45">
      <c r="A463" s="130">
        <v>516</v>
      </c>
      <c r="B463" s="131" t="s">
        <v>552</v>
      </c>
      <c r="C463" s="131">
        <v>41</v>
      </c>
      <c r="D463" s="131">
        <v>8</v>
      </c>
      <c r="E463" s="131">
        <v>9992</v>
      </c>
      <c r="F463" s="131" t="str">
        <f t="shared" si="5"/>
        <v>5169992</v>
      </c>
      <c r="G463" s="133" t="s">
        <v>531</v>
      </c>
      <c r="H463" s="129"/>
    </row>
    <row r="464" spans="1:8" x14ac:dyDescent="0.45">
      <c r="A464" s="130">
        <v>516</v>
      </c>
      <c r="B464" s="131" t="s">
        <v>552</v>
      </c>
      <c r="C464" s="131">
        <v>41</v>
      </c>
      <c r="D464" s="131">
        <v>8</v>
      </c>
      <c r="E464" s="131">
        <v>9998</v>
      </c>
      <c r="F464" s="131" t="str">
        <f t="shared" si="5"/>
        <v>5169998</v>
      </c>
      <c r="G464" s="133" t="s">
        <v>557</v>
      </c>
      <c r="H464" s="129"/>
    </row>
    <row r="465" spans="1:8" x14ac:dyDescent="0.45">
      <c r="A465" s="130">
        <v>520</v>
      </c>
      <c r="B465" s="131" t="s">
        <v>558</v>
      </c>
      <c r="C465" s="131">
        <v>41</v>
      </c>
      <c r="D465" s="131">
        <v>8</v>
      </c>
      <c r="E465" s="131">
        <v>3201</v>
      </c>
      <c r="F465" s="131" t="str">
        <f t="shared" si="5"/>
        <v>5203201</v>
      </c>
      <c r="G465" s="133" t="s">
        <v>181</v>
      </c>
      <c r="H465" s="129"/>
    </row>
    <row r="466" spans="1:8" x14ac:dyDescent="0.45">
      <c r="A466" s="130">
        <v>520</v>
      </c>
      <c r="B466" s="131" t="s">
        <v>558</v>
      </c>
      <c r="C466" s="131">
        <v>41</v>
      </c>
      <c r="D466" s="131">
        <v>8</v>
      </c>
      <c r="E466" s="131">
        <v>9998</v>
      </c>
      <c r="F466" s="131" t="str">
        <f>A466&amp;E466</f>
        <v>5209998</v>
      </c>
      <c r="G466" s="133" t="s">
        <v>532</v>
      </c>
      <c r="H466" s="129"/>
    </row>
    <row r="467" spans="1:8" x14ac:dyDescent="0.45">
      <c r="A467" s="130">
        <v>521</v>
      </c>
      <c r="B467" s="131" t="s">
        <v>559</v>
      </c>
      <c r="C467" s="131">
        <v>32</v>
      </c>
      <c r="D467" s="131">
        <v>8</v>
      </c>
      <c r="E467" s="131">
        <v>100</v>
      </c>
      <c r="F467" s="131" t="str">
        <f t="shared" si="5"/>
        <v>521100</v>
      </c>
      <c r="G467" s="133" t="s">
        <v>518</v>
      </c>
      <c r="H467" s="129"/>
    </row>
    <row r="468" spans="1:8" x14ac:dyDescent="0.45">
      <c r="A468" s="130">
        <v>521</v>
      </c>
      <c r="B468" s="131" t="s">
        <v>559</v>
      </c>
      <c r="C468" s="131">
        <v>32</v>
      </c>
      <c r="D468" s="131">
        <v>8</v>
      </c>
      <c r="E468" s="131">
        <v>101</v>
      </c>
      <c r="F468" s="131" t="str">
        <f t="shared" si="5"/>
        <v>521101</v>
      </c>
      <c r="G468" s="133" t="s">
        <v>521</v>
      </c>
      <c r="H468" s="129"/>
    </row>
    <row r="469" spans="1:8" x14ac:dyDescent="0.45">
      <c r="A469" s="130">
        <v>521</v>
      </c>
      <c r="B469" s="131" t="s">
        <v>559</v>
      </c>
      <c r="C469" s="131">
        <v>32</v>
      </c>
      <c r="D469" s="131">
        <v>8</v>
      </c>
      <c r="E469" s="131">
        <v>11</v>
      </c>
      <c r="F469" s="131" t="str">
        <f t="shared" si="5"/>
        <v>52111</v>
      </c>
      <c r="G469" s="133" t="s">
        <v>516</v>
      </c>
      <c r="H469" s="129"/>
    </row>
    <row r="470" spans="1:8" x14ac:dyDescent="0.45">
      <c r="A470" s="130">
        <v>521</v>
      </c>
      <c r="B470" s="131" t="s">
        <v>559</v>
      </c>
      <c r="C470" s="131">
        <v>32</v>
      </c>
      <c r="D470" s="131">
        <v>8</v>
      </c>
      <c r="E470" s="131">
        <v>111</v>
      </c>
      <c r="F470" s="131" t="str">
        <f t="shared" si="5"/>
        <v>521111</v>
      </c>
      <c r="G470" s="133" t="s">
        <v>522</v>
      </c>
      <c r="H470" s="129"/>
    </row>
    <row r="471" spans="1:8" x14ac:dyDescent="0.45">
      <c r="A471" s="130">
        <v>521</v>
      </c>
      <c r="B471" s="131" t="s">
        <v>559</v>
      </c>
      <c r="C471" s="131">
        <v>32</v>
      </c>
      <c r="D471" s="131">
        <v>8</v>
      </c>
      <c r="E471" s="131">
        <v>12</v>
      </c>
      <c r="F471" s="131" t="str">
        <f t="shared" si="5"/>
        <v>52112</v>
      </c>
      <c r="G471" s="133" t="s">
        <v>517</v>
      </c>
      <c r="H471" s="129"/>
    </row>
    <row r="472" spans="1:8" x14ac:dyDescent="0.45">
      <c r="A472" s="130">
        <v>521</v>
      </c>
      <c r="B472" s="131" t="s">
        <v>559</v>
      </c>
      <c r="C472" s="131">
        <v>32</v>
      </c>
      <c r="D472" s="131">
        <v>8</v>
      </c>
      <c r="E472" s="131">
        <v>999</v>
      </c>
      <c r="F472" s="131" t="str">
        <f t="shared" si="5"/>
        <v>521999</v>
      </c>
      <c r="G472" s="133" t="s">
        <v>503</v>
      </c>
      <c r="H472" s="129"/>
    </row>
    <row r="473" spans="1:8" x14ac:dyDescent="0.45">
      <c r="A473" s="130">
        <v>522</v>
      </c>
      <c r="B473" s="131" t="s">
        <v>560</v>
      </c>
      <c r="C473" s="131">
        <v>32</v>
      </c>
      <c r="D473" s="131">
        <v>8</v>
      </c>
      <c r="E473" s="131"/>
      <c r="F473" s="131" t="str">
        <f t="shared" si="5"/>
        <v>522</v>
      </c>
      <c r="G473" s="133"/>
      <c r="H473" s="129"/>
    </row>
    <row r="474" spans="1:8" x14ac:dyDescent="0.45">
      <c r="A474" s="130">
        <v>523</v>
      </c>
      <c r="B474" s="131" t="s">
        <v>561</v>
      </c>
      <c r="C474" s="131">
        <v>32</v>
      </c>
      <c r="D474" s="131">
        <v>8</v>
      </c>
      <c r="E474" s="131">
        <v>11</v>
      </c>
      <c r="F474" s="131" t="str">
        <f t="shared" ref="F474:F537" si="6">A474&amp;E474</f>
        <v>52311</v>
      </c>
      <c r="G474" s="133" t="s">
        <v>516</v>
      </c>
      <c r="H474" s="129"/>
    </row>
    <row r="475" spans="1:8" x14ac:dyDescent="0.45">
      <c r="A475" s="130">
        <v>523</v>
      </c>
      <c r="B475" s="131" t="s">
        <v>561</v>
      </c>
      <c r="C475" s="131">
        <v>32</v>
      </c>
      <c r="D475" s="131">
        <v>8</v>
      </c>
      <c r="E475" s="131">
        <v>12</v>
      </c>
      <c r="F475" s="131" t="str">
        <f t="shared" si="6"/>
        <v>52312</v>
      </c>
      <c r="G475" s="133" t="s">
        <v>517</v>
      </c>
      <c r="H475" s="129"/>
    </row>
    <row r="476" spans="1:8" x14ac:dyDescent="0.45">
      <c r="A476" s="130">
        <v>523</v>
      </c>
      <c r="B476" s="131" t="s">
        <v>561</v>
      </c>
      <c r="C476" s="131">
        <v>32</v>
      </c>
      <c r="D476" s="131">
        <v>8</v>
      </c>
      <c r="E476" s="131">
        <v>4</v>
      </c>
      <c r="F476" s="131" t="str">
        <f t="shared" si="6"/>
        <v>5234</v>
      </c>
      <c r="G476" s="133" t="s">
        <v>198</v>
      </c>
      <c r="H476" s="129"/>
    </row>
    <row r="477" spans="1:8" x14ac:dyDescent="0.45">
      <c r="A477" s="130">
        <v>523</v>
      </c>
      <c r="B477" s="131" t="s">
        <v>561</v>
      </c>
      <c r="C477" s="131">
        <v>32</v>
      </c>
      <c r="D477" s="131">
        <v>8</v>
      </c>
      <c r="E477" s="131">
        <v>102</v>
      </c>
      <c r="F477" s="131" t="str">
        <f t="shared" si="6"/>
        <v>523102</v>
      </c>
      <c r="G477" s="133" t="s">
        <v>562</v>
      </c>
      <c r="H477" s="129"/>
    </row>
    <row r="478" spans="1:8" x14ac:dyDescent="0.45">
      <c r="A478" s="130">
        <v>523</v>
      </c>
      <c r="B478" s="131" t="s">
        <v>561</v>
      </c>
      <c r="C478" s="131">
        <v>32</v>
      </c>
      <c r="D478" s="131">
        <v>8</v>
      </c>
      <c r="E478" s="131">
        <v>999</v>
      </c>
      <c r="F478" s="131" t="str">
        <f t="shared" si="6"/>
        <v>523999</v>
      </c>
      <c r="G478" s="133" t="s">
        <v>503</v>
      </c>
      <c r="H478" s="129"/>
    </row>
    <row r="479" spans="1:8" x14ac:dyDescent="0.45">
      <c r="A479" s="130">
        <v>524</v>
      </c>
      <c r="B479" s="131" t="s">
        <v>563</v>
      </c>
      <c r="C479" s="131">
        <v>32</v>
      </c>
      <c r="D479" s="131">
        <v>8</v>
      </c>
      <c r="E479" s="131"/>
      <c r="F479" s="131" t="str">
        <f t="shared" si="6"/>
        <v>524</v>
      </c>
      <c r="G479" s="133"/>
      <c r="H479" s="129"/>
    </row>
    <row r="480" spans="1:8" x14ac:dyDescent="0.45">
      <c r="A480" s="130">
        <v>525</v>
      </c>
      <c r="B480" s="131" t="s">
        <v>564</v>
      </c>
      <c r="C480" s="131">
        <v>30</v>
      </c>
      <c r="D480" s="131"/>
      <c r="E480" s="131"/>
      <c r="F480" s="131" t="str">
        <f t="shared" si="6"/>
        <v>525</v>
      </c>
      <c r="G480" s="133"/>
      <c r="H480" s="129"/>
    </row>
    <row r="481" spans="1:8" x14ac:dyDescent="0.45">
      <c r="A481" s="130">
        <v>526</v>
      </c>
      <c r="B481" s="131" t="s">
        <v>565</v>
      </c>
      <c r="C481" s="131">
        <v>32</v>
      </c>
      <c r="D481" s="131">
        <v>8</v>
      </c>
      <c r="E481" s="131">
        <v>100</v>
      </c>
      <c r="F481" s="131" t="str">
        <f t="shared" si="6"/>
        <v>526100</v>
      </c>
      <c r="G481" s="133" t="s">
        <v>518</v>
      </c>
      <c r="H481" s="129"/>
    </row>
    <row r="482" spans="1:8" x14ac:dyDescent="0.45">
      <c r="A482" s="130">
        <v>526</v>
      </c>
      <c r="B482" s="131" t="s">
        <v>565</v>
      </c>
      <c r="C482" s="131">
        <v>32</v>
      </c>
      <c r="D482" s="131">
        <v>8</v>
      </c>
      <c r="E482" s="131">
        <v>101</v>
      </c>
      <c r="F482" s="131" t="str">
        <f t="shared" si="6"/>
        <v>526101</v>
      </c>
      <c r="G482" s="133" t="s">
        <v>521</v>
      </c>
      <c r="H482" s="129"/>
    </row>
    <row r="483" spans="1:8" x14ac:dyDescent="0.45">
      <c r="A483" s="130">
        <v>526</v>
      </c>
      <c r="B483" s="131" t="s">
        <v>565</v>
      </c>
      <c r="C483" s="131">
        <v>32</v>
      </c>
      <c r="D483" s="131">
        <v>8</v>
      </c>
      <c r="E483" s="131">
        <v>11</v>
      </c>
      <c r="F483" s="131" t="str">
        <f t="shared" si="6"/>
        <v>52611</v>
      </c>
      <c r="G483" s="133" t="s">
        <v>516</v>
      </c>
      <c r="H483" s="129"/>
    </row>
    <row r="484" spans="1:8" x14ac:dyDescent="0.45">
      <c r="A484" s="130">
        <v>526</v>
      </c>
      <c r="B484" s="131" t="s">
        <v>565</v>
      </c>
      <c r="C484" s="131">
        <v>32</v>
      </c>
      <c r="D484" s="131">
        <v>8</v>
      </c>
      <c r="E484" s="131">
        <v>111</v>
      </c>
      <c r="F484" s="131" t="str">
        <f t="shared" si="6"/>
        <v>526111</v>
      </c>
      <c r="G484" s="133" t="s">
        <v>522</v>
      </c>
      <c r="H484" s="129"/>
    </row>
    <row r="485" spans="1:8" x14ac:dyDescent="0.45">
      <c r="A485" s="130">
        <v>526</v>
      </c>
      <c r="B485" s="131" t="s">
        <v>565</v>
      </c>
      <c r="C485" s="131">
        <v>32</v>
      </c>
      <c r="D485" s="131">
        <v>8</v>
      </c>
      <c r="E485" s="131">
        <v>12</v>
      </c>
      <c r="F485" s="131" t="str">
        <f t="shared" si="6"/>
        <v>52612</v>
      </c>
      <c r="G485" s="133" t="s">
        <v>517</v>
      </c>
      <c r="H485" s="129"/>
    </row>
    <row r="486" spans="1:8" x14ac:dyDescent="0.45">
      <c r="A486" s="130">
        <v>526</v>
      </c>
      <c r="B486" s="131" t="s">
        <v>565</v>
      </c>
      <c r="C486" s="131">
        <v>32</v>
      </c>
      <c r="D486" s="131">
        <v>8</v>
      </c>
      <c r="E486" s="131">
        <v>999</v>
      </c>
      <c r="F486" s="131" t="str">
        <f t="shared" si="6"/>
        <v>526999</v>
      </c>
      <c r="G486" s="133" t="s">
        <v>503</v>
      </c>
      <c r="H486" s="129"/>
    </row>
    <row r="487" spans="1:8" x14ac:dyDescent="0.45">
      <c r="A487" s="130">
        <v>526</v>
      </c>
      <c r="B487" s="131" t="s">
        <v>565</v>
      </c>
      <c r="C487" s="131">
        <v>81</v>
      </c>
      <c r="D487" s="131"/>
      <c r="E487" s="131">
        <v>4</v>
      </c>
      <c r="F487" s="131" t="str">
        <f t="shared" si="6"/>
        <v>5264</v>
      </c>
      <c r="G487" s="133" t="s">
        <v>198</v>
      </c>
      <c r="H487" s="129"/>
    </row>
    <row r="488" spans="1:8" x14ac:dyDescent="0.45">
      <c r="A488" s="130">
        <v>527</v>
      </c>
      <c r="B488" s="131" t="s">
        <v>566</v>
      </c>
      <c r="C488" s="131">
        <v>81</v>
      </c>
      <c r="D488" s="131"/>
      <c r="E488" s="131">
        <v>1</v>
      </c>
      <c r="F488" s="131" t="str">
        <f t="shared" si="6"/>
        <v>5271</v>
      </c>
      <c r="G488" s="133" t="s">
        <v>567</v>
      </c>
      <c r="H488" s="129"/>
    </row>
    <row r="489" spans="1:8" x14ac:dyDescent="0.45">
      <c r="A489" s="130">
        <v>527</v>
      </c>
      <c r="B489" s="131" t="s">
        <v>566</v>
      </c>
      <c r="C489" s="131">
        <v>81</v>
      </c>
      <c r="D489" s="131"/>
      <c r="E489" s="131">
        <v>2</v>
      </c>
      <c r="F489" s="131" t="str">
        <f t="shared" si="6"/>
        <v>5272</v>
      </c>
      <c r="G489" s="133" t="s">
        <v>568</v>
      </c>
      <c r="H489" s="129"/>
    </row>
    <row r="490" spans="1:8" x14ac:dyDescent="0.45">
      <c r="A490" s="130">
        <v>527</v>
      </c>
      <c r="B490" s="131" t="s">
        <v>566</v>
      </c>
      <c r="C490" s="131">
        <v>81</v>
      </c>
      <c r="D490" s="131"/>
      <c r="E490" s="131">
        <v>3</v>
      </c>
      <c r="F490" s="131" t="str">
        <f t="shared" si="6"/>
        <v>5273</v>
      </c>
      <c r="G490" s="133" t="s">
        <v>569</v>
      </c>
      <c r="H490" s="129"/>
    </row>
    <row r="491" spans="1:8" x14ac:dyDescent="0.45">
      <c r="A491" s="130">
        <v>527</v>
      </c>
      <c r="B491" s="131" t="s">
        <v>566</v>
      </c>
      <c r="C491" s="131">
        <v>81</v>
      </c>
      <c r="D491" s="131"/>
      <c r="E491" s="131">
        <v>4</v>
      </c>
      <c r="F491" s="131" t="str">
        <f t="shared" si="6"/>
        <v>5274</v>
      </c>
      <c r="G491" s="133" t="s">
        <v>570</v>
      </c>
      <c r="H491" s="129"/>
    </row>
    <row r="492" spans="1:8" x14ac:dyDescent="0.45">
      <c r="A492" s="130">
        <v>527</v>
      </c>
      <c r="B492" s="131" t="s">
        <v>566</v>
      </c>
      <c r="C492" s="131">
        <v>81</v>
      </c>
      <c r="D492" s="131"/>
      <c r="E492" s="131">
        <v>5</v>
      </c>
      <c r="F492" s="131" t="str">
        <f t="shared" si="6"/>
        <v>5275</v>
      </c>
      <c r="G492" s="133" t="s">
        <v>571</v>
      </c>
      <c r="H492" s="129"/>
    </row>
    <row r="493" spans="1:8" x14ac:dyDescent="0.45">
      <c r="A493" s="130">
        <v>527</v>
      </c>
      <c r="B493" s="131" t="s">
        <v>566</v>
      </c>
      <c r="C493" s="131">
        <v>81</v>
      </c>
      <c r="D493" s="131"/>
      <c r="E493" s="131">
        <v>6</v>
      </c>
      <c r="F493" s="131" t="str">
        <f t="shared" si="6"/>
        <v>5276</v>
      </c>
      <c r="G493" s="133" t="s">
        <v>572</v>
      </c>
      <c r="H493" s="129"/>
    </row>
    <row r="494" spans="1:8" x14ac:dyDescent="0.45">
      <c r="A494" s="130">
        <v>527</v>
      </c>
      <c r="B494" s="131" t="s">
        <v>566</v>
      </c>
      <c r="C494" s="131">
        <v>81</v>
      </c>
      <c r="D494" s="131"/>
      <c r="E494" s="131">
        <v>7</v>
      </c>
      <c r="F494" s="131" t="str">
        <f t="shared" si="6"/>
        <v>5277</v>
      </c>
      <c r="G494" s="133" t="s">
        <v>573</v>
      </c>
      <c r="H494" s="129"/>
    </row>
    <row r="495" spans="1:8" x14ac:dyDescent="0.45">
      <c r="A495" s="130">
        <v>527</v>
      </c>
      <c r="B495" s="131" t="s">
        <v>566</v>
      </c>
      <c r="C495" s="131">
        <v>81</v>
      </c>
      <c r="D495" s="131"/>
      <c r="E495" s="131">
        <v>8</v>
      </c>
      <c r="F495" s="131" t="str">
        <f t="shared" si="6"/>
        <v>5278</v>
      </c>
      <c r="G495" s="133" t="s">
        <v>574</v>
      </c>
      <c r="H495" s="129"/>
    </row>
    <row r="496" spans="1:8" x14ac:dyDescent="0.45">
      <c r="A496" s="130">
        <v>527</v>
      </c>
      <c r="B496" s="131" t="s">
        <v>566</v>
      </c>
      <c r="C496" s="131">
        <v>81</v>
      </c>
      <c r="D496" s="131"/>
      <c r="E496" s="131">
        <v>9</v>
      </c>
      <c r="F496" s="131" t="str">
        <f t="shared" si="6"/>
        <v>5279</v>
      </c>
      <c r="G496" s="133" t="s">
        <v>575</v>
      </c>
      <c r="H496" s="129"/>
    </row>
    <row r="497" spans="1:8" x14ac:dyDescent="0.45">
      <c r="A497" s="130">
        <v>527</v>
      </c>
      <c r="B497" s="131" t="s">
        <v>566</v>
      </c>
      <c r="C497" s="131">
        <v>81</v>
      </c>
      <c r="D497" s="131"/>
      <c r="E497" s="131">
        <v>10</v>
      </c>
      <c r="F497" s="131" t="str">
        <f t="shared" si="6"/>
        <v>52710</v>
      </c>
      <c r="G497" s="133" t="s">
        <v>576</v>
      </c>
      <c r="H497" s="129"/>
    </row>
    <row r="498" spans="1:8" x14ac:dyDescent="0.45">
      <c r="A498" s="130">
        <v>527</v>
      </c>
      <c r="B498" s="131" t="s">
        <v>566</v>
      </c>
      <c r="C498" s="131">
        <v>81</v>
      </c>
      <c r="D498" s="131"/>
      <c r="E498" s="131">
        <v>11</v>
      </c>
      <c r="F498" s="131" t="str">
        <f t="shared" si="6"/>
        <v>52711</v>
      </c>
      <c r="G498" s="133" t="s">
        <v>577</v>
      </c>
      <c r="H498" s="129"/>
    </row>
    <row r="499" spans="1:8" x14ac:dyDescent="0.45">
      <c r="A499" s="130">
        <v>527</v>
      </c>
      <c r="B499" s="131" t="s">
        <v>566</v>
      </c>
      <c r="C499" s="131">
        <v>81</v>
      </c>
      <c r="D499" s="131"/>
      <c r="E499" s="131">
        <v>21</v>
      </c>
      <c r="F499" s="131" t="str">
        <f t="shared" si="6"/>
        <v>52721</v>
      </c>
      <c r="G499" s="133" t="s">
        <v>213</v>
      </c>
      <c r="H499" s="129"/>
    </row>
    <row r="500" spans="1:8" x14ac:dyDescent="0.45">
      <c r="A500" s="130">
        <v>527</v>
      </c>
      <c r="B500" s="131" t="s">
        <v>566</v>
      </c>
      <c r="C500" s="131">
        <v>81</v>
      </c>
      <c r="D500" s="131"/>
      <c r="E500" s="131">
        <v>22</v>
      </c>
      <c r="F500" s="131" t="str">
        <f t="shared" si="6"/>
        <v>52722</v>
      </c>
      <c r="G500" s="133" t="s">
        <v>578</v>
      </c>
      <c r="H500" s="129"/>
    </row>
    <row r="501" spans="1:8" x14ac:dyDescent="0.45">
      <c r="A501" s="130">
        <v>527</v>
      </c>
      <c r="B501" s="131" t="s">
        <v>566</v>
      </c>
      <c r="C501" s="131">
        <v>81</v>
      </c>
      <c r="D501" s="131"/>
      <c r="E501" s="131">
        <v>44</v>
      </c>
      <c r="F501" s="131" t="str">
        <f t="shared" si="6"/>
        <v>52744</v>
      </c>
      <c r="G501" s="133" t="s">
        <v>198</v>
      </c>
      <c r="H501" s="129"/>
    </row>
    <row r="502" spans="1:8" x14ac:dyDescent="0.45">
      <c r="A502" s="130">
        <v>528</v>
      </c>
      <c r="B502" s="131" t="s">
        <v>579</v>
      </c>
      <c r="C502" s="131">
        <v>81</v>
      </c>
      <c r="D502" s="131"/>
      <c r="E502" s="131">
        <v>0</v>
      </c>
      <c r="F502" s="131" t="str">
        <f t="shared" si="6"/>
        <v>5280</v>
      </c>
      <c r="G502" s="133"/>
      <c r="H502" s="129"/>
    </row>
    <row r="503" spans="1:8" x14ac:dyDescent="0.45">
      <c r="A503" s="130">
        <v>529</v>
      </c>
      <c r="B503" s="131" t="s">
        <v>580</v>
      </c>
      <c r="C503" s="131"/>
      <c r="D503" s="131"/>
      <c r="E503" s="131">
        <v>4</v>
      </c>
      <c r="F503" s="131" t="str">
        <f>A503&amp;E503</f>
        <v>5294</v>
      </c>
      <c r="G503" s="133" t="s">
        <v>198</v>
      </c>
      <c r="H503" s="129"/>
    </row>
    <row r="504" spans="1:8" x14ac:dyDescent="0.45">
      <c r="A504" s="130">
        <v>529</v>
      </c>
      <c r="B504" s="131" t="s">
        <v>580</v>
      </c>
      <c r="C504" s="131">
        <v>32</v>
      </c>
      <c r="D504" s="131">
        <v>8</v>
      </c>
      <c r="E504" s="131">
        <v>100</v>
      </c>
      <c r="F504" s="131" t="str">
        <f t="shared" si="6"/>
        <v>529100</v>
      </c>
      <c r="G504" s="133" t="s">
        <v>518</v>
      </c>
      <c r="H504" s="129"/>
    </row>
    <row r="505" spans="1:8" x14ac:dyDescent="0.45">
      <c r="A505" s="130">
        <v>529</v>
      </c>
      <c r="B505" s="131" t="s">
        <v>580</v>
      </c>
      <c r="C505" s="131">
        <v>32</v>
      </c>
      <c r="D505" s="131">
        <v>8</v>
      </c>
      <c r="E505" s="131">
        <v>101</v>
      </c>
      <c r="F505" s="131" t="str">
        <f t="shared" si="6"/>
        <v>529101</v>
      </c>
      <c r="G505" s="133" t="s">
        <v>521</v>
      </c>
      <c r="H505" s="129"/>
    </row>
    <row r="506" spans="1:8" x14ac:dyDescent="0.45">
      <c r="A506" s="130">
        <v>529</v>
      </c>
      <c r="B506" s="131" t="s">
        <v>580</v>
      </c>
      <c r="C506" s="131">
        <v>32</v>
      </c>
      <c r="D506" s="131">
        <v>8</v>
      </c>
      <c r="E506" s="131">
        <v>111</v>
      </c>
      <c r="F506" s="131" t="str">
        <f>A506&amp;E506</f>
        <v>529111</v>
      </c>
      <c r="G506" s="133" t="s">
        <v>581</v>
      </c>
      <c r="H506" s="129"/>
    </row>
    <row r="507" spans="1:8" x14ac:dyDescent="0.45">
      <c r="A507" s="130">
        <v>529</v>
      </c>
      <c r="B507" s="131" t="s">
        <v>580</v>
      </c>
      <c r="C507" s="131">
        <v>32</v>
      </c>
      <c r="D507" s="131">
        <v>8</v>
      </c>
      <c r="E507" s="131">
        <v>11</v>
      </c>
      <c r="F507" s="131" t="str">
        <f t="shared" si="6"/>
        <v>52911</v>
      </c>
      <c r="G507" s="133" t="s">
        <v>516</v>
      </c>
      <c r="H507" s="129"/>
    </row>
    <row r="508" spans="1:8" x14ac:dyDescent="0.45">
      <c r="A508" s="130">
        <v>529</v>
      </c>
      <c r="B508" s="131" t="s">
        <v>580</v>
      </c>
      <c r="C508" s="131">
        <v>32</v>
      </c>
      <c r="D508" s="131">
        <v>8</v>
      </c>
      <c r="E508" s="131">
        <v>12</v>
      </c>
      <c r="F508" s="131" t="str">
        <f t="shared" si="6"/>
        <v>52912</v>
      </c>
      <c r="G508" s="133" t="s">
        <v>517</v>
      </c>
      <c r="H508" s="129"/>
    </row>
    <row r="509" spans="1:8" x14ac:dyDescent="0.45">
      <c r="A509" s="130">
        <v>529</v>
      </c>
      <c r="B509" s="131" t="s">
        <v>580</v>
      </c>
      <c r="C509" s="131">
        <v>32</v>
      </c>
      <c r="D509" s="131">
        <v>8</v>
      </c>
      <c r="E509" s="131">
        <v>999</v>
      </c>
      <c r="F509" s="131" t="str">
        <f t="shared" si="6"/>
        <v>529999</v>
      </c>
      <c r="G509" s="133" t="s">
        <v>503</v>
      </c>
      <c r="H509" s="129"/>
    </row>
    <row r="510" spans="1:8" x14ac:dyDescent="0.45">
      <c r="A510" s="130">
        <v>529</v>
      </c>
      <c r="B510" s="131" t="s">
        <v>580</v>
      </c>
      <c r="C510" s="131">
        <v>31</v>
      </c>
      <c r="D510" s="131">
        <v>8</v>
      </c>
      <c r="E510" s="131">
        <v>2401</v>
      </c>
      <c r="F510" s="131" t="str">
        <f t="shared" si="6"/>
        <v>5292401</v>
      </c>
      <c r="G510" s="133" t="s">
        <v>524</v>
      </c>
      <c r="H510" s="129"/>
    </row>
    <row r="511" spans="1:8" x14ac:dyDescent="0.45">
      <c r="A511" s="130">
        <v>529</v>
      </c>
      <c r="B511" s="131" t="s">
        <v>580</v>
      </c>
      <c r="C511" s="131">
        <v>31</v>
      </c>
      <c r="D511" s="131">
        <v>8</v>
      </c>
      <c r="E511" s="131">
        <v>3001</v>
      </c>
      <c r="F511" s="131" t="str">
        <f t="shared" si="6"/>
        <v>5293001</v>
      </c>
      <c r="G511" s="133" t="s">
        <v>525</v>
      </c>
    </row>
    <row r="512" spans="1:8" x14ac:dyDescent="0.45">
      <c r="A512" s="130">
        <v>529</v>
      </c>
      <c r="B512" s="131" t="s">
        <v>580</v>
      </c>
      <c r="C512" s="131">
        <v>31</v>
      </c>
      <c r="D512" s="131">
        <v>8</v>
      </c>
      <c r="E512" s="131">
        <v>3201</v>
      </c>
      <c r="F512" s="131" t="str">
        <f t="shared" si="6"/>
        <v>5293201</v>
      </c>
      <c r="G512" s="133" t="s">
        <v>582</v>
      </c>
    </row>
    <row r="513" spans="1:7" x14ac:dyDescent="0.45">
      <c r="A513" s="130">
        <v>529</v>
      </c>
      <c r="B513" s="131" t="s">
        <v>580</v>
      </c>
      <c r="C513" s="131">
        <v>31</v>
      </c>
      <c r="D513" s="131">
        <v>8</v>
      </c>
      <c r="E513" s="131">
        <v>4801</v>
      </c>
      <c r="F513" s="131" t="str">
        <f t="shared" si="6"/>
        <v>5294801</v>
      </c>
      <c r="G513" s="133" t="s">
        <v>554</v>
      </c>
    </row>
    <row r="514" spans="1:7" x14ac:dyDescent="0.45">
      <c r="A514" s="130">
        <v>529</v>
      </c>
      <c r="B514" s="131" t="s">
        <v>580</v>
      </c>
      <c r="C514" s="131">
        <v>31</v>
      </c>
      <c r="D514" s="131">
        <v>8</v>
      </c>
      <c r="E514" s="131">
        <v>6601</v>
      </c>
      <c r="F514" s="131" t="str">
        <f t="shared" si="6"/>
        <v>5296601</v>
      </c>
      <c r="G514" s="133" t="s">
        <v>183</v>
      </c>
    </row>
    <row r="515" spans="1:7" x14ac:dyDescent="0.45">
      <c r="A515" s="130">
        <v>529</v>
      </c>
      <c r="B515" s="131" t="s">
        <v>580</v>
      </c>
      <c r="C515" s="131">
        <v>31</v>
      </c>
      <c r="D515" s="131">
        <v>8</v>
      </c>
      <c r="E515" s="131">
        <v>7001</v>
      </c>
      <c r="F515" s="131" t="str">
        <f t="shared" si="6"/>
        <v>5297001</v>
      </c>
      <c r="G515" s="133" t="s">
        <v>583</v>
      </c>
    </row>
    <row r="516" spans="1:7" x14ac:dyDescent="0.45">
      <c r="A516" s="130">
        <v>529</v>
      </c>
      <c r="B516" s="131" t="s">
        <v>580</v>
      </c>
      <c r="C516" s="131">
        <v>31</v>
      </c>
      <c r="D516" s="131">
        <v>8</v>
      </c>
      <c r="E516" s="131">
        <v>8001</v>
      </c>
      <c r="F516" s="131" t="str">
        <f t="shared" si="6"/>
        <v>5298001</v>
      </c>
      <c r="G516" s="133" t="s">
        <v>584</v>
      </c>
    </row>
    <row r="517" spans="1:7" x14ac:dyDescent="0.45">
      <c r="A517" s="130">
        <v>529</v>
      </c>
      <c r="B517" s="131" t="s">
        <v>580</v>
      </c>
      <c r="C517" s="131">
        <v>31</v>
      </c>
      <c r="D517" s="131">
        <v>8</v>
      </c>
      <c r="E517" s="131">
        <v>9991</v>
      </c>
      <c r="F517" s="131" t="str">
        <f t="shared" si="6"/>
        <v>5299991</v>
      </c>
      <c r="G517" s="133" t="s">
        <v>530</v>
      </c>
    </row>
    <row r="518" spans="1:7" x14ac:dyDescent="0.45">
      <c r="A518" s="130">
        <v>529</v>
      </c>
      <c r="B518" s="131" t="s">
        <v>580</v>
      </c>
      <c r="C518" s="131">
        <v>31</v>
      </c>
      <c r="D518" s="131">
        <v>8</v>
      </c>
      <c r="E518" s="131">
        <v>9992</v>
      </c>
      <c r="F518" s="131" t="str">
        <f t="shared" si="6"/>
        <v>5299992</v>
      </c>
      <c r="G518" s="133" t="s">
        <v>531</v>
      </c>
    </row>
    <row r="519" spans="1:7" x14ac:dyDescent="0.45">
      <c r="A519" s="130">
        <v>529</v>
      </c>
      <c r="B519" s="131" t="s">
        <v>580</v>
      </c>
      <c r="C519" s="131">
        <v>31</v>
      </c>
      <c r="D519" s="131">
        <v>8</v>
      </c>
      <c r="E519" s="131">
        <v>9998</v>
      </c>
      <c r="F519" s="131" t="str">
        <f>A519&amp;E519</f>
        <v>5299998</v>
      </c>
      <c r="G519" s="133" t="s">
        <v>557</v>
      </c>
    </row>
    <row r="520" spans="1:7" x14ac:dyDescent="0.45">
      <c r="A520" s="130">
        <v>530</v>
      </c>
      <c r="B520" s="131" t="s">
        <v>585</v>
      </c>
      <c r="C520" s="131">
        <v>32</v>
      </c>
      <c r="D520" s="131">
        <v>8</v>
      </c>
      <c r="E520" s="131">
        <v>3</v>
      </c>
      <c r="F520" s="131" t="str">
        <f t="shared" si="6"/>
        <v>5303</v>
      </c>
      <c r="G520" s="133" t="s">
        <v>586</v>
      </c>
    </row>
    <row r="521" spans="1:7" x14ac:dyDescent="0.45">
      <c r="A521" s="130">
        <v>530</v>
      </c>
      <c r="B521" s="131" t="s">
        <v>585</v>
      </c>
      <c r="C521" s="131">
        <v>32</v>
      </c>
      <c r="D521" s="131">
        <v>8</v>
      </c>
      <c r="E521" s="131">
        <v>4</v>
      </c>
      <c r="F521" s="131" t="str">
        <f t="shared" si="6"/>
        <v>5304</v>
      </c>
      <c r="G521" s="133" t="s">
        <v>198</v>
      </c>
    </row>
    <row r="522" spans="1:7" x14ac:dyDescent="0.45">
      <c r="A522" s="130">
        <v>530</v>
      </c>
      <c r="B522" s="131" t="s">
        <v>585</v>
      </c>
      <c r="C522" s="131">
        <v>32</v>
      </c>
      <c r="D522" s="131">
        <v>8</v>
      </c>
      <c r="E522" s="131">
        <v>11</v>
      </c>
      <c r="F522" s="131" t="str">
        <f>A522&amp;E522</f>
        <v>53011</v>
      </c>
      <c r="G522" s="133" t="s">
        <v>516</v>
      </c>
    </row>
    <row r="523" spans="1:7" x14ac:dyDescent="0.45">
      <c r="A523" s="130">
        <v>530</v>
      </c>
      <c r="B523" s="131" t="s">
        <v>585</v>
      </c>
      <c r="C523" s="131">
        <v>32</v>
      </c>
      <c r="D523" s="131">
        <v>8</v>
      </c>
      <c r="E523" s="131">
        <v>12</v>
      </c>
      <c r="F523" s="131" t="str">
        <f>A523&amp;E523</f>
        <v>53012</v>
      </c>
      <c r="G523" s="133" t="s">
        <v>517</v>
      </c>
    </row>
    <row r="524" spans="1:7" x14ac:dyDescent="0.45">
      <c r="A524" s="130">
        <v>530</v>
      </c>
      <c r="B524" s="131" t="s">
        <v>585</v>
      </c>
      <c r="C524" s="131">
        <v>32</v>
      </c>
      <c r="D524" s="131">
        <v>8</v>
      </c>
      <c r="E524" s="131">
        <v>100</v>
      </c>
      <c r="F524" s="131" t="str">
        <f>A524&amp;E524</f>
        <v>530100</v>
      </c>
      <c r="G524" s="133" t="s">
        <v>518</v>
      </c>
    </row>
    <row r="525" spans="1:7" x14ac:dyDescent="0.45">
      <c r="A525" s="130">
        <v>530</v>
      </c>
      <c r="B525" s="131" t="s">
        <v>585</v>
      </c>
      <c r="C525" s="131">
        <v>32</v>
      </c>
      <c r="D525" s="131">
        <v>8</v>
      </c>
      <c r="E525" s="131">
        <v>101</v>
      </c>
      <c r="F525" s="131" t="str">
        <f>A525&amp;E525</f>
        <v>530101</v>
      </c>
      <c r="G525" s="133" t="s">
        <v>521</v>
      </c>
    </row>
    <row r="526" spans="1:7" x14ac:dyDescent="0.45">
      <c r="A526" s="130">
        <v>530</v>
      </c>
      <c r="B526" s="131" t="s">
        <v>585</v>
      </c>
      <c r="C526" s="131">
        <v>32</v>
      </c>
      <c r="D526" s="131">
        <v>8</v>
      </c>
      <c r="E526" s="131">
        <v>111</v>
      </c>
      <c r="F526" s="131" t="str">
        <f>A526&amp;E526</f>
        <v>530111</v>
      </c>
      <c r="G526" s="133" t="s">
        <v>522</v>
      </c>
    </row>
    <row r="527" spans="1:7" x14ac:dyDescent="0.45">
      <c r="A527" s="130">
        <v>530</v>
      </c>
      <c r="B527" s="131" t="s">
        <v>585</v>
      </c>
      <c r="C527" s="131">
        <v>32</v>
      </c>
      <c r="D527" s="131">
        <v>8</v>
      </c>
      <c r="E527" s="131">
        <v>999</v>
      </c>
      <c r="F527" s="131" t="str">
        <f t="shared" si="6"/>
        <v>530999</v>
      </c>
      <c r="G527" s="133" t="s">
        <v>503</v>
      </c>
    </row>
    <row r="528" spans="1:7" x14ac:dyDescent="0.45">
      <c r="A528" s="135">
        <v>530</v>
      </c>
      <c r="B528" s="131" t="s">
        <v>585</v>
      </c>
      <c r="C528" s="136"/>
      <c r="D528" s="136"/>
      <c r="E528" s="136">
        <v>2401</v>
      </c>
      <c r="F528" s="137" t="str">
        <f>A528&amp;E528</f>
        <v>5302401</v>
      </c>
      <c r="G528" s="133" t="s">
        <v>524</v>
      </c>
    </row>
    <row r="529" spans="1:7" x14ac:dyDescent="0.45">
      <c r="A529" s="130">
        <v>531</v>
      </c>
      <c r="B529" s="131" t="s">
        <v>587</v>
      </c>
      <c r="C529" s="131">
        <v>32</v>
      </c>
      <c r="D529" s="131">
        <v>8</v>
      </c>
      <c r="E529" s="131">
        <v>4</v>
      </c>
      <c r="F529" s="131" t="str">
        <f>A529&amp;E529</f>
        <v>5314</v>
      </c>
      <c r="G529" s="133" t="s">
        <v>198</v>
      </c>
    </row>
    <row r="530" spans="1:7" x14ac:dyDescent="0.45">
      <c r="A530" s="130">
        <v>531</v>
      </c>
      <c r="B530" s="131" t="s">
        <v>587</v>
      </c>
      <c r="C530" s="131">
        <v>32</v>
      </c>
      <c r="D530" s="131">
        <v>8</v>
      </c>
      <c r="E530" s="131">
        <v>11</v>
      </c>
      <c r="F530" s="131" t="str">
        <f t="shared" si="6"/>
        <v>53111</v>
      </c>
      <c r="G530" s="133" t="s">
        <v>516</v>
      </c>
    </row>
    <row r="531" spans="1:7" x14ac:dyDescent="0.45">
      <c r="A531" s="130">
        <v>531</v>
      </c>
      <c r="B531" s="131" t="s">
        <v>587</v>
      </c>
      <c r="C531" s="131">
        <v>32</v>
      </c>
      <c r="D531" s="131">
        <v>8</v>
      </c>
      <c r="E531" s="131">
        <v>12</v>
      </c>
      <c r="F531" s="131" t="str">
        <f t="shared" si="6"/>
        <v>53112</v>
      </c>
      <c r="G531" s="133" t="s">
        <v>517</v>
      </c>
    </row>
    <row r="532" spans="1:7" x14ac:dyDescent="0.45">
      <c r="A532" s="130">
        <v>531</v>
      </c>
      <c r="B532" s="131" t="s">
        <v>587</v>
      </c>
      <c r="C532" s="131">
        <v>32</v>
      </c>
      <c r="D532" s="131">
        <v>8</v>
      </c>
      <c r="E532" s="131">
        <v>100</v>
      </c>
      <c r="F532" s="131" t="str">
        <f>A532&amp;E532</f>
        <v>531100</v>
      </c>
      <c r="G532" s="133" t="s">
        <v>518</v>
      </c>
    </row>
    <row r="533" spans="1:7" x14ac:dyDescent="0.45">
      <c r="A533" s="130">
        <v>531</v>
      </c>
      <c r="B533" s="131" t="s">
        <v>587</v>
      </c>
      <c r="C533" s="131">
        <v>32</v>
      </c>
      <c r="D533" s="131">
        <v>8</v>
      </c>
      <c r="E533" s="131">
        <v>101</v>
      </c>
      <c r="F533" s="131" t="str">
        <f>A533&amp;E533</f>
        <v>531101</v>
      </c>
      <c r="G533" s="133" t="s">
        <v>521</v>
      </c>
    </row>
    <row r="534" spans="1:7" x14ac:dyDescent="0.45">
      <c r="A534" s="130">
        <v>531</v>
      </c>
      <c r="B534" s="131" t="s">
        <v>587</v>
      </c>
      <c r="C534" s="131">
        <v>32</v>
      </c>
      <c r="D534" s="131">
        <v>8</v>
      </c>
      <c r="E534" s="131">
        <v>111</v>
      </c>
      <c r="F534" s="131" t="str">
        <f>A534&amp;E534</f>
        <v>531111</v>
      </c>
      <c r="G534" s="133" t="s">
        <v>522</v>
      </c>
    </row>
    <row r="535" spans="1:7" x14ac:dyDescent="0.45">
      <c r="A535" s="130">
        <v>531</v>
      </c>
      <c r="B535" s="131" t="s">
        <v>587</v>
      </c>
      <c r="C535" s="131">
        <v>32</v>
      </c>
      <c r="D535" s="131">
        <v>8</v>
      </c>
      <c r="E535" s="131">
        <v>999</v>
      </c>
      <c r="F535" s="131" t="str">
        <f t="shared" si="6"/>
        <v>531999</v>
      </c>
      <c r="G535" s="133" t="s">
        <v>503</v>
      </c>
    </row>
    <row r="536" spans="1:7" x14ac:dyDescent="0.45">
      <c r="A536" s="130">
        <v>532</v>
      </c>
      <c r="B536" s="131" t="s">
        <v>588</v>
      </c>
      <c r="C536" s="131">
        <v>41</v>
      </c>
      <c r="D536" s="131">
        <v>8</v>
      </c>
      <c r="E536" s="131">
        <v>2401</v>
      </c>
      <c r="F536" s="131" t="str">
        <f t="shared" si="6"/>
        <v>5322401</v>
      </c>
      <c r="G536" s="133" t="s">
        <v>524</v>
      </c>
    </row>
    <row r="537" spans="1:7" x14ac:dyDescent="0.45">
      <c r="A537" s="130">
        <v>532</v>
      </c>
      <c r="B537" s="131" t="s">
        <v>588</v>
      </c>
      <c r="C537" s="131">
        <v>41</v>
      </c>
      <c r="D537" s="131">
        <v>8</v>
      </c>
      <c r="E537" s="131">
        <v>3001</v>
      </c>
      <c r="F537" s="131" t="str">
        <f t="shared" si="6"/>
        <v>5323001</v>
      </c>
      <c r="G537" s="133" t="s">
        <v>589</v>
      </c>
    </row>
    <row r="538" spans="1:7" x14ac:dyDescent="0.45">
      <c r="A538" s="130">
        <v>532</v>
      </c>
      <c r="B538" s="131" t="s">
        <v>588</v>
      </c>
      <c r="C538" s="131">
        <v>41</v>
      </c>
      <c r="D538" s="131">
        <v>8</v>
      </c>
      <c r="E538" s="131">
        <v>3201</v>
      </c>
      <c r="F538" s="131" t="str">
        <f t="shared" ref="F538:F548" si="7">A538&amp;E538</f>
        <v>5323201</v>
      </c>
      <c r="G538" s="133" t="s">
        <v>590</v>
      </c>
    </row>
    <row r="539" spans="1:7" x14ac:dyDescent="0.45">
      <c r="A539" s="130">
        <v>532</v>
      </c>
      <c r="B539" s="131" t="s">
        <v>588</v>
      </c>
      <c r="C539" s="131">
        <v>41</v>
      </c>
      <c r="D539" s="131">
        <v>8</v>
      </c>
      <c r="E539" s="131">
        <v>4801</v>
      </c>
      <c r="F539" s="131" t="str">
        <f t="shared" si="7"/>
        <v>5324801</v>
      </c>
      <c r="G539" s="133" t="s">
        <v>591</v>
      </c>
    </row>
    <row r="540" spans="1:7" x14ac:dyDescent="0.45">
      <c r="A540" s="130">
        <v>532</v>
      </c>
      <c r="B540" s="131" t="s">
        <v>588</v>
      </c>
      <c r="C540" s="131">
        <v>41</v>
      </c>
      <c r="D540" s="131">
        <v>8</v>
      </c>
      <c r="E540" s="131">
        <v>6601</v>
      </c>
      <c r="F540" s="131" t="str">
        <f t="shared" si="7"/>
        <v>5326601</v>
      </c>
      <c r="G540" s="133" t="s">
        <v>592</v>
      </c>
    </row>
    <row r="541" spans="1:7" x14ac:dyDescent="0.45">
      <c r="A541" s="130">
        <v>532</v>
      </c>
      <c r="B541" s="131" t="s">
        <v>588</v>
      </c>
      <c r="C541" s="131">
        <v>41</v>
      </c>
      <c r="D541" s="131">
        <v>8</v>
      </c>
      <c r="E541" s="131">
        <v>7001</v>
      </c>
      <c r="F541" s="131" t="str">
        <f t="shared" si="7"/>
        <v>5327001</v>
      </c>
      <c r="G541" s="133" t="s">
        <v>528</v>
      </c>
    </row>
    <row r="542" spans="1:7" x14ac:dyDescent="0.45">
      <c r="A542" s="130">
        <v>532</v>
      </c>
      <c r="B542" s="131" t="s">
        <v>588</v>
      </c>
      <c r="C542" s="131">
        <v>41</v>
      </c>
      <c r="D542" s="131">
        <v>8</v>
      </c>
      <c r="E542" s="131">
        <v>8001</v>
      </c>
      <c r="F542" s="131" t="str">
        <f t="shared" si="7"/>
        <v>5328001</v>
      </c>
      <c r="G542" s="133" t="s">
        <v>185</v>
      </c>
    </row>
    <row r="543" spans="1:7" x14ac:dyDescent="0.45">
      <c r="A543" s="130">
        <v>532</v>
      </c>
      <c r="B543" s="131" t="s">
        <v>588</v>
      </c>
      <c r="C543" s="131">
        <v>41</v>
      </c>
      <c r="D543" s="131">
        <v>8</v>
      </c>
      <c r="E543" s="131">
        <v>9991</v>
      </c>
      <c r="F543" s="131" t="str">
        <f t="shared" si="7"/>
        <v>5329991</v>
      </c>
      <c r="G543" s="133" t="s">
        <v>530</v>
      </c>
    </row>
    <row r="544" spans="1:7" x14ac:dyDescent="0.45">
      <c r="A544" s="130">
        <v>532</v>
      </c>
      <c r="B544" s="131" t="s">
        <v>588</v>
      </c>
      <c r="C544" s="131">
        <v>41</v>
      </c>
      <c r="D544" s="131">
        <v>8</v>
      </c>
      <c r="E544" s="131">
        <v>9992</v>
      </c>
      <c r="F544" s="131" t="str">
        <f t="shared" si="7"/>
        <v>5329992</v>
      </c>
      <c r="G544" s="133" t="s">
        <v>531</v>
      </c>
    </row>
    <row r="545" spans="1:7" x14ac:dyDescent="0.45">
      <c r="A545" s="130">
        <v>532</v>
      </c>
      <c r="B545" s="131" t="s">
        <v>588</v>
      </c>
      <c r="C545" s="131">
        <v>41</v>
      </c>
      <c r="D545" s="131">
        <v>8</v>
      </c>
      <c r="E545" s="131">
        <v>9998</v>
      </c>
      <c r="F545" s="131" t="str">
        <f>A545&amp;E545</f>
        <v>5329998</v>
      </c>
      <c r="G545" s="133" t="s">
        <v>557</v>
      </c>
    </row>
    <row r="546" spans="1:7" x14ac:dyDescent="0.45">
      <c r="A546" s="130">
        <v>533</v>
      </c>
      <c r="B546" s="131" t="s">
        <v>593</v>
      </c>
      <c r="C546" s="131">
        <v>81</v>
      </c>
      <c r="D546" s="131"/>
      <c r="E546" s="131">
        <v>4</v>
      </c>
      <c r="F546" s="131" t="str">
        <f>A546&amp;E546</f>
        <v>5334</v>
      </c>
      <c r="G546" s="133" t="s">
        <v>198</v>
      </c>
    </row>
    <row r="547" spans="1:7" x14ac:dyDescent="0.45">
      <c r="A547" s="130">
        <v>533</v>
      </c>
      <c r="B547" s="131" t="s">
        <v>593</v>
      </c>
      <c r="C547" s="131">
        <v>32</v>
      </c>
      <c r="D547" s="131">
        <v>5</v>
      </c>
      <c r="E547" s="131">
        <v>11</v>
      </c>
      <c r="F547" s="131" t="str">
        <f t="shared" si="7"/>
        <v>53311</v>
      </c>
      <c r="G547" s="133" t="s">
        <v>516</v>
      </c>
    </row>
    <row r="548" spans="1:7" x14ac:dyDescent="0.45">
      <c r="A548" s="130">
        <v>533</v>
      </c>
      <c r="B548" s="131" t="s">
        <v>593</v>
      </c>
      <c r="C548" s="131">
        <v>32</v>
      </c>
      <c r="D548" s="131">
        <v>8</v>
      </c>
      <c r="E548" s="131">
        <v>12</v>
      </c>
      <c r="F548" s="131" t="str">
        <f t="shared" si="7"/>
        <v>53312</v>
      </c>
      <c r="G548" s="133" t="s">
        <v>517</v>
      </c>
    </row>
    <row r="549" spans="1:7" x14ac:dyDescent="0.45">
      <c r="A549" s="130">
        <v>533</v>
      </c>
      <c r="B549" s="131" t="s">
        <v>593</v>
      </c>
      <c r="C549" s="131">
        <v>32</v>
      </c>
      <c r="D549" s="131">
        <v>5</v>
      </c>
      <c r="E549" s="131">
        <v>100</v>
      </c>
      <c r="F549" s="131" t="str">
        <f>A549&amp;E549</f>
        <v>533100</v>
      </c>
      <c r="G549" s="133" t="s">
        <v>518</v>
      </c>
    </row>
    <row r="550" spans="1:7" x14ac:dyDescent="0.45">
      <c r="A550" s="130">
        <v>533</v>
      </c>
      <c r="B550" s="131" t="s">
        <v>593</v>
      </c>
      <c r="C550" s="131">
        <v>32</v>
      </c>
      <c r="D550" s="131">
        <v>5</v>
      </c>
      <c r="E550" s="131">
        <v>999</v>
      </c>
      <c r="F550" s="131" t="str">
        <f>A550&amp;E550</f>
        <v>533999</v>
      </c>
      <c r="G550" s="133" t="s">
        <v>503</v>
      </c>
    </row>
    <row r="551" spans="1:7" x14ac:dyDescent="0.45">
      <c r="A551" s="130">
        <v>534</v>
      </c>
      <c r="B551" s="131" t="s">
        <v>594</v>
      </c>
      <c r="C551" s="131">
        <v>32</v>
      </c>
      <c r="D551" s="131">
        <v>5</v>
      </c>
      <c r="E551" s="131"/>
      <c r="F551" s="131" t="str">
        <f t="shared" ref="F551:F563" si="8">A551&amp;E551</f>
        <v>534</v>
      </c>
      <c r="G551" s="133"/>
    </row>
    <row r="552" spans="1:7" x14ac:dyDescent="0.45">
      <c r="A552" s="130">
        <v>536</v>
      </c>
      <c r="B552" s="131" t="s">
        <v>595</v>
      </c>
      <c r="C552" s="131">
        <v>32</v>
      </c>
      <c r="D552" s="131">
        <v>8</v>
      </c>
      <c r="E552" s="131"/>
      <c r="F552" s="131" t="str">
        <f t="shared" si="8"/>
        <v>536</v>
      </c>
      <c r="G552" s="133"/>
    </row>
    <row r="553" spans="1:7" x14ac:dyDescent="0.45">
      <c r="A553" s="130">
        <v>537</v>
      </c>
      <c r="B553" s="131" t="s">
        <v>596</v>
      </c>
      <c r="C553" s="131">
        <v>32</v>
      </c>
      <c r="D553" s="131">
        <v>5</v>
      </c>
      <c r="E553" s="131"/>
      <c r="F553" s="131" t="str">
        <f t="shared" si="8"/>
        <v>537</v>
      </c>
      <c r="G553" s="133"/>
    </row>
    <row r="554" spans="1:7" x14ac:dyDescent="0.45">
      <c r="A554" s="130">
        <v>538</v>
      </c>
      <c r="B554" s="131" t="s">
        <v>597</v>
      </c>
      <c r="C554" s="131">
        <v>32</v>
      </c>
      <c r="D554" s="131">
        <v>8</v>
      </c>
      <c r="E554" s="131"/>
      <c r="F554" s="131" t="str">
        <f t="shared" si="8"/>
        <v>538</v>
      </c>
      <c r="G554" s="133"/>
    </row>
    <row r="555" spans="1:7" x14ac:dyDescent="0.45">
      <c r="A555" s="130">
        <v>539</v>
      </c>
      <c r="B555" s="131" t="s">
        <v>598</v>
      </c>
      <c r="C555" s="131">
        <v>31</v>
      </c>
      <c r="D555" s="131">
        <v>8</v>
      </c>
      <c r="E555" s="131"/>
      <c r="F555" s="131" t="str">
        <f t="shared" si="8"/>
        <v>539</v>
      </c>
      <c r="G555" s="133"/>
    </row>
    <row r="556" spans="1:7" x14ac:dyDescent="0.45">
      <c r="A556" s="130">
        <v>604</v>
      </c>
      <c r="B556" s="131" t="s">
        <v>599</v>
      </c>
      <c r="C556" s="131">
        <v>1</v>
      </c>
      <c r="D556" s="131">
        <v>8</v>
      </c>
      <c r="E556" s="131"/>
      <c r="F556" s="131" t="str">
        <f t="shared" si="8"/>
        <v>604</v>
      </c>
      <c r="G556" s="133"/>
    </row>
    <row r="557" spans="1:7" x14ac:dyDescent="0.45">
      <c r="A557" s="130">
        <v>610</v>
      </c>
      <c r="B557" s="131" t="s">
        <v>600</v>
      </c>
      <c r="C557" s="131">
        <v>30</v>
      </c>
      <c r="D557" s="131"/>
      <c r="E557" s="131"/>
      <c r="F557" s="131" t="str">
        <f t="shared" si="8"/>
        <v>610</v>
      </c>
      <c r="G557" s="133"/>
    </row>
    <row r="558" spans="1:7" x14ac:dyDescent="0.45">
      <c r="A558" s="130">
        <v>612</v>
      </c>
      <c r="B558" s="131" t="s">
        <v>601</v>
      </c>
      <c r="C558" s="131">
        <v>81</v>
      </c>
      <c r="D558" s="131">
        <v>0</v>
      </c>
      <c r="E558" s="131"/>
      <c r="F558" s="131" t="str">
        <f>A558&amp;E558</f>
        <v>612</v>
      </c>
      <c r="G558" s="133"/>
    </row>
    <row r="559" spans="1:7" x14ac:dyDescent="0.45">
      <c r="A559" s="130">
        <v>614</v>
      </c>
      <c r="B559" s="131" t="s">
        <v>602</v>
      </c>
      <c r="C559" s="131">
        <v>32</v>
      </c>
      <c r="D559" s="131">
        <v>5</v>
      </c>
      <c r="E559" s="131"/>
      <c r="F559" s="131" t="str">
        <f t="shared" si="8"/>
        <v>614</v>
      </c>
      <c r="G559" s="133"/>
    </row>
    <row r="560" spans="1:7" x14ac:dyDescent="0.45">
      <c r="A560" s="130">
        <v>616</v>
      </c>
      <c r="B560" s="131" t="s">
        <v>603</v>
      </c>
      <c r="C560" s="131">
        <v>41</v>
      </c>
      <c r="D560" s="131">
        <v>8</v>
      </c>
      <c r="E560" s="131"/>
      <c r="F560" s="131" t="str">
        <f>A560&amp;E560</f>
        <v>616</v>
      </c>
      <c r="G560" s="133"/>
    </row>
    <row r="561" spans="1:7" x14ac:dyDescent="0.45">
      <c r="A561" s="130">
        <v>810</v>
      </c>
      <c r="B561" s="131" t="s">
        <v>604</v>
      </c>
      <c r="C561" s="131">
        <v>2</v>
      </c>
      <c r="D561" s="131">
        <v>8</v>
      </c>
      <c r="E561" s="131"/>
      <c r="F561" s="131" t="str">
        <f t="shared" si="8"/>
        <v>810</v>
      </c>
      <c r="G561" s="133"/>
    </row>
    <row r="562" spans="1:7" x14ac:dyDescent="0.45">
      <c r="A562" s="130">
        <v>815</v>
      </c>
      <c r="B562" s="131" t="s">
        <v>605</v>
      </c>
      <c r="C562" s="131">
        <v>12</v>
      </c>
      <c r="D562" s="131">
        <v>8</v>
      </c>
      <c r="E562" s="131"/>
      <c r="F562" s="131" t="str">
        <f t="shared" si="8"/>
        <v>815</v>
      </c>
      <c r="G562" s="133"/>
    </row>
    <row r="563" spans="1:7" x14ac:dyDescent="0.45">
      <c r="A563" s="138">
        <v>999</v>
      </c>
      <c r="B563" s="139" t="s">
        <v>606</v>
      </c>
      <c r="C563" s="139"/>
      <c r="D563" s="139"/>
      <c r="E563" s="139"/>
      <c r="F563" s="139" t="str">
        <f t="shared" si="8"/>
        <v>999</v>
      </c>
      <c r="G563" s="140"/>
    </row>
    <row r="564" spans="1:7" x14ac:dyDescent="0.45">
      <c r="A564" s="141">
        <v>713</v>
      </c>
      <c r="B564" s="142" t="s">
        <v>607</v>
      </c>
      <c r="C564" s="142"/>
      <c r="D564" s="142"/>
      <c r="E564" s="142"/>
      <c r="F564" s="143" t="str">
        <f>A564&amp;E564</f>
        <v>713</v>
      </c>
      <c r="G564" s="144"/>
    </row>
  </sheetData>
  <phoneticPr fontId="2"/>
  <pageMargins left="0.75" right="0" top="0.5" bottom="0.5" header="0.3" footer="0.3"/>
  <pageSetup paperSize="9" orientation="portrait" r:id="rId1"/>
  <headerFooter>
    <oddFooter>&amp;R©2024 SMS DataTech Corporation. All rights reserved.</oddFooter>
  </headerFooter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8"/>
  <sheetViews>
    <sheetView workbookViewId="0"/>
  </sheetViews>
  <sheetFormatPr defaultColWidth="8.09765625" defaultRowHeight="18" x14ac:dyDescent="0.45"/>
  <cols>
    <col min="1" max="1" width="10.59765625" style="129" customWidth="1"/>
    <col min="2" max="2" width="14.5" style="129" customWidth="1"/>
    <col min="3" max="3" width="10.59765625" style="129" customWidth="1"/>
    <col min="4" max="4" width="8.796875" style="129" customWidth="1"/>
    <col min="5" max="5" width="10.59765625" style="129" customWidth="1"/>
    <col min="6" max="6" width="8.09765625" style="129"/>
    <col min="7" max="7" width="19.796875" style="129" customWidth="1"/>
    <col min="8" max="8" width="8" style="134" customWidth="1"/>
    <col min="9" max="256" width="8.09765625" style="129"/>
    <col min="257" max="257" width="10.59765625" style="129" customWidth="1"/>
    <col min="258" max="258" width="14.5" style="129" customWidth="1"/>
    <col min="259" max="259" width="10.59765625" style="129" customWidth="1"/>
    <col min="260" max="260" width="8.796875" style="129" customWidth="1"/>
    <col min="261" max="261" width="10.59765625" style="129" customWidth="1"/>
    <col min="262" max="262" width="8.09765625" style="129"/>
    <col min="263" max="263" width="19.796875" style="129" customWidth="1"/>
    <col min="264" max="264" width="8" style="129" customWidth="1"/>
    <col min="265" max="512" width="8.09765625" style="129"/>
    <col min="513" max="513" width="10.59765625" style="129" customWidth="1"/>
    <col min="514" max="514" width="14.5" style="129" customWidth="1"/>
    <col min="515" max="515" width="10.59765625" style="129" customWidth="1"/>
    <col min="516" max="516" width="8.796875" style="129" customWidth="1"/>
    <col min="517" max="517" width="10.59765625" style="129" customWidth="1"/>
    <col min="518" max="518" width="8.09765625" style="129"/>
    <col min="519" max="519" width="19.796875" style="129" customWidth="1"/>
    <col min="520" max="520" width="8" style="129" customWidth="1"/>
    <col min="521" max="768" width="8.09765625" style="129"/>
    <col min="769" max="769" width="10.59765625" style="129" customWidth="1"/>
    <col min="770" max="770" width="14.5" style="129" customWidth="1"/>
    <col min="771" max="771" width="10.59765625" style="129" customWidth="1"/>
    <col min="772" max="772" width="8.796875" style="129" customWidth="1"/>
    <col min="773" max="773" width="10.59765625" style="129" customWidth="1"/>
    <col min="774" max="774" width="8.09765625" style="129"/>
    <col min="775" max="775" width="19.796875" style="129" customWidth="1"/>
    <col min="776" max="776" width="8" style="129" customWidth="1"/>
    <col min="777" max="1024" width="8.09765625" style="129"/>
    <col min="1025" max="1025" width="10.59765625" style="129" customWidth="1"/>
    <col min="1026" max="1026" width="14.5" style="129" customWidth="1"/>
    <col min="1027" max="1027" width="10.59765625" style="129" customWidth="1"/>
    <col min="1028" max="1028" width="8.796875" style="129" customWidth="1"/>
    <col min="1029" max="1029" width="10.59765625" style="129" customWidth="1"/>
    <col min="1030" max="1030" width="8.09765625" style="129"/>
    <col min="1031" max="1031" width="19.796875" style="129" customWidth="1"/>
    <col min="1032" max="1032" width="8" style="129" customWidth="1"/>
    <col min="1033" max="1280" width="8.09765625" style="129"/>
    <col min="1281" max="1281" width="10.59765625" style="129" customWidth="1"/>
    <col min="1282" max="1282" width="14.5" style="129" customWidth="1"/>
    <col min="1283" max="1283" width="10.59765625" style="129" customWidth="1"/>
    <col min="1284" max="1284" width="8.796875" style="129" customWidth="1"/>
    <col min="1285" max="1285" width="10.59765625" style="129" customWidth="1"/>
    <col min="1286" max="1286" width="8.09765625" style="129"/>
    <col min="1287" max="1287" width="19.796875" style="129" customWidth="1"/>
    <col min="1288" max="1288" width="8" style="129" customWidth="1"/>
    <col min="1289" max="1536" width="8.09765625" style="129"/>
    <col min="1537" max="1537" width="10.59765625" style="129" customWidth="1"/>
    <col min="1538" max="1538" width="14.5" style="129" customWidth="1"/>
    <col min="1539" max="1539" width="10.59765625" style="129" customWidth="1"/>
    <col min="1540" max="1540" width="8.796875" style="129" customWidth="1"/>
    <col min="1541" max="1541" width="10.59765625" style="129" customWidth="1"/>
    <col min="1542" max="1542" width="8.09765625" style="129"/>
    <col min="1543" max="1543" width="19.796875" style="129" customWidth="1"/>
    <col min="1544" max="1544" width="8" style="129" customWidth="1"/>
    <col min="1545" max="1792" width="8.09765625" style="129"/>
    <col min="1793" max="1793" width="10.59765625" style="129" customWidth="1"/>
    <col min="1794" max="1794" width="14.5" style="129" customWidth="1"/>
    <col min="1795" max="1795" width="10.59765625" style="129" customWidth="1"/>
    <col min="1796" max="1796" width="8.796875" style="129" customWidth="1"/>
    <col min="1797" max="1797" width="10.59765625" style="129" customWidth="1"/>
    <col min="1798" max="1798" width="8.09765625" style="129"/>
    <col min="1799" max="1799" width="19.796875" style="129" customWidth="1"/>
    <col min="1800" max="1800" width="8" style="129" customWidth="1"/>
    <col min="1801" max="2048" width="8.09765625" style="129"/>
    <col min="2049" max="2049" width="10.59765625" style="129" customWidth="1"/>
    <col min="2050" max="2050" width="14.5" style="129" customWidth="1"/>
    <col min="2051" max="2051" width="10.59765625" style="129" customWidth="1"/>
    <col min="2052" max="2052" width="8.796875" style="129" customWidth="1"/>
    <col min="2053" max="2053" width="10.59765625" style="129" customWidth="1"/>
    <col min="2054" max="2054" width="8.09765625" style="129"/>
    <col min="2055" max="2055" width="19.796875" style="129" customWidth="1"/>
    <col min="2056" max="2056" width="8" style="129" customWidth="1"/>
    <col min="2057" max="2304" width="8.09765625" style="129"/>
    <col min="2305" max="2305" width="10.59765625" style="129" customWidth="1"/>
    <col min="2306" max="2306" width="14.5" style="129" customWidth="1"/>
    <col min="2307" max="2307" width="10.59765625" style="129" customWidth="1"/>
    <col min="2308" max="2308" width="8.796875" style="129" customWidth="1"/>
    <col min="2309" max="2309" width="10.59765625" style="129" customWidth="1"/>
    <col min="2310" max="2310" width="8.09765625" style="129"/>
    <col min="2311" max="2311" width="19.796875" style="129" customWidth="1"/>
    <col min="2312" max="2312" width="8" style="129" customWidth="1"/>
    <col min="2313" max="2560" width="8.09765625" style="129"/>
    <col min="2561" max="2561" width="10.59765625" style="129" customWidth="1"/>
    <col min="2562" max="2562" width="14.5" style="129" customWidth="1"/>
    <col min="2563" max="2563" width="10.59765625" style="129" customWidth="1"/>
    <col min="2564" max="2564" width="8.796875" style="129" customWidth="1"/>
    <col min="2565" max="2565" width="10.59765625" style="129" customWidth="1"/>
    <col min="2566" max="2566" width="8.09765625" style="129"/>
    <col min="2567" max="2567" width="19.796875" style="129" customWidth="1"/>
    <col min="2568" max="2568" width="8" style="129" customWidth="1"/>
    <col min="2569" max="2816" width="8.09765625" style="129"/>
    <col min="2817" max="2817" width="10.59765625" style="129" customWidth="1"/>
    <col min="2818" max="2818" width="14.5" style="129" customWidth="1"/>
    <col min="2819" max="2819" width="10.59765625" style="129" customWidth="1"/>
    <col min="2820" max="2820" width="8.796875" style="129" customWidth="1"/>
    <col min="2821" max="2821" width="10.59765625" style="129" customWidth="1"/>
    <col min="2822" max="2822" width="8.09765625" style="129"/>
    <col min="2823" max="2823" width="19.796875" style="129" customWidth="1"/>
    <col min="2824" max="2824" width="8" style="129" customWidth="1"/>
    <col min="2825" max="3072" width="8.09765625" style="129"/>
    <col min="3073" max="3073" width="10.59765625" style="129" customWidth="1"/>
    <col min="3074" max="3074" width="14.5" style="129" customWidth="1"/>
    <col min="3075" max="3075" width="10.59765625" style="129" customWidth="1"/>
    <col min="3076" max="3076" width="8.796875" style="129" customWidth="1"/>
    <col min="3077" max="3077" width="10.59765625" style="129" customWidth="1"/>
    <col min="3078" max="3078" width="8.09765625" style="129"/>
    <col min="3079" max="3079" width="19.796875" style="129" customWidth="1"/>
    <col min="3080" max="3080" width="8" style="129" customWidth="1"/>
    <col min="3081" max="3328" width="8.09765625" style="129"/>
    <col min="3329" max="3329" width="10.59765625" style="129" customWidth="1"/>
    <col min="3330" max="3330" width="14.5" style="129" customWidth="1"/>
    <col min="3331" max="3331" width="10.59765625" style="129" customWidth="1"/>
    <col min="3332" max="3332" width="8.796875" style="129" customWidth="1"/>
    <col min="3333" max="3333" width="10.59765625" style="129" customWidth="1"/>
    <col min="3334" max="3334" width="8.09765625" style="129"/>
    <col min="3335" max="3335" width="19.796875" style="129" customWidth="1"/>
    <col min="3336" max="3336" width="8" style="129" customWidth="1"/>
    <col min="3337" max="3584" width="8.09765625" style="129"/>
    <col min="3585" max="3585" width="10.59765625" style="129" customWidth="1"/>
    <col min="3586" max="3586" width="14.5" style="129" customWidth="1"/>
    <col min="3587" max="3587" width="10.59765625" style="129" customWidth="1"/>
    <col min="3588" max="3588" width="8.796875" style="129" customWidth="1"/>
    <col min="3589" max="3589" width="10.59765625" style="129" customWidth="1"/>
    <col min="3590" max="3590" width="8.09765625" style="129"/>
    <col min="3591" max="3591" width="19.796875" style="129" customWidth="1"/>
    <col min="3592" max="3592" width="8" style="129" customWidth="1"/>
    <col min="3593" max="3840" width="8.09765625" style="129"/>
    <col min="3841" max="3841" width="10.59765625" style="129" customWidth="1"/>
    <col min="3842" max="3842" width="14.5" style="129" customWidth="1"/>
    <col min="3843" max="3843" width="10.59765625" style="129" customWidth="1"/>
    <col min="3844" max="3844" width="8.796875" style="129" customWidth="1"/>
    <col min="3845" max="3845" width="10.59765625" style="129" customWidth="1"/>
    <col min="3846" max="3846" width="8.09765625" style="129"/>
    <col min="3847" max="3847" width="19.796875" style="129" customWidth="1"/>
    <col min="3848" max="3848" width="8" style="129" customWidth="1"/>
    <col min="3849" max="4096" width="8.09765625" style="129"/>
    <col min="4097" max="4097" width="10.59765625" style="129" customWidth="1"/>
    <col min="4098" max="4098" width="14.5" style="129" customWidth="1"/>
    <col min="4099" max="4099" width="10.59765625" style="129" customWidth="1"/>
    <col min="4100" max="4100" width="8.796875" style="129" customWidth="1"/>
    <col min="4101" max="4101" width="10.59765625" style="129" customWidth="1"/>
    <col min="4102" max="4102" width="8.09765625" style="129"/>
    <col min="4103" max="4103" width="19.796875" style="129" customWidth="1"/>
    <col min="4104" max="4104" width="8" style="129" customWidth="1"/>
    <col min="4105" max="4352" width="8.09765625" style="129"/>
    <col min="4353" max="4353" width="10.59765625" style="129" customWidth="1"/>
    <col min="4354" max="4354" width="14.5" style="129" customWidth="1"/>
    <col min="4355" max="4355" width="10.59765625" style="129" customWidth="1"/>
    <col min="4356" max="4356" width="8.796875" style="129" customWidth="1"/>
    <col min="4357" max="4357" width="10.59765625" style="129" customWidth="1"/>
    <col min="4358" max="4358" width="8.09765625" style="129"/>
    <col min="4359" max="4359" width="19.796875" style="129" customWidth="1"/>
    <col min="4360" max="4360" width="8" style="129" customWidth="1"/>
    <col min="4361" max="4608" width="8.09765625" style="129"/>
    <col min="4609" max="4609" width="10.59765625" style="129" customWidth="1"/>
    <col min="4610" max="4610" width="14.5" style="129" customWidth="1"/>
    <col min="4611" max="4611" width="10.59765625" style="129" customWidth="1"/>
    <col min="4612" max="4612" width="8.796875" style="129" customWidth="1"/>
    <col min="4613" max="4613" width="10.59765625" style="129" customWidth="1"/>
    <col min="4614" max="4614" width="8.09765625" style="129"/>
    <col min="4615" max="4615" width="19.796875" style="129" customWidth="1"/>
    <col min="4616" max="4616" width="8" style="129" customWidth="1"/>
    <col min="4617" max="4864" width="8.09765625" style="129"/>
    <col min="4865" max="4865" width="10.59765625" style="129" customWidth="1"/>
    <col min="4866" max="4866" width="14.5" style="129" customWidth="1"/>
    <col min="4867" max="4867" width="10.59765625" style="129" customWidth="1"/>
    <col min="4868" max="4868" width="8.796875" style="129" customWidth="1"/>
    <col min="4869" max="4869" width="10.59765625" style="129" customWidth="1"/>
    <col min="4870" max="4870" width="8.09765625" style="129"/>
    <col min="4871" max="4871" width="19.796875" style="129" customWidth="1"/>
    <col min="4872" max="4872" width="8" style="129" customWidth="1"/>
    <col min="4873" max="5120" width="8.09765625" style="129"/>
    <col min="5121" max="5121" width="10.59765625" style="129" customWidth="1"/>
    <col min="5122" max="5122" width="14.5" style="129" customWidth="1"/>
    <col min="5123" max="5123" width="10.59765625" style="129" customWidth="1"/>
    <col min="5124" max="5124" width="8.796875" style="129" customWidth="1"/>
    <col min="5125" max="5125" width="10.59765625" style="129" customWidth="1"/>
    <col min="5126" max="5126" width="8.09765625" style="129"/>
    <col min="5127" max="5127" width="19.796875" style="129" customWidth="1"/>
    <col min="5128" max="5128" width="8" style="129" customWidth="1"/>
    <col min="5129" max="5376" width="8.09765625" style="129"/>
    <col min="5377" max="5377" width="10.59765625" style="129" customWidth="1"/>
    <col min="5378" max="5378" width="14.5" style="129" customWidth="1"/>
    <col min="5379" max="5379" width="10.59765625" style="129" customWidth="1"/>
    <col min="5380" max="5380" width="8.796875" style="129" customWidth="1"/>
    <col min="5381" max="5381" width="10.59765625" style="129" customWidth="1"/>
    <col min="5382" max="5382" width="8.09765625" style="129"/>
    <col min="5383" max="5383" width="19.796875" style="129" customWidth="1"/>
    <col min="5384" max="5384" width="8" style="129" customWidth="1"/>
    <col min="5385" max="5632" width="8.09765625" style="129"/>
    <col min="5633" max="5633" width="10.59765625" style="129" customWidth="1"/>
    <col min="5634" max="5634" width="14.5" style="129" customWidth="1"/>
    <col min="5635" max="5635" width="10.59765625" style="129" customWidth="1"/>
    <col min="5636" max="5636" width="8.796875" style="129" customWidth="1"/>
    <col min="5637" max="5637" width="10.59765625" style="129" customWidth="1"/>
    <col min="5638" max="5638" width="8.09765625" style="129"/>
    <col min="5639" max="5639" width="19.796875" style="129" customWidth="1"/>
    <col min="5640" max="5640" width="8" style="129" customWidth="1"/>
    <col min="5641" max="5888" width="8.09765625" style="129"/>
    <col min="5889" max="5889" width="10.59765625" style="129" customWidth="1"/>
    <col min="5890" max="5890" width="14.5" style="129" customWidth="1"/>
    <col min="5891" max="5891" width="10.59765625" style="129" customWidth="1"/>
    <col min="5892" max="5892" width="8.796875" style="129" customWidth="1"/>
    <col min="5893" max="5893" width="10.59765625" style="129" customWidth="1"/>
    <col min="5894" max="5894" width="8.09765625" style="129"/>
    <col min="5895" max="5895" width="19.796875" style="129" customWidth="1"/>
    <col min="5896" max="5896" width="8" style="129" customWidth="1"/>
    <col min="5897" max="6144" width="8.09765625" style="129"/>
    <col min="6145" max="6145" width="10.59765625" style="129" customWidth="1"/>
    <col min="6146" max="6146" width="14.5" style="129" customWidth="1"/>
    <col min="6147" max="6147" width="10.59765625" style="129" customWidth="1"/>
    <col min="6148" max="6148" width="8.796875" style="129" customWidth="1"/>
    <col min="6149" max="6149" width="10.59765625" style="129" customWidth="1"/>
    <col min="6150" max="6150" width="8.09765625" style="129"/>
    <col min="6151" max="6151" width="19.796875" style="129" customWidth="1"/>
    <col min="6152" max="6152" width="8" style="129" customWidth="1"/>
    <col min="6153" max="6400" width="8.09765625" style="129"/>
    <col min="6401" max="6401" width="10.59765625" style="129" customWidth="1"/>
    <col min="6402" max="6402" width="14.5" style="129" customWidth="1"/>
    <col min="6403" max="6403" width="10.59765625" style="129" customWidth="1"/>
    <col min="6404" max="6404" width="8.796875" style="129" customWidth="1"/>
    <col min="6405" max="6405" width="10.59765625" style="129" customWidth="1"/>
    <col min="6406" max="6406" width="8.09765625" style="129"/>
    <col min="6407" max="6407" width="19.796875" style="129" customWidth="1"/>
    <col min="6408" max="6408" width="8" style="129" customWidth="1"/>
    <col min="6409" max="6656" width="8.09765625" style="129"/>
    <col min="6657" max="6657" width="10.59765625" style="129" customWidth="1"/>
    <col min="6658" max="6658" width="14.5" style="129" customWidth="1"/>
    <col min="6659" max="6659" width="10.59765625" style="129" customWidth="1"/>
    <col min="6660" max="6660" width="8.796875" style="129" customWidth="1"/>
    <col min="6661" max="6661" width="10.59765625" style="129" customWidth="1"/>
    <col min="6662" max="6662" width="8.09765625" style="129"/>
    <col min="6663" max="6663" width="19.796875" style="129" customWidth="1"/>
    <col min="6664" max="6664" width="8" style="129" customWidth="1"/>
    <col min="6665" max="6912" width="8.09765625" style="129"/>
    <col min="6913" max="6913" width="10.59765625" style="129" customWidth="1"/>
    <col min="6914" max="6914" width="14.5" style="129" customWidth="1"/>
    <col min="6915" max="6915" width="10.59765625" style="129" customWidth="1"/>
    <col min="6916" max="6916" width="8.796875" style="129" customWidth="1"/>
    <col min="6917" max="6917" width="10.59765625" style="129" customWidth="1"/>
    <col min="6918" max="6918" width="8.09765625" style="129"/>
    <col min="6919" max="6919" width="19.796875" style="129" customWidth="1"/>
    <col min="6920" max="6920" width="8" style="129" customWidth="1"/>
    <col min="6921" max="7168" width="8.09765625" style="129"/>
    <col min="7169" max="7169" width="10.59765625" style="129" customWidth="1"/>
    <col min="7170" max="7170" width="14.5" style="129" customWidth="1"/>
    <col min="7171" max="7171" width="10.59765625" style="129" customWidth="1"/>
    <col min="7172" max="7172" width="8.796875" style="129" customWidth="1"/>
    <col min="7173" max="7173" width="10.59765625" style="129" customWidth="1"/>
    <col min="7174" max="7174" width="8.09765625" style="129"/>
    <col min="7175" max="7175" width="19.796875" style="129" customWidth="1"/>
    <col min="7176" max="7176" width="8" style="129" customWidth="1"/>
    <col min="7177" max="7424" width="8.09765625" style="129"/>
    <col min="7425" max="7425" width="10.59765625" style="129" customWidth="1"/>
    <col min="7426" max="7426" width="14.5" style="129" customWidth="1"/>
    <col min="7427" max="7427" width="10.59765625" style="129" customWidth="1"/>
    <col min="7428" max="7428" width="8.796875" style="129" customWidth="1"/>
    <col min="7429" max="7429" width="10.59765625" style="129" customWidth="1"/>
    <col min="7430" max="7430" width="8.09765625" style="129"/>
    <col min="7431" max="7431" width="19.796875" style="129" customWidth="1"/>
    <col min="7432" max="7432" width="8" style="129" customWidth="1"/>
    <col min="7433" max="7680" width="8.09765625" style="129"/>
    <col min="7681" max="7681" width="10.59765625" style="129" customWidth="1"/>
    <col min="7682" max="7682" width="14.5" style="129" customWidth="1"/>
    <col min="7683" max="7683" width="10.59765625" style="129" customWidth="1"/>
    <col min="7684" max="7684" width="8.796875" style="129" customWidth="1"/>
    <col min="7685" max="7685" width="10.59765625" style="129" customWidth="1"/>
    <col min="7686" max="7686" width="8.09765625" style="129"/>
    <col min="7687" max="7687" width="19.796875" style="129" customWidth="1"/>
    <col min="7688" max="7688" width="8" style="129" customWidth="1"/>
    <col min="7689" max="7936" width="8.09765625" style="129"/>
    <col min="7937" max="7937" width="10.59765625" style="129" customWidth="1"/>
    <col min="7938" max="7938" width="14.5" style="129" customWidth="1"/>
    <col min="7939" max="7939" width="10.59765625" style="129" customWidth="1"/>
    <col min="7940" max="7940" width="8.796875" style="129" customWidth="1"/>
    <col min="7941" max="7941" width="10.59765625" style="129" customWidth="1"/>
    <col min="7942" max="7942" width="8.09765625" style="129"/>
    <col min="7943" max="7943" width="19.796875" style="129" customWidth="1"/>
    <col min="7944" max="7944" width="8" style="129" customWidth="1"/>
    <col min="7945" max="8192" width="8.09765625" style="129"/>
    <col min="8193" max="8193" width="10.59765625" style="129" customWidth="1"/>
    <col min="8194" max="8194" width="14.5" style="129" customWidth="1"/>
    <col min="8195" max="8195" width="10.59765625" style="129" customWidth="1"/>
    <col min="8196" max="8196" width="8.796875" style="129" customWidth="1"/>
    <col min="8197" max="8197" width="10.59765625" style="129" customWidth="1"/>
    <col min="8198" max="8198" width="8.09765625" style="129"/>
    <col min="8199" max="8199" width="19.796875" style="129" customWidth="1"/>
    <col min="8200" max="8200" width="8" style="129" customWidth="1"/>
    <col min="8201" max="8448" width="8.09765625" style="129"/>
    <col min="8449" max="8449" width="10.59765625" style="129" customWidth="1"/>
    <col min="8450" max="8450" width="14.5" style="129" customWidth="1"/>
    <col min="8451" max="8451" width="10.59765625" style="129" customWidth="1"/>
    <col min="8452" max="8452" width="8.796875" style="129" customWidth="1"/>
    <col min="8453" max="8453" width="10.59765625" style="129" customWidth="1"/>
    <col min="8454" max="8454" width="8.09765625" style="129"/>
    <col min="8455" max="8455" width="19.796875" style="129" customWidth="1"/>
    <col min="8456" max="8456" width="8" style="129" customWidth="1"/>
    <col min="8457" max="8704" width="8.09765625" style="129"/>
    <col min="8705" max="8705" width="10.59765625" style="129" customWidth="1"/>
    <col min="8706" max="8706" width="14.5" style="129" customWidth="1"/>
    <col min="8707" max="8707" width="10.59765625" style="129" customWidth="1"/>
    <col min="8708" max="8708" width="8.796875" style="129" customWidth="1"/>
    <col min="8709" max="8709" width="10.59765625" style="129" customWidth="1"/>
    <col min="8710" max="8710" width="8.09765625" style="129"/>
    <col min="8711" max="8711" width="19.796875" style="129" customWidth="1"/>
    <col min="8712" max="8712" width="8" style="129" customWidth="1"/>
    <col min="8713" max="8960" width="8.09765625" style="129"/>
    <col min="8961" max="8961" width="10.59765625" style="129" customWidth="1"/>
    <col min="8962" max="8962" width="14.5" style="129" customWidth="1"/>
    <col min="8963" max="8963" width="10.59765625" style="129" customWidth="1"/>
    <col min="8964" max="8964" width="8.796875" style="129" customWidth="1"/>
    <col min="8965" max="8965" width="10.59765625" style="129" customWidth="1"/>
    <col min="8966" max="8966" width="8.09765625" style="129"/>
    <col min="8967" max="8967" width="19.796875" style="129" customWidth="1"/>
    <col min="8968" max="8968" width="8" style="129" customWidth="1"/>
    <col min="8969" max="9216" width="8.09765625" style="129"/>
    <col min="9217" max="9217" width="10.59765625" style="129" customWidth="1"/>
    <col min="9218" max="9218" width="14.5" style="129" customWidth="1"/>
    <col min="9219" max="9219" width="10.59765625" style="129" customWidth="1"/>
    <col min="9220" max="9220" width="8.796875" style="129" customWidth="1"/>
    <col min="9221" max="9221" width="10.59765625" style="129" customWidth="1"/>
    <col min="9222" max="9222" width="8.09765625" style="129"/>
    <col min="9223" max="9223" width="19.796875" style="129" customWidth="1"/>
    <col min="9224" max="9224" width="8" style="129" customWidth="1"/>
    <col min="9225" max="9472" width="8.09765625" style="129"/>
    <col min="9473" max="9473" width="10.59765625" style="129" customWidth="1"/>
    <col min="9474" max="9474" width="14.5" style="129" customWidth="1"/>
    <col min="9475" max="9475" width="10.59765625" style="129" customWidth="1"/>
    <col min="9476" max="9476" width="8.796875" style="129" customWidth="1"/>
    <col min="9477" max="9477" width="10.59765625" style="129" customWidth="1"/>
    <col min="9478" max="9478" width="8.09765625" style="129"/>
    <col min="9479" max="9479" width="19.796875" style="129" customWidth="1"/>
    <col min="9480" max="9480" width="8" style="129" customWidth="1"/>
    <col min="9481" max="9728" width="8.09765625" style="129"/>
    <col min="9729" max="9729" width="10.59765625" style="129" customWidth="1"/>
    <col min="9730" max="9730" width="14.5" style="129" customWidth="1"/>
    <col min="9731" max="9731" width="10.59765625" style="129" customWidth="1"/>
    <col min="9732" max="9732" width="8.796875" style="129" customWidth="1"/>
    <col min="9733" max="9733" width="10.59765625" style="129" customWidth="1"/>
    <col min="9734" max="9734" width="8.09765625" style="129"/>
    <col min="9735" max="9735" width="19.796875" style="129" customWidth="1"/>
    <col min="9736" max="9736" width="8" style="129" customWidth="1"/>
    <col min="9737" max="9984" width="8.09765625" style="129"/>
    <col min="9985" max="9985" width="10.59765625" style="129" customWidth="1"/>
    <col min="9986" max="9986" width="14.5" style="129" customWidth="1"/>
    <col min="9987" max="9987" width="10.59765625" style="129" customWidth="1"/>
    <col min="9988" max="9988" width="8.796875" style="129" customWidth="1"/>
    <col min="9989" max="9989" width="10.59765625" style="129" customWidth="1"/>
    <col min="9990" max="9990" width="8.09765625" style="129"/>
    <col min="9991" max="9991" width="19.796875" style="129" customWidth="1"/>
    <col min="9992" max="9992" width="8" style="129" customWidth="1"/>
    <col min="9993" max="10240" width="8.09765625" style="129"/>
    <col min="10241" max="10241" width="10.59765625" style="129" customWidth="1"/>
    <col min="10242" max="10242" width="14.5" style="129" customWidth="1"/>
    <col min="10243" max="10243" width="10.59765625" style="129" customWidth="1"/>
    <col min="10244" max="10244" width="8.796875" style="129" customWidth="1"/>
    <col min="10245" max="10245" width="10.59765625" style="129" customWidth="1"/>
    <col min="10246" max="10246" width="8.09765625" style="129"/>
    <col min="10247" max="10247" width="19.796875" style="129" customWidth="1"/>
    <col min="10248" max="10248" width="8" style="129" customWidth="1"/>
    <col min="10249" max="10496" width="8.09765625" style="129"/>
    <col min="10497" max="10497" width="10.59765625" style="129" customWidth="1"/>
    <col min="10498" max="10498" width="14.5" style="129" customWidth="1"/>
    <col min="10499" max="10499" width="10.59765625" style="129" customWidth="1"/>
    <col min="10500" max="10500" width="8.796875" style="129" customWidth="1"/>
    <col min="10501" max="10501" width="10.59765625" style="129" customWidth="1"/>
    <col min="10502" max="10502" width="8.09765625" style="129"/>
    <col min="10503" max="10503" width="19.796875" style="129" customWidth="1"/>
    <col min="10504" max="10504" width="8" style="129" customWidth="1"/>
    <col min="10505" max="10752" width="8.09765625" style="129"/>
    <col min="10753" max="10753" width="10.59765625" style="129" customWidth="1"/>
    <col min="10754" max="10754" width="14.5" style="129" customWidth="1"/>
    <col min="10755" max="10755" width="10.59765625" style="129" customWidth="1"/>
    <col min="10756" max="10756" width="8.796875" style="129" customWidth="1"/>
    <col min="10757" max="10757" width="10.59765625" style="129" customWidth="1"/>
    <col min="10758" max="10758" width="8.09765625" style="129"/>
    <col min="10759" max="10759" width="19.796875" style="129" customWidth="1"/>
    <col min="10760" max="10760" width="8" style="129" customWidth="1"/>
    <col min="10761" max="11008" width="8.09765625" style="129"/>
    <col min="11009" max="11009" width="10.59765625" style="129" customWidth="1"/>
    <col min="11010" max="11010" width="14.5" style="129" customWidth="1"/>
    <col min="11011" max="11011" width="10.59765625" style="129" customWidth="1"/>
    <col min="11012" max="11012" width="8.796875" style="129" customWidth="1"/>
    <col min="11013" max="11013" width="10.59765625" style="129" customWidth="1"/>
    <col min="11014" max="11014" width="8.09765625" style="129"/>
    <col min="11015" max="11015" width="19.796875" style="129" customWidth="1"/>
    <col min="11016" max="11016" width="8" style="129" customWidth="1"/>
    <col min="11017" max="11264" width="8.09765625" style="129"/>
    <col min="11265" max="11265" width="10.59765625" style="129" customWidth="1"/>
    <col min="11266" max="11266" width="14.5" style="129" customWidth="1"/>
    <col min="11267" max="11267" width="10.59765625" style="129" customWidth="1"/>
    <col min="11268" max="11268" width="8.796875" style="129" customWidth="1"/>
    <col min="11269" max="11269" width="10.59765625" style="129" customWidth="1"/>
    <col min="11270" max="11270" width="8.09765625" style="129"/>
    <col min="11271" max="11271" width="19.796875" style="129" customWidth="1"/>
    <col min="11272" max="11272" width="8" style="129" customWidth="1"/>
    <col min="11273" max="11520" width="8.09765625" style="129"/>
    <col min="11521" max="11521" width="10.59765625" style="129" customWidth="1"/>
    <col min="11522" max="11522" width="14.5" style="129" customWidth="1"/>
    <col min="11523" max="11523" width="10.59765625" style="129" customWidth="1"/>
    <col min="11524" max="11524" width="8.796875" style="129" customWidth="1"/>
    <col min="11525" max="11525" width="10.59765625" style="129" customWidth="1"/>
    <col min="11526" max="11526" width="8.09765625" style="129"/>
    <col min="11527" max="11527" width="19.796875" style="129" customWidth="1"/>
    <col min="11528" max="11528" width="8" style="129" customWidth="1"/>
    <col min="11529" max="11776" width="8.09765625" style="129"/>
    <col min="11777" max="11777" width="10.59765625" style="129" customWidth="1"/>
    <col min="11778" max="11778" width="14.5" style="129" customWidth="1"/>
    <col min="11779" max="11779" width="10.59765625" style="129" customWidth="1"/>
    <col min="11780" max="11780" width="8.796875" style="129" customWidth="1"/>
    <col min="11781" max="11781" width="10.59765625" style="129" customWidth="1"/>
    <col min="11782" max="11782" width="8.09765625" style="129"/>
    <col min="11783" max="11783" width="19.796875" style="129" customWidth="1"/>
    <col min="11784" max="11784" width="8" style="129" customWidth="1"/>
    <col min="11785" max="12032" width="8.09765625" style="129"/>
    <col min="12033" max="12033" width="10.59765625" style="129" customWidth="1"/>
    <col min="12034" max="12034" width="14.5" style="129" customWidth="1"/>
    <col min="12035" max="12035" width="10.59765625" style="129" customWidth="1"/>
    <col min="12036" max="12036" width="8.796875" style="129" customWidth="1"/>
    <col min="12037" max="12037" width="10.59765625" style="129" customWidth="1"/>
    <col min="12038" max="12038" width="8.09765625" style="129"/>
    <col min="12039" max="12039" width="19.796875" style="129" customWidth="1"/>
    <col min="12040" max="12040" width="8" style="129" customWidth="1"/>
    <col min="12041" max="12288" width="8.09765625" style="129"/>
    <col min="12289" max="12289" width="10.59765625" style="129" customWidth="1"/>
    <col min="12290" max="12290" width="14.5" style="129" customWidth="1"/>
    <col min="12291" max="12291" width="10.59765625" style="129" customWidth="1"/>
    <col min="12292" max="12292" width="8.796875" style="129" customWidth="1"/>
    <col min="12293" max="12293" width="10.59765625" style="129" customWidth="1"/>
    <col min="12294" max="12294" width="8.09765625" style="129"/>
    <col min="12295" max="12295" width="19.796875" style="129" customWidth="1"/>
    <col min="12296" max="12296" width="8" style="129" customWidth="1"/>
    <col min="12297" max="12544" width="8.09765625" style="129"/>
    <col min="12545" max="12545" width="10.59765625" style="129" customWidth="1"/>
    <col min="12546" max="12546" width="14.5" style="129" customWidth="1"/>
    <col min="12547" max="12547" width="10.59765625" style="129" customWidth="1"/>
    <col min="12548" max="12548" width="8.796875" style="129" customWidth="1"/>
    <col min="12549" max="12549" width="10.59765625" style="129" customWidth="1"/>
    <col min="12550" max="12550" width="8.09765625" style="129"/>
    <col min="12551" max="12551" width="19.796875" style="129" customWidth="1"/>
    <col min="12552" max="12552" width="8" style="129" customWidth="1"/>
    <col min="12553" max="12800" width="8.09765625" style="129"/>
    <col min="12801" max="12801" width="10.59765625" style="129" customWidth="1"/>
    <col min="12802" max="12802" width="14.5" style="129" customWidth="1"/>
    <col min="12803" max="12803" width="10.59765625" style="129" customWidth="1"/>
    <col min="12804" max="12804" width="8.796875" style="129" customWidth="1"/>
    <col min="12805" max="12805" width="10.59765625" style="129" customWidth="1"/>
    <col min="12806" max="12806" width="8.09765625" style="129"/>
    <col min="12807" max="12807" width="19.796875" style="129" customWidth="1"/>
    <col min="12808" max="12808" width="8" style="129" customWidth="1"/>
    <col min="12809" max="13056" width="8.09765625" style="129"/>
    <col min="13057" max="13057" width="10.59765625" style="129" customWidth="1"/>
    <col min="13058" max="13058" width="14.5" style="129" customWidth="1"/>
    <col min="13059" max="13059" width="10.59765625" style="129" customWidth="1"/>
    <col min="13060" max="13060" width="8.796875" style="129" customWidth="1"/>
    <col min="13061" max="13061" width="10.59765625" style="129" customWidth="1"/>
    <col min="13062" max="13062" width="8.09765625" style="129"/>
    <col min="13063" max="13063" width="19.796875" style="129" customWidth="1"/>
    <col min="13064" max="13064" width="8" style="129" customWidth="1"/>
    <col min="13065" max="13312" width="8.09765625" style="129"/>
    <col min="13313" max="13313" width="10.59765625" style="129" customWidth="1"/>
    <col min="13314" max="13314" width="14.5" style="129" customWidth="1"/>
    <col min="13315" max="13315" width="10.59765625" style="129" customWidth="1"/>
    <col min="13316" max="13316" width="8.796875" style="129" customWidth="1"/>
    <col min="13317" max="13317" width="10.59765625" style="129" customWidth="1"/>
    <col min="13318" max="13318" width="8.09765625" style="129"/>
    <col min="13319" max="13319" width="19.796875" style="129" customWidth="1"/>
    <col min="13320" max="13320" width="8" style="129" customWidth="1"/>
    <col min="13321" max="13568" width="8.09765625" style="129"/>
    <col min="13569" max="13569" width="10.59765625" style="129" customWidth="1"/>
    <col min="13570" max="13570" width="14.5" style="129" customWidth="1"/>
    <col min="13571" max="13571" width="10.59765625" style="129" customWidth="1"/>
    <col min="13572" max="13572" width="8.796875" style="129" customWidth="1"/>
    <col min="13573" max="13573" width="10.59765625" style="129" customWidth="1"/>
    <col min="13574" max="13574" width="8.09765625" style="129"/>
    <col min="13575" max="13575" width="19.796875" style="129" customWidth="1"/>
    <col min="13576" max="13576" width="8" style="129" customWidth="1"/>
    <col min="13577" max="13824" width="8.09765625" style="129"/>
    <col min="13825" max="13825" width="10.59765625" style="129" customWidth="1"/>
    <col min="13826" max="13826" width="14.5" style="129" customWidth="1"/>
    <col min="13827" max="13827" width="10.59765625" style="129" customWidth="1"/>
    <col min="13828" max="13828" width="8.796875" style="129" customWidth="1"/>
    <col min="13829" max="13829" width="10.59765625" style="129" customWidth="1"/>
    <col min="13830" max="13830" width="8.09765625" style="129"/>
    <col min="13831" max="13831" width="19.796875" style="129" customWidth="1"/>
    <col min="13832" max="13832" width="8" style="129" customWidth="1"/>
    <col min="13833" max="14080" width="8.09765625" style="129"/>
    <col min="14081" max="14081" width="10.59765625" style="129" customWidth="1"/>
    <col min="14082" max="14082" width="14.5" style="129" customWidth="1"/>
    <col min="14083" max="14083" width="10.59765625" style="129" customWidth="1"/>
    <col min="14084" max="14084" width="8.796875" style="129" customWidth="1"/>
    <col min="14085" max="14085" width="10.59765625" style="129" customWidth="1"/>
    <col min="14086" max="14086" width="8.09765625" style="129"/>
    <col min="14087" max="14087" width="19.796875" style="129" customWidth="1"/>
    <col min="14088" max="14088" width="8" style="129" customWidth="1"/>
    <col min="14089" max="14336" width="8.09765625" style="129"/>
    <col min="14337" max="14337" width="10.59765625" style="129" customWidth="1"/>
    <col min="14338" max="14338" width="14.5" style="129" customWidth="1"/>
    <col min="14339" max="14339" width="10.59765625" style="129" customWidth="1"/>
    <col min="14340" max="14340" width="8.796875" style="129" customWidth="1"/>
    <col min="14341" max="14341" width="10.59765625" style="129" customWidth="1"/>
    <col min="14342" max="14342" width="8.09765625" style="129"/>
    <col min="14343" max="14343" width="19.796875" style="129" customWidth="1"/>
    <col min="14344" max="14344" width="8" style="129" customWidth="1"/>
    <col min="14345" max="14592" width="8.09765625" style="129"/>
    <col min="14593" max="14593" width="10.59765625" style="129" customWidth="1"/>
    <col min="14594" max="14594" width="14.5" style="129" customWidth="1"/>
    <col min="14595" max="14595" width="10.59765625" style="129" customWidth="1"/>
    <col min="14596" max="14596" width="8.796875" style="129" customWidth="1"/>
    <col min="14597" max="14597" width="10.59765625" style="129" customWidth="1"/>
    <col min="14598" max="14598" width="8.09765625" style="129"/>
    <col min="14599" max="14599" width="19.796875" style="129" customWidth="1"/>
    <col min="14600" max="14600" width="8" style="129" customWidth="1"/>
    <col min="14601" max="14848" width="8.09765625" style="129"/>
    <col min="14849" max="14849" width="10.59765625" style="129" customWidth="1"/>
    <col min="14850" max="14850" width="14.5" style="129" customWidth="1"/>
    <col min="14851" max="14851" width="10.59765625" style="129" customWidth="1"/>
    <col min="14852" max="14852" width="8.796875" style="129" customWidth="1"/>
    <col min="14853" max="14853" width="10.59765625" style="129" customWidth="1"/>
    <col min="14854" max="14854" width="8.09765625" style="129"/>
    <col min="14855" max="14855" width="19.796875" style="129" customWidth="1"/>
    <col min="14856" max="14856" width="8" style="129" customWidth="1"/>
    <col min="14857" max="15104" width="8.09765625" style="129"/>
    <col min="15105" max="15105" width="10.59765625" style="129" customWidth="1"/>
    <col min="15106" max="15106" width="14.5" style="129" customWidth="1"/>
    <col min="15107" max="15107" width="10.59765625" style="129" customWidth="1"/>
    <col min="15108" max="15108" width="8.796875" style="129" customWidth="1"/>
    <col min="15109" max="15109" width="10.59765625" style="129" customWidth="1"/>
    <col min="15110" max="15110" width="8.09765625" style="129"/>
    <col min="15111" max="15111" width="19.796875" style="129" customWidth="1"/>
    <col min="15112" max="15112" width="8" style="129" customWidth="1"/>
    <col min="15113" max="15360" width="8.09765625" style="129"/>
    <col min="15361" max="15361" width="10.59765625" style="129" customWidth="1"/>
    <col min="15362" max="15362" width="14.5" style="129" customWidth="1"/>
    <col min="15363" max="15363" width="10.59765625" style="129" customWidth="1"/>
    <col min="15364" max="15364" width="8.796875" style="129" customWidth="1"/>
    <col min="15365" max="15365" width="10.59765625" style="129" customWidth="1"/>
    <col min="15366" max="15366" width="8.09765625" style="129"/>
    <col min="15367" max="15367" width="19.796875" style="129" customWidth="1"/>
    <col min="15368" max="15368" width="8" style="129" customWidth="1"/>
    <col min="15369" max="15616" width="8.09765625" style="129"/>
    <col min="15617" max="15617" width="10.59765625" style="129" customWidth="1"/>
    <col min="15618" max="15618" width="14.5" style="129" customWidth="1"/>
    <col min="15619" max="15619" width="10.59765625" style="129" customWidth="1"/>
    <col min="15620" max="15620" width="8.796875" style="129" customWidth="1"/>
    <col min="15621" max="15621" width="10.59765625" style="129" customWidth="1"/>
    <col min="15622" max="15622" width="8.09765625" style="129"/>
    <col min="15623" max="15623" width="19.796875" style="129" customWidth="1"/>
    <col min="15624" max="15624" width="8" style="129" customWidth="1"/>
    <col min="15625" max="15872" width="8.09765625" style="129"/>
    <col min="15873" max="15873" width="10.59765625" style="129" customWidth="1"/>
    <col min="15874" max="15874" width="14.5" style="129" customWidth="1"/>
    <col min="15875" max="15875" width="10.59765625" style="129" customWidth="1"/>
    <col min="15876" max="15876" width="8.796875" style="129" customWidth="1"/>
    <col min="15877" max="15877" width="10.59765625" style="129" customWidth="1"/>
    <col min="15878" max="15878" width="8.09765625" style="129"/>
    <col min="15879" max="15879" width="19.796875" style="129" customWidth="1"/>
    <col min="15880" max="15880" width="8" style="129" customWidth="1"/>
    <col min="15881" max="16128" width="8.09765625" style="129"/>
    <col min="16129" max="16129" width="10.59765625" style="129" customWidth="1"/>
    <col min="16130" max="16130" width="14.5" style="129" customWidth="1"/>
    <col min="16131" max="16131" width="10.59765625" style="129" customWidth="1"/>
    <col min="16132" max="16132" width="8.796875" style="129" customWidth="1"/>
    <col min="16133" max="16133" width="10.59765625" style="129" customWidth="1"/>
    <col min="16134" max="16134" width="8.09765625" style="129"/>
    <col min="16135" max="16135" width="19.796875" style="129" customWidth="1"/>
    <col min="16136" max="16136" width="8" style="129" customWidth="1"/>
    <col min="16137" max="16384" width="8.09765625" style="129"/>
  </cols>
  <sheetData>
    <row r="1" spans="1:8" ht="36" x14ac:dyDescent="0.45">
      <c r="A1" s="126" t="s">
        <v>608</v>
      </c>
      <c r="B1" s="127" t="s">
        <v>609</v>
      </c>
      <c r="C1" s="127" t="s">
        <v>610</v>
      </c>
      <c r="D1" s="127" t="s">
        <v>611</v>
      </c>
      <c r="E1" s="127" t="s">
        <v>612</v>
      </c>
      <c r="F1" s="127" t="s">
        <v>101</v>
      </c>
      <c r="G1" s="128" t="s">
        <v>613</v>
      </c>
      <c r="H1" s="129"/>
    </row>
    <row r="2" spans="1:8" x14ac:dyDescent="0.45">
      <c r="A2" s="130">
        <v>100</v>
      </c>
      <c r="B2" s="131" t="s">
        <v>103</v>
      </c>
      <c r="C2" s="131"/>
      <c r="D2" s="131"/>
      <c r="E2" s="131">
        <v>1</v>
      </c>
      <c r="F2" s="132" t="str">
        <f t="shared" ref="F2:F111" si="0">A2&amp;E2</f>
        <v>1001</v>
      </c>
      <c r="G2" s="133" t="s">
        <v>104</v>
      </c>
      <c r="H2" s="129"/>
    </row>
    <row r="3" spans="1:8" x14ac:dyDescent="0.45">
      <c r="A3" s="130">
        <v>100</v>
      </c>
      <c r="B3" s="131" t="s">
        <v>103</v>
      </c>
      <c r="C3" s="131"/>
      <c r="D3" s="131"/>
      <c r="E3" s="131">
        <v>2</v>
      </c>
      <c r="F3" s="131" t="str">
        <f>A3&amp;E3</f>
        <v>1002</v>
      </c>
      <c r="G3" s="133" t="s">
        <v>105</v>
      </c>
      <c r="H3" s="129"/>
    </row>
    <row r="4" spans="1:8" x14ac:dyDescent="0.45">
      <c r="A4" s="130">
        <v>110</v>
      </c>
      <c r="B4" s="131" t="s">
        <v>106</v>
      </c>
      <c r="C4" s="131"/>
      <c r="D4" s="131"/>
      <c r="E4" s="131">
        <v>1</v>
      </c>
      <c r="F4" s="131" t="str">
        <f t="shared" si="0"/>
        <v>1101</v>
      </c>
      <c r="G4" s="133" t="s">
        <v>107</v>
      </c>
      <c r="H4" s="129"/>
    </row>
    <row r="5" spans="1:8" x14ac:dyDescent="0.45">
      <c r="A5" s="130">
        <v>110</v>
      </c>
      <c r="B5" s="131" t="s">
        <v>106</v>
      </c>
      <c r="C5" s="131"/>
      <c r="D5" s="131"/>
      <c r="E5" s="131">
        <v>2</v>
      </c>
      <c r="F5" s="131" t="str">
        <f t="shared" si="0"/>
        <v>1102</v>
      </c>
      <c r="G5" s="133" t="s">
        <v>108</v>
      </c>
      <c r="H5" s="129"/>
    </row>
    <row r="6" spans="1:8" x14ac:dyDescent="0.45">
      <c r="A6" s="130">
        <v>110</v>
      </c>
      <c r="B6" s="131" t="s">
        <v>106</v>
      </c>
      <c r="C6" s="131"/>
      <c r="D6" s="131"/>
      <c r="E6" s="131">
        <v>10</v>
      </c>
      <c r="F6" s="131" t="str">
        <f>A6&amp;E6</f>
        <v>11010</v>
      </c>
      <c r="G6" s="133" t="s">
        <v>109</v>
      </c>
      <c r="H6" s="129"/>
    </row>
    <row r="7" spans="1:8" x14ac:dyDescent="0.45">
      <c r="A7" s="130">
        <v>114</v>
      </c>
      <c r="B7" s="131" t="s">
        <v>110</v>
      </c>
      <c r="C7" s="131"/>
      <c r="D7" s="131"/>
      <c r="E7" s="131">
        <v>1</v>
      </c>
      <c r="F7" s="131" t="str">
        <f t="shared" si="0"/>
        <v>1141</v>
      </c>
      <c r="G7" s="133" t="s">
        <v>107</v>
      </c>
      <c r="H7" s="129"/>
    </row>
    <row r="8" spans="1:8" x14ac:dyDescent="0.45">
      <c r="A8" s="130">
        <v>114</v>
      </c>
      <c r="B8" s="131" t="s">
        <v>110</v>
      </c>
      <c r="C8" s="131"/>
      <c r="D8" s="131"/>
      <c r="E8" s="131">
        <v>2</v>
      </c>
      <c r="F8" s="131" t="str">
        <f t="shared" si="0"/>
        <v>1142</v>
      </c>
      <c r="G8" s="133" t="s">
        <v>108</v>
      </c>
      <c r="H8" s="129"/>
    </row>
    <row r="9" spans="1:8" x14ac:dyDescent="0.45">
      <c r="A9" s="130">
        <v>114</v>
      </c>
      <c r="B9" s="131" t="s">
        <v>110</v>
      </c>
      <c r="C9" s="131"/>
      <c r="D9" s="131"/>
      <c r="E9" s="131">
        <v>3</v>
      </c>
      <c r="F9" s="131" t="str">
        <f t="shared" si="0"/>
        <v>1143</v>
      </c>
      <c r="G9" s="133" t="s">
        <v>111</v>
      </c>
      <c r="H9" s="129"/>
    </row>
    <row r="10" spans="1:8" x14ac:dyDescent="0.45">
      <c r="A10" s="130">
        <v>114</v>
      </c>
      <c r="B10" s="131" t="s">
        <v>110</v>
      </c>
      <c r="C10" s="131"/>
      <c r="D10" s="131"/>
      <c r="E10" s="131">
        <v>4</v>
      </c>
      <c r="F10" s="131" t="str">
        <f>A10&amp;E10</f>
        <v>1144</v>
      </c>
      <c r="G10" s="133" t="s">
        <v>112</v>
      </c>
      <c r="H10" s="129"/>
    </row>
    <row r="11" spans="1:8" x14ac:dyDescent="0.45">
      <c r="A11" s="130">
        <v>114</v>
      </c>
      <c r="B11" s="131" t="s">
        <v>110</v>
      </c>
      <c r="C11" s="131"/>
      <c r="D11" s="131"/>
      <c r="E11" s="131">
        <v>5</v>
      </c>
      <c r="F11" s="131" t="str">
        <f>A11&amp;E11</f>
        <v>1145</v>
      </c>
      <c r="G11" s="133" t="s">
        <v>113</v>
      </c>
      <c r="H11" s="129"/>
    </row>
    <row r="12" spans="1:8" x14ac:dyDescent="0.45">
      <c r="A12" s="130">
        <v>114</v>
      </c>
      <c r="B12" s="131" t="s">
        <v>110</v>
      </c>
      <c r="C12" s="131"/>
      <c r="D12" s="131"/>
      <c r="E12" s="131">
        <v>6</v>
      </c>
      <c r="F12" s="131" t="str">
        <f>A12&amp;E12</f>
        <v>1146</v>
      </c>
      <c r="G12" s="133" t="s">
        <v>114</v>
      </c>
      <c r="H12" s="129"/>
    </row>
    <row r="13" spans="1:8" x14ac:dyDescent="0.45">
      <c r="A13" s="130">
        <v>114</v>
      </c>
      <c r="B13" s="131" t="s">
        <v>110</v>
      </c>
      <c r="C13" s="131"/>
      <c r="D13" s="131"/>
      <c r="E13" s="131">
        <v>7</v>
      </c>
      <c r="F13" s="131" t="str">
        <f>A13&amp;E13</f>
        <v>1147</v>
      </c>
      <c r="G13" s="133" t="s">
        <v>115</v>
      </c>
      <c r="H13" s="129"/>
    </row>
    <row r="14" spans="1:8" x14ac:dyDescent="0.45">
      <c r="A14" s="130">
        <v>114</v>
      </c>
      <c r="B14" s="131" t="s">
        <v>110</v>
      </c>
      <c r="C14" s="131"/>
      <c r="D14" s="131"/>
      <c r="E14" s="131">
        <v>8</v>
      </c>
      <c r="F14" s="131" t="str">
        <f>A14&amp;E14</f>
        <v>1148</v>
      </c>
      <c r="G14" s="133" t="s">
        <v>614</v>
      </c>
      <c r="H14" s="129"/>
    </row>
    <row r="15" spans="1:8" x14ac:dyDescent="0.45">
      <c r="A15" s="130">
        <v>121</v>
      </c>
      <c r="B15" s="131" t="s">
        <v>118</v>
      </c>
      <c r="C15" s="131"/>
      <c r="D15" s="131"/>
      <c r="E15" s="131">
        <v>1</v>
      </c>
      <c r="F15" s="131" t="str">
        <f t="shared" si="0"/>
        <v>1211</v>
      </c>
      <c r="G15" s="133" t="s">
        <v>107</v>
      </c>
      <c r="H15" s="129"/>
    </row>
    <row r="16" spans="1:8" x14ac:dyDescent="0.45">
      <c r="A16" s="130">
        <v>121</v>
      </c>
      <c r="B16" s="131" t="s">
        <v>118</v>
      </c>
      <c r="C16" s="131"/>
      <c r="D16" s="131"/>
      <c r="E16" s="131">
        <v>2</v>
      </c>
      <c r="F16" s="131" t="str">
        <f>A16&amp;E16</f>
        <v>1212</v>
      </c>
      <c r="G16" s="133" t="s">
        <v>108</v>
      </c>
      <c r="H16" s="129"/>
    </row>
    <row r="17" spans="1:8" x14ac:dyDescent="0.45">
      <c r="A17" s="130">
        <v>121</v>
      </c>
      <c r="B17" s="131" t="s">
        <v>118</v>
      </c>
      <c r="C17" s="131"/>
      <c r="D17" s="131"/>
      <c r="E17" s="131">
        <v>6</v>
      </c>
      <c r="F17" s="131" t="str">
        <f>A17&amp;E17</f>
        <v>1216</v>
      </c>
      <c r="G17" s="133" t="s">
        <v>114</v>
      </c>
      <c r="H17" s="129"/>
    </row>
    <row r="18" spans="1:8" x14ac:dyDescent="0.45">
      <c r="A18" s="130">
        <v>125</v>
      </c>
      <c r="B18" s="131" t="s">
        <v>119</v>
      </c>
      <c r="C18" s="131"/>
      <c r="D18" s="131"/>
      <c r="E18" s="131">
        <v>1</v>
      </c>
      <c r="F18" s="131" t="str">
        <f t="shared" si="0"/>
        <v>1251</v>
      </c>
      <c r="G18" s="133" t="s">
        <v>107</v>
      </c>
      <c r="H18" s="129"/>
    </row>
    <row r="19" spans="1:8" x14ac:dyDescent="0.45">
      <c r="A19" s="130">
        <v>125</v>
      </c>
      <c r="B19" s="131" t="s">
        <v>119</v>
      </c>
      <c r="C19" s="131"/>
      <c r="D19" s="131"/>
      <c r="E19" s="131">
        <v>2</v>
      </c>
      <c r="F19" s="131" t="str">
        <f>A19&amp;E19</f>
        <v>1252</v>
      </c>
      <c r="G19" s="133" t="s">
        <v>108</v>
      </c>
      <c r="H19" s="129"/>
    </row>
    <row r="20" spans="1:8" x14ac:dyDescent="0.45">
      <c r="A20" s="130">
        <v>130</v>
      </c>
      <c r="B20" s="131" t="s">
        <v>120</v>
      </c>
      <c r="C20" s="131"/>
      <c r="D20" s="131"/>
      <c r="E20" s="131"/>
      <c r="F20" s="131" t="str">
        <f t="shared" si="0"/>
        <v>130</v>
      </c>
      <c r="G20" s="133"/>
      <c r="H20" s="129"/>
    </row>
    <row r="21" spans="1:8" x14ac:dyDescent="0.45">
      <c r="A21" s="130">
        <v>131</v>
      </c>
      <c r="B21" s="131" t="s">
        <v>121</v>
      </c>
      <c r="C21" s="131"/>
      <c r="D21" s="131"/>
      <c r="E21" s="131">
        <v>1001</v>
      </c>
      <c r="F21" s="131" t="str">
        <f t="shared" si="0"/>
        <v>1311001</v>
      </c>
      <c r="G21" s="133" t="s">
        <v>122</v>
      </c>
      <c r="H21" s="129"/>
    </row>
    <row r="22" spans="1:8" x14ac:dyDescent="0.45">
      <c r="A22" s="130">
        <v>131</v>
      </c>
      <c r="B22" s="131" t="s">
        <v>121</v>
      </c>
      <c r="C22" s="131"/>
      <c r="D22" s="131"/>
      <c r="E22" s="131">
        <v>1012</v>
      </c>
      <c r="F22" s="131" t="str">
        <f t="shared" si="0"/>
        <v>1311012</v>
      </c>
      <c r="G22" s="133" t="s">
        <v>615</v>
      </c>
      <c r="H22" s="129"/>
    </row>
    <row r="23" spans="1:8" x14ac:dyDescent="0.45">
      <c r="A23" s="130">
        <v>131</v>
      </c>
      <c r="B23" s="131" t="s">
        <v>121</v>
      </c>
      <c r="C23" s="131"/>
      <c r="D23" s="131"/>
      <c r="E23" s="131">
        <v>1036</v>
      </c>
      <c r="F23" s="131" t="str">
        <f t="shared" si="0"/>
        <v>1311036</v>
      </c>
      <c r="G23" s="133" t="s">
        <v>123</v>
      </c>
      <c r="H23" s="129"/>
    </row>
    <row r="24" spans="1:8" x14ac:dyDescent="0.45">
      <c r="A24" s="130">
        <v>131</v>
      </c>
      <c r="B24" s="131" t="s">
        <v>616</v>
      </c>
      <c r="C24" s="131"/>
      <c r="D24" s="131"/>
      <c r="E24" s="131">
        <v>1037</v>
      </c>
      <c r="F24" s="131" t="str">
        <f>A24&amp;E24</f>
        <v>1311037</v>
      </c>
      <c r="G24" s="133" t="s">
        <v>617</v>
      </c>
      <c r="H24" s="129"/>
    </row>
    <row r="25" spans="1:8" x14ac:dyDescent="0.45">
      <c r="A25" s="130">
        <v>131</v>
      </c>
      <c r="B25" s="131" t="s">
        <v>616</v>
      </c>
      <c r="C25" s="131"/>
      <c r="D25" s="131"/>
      <c r="E25" s="131">
        <v>1039</v>
      </c>
      <c r="F25" s="131" t="str">
        <f>A25&amp;E25</f>
        <v>1311039</v>
      </c>
      <c r="G25" s="133" t="s">
        <v>618</v>
      </c>
      <c r="H25" s="129"/>
    </row>
    <row r="26" spans="1:8" x14ac:dyDescent="0.45">
      <c r="A26" s="130">
        <v>131</v>
      </c>
      <c r="B26" s="131" t="s">
        <v>121</v>
      </c>
      <c r="C26" s="131"/>
      <c r="D26" s="131"/>
      <c r="E26" s="131">
        <v>1201</v>
      </c>
      <c r="F26" s="131" t="str">
        <f t="shared" si="0"/>
        <v>1311201</v>
      </c>
      <c r="G26" s="133" t="s">
        <v>124</v>
      </c>
      <c r="H26" s="129"/>
    </row>
    <row r="27" spans="1:8" x14ac:dyDescent="0.45">
      <c r="A27" s="130">
        <v>131</v>
      </c>
      <c r="B27" s="131" t="s">
        <v>121</v>
      </c>
      <c r="C27" s="131"/>
      <c r="D27" s="131"/>
      <c r="E27" s="131">
        <v>1243</v>
      </c>
      <c r="F27" s="131" t="str">
        <f t="shared" si="0"/>
        <v>1311243</v>
      </c>
      <c r="G27" s="133" t="s">
        <v>125</v>
      </c>
      <c r="H27" s="129"/>
    </row>
    <row r="28" spans="1:8" x14ac:dyDescent="0.45">
      <c r="A28" s="130">
        <v>131</v>
      </c>
      <c r="B28" s="131" t="s">
        <v>121</v>
      </c>
      <c r="C28" s="131"/>
      <c r="D28" s="131"/>
      <c r="E28" s="131">
        <v>1244</v>
      </c>
      <c r="F28" s="131" t="str">
        <f>A28&amp;E28</f>
        <v>1311244</v>
      </c>
      <c r="G28" s="133" t="s">
        <v>619</v>
      </c>
      <c r="H28" s="129"/>
    </row>
    <row r="29" spans="1:8" x14ac:dyDescent="0.45">
      <c r="A29" s="130">
        <v>131</v>
      </c>
      <c r="B29" s="131" t="s">
        <v>121</v>
      </c>
      <c r="C29" s="131"/>
      <c r="D29" s="131"/>
      <c r="E29" s="131">
        <v>1608</v>
      </c>
      <c r="F29" s="131" t="str">
        <f t="shared" si="0"/>
        <v>1311608</v>
      </c>
      <c r="G29" s="133" t="s">
        <v>126</v>
      </c>
      <c r="H29" s="129"/>
    </row>
    <row r="30" spans="1:8" x14ac:dyDescent="0.45">
      <c r="A30" s="130">
        <v>131</v>
      </c>
      <c r="B30" s="131" t="s">
        <v>121</v>
      </c>
      <c r="C30" s="131"/>
      <c r="D30" s="131"/>
      <c r="E30" s="131">
        <v>1617</v>
      </c>
      <c r="F30" s="131" t="str">
        <f t="shared" si="0"/>
        <v>1311617</v>
      </c>
      <c r="G30" s="133" t="s">
        <v>127</v>
      </c>
      <c r="H30" s="129"/>
    </row>
    <row r="31" spans="1:8" x14ac:dyDescent="0.45">
      <c r="A31" s="130">
        <v>131</v>
      </c>
      <c r="B31" s="131" t="s">
        <v>121</v>
      </c>
      <c r="C31" s="131"/>
      <c r="D31" s="131"/>
      <c r="E31" s="131">
        <v>1803</v>
      </c>
      <c r="F31" s="131" t="str">
        <f t="shared" si="0"/>
        <v>1311803</v>
      </c>
      <c r="G31" s="133" t="s">
        <v>128</v>
      </c>
      <c r="H31" s="129"/>
    </row>
    <row r="32" spans="1:8" x14ac:dyDescent="0.45">
      <c r="A32" s="130">
        <v>131</v>
      </c>
      <c r="B32" s="131" t="s">
        <v>121</v>
      </c>
      <c r="C32" s="131"/>
      <c r="D32" s="131"/>
      <c r="E32" s="131">
        <v>1805</v>
      </c>
      <c r="F32" s="131" t="str">
        <f t="shared" si="0"/>
        <v>1311805</v>
      </c>
      <c r="G32" s="133" t="s">
        <v>620</v>
      </c>
      <c r="H32" s="129"/>
    </row>
    <row r="33" spans="1:8" x14ac:dyDescent="0.45">
      <c r="A33" s="130">
        <v>131</v>
      </c>
      <c r="B33" s="131" t="s">
        <v>121</v>
      </c>
      <c r="C33" s="131"/>
      <c r="D33" s="131"/>
      <c r="E33" s="131">
        <v>1816</v>
      </c>
      <c r="F33" s="131" t="str">
        <f t="shared" si="0"/>
        <v>1311816</v>
      </c>
      <c r="G33" s="133" t="s">
        <v>129</v>
      </c>
      <c r="H33" s="129"/>
    </row>
    <row r="34" spans="1:8" x14ac:dyDescent="0.45">
      <c r="A34" s="130">
        <v>131</v>
      </c>
      <c r="B34" s="131" t="s">
        <v>121</v>
      </c>
      <c r="C34" s="131"/>
      <c r="D34" s="131"/>
      <c r="E34" s="131">
        <v>1855</v>
      </c>
      <c r="F34" s="131" t="str">
        <f t="shared" si="0"/>
        <v>1311855</v>
      </c>
      <c r="G34" s="133" t="s">
        <v>130</v>
      </c>
      <c r="H34" s="129"/>
    </row>
    <row r="35" spans="1:8" x14ac:dyDescent="0.45">
      <c r="A35" s="130">
        <v>131</v>
      </c>
      <c r="B35" s="131" t="s">
        <v>121</v>
      </c>
      <c r="C35" s="131"/>
      <c r="D35" s="131"/>
      <c r="E35" s="131">
        <v>2010</v>
      </c>
      <c r="F35" s="131" t="str">
        <f t="shared" si="0"/>
        <v>1312010</v>
      </c>
      <c r="G35" s="133" t="s">
        <v>131</v>
      </c>
      <c r="H35" s="129"/>
    </row>
    <row r="36" spans="1:8" x14ac:dyDescent="0.45">
      <c r="A36" s="130">
        <v>131</v>
      </c>
      <c r="B36" s="131" t="s">
        <v>121</v>
      </c>
      <c r="C36" s="131"/>
      <c r="D36" s="131"/>
      <c r="E36" s="131">
        <v>2011</v>
      </c>
      <c r="F36" s="131" t="str">
        <f t="shared" si="0"/>
        <v>1312011</v>
      </c>
      <c r="G36" s="133" t="s">
        <v>132</v>
      </c>
      <c r="H36" s="129"/>
    </row>
    <row r="37" spans="1:8" x14ac:dyDescent="0.45">
      <c r="A37" s="130">
        <v>131</v>
      </c>
      <c r="B37" s="131" t="s">
        <v>121</v>
      </c>
      <c r="C37" s="131"/>
      <c r="D37" s="131"/>
      <c r="E37" s="131">
        <v>2012</v>
      </c>
      <c r="F37" s="131" t="str">
        <f t="shared" si="0"/>
        <v>1312012</v>
      </c>
      <c r="G37" s="133" t="s">
        <v>133</v>
      </c>
      <c r="H37" s="129"/>
    </row>
    <row r="38" spans="1:8" x14ac:dyDescent="0.45">
      <c r="A38" s="130">
        <v>131</v>
      </c>
      <c r="B38" s="131" t="s">
        <v>121</v>
      </c>
      <c r="C38" s="131"/>
      <c r="D38" s="131"/>
      <c r="E38" s="131">
        <v>2013</v>
      </c>
      <c r="F38" s="131" t="str">
        <f t="shared" si="0"/>
        <v>1312013</v>
      </c>
      <c r="G38" s="133" t="s">
        <v>621</v>
      </c>
      <c r="H38" s="129"/>
    </row>
    <row r="39" spans="1:8" x14ac:dyDescent="0.45">
      <c r="A39" s="130">
        <v>131</v>
      </c>
      <c r="B39" s="131" t="s">
        <v>121</v>
      </c>
      <c r="C39" s="131"/>
      <c r="D39" s="131"/>
      <c r="E39" s="131">
        <v>2016</v>
      </c>
      <c r="F39" s="131" t="str">
        <f>A39&amp;E39</f>
        <v>1312016</v>
      </c>
      <c r="G39" s="133" t="s">
        <v>622</v>
      </c>
      <c r="H39" s="129"/>
    </row>
    <row r="40" spans="1:8" x14ac:dyDescent="0.45">
      <c r="A40" s="130">
        <v>131</v>
      </c>
      <c r="B40" s="131" t="s">
        <v>121</v>
      </c>
      <c r="C40" s="131"/>
      <c r="D40" s="131"/>
      <c r="E40" s="131">
        <v>2017</v>
      </c>
      <c r="F40" s="131" t="str">
        <f t="shared" si="0"/>
        <v>1312017</v>
      </c>
      <c r="G40" s="133" t="s">
        <v>135</v>
      </c>
      <c r="H40" s="129"/>
    </row>
    <row r="41" spans="1:8" x14ac:dyDescent="0.45">
      <c r="A41" s="130">
        <v>131</v>
      </c>
      <c r="B41" s="131" t="s">
        <v>121</v>
      </c>
      <c r="C41" s="131"/>
      <c r="D41" s="131"/>
      <c r="E41" s="131">
        <v>2080</v>
      </c>
      <c r="F41" s="131" t="str">
        <f>A41&amp;E41</f>
        <v>1312080</v>
      </c>
      <c r="G41" s="133" t="s">
        <v>623</v>
      </c>
      <c r="H41" s="129"/>
    </row>
    <row r="42" spans="1:8" x14ac:dyDescent="0.45">
      <c r="A42" s="130">
        <v>131</v>
      </c>
      <c r="B42" s="131" t="s">
        <v>121</v>
      </c>
      <c r="C42" s="131"/>
      <c r="D42" s="131"/>
      <c r="E42" s="131">
        <v>2026</v>
      </c>
      <c r="F42" s="131" t="str">
        <f t="shared" si="0"/>
        <v>1312026</v>
      </c>
      <c r="G42" s="133" t="s">
        <v>136</v>
      </c>
      <c r="H42" s="129"/>
    </row>
    <row r="43" spans="1:8" x14ac:dyDescent="0.45">
      <c r="A43" s="130">
        <v>131</v>
      </c>
      <c r="B43" s="131" t="s">
        <v>121</v>
      </c>
      <c r="C43" s="131"/>
      <c r="D43" s="131"/>
      <c r="E43" s="131">
        <v>2045</v>
      </c>
      <c r="F43" s="131" t="str">
        <f t="shared" si="0"/>
        <v>1312045</v>
      </c>
      <c r="G43" s="133" t="s">
        <v>137</v>
      </c>
      <c r="H43" s="129"/>
    </row>
    <row r="44" spans="1:8" x14ac:dyDescent="0.45">
      <c r="A44" s="130">
        <v>131</v>
      </c>
      <c r="B44" s="131" t="s">
        <v>121</v>
      </c>
      <c r="C44" s="131"/>
      <c r="D44" s="131"/>
      <c r="E44" s="131">
        <v>2047</v>
      </c>
      <c r="F44" s="131" t="str">
        <f>A44&amp;E44</f>
        <v>1312047</v>
      </c>
      <c r="G44" s="133" t="s">
        <v>624</v>
      </c>
      <c r="H44" s="129"/>
    </row>
    <row r="45" spans="1:8" x14ac:dyDescent="0.45">
      <c r="A45" s="130">
        <v>131</v>
      </c>
      <c r="B45" s="131" t="s">
        <v>121</v>
      </c>
      <c r="C45" s="131"/>
      <c r="D45" s="131"/>
      <c r="E45" s="131">
        <v>2070</v>
      </c>
      <c r="F45" s="131" t="str">
        <f t="shared" si="0"/>
        <v>1312070</v>
      </c>
      <c r="G45" s="133" t="s">
        <v>138</v>
      </c>
      <c r="H45" s="129"/>
    </row>
    <row r="46" spans="1:8" x14ac:dyDescent="0.45">
      <c r="A46" s="130">
        <v>131</v>
      </c>
      <c r="B46" s="131" t="s">
        <v>121</v>
      </c>
      <c r="C46" s="131"/>
      <c r="D46" s="131"/>
      <c r="E46" s="131">
        <v>2079</v>
      </c>
      <c r="F46" s="131" t="str">
        <f t="shared" si="0"/>
        <v>1312079</v>
      </c>
      <c r="G46" s="133" t="s">
        <v>625</v>
      </c>
      <c r="H46" s="129"/>
    </row>
    <row r="47" spans="1:8" x14ac:dyDescent="0.45">
      <c r="A47" s="130">
        <v>131</v>
      </c>
      <c r="B47" s="131" t="s">
        <v>121</v>
      </c>
      <c r="C47" s="131"/>
      <c r="D47" s="131"/>
      <c r="E47" s="131">
        <v>2081</v>
      </c>
      <c r="F47" s="131" t="str">
        <f t="shared" si="0"/>
        <v>1312081</v>
      </c>
      <c r="G47" s="133" t="s">
        <v>139</v>
      </c>
      <c r="H47" s="129"/>
    </row>
    <row r="48" spans="1:8" x14ac:dyDescent="0.45">
      <c r="A48" s="130">
        <v>131</v>
      </c>
      <c r="B48" s="131" t="s">
        <v>121</v>
      </c>
      <c r="C48" s="131"/>
      <c r="D48" s="131"/>
      <c r="E48" s="131">
        <v>2082</v>
      </c>
      <c r="F48" s="131" t="str">
        <f t="shared" si="0"/>
        <v>1312082</v>
      </c>
      <c r="G48" s="133" t="s">
        <v>626</v>
      </c>
      <c r="H48" s="129"/>
    </row>
    <row r="49" spans="1:8" x14ac:dyDescent="0.45">
      <c r="A49" s="130">
        <v>131</v>
      </c>
      <c r="B49" s="131" t="s">
        <v>121</v>
      </c>
      <c r="C49" s="131"/>
      <c r="D49" s="131"/>
      <c r="E49" s="131">
        <v>2083</v>
      </c>
      <c r="F49" s="131" t="str">
        <f t="shared" si="0"/>
        <v>1312083</v>
      </c>
      <c r="G49" s="133" t="s">
        <v>627</v>
      </c>
      <c r="H49" s="129"/>
    </row>
    <row r="50" spans="1:8" x14ac:dyDescent="0.45">
      <c r="A50" s="130">
        <v>131</v>
      </c>
      <c r="B50" s="131" t="s">
        <v>121</v>
      </c>
      <c r="C50" s="131"/>
      <c r="D50" s="131"/>
      <c r="E50" s="131">
        <v>2084</v>
      </c>
      <c r="F50" s="131" t="str">
        <f t="shared" si="0"/>
        <v>1312084</v>
      </c>
      <c r="G50" s="133" t="s">
        <v>628</v>
      </c>
      <c r="H50" s="129"/>
    </row>
    <row r="51" spans="1:8" x14ac:dyDescent="0.45">
      <c r="A51" s="130">
        <v>131</v>
      </c>
      <c r="B51" s="131" t="s">
        <v>121</v>
      </c>
      <c r="C51" s="131"/>
      <c r="D51" s="131"/>
      <c r="E51" s="131">
        <v>2234</v>
      </c>
      <c r="F51" s="131" t="str">
        <f t="shared" si="0"/>
        <v>1312234</v>
      </c>
      <c r="G51" s="133" t="s">
        <v>629</v>
      </c>
      <c r="H51" s="129"/>
    </row>
    <row r="52" spans="1:8" x14ac:dyDescent="0.45">
      <c r="A52" s="130">
        <v>131</v>
      </c>
      <c r="B52" s="131" t="s">
        <v>121</v>
      </c>
      <c r="C52" s="131"/>
      <c r="D52" s="131"/>
      <c r="E52" s="131">
        <v>2401</v>
      </c>
      <c r="F52" s="131" t="str">
        <f t="shared" si="0"/>
        <v>1312401</v>
      </c>
      <c r="G52" s="133" t="s">
        <v>140</v>
      </c>
      <c r="H52" s="129"/>
    </row>
    <row r="53" spans="1:8" x14ac:dyDescent="0.45">
      <c r="A53" s="130">
        <v>131</v>
      </c>
      <c r="B53" s="131" t="s">
        <v>121</v>
      </c>
      <c r="C53" s="131"/>
      <c r="D53" s="131"/>
      <c r="E53" s="131">
        <v>2430</v>
      </c>
      <c r="F53" s="131" t="str">
        <f t="shared" si="0"/>
        <v>1312430</v>
      </c>
      <c r="G53" s="133" t="s">
        <v>141</v>
      </c>
      <c r="H53" s="129"/>
    </row>
    <row r="54" spans="1:8" x14ac:dyDescent="0.45">
      <c r="A54" s="130">
        <v>131</v>
      </c>
      <c r="B54" s="131" t="s">
        <v>121</v>
      </c>
      <c r="C54" s="131"/>
      <c r="D54" s="131"/>
      <c r="E54" s="131">
        <v>2607</v>
      </c>
      <c r="F54" s="131" t="str">
        <f t="shared" si="0"/>
        <v>1312607</v>
      </c>
      <c r="G54" s="133" t="s">
        <v>142</v>
      </c>
      <c r="H54" s="129"/>
    </row>
    <row r="55" spans="1:8" x14ac:dyDescent="0.45">
      <c r="A55" s="130">
        <v>131</v>
      </c>
      <c r="B55" s="131" t="s">
        <v>121</v>
      </c>
      <c r="C55" s="131"/>
      <c r="D55" s="131"/>
      <c r="E55" s="131">
        <v>2827</v>
      </c>
      <c r="F55" s="131" t="str">
        <f t="shared" si="0"/>
        <v>1312827</v>
      </c>
      <c r="G55" s="133" t="s">
        <v>143</v>
      </c>
      <c r="H55" s="129"/>
    </row>
    <row r="56" spans="1:8" x14ac:dyDescent="0.45">
      <c r="A56" s="130">
        <v>131</v>
      </c>
      <c r="B56" s="131" t="s">
        <v>121</v>
      </c>
      <c r="C56" s="131"/>
      <c r="D56" s="131"/>
      <c r="E56" s="131">
        <v>2843</v>
      </c>
      <c r="F56" s="131" t="str">
        <f>A56&amp;E56</f>
        <v>1312843</v>
      </c>
      <c r="G56" s="133" t="s">
        <v>630</v>
      </c>
      <c r="H56" s="129"/>
    </row>
    <row r="57" spans="1:8" x14ac:dyDescent="0.45">
      <c r="A57" s="130">
        <v>131</v>
      </c>
      <c r="B57" s="131" t="s">
        <v>121</v>
      </c>
      <c r="C57" s="131"/>
      <c r="D57" s="131"/>
      <c r="E57" s="131">
        <v>2846</v>
      </c>
      <c r="F57" s="131" t="str">
        <f t="shared" si="0"/>
        <v>1312846</v>
      </c>
      <c r="G57" s="133" t="s">
        <v>144</v>
      </c>
      <c r="H57" s="129"/>
    </row>
    <row r="58" spans="1:8" x14ac:dyDescent="0.45">
      <c r="A58" s="130">
        <v>131</v>
      </c>
      <c r="B58" s="131" t="s">
        <v>121</v>
      </c>
      <c r="C58" s="131"/>
      <c r="D58" s="131"/>
      <c r="E58" s="131">
        <v>3001</v>
      </c>
      <c r="F58" s="131" t="str">
        <f t="shared" si="0"/>
        <v>1313001</v>
      </c>
      <c r="G58" s="133" t="s">
        <v>145</v>
      </c>
      <c r="H58" s="129"/>
    </row>
    <row r="59" spans="1:8" x14ac:dyDescent="0.45">
      <c r="A59" s="130">
        <v>131</v>
      </c>
      <c r="B59" s="131" t="s">
        <v>121</v>
      </c>
      <c r="C59" s="131"/>
      <c r="D59" s="131"/>
      <c r="E59" s="131">
        <v>3013</v>
      </c>
      <c r="F59" s="131" t="str">
        <f t="shared" si="0"/>
        <v>1313013</v>
      </c>
      <c r="G59" s="133" t="s">
        <v>146</v>
      </c>
      <c r="H59" s="129"/>
    </row>
    <row r="60" spans="1:8" x14ac:dyDescent="0.45">
      <c r="A60" s="130">
        <v>131</v>
      </c>
      <c r="B60" s="131" t="s">
        <v>121</v>
      </c>
      <c r="C60" s="131"/>
      <c r="D60" s="131"/>
      <c r="E60" s="131">
        <v>3028</v>
      </c>
      <c r="F60" s="131" t="str">
        <f t="shared" si="0"/>
        <v>1313028</v>
      </c>
      <c r="G60" s="133" t="s">
        <v>147</v>
      </c>
      <c r="H60" s="129"/>
    </row>
    <row r="61" spans="1:8" x14ac:dyDescent="0.45">
      <c r="A61" s="130">
        <v>131</v>
      </c>
      <c r="B61" s="131" t="s">
        <v>121</v>
      </c>
      <c r="C61" s="131"/>
      <c r="D61" s="131"/>
      <c r="E61" s="131">
        <v>3075</v>
      </c>
      <c r="F61" s="131" t="str">
        <f>A61&amp;E61</f>
        <v>1313075</v>
      </c>
      <c r="G61" s="133" t="s">
        <v>631</v>
      </c>
      <c r="H61" s="129"/>
    </row>
    <row r="62" spans="1:8" x14ac:dyDescent="0.45">
      <c r="A62" s="130">
        <v>131</v>
      </c>
      <c r="B62" s="131" t="s">
        <v>121</v>
      </c>
      <c r="C62" s="131"/>
      <c r="D62" s="131"/>
      <c r="E62" s="131">
        <v>3084</v>
      </c>
      <c r="F62" s="131" t="str">
        <f>A62&amp;E62</f>
        <v>1313084</v>
      </c>
      <c r="G62" s="133" t="s">
        <v>632</v>
      </c>
      <c r="H62" s="129"/>
    </row>
    <row r="63" spans="1:8" x14ac:dyDescent="0.45">
      <c r="A63" s="130">
        <v>131</v>
      </c>
      <c r="B63" s="131" t="s">
        <v>121</v>
      </c>
      <c r="C63" s="131"/>
      <c r="D63" s="131"/>
      <c r="E63" s="131">
        <v>3201</v>
      </c>
      <c r="F63" s="131" t="str">
        <f t="shared" si="0"/>
        <v>1313201</v>
      </c>
      <c r="G63" s="133" t="s">
        <v>148</v>
      </c>
      <c r="H63" s="129"/>
    </row>
    <row r="64" spans="1:8" x14ac:dyDescent="0.45">
      <c r="A64" s="130">
        <v>131</v>
      </c>
      <c r="B64" s="131" t="s">
        <v>121</v>
      </c>
      <c r="C64" s="131"/>
      <c r="D64" s="131"/>
      <c r="E64" s="131">
        <v>3202</v>
      </c>
      <c r="F64" s="131" t="str">
        <f t="shared" si="0"/>
        <v>1313202</v>
      </c>
      <c r="G64" s="133" t="s">
        <v>149</v>
      </c>
      <c r="H64" s="129"/>
    </row>
    <row r="65" spans="1:8" x14ac:dyDescent="0.45">
      <c r="A65" s="130">
        <v>131</v>
      </c>
      <c r="B65" s="131" t="s">
        <v>121</v>
      </c>
      <c r="C65" s="131"/>
      <c r="D65" s="131"/>
      <c r="E65" s="131">
        <v>3203</v>
      </c>
      <c r="F65" s="131" t="str">
        <f t="shared" si="0"/>
        <v>1313203</v>
      </c>
      <c r="G65" s="133" t="s">
        <v>150</v>
      </c>
      <c r="H65" s="129"/>
    </row>
    <row r="66" spans="1:8" x14ac:dyDescent="0.45">
      <c r="A66" s="130">
        <v>131</v>
      </c>
      <c r="B66" s="131" t="s">
        <v>121</v>
      </c>
      <c r="C66" s="131"/>
      <c r="D66" s="131"/>
      <c r="E66" s="131">
        <v>3210</v>
      </c>
      <c r="F66" s="131" t="str">
        <f t="shared" si="0"/>
        <v>1313210</v>
      </c>
      <c r="G66" s="133" t="s">
        <v>151</v>
      </c>
      <c r="H66" s="129"/>
    </row>
    <row r="67" spans="1:8" x14ac:dyDescent="0.45">
      <c r="A67" s="130">
        <v>131</v>
      </c>
      <c r="B67" s="131" t="s">
        <v>121</v>
      </c>
      <c r="C67" s="131"/>
      <c r="D67" s="131"/>
      <c r="E67" s="131">
        <v>3211</v>
      </c>
      <c r="F67" s="131" t="str">
        <f t="shared" si="0"/>
        <v>1313211</v>
      </c>
      <c r="G67" s="133" t="s">
        <v>152</v>
      </c>
      <c r="H67" s="129"/>
    </row>
    <row r="68" spans="1:8" x14ac:dyDescent="0.45">
      <c r="A68" s="130">
        <v>131</v>
      </c>
      <c r="B68" s="131" t="s">
        <v>121</v>
      </c>
      <c r="C68" s="131"/>
      <c r="D68" s="131"/>
      <c r="E68" s="131">
        <v>3212</v>
      </c>
      <c r="F68" s="131" t="str">
        <f t="shared" si="0"/>
        <v>1313212</v>
      </c>
      <c r="G68" s="133" t="s">
        <v>633</v>
      </c>
      <c r="H68" s="129"/>
    </row>
    <row r="69" spans="1:8" x14ac:dyDescent="0.45">
      <c r="A69" s="130">
        <v>131</v>
      </c>
      <c r="B69" s="131" t="s">
        <v>121</v>
      </c>
      <c r="C69" s="131"/>
      <c r="D69" s="131"/>
      <c r="E69" s="131">
        <v>3214</v>
      </c>
      <c r="F69" s="131" t="str">
        <f>A69&amp;E69</f>
        <v>1313214</v>
      </c>
      <c r="G69" s="133" t="s">
        <v>634</v>
      </c>
      <c r="H69" s="129"/>
    </row>
    <row r="70" spans="1:8" x14ac:dyDescent="0.45">
      <c r="A70" s="130">
        <v>131</v>
      </c>
      <c r="B70" s="131" t="s">
        <v>121</v>
      </c>
      <c r="C70" s="131"/>
      <c r="D70" s="131"/>
      <c r="E70" s="131">
        <v>3218</v>
      </c>
      <c r="F70" s="131" t="str">
        <f t="shared" si="0"/>
        <v>1313218</v>
      </c>
      <c r="G70" s="133" t="s">
        <v>154</v>
      </c>
      <c r="H70" s="129"/>
    </row>
    <row r="71" spans="1:8" x14ac:dyDescent="0.45">
      <c r="A71" s="130">
        <v>131</v>
      </c>
      <c r="B71" s="131" t="s">
        <v>121</v>
      </c>
      <c r="C71" s="131"/>
      <c r="D71" s="131"/>
      <c r="E71" s="131">
        <v>3219</v>
      </c>
      <c r="F71" s="131" t="str">
        <f>A71&amp;E71</f>
        <v>1313219</v>
      </c>
      <c r="G71" s="133" t="s">
        <v>635</v>
      </c>
      <c r="H71" s="129"/>
    </row>
    <row r="72" spans="1:8" x14ac:dyDescent="0.45">
      <c r="A72" s="130">
        <v>131</v>
      </c>
      <c r="B72" s="131" t="s">
        <v>121</v>
      </c>
      <c r="C72" s="131"/>
      <c r="D72" s="131"/>
      <c r="E72" s="131">
        <v>3236</v>
      </c>
      <c r="F72" s="131" t="str">
        <f t="shared" si="0"/>
        <v>1313236</v>
      </c>
      <c r="G72" s="133" t="s">
        <v>636</v>
      </c>
      <c r="H72" s="129"/>
    </row>
    <row r="73" spans="1:8" x14ac:dyDescent="0.45">
      <c r="A73" s="130">
        <v>131</v>
      </c>
      <c r="B73" s="131" t="s">
        <v>121</v>
      </c>
      <c r="C73" s="131"/>
      <c r="D73" s="131"/>
      <c r="E73" s="131">
        <v>3241</v>
      </c>
      <c r="F73" s="131" t="str">
        <f>A73&amp;E73</f>
        <v>1313241</v>
      </c>
      <c r="G73" s="133" t="s">
        <v>637</v>
      </c>
      <c r="H73" s="129"/>
    </row>
    <row r="74" spans="1:8" x14ac:dyDescent="0.45">
      <c r="A74" s="130">
        <v>131</v>
      </c>
      <c r="B74" s="131" t="s">
        <v>121</v>
      </c>
      <c r="C74" s="131"/>
      <c r="D74" s="131"/>
      <c r="E74" s="131">
        <v>3245</v>
      </c>
      <c r="F74" s="131" t="str">
        <f t="shared" si="0"/>
        <v>1313245</v>
      </c>
      <c r="G74" s="133" t="s">
        <v>638</v>
      </c>
      <c r="H74" s="129"/>
    </row>
    <row r="75" spans="1:8" x14ac:dyDescent="0.45">
      <c r="A75" s="130">
        <v>131</v>
      </c>
      <c r="B75" s="131" t="s">
        <v>121</v>
      </c>
      <c r="C75" s="131"/>
      <c r="D75" s="131"/>
      <c r="E75" s="131">
        <v>3264</v>
      </c>
      <c r="F75" s="131" t="str">
        <f>A75&amp;E75</f>
        <v>1313264</v>
      </c>
      <c r="G75" s="133" t="s">
        <v>639</v>
      </c>
      <c r="H75" s="129"/>
    </row>
    <row r="76" spans="1:8" x14ac:dyDescent="0.45">
      <c r="A76" s="130">
        <v>131</v>
      </c>
      <c r="B76" s="131" t="s">
        <v>121</v>
      </c>
      <c r="C76" s="131"/>
      <c r="D76" s="131"/>
      <c r="E76" s="131">
        <v>3277</v>
      </c>
      <c r="F76" s="131" t="str">
        <f>A76&amp;E76</f>
        <v>1313277</v>
      </c>
      <c r="G76" s="133" t="s">
        <v>640</v>
      </c>
      <c r="H76" s="129"/>
    </row>
    <row r="77" spans="1:8" x14ac:dyDescent="0.45">
      <c r="A77" s="130">
        <v>131</v>
      </c>
      <c r="B77" s="131" t="s">
        <v>121</v>
      </c>
      <c r="C77" s="131"/>
      <c r="D77" s="131"/>
      <c r="E77" s="131">
        <v>3279</v>
      </c>
      <c r="F77" s="131" t="str">
        <f>A77&amp;E77</f>
        <v>1313279</v>
      </c>
      <c r="G77" s="133" t="s">
        <v>641</v>
      </c>
      <c r="H77" s="129"/>
    </row>
    <row r="78" spans="1:8" x14ac:dyDescent="0.45">
      <c r="A78" s="130">
        <v>131</v>
      </c>
      <c r="B78" s="131" t="s">
        <v>121</v>
      </c>
      <c r="C78" s="131"/>
      <c r="D78" s="131"/>
      <c r="E78" s="131">
        <v>3281</v>
      </c>
      <c r="F78" s="131" t="str">
        <f>A78&amp;E78</f>
        <v>1313281</v>
      </c>
      <c r="G78" s="133" t="s">
        <v>642</v>
      </c>
      <c r="H78" s="129"/>
    </row>
    <row r="79" spans="1:8" x14ac:dyDescent="0.45">
      <c r="A79" s="130">
        <v>131</v>
      </c>
      <c r="B79" s="131" t="s">
        <v>121</v>
      </c>
      <c r="C79" s="131"/>
      <c r="D79" s="131"/>
      <c r="E79" s="131">
        <v>3282</v>
      </c>
      <c r="F79" s="131" t="str">
        <f>A79&amp;E79</f>
        <v>1313282</v>
      </c>
      <c r="G79" s="133" t="s">
        <v>643</v>
      </c>
      <c r="H79" s="129"/>
    </row>
    <row r="80" spans="1:8" x14ac:dyDescent="0.45">
      <c r="A80" s="130">
        <v>131</v>
      </c>
      <c r="B80" s="131" t="s">
        <v>121</v>
      </c>
      <c r="C80" s="131"/>
      <c r="D80" s="131"/>
      <c r="E80" s="131">
        <v>3415</v>
      </c>
      <c r="F80" s="131" t="str">
        <f t="shared" si="0"/>
        <v>1313415</v>
      </c>
      <c r="G80" s="133" t="s">
        <v>644</v>
      </c>
      <c r="H80" s="129"/>
    </row>
    <row r="81" spans="1:8" x14ac:dyDescent="0.45">
      <c r="A81" s="130">
        <v>131</v>
      </c>
      <c r="B81" s="131" t="s">
        <v>121</v>
      </c>
      <c r="C81" s="131"/>
      <c r="D81" s="131"/>
      <c r="E81" s="131">
        <v>3420</v>
      </c>
      <c r="F81" s="131" t="str">
        <f>A81&amp;E81</f>
        <v>1313420</v>
      </c>
      <c r="G81" s="133" t="s">
        <v>645</v>
      </c>
      <c r="H81" s="129"/>
    </row>
    <row r="82" spans="1:8" x14ac:dyDescent="0.45">
      <c r="A82" s="130">
        <v>131</v>
      </c>
      <c r="B82" s="131" t="s">
        <v>121</v>
      </c>
      <c r="C82" s="131"/>
      <c r="D82" s="131"/>
      <c r="E82" s="131">
        <v>3609</v>
      </c>
      <c r="F82" s="131" t="str">
        <f t="shared" si="0"/>
        <v>1313609</v>
      </c>
      <c r="G82" s="133" t="s">
        <v>646</v>
      </c>
      <c r="H82" s="129"/>
    </row>
    <row r="83" spans="1:8" x14ac:dyDescent="0.45">
      <c r="A83" s="130">
        <v>131</v>
      </c>
      <c r="B83" s="131" t="s">
        <v>121</v>
      </c>
      <c r="C83" s="131"/>
      <c r="D83" s="131"/>
      <c r="E83" s="131">
        <v>4028</v>
      </c>
      <c r="F83" s="131" t="str">
        <f t="shared" si="0"/>
        <v>1314028</v>
      </c>
      <c r="G83" s="133" t="s">
        <v>158</v>
      </c>
      <c r="H83" s="129"/>
    </row>
    <row r="84" spans="1:8" x14ac:dyDescent="0.45">
      <c r="A84" s="130">
        <v>131</v>
      </c>
      <c r="B84" s="131" t="s">
        <v>121</v>
      </c>
      <c r="C84" s="131"/>
      <c r="D84" s="131"/>
      <c r="E84" s="131">
        <v>4052</v>
      </c>
      <c r="F84" s="131" t="str">
        <f>A84&amp;E84</f>
        <v>1314052</v>
      </c>
      <c r="G84" s="133" t="s">
        <v>647</v>
      </c>
      <c r="H84" s="129"/>
    </row>
    <row r="85" spans="1:8" x14ac:dyDescent="0.45">
      <c r="A85" s="130">
        <v>131</v>
      </c>
      <c r="B85" s="131" t="s">
        <v>121</v>
      </c>
      <c r="C85" s="131"/>
      <c r="D85" s="131"/>
      <c r="E85" s="131">
        <v>4204</v>
      </c>
      <c r="F85" s="131" t="str">
        <f t="shared" si="0"/>
        <v>1314204</v>
      </c>
      <c r="G85" s="133" t="s">
        <v>160</v>
      </c>
      <c r="H85" s="129"/>
    </row>
    <row r="86" spans="1:8" x14ac:dyDescent="0.45">
      <c r="A86" s="130">
        <v>131</v>
      </c>
      <c r="B86" s="131" t="s">
        <v>121</v>
      </c>
      <c r="C86" s="131"/>
      <c r="D86" s="131"/>
      <c r="E86" s="131">
        <v>4608</v>
      </c>
      <c r="F86" s="131" t="str">
        <f t="shared" si="0"/>
        <v>1314608</v>
      </c>
      <c r="G86" s="133" t="s">
        <v>648</v>
      </c>
      <c r="H86" s="129"/>
    </row>
    <row r="87" spans="1:8" x14ac:dyDescent="0.45">
      <c r="A87" s="130">
        <v>131</v>
      </c>
      <c r="B87" s="131" t="s">
        <v>121</v>
      </c>
      <c r="C87" s="131"/>
      <c r="D87" s="131"/>
      <c r="E87" s="131">
        <v>4612</v>
      </c>
      <c r="F87" s="131" t="str">
        <f>A87&amp;E87</f>
        <v>1314612</v>
      </c>
      <c r="G87" s="133" t="s">
        <v>649</v>
      </c>
      <c r="H87" s="129"/>
    </row>
    <row r="88" spans="1:8" x14ac:dyDescent="0.45">
      <c r="A88" s="130">
        <v>131</v>
      </c>
      <c r="B88" s="131" t="s">
        <v>121</v>
      </c>
      <c r="C88" s="131"/>
      <c r="D88" s="131"/>
      <c r="E88" s="131">
        <v>4801</v>
      </c>
      <c r="F88" s="131" t="str">
        <f t="shared" si="0"/>
        <v>1314801</v>
      </c>
      <c r="G88" s="133" t="s">
        <v>162</v>
      </c>
      <c r="H88" s="129"/>
    </row>
    <row r="89" spans="1:8" x14ac:dyDescent="0.45">
      <c r="A89" s="130">
        <v>131</v>
      </c>
      <c r="B89" s="131" t="s">
        <v>121</v>
      </c>
      <c r="C89" s="131"/>
      <c r="D89" s="131"/>
      <c r="E89" s="131">
        <v>4829</v>
      </c>
      <c r="F89" s="131" t="str">
        <f>A89&amp;E89</f>
        <v>1314829</v>
      </c>
      <c r="G89" s="133" t="s">
        <v>650</v>
      </c>
      <c r="H89" s="129"/>
    </row>
    <row r="90" spans="1:8" x14ac:dyDescent="0.45">
      <c r="A90" s="130">
        <v>131</v>
      </c>
      <c r="B90" s="131" t="s">
        <v>121</v>
      </c>
      <c r="C90" s="131"/>
      <c r="D90" s="131"/>
      <c r="E90" s="131">
        <v>4836</v>
      </c>
      <c r="F90" s="131" t="str">
        <f t="shared" si="0"/>
        <v>1314836</v>
      </c>
      <c r="G90" s="133" t="s">
        <v>651</v>
      </c>
      <c r="H90" s="129"/>
    </row>
    <row r="91" spans="1:8" x14ac:dyDescent="0.45">
      <c r="A91" s="130">
        <v>131</v>
      </c>
      <c r="B91" s="131" t="s">
        <v>121</v>
      </c>
      <c r="C91" s="131"/>
      <c r="D91" s="131"/>
      <c r="E91" s="131">
        <v>4843</v>
      </c>
      <c r="F91" s="131" t="str">
        <f>A91&amp;E91</f>
        <v>1314843</v>
      </c>
      <c r="G91" s="133" t="s">
        <v>652</v>
      </c>
      <c r="H91" s="129"/>
    </row>
    <row r="92" spans="1:8" x14ac:dyDescent="0.45">
      <c r="A92" s="130">
        <v>131</v>
      </c>
      <c r="B92" s="131" t="s">
        <v>121</v>
      </c>
      <c r="C92" s="131"/>
      <c r="D92" s="131"/>
      <c r="E92" s="131">
        <v>4845</v>
      </c>
      <c r="F92" s="131" t="str">
        <f t="shared" si="0"/>
        <v>1314845</v>
      </c>
      <c r="G92" s="133" t="s">
        <v>164</v>
      </c>
      <c r="H92" s="129"/>
    </row>
    <row r="93" spans="1:8" x14ac:dyDescent="0.45">
      <c r="A93" s="130">
        <v>131</v>
      </c>
      <c r="B93" s="131" t="s">
        <v>121</v>
      </c>
      <c r="C93" s="131"/>
      <c r="D93" s="131"/>
      <c r="E93" s="131">
        <v>5011</v>
      </c>
      <c r="F93" s="131" t="str">
        <f t="shared" si="0"/>
        <v>1315011</v>
      </c>
      <c r="G93" s="133" t="s">
        <v>165</v>
      </c>
      <c r="H93" s="129"/>
    </row>
    <row r="94" spans="1:8" x14ac:dyDescent="0.45">
      <c r="A94" s="130">
        <v>131</v>
      </c>
      <c r="B94" s="131" t="s">
        <v>121</v>
      </c>
      <c r="C94" s="131"/>
      <c r="D94" s="131"/>
      <c r="E94" s="131">
        <v>5036</v>
      </c>
      <c r="F94" s="131" t="str">
        <f>A94&amp;E94</f>
        <v>1315036</v>
      </c>
      <c r="G94" s="133" t="s">
        <v>365</v>
      </c>
      <c r="H94" s="129"/>
    </row>
    <row r="95" spans="1:8" x14ac:dyDescent="0.45">
      <c r="A95" s="130">
        <v>131</v>
      </c>
      <c r="B95" s="131" t="s">
        <v>121</v>
      </c>
      <c r="C95" s="131"/>
      <c r="D95" s="131"/>
      <c r="E95" s="131">
        <v>5201</v>
      </c>
      <c r="F95" s="131" t="str">
        <f t="shared" si="0"/>
        <v>1315201</v>
      </c>
      <c r="G95" s="133" t="s">
        <v>166</v>
      </c>
      <c r="H95" s="129"/>
    </row>
    <row r="96" spans="1:8" x14ac:dyDescent="0.45">
      <c r="A96" s="130">
        <v>131</v>
      </c>
      <c r="B96" s="131" t="s">
        <v>121</v>
      </c>
      <c r="C96" s="131"/>
      <c r="D96" s="131"/>
      <c r="E96" s="131">
        <v>5801</v>
      </c>
      <c r="F96" s="131" t="str">
        <f>A96&amp;E96</f>
        <v>1315801</v>
      </c>
      <c r="G96" s="133" t="s">
        <v>653</v>
      </c>
      <c r="H96" s="129"/>
    </row>
    <row r="97" spans="1:8" x14ac:dyDescent="0.45">
      <c r="A97" s="130">
        <v>131</v>
      </c>
      <c r="B97" s="131" t="s">
        <v>121</v>
      </c>
      <c r="C97" s="131"/>
      <c r="D97" s="131"/>
      <c r="E97" s="131">
        <v>6001</v>
      </c>
      <c r="F97" s="131" t="str">
        <f t="shared" si="0"/>
        <v>1316001</v>
      </c>
      <c r="G97" s="133" t="s">
        <v>167</v>
      </c>
      <c r="H97" s="129"/>
    </row>
    <row r="98" spans="1:8" x14ac:dyDescent="0.45">
      <c r="A98" s="130">
        <v>131</v>
      </c>
      <c r="B98" s="131" t="s">
        <v>121</v>
      </c>
      <c r="C98" s="131"/>
      <c r="D98" s="131"/>
      <c r="E98" s="131">
        <v>6009</v>
      </c>
      <c r="F98" s="131" t="str">
        <f t="shared" si="0"/>
        <v>1316009</v>
      </c>
      <c r="G98" s="133" t="s">
        <v>168</v>
      </c>
      <c r="H98" s="129"/>
    </row>
    <row r="99" spans="1:8" x14ac:dyDescent="0.45">
      <c r="A99" s="130">
        <v>131</v>
      </c>
      <c r="B99" s="131" t="s">
        <v>121</v>
      </c>
      <c r="C99" s="131"/>
      <c r="D99" s="131"/>
      <c r="E99" s="131">
        <v>6401</v>
      </c>
      <c r="F99" s="131" t="str">
        <f t="shared" si="0"/>
        <v>1316401</v>
      </c>
      <c r="G99" s="133" t="s">
        <v>169</v>
      </c>
      <c r="H99" s="129"/>
    </row>
    <row r="100" spans="1:8" x14ac:dyDescent="0.45">
      <c r="A100" s="130">
        <v>131</v>
      </c>
      <c r="B100" s="131" t="s">
        <v>121</v>
      </c>
      <c r="C100" s="131"/>
      <c r="D100" s="131"/>
      <c r="E100" s="131">
        <v>6407</v>
      </c>
      <c r="F100" s="131" t="str">
        <f t="shared" si="0"/>
        <v>1316407</v>
      </c>
      <c r="G100" s="133" t="s">
        <v>170</v>
      </c>
      <c r="H100" s="129"/>
    </row>
    <row r="101" spans="1:8" x14ac:dyDescent="0.45">
      <c r="A101" s="130">
        <v>131</v>
      </c>
      <c r="B101" s="131" t="s">
        <v>121</v>
      </c>
      <c r="C101" s="131"/>
      <c r="D101" s="131"/>
      <c r="E101" s="131">
        <v>6410</v>
      </c>
      <c r="F101" s="131" t="str">
        <f t="shared" si="0"/>
        <v>1316410</v>
      </c>
      <c r="G101" s="133" t="s">
        <v>171</v>
      </c>
      <c r="H101" s="129"/>
    </row>
    <row r="102" spans="1:8" x14ac:dyDescent="0.45">
      <c r="A102" s="130">
        <v>131</v>
      </c>
      <c r="B102" s="131" t="s">
        <v>121</v>
      </c>
      <c r="C102" s="131"/>
      <c r="D102" s="131"/>
      <c r="E102" s="131">
        <v>6446</v>
      </c>
      <c r="F102" s="131" t="str">
        <f>A102&amp;E102</f>
        <v>1316446</v>
      </c>
      <c r="G102" s="133" t="s">
        <v>654</v>
      </c>
      <c r="H102" s="129"/>
    </row>
    <row r="103" spans="1:8" x14ac:dyDescent="0.45">
      <c r="A103" s="130">
        <v>131</v>
      </c>
      <c r="B103" s="131" t="s">
        <v>121</v>
      </c>
      <c r="C103" s="131"/>
      <c r="D103" s="131"/>
      <c r="E103" s="131">
        <v>6601</v>
      </c>
      <c r="F103" s="131" t="str">
        <f t="shared" si="0"/>
        <v>1316601</v>
      </c>
      <c r="G103" s="133" t="s">
        <v>172</v>
      </c>
      <c r="H103" s="129"/>
    </row>
    <row r="104" spans="1:8" x14ac:dyDescent="0.45">
      <c r="A104" s="130">
        <v>131</v>
      </c>
      <c r="B104" s="131" t="s">
        <v>121</v>
      </c>
      <c r="C104" s="131"/>
      <c r="D104" s="131"/>
      <c r="E104" s="131">
        <v>6802</v>
      </c>
      <c r="F104" s="131" t="str">
        <f>A104&amp;E104</f>
        <v>1316802</v>
      </c>
      <c r="G104" s="133" t="s">
        <v>655</v>
      </c>
      <c r="H104" s="129"/>
    </row>
    <row r="105" spans="1:8" x14ac:dyDescent="0.45">
      <c r="A105" s="130">
        <v>131</v>
      </c>
      <c r="B105" s="131" t="s">
        <v>121</v>
      </c>
      <c r="C105" s="131"/>
      <c r="D105" s="131"/>
      <c r="E105" s="131">
        <v>7001</v>
      </c>
      <c r="F105" s="131" t="str">
        <f t="shared" si="0"/>
        <v>1317001</v>
      </c>
      <c r="G105" s="133" t="s">
        <v>174</v>
      </c>
      <c r="H105" s="129"/>
    </row>
    <row r="106" spans="1:8" x14ac:dyDescent="0.45">
      <c r="A106" s="130">
        <v>131</v>
      </c>
      <c r="B106" s="131" t="s">
        <v>121</v>
      </c>
      <c r="C106" s="131"/>
      <c r="D106" s="131"/>
      <c r="E106" s="131">
        <v>7209</v>
      </c>
      <c r="F106" s="131" t="str">
        <f>A106&amp;E106</f>
        <v>1317209</v>
      </c>
      <c r="G106" s="133" t="s">
        <v>656</v>
      </c>
      <c r="H106" s="129"/>
    </row>
    <row r="107" spans="1:8" x14ac:dyDescent="0.45">
      <c r="A107" s="130">
        <v>131</v>
      </c>
      <c r="B107" s="131" t="s">
        <v>121</v>
      </c>
      <c r="C107" s="131"/>
      <c r="D107" s="131"/>
      <c r="E107" s="131">
        <v>7216</v>
      </c>
      <c r="F107" s="131" t="str">
        <f t="shared" si="0"/>
        <v>1317216</v>
      </c>
      <c r="G107" s="133" t="s">
        <v>657</v>
      </c>
      <c r="H107" s="129"/>
    </row>
    <row r="108" spans="1:8" x14ac:dyDescent="0.45">
      <c r="A108" s="130">
        <v>131</v>
      </c>
      <c r="B108" s="131" t="s">
        <v>121</v>
      </c>
      <c r="C108" s="131"/>
      <c r="D108" s="131"/>
      <c r="E108" s="131">
        <v>7217</v>
      </c>
      <c r="F108" s="131" t="str">
        <f>A108&amp;E108</f>
        <v>1317217</v>
      </c>
      <c r="G108" s="133" t="s">
        <v>658</v>
      </c>
      <c r="H108" s="129"/>
    </row>
    <row r="109" spans="1:8" x14ac:dyDescent="0.45">
      <c r="A109" s="130">
        <v>131</v>
      </c>
      <c r="B109" s="131"/>
      <c r="C109" s="131"/>
      <c r="D109" s="131"/>
      <c r="E109" s="131">
        <v>7601</v>
      </c>
      <c r="F109" s="131" t="str">
        <f>A109&amp;E109</f>
        <v>1317601</v>
      </c>
      <c r="G109" s="133" t="s">
        <v>659</v>
      </c>
      <c r="H109" s="129"/>
    </row>
    <row r="110" spans="1:8" x14ac:dyDescent="0.45">
      <c r="A110" s="130">
        <v>131</v>
      </c>
      <c r="B110" s="131" t="s">
        <v>121</v>
      </c>
      <c r="C110" s="131"/>
      <c r="D110" s="131"/>
      <c r="E110" s="131">
        <v>7811</v>
      </c>
      <c r="F110" s="131" t="str">
        <f>A110&amp;E110</f>
        <v>1317811</v>
      </c>
      <c r="G110" s="133" t="s">
        <v>660</v>
      </c>
      <c r="H110" s="129"/>
    </row>
    <row r="111" spans="1:8" x14ac:dyDescent="0.45">
      <c r="A111" s="130">
        <v>131</v>
      </c>
      <c r="B111" s="131" t="s">
        <v>121</v>
      </c>
      <c r="C111" s="131"/>
      <c r="D111" s="131"/>
      <c r="E111" s="131">
        <v>8001</v>
      </c>
      <c r="F111" s="131" t="str">
        <f t="shared" si="0"/>
        <v>1318001</v>
      </c>
      <c r="G111" s="133" t="s">
        <v>176</v>
      </c>
      <c r="H111" s="129"/>
    </row>
    <row r="112" spans="1:8" x14ac:dyDescent="0.45">
      <c r="A112" s="130">
        <v>131</v>
      </c>
      <c r="B112" s="131" t="s">
        <v>121</v>
      </c>
      <c r="C112" s="131"/>
      <c r="D112" s="131"/>
      <c r="E112" s="131">
        <v>8006</v>
      </c>
      <c r="F112" s="131" t="str">
        <f>A112&amp;E112</f>
        <v>1318006</v>
      </c>
      <c r="G112" s="133" t="s">
        <v>661</v>
      </c>
      <c r="H112" s="129"/>
    </row>
    <row r="113" spans="1:8" x14ac:dyDescent="0.45">
      <c r="A113" s="130">
        <v>131</v>
      </c>
      <c r="B113" s="131" t="s">
        <v>121</v>
      </c>
      <c r="C113" s="131"/>
      <c r="D113" s="131"/>
      <c r="E113" s="131">
        <v>8026</v>
      </c>
      <c r="F113" s="131" t="str">
        <f t="shared" ref="F113:F217" si="1">A113&amp;E113</f>
        <v>1318026</v>
      </c>
      <c r="G113" s="133" t="s">
        <v>662</v>
      </c>
      <c r="H113" s="129"/>
    </row>
    <row r="114" spans="1:8" x14ac:dyDescent="0.45">
      <c r="A114" s="130">
        <v>131</v>
      </c>
      <c r="B114" s="131" t="s">
        <v>121</v>
      </c>
      <c r="C114" s="131"/>
      <c r="D114" s="131"/>
      <c r="E114" s="131">
        <v>8805</v>
      </c>
      <c r="F114" s="131" t="str">
        <f t="shared" si="1"/>
        <v>1318805</v>
      </c>
      <c r="G114" s="133" t="s">
        <v>177</v>
      </c>
      <c r="H114" s="129"/>
    </row>
    <row r="115" spans="1:8" x14ac:dyDescent="0.45">
      <c r="A115" s="130">
        <v>131</v>
      </c>
      <c r="B115" s="131" t="s">
        <v>121</v>
      </c>
      <c r="C115" s="131"/>
      <c r="D115" s="131"/>
      <c r="E115" s="131">
        <v>8810</v>
      </c>
      <c r="F115" s="131" t="str">
        <f t="shared" si="1"/>
        <v>1318810</v>
      </c>
      <c r="G115" s="133" t="s">
        <v>663</v>
      </c>
      <c r="H115" s="129"/>
    </row>
    <row r="116" spans="1:8" x14ac:dyDescent="0.45">
      <c r="A116" s="130">
        <v>131</v>
      </c>
      <c r="B116" s="131" t="s">
        <v>121</v>
      </c>
      <c r="C116" s="131"/>
      <c r="D116" s="131"/>
      <c r="E116" s="131">
        <v>8811</v>
      </c>
      <c r="F116" s="131" t="str">
        <f t="shared" si="1"/>
        <v>1318811</v>
      </c>
      <c r="G116" s="133" t="s">
        <v>664</v>
      </c>
      <c r="H116" s="129"/>
    </row>
    <row r="117" spans="1:8" x14ac:dyDescent="0.45">
      <c r="A117" s="130">
        <v>131</v>
      </c>
      <c r="B117" s="131" t="s">
        <v>121</v>
      </c>
      <c r="C117" s="131"/>
      <c r="D117" s="131"/>
      <c r="E117" s="131">
        <v>9997</v>
      </c>
      <c r="F117" s="131" t="str">
        <f t="shared" si="1"/>
        <v>1319997</v>
      </c>
      <c r="G117" s="133" t="s">
        <v>665</v>
      </c>
      <c r="H117" s="129"/>
    </row>
    <row r="118" spans="1:8" x14ac:dyDescent="0.45">
      <c r="A118" s="130">
        <v>131</v>
      </c>
      <c r="B118" s="131" t="s">
        <v>121</v>
      </c>
      <c r="C118" s="131"/>
      <c r="D118" s="131"/>
      <c r="E118" s="131">
        <v>9998</v>
      </c>
      <c r="F118" s="131" t="str">
        <f t="shared" si="1"/>
        <v>1319998</v>
      </c>
      <c r="G118" s="133" t="s">
        <v>666</v>
      </c>
      <c r="H118" s="129"/>
    </row>
    <row r="119" spans="1:8" x14ac:dyDescent="0.45">
      <c r="A119" s="130">
        <v>132</v>
      </c>
      <c r="B119" s="131" t="s">
        <v>178</v>
      </c>
      <c r="C119" s="131">
        <v>30</v>
      </c>
      <c r="D119" s="131"/>
      <c r="E119" s="131"/>
      <c r="F119" s="131" t="str">
        <f t="shared" si="1"/>
        <v>132</v>
      </c>
      <c r="G119" s="133"/>
      <c r="H119" s="129"/>
    </row>
    <row r="120" spans="1:8" x14ac:dyDescent="0.45">
      <c r="A120" s="130">
        <v>140</v>
      </c>
      <c r="B120" s="131" t="s">
        <v>189</v>
      </c>
      <c r="C120" s="131"/>
      <c r="D120" s="131"/>
      <c r="E120" s="131"/>
      <c r="F120" s="131" t="str">
        <f t="shared" si="1"/>
        <v>140</v>
      </c>
      <c r="G120" s="133"/>
      <c r="H120" s="129"/>
    </row>
    <row r="121" spans="1:8" x14ac:dyDescent="0.45">
      <c r="A121" s="130">
        <v>150</v>
      </c>
      <c r="B121" s="131" t="s">
        <v>190</v>
      </c>
      <c r="C121" s="131"/>
      <c r="D121" s="131"/>
      <c r="E121" s="131">
        <v>1</v>
      </c>
      <c r="F121" s="131" t="str">
        <f t="shared" si="1"/>
        <v>1501</v>
      </c>
      <c r="G121" s="133" t="s">
        <v>667</v>
      </c>
      <c r="H121" s="129"/>
    </row>
    <row r="122" spans="1:8" x14ac:dyDescent="0.45">
      <c r="A122" s="130">
        <v>150</v>
      </c>
      <c r="B122" s="131" t="s">
        <v>190</v>
      </c>
      <c r="C122" s="131"/>
      <c r="D122" s="131"/>
      <c r="E122" s="131">
        <v>2</v>
      </c>
      <c r="F122" s="131" t="str">
        <f t="shared" si="1"/>
        <v>1502</v>
      </c>
      <c r="G122" s="133" t="s">
        <v>192</v>
      </c>
      <c r="H122" s="129"/>
    </row>
    <row r="123" spans="1:8" x14ac:dyDescent="0.45">
      <c r="A123" s="130">
        <v>151</v>
      </c>
      <c r="B123" s="131" t="s">
        <v>193</v>
      </c>
      <c r="C123" s="131"/>
      <c r="D123" s="131"/>
      <c r="E123" s="131">
        <v>1</v>
      </c>
      <c r="F123" s="131" t="str">
        <f t="shared" si="1"/>
        <v>1511</v>
      </c>
      <c r="G123" s="133" t="s">
        <v>668</v>
      </c>
      <c r="H123" s="129"/>
    </row>
    <row r="124" spans="1:8" x14ac:dyDescent="0.45">
      <c r="A124" s="130">
        <v>151</v>
      </c>
      <c r="B124" s="131" t="s">
        <v>193</v>
      </c>
      <c r="C124" s="131"/>
      <c r="D124" s="131"/>
      <c r="E124" s="131">
        <v>4</v>
      </c>
      <c r="F124" s="131" t="str">
        <f t="shared" si="1"/>
        <v>1514</v>
      </c>
      <c r="G124" s="133" t="s">
        <v>195</v>
      </c>
      <c r="H124" s="129"/>
    </row>
    <row r="125" spans="1:8" x14ac:dyDescent="0.45">
      <c r="A125" s="130">
        <v>152</v>
      </c>
      <c r="B125" s="131" t="s">
        <v>196</v>
      </c>
      <c r="C125" s="131"/>
      <c r="D125" s="131"/>
      <c r="E125" s="131">
        <v>1</v>
      </c>
      <c r="F125" s="131" t="str">
        <f t="shared" si="1"/>
        <v>1521</v>
      </c>
      <c r="G125" s="133" t="s">
        <v>197</v>
      </c>
      <c r="H125" s="129"/>
    </row>
    <row r="126" spans="1:8" x14ac:dyDescent="0.45">
      <c r="A126" s="130">
        <v>152</v>
      </c>
      <c r="B126" s="131" t="s">
        <v>196</v>
      </c>
      <c r="C126" s="131"/>
      <c r="D126" s="131"/>
      <c r="E126" s="131">
        <v>4</v>
      </c>
      <c r="F126" s="131" t="str">
        <f t="shared" si="1"/>
        <v>1524</v>
      </c>
      <c r="G126" s="133" t="s">
        <v>198</v>
      </c>
      <c r="H126" s="129"/>
    </row>
    <row r="127" spans="1:8" x14ac:dyDescent="0.45">
      <c r="A127" s="130">
        <v>152</v>
      </c>
      <c r="B127" s="131" t="s">
        <v>196</v>
      </c>
      <c r="C127" s="131"/>
      <c r="D127" s="131"/>
      <c r="E127" s="131">
        <v>100</v>
      </c>
      <c r="F127" s="131" t="str">
        <f t="shared" si="1"/>
        <v>152100</v>
      </c>
      <c r="G127" s="133" t="s">
        <v>199</v>
      </c>
      <c r="H127" s="129"/>
    </row>
    <row r="128" spans="1:8" x14ac:dyDescent="0.45">
      <c r="A128" s="130">
        <v>152</v>
      </c>
      <c r="B128" s="131" t="s">
        <v>196</v>
      </c>
      <c r="C128" s="131"/>
      <c r="D128" s="131"/>
      <c r="E128" s="131">
        <v>101</v>
      </c>
      <c r="F128" s="131" t="str">
        <f t="shared" si="1"/>
        <v>152101</v>
      </c>
      <c r="G128" s="133" t="s">
        <v>200</v>
      </c>
      <c r="H128" s="129"/>
    </row>
    <row r="129" spans="1:8" x14ac:dyDescent="0.45">
      <c r="A129" s="130">
        <v>152</v>
      </c>
      <c r="B129" s="131" t="s">
        <v>196</v>
      </c>
      <c r="C129" s="131"/>
      <c r="D129" s="131"/>
      <c r="E129" s="131">
        <v>102</v>
      </c>
      <c r="F129" s="131" t="str">
        <f t="shared" si="1"/>
        <v>152102</v>
      </c>
      <c r="G129" s="133" t="s">
        <v>669</v>
      </c>
      <c r="H129" s="129"/>
    </row>
    <row r="130" spans="1:8" x14ac:dyDescent="0.45">
      <c r="A130" s="130">
        <v>152</v>
      </c>
      <c r="B130" s="131" t="s">
        <v>196</v>
      </c>
      <c r="C130" s="131"/>
      <c r="D130" s="131"/>
      <c r="E130" s="131">
        <v>103</v>
      </c>
      <c r="F130" s="131" t="str">
        <f t="shared" si="1"/>
        <v>152103</v>
      </c>
      <c r="G130" s="133" t="s">
        <v>202</v>
      </c>
      <c r="H130" s="129"/>
    </row>
    <row r="131" spans="1:8" x14ac:dyDescent="0.45">
      <c r="A131" s="130">
        <v>152</v>
      </c>
      <c r="B131" s="131" t="s">
        <v>196</v>
      </c>
      <c r="C131" s="131"/>
      <c r="D131" s="131"/>
      <c r="E131" s="131">
        <v>104</v>
      </c>
      <c r="F131" s="131" t="str">
        <f t="shared" si="1"/>
        <v>152104</v>
      </c>
      <c r="G131" s="133" t="s">
        <v>203</v>
      </c>
      <c r="H131" s="129"/>
    </row>
    <row r="132" spans="1:8" x14ac:dyDescent="0.45">
      <c r="A132" s="130">
        <v>152</v>
      </c>
      <c r="B132" s="131" t="s">
        <v>196</v>
      </c>
      <c r="C132" s="131"/>
      <c r="D132" s="131"/>
      <c r="E132" s="131">
        <v>105</v>
      </c>
      <c r="F132" s="131" t="str">
        <f t="shared" si="1"/>
        <v>152105</v>
      </c>
      <c r="G132" s="133" t="s">
        <v>204</v>
      </c>
      <c r="H132" s="129"/>
    </row>
    <row r="133" spans="1:8" x14ac:dyDescent="0.45">
      <c r="A133" s="130">
        <v>153</v>
      </c>
      <c r="B133" s="131" t="s">
        <v>205</v>
      </c>
      <c r="C133" s="131"/>
      <c r="D133" s="131"/>
      <c r="E133" s="131"/>
      <c r="F133" s="131" t="str">
        <f t="shared" si="1"/>
        <v>153</v>
      </c>
      <c r="G133" s="133"/>
      <c r="H133" s="129"/>
    </row>
    <row r="134" spans="1:8" x14ac:dyDescent="0.45">
      <c r="A134" s="130">
        <v>154</v>
      </c>
      <c r="B134" s="131" t="s">
        <v>210</v>
      </c>
      <c r="C134" s="131"/>
      <c r="D134" s="131"/>
      <c r="E134" s="131">
        <v>4</v>
      </c>
      <c r="F134" s="131" t="str">
        <f t="shared" si="1"/>
        <v>1544</v>
      </c>
      <c r="G134" s="133" t="s">
        <v>198</v>
      </c>
      <c r="H134" s="129"/>
    </row>
    <row r="135" spans="1:8" x14ac:dyDescent="0.45">
      <c r="A135" s="130">
        <v>154</v>
      </c>
      <c r="B135" s="131" t="s">
        <v>210</v>
      </c>
      <c r="C135" s="131"/>
      <c r="D135" s="131"/>
      <c r="E135" s="131">
        <v>10</v>
      </c>
      <c r="F135" s="131" t="str">
        <f t="shared" si="1"/>
        <v>15410</v>
      </c>
      <c r="G135" s="133" t="s">
        <v>211</v>
      </c>
      <c r="H135" s="129"/>
    </row>
    <row r="136" spans="1:8" x14ac:dyDescent="0.45">
      <c r="A136" s="130">
        <v>154</v>
      </c>
      <c r="B136" s="131" t="s">
        <v>210</v>
      </c>
      <c r="C136" s="131"/>
      <c r="D136" s="131"/>
      <c r="E136" s="131">
        <v>11</v>
      </c>
      <c r="F136" s="131" t="str">
        <f t="shared" si="1"/>
        <v>15411</v>
      </c>
      <c r="G136" s="133" t="s">
        <v>212</v>
      </c>
      <c r="H136" s="129"/>
    </row>
    <row r="137" spans="1:8" x14ac:dyDescent="0.45">
      <c r="A137" s="130">
        <v>154</v>
      </c>
      <c r="B137" s="131" t="s">
        <v>210</v>
      </c>
      <c r="C137" s="131"/>
      <c r="D137" s="131"/>
      <c r="E137" s="131">
        <v>100</v>
      </c>
      <c r="F137" s="131" t="str">
        <f t="shared" si="1"/>
        <v>154100</v>
      </c>
      <c r="G137" s="133" t="s">
        <v>199</v>
      </c>
      <c r="H137" s="129"/>
    </row>
    <row r="138" spans="1:8" x14ac:dyDescent="0.45">
      <c r="A138" s="130">
        <v>154</v>
      </c>
      <c r="B138" s="131" t="s">
        <v>210</v>
      </c>
      <c r="C138" s="131"/>
      <c r="D138" s="131"/>
      <c r="E138" s="131">
        <v>101</v>
      </c>
      <c r="F138" s="131" t="str">
        <f t="shared" si="1"/>
        <v>154101</v>
      </c>
      <c r="G138" s="133" t="s">
        <v>199</v>
      </c>
      <c r="H138" s="129"/>
    </row>
    <row r="139" spans="1:8" x14ac:dyDescent="0.45">
      <c r="A139" s="130">
        <v>154</v>
      </c>
      <c r="B139" s="131" t="s">
        <v>210</v>
      </c>
      <c r="C139" s="131"/>
      <c r="D139" s="131"/>
      <c r="E139" s="131">
        <v>999</v>
      </c>
      <c r="F139" s="131" t="str">
        <f t="shared" si="1"/>
        <v>154999</v>
      </c>
      <c r="G139" s="133" t="s">
        <v>670</v>
      </c>
      <c r="H139" s="129"/>
    </row>
    <row r="140" spans="1:8" x14ac:dyDescent="0.45">
      <c r="A140" s="130">
        <v>154</v>
      </c>
      <c r="B140" s="131" t="s">
        <v>210</v>
      </c>
      <c r="C140" s="131"/>
      <c r="D140" s="131"/>
      <c r="E140" s="131">
        <v>2401</v>
      </c>
      <c r="F140" s="131" t="str">
        <f t="shared" si="1"/>
        <v>1542401</v>
      </c>
      <c r="G140" s="133" t="s">
        <v>214</v>
      </c>
      <c r="H140" s="129"/>
    </row>
    <row r="141" spans="1:8" x14ac:dyDescent="0.45">
      <c r="A141" s="130">
        <v>155</v>
      </c>
      <c r="B141" s="131" t="s">
        <v>215</v>
      </c>
      <c r="C141" s="131"/>
      <c r="D141" s="131"/>
      <c r="E141" s="131">
        <v>1</v>
      </c>
      <c r="F141" s="131" t="str">
        <f t="shared" si="1"/>
        <v>1551</v>
      </c>
      <c r="G141" s="133" t="s">
        <v>216</v>
      </c>
      <c r="H141" s="129"/>
    </row>
    <row r="142" spans="1:8" x14ac:dyDescent="0.45">
      <c r="A142" s="130">
        <v>155</v>
      </c>
      <c r="B142" s="131" t="s">
        <v>215</v>
      </c>
      <c r="C142" s="131"/>
      <c r="D142" s="131"/>
      <c r="E142" s="131">
        <v>10</v>
      </c>
      <c r="F142" s="131" t="str">
        <f t="shared" si="1"/>
        <v>15510</v>
      </c>
      <c r="G142" s="133" t="s">
        <v>217</v>
      </c>
      <c r="H142" s="129"/>
    </row>
    <row r="143" spans="1:8" x14ac:dyDescent="0.45">
      <c r="A143" s="130">
        <v>155</v>
      </c>
      <c r="B143" s="131" t="s">
        <v>215</v>
      </c>
      <c r="C143" s="131"/>
      <c r="D143" s="131"/>
      <c r="E143" s="131">
        <v>100</v>
      </c>
      <c r="F143" s="131" t="str">
        <f t="shared" si="1"/>
        <v>155100</v>
      </c>
      <c r="G143" s="133" t="s">
        <v>218</v>
      </c>
      <c r="H143" s="129"/>
    </row>
    <row r="144" spans="1:8" x14ac:dyDescent="0.45">
      <c r="A144" s="130">
        <v>158</v>
      </c>
      <c r="B144" s="131" t="s">
        <v>222</v>
      </c>
      <c r="C144" s="131"/>
      <c r="D144" s="131"/>
      <c r="E144" s="131"/>
      <c r="F144" s="131" t="str">
        <f t="shared" si="1"/>
        <v>158</v>
      </c>
      <c r="G144" s="133"/>
      <c r="H144" s="129"/>
    </row>
    <row r="145" spans="1:8" x14ac:dyDescent="0.45">
      <c r="A145" s="130">
        <v>161</v>
      </c>
      <c r="B145" s="131" t="s">
        <v>223</v>
      </c>
      <c r="C145" s="131">
        <v>32</v>
      </c>
      <c r="D145" s="131">
        <v>5</v>
      </c>
      <c r="E145" s="131"/>
      <c r="F145" s="131" t="str">
        <f t="shared" si="1"/>
        <v>161</v>
      </c>
      <c r="G145" s="133"/>
      <c r="H145" s="129"/>
    </row>
    <row r="146" spans="1:8" x14ac:dyDescent="0.45">
      <c r="A146" s="130">
        <v>162</v>
      </c>
      <c r="B146" s="131" t="s">
        <v>224</v>
      </c>
      <c r="C146" s="131">
        <v>32</v>
      </c>
      <c r="D146" s="131">
        <v>5</v>
      </c>
      <c r="E146" s="131"/>
      <c r="F146" s="131" t="str">
        <f t="shared" si="1"/>
        <v>162</v>
      </c>
      <c r="G146" s="133"/>
      <c r="H146" s="129"/>
    </row>
    <row r="147" spans="1:8" x14ac:dyDescent="0.45">
      <c r="A147" s="130">
        <v>164</v>
      </c>
      <c r="B147" s="131" t="s">
        <v>225</v>
      </c>
      <c r="C147" s="131">
        <v>32</v>
      </c>
      <c r="D147" s="131">
        <v>8</v>
      </c>
      <c r="E147" s="131"/>
      <c r="F147" s="131" t="str">
        <f t="shared" si="1"/>
        <v>164</v>
      </c>
      <c r="G147" s="133"/>
      <c r="H147" s="129"/>
    </row>
    <row r="148" spans="1:8" x14ac:dyDescent="0.45">
      <c r="A148" s="130">
        <v>165</v>
      </c>
      <c r="B148" s="131" t="s">
        <v>226</v>
      </c>
      <c r="C148" s="131">
        <v>32</v>
      </c>
      <c r="D148" s="131">
        <v>5</v>
      </c>
      <c r="E148" s="131"/>
      <c r="F148" s="131" t="str">
        <f t="shared" si="1"/>
        <v>165</v>
      </c>
      <c r="G148" s="133"/>
      <c r="H148" s="129"/>
    </row>
    <row r="149" spans="1:8" x14ac:dyDescent="0.45">
      <c r="A149" s="130">
        <v>169</v>
      </c>
      <c r="B149" s="131" t="s">
        <v>671</v>
      </c>
      <c r="C149" s="131"/>
      <c r="D149" s="131"/>
      <c r="E149" s="131"/>
      <c r="F149" s="131" t="str">
        <f t="shared" si="1"/>
        <v>169</v>
      </c>
      <c r="G149" s="133"/>
      <c r="H149" s="129"/>
    </row>
    <row r="150" spans="1:8" x14ac:dyDescent="0.45">
      <c r="A150" s="130">
        <v>171</v>
      </c>
      <c r="B150" s="131" t="s">
        <v>227</v>
      </c>
      <c r="C150" s="131"/>
      <c r="D150" s="131"/>
      <c r="E150" s="131">
        <v>1</v>
      </c>
      <c r="F150" s="131" t="str">
        <f t="shared" si="1"/>
        <v>1711</v>
      </c>
      <c r="G150" s="133" t="s">
        <v>228</v>
      </c>
      <c r="H150" s="129"/>
    </row>
    <row r="151" spans="1:8" x14ac:dyDescent="0.45">
      <c r="A151" s="130">
        <v>171</v>
      </c>
      <c r="B151" s="131" t="s">
        <v>227</v>
      </c>
      <c r="C151" s="131"/>
      <c r="D151" s="131"/>
      <c r="E151" s="131">
        <v>2</v>
      </c>
      <c r="F151" s="131" t="str">
        <f t="shared" si="1"/>
        <v>1712</v>
      </c>
      <c r="G151" s="133" t="s">
        <v>229</v>
      </c>
      <c r="H151" s="129"/>
    </row>
    <row r="152" spans="1:8" x14ac:dyDescent="0.45">
      <c r="A152" s="130">
        <v>171</v>
      </c>
      <c r="B152" s="131" t="s">
        <v>227</v>
      </c>
      <c r="C152" s="131"/>
      <c r="D152" s="131"/>
      <c r="E152" s="131">
        <v>3</v>
      </c>
      <c r="F152" s="131" t="str">
        <f t="shared" si="1"/>
        <v>1713</v>
      </c>
      <c r="G152" s="133" t="s">
        <v>230</v>
      </c>
      <c r="H152" s="129"/>
    </row>
    <row r="153" spans="1:8" x14ac:dyDescent="0.45">
      <c r="A153" s="130">
        <v>171</v>
      </c>
      <c r="B153" s="131" t="s">
        <v>227</v>
      </c>
      <c r="C153" s="131"/>
      <c r="D153" s="131"/>
      <c r="E153" s="131">
        <v>4</v>
      </c>
      <c r="F153" s="131" t="str">
        <f t="shared" si="1"/>
        <v>1714</v>
      </c>
      <c r="G153" s="133" t="s">
        <v>672</v>
      </c>
      <c r="H153" s="129"/>
    </row>
    <row r="154" spans="1:8" x14ac:dyDescent="0.45">
      <c r="A154" s="130">
        <v>173</v>
      </c>
      <c r="B154" s="131" t="s">
        <v>232</v>
      </c>
      <c r="C154" s="131">
        <v>32</v>
      </c>
      <c r="D154" s="131">
        <v>5</v>
      </c>
      <c r="E154" s="131"/>
      <c r="F154" s="131" t="str">
        <f t="shared" si="1"/>
        <v>173</v>
      </c>
      <c r="G154" s="133"/>
      <c r="H154" s="129"/>
    </row>
    <row r="155" spans="1:8" x14ac:dyDescent="0.45">
      <c r="A155" s="130">
        <v>173</v>
      </c>
      <c r="B155" s="131" t="s">
        <v>232</v>
      </c>
      <c r="C155" s="131">
        <v>81</v>
      </c>
      <c r="D155" s="131"/>
      <c r="E155" s="131"/>
      <c r="F155" s="131" t="str">
        <f t="shared" si="1"/>
        <v>173</v>
      </c>
      <c r="G155" s="133"/>
      <c r="H155" s="129"/>
    </row>
    <row r="156" spans="1:8" x14ac:dyDescent="0.45">
      <c r="A156" s="130">
        <v>181</v>
      </c>
      <c r="B156" s="131" t="s">
        <v>233</v>
      </c>
      <c r="C156" s="131"/>
      <c r="D156" s="131"/>
      <c r="E156" s="131">
        <v>1</v>
      </c>
      <c r="F156" s="131" t="str">
        <f t="shared" si="1"/>
        <v>1811</v>
      </c>
      <c r="G156" s="133" t="s">
        <v>234</v>
      </c>
      <c r="H156" s="129"/>
    </row>
    <row r="157" spans="1:8" x14ac:dyDescent="0.45">
      <c r="A157" s="130">
        <v>181</v>
      </c>
      <c r="B157" s="131" t="s">
        <v>233</v>
      </c>
      <c r="C157" s="131"/>
      <c r="D157" s="131"/>
      <c r="E157" s="131">
        <v>2</v>
      </c>
      <c r="F157" s="131" t="str">
        <f t="shared" si="1"/>
        <v>1812</v>
      </c>
      <c r="G157" s="133" t="s">
        <v>235</v>
      </c>
      <c r="H157" s="129"/>
    </row>
    <row r="158" spans="1:8" x14ac:dyDescent="0.45">
      <c r="A158" s="130">
        <v>181</v>
      </c>
      <c r="B158" s="131" t="s">
        <v>233</v>
      </c>
      <c r="C158" s="131"/>
      <c r="D158" s="131"/>
      <c r="E158" s="131">
        <v>3</v>
      </c>
      <c r="F158" s="131" t="str">
        <f t="shared" si="1"/>
        <v>1813</v>
      </c>
      <c r="G158" s="133" t="s">
        <v>673</v>
      </c>
      <c r="H158" s="129"/>
    </row>
    <row r="159" spans="1:8" x14ac:dyDescent="0.45">
      <c r="A159" s="130">
        <v>181</v>
      </c>
      <c r="B159" s="131" t="s">
        <v>233</v>
      </c>
      <c r="C159" s="131"/>
      <c r="D159" s="131"/>
      <c r="E159" s="131">
        <v>4</v>
      </c>
      <c r="F159" s="131" t="str">
        <f t="shared" si="1"/>
        <v>1814</v>
      </c>
      <c r="G159" s="133" t="s">
        <v>191</v>
      </c>
      <c r="H159" s="129"/>
    </row>
    <row r="160" spans="1:8" x14ac:dyDescent="0.45">
      <c r="A160" s="130">
        <v>185</v>
      </c>
      <c r="B160" s="131" t="s">
        <v>238</v>
      </c>
      <c r="C160" s="131"/>
      <c r="D160" s="131"/>
      <c r="E160" s="131"/>
      <c r="F160" s="131" t="str">
        <f t="shared" si="1"/>
        <v>185</v>
      </c>
      <c r="G160" s="133"/>
      <c r="H160" s="129"/>
    </row>
    <row r="161" spans="1:8" x14ac:dyDescent="0.45">
      <c r="A161" s="130">
        <v>188</v>
      </c>
      <c r="B161" s="131" t="s">
        <v>239</v>
      </c>
      <c r="C161" s="131"/>
      <c r="D161" s="131"/>
      <c r="E161" s="131"/>
      <c r="F161" s="131" t="str">
        <f t="shared" si="1"/>
        <v>188</v>
      </c>
      <c r="G161" s="133"/>
      <c r="H161" s="129"/>
    </row>
    <row r="162" spans="1:8" x14ac:dyDescent="0.45">
      <c r="A162" s="130">
        <v>201</v>
      </c>
      <c r="B162" s="131" t="s">
        <v>240</v>
      </c>
      <c r="C162" s="131"/>
      <c r="D162" s="131"/>
      <c r="E162" s="131">
        <v>1005</v>
      </c>
      <c r="F162" s="131" t="str">
        <f t="shared" si="1"/>
        <v>2011005</v>
      </c>
      <c r="G162" s="133" t="s">
        <v>241</v>
      </c>
      <c r="H162" s="129"/>
    </row>
    <row r="163" spans="1:8" x14ac:dyDescent="0.45">
      <c r="A163" s="130">
        <v>201</v>
      </c>
      <c r="B163" s="131" t="s">
        <v>240</v>
      </c>
      <c r="C163" s="131"/>
      <c r="D163" s="131"/>
      <c r="E163" s="131">
        <v>1011</v>
      </c>
      <c r="F163" s="131" t="str">
        <f t="shared" si="1"/>
        <v>2011011</v>
      </c>
      <c r="G163" s="133" t="s">
        <v>242</v>
      </c>
      <c r="H163" s="129"/>
    </row>
    <row r="164" spans="1:8" x14ac:dyDescent="0.45">
      <c r="A164" s="130">
        <v>201</v>
      </c>
      <c r="B164" s="131" t="s">
        <v>240</v>
      </c>
      <c r="C164" s="131"/>
      <c r="D164" s="131"/>
      <c r="E164" s="131">
        <v>1023</v>
      </c>
      <c r="F164" s="131" t="str">
        <f t="shared" si="1"/>
        <v>2011023</v>
      </c>
      <c r="G164" s="133" t="s">
        <v>243</v>
      </c>
      <c r="H164" s="129"/>
    </row>
    <row r="165" spans="1:8" x14ac:dyDescent="0.45">
      <c r="A165" s="130">
        <v>201</v>
      </c>
      <c r="B165" s="131" t="s">
        <v>240</v>
      </c>
      <c r="C165" s="131"/>
      <c r="D165" s="131"/>
      <c r="E165" s="131">
        <v>1027</v>
      </c>
      <c r="F165" s="131" t="str">
        <f t="shared" si="1"/>
        <v>2011027</v>
      </c>
      <c r="G165" s="133" t="s">
        <v>674</v>
      </c>
      <c r="H165" s="129"/>
    </row>
    <row r="166" spans="1:8" x14ac:dyDescent="0.45">
      <c r="A166" s="130">
        <v>201</v>
      </c>
      <c r="B166" s="131" t="s">
        <v>240</v>
      </c>
      <c r="C166" s="131"/>
      <c r="D166" s="131"/>
      <c r="E166" s="131">
        <v>1028</v>
      </c>
      <c r="F166" s="131" t="str">
        <f>A166&amp;E166</f>
        <v>2011028</v>
      </c>
      <c r="G166" s="133" t="s">
        <v>675</v>
      </c>
      <c r="H166" s="129"/>
    </row>
    <row r="167" spans="1:8" x14ac:dyDescent="0.45">
      <c r="A167" s="130">
        <v>201</v>
      </c>
      <c r="B167" s="131" t="s">
        <v>240</v>
      </c>
      <c r="C167" s="131"/>
      <c r="D167" s="131"/>
      <c r="E167" s="131">
        <v>1203</v>
      </c>
      <c r="F167" s="131" t="str">
        <f t="shared" si="1"/>
        <v>2011203</v>
      </c>
      <c r="G167" s="133" t="s">
        <v>247</v>
      </c>
      <c r="H167" s="129"/>
    </row>
    <row r="168" spans="1:8" x14ac:dyDescent="0.45">
      <c r="A168" s="130">
        <v>201</v>
      </c>
      <c r="B168" s="131" t="s">
        <v>240</v>
      </c>
      <c r="C168" s="131"/>
      <c r="D168" s="131"/>
      <c r="E168" s="131">
        <v>1209</v>
      </c>
      <c r="F168" s="131" t="str">
        <f t="shared" si="1"/>
        <v>2011209</v>
      </c>
      <c r="G168" s="133" t="s">
        <v>248</v>
      </c>
      <c r="H168" s="129"/>
    </row>
    <row r="169" spans="1:8" x14ac:dyDescent="0.45">
      <c r="A169" s="130">
        <v>201</v>
      </c>
      <c r="B169" s="131" t="s">
        <v>240</v>
      </c>
      <c r="C169" s="131"/>
      <c r="D169" s="131"/>
      <c r="E169" s="131">
        <v>1407</v>
      </c>
      <c r="F169" s="131" t="str">
        <f t="shared" si="1"/>
        <v>2011407</v>
      </c>
      <c r="G169" s="133" t="s">
        <v>252</v>
      </c>
      <c r="H169" s="129"/>
    </row>
    <row r="170" spans="1:8" x14ac:dyDescent="0.45">
      <c r="A170" s="130">
        <v>201</v>
      </c>
      <c r="B170" s="131" t="s">
        <v>240</v>
      </c>
      <c r="C170" s="131"/>
      <c r="D170" s="131"/>
      <c r="E170" s="131">
        <v>1408</v>
      </c>
      <c r="F170" s="131" t="str">
        <f t="shared" si="1"/>
        <v>2011408</v>
      </c>
      <c r="G170" s="133" t="s">
        <v>253</v>
      </c>
      <c r="H170" s="129"/>
    </row>
    <row r="171" spans="1:8" x14ac:dyDescent="0.45">
      <c r="A171" s="130">
        <v>201</v>
      </c>
      <c r="B171" s="131" t="s">
        <v>240</v>
      </c>
      <c r="C171" s="131"/>
      <c r="D171" s="131"/>
      <c r="E171" s="131">
        <v>1601</v>
      </c>
      <c r="F171" s="131" t="str">
        <f t="shared" si="1"/>
        <v>2011601</v>
      </c>
      <c r="G171" s="133" t="s">
        <v>255</v>
      </c>
      <c r="H171" s="129"/>
    </row>
    <row r="172" spans="1:8" x14ac:dyDescent="0.45">
      <c r="A172" s="130">
        <v>201</v>
      </c>
      <c r="B172" s="131" t="s">
        <v>240</v>
      </c>
      <c r="C172" s="131"/>
      <c r="D172" s="131"/>
      <c r="E172" s="131">
        <v>1606</v>
      </c>
      <c r="F172" s="131" t="str">
        <f t="shared" si="1"/>
        <v>2011606</v>
      </c>
      <c r="G172" s="133" t="s">
        <v>256</v>
      </c>
      <c r="H172" s="129"/>
    </row>
    <row r="173" spans="1:8" x14ac:dyDescent="0.45">
      <c r="A173" s="130">
        <v>201</v>
      </c>
      <c r="B173" s="131" t="s">
        <v>240</v>
      </c>
      <c r="C173" s="131"/>
      <c r="D173" s="131"/>
      <c r="E173" s="131">
        <v>1615</v>
      </c>
      <c r="F173" s="131" t="str">
        <f t="shared" si="1"/>
        <v>2011615</v>
      </c>
      <c r="G173" s="133" t="s">
        <v>676</v>
      </c>
      <c r="H173" s="129"/>
    </row>
    <row r="174" spans="1:8" x14ac:dyDescent="0.45">
      <c r="A174" s="130">
        <v>201</v>
      </c>
      <c r="B174" s="131" t="s">
        <v>240</v>
      </c>
      <c r="C174" s="131"/>
      <c r="D174" s="131"/>
      <c r="E174" s="131">
        <v>1803</v>
      </c>
      <c r="F174" s="131" t="str">
        <f t="shared" si="1"/>
        <v>2011803</v>
      </c>
      <c r="G174" s="133" t="s">
        <v>261</v>
      </c>
      <c r="H174" s="129"/>
    </row>
    <row r="175" spans="1:8" x14ac:dyDescent="0.45">
      <c r="A175" s="130">
        <v>201</v>
      </c>
      <c r="B175" s="131" t="s">
        <v>240</v>
      </c>
      <c r="C175" s="131"/>
      <c r="D175" s="131"/>
      <c r="E175" s="131">
        <v>1805</v>
      </c>
      <c r="F175" s="131" t="str">
        <f t="shared" si="1"/>
        <v>2011805</v>
      </c>
      <c r="G175" s="133" t="s">
        <v>262</v>
      </c>
      <c r="H175" s="129"/>
    </row>
    <row r="176" spans="1:8" x14ac:dyDescent="0.45">
      <c r="A176" s="130">
        <v>201</v>
      </c>
      <c r="B176" s="131" t="s">
        <v>240</v>
      </c>
      <c r="C176" s="131"/>
      <c r="D176" s="131"/>
      <c r="E176" s="131">
        <v>1807</v>
      </c>
      <c r="F176" s="131" t="str">
        <f t="shared" si="1"/>
        <v>2011807</v>
      </c>
      <c r="G176" s="133" t="s">
        <v>263</v>
      </c>
      <c r="H176" s="129"/>
    </row>
    <row r="177" spans="1:8" x14ac:dyDescent="0.45">
      <c r="A177" s="130">
        <v>201</v>
      </c>
      <c r="B177" s="131" t="s">
        <v>240</v>
      </c>
      <c r="C177" s="131"/>
      <c r="D177" s="131"/>
      <c r="E177" s="131">
        <v>1827</v>
      </c>
      <c r="F177" s="131" t="str">
        <f t="shared" si="1"/>
        <v>2011827</v>
      </c>
      <c r="G177" s="133" t="s">
        <v>267</v>
      </c>
      <c r="H177" s="129"/>
    </row>
    <row r="178" spans="1:8" x14ac:dyDescent="0.45">
      <c r="A178" s="130">
        <v>201</v>
      </c>
      <c r="B178" s="131" t="s">
        <v>240</v>
      </c>
      <c r="C178" s="131"/>
      <c r="D178" s="131"/>
      <c r="E178" s="131">
        <v>1828</v>
      </c>
      <c r="F178" s="131" t="str">
        <f t="shared" si="1"/>
        <v>2011828</v>
      </c>
      <c r="G178" s="133" t="s">
        <v>268</v>
      </c>
      <c r="H178" s="129"/>
    </row>
    <row r="179" spans="1:8" x14ac:dyDescent="0.45">
      <c r="A179" s="130">
        <v>201</v>
      </c>
      <c r="B179" s="131" t="s">
        <v>240</v>
      </c>
      <c r="C179" s="131"/>
      <c r="D179" s="131"/>
      <c r="E179" s="131">
        <v>2002</v>
      </c>
      <c r="F179" s="131" t="str">
        <f t="shared" si="1"/>
        <v>2012002</v>
      </c>
      <c r="G179" s="133" t="s">
        <v>269</v>
      </c>
      <c r="H179" s="129"/>
    </row>
    <row r="180" spans="1:8" x14ac:dyDescent="0.45">
      <c r="A180" s="130">
        <v>201</v>
      </c>
      <c r="B180" s="131" t="s">
        <v>240</v>
      </c>
      <c r="C180" s="131"/>
      <c r="D180" s="131"/>
      <c r="E180" s="131">
        <v>2004</v>
      </c>
      <c r="F180" s="131" t="str">
        <f t="shared" si="1"/>
        <v>2012004</v>
      </c>
      <c r="G180" s="133" t="s">
        <v>270</v>
      </c>
      <c r="H180" s="129"/>
    </row>
    <row r="181" spans="1:8" x14ac:dyDescent="0.45">
      <c r="A181" s="130">
        <v>201</v>
      </c>
      <c r="B181" s="131" t="s">
        <v>240</v>
      </c>
      <c r="C181" s="131"/>
      <c r="D181" s="131"/>
      <c r="E181" s="131">
        <v>2005</v>
      </c>
      <c r="F181" s="131" t="str">
        <f t="shared" si="1"/>
        <v>2012005</v>
      </c>
      <c r="G181" s="133" t="s">
        <v>271</v>
      </c>
      <c r="H181" s="129"/>
    </row>
    <row r="182" spans="1:8" x14ac:dyDescent="0.45">
      <c r="A182" s="130">
        <v>201</v>
      </c>
      <c r="B182" s="131" t="s">
        <v>240</v>
      </c>
      <c r="C182" s="131"/>
      <c r="D182" s="131"/>
      <c r="E182" s="131">
        <v>2007</v>
      </c>
      <c r="F182" s="131" t="str">
        <f t="shared" si="1"/>
        <v>2012007</v>
      </c>
      <c r="G182" s="133" t="s">
        <v>272</v>
      </c>
      <c r="H182" s="129"/>
    </row>
    <row r="183" spans="1:8" x14ac:dyDescent="0.45">
      <c r="A183" s="130">
        <v>201</v>
      </c>
      <c r="B183" s="131" t="s">
        <v>240</v>
      </c>
      <c r="C183" s="131"/>
      <c r="D183" s="131"/>
      <c r="E183" s="131">
        <v>2012</v>
      </c>
      <c r="F183" s="131" t="str">
        <f t="shared" si="1"/>
        <v>2012012</v>
      </c>
      <c r="G183" s="133" t="s">
        <v>273</v>
      </c>
      <c r="H183" s="129"/>
    </row>
    <row r="184" spans="1:8" x14ac:dyDescent="0.45">
      <c r="A184" s="130">
        <v>201</v>
      </c>
      <c r="B184" s="131" t="s">
        <v>240</v>
      </c>
      <c r="C184" s="131"/>
      <c r="D184" s="131"/>
      <c r="E184" s="131">
        <v>2022</v>
      </c>
      <c r="F184" s="131" t="str">
        <f t="shared" si="1"/>
        <v>2012022</v>
      </c>
      <c r="G184" s="133" t="s">
        <v>275</v>
      </c>
      <c r="H184" s="129"/>
    </row>
    <row r="185" spans="1:8" x14ac:dyDescent="0.45">
      <c r="A185" s="130">
        <v>201</v>
      </c>
      <c r="B185" s="131" t="s">
        <v>240</v>
      </c>
      <c r="C185" s="131"/>
      <c r="D185" s="131"/>
      <c r="E185" s="131">
        <v>2026</v>
      </c>
      <c r="F185" s="131" t="str">
        <f t="shared" si="1"/>
        <v>2012026</v>
      </c>
      <c r="G185" s="133" t="s">
        <v>677</v>
      </c>
      <c r="H185" s="129"/>
    </row>
    <row r="186" spans="1:8" x14ac:dyDescent="0.45">
      <c r="A186" s="130">
        <v>201</v>
      </c>
      <c r="B186" s="131" t="s">
        <v>240</v>
      </c>
      <c r="C186" s="131"/>
      <c r="D186" s="131"/>
      <c r="E186" s="131">
        <v>2027</v>
      </c>
      <c r="F186" s="131" t="str">
        <f t="shared" si="1"/>
        <v>2012027</v>
      </c>
      <c r="G186" s="133" t="s">
        <v>678</v>
      </c>
      <c r="H186" s="129"/>
    </row>
    <row r="187" spans="1:8" x14ac:dyDescent="0.45">
      <c r="A187" s="130">
        <v>201</v>
      </c>
      <c r="B187" s="131" t="s">
        <v>240</v>
      </c>
      <c r="C187" s="131"/>
      <c r="D187" s="131"/>
      <c r="E187" s="131">
        <v>2029</v>
      </c>
      <c r="F187" s="131" t="str">
        <f>A187&amp;E187</f>
        <v>2012029</v>
      </c>
      <c r="G187" s="133" t="s">
        <v>679</v>
      </c>
      <c r="H187" s="129"/>
    </row>
    <row r="188" spans="1:8" x14ac:dyDescent="0.45">
      <c r="A188" s="130">
        <v>201</v>
      </c>
      <c r="B188" s="131" t="s">
        <v>240</v>
      </c>
      <c r="C188" s="131"/>
      <c r="D188" s="131"/>
      <c r="E188" s="131">
        <v>2203</v>
      </c>
      <c r="F188" s="131" t="str">
        <f t="shared" si="1"/>
        <v>2012203</v>
      </c>
      <c r="G188" s="133" t="s">
        <v>280</v>
      </c>
      <c r="H188" s="129"/>
    </row>
    <row r="189" spans="1:8" x14ac:dyDescent="0.45">
      <c r="A189" s="130">
        <v>201</v>
      </c>
      <c r="B189" s="131" t="s">
        <v>240</v>
      </c>
      <c r="C189" s="131"/>
      <c r="D189" s="131"/>
      <c r="E189" s="131">
        <v>2205</v>
      </c>
      <c r="F189" s="131" t="str">
        <f t="shared" si="1"/>
        <v>2012205</v>
      </c>
      <c r="G189" s="133" t="s">
        <v>281</v>
      </c>
      <c r="H189" s="129"/>
    </row>
    <row r="190" spans="1:8" x14ac:dyDescent="0.45">
      <c r="A190" s="130">
        <v>201</v>
      </c>
      <c r="B190" s="131" t="s">
        <v>240</v>
      </c>
      <c r="C190" s="131"/>
      <c r="D190" s="131"/>
      <c r="E190" s="131">
        <v>2214</v>
      </c>
      <c r="F190" s="131" t="str">
        <f t="shared" si="1"/>
        <v>2012214</v>
      </c>
      <c r="G190" s="133" t="s">
        <v>283</v>
      </c>
      <c r="H190" s="129"/>
    </row>
    <row r="191" spans="1:8" x14ac:dyDescent="0.45">
      <c r="A191" s="130">
        <v>201</v>
      </c>
      <c r="B191" s="131" t="s">
        <v>240</v>
      </c>
      <c r="C191" s="131"/>
      <c r="D191" s="131"/>
      <c r="E191" s="131">
        <v>2405</v>
      </c>
      <c r="F191" s="131" t="str">
        <f t="shared" si="1"/>
        <v>2012405</v>
      </c>
      <c r="G191" s="133" t="s">
        <v>285</v>
      </c>
      <c r="H191" s="129"/>
    </row>
    <row r="192" spans="1:8" x14ac:dyDescent="0.45">
      <c r="A192" s="130">
        <v>201</v>
      </c>
      <c r="B192" s="131" t="s">
        <v>240</v>
      </c>
      <c r="C192" s="131"/>
      <c r="D192" s="131"/>
      <c r="E192" s="131">
        <v>2410</v>
      </c>
      <c r="F192" s="131" t="str">
        <f t="shared" si="1"/>
        <v>2012410</v>
      </c>
      <c r="G192" s="133" t="s">
        <v>287</v>
      </c>
      <c r="H192" s="129"/>
    </row>
    <row r="193" spans="1:8" x14ac:dyDescent="0.45">
      <c r="A193" s="130">
        <v>201</v>
      </c>
      <c r="B193" s="131" t="s">
        <v>240</v>
      </c>
      <c r="C193" s="131"/>
      <c r="D193" s="131"/>
      <c r="E193" s="131">
        <v>2602</v>
      </c>
      <c r="F193" s="131" t="str">
        <f t="shared" si="1"/>
        <v>2012602</v>
      </c>
      <c r="G193" s="133" t="s">
        <v>289</v>
      </c>
      <c r="H193" s="129"/>
    </row>
    <row r="194" spans="1:8" x14ac:dyDescent="0.45">
      <c r="A194" s="130">
        <v>201</v>
      </c>
      <c r="B194" s="131" t="s">
        <v>240</v>
      </c>
      <c r="C194" s="131"/>
      <c r="D194" s="131"/>
      <c r="E194" s="131">
        <v>2603</v>
      </c>
      <c r="F194" s="131" t="str">
        <f t="shared" si="1"/>
        <v>2012603</v>
      </c>
      <c r="G194" s="133" t="s">
        <v>290</v>
      </c>
      <c r="H194" s="129"/>
    </row>
    <row r="195" spans="1:8" x14ac:dyDescent="0.45">
      <c r="A195" s="130">
        <v>201</v>
      </c>
      <c r="B195" s="131" t="s">
        <v>240</v>
      </c>
      <c r="C195" s="131"/>
      <c r="D195" s="131"/>
      <c r="E195" s="131">
        <v>2605</v>
      </c>
      <c r="F195" s="131" t="str">
        <f t="shared" si="1"/>
        <v>2012605</v>
      </c>
      <c r="G195" s="133" t="s">
        <v>142</v>
      </c>
      <c r="H195" s="129"/>
    </row>
    <row r="196" spans="1:8" x14ac:dyDescent="0.45">
      <c r="A196" s="130">
        <v>201</v>
      </c>
      <c r="B196" s="131" t="s">
        <v>240</v>
      </c>
      <c r="C196" s="131"/>
      <c r="D196" s="131"/>
      <c r="E196" s="131">
        <v>2801</v>
      </c>
      <c r="F196" s="131" t="str">
        <f t="shared" si="1"/>
        <v>2012801</v>
      </c>
      <c r="G196" s="133" t="s">
        <v>296</v>
      </c>
      <c r="H196" s="129"/>
    </row>
    <row r="197" spans="1:8" x14ac:dyDescent="0.45">
      <c r="A197" s="130">
        <v>201</v>
      </c>
      <c r="B197" s="131" t="s">
        <v>240</v>
      </c>
      <c r="C197" s="131"/>
      <c r="D197" s="131"/>
      <c r="E197" s="131">
        <v>2802</v>
      </c>
      <c r="F197" s="131" t="str">
        <f t="shared" si="1"/>
        <v>2012802</v>
      </c>
      <c r="G197" s="133" t="s">
        <v>297</v>
      </c>
      <c r="H197" s="129"/>
    </row>
    <row r="198" spans="1:8" x14ac:dyDescent="0.45">
      <c r="A198" s="130">
        <v>201</v>
      </c>
      <c r="B198" s="131" t="s">
        <v>240</v>
      </c>
      <c r="C198" s="131"/>
      <c r="D198" s="131"/>
      <c r="E198" s="131">
        <v>2806</v>
      </c>
      <c r="F198" s="131" t="str">
        <f t="shared" si="1"/>
        <v>2012806</v>
      </c>
      <c r="G198" s="133" t="s">
        <v>298</v>
      </c>
      <c r="H198" s="129"/>
    </row>
    <row r="199" spans="1:8" x14ac:dyDescent="0.45">
      <c r="A199" s="130">
        <v>201</v>
      </c>
      <c r="B199" s="131" t="s">
        <v>240</v>
      </c>
      <c r="C199" s="131"/>
      <c r="D199" s="131"/>
      <c r="E199" s="131">
        <v>2807</v>
      </c>
      <c r="F199" s="131" t="str">
        <f t="shared" si="1"/>
        <v>2012807</v>
      </c>
      <c r="G199" s="133" t="s">
        <v>299</v>
      </c>
      <c r="H199" s="129"/>
    </row>
    <row r="200" spans="1:8" x14ac:dyDescent="0.45">
      <c r="A200" s="130">
        <v>201</v>
      </c>
      <c r="B200" s="131" t="s">
        <v>240</v>
      </c>
      <c r="C200" s="131"/>
      <c r="D200" s="131"/>
      <c r="E200" s="131">
        <v>2809</v>
      </c>
      <c r="F200" s="131" t="str">
        <f>A200&amp;E200</f>
        <v>2012809</v>
      </c>
      <c r="G200" s="133" t="s">
        <v>680</v>
      </c>
      <c r="H200" s="129"/>
    </row>
    <row r="201" spans="1:8" x14ac:dyDescent="0.45">
      <c r="A201" s="130">
        <v>201</v>
      </c>
      <c r="B201" s="131" t="s">
        <v>240</v>
      </c>
      <c r="C201" s="131"/>
      <c r="D201" s="131"/>
      <c r="E201" s="131">
        <v>2810</v>
      </c>
      <c r="F201" s="131" t="str">
        <f t="shared" si="1"/>
        <v>2012810</v>
      </c>
      <c r="G201" s="133" t="s">
        <v>301</v>
      </c>
      <c r="H201" s="129"/>
    </row>
    <row r="202" spans="1:8" x14ac:dyDescent="0.45">
      <c r="A202" s="130">
        <v>201</v>
      </c>
      <c r="B202" s="131" t="s">
        <v>240</v>
      </c>
      <c r="C202" s="131"/>
      <c r="D202" s="131"/>
      <c r="E202" s="131">
        <v>2811</v>
      </c>
      <c r="F202" s="131" t="str">
        <f t="shared" si="1"/>
        <v>2012811</v>
      </c>
      <c r="G202" s="133" t="s">
        <v>302</v>
      </c>
      <c r="H202" s="129"/>
    </row>
    <row r="203" spans="1:8" x14ac:dyDescent="0.45">
      <c r="A203" s="130">
        <v>201</v>
      </c>
      <c r="B203" s="131" t="s">
        <v>240</v>
      </c>
      <c r="C203" s="131"/>
      <c r="D203" s="131"/>
      <c r="E203" s="131">
        <v>2816</v>
      </c>
      <c r="F203" s="131" t="str">
        <f t="shared" si="1"/>
        <v>2012816</v>
      </c>
      <c r="G203" s="133" t="s">
        <v>303</v>
      </c>
      <c r="H203" s="129"/>
    </row>
    <row r="204" spans="1:8" x14ac:dyDescent="0.45">
      <c r="A204" s="130">
        <v>201</v>
      </c>
      <c r="B204" s="131" t="s">
        <v>240</v>
      </c>
      <c r="C204" s="131"/>
      <c r="D204" s="131"/>
      <c r="E204" s="131">
        <v>2819</v>
      </c>
      <c r="F204" s="131" t="str">
        <f t="shared" si="1"/>
        <v>2012819</v>
      </c>
      <c r="G204" s="133" t="s">
        <v>305</v>
      </c>
      <c r="H204" s="129"/>
    </row>
    <row r="205" spans="1:8" x14ac:dyDescent="0.45">
      <c r="A205" s="130">
        <v>201</v>
      </c>
      <c r="B205" s="131" t="s">
        <v>240</v>
      </c>
      <c r="C205" s="131"/>
      <c r="D205" s="131"/>
      <c r="E205" s="131">
        <v>2820</v>
      </c>
      <c r="F205" s="131" t="str">
        <f t="shared" si="1"/>
        <v>2012820</v>
      </c>
      <c r="G205" s="133" t="s">
        <v>306</v>
      </c>
      <c r="H205" s="129"/>
    </row>
    <row r="206" spans="1:8" x14ac:dyDescent="0.45">
      <c r="A206" s="130">
        <v>201</v>
      </c>
      <c r="B206" s="131" t="s">
        <v>240</v>
      </c>
      <c r="C206" s="131"/>
      <c r="D206" s="131"/>
      <c r="E206" s="131">
        <v>2821</v>
      </c>
      <c r="F206" s="131" t="str">
        <f t="shared" si="1"/>
        <v>2012821</v>
      </c>
      <c r="G206" s="133" t="s">
        <v>307</v>
      </c>
      <c r="H206" s="129"/>
    </row>
    <row r="207" spans="1:8" x14ac:dyDescent="0.45">
      <c r="A207" s="130">
        <v>201</v>
      </c>
      <c r="B207" s="131" t="s">
        <v>240</v>
      </c>
      <c r="C207" s="131"/>
      <c r="D207" s="131"/>
      <c r="E207" s="131">
        <v>3003</v>
      </c>
      <c r="F207" s="131" t="str">
        <f t="shared" si="1"/>
        <v>2013003</v>
      </c>
      <c r="G207" s="133" t="s">
        <v>309</v>
      </c>
      <c r="H207" s="129"/>
    </row>
    <row r="208" spans="1:8" x14ac:dyDescent="0.45">
      <c r="A208" s="130">
        <v>201</v>
      </c>
      <c r="B208" s="131" t="s">
        <v>240</v>
      </c>
      <c r="C208" s="131"/>
      <c r="D208" s="131"/>
      <c r="E208" s="131">
        <v>3007</v>
      </c>
      <c r="F208" s="131" t="str">
        <f t="shared" si="1"/>
        <v>2013007</v>
      </c>
      <c r="G208" s="133" t="s">
        <v>310</v>
      </c>
      <c r="H208" s="129"/>
    </row>
    <row r="209" spans="1:8" x14ac:dyDescent="0.45">
      <c r="A209" s="130">
        <v>201</v>
      </c>
      <c r="B209" s="131" t="s">
        <v>240</v>
      </c>
      <c r="C209" s="131"/>
      <c r="D209" s="131"/>
      <c r="E209" s="131">
        <v>3014</v>
      </c>
      <c r="F209" s="131" t="str">
        <f t="shared" si="1"/>
        <v>2013014</v>
      </c>
      <c r="G209" s="133" t="s">
        <v>313</v>
      </c>
      <c r="H209" s="129"/>
    </row>
    <row r="210" spans="1:8" x14ac:dyDescent="0.45">
      <c r="A210" s="130">
        <v>201</v>
      </c>
      <c r="B210" s="131" t="s">
        <v>240</v>
      </c>
      <c r="C210" s="131"/>
      <c r="D210" s="131"/>
      <c r="E210" s="131">
        <v>3015</v>
      </c>
      <c r="F210" s="131" t="str">
        <f t="shared" si="1"/>
        <v>2013015</v>
      </c>
      <c r="G210" s="133" t="s">
        <v>314</v>
      </c>
      <c r="H210" s="129"/>
    </row>
    <row r="211" spans="1:8" x14ac:dyDescent="0.45">
      <c r="A211" s="130">
        <v>201</v>
      </c>
      <c r="B211" s="131" t="s">
        <v>240</v>
      </c>
      <c r="C211" s="131"/>
      <c r="D211" s="131"/>
      <c r="E211" s="131">
        <v>3019</v>
      </c>
      <c r="F211" s="131" t="str">
        <f t="shared" si="1"/>
        <v>2013019</v>
      </c>
      <c r="G211" s="133" t="s">
        <v>315</v>
      </c>
      <c r="H211" s="129"/>
    </row>
    <row r="212" spans="1:8" x14ac:dyDescent="0.45">
      <c r="A212" s="130">
        <v>201</v>
      </c>
      <c r="B212" s="131" t="s">
        <v>240</v>
      </c>
      <c r="C212" s="131"/>
      <c r="D212" s="131"/>
      <c r="E212" s="131">
        <v>3034</v>
      </c>
      <c r="F212" s="131" t="str">
        <f t="shared" si="1"/>
        <v>2013034</v>
      </c>
      <c r="G212" s="133" t="s">
        <v>681</v>
      </c>
      <c r="H212" s="129"/>
    </row>
    <row r="213" spans="1:8" x14ac:dyDescent="0.45">
      <c r="A213" s="130">
        <v>201</v>
      </c>
      <c r="B213" s="131" t="s">
        <v>240</v>
      </c>
      <c r="C213" s="131"/>
      <c r="D213" s="131"/>
      <c r="E213" s="131">
        <v>3039</v>
      </c>
      <c r="F213" s="131" t="str">
        <f t="shared" si="1"/>
        <v>2013039</v>
      </c>
      <c r="G213" s="133" t="s">
        <v>317</v>
      </c>
      <c r="H213" s="129"/>
    </row>
    <row r="214" spans="1:8" x14ac:dyDescent="0.45">
      <c r="A214" s="130">
        <v>201</v>
      </c>
      <c r="B214" s="131" t="s">
        <v>240</v>
      </c>
      <c r="C214" s="131"/>
      <c r="D214" s="131"/>
      <c r="E214" s="131">
        <v>3204</v>
      </c>
      <c r="F214" s="131" t="str">
        <f t="shared" si="1"/>
        <v>2013204</v>
      </c>
      <c r="G214" s="133" t="s">
        <v>682</v>
      </c>
      <c r="H214" s="129"/>
    </row>
    <row r="215" spans="1:8" x14ac:dyDescent="0.45">
      <c r="A215" s="130">
        <v>201</v>
      </c>
      <c r="B215" s="131" t="s">
        <v>240</v>
      </c>
      <c r="C215" s="131"/>
      <c r="D215" s="131"/>
      <c r="E215" s="131">
        <v>3206</v>
      </c>
      <c r="F215" s="131" t="str">
        <f t="shared" si="1"/>
        <v>2013206</v>
      </c>
      <c r="G215" s="133" t="s">
        <v>322</v>
      </c>
      <c r="H215" s="129"/>
    </row>
    <row r="216" spans="1:8" x14ac:dyDescent="0.45">
      <c r="A216" s="130">
        <v>201</v>
      </c>
      <c r="B216" s="131" t="s">
        <v>240</v>
      </c>
      <c r="C216" s="131"/>
      <c r="D216" s="131"/>
      <c r="E216" s="131">
        <v>3218</v>
      </c>
      <c r="F216" s="131" t="str">
        <f t="shared" si="1"/>
        <v>2013218</v>
      </c>
      <c r="G216" s="133" t="s">
        <v>323</v>
      </c>
      <c r="H216" s="129"/>
    </row>
    <row r="217" spans="1:8" x14ac:dyDescent="0.45">
      <c r="A217" s="130">
        <v>201</v>
      </c>
      <c r="B217" s="131" t="s">
        <v>240</v>
      </c>
      <c r="C217" s="131"/>
      <c r="D217" s="131"/>
      <c r="E217" s="131">
        <v>3219</v>
      </c>
      <c r="F217" s="131" t="str">
        <f t="shared" si="1"/>
        <v>2013219</v>
      </c>
      <c r="G217" s="133" t="s">
        <v>324</v>
      </c>
      <c r="H217" s="129"/>
    </row>
    <row r="218" spans="1:8" x14ac:dyDescent="0.45">
      <c r="A218" s="130">
        <v>201</v>
      </c>
      <c r="B218" s="131" t="s">
        <v>240</v>
      </c>
      <c r="C218" s="131"/>
      <c r="D218" s="131"/>
      <c r="E218" s="131">
        <v>3274</v>
      </c>
      <c r="F218" s="131" t="str">
        <f t="shared" ref="F218:F284" si="2">A218&amp;E218</f>
        <v>2013274</v>
      </c>
      <c r="G218" s="133" t="s">
        <v>328</v>
      </c>
      <c r="H218" s="129"/>
    </row>
    <row r="219" spans="1:8" x14ac:dyDescent="0.45">
      <c r="A219" s="130">
        <v>201</v>
      </c>
      <c r="B219" s="131" t="s">
        <v>240</v>
      </c>
      <c r="C219" s="131"/>
      <c r="D219" s="131"/>
      <c r="E219" s="131">
        <v>3402</v>
      </c>
      <c r="F219" s="131" t="str">
        <f t="shared" si="2"/>
        <v>2013402</v>
      </c>
      <c r="G219" s="133" t="s">
        <v>330</v>
      </c>
      <c r="H219" s="129"/>
    </row>
    <row r="220" spans="1:8" x14ac:dyDescent="0.45">
      <c r="A220" s="130">
        <v>201</v>
      </c>
      <c r="B220" s="131" t="s">
        <v>240</v>
      </c>
      <c r="C220" s="131"/>
      <c r="D220" s="131"/>
      <c r="E220" s="131">
        <v>3404</v>
      </c>
      <c r="F220" s="131" t="str">
        <f t="shared" si="2"/>
        <v>2013404</v>
      </c>
      <c r="G220" s="133" t="s">
        <v>331</v>
      </c>
      <c r="H220" s="129"/>
    </row>
    <row r="221" spans="1:8" x14ac:dyDescent="0.45">
      <c r="A221" s="130">
        <v>201</v>
      </c>
      <c r="B221" s="131" t="s">
        <v>240</v>
      </c>
      <c r="C221" s="131"/>
      <c r="D221" s="131"/>
      <c r="E221" s="131">
        <v>3409</v>
      </c>
      <c r="F221" s="131" t="str">
        <f t="shared" si="2"/>
        <v>2013409</v>
      </c>
      <c r="G221" s="133" t="s">
        <v>332</v>
      </c>
      <c r="H221" s="129"/>
    </row>
    <row r="222" spans="1:8" x14ac:dyDescent="0.45">
      <c r="A222" s="130">
        <v>201</v>
      </c>
      <c r="B222" s="131" t="s">
        <v>240</v>
      </c>
      <c r="C222" s="131"/>
      <c r="D222" s="131"/>
      <c r="E222" s="131">
        <v>3601</v>
      </c>
      <c r="F222" s="131" t="str">
        <f t="shared" si="2"/>
        <v>2013601</v>
      </c>
      <c r="G222" s="133" t="s">
        <v>333</v>
      </c>
      <c r="H222" s="129"/>
    </row>
    <row r="223" spans="1:8" x14ac:dyDescent="0.45">
      <c r="A223" s="130">
        <v>201</v>
      </c>
      <c r="B223" s="131" t="s">
        <v>240</v>
      </c>
      <c r="C223" s="131"/>
      <c r="D223" s="131"/>
      <c r="E223" s="131">
        <v>3604</v>
      </c>
      <c r="F223" s="131" t="str">
        <f t="shared" si="2"/>
        <v>2013604</v>
      </c>
      <c r="G223" s="133" t="s">
        <v>683</v>
      </c>
      <c r="H223" s="129"/>
    </row>
    <row r="224" spans="1:8" x14ac:dyDescent="0.45">
      <c r="A224" s="130">
        <v>201</v>
      </c>
      <c r="B224" s="131" t="s">
        <v>240</v>
      </c>
      <c r="C224" s="131"/>
      <c r="D224" s="131"/>
      <c r="E224" s="131">
        <v>3802</v>
      </c>
      <c r="F224" s="131" t="str">
        <f t="shared" si="2"/>
        <v>2013802</v>
      </c>
      <c r="G224" s="133" t="s">
        <v>335</v>
      </c>
      <c r="H224" s="129"/>
    </row>
    <row r="225" spans="1:8" x14ac:dyDescent="0.45">
      <c r="A225" s="130">
        <v>201</v>
      </c>
      <c r="B225" s="131" t="s">
        <v>240</v>
      </c>
      <c r="C225" s="131"/>
      <c r="D225" s="131"/>
      <c r="E225" s="131">
        <v>4002</v>
      </c>
      <c r="F225" s="131" t="str">
        <f t="shared" si="2"/>
        <v>2014002</v>
      </c>
      <c r="G225" s="133" t="s">
        <v>336</v>
      </c>
      <c r="H225" s="129"/>
    </row>
    <row r="226" spans="1:8" x14ac:dyDescent="0.45">
      <c r="A226" s="130">
        <v>201</v>
      </c>
      <c r="B226" s="131" t="s">
        <v>240</v>
      </c>
      <c r="C226" s="131"/>
      <c r="D226" s="131"/>
      <c r="E226" s="131">
        <v>4003</v>
      </c>
      <c r="F226" s="131" t="str">
        <f t="shared" si="2"/>
        <v>2014003</v>
      </c>
      <c r="G226" s="133" t="s">
        <v>684</v>
      </c>
      <c r="H226" s="129"/>
    </row>
    <row r="227" spans="1:8" x14ac:dyDescent="0.45">
      <c r="A227" s="130">
        <v>201</v>
      </c>
      <c r="B227" s="131" t="s">
        <v>240</v>
      </c>
      <c r="C227" s="131"/>
      <c r="D227" s="131"/>
      <c r="E227" s="131">
        <v>4004</v>
      </c>
      <c r="F227" s="131" t="str">
        <f t="shared" si="2"/>
        <v>2014004</v>
      </c>
      <c r="G227" s="133" t="s">
        <v>339</v>
      </c>
      <c r="H227" s="129"/>
    </row>
    <row r="228" spans="1:8" x14ac:dyDescent="0.45">
      <c r="A228" s="130">
        <v>201</v>
      </c>
      <c r="B228" s="131" t="s">
        <v>240</v>
      </c>
      <c r="C228" s="131"/>
      <c r="D228" s="131"/>
      <c r="E228" s="131">
        <v>4006</v>
      </c>
      <c r="F228" s="131" t="str">
        <f t="shared" si="2"/>
        <v>2014006</v>
      </c>
      <c r="G228" s="133" t="s">
        <v>685</v>
      </c>
      <c r="H228" s="129"/>
    </row>
    <row r="229" spans="1:8" x14ac:dyDescent="0.45">
      <c r="A229" s="130">
        <v>201</v>
      </c>
      <c r="B229" s="131" t="s">
        <v>240</v>
      </c>
      <c r="C229" s="131"/>
      <c r="D229" s="131"/>
      <c r="E229" s="131">
        <v>4014</v>
      </c>
      <c r="F229" s="131" t="str">
        <f t="shared" si="2"/>
        <v>2014014</v>
      </c>
      <c r="G229" s="133" t="s">
        <v>340</v>
      </c>
      <c r="H229" s="129"/>
    </row>
    <row r="230" spans="1:8" x14ac:dyDescent="0.45">
      <c r="A230" s="130">
        <v>201</v>
      </c>
      <c r="B230" s="131" t="s">
        <v>240</v>
      </c>
      <c r="C230" s="131"/>
      <c r="D230" s="131"/>
      <c r="E230" s="131">
        <v>4028</v>
      </c>
      <c r="F230" s="131" t="str">
        <f t="shared" si="2"/>
        <v>2014028</v>
      </c>
      <c r="G230" s="133" t="s">
        <v>342</v>
      </c>
      <c r="H230" s="129"/>
    </row>
    <row r="231" spans="1:8" x14ac:dyDescent="0.45">
      <c r="A231" s="130">
        <v>201</v>
      </c>
      <c r="B231" s="131" t="s">
        <v>240</v>
      </c>
      <c r="C231" s="131"/>
      <c r="D231" s="131"/>
      <c r="E231" s="131">
        <v>4036</v>
      </c>
      <c r="F231" s="131" t="str">
        <f t="shared" si="2"/>
        <v>2014036</v>
      </c>
      <c r="G231" s="133" t="s">
        <v>343</v>
      </c>
      <c r="H231" s="129"/>
    </row>
    <row r="232" spans="1:8" x14ac:dyDescent="0.45">
      <c r="A232" s="130">
        <v>201</v>
      </c>
      <c r="B232" s="131" t="s">
        <v>240</v>
      </c>
      <c r="C232" s="131"/>
      <c r="D232" s="131"/>
      <c r="E232" s="145">
        <v>4038</v>
      </c>
      <c r="F232" s="131" t="str">
        <f>A232&amp;E232</f>
        <v>2014038</v>
      </c>
      <c r="G232" s="133" t="s">
        <v>686</v>
      </c>
      <c r="H232" s="129"/>
    </row>
    <row r="233" spans="1:8" x14ac:dyDescent="0.45">
      <c r="A233" s="130">
        <v>201</v>
      </c>
      <c r="B233" s="131" t="s">
        <v>240</v>
      </c>
      <c r="C233" s="131"/>
      <c r="D233" s="131"/>
      <c r="E233" s="131">
        <v>4201</v>
      </c>
      <c r="F233" s="131" t="str">
        <f t="shared" si="2"/>
        <v>2014201</v>
      </c>
      <c r="G233" s="133" t="s">
        <v>347</v>
      </c>
      <c r="H233" s="129"/>
    </row>
    <row r="234" spans="1:8" x14ac:dyDescent="0.45">
      <c r="A234" s="130">
        <v>201</v>
      </c>
      <c r="B234" s="131" t="s">
        <v>240</v>
      </c>
      <c r="C234" s="131"/>
      <c r="D234" s="131"/>
      <c r="E234" s="131">
        <v>4301</v>
      </c>
      <c r="F234" s="131" t="str">
        <f t="shared" si="2"/>
        <v>2014301</v>
      </c>
      <c r="G234" s="133" t="s">
        <v>160</v>
      </c>
      <c r="H234" s="129"/>
    </row>
    <row r="235" spans="1:8" x14ac:dyDescent="0.45">
      <c r="A235" s="130">
        <v>201</v>
      </c>
      <c r="B235" s="131" t="s">
        <v>240</v>
      </c>
      <c r="C235" s="131"/>
      <c r="D235" s="131"/>
      <c r="E235" s="131">
        <v>4302</v>
      </c>
      <c r="F235" s="131" t="str">
        <f t="shared" si="2"/>
        <v>2014302</v>
      </c>
      <c r="G235" s="133" t="s">
        <v>348</v>
      </c>
      <c r="H235" s="129"/>
    </row>
    <row r="236" spans="1:8" x14ac:dyDescent="0.45">
      <c r="A236" s="130">
        <v>201</v>
      </c>
      <c r="B236" s="131" t="s">
        <v>240</v>
      </c>
      <c r="C236" s="131"/>
      <c r="D236" s="131"/>
      <c r="E236" s="131">
        <v>4603</v>
      </c>
      <c r="F236" s="131" t="str">
        <f t="shared" si="2"/>
        <v>2014603</v>
      </c>
      <c r="G236" s="133" t="s">
        <v>349</v>
      </c>
      <c r="H236" s="129"/>
    </row>
    <row r="237" spans="1:8" x14ac:dyDescent="0.45">
      <c r="A237" s="130">
        <v>201</v>
      </c>
      <c r="B237" s="131" t="s">
        <v>240</v>
      </c>
      <c r="C237" s="131"/>
      <c r="D237" s="131"/>
      <c r="E237" s="131">
        <v>4807</v>
      </c>
      <c r="F237" s="131" t="str">
        <f t="shared" si="2"/>
        <v>2014807</v>
      </c>
      <c r="G237" s="133" t="s">
        <v>162</v>
      </c>
      <c r="H237" s="129"/>
    </row>
    <row r="238" spans="1:8" x14ac:dyDescent="0.45">
      <c r="A238" s="130">
        <v>201</v>
      </c>
      <c r="B238" s="131" t="s">
        <v>240</v>
      </c>
      <c r="C238" s="131"/>
      <c r="D238" s="131"/>
      <c r="E238" s="131">
        <v>4811</v>
      </c>
      <c r="F238" s="131" t="str">
        <f t="shared" si="2"/>
        <v>2014811</v>
      </c>
      <c r="G238" s="133" t="s">
        <v>352</v>
      </c>
      <c r="H238" s="129"/>
    </row>
    <row r="239" spans="1:8" x14ac:dyDescent="0.45">
      <c r="A239" s="130">
        <v>201</v>
      </c>
      <c r="B239" s="131" t="s">
        <v>240</v>
      </c>
      <c r="C239" s="131"/>
      <c r="D239" s="131"/>
      <c r="E239" s="131">
        <v>4813</v>
      </c>
      <c r="F239" s="131" t="str">
        <f t="shared" si="2"/>
        <v>2014813</v>
      </c>
      <c r="G239" s="133" t="s">
        <v>353</v>
      </c>
      <c r="H239" s="129"/>
    </row>
    <row r="240" spans="1:8" x14ac:dyDescent="0.45">
      <c r="A240" s="130">
        <v>201</v>
      </c>
      <c r="B240" s="131" t="s">
        <v>240</v>
      </c>
      <c r="C240" s="131"/>
      <c r="D240" s="131"/>
      <c r="E240" s="131">
        <v>4814</v>
      </c>
      <c r="F240" s="131" t="str">
        <f t="shared" si="2"/>
        <v>2014814</v>
      </c>
      <c r="G240" s="133" t="s">
        <v>354</v>
      </c>
      <c r="H240" s="129"/>
    </row>
    <row r="241" spans="1:8" x14ac:dyDescent="0.45">
      <c r="A241" s="130">
        <v>201</v>
      </c>
      <c r="B241" s="131" t="s">
        <v>240</v>
      </c>
      <c r="C241" s="131"/>
      <c r="D241" s="131"/>
      <c r="E241" s="131">
        <v>4816</v>
      </c>
      <c r="F241" s="131" t="str">
        <f t="shared" si="2"/>
        <v>2014816</v>
      </c>
      <c r="G241" s="133" t="s">
        <v>355</v>
      </c>
      <c r="H241" s="129"/>
    </row>
    <row r="242" spans="1:8" x14ac:dyDescent="0.45">
      <c r="A242" s="130">
        <v>201</v>
      </c>
      <c r="B242" s="131" t="s">
        <v>240</v>
      </c>
      <c r="C242" s="131"/>
      <c r="D242" s="131"/>
      <c r="E242" s="131">
        <v>4818</v>
      </c>
      <c r="F242" s="131" t="str">
        <f t="shared" si="2"/>
        <v>2014818</v>
      </c>
      <c r="G242" s="133" t="s">
        <v>356</v>
      </c>
      <c r="H242" s="129"/>
    </row>
    <row r="243" spans="1:8" x14ac:dyDescent="0.45">
      <c r="A243" s="130">
        <v>201</v>
      </c>
      <c r="B243" s="131" t="s">
        <v>240</v>
      </c>
      <c r="C243" s="131"/>
      <c r="D243" s="131"/>
      <c r="E243" s="131">
        <v>4825</v>
      </c>
      <c r="F243" s="131" t="str">
        <f t="shared" si="2"/>
        <v>2014825</v>
      </c>
      <c r="G243" s="133" t="s">
        <v>357</v>
      </c>
      <c r="H243" s="129"/>
    </row>
    <row r="244" spans="1:8" x14ac:dyDescent="0.45">
      <c r="A244" s="130">
        <v>201</v>
      </c>
      <c r="B244" s="131" t="s">
        <v>240</v>
      </c>
      <c r="C244" s="131"/>
      <c r="D244" s="131"/>
      <c r="E244" s="131">
        <v>4826</v>
      </c>
      <c r="F244" s="131" t="str">
        <f t="shared" si="2"/>
        <v>2014826</v>
      </c>
      <c r="G244" s="133" t="s">
        <v>358</v>
      </c>
      <c r="H244" s="129"/>
    </row>
    <row r="245" spans="1:8" x14ac:dyDescent="0.45">
      <c r="A245" s="130">
        <v>201</v>
      </c>
      <c r="B245" s="131" t="s">
        <v>240</v>
      </c>
      <c r="C245" s="131"/>
      <c r="D245" s="131"/>
      <c r="E245" s="131">
        <v>4836</v>
      </c>
      <c r="F245" s="131" t="str">
        <f t="shared" si="2"/>
        <v>2014836</v>
      </c>
      <c r="G245" s="133" t="s">
        <v>687</v>
      </c>
      <c r="H245" s="129"/>
    </row>
    <row r="246" spans="1:8" x14ac:dyDescent="0.45">
      <c r="A246" s="130">
        <v>201</v>
      </c>
      <c r="B246" s="131" t="s">
        <v>240</v>
      </c>
      <c r="C246" s="131"/>
      <c r="D246" s="131"/>
      <c r="E246" s="131">
        <v>5003</v>
      </c>
      <c r="F246" s="131" t="str">
        <f t="shared" si="2"/>
        <v>2015003</v>
      </c>
      <c r="G246" s="133" t="s">
        <v>360</v>
      </c>
      <c r="H246" s="129"/>
    </row>
    <row r="247" spans="1:8" x14ac:dyDescent="0.45">
      <c r="A247" s="130">
        <v>201</v>
      </c>
      <c r="B247" s="131" t="s">
        <v>240</v>
      </c>
      <c r="C247" s="131"/>
      <c r="D247" s="131"/>
      <c r="E247" s="131">
        <v>5008</v>
      </c>
      <c r="F247" s="131" t="str">
        <f t="shared" si="2"/>
        <v>2015008</v>
      </c>
      <c r="G247" s="133" t="s">
        <v>361</v>
      </c>
      <c r="H247" s="129"/>
    </row>
    <row r="248" spans="1:8" x14ac:dyDescent="0.45">
      <c r="A248" s="130">
        <v>201</v>
      </c>
      <c r="B248" s="131" t="s">
        <v>240</v>
      </c>
      <c r="C248" s="131"/>
      <c r="D248" s="131"/>
      <c r="E248" s="131">
        <v>5009</v>
      </c>
      <c r="F248" s="131" t="str">
        <f t="shared" si="2"/>
        <v>2015009</v>
      </c>
      <c r="G248" s="133" t="s">
        <v>362</v>
      </c>
      <c r="H248" s="129"/>
    </row>
    <row r="249" spans="1:8" x14ac:dyDescent="0.45">
      <c r="A249" s="130">
        <v>201</v>
      </c>
      <c r="B249" s="131" t="s">
        <v>240</v>
      </c>
      <c r="C249" s="131"/>
      <c r="D249" s="131"/>
      <c r="E249" s="131">
        <v>5011</v>
      </c>
      <c r="F249" s="131" t="str">
        <f t="shared" si="2"/>
        <v>2015011</v>
      </c>
      <c r="G249" s="133" t="s">
        <v>363</v>
      </c>
      <c r="H249" s="129"/>
    </row>
    <row r="250" spans="1:8" x14ac:dyDescent="0.45">
      <c r="A250" s="130">
        <v>201</v>
      </c>
      <c r="B250" s="131" t="s">
        <v>240</v>
      </c>
      <c r="C250" s="131"/>
      <c r="D250" s="131"/>
      <c r="E250" s="131">
        <v>5016</v>
      </c>
      <c r="F250" s="131" t="str">
        <f t="shared" si="2"/>
        <v>2015016</v>
      </c>
      <c r="G250" s="133" t="s">
        <v>364</v>
      </c>
      <c r="H250" s="129"/>
    </row>
    <row r="251" spans="1:8" x14ac:dyDescent="0.45">
      <c r="A251" s="130">
        <v>201</v>
      </c>
      <c r="B251" s="131" t="s">
        <v>240</v>
      </c>
      <c r="C251" s="131"/>
      <c r="D251" s="131"/>
      <c r="E251" s="131">
        <v>5202</v>
      </c>
      <c r="F251" s="131" t="str">
        <f t="shared" si="2"/>
        <v>2015202</v>
      </c>
      <c r="G251" s="133" t="s">
        <v>368</v>
      </c>
      <c r="H251" s="129"/>
    </row>
    <row r="252" spans="1:8" x14ac:dyDescent="0.45">
      <c r="A252" s="130">
        <v>201</v>
      </c>
      <c r="B252" s="131" t="s">
        <v>240</v>
      </c>
      <c r="C252" s="131"/>
      <c r="D252" s="131"/>
      <c r="E252" s="131">
        <v>5203</v>
      </c>
      <c r="F252" s="131" t="str">
        <f t="shared" si="2"/>
        <v>2015203</v>
      </c>
      <c r="G252" s="133" t="s">
        <v>369</v>
      </c>
      <c r="H252" s="129"/>
    </row>
    <row r="253" spans="1:8" x14ac:dyDescent="0.45">
      <c r="A253" s="130">
        <v>201</v>
      </c>
      <c r="B253" s="131" t="s">
        <v>240</v>
      </c>
      <c r="C253" s="131"/>
      <c r="D253" s="131"/>
      <c r="E253" s="131">
        <v>5209</v>
      </c>
      <c r="F253" s="131" t="str">
        <f t="shared" si="2"/>
        <v>2015209</v>
      </c>
      <c r="G253" s="133" t="s">
        <v>370</v>
      </c>
      <c r="H253" s="129"/>
    </row>
    <row r="254" spans="1:8" x14ac:dyDescent="0.45">
      <c r="A254" s="130">
        <v>201</v>
      </c>
      <c r="B254" s="131" t="s">
        <v>240</v>
      </c>
      <c r="C254" s="131"/>
      <c r="D254" s="131"/>
      <c r="E254" s="131">
        <v>5217</v>
      </c>
      <c r="F254" s="131" t="str">
        <f t="shared" si="2"/>
        <v>2015217</v>
      </c>
      <c r="G254" s="133" t="s">
        <v>371</v>
      </c>
      <c r="H254" s="129"/>
    </row>
    <row r="255" spans="1:8" x14ac:dyDescent="0.45">
      <c r="A255" s="130">
        <v>201</v>
      </c>
      <c r="B255" s="131" t="s">
        <v>240</v>
      </c>
      <c r="C255" s="131"/>
      <c r="D255" s="131"/>
      <c r="E255" s="131">
        <v>5231</v>
      </c>
      <c r="F255" s="131" t="str">
        <f t="shared" si="2"/>
        <v>2015231</v>
      </c>
      <c r="G255" s="133" t="s">
        <v>373</v>
      </c>
      <c r="H255" s="129"/>
    </row>
    <row r="256" spans="1:8" x14ac:dyDescent="0.45">
      <c r="A256" s="130">
        <v>201</v>
      </c>
      <c r="B256" s="131" t="s">
        <v>240</v>
      </c>
      <c r="C256" s="131"/>
      <c r="D256" s="131"/>
      <c r="E256" s="131">
        <v>5232</v>
      </c>
      <c r="F256" s="131" t="str">
        <f t="shared" si="2"/>
        <v>2015232</v>
      </c>
      <c r="G256" s="133" t="s">
        <v>374</v>
      </c>
      <c r="H256" s="129"/>
    </row>
    <row r="257" spans="1:8" x14ac:dyDescent="0.45">
      <c r="A257" s="130">
        <v>201</v>
      </c>
      <c r="B257" s="131" t="s">
        <v>240</v>
      </c>
      <c r="C257" s="131"/>
      <c r="D257" s="131"/>
      <c r="E257" s="131">
        <v>5233</v>
      </c>
      <c r="F257" s="131" t="str">
        <f t="shared" si="2"/>
        <v>2015233</v>
      </c>
      <c r="G257" s="133" t="s">
        <v>688</v>
      </c>
      <c r="H257" s="129"/>
    </row>
    <row r="258" spans="1:8" x14ac:dyDescent="0.45">
      <c r="A258" s="130">
        <v>201</v>
      </c>
      <c r="B258" s="131" t="s">
        <v>240</v>
      </c>
      <c r="C258" s="131"/>
      <c r="D258" s="131"/>
      <c r="E258" s="131">
        <v>6001</v>
      </c>
      <c r="F258" s="131" t="str">
        <f t="shared" si="2"/>
        <v>2016001</v>
      </c>
      <c r="G258" s="133" t="s">
        <v>377</v>
      </c>
      <c r="H258" s="129"/>
    </row>
    <row r="259" spans="1:8" x14ac:dyDescent="0.45">
      <c r="A259" s="130">
        <v>201</v>
      </c>
      <c r="B259" s="131" t="s">
        <v>240</v>
      </c>
      <c r="C259" s="131"/>
      <c r="D259" s="131"/>
      <c r="E259" s="131">
        <v>6002</v>
      </c>
      <c r="F259" s="131" t="str">
        <f t="shared" si="2"/>
        <v>2016002</v>
      </c>
      <c r="G259" s="133" t="s">
        <v>378</v>
      </c>
      <c r="H259" s="129"/>
    </row>
    <row r="260" spans="1:8" x14ac:dyDescent="0.45">
      <c r="A260" s="130">
        <v>201</v>
      </c>
      <c r="B260" s="131" t="s">
        <v>240</v>
      </c>
      <c r="C260" s="131"/>
      <c r="D260" s="131"/>
      <c r="E260" s="131">
        <v>6008</v>
      </c>
      <c r="F260" s="131" t="str">
        <f t="shared" si="2"/>
        <v>2016008</v>
      </c>
      <c r="G260" s="133" t="s">
        <v>380</v>
      </c>
      <c r="H260" s="129"/>
    </row>
    <row r="261" spans="1:8" x14ac:dyDescent="0.45">
      <c r="A261" s="130">
        <v>201</v>
      </c>
      <c r="B261" s="131" t="s">
        <v>240</v>
      </c>
      <c r="C261" s="131"/>
      <c r="D261" s="131"/>
      <c r="E261" s="131">
        <v>6010</v>
      </c>
      <c r="F261" s="131" t="str">
        <f t="shared" si="2"/>
        <v>2016010</v>
      </c>
      <c r="G261" s="133" t="s">
        <v>381</v>
      </c>
      <c r="H261" s="129"/>
    </row>
    <row r="262" spans="1:8" x14ac:dyDescent="0.45">
      <c r="A262" s="130">
        <v>201</v>
      </c>
      <c r="B262" s="131" t="s">
        <v>240</v>
      </c>
      <c r="C262" s="131"/>
      <c r="D262" s="131"/>
      <c r="E262" s="131">
        <v>6209</v>
      </c>
      <c r="F262" s="131" t="str">
        <f t="shared" si="2"/>
        <v>2016209</v>
      </c>
      <c r="G262" s="133" t="s">
        <v>689</v>
      </c>
      <c r="H262" s="129"/>
    </row>
    <row r="263" spans="1:8" x14ac:dyDescent="0.45">
      <c r="A263" s="130">
        <v>201</v>
      </c>
      <c r="B263" s="131" t="s">
        <v>240</v>
      </c>
      <c r="C263" s="131"/>
      <c r="D263" s="131"/>
      <c r="E263" s="131">
        <v>6401</v>
      </c>
      <c r="F263" s="131" t="str">
        <f t="shared" si="2"/>
        <v>2016401</v>
      </c>
      <c r="G263" s="133" t="s">
        <v>384</v>
      </c>
      <c r="H263" s="129"/>
    </row>
    <row r="264" spans="1:8" x14ac:dyDescent="0.45">
      <c r="A264" s="130">
        <v>201</v>
      </c>
      <c r="B264" s="131" t="s">
        <v>240</v>
      </c>
      <c r="C264" s="131"/>
      <c r="D264" s="131"/>
      <c r="E264" s="131">
        <v>6402</v>
      </c>
      <c r="F264" s="131" t="str">
        <f t="shared" si="2"/>
        <v>2016402</v>
      </c>
      <c r="G264" s="133" t="s">
        <v>385</v>
      </c>
      <c r="H264" s="129"/>
    </row>
    <row r="265" spans="1:8" x14ac:dyDescent="0.45">
      <c r="A265" s="130">
        <v>201</v>
      </c>
      <c r="B265" s="131" t="s">
        <v>240</v>
      </c>
      <c r="C265" s="131"/>
      <c r="D265" s="131"/>
      <c r="E265" s="131">
        <v>6403</v>
      </c>
      <c r="F265" s="131" t="str">
        <f t="shared" si="2"/>
        <v>2016403</v>
      </c>
      <c r="G265" s="133" t="s">
        <v>386</v>
      </c>
      <c r="H265" s="129"/>
    </row>
    <row r="266" spans="1:8" x14ac:dyDescent="0.45">
      <c r="A266" s="130">
        <v>201</v>
      </c>
      <c r="B266" s="131" t="s">
        <v>240</v>
      </c>
      <c r="C266" s="131"/>
      <c r="D266" s="131"/>
      <c r="E266" s="131">
        <v>6406</v>
      </c>
      <c r="F266" s="131" t="str">
        <f t="shared" si="2"/>
        <v>2016406</v>
      </c>
      <c r="G266" s="133" t="s">
        <v>388</v>
      </c>
      <c r="H266" s="129"/>
    </row>
    <row r="267" spans="1:8" x14ac:dyDescent="0.45">
      <c r="A267" s="130">
        <v>201</v>
      </c>
      <c r="B267" s="131" t="s">
        <v>240</v>
      </c>
      <c r="C267" s="131"/>
      <c r="D267" s="131"/>
      <c r="E267" s="131">
        <v>6421</v>
      </c>
      <c r="F267" s="131" t="str">
        <f t="shared" si="2"/>
        <v>2016421</v>
      </c>
      <c r="G267" s="133" t="s">
        <v>389</v>
      </c>
      <c r="H267" s="129"/>
    </row>
    <row r="268" spans="1:8" x14ac:dyDescent="0.45">
      <c r="A268" s="130">
        <v>201</v>
      </c>
      <c r="B268" s="131" t="s">
        <v>240</v>
      </c>
      <c r="C268" s="131"/>
      <c r="D268" s="131"/>
      <c r="E268" s="131">
        <v>6423</v>
      </c>
      <c r="F268" s="131" t="str">
        <f t="shared" si="2"/>
        <v>2016423</v>
      </c>
      <c r="G268" s="133" t="s">
        <v>390</v>
      </c>
      <c r="H268" s="129"/>
    </row>
    <row r="269" spans="1:8" x14ac:dyDescent="0.45">
      <c r="A269" s="130">
        <v>201</v>
      </c>
      <c r="B269" s="131" t="s">
        <v>240</v>
      </c>
      <c r="C269" s="131"/>
      <c r="D269" s="131"/>
      <c r="E269" s="131">
        <v>6425</v>
      </c>
      <c r="F269" s="131" t="str">
        <f t="shared" si="2"/>
        <v>2016425</v>
      </c>
      <c r="G269" s="133" t="s">
        <v>690</v>
      </c>
      <c r="H269" s="129"/>
    </row>
    <row r="270" spans="1:8" x14ac:dyDescent="0.45">
      <c r="A270" s="130">
        <v>201</v>
      </c>
      <c r="B270" s="131" t="s">
        <v>240</v>
      </c>
      <c r="C270" s="131"/>
      <c r="D270" s="131"/>
      <c r="E270" s="145">
        <v>6427</v>
      </c>
      <c r="F270" s="131" t="str">
        <f>A270&amp;E270</f>
        <v>2016427</v>
      </c>
      <c r="G270" s="133" t="s">
        <v>691</v>
      </c>
      <c r="H270" s="129"/>
    </row>
    <row r="271" spans="1:8" x14ac:dyDescent="0.45">
      <c r="A271" s="130">
        <v>201</v>
      </c>
      <c r="B271" s="131" t="s">
        <v>240</v>
      </c>
      <c r="C271" s="131"/>
      <c r="D271" s="131"/>
      <c r="E271" s="145">
        <v>6443</v>
      </c>
      <c r="F271" s="131" t="str">
        <f>A271&amp;E271</f>
        <v>2016443</v>
      </c>
      <c r="G271" s="133" t="s">
        <v>692</v>
      </c>
      <c r="H271" s="129"/>
    </row>
    <row r="272" spans="1:8" x14ac:dyDescent="0.45">
      <c r="A272" s="130">
        <v>201</v>
      </c>
      <c r="B272" s="131" t="s">
        <v>240</v>
      </c>
      <c r="C272" s="131"/>
      <c r="D272" s="131"/>
      <c r="E272" s="131">
        <v>6801</v>
      </c>
      <c r="F272" s="131" t="str">
        <f t="shared" si="2"/>
        <v>2016801</v>
      </c>
      <c r="G272" s="133" t="s">
        <v>397</v>
      </c>
      <c r="H272" s="129"/>
    </row>
    <row r="273" spans="1:8" x14ac:dyDescent="0.45">
      <c r="A273" s="130">
        <v>201</v>
      </c>
      <c r="B273" s="131" t="s">
        <v>240</v>
      </c>
      <c r="C273" s="131"/>
      <c r="D273" s="131"/>
      <c r="E273" s="131">
        <v>6802</v>
      </c>
      <c r="F273" s="131" t="str">
        <f t="shared" si="2"/>
        <v>2016802</v>
      </c>
      <c r="G273" s="133" t="s">
        <v>398</v>
      </c>
      <c r="H273" s="129"/>
    </row>
    <row r="274" spans="1:8" x14ac:dyDescent="0.45">
      <c r="A274" s="130">
        <v>201</v>
      </c>
      <c r="B274" s="131" t="s">
        <v>240</v>
      </c>
      <c r="C274" s="131"/>
      <c r="D274" s="131"/>
      <c r="E274" s="131">
        <v>6806</v>
      </c>
      <c r="F274" s="131" t="str">
        <f t="shared" si="2"/>
        <v>2016806</v>
      </c>
      <c r="G274" s="133" t="s">
        <v>399</v>
      </c>
      <c r="H274" s="129"/>
    </row>
    <row r="275" spans="1:8" x14ac:dyDescent="0.45">
      <c r="A275" s="130">
        <v>201</v>
      </c>
      <c r="B275" s="131" t="s">
        <v>240</v>
      </c>
      <c r="C275" s="131"/>
      <c r="D275" s="131"/>
      <c r="E275" s="131">
        <v>7002</v>
      </c>
      <c r="F275" s="131" t="str">
        <f t="shared" si="2"/>
        <v>2017002</v>
      </c>
      <c r="G275" s="133" t="s">
        <v>401</v>
      </c>
      <c r="H275" s="129"/>
    </row>
    <row r="276" spans="1:8" x14ac:dyDescent="0.45">
      <c r="A276" s="130">
        <v>201</v>
      </c>
      <c r="B276" s="131" t="s">
        <v>240</v>
      </c>
      <c r="C276" s="131"/>
      <c r="D276" s="131"/>
      <c r="E276" s="131">
        <v>7008</v>
      </c>
      <c r="F276" s="131" t="str">
        <f t="shared" si="2"/>
        <v>2017008</v>
      </c>
      <c r="G276" s="133" t="s">
        <v>402</v>
      </c>
      <c r="H276" s="129"/>
    </row>
    <row r="277" spans="1:8" x14ac:dyDescent="0.45">
      <c r="A277" s="130">
        <v>201</v>
      </c>
      <c r="B277" s="131" t="s">
        <v>240</v>
      </c>
      <c r="C277" s="131"/>
      <c r="D277" s="131"/>
      <c r="E277" s="131">
        <v>7015</v>
      </c>
      <c r="F277" s="131" t="str">
        <f t="shared" si="2"/>
        <v>2017015</v>
      </c>
      <c r="G277" s="133" t="s">
        <v>404</v>
      </c>
      <c r="H277" s="129"/>
    </row>
    <row r="278" spans="1:8" x14ac:dyDescent="0.45">
      <c r="A278" s="130">
        <v>201</v>
      </c>
      <c r="B278" s="131" t="s">
        <v>240</v>
      </c>
      <c r="C278" s="131"/>
      <c r="D278" s="131"/>
      <c r="E278" s="131">
        <v>7201</v>
      </c>
      <c r="F278" s="131" t="str">
        <f t="shared" si="2"/>
        <v>2017201</v>
      </c>
      <c r="G278" s="133" t="s">
        <v>693</v>
      </c>
      <c r="H278" s="129"/>
    </row>
    <row r="279" spans="1:8" x14ac:dyDescent="0.45">
      <c r="A279" s="130">
        <v>201</v>
      </c>
      <c r="B279" s="131" t="s">
        <v>240</v>
      </c>
      <c r="C279" s="131"/>
      <c r="D279" s="131"/>
      <c r="E279" s="131">
        <v>7204</v>
      </c>
      <c r="F279" s="131" t="str">
        <f t="shared" si="2"/>
        <v>2017204</v>
      </c>
      <c r="G279" s="133" t="s">
        <v>406</v>
      </c>
      <c r="H279" s="129"/>
    </row>
    <row r="280" spans="1:8" x14ac:dyDescent="0.45">
      <c r="A280" s="130">
        <v>201</v>
      </c>
      <c r="B280" s="131" t="s">
        <v>240</v>
      </c>
      <c r="C280" s="131"/>
      <c r="D280" s="131"/>
      <c r="E280" s="131">
        <v>7207</v>
      </c>
      <c r="F280" s="131" t="str">
        <f t="shared" si="2"/>
        <v>2017207</v>
      </c>
      <c r="G280" s="133" t="s">
        <v>407</v>
      </c>
      <c r="H280" s="129"/>
    </row>
    <row r="281" spans="1:8" x14ac:dyDescent="0.45">
      <c r="A281" s="130">
        <v>201</v>
      </c>
      <c r="B281" s="131" t="s">
        <v>240</v>
      </c>
      <c r="C281" s="131"/>
      <c r="D281" s="131"/>
      <c r="E281" s="131">
        <v>7216</v>
      </c>
      <c r="F281" s="131" t="str">
        <f t="shared" si="2"/>
        <v>2017216</v>
      </c>
      <c r="G281" s="133" t="s">
        <v>408</v>
      </c>
      <c r="H281" s="129"/>
    </row>
    <row r="282" spans="1:8" x14ac:dyDescent="0.45">
      <c r="A282" s="130">
        <v>201</v>
      </c>
      <c r="B282" s="131" t="s">
        <v>240</v>
      </c>
      <c r="C282" s="131"/>
      <c r="D282" s="131"/>
      <c r="E282" s="131">
        <v>7803</v>
      </c>
      <c r="F282" s="131" t="str">
        <f t="shared" si="2"/>
        <v>2017803</v>
      </c>
      <c r="G282" s="133" t="s">
        <v>410</v>
      </c>
      <c r="H282" s="129"/>
    </row>
    <row r="283" spans="1:8" x14ac:dyDescent="0.45">
      <c r="A283" s="130">
        <v>201</v>
      </c>
      <c r="B283" s="131" t="s">
        <v>240</v>
      </c>
      <c r="C283" s="131"/>
      <c r="D283" s="131"/>
      <c r="E283" s="131">
        <v>8006</v>
      </c>
      <c r="F283" s="131" t="str">
        <f t="shared" si="2"/>
        <v>2018006</v>
      </c>
      <c r="G283" s="133" t="s">
        <v>413</v>
      </c>
      <c r="H283" s="129"/>
    </row>
    <row r="284" spans="1:8" x14ac:dyDescent="0.45">
      <c r="A284" s="130">
        <v>201</v>
      </c>
      <c r="B284" s="131" t="s">
        <v>240</v>
      </c>
      <c r="C284" s="131"/>
      <c r="D284" s="131"/>
      <c r="E284" s="131">
        <v>8020</v>
      </c>
      <c r="F284" s="131" t="str">
        <f t="shared" si="2"/>
        <v>2018020</v>
      </c>
      <c r="G284" s="133" t="s">
        <v>415</v>
      </c>
      <c r="H284" s="129"/>
    </row>
    <row r="285" spans="1:8" x14ac:dyDescent="0.45">
      <c r="A285" s="130">
        <v>201</v>
      </c>
      <c r="B285" s="131" t="s">
        <v>240</v>
      </c>
      <c r="C285" s="131"/>
      <c r="D285" s="131"/>
      <c r="E285" s="131">
        <v>8206</v>
      </c>
      <c r="F285" s="131" t="str">
        <f t="shared" ref="F285:F357" si="3">A285&amp;E285</f>
        <v>2018206</v>
      </c>
      <c r="G285" s="133" t="s">
        <v>416</v>
      </c>
      <c r="H285" s="129"/>
    </row>
    <row r="286" spans="1:8" x14ac:dyDescent="0.45">
      <c r="A286" s="130">
        <v>201</v>
      </c>
      <c r="B286" s="131" t="s">
        <v>240</v>
      </c>
      <c r="C286" s="131"/>
      <c r="D286" s="131"/>
      <c r="E286" s="131">
        <v>8804</v>
      </c>
      <c r="F286" s="131" t="str">
        <f t="shared" si="3"/>
        <v>2018804</v>
      </c>
      <c r="G286" s="133" t="s">
        <v>417</v>
      </c>
      <c r="H286" s="129"/>
    </row>
    <row r="287" spans="1:8" x14ac:dyDescent="0.45">
      <c r="A287" s="130">
        <v>201</v>
      </c>
      <c r="B287" s="131" t="s">
        <v>240</v>
      </c>
      <c r="C287" s="131"/>
      <c r="D287" s="131"/>
      <c r="E287" s="131">
        <v>8808</v>
      </c>
      <c r="F287" s="131" t="str">
        <f t="shared" si="3"/>
        <v>2018808</v>
      </c>
      <c r="G287" s="133" t="s">
        <v>419</v>
      </c>
      <c r="H287" s="129"/>
    </row>
    <row r="288" spans="1:8" x14ac:dyDescent="0.45">
      <c r="A288" s="130">
        <v>201</v>
      </c>
      <c r="B288" s="131" t="s">
        <v>240</v>
      </c>
      <c r="C288" s="131"/>
      <c r="D288" s="131"/>
      <c r="E288" s="131">
        <v>9801</v>
      </c>
      <c r="F288" s="131" t="str">
        <f t="shared" si="3"/>
        <v>2019801</v>
      </c>
      <c r="G288" s="133" t="s">
        <v>694</v>
      </c>
      <c r="H288" s="129"/>
    </row>
    <row r="289" spans="1:8" x14ac:dyDescent="0.45">
      <c r="A289" s="130">
        <v>202</v>
      </c>
      <c r="B289" s="131" t="s">
        <v>426</v>
      </c>
      <c r="C289" s="131"/>
      <c r="D289" s="131"/>
      <c r="E289" s="131"/>
      <c r="F289" s="131" t="str">
        <f t="shared" si="3"/>
        <v>202</v>
      </c>
      <c r="G289" s="133"/>
      <c r="H289" s="129"/>
    </row>
    <row r="290" spans="1:8" x14ac:dyDescent="0.45">
      <c r="A290" s="130">
        <v>204</v>
      </c>
      <c r="B290" s="131" t="s">
        <v>427</v>
      </c>
      <c r="C290" s="131"/>
      <c r="D290" s="131"/>
      <c r="E290" s="131">
        <v>1</v>
      </c>
      <c r="F290" s="131" t="str">
        <f t="shared" si="3"/>
        <v>2041</v>
      </c>
      <c r="G290" s="133" t="s">
        <v>428</v>
      </c>
      <c r="H290" s="129"/>
    </row>
    <row r="291" spans="1:8" x14ac:dyDescent="0.45">
      <c r="A291" s="130">
        <v>204</v>
      </c>
      <c r="B291" s="131" t="s">
        <v>427</v>
      </c>
      <c r="C291" s="131"/>
      <c r="D291" s="131"/>
      <c r="E291" s="131">
        <v>4</v>
      </c>
      <c r="F291" s="131" t="str">
        <f t="shared" si="3"/>
        <v>2044</v>
      </c>
      <c r="G291" s="133" t="s">
        <v>198</v>
      </c>
      <c r="H291" s="129"/>
    </row>
    <row r="292" spans="1:8" x14ac:dyDescent="0.45">
      <c r="A292" s="130">
        <v>204</v>
      </c>
      <c r="B292" s="131" t="s">
        <v>427</v>
      </c>
      <c r="C292" s="131"/>
      <c r="D292" s="131"/>
      <c r="E292" s="131">
        <v>10</v>
      </c>
      <c r="F292" s="131" t="str">
        <f t="shared" si="3"/>
        <v>20410</v>
      </c>
      <c r="G292" s="133" t="s">
        <v>429</v>
      </c>
      <c r="H292" s="129"/>
    </row>
    <row r="293" spans="1:8" x14ac:dyDescent="0.45">
      <c r="A293" s="130">
        <v>204</v>
      </c>
      <c r="B293" s="131" t="s">
        <v>427</v>
      </c>
      <c r="C293" s="131"/>
      <c r="D293" s="131"/>
      <c r="E293" s="131">
        <v>11</v>
      </c>
      <c r="F293" s="131" t="str">
        <f t="shared" si="3"/>
        <v>20411</v>
      </c>
      <c r="G293" s="133" t="s">
        <v>695</v>
      </c>
      <c r="H293" s="129"/>
    </row>
    <row r="294" spans="1:8" x14ac:dyDescent="0.45">
      <c r="A294" s="130">
        <v>204</v>
      </c>
      <c r="B294" s="131" t="s">
        <v>427</v>
      </c>
      <c r="C294" s="131"/>
      <c r="D294" s="131"/>
      <c r="E294" s="131">
        <v>40</v>
      </c>
      <c r="F294" s="131" t="str">
        <f t="shared" si="3"/>
        <v>20440</v>
      </c>
      <c r="G294" s="133" t="s">
        <v>696</v>
      </c>
      <c r="H294" s="129"/>
    </row>
    <row r="295" spans="1:8" x14ac:dyDescent="0.45">
      <c r="A295" s="130">
        <v>204</v>
      </c>
      <c r="B295" s="131" t="s">
        <v>427</v>
      </c>
      <c r="C295" s="131"/>
      <c r="D295" s="131"/>
      <c r="E295" s="131">
        <v>41</v>
      </c>
      <c r="F295" s="131" t="str">
        <f t="shared" si="3"/>
        <v>20441</v>
      </c>
      <c r="G295" s="133" t="s">
        <v>697</v>
      </c>
      <c r="H295" s="129"/>
    </row>
    <row r="296" spans="1:8" x14ac:dyDescent="0.45">
      <c r="A296" s="130">
        <v>204</v>
      </c>
      <c r="B296" s="131" t="s">
        <v>427</v>
      </c>
      <c r="C296" s="131"/>
      <c r="D296" s="131"/>
      <c r="E296" s="131">
        <v>42</v>
      </c>
      <c r="F296" s="131" t="str">
        <f t="shared" si="3"/>
        <v>20442</v>
      </c>
      <c r="G296" s="133" t="s">
        <v>698</v>
      </c>
      <c r="H296" s="129"/>
    </row>
    <row r="297" spans="1:8" x14ac:dyDescent="0.45">
      <c r="A297" s="130">
        <v>204</v>
      </c>
      <c r="B297" s="131" t="s">
        <v>427</v>
      </c>
      <c r="C297" s="131"/>
      <c r="D297" s="131"/>
      <c r="E297" s="131">
        <v>50</v>
      </c>
      <c r="F297" s="131" t="str">
        <f t="shared" si="3"/>
        <v>20450</v>
      </c>
      <c r="G297" s="133" t="s">
        <v>434</v>
      </c>
      <c r="H297" s="129"/>
    </row>
    <row r="298" spans="1:8" x14ac:dyDescent="0.45">
      <c r="A298" s="130">
        <v>204</v>
      </c>
      <c r="B298" s="131" t="s">
        <v>427</v>
      </c>
      <c r="C298" s="131"/>
      <c r="D298" s="131"/>
      <c r="E298" s="131">
        <v>51</v>
      </c>
      <c r="F298" s="131" t="str">
        <f t="shared" si="3"/>
        <v>20451</v>
      </c>
      <c r="G298" s="133" t="s">
        <v>435</v>
      </c>
      <c r="H298" s="129"/>
    </row>
    <row r="299" spans="1:8" x14ac:dyDescent="0.45">
      <c r="A299" s="130">
        <v>204</v>
      </c>
      <c r="B299" s="131" t="s">
        <v>427</v>
      </c>
      <c r="C299" s="131"/>
      <c r="D299" s="131"/>
      <c r="E299" s="131">
        <v>52</v>
      </c>
      <c r="F299" s="131" t="str">
        <f t="shared" si="3"/>
        <v>20452</v>
      </c>
      <c r="G299" s="133" t="s">
        <v>436</v>
      </c>
      <c r="H299" s="129"/>
    </row>
    <row r="300" spans="1:8" x14ac:dyDescent="0.45">
      <c r="A300" s="130">
        <v>204</v>
      </c>
      <c r="B300" s="131" t="s">
        <v>427</v>
      </c>
      <c r="C300" s="131"/>
      <c r="D300" s="131"/>
      <c r="E300" s="131">
        <v>53</v>
      </c>
      <c r="F300" s="131" t="str">
        <f t="shared" si="3"/>
        <v>20453</v>
      </c>
      <c r="G300" s="133" t="s">
        <v>437</v>
      </c>
      <c r="H300" s="129"/>
    </row>
    <row r="301" spans="1:8" x14ac:dyDescent="0.45">
      <c r="A301" s="130">
        <v>204</v>
      </c>
      <c r="B301" s="131" t="s">
        <v>427</v>
      </c>
      <c r="C301" s="131"/>
      <c r="D301" s="131"/>
      <c r="E301" s="131">
        <v>120</v>
      </c>
      <c r="F301" s="131" t="str">
        <f t="shared" si="3"/>
        <v>204120</v>
      </c>
      <c r="G301" s="133" t="s">
        <v>438</v>
      </c>
      <c r="H301" s="129"/>
    </row>
    <row r="302" spans="1:8" x14ac:dyDescent="0.45">
      <c r="A302" s="130">
        <v>204</v>
      </c>
      <c r="B302" s="131" t="s">
        <v>427</v>
      </c>
      <c r="C302" s="131"/>
      <c r="D302" s="131"/>
      <c r="E302" s="131">
        <v>130</v>
      </c>
      <c r="F302" s="131" t="str">
        <f t="shared" si="3"/>
        <v>204130</v>
      </c>
      <c r="G302" s="133" t="s">
        <v>439</v>
      </c>
      <c r="H302" s="129"/>
    </row>
    <row r="303" spans="1:8" x14ac:dyDescent="0.45">
      <c r="A303" s="130">
        <v>204</v>
      </c>
      <c r="B303" s="131" t="s">
        <v>427</v>
      </c>
      <c r="C303" s="131"/>
      <c r="D303" s="131"/>
      <c r="E303" s="131">
        <v>131</v>
      </c>
      <c r="F303" s="131" t="str">
        <f t="shared" si="3"/>
        <v>204131</v>
      </c>
      <c r="G303" s="133" t="s">
        <v>699</v>
      </c>
      <c r="H303" s="129"/>
    </row>
    <row r="304" spans="1:8" x14ac:dyDescent="0.45">
      <c r="A304" s="130">
        <v>204</v>
      </c>
      <c r="B304" s="131" t="s">
        <v>427</v>
      </c>
      <c r="C304" s="131"/>
      <c r="D304" s="131"/>
      <c r="E304" s="131">
        <v>132</v>
      </c>
      <c r="F304" s="131" t="str">
        <f>A304&amp;E304</f>
        <v>204132</v>
      </c>
      <c r="G304" s="133" t="s">
        <v>441</v>
      </c>
      <c r="H304" s="129"/>
    </row>
    <row r="305" spans="1:8" x14ac:dyDescent="0.45">
      <c r="A305" s="130">
        <v>204</v>
      </c>
      <c r="B305" s="131" t="s">
        <v>427</v>
      </c>
      <c r="C305" s="131"/>
      <c r="D305" s="131"/>
      <c r="E305" s="131">
        <v>133</v>
      </c>
      <c r="F305" s="131" t="str">
        <f>A305&amp;E305</f>
        <v>204133</v>
      </c>
      <c r="G305" s="133" t="s">
        <v>442</v>
      </c>
      <c r="H305" s="129"/>
    </row>
    <row r="306" spans="1:8" x14ac:dyDescent="0.45">
      <c r="A306" s="130">
        <v>204</v>
      </c>
      <c r="B306" s="131" t="s">
        <v>427</v>
      </c>
      <c r="C306" s="131"/>
      <c r="D306" s="131"/>
      <c r="E306" s="131">
        <v>140</v>
      </c>
      <c r="F306" s="131" t="str">
        <f t="shared" si="3"/>
        <v>204140</v>
      </c>
      <c r="G306" s="133" t="s">
        <v>443</v>
      </c>
      <c r="H306" s="129"/>
    </row>
    <row r="307" spans="1:8" x14ac:dyDescent="0.45">
      <c r="A307" s="130">
        <v>204</v>
      </c>
      <c r="B307" s="131" t="s">
        <v>427</v>
      </c>
      <c r="C307" s="131"/>
      <c r="D307" s="131"/>
      <c r="E307" s="131">
        <v>150</v>
      </c>
      <c r="F307" s="131" t="str">
        <f t="shared" si="3"/>
        <v>204150</v>
      </c>
      <c r="G307" s="133" t="s">
        <v>700</v>
      </c>
      <c r="H307" s="129"/>
    </row>
    <row r="308" spans="1:8" x14ac:dyDescent="0.45">
      <c r="A308" s="130">
        <v>204</v>
      </c>
      <c r="B308" s="131" t="s">
        <v>427</v>
      </c>
      <c r="C308" s="131"/>
      <c r="D308" s="131"/>
      <c r="E308" s="131">
        <v>151</v>
      </c>
      <c r="F308" s="131" t="str">
        <f>A308&amp;E308</f>
        <v>204151</v>
      </c>
      <c r="G308" s="133" t="s">
        <v>701</v>
      </c>
      <c r="H308" s="129"/>
    </row>
    <row r="309" spans="1:8" x14ac:dyDescent="0.45">
      <c r="A309" s="130">
        <v>204</v>
      </c>
      <c r="B309" s="131" t="s">
        <v>427</v>
      </c>
      <c r="C309" s="131"/>
      <c r="D309" s="131"/>
      <c r="E309" s="131">
        <v>210</v>
      </c>
      <c r="F309" s="131" t="str">
        <f t="shared" si="3"/>
        <v>204210</v>
      </c>
      <c r="G309" s="133" t="s">
        <v>446</v>
      </c>
      <c r="H309" s="129"/>
    </row>
    <row r="310" spans="1:8" x14ac:dyDescent="0.45">
      <c r="A310" s="130">
        <v>204</v>
      </c>
      <c r="B310" s="131" t="s">
        <v>427</v>
      </c>
      <c r="C310" s="131"/>
      <c r="D310" s="131"/>
      <c r="E310" s="131">
        <v>211</v>
      </c>
      <c r="F310" s="131" t="str">
        <f t="shared" si="3"/>
        <v>204211</v>
      </c>
      <c r="G310" s="133" t="s">
        <v>702</v>
      </c>
      <c r="H310" s="129"/>
    </row>
    <row r="311" spans="1:8" x14ac:dyDescent="0.45">
      <c r="A311" s="130">
        <v>204</v>
      </c>
      <c r="B311" s="131" t="s">
        <v>427</v>
      </c>
      <c r="C311" s="131"/>
      <c r="D311" s="131"/>
      <c r="E311" s="131">
        <v>212</v>
      </c>
      <c r="F311" s="131" t="str">
        <f t="shared" si="3"/>
        <v>204212</v>
      </c>
      <c r="G311" s="133" t="s">
        <v>448</v>
      </c>
      <c r="H311" s="129"/>
    </row>
    <row r="312" spans="1:8" x14ac:dyDescent="0.45">
      <c r="A312" s="130">
        <v>204</v>
      </c>
      <c r="B312" s="131" t="s">
        <v>427</v>
      </c>
      <c r="C312" s="131"/>
      <c r="D312" s="131"/>
      <c r="E312" s="131">
        <v>213</v>
      </c>
      <c r="F312" s="131" t="str">
        <f t="shared" si="3"/>
        <v>204213</v>
      </c>
      <c r="G312" s="133" t="s">
        <v>449</v>
      </c>
      <c r="H312" s="129"/>
    </row>
    <row r="313" spans="1:8" x14ac:dyDescent="0.45">
      <c r="A313" s="130">
        <v>204</v>
      </c>
      <c r="B313" s="131" t="s">
        <v>427</v>
      </c>
      <c r="C313" s="131"/>
      <c r="D313" s="131"/>
      <c r="E313" s="131">
        <v>214</v>
      </c>
      <c r="F313" s="131" t="str">
        <f t="shared" si="3"/>
        <v>204214</v>
      </c>
      <c r="G313" s="133" t="s">
        <v>703</v>
      </c>
      <c r="H313" s="129"/>
    </row>
    <row r="314" spans="1:8" x14ac:dyDescent="0.45">
      <c r="A314" s="130">
        <v>204</v>
      </c>
      <c r="B314" s="131" t="s">
        <v>427</v>
      </c>
      <c r="C314" s="131"/>
      <c r="D314" s="131"/>
      <c r="E314" s="131">
        <v>215</v>
      </c>
      <c r="F314" s="131" t="str">
        <f>A314&amp;E314</f>
        <v>204215</v>
      </c>
      <c r="G314" s="133" t="s">
        <v>451</v>
      </c>
      <c r="H314" s="129"/>
    </row>
    <row r="315" spans="1:8" x14ac:dyDescent="0.45">
      <c r="A315" s="130">
        <v>204</v>
      </c>
      <c r="B315" s="131" t="s">
        <v>427</v>
      </c>
      <c r="C315" s="131"/>
      <c r="D315" s="131"/>
      <c r="E315" s="131">
        <v>216</v>
      </c>
      <c r="F315" s="131" t="str">
        <f>A315&amp;E315</f>
        <v>204216</v>
      </c>
      <c r="G315" s="133" t="s">
        <v>704</v>
      </c>
      <c r="H315" s="129"/>
    </row>
    <row r="316" spans="1:8" x14ac:dyDescent="0.45">
      <c r="A316" s="130">
        <v>204</v>
      </c>
      <c r="B316" s="131" t="s">
        <v>427</v>
      </c>
      <c r="C316" s="131"/>
      <c r="D316" s="131"/>
      <c r="E316" s="131">
        <v>220</v>
      </c>
      <c r="F316" s="131" t="str">
        <f t="shared" si="3"/>
        <v>204220</v>
      </c>
      <c r="G316" s="133" t="s">
        <v>452</v>
      </c>
      <c r="H316" s="129"/>
    </row>
    <row r="317" spans="1:8" x14ac:dyDescent="0.45">
      <c r="A317" s="130">
        <v>204</v>
      </c>
      <c r="B317" s="131" t="s">
        <v>427</v>
      </c>
      <c r="C317" s="131"/>
      <c r="D317" s="131"/>
      <c r="E317" s="131">
        <v>221</v>
      </c>
      <c r="F317" s="131" t="str">
        <f t="shared" si="3"/>
        <v>204221</v>
      </c>
      <c r="G317" s="133" t="s">
        <v>705</v>
      </c>
      <c r="H317" s="129"/>
    </row>
    <row r="318" spans="1:8" x14ac:dyDescent="0.45">
      <c r="A318" s="130">
        <v>204</v>
      </c>
      <c r="B318" s="131" t="s">
        <v>427</v>
      </c>
      <c r="C318" s="131"/>
      <c r="D318" s="131"/>
      <c r="E318" s="131">
        <v>222</v>
      </c>
      <c r="F318" s="131" t="str">
        <f t="shared" si="3"/>
        <v>204222</v>
      </c>
      <c r="G318" s="133" t="s">
        <v>706</v>
      </c>
      <c r="H318" s="129"/>
    </row>
    <row r="319" spans="1:8" x14ac:dyDescent="0.45">
      <c r="A319" s="130">
        <v>204</v>
      </c>
      <c r="B319" s="131" t="s">
        <v>427</v>
      </c>
      <c r="C319" s="131"/>
      <c r="D319" s="131"/>
      <c r="E319" s="131">
        <v>223</v>
      </c>
      <c r="F319" s="131" t="str">
        <f>A319&amp;E319</f>
        <v>204223</v>
      </c>
      <c r="G319" s="133" t="s">
        <v>455</v>
      </c>
      <c r="H319" s="129"/>
    </row>
    <row r="320" spans="1:8" x14ac:dyDescent="0.45">
      <c r="A320" s="130">
        <v>204</v>
      </c>
      <c r="B320" s="131" t="s">
        <v>427</v>
      </c>
      <c r="C320" s="131"/>
      <c r="D320" s="131"/>
      <c r="E320" s="131">
        <v>225</v>
      </c>
      <c r="F320" s="137" t="str">
        <f>A320&amp;E320</f>
        <v>204225</v>
      </c>
      <c r="G320" s="133" t="s">
        <v>707</v>
      </c>
      <c r="H320" s="129"/>
    </row>
    <row r="321" spans="1:8" x14ac:dyDescent="0.45">
      <c r="A321" s="130">
        <v>204</v>
      </c>
      <c r="B321" s="131" t="s">
        <v>427</v>
      </c>
      <c r="C321" s="131"/>
      <c r="D321" s="131"/>
      <c r="E321" s="131">
        <v>230</v>
      </c>
      <c r="F321" s="131" t="str">
        <f t="shared" si="3"/>
        <v>204230</v>
      </c>
      <c r="G321" s="133" t="s">
        <v>708</v>
      </c>
      <c r="H321" s="129"/>
    </row>
    <row r="322" spans="1:8" x14ac:dyDescent="0.45">
      <c r="A322" s="130">
        <v>204</v>
      </c>
      <c r="B322" s="131" t="s">
        <v>709</v>
      </c>
      <c r="C322" s="131"/>
      <c r="D322" s="131"/>
      <c r="E322" s="131">
        <v>240</v>
      </c>
      <c r="F322" s="131" t="str">
        <f>A322&amp;E322</f>
        <v>204240</v>
      </c>
      <c r="G322" s="133" t="s">
        <v>710</v>
      </c>
      <c r="H322" s="129"/>
    </row>
    <row r="323" spans="1:8" x14ac:dyDescent="0.45">
      <c r="A323" s="130">
        <v>204</v>
      </c>
      <c r="B323" s="131" t="s">
        <v>427</v>
      </c>
      <c r="C323" s="131"/>
      <c r="D323" s="131"/>
      <c r="E323" s="131">
        <v>310</v>
      </c>
      <c r="F323" s="131" t="str">
        <f t="shared" si="3"/>
        <v>204310</v>
      </c>
      <c r="G323" s="133" t="s">
        <v>458</v>
      </c>
      <c r="H323" s="129"/>
    </row>
    <row r="324" spans="1:8" x14ac:dyDescent="0.45">
      <c r="A324" s="130">
        <v>204</v>
      </c>
      <c r="B324" s="131" t="s">
        <v>427</v>
      </c>
      <c r="C324" s="131"/>
      <c r="D324" s="131"/>
      <c r="E324" s="131">
        <v>311</v>
      </c>
      <c r="F324" s="131" t="str">
        <f t="shared" si="3"/>
        <v>204311</v>
      </c>
      <c r="G324" s="133" t="s">
        <v>711</v>
      </c>
      <c r="H324" s="129"/>
    </row>
    <row r="325" spans="1:8" x14ac:dyDescent="0.45">
      <c r="A325" s="130">
        <v>204</v>
      </c>
      <c r="B325" s="131" t="s">
        <v>427</v>
      </c>
      <c r="C325" s="131"/>
      <c r="D325" s="131"/>
      <c r="E325" s="131">
        <v>320</v>
      </c>
      <c r="F325" s="131" t="str">
        <f t="shared" si="3"/>
        <v>204320</v>
      </c>
      <c r="G325" s="133" t="s">
        <v>712</v>
      </c>
      <c r="H325" s="129"/>
    </row>
    <row r="326" spans="1:8" x14ac:dyDescent="0.45">
      <c r="A326" s="130">
        <v>204</v>
      </c>
      <c r="B326" s="131" t="s">
        <v>427</v>
      </c>
      <c r="C326" s="131"/>
      <c r="D326" s="131"/>
      <c r="E326" s="131">
        <v>340</v>
      </c>
      <c r="F326" s="131" t="str">
        <f t="shared" si="3"/>
        <v>204340</v>
      </c>
      <c r="G326" s="133" t="s">
        <v>461</v>
      </c>
      <c r="H326" s="129"/>
    </row>
    <row r="327" spans="1:8" x14ac:dyDescent="0.45">
      <c r="A327" s="130">
        <v>204</v>
      </c>
      <c r="B327" s="131" t="s">
        <v>427</v>
      </c>
      <c r="C327" s="131"/>
      <c r="D327" s="131"/>
      <c r="E327" s="131">
        <v>341</v>
      </c>
      <c r="F327" s="131" t="str">
        <f t="shared" si="3"/>
        <v>204341</v>
      </c>
      <c r="G327" s="133" t="s">
        <v>462</v>
      </c>
      <c r="H327" s="129"/>
    </row>
    <row r="328" spans="1:8" x14ac:dyDescent="0.45">
      <c r="A328" s="130">
        <v>204</v>
      </c>
      <c r="B328" s="131" t="s">
        <v>427</v>
      </c>
      <c r="C328" s="131"/>
      <c r="D328" s="131"/>
      <c r="E328" s="131">
        <v>342</v>
      </c>
      <c r="F328" s="131" t="str">
        <f>A328&amp;E328</f>
        <v>204342</v>
      </c>
      <c r="G328" s="133" t="s">
        <v>713</v>
      </c>
      <c r="H328" s="129"/>
    </row>
    <row r="329" spans="1:8" x14ac:dyDescent="0.45">
      <c r="A329" s="130">
        <v>204</v>
      </c>
      <c r="B329" s="131" t="s">
        <v>427</v>
      </c>
      <c r="C329" s="131"/>
      <c r="D329" s="131"/>
      <c r="E329" s="131">
        <v>350</v>
      </c>
      <c r="F329" s="131" t="str">
        <f t="shared" si="3"/>
        <v>204350</v>
      </c>
      <c r="G329" s="133" t="s">
        <v>464</v>
      </c>
      <c r="H329" s="129"/>
    </row>
    <row r="330" spans="1:8" x14ac:dyDescent="0.45">
      <c r="A330" s="130">
        <v>204</v>
      </c>
      <c r="B330" s="131" t="s">
        <v>427</v>
      </c>
      <c r="C330" s="131"/>
      <c r="D330" s="131"/>
      <c r="E330" s="131">
        <v>351</v>
      </c>
      <c r="F330" s="131" t="str">
        <f t="shared" si="3"/>
        <v>204351</v>
      </c>
      <c r="G330" s="133" t="s">
        <v>465</v>
      </c>
      <c r="H330" s="129"/>
    </row>
    <row r="331" spans="1:8" x14ac:dyDescent="0.45">
      <c r="A331" s="130">
        <v>204</v>
      </c>
      <c r="B331" s="131" t="s">
        <v>427</v>
      </c>
      <c r="C331" s="131"/>
      <c r="D331" s="131"/>
      <c r="E331" s="131">
        <v>352</v>
      </c>
      <c r="F331" s="131" t="str">
        <f t="shared" si="3"/>
        <v>204352</v>
      </c>
      <c r="G331" s="133" t="s">
        <v>714</v>
      </c>
      <c r="H331" s="129"/>
    </row>
    <row r="332" spans="1:8" x14ac:dyDescent="0.45">
      <c r="A332" s="130">
        <v>204</v>
      </c>
      <c r="B332" s="131" t="s">
        <v>427</v>
      </c>
      <c r="C332" s="131"/>
      <c r="D332" s="131"/>
      <c r="E332" s="131">
        <v>353</v>
      </c>
      <c r="F332" s="131" t="str">
        <f t="shared" si="3"/>
        <v>204353</v>
      </c>
      <c r="G332" s="133" t="s">
        <v>467</v>
      </c>
      <c r="H332" s="129"/>
    </row>
    <row r="333" spans="1:8" x14ac:dyDescent="0.45">
      <c r="A333" s="130">
        <v>204</v>
      </c>
      <c r="B333" s="131" t="s">
        <v>427</v>
      </c>
      <c r="C333" s="131"/>
      <c r="D333" s="131"/>
      <c r="E333" s="131">
        <v>410</v>
      </c>
      <c r="F333" s="131" t="str">
        <f t="shared" si="3"/>
        <v>204410</v>
      </c>
      <c r="G333" s="133" t="s">
        <v>468</v>
      </c>
      <c r="H333" s="129"/>
    </row>
    <row r="334" spans="1:8" x14ac:dyDescent="0.45">
      <c r="A334" s="130">
        <v>204</v>
      </c>
      <c r="B334" s="131" t="s">
        <v>427</v>
      </c>
      <c r="C334" s="131"/>
      <c r="D334" s="131"/>
      <c r="E334" s="131">
        <v>411</v>
      </c>
      <c r="F334" s="131" t="str">
        <f t="shared" si="3"/>
        <v>204411</v>
      </c>
      <c r="G334" s="133" t="s">
        <v>469</v>
      </c>
      <c r="H334" s="129"/>
    </row>
    <row r="335" spans="1:8" x14ac:dyDescent="0.45">
      <c r="A335" s="130">
        <v>204</v>
      </c>
      <c r="B335" s="131" t="s">
        <v>427</v>
      </c>
      <c r="C335" s="131"/>
      <c r="D335" s="131"/>
      <c r="E335" s="131">
        <v>412</v>
      </c>
      <c r="F335" s="131" t="str">
        <f>A335&amp;E335</f>
        <v>204412</v>
      </c>
      <c r="G335" s="133" t="s">
        <v>470</v>
      </c>
      <c r="H335" s="129"/>
    </row>
    <row r="336" spans="1:8" x14ac:dyDescent="0.45">
      <c r="A336" s="130">
        <v>204</v>
      </c>
      <c r="B336" s="131" t="s">
        <v>427</v>
      </c>
      <c r="C336" s="131"/>
      <c r="D336" s="131"/>
      <c r="E336" s="131">
        <v>420</v>
      </c>
      <c r="F336" s="131" t="str">
        <f t="shared" si="3"/>
        <v>204420</v>
      </c>
      <c r="G336" s="133" t="s">
        <v>471</v>
      </c>
      <c r="H336" s="129"/>
    </row>
    <row r="337" spans="1:8" x14ac:dyDescent="0.45">
      <c r="A337" s="130">
        <v>204</v>
      </c>
      <c r="B337" s="131" t="s">
        <v>427</v>
      </c>
      <c r="C337" s="131"/>
      <c r="D337" s="131"/>
      <c r="E337" s="131">
        <v>520</v>
      </c>
      <c r="F337" s="131" t="str">
        <f t="shared" si="3"/>
        <v>204520</v>
      </c>
      <c r="G337" s="133" t="s">
        <v>472</v>
      </c>
      <c r="H337" s="129"/>
    </row>
    <row r="338" spans="1:8" x14ac:dyDescent="0.45">
      <c r="A338" s="130">
        <v>204</v>
      </c>
      <c r="B338" s="131" t="s">
        <v>427</v>
      </c>
      <c r="C338" s="131"/>
      <c r="D338" s="131"/>
      <c r="E338" s="131">
        <v>530</v>
      </c>
      <c r="F338" s="131" t="str">
        <f t="shared" si="3"/>
        <v>204530</v>
      </c>
      <c r="G338" s="133" t="s">
        <v>473</v>
      </c>
      <c r="H338" s="129"/>
    </row>
    <row r="339" spans="1:8" x14ac:dyDescent="0.45">
      <c r="A339" s="130">
        <v>204</v>
      </c>
      <c r="B339" s="131" t="s">
        <v>427</v>
      </c>
      <c r="C339" s="131"/>
      <c r="D339" s="131"/>
      <c r="E339" s="131">
        <v>531</v>
      </c>
      <c r="F339" s="131" t="str">
        <f t="shared" si="3"/>
        <v>204531</v>
      </c>
      <c r="G339" s="133" t="s">
        <v>474</v>
      </c>
      <c r="H339" s="129"/>
    </row>
    <row r="340" spans="1:8" x14ac:dyDescent="0.45">
      <c r="A340" s="130">
        <v>204</v>
      </c>
      <c r="B340" s="131" t="s">
        <v>427</v>
      </c>
      <c r="C340" s="131"/>
      <c r="D340" s="131"/>
      <c r="E340" s="131">
        <v>610</v>
      </c>
      <c r="F340" s="131" t="str">
        <f t="shared" si="3"/>
        <v>204610</v>
      </c>
      <c r="G340" s="133" t="s">
        <v>475</v>
      </c>
      <c r="H340" s="129"/>
    </row>
    <row r="341" spans="1:8" x14ac:dyDescent="0.45">
      <c r="A341" s="130">
        <v>204</v>
      </c>
      <c r="B341" s="131" t="s">
        <v>427</v>
      </c>
      <c r="C341" s="131"/>
      <c r="D341" s="131"/>
      <c r="E341" s="131">
        <v>611</v>
      </c>
      <c r="F341" s="131" t="str">
        <f t="shared" si="3"/>
        <v>204611</v>
      </c>
      <c r="G341" s="133" t="s">
        <v>715</v>
      </c>
      <c r="H341" s="129"/>
    </row>
    <row r="342" spans="1:8" x14ac:dyDescent="0.45">
      <c r="A342" s="130">
        <v>204</v>
      </c>
      <c r="B342" s="131" t="s">
        <v>427</v>
      </c>
      <c r="C342" s="131"/>
      <c r="D342" s="131"/>
      <c r="E342" s="131">
        <v>612</v>
      </c>
      <c r="F342" s="131" t="str">
        <f>A342&amp;E342</f>
        <v>204612</v>
      </c>
      <c r="G342" s="133" t="s">
        <v>716</v>
      </c>
      <c r="H342" s="129"/>
    </row>
    <row r="343" spans="1:8" x14ac:dyDescent="0.45">
      <c r="A343" s="130">
        <v>204</v>
      </c>
      <c r="B343" s="131" t="s">
        <v>427</v>
      </c>
      <c r="C343" s="131"/>
      <c r="D343" s="131"/>
      <c r="E343" s="131">
        <v>620</v>
      </c>
      <c r="F343" s="131" t="str">
        <f t="shared" si="3"/>
        <v>204620</v>
      </c>
      <c r="G343" s="133" t="s">
        <v>111</v>
      </c>
      <c r="H343" s="129"/>
    </row>
    <row r="344" spans="1:8" x14ac:dyDescent="0.45">
      <c r="A344" s="130">
        <v>204</v>
      </c>
      <c r="B344" s="131" t="s">
        <v>427</v>
      </c>
      <c r="C344" s="131"/>
      <c r="D344" s="131"/>
      <c r="E344" s="131">
        <v>621</v>
      </c>
      <c r="F344" s="131" t="str">
        <f>A344&amp;E344</f>
        <v>204621</v>
      </c>
      <c r="G344" s="133" t="s">
        <v>477</v>
      </c>
      <c r="H344" s="129"/>
    </row>
    <row r="345" spans="1:8" x14ac:dyDescent="0.45">
      <c r="A345" s="130">
        <v>204</v>
      </c>
      <c r="B345" s="131" t="s">
        <v>427</v>
      </c>
      <c r="C345" s="131"/>
      <c r="D345" s="131"/>
      <c r="E345" s="131">
        <v>710</v>
      </c>
      <c r="F345" s="131" t="str">
        <f t="shared" si="3"/>
        <v>204710</v>
      </c>
      <c r="G345" s="133" t="s">
        <v>478</v>
      </c>
      <c r="H345" s="129"/>
    </row>
    <row r="346" spans="1:8" x14ac:dyDescent="0.45">
      <c r="A346" s="130">
        <v>204</v>
      </c>
      <c r="B346" s="131" t="s">
        <v>427</v>
      </c>
      <c r="C346" s="131"/>
      <c r="D346" s="131"/>
      <c r="E346" s="131">
        <v>810</v>
      </c>
      <c r="F346" s="131" t="str">
        <f t="shared" si="3"/>
        <v>204810</v>
      </c>
      <c r="G346" s="133" t="s">
        <v>480</v>
      </c>
      <c r="H346" s="129"/>
    </row>
    <row r="347" spans="1:8" x14ac:dyDescent="0.45">
      <c r="A347" s="130">
        <v>204</v>
      </c>
      <c r="B347" s="131" t="s">
        <v>427</v>
      </c>
      <c r="C347" s="131"/>
      <c r="D347" s="131"/>
      <c r="E347" s="131">
        <v>811</v>
      </c>
      <c r="F347" s="131" t="str">
        <f t="shared" si="3"/>
        <v>204811</v>
      </c>
      <c r="G347" s="133" t="s">
        <v>717</v>
      </c>
      <c r="H347" s="129"/>
    </row>
    <row r="348" spans="1:8" x14ac:dyDescent="0.45">
      <c r="A348" s="130">
        <v>204</v>
      </c>
      <c r="B348" s="131" t="s">
        <v>427</v>
      </c>
      <c r="C348" s="131"/>
      <c r="D348" s="131"/>
      <c r="E348" s="131">
        <v>820</v>
      </c>
      <c r="F348" s="131" t="str">
        <f t="shared" si="3"/>
        <v>204820</v>
      </c>
      <c r="G348" s="133" t="s">
        <v>718</v>
      </c>
      <c r="H348" s="129"/>
    </row>
    <row r="349" spans="1:8" x14ac:dyDescent="0.45">
      <c r="A349" s="130">
        <v>204</v>
      </c>
      <c r="B349" s="131" t="s">
        <v>427</v>
      </c>
      <c r="C349" s="131"/>
      <c r="D349" s="131"/>
      <c r="E349" s="131">
        <v>850</v>
      </c>
      <c r="F349" s="131" t="str">
        <f t="shared" si="3"/>
        <v>204850</v>
      </c>
      <c r="G349" s="133" t="s">
        <v>484</v>
      </c>
      <c r="H349" s="129"/>
    </row>
    <row r="350" spans="1:8" x14ac:dyDescent="0.45">
      <c r="A350" s="130">
        <v>204</v>
      </c>
      <c r="B350" s="131" t="s">
        <v>427</v>
      </c>
      <c r="C350" s="131"/>
      <c r="D350" s="131"/>
      <c r="E350" s="131">
        <v>999</v>
      </c>
      <c r="F350" s="131" t="str">
        <f t="shared" si="3"/>
        <v>204999</v>
      </c>
      <c r="G350" s="133" t="s">
        <v>719</v>
      </c>
      <c r="H350" s="129"/>
    </row>
    <row r="351" spans="1:8" x14ac:dyDescent="0.45">
      <c r="A351" s="130">
        <v>204</v>
      </c>
      <c r="B351" s="131" t="s">
        <v>427</v>
      </c>
      <c r="C351" s="131"/>
      <c r="D351" s="131"/>
      <c r="E351" s="131">
        <v>1500</v>
      </c>
      <c r="F351" s="131" t="str">
        <f t="shared" si="3"/>
        <v>2041500</v>
      </c>
      <c r="G351" s="133" t="s">
        <v>486</v>
      </c>
      <c r="H351" s="129"/>
    </row>
    <row r="352" spans="1:8" x14ac:dyDescent="0.45">
      <c r="A352" s="130">
        <v>204</v>
      </c>
      <c r="B352" s="131" t="s">
        <v>427</v>
      </c>
      <c r="C352" s="131"/>
      <c r="D352" s="131"/>
      <c r="E352" s="131">
        <v>1501</v>
      </c>
      <c r="F352" s="131" t="str">
        <f t="shared" si="3"/>
        <v>2041501</v>
      </c>
      <c r="G352" s="133" t="s">
        <v>720</v>
      </c>
      <c r="H352" s="129"/>
    </row>
    <row r="353" spans="1:8" x14ac:dyDescent="0.45">
      <c r="A353" s="130">
        <v>204</v>
      </c>
      <c r="B353" s="131" t="s">
        <v>427</v>
      </c>
      <c r="C353" s="131"/>
      <c r="D353" s="131"/>
      <c r="E353" s="131">
        <v>1502</v>
      </c>
      <c r="F353" s="131" t="str">
        <f t="shared" si="3"/>
        <v>2041502</v>
      </c>
      <c r="G353" s="133" t="s">
        <v>721</v>
      </c>
      <c r="H353" s="129"/>
    </row>
    <row r="354" spans="1:8" x14ac:dyDescent="0.45">
      <c r="A354" s="130">
        <v>204</v>
      </c>
      <c r="B354" s="131" t="s">
        <v>427</v>
      </c>
      <c r="C354" s="131"/>
      <c r="D354" s="131"/>
      <c r="E354" s="131">
        <v>1503</v>
      </c>
      <c r="F354" s="131" t="str">
        <f t="shared" si="3"/>
        <v>2041503</v>
      </c>
      <c r="G354" s="133" t="s">
        <v>489</v>
      </c>
      <c r="H354" s="129"/>
    </row>
    <row r="355" spans="1:8" x14ac:dyDescent="0.45">
      <c r="A355" s="130">
        <v>204</v>
      </c>
      <c r="B355" s="131" t="s">
        <v>427</v>
      </c>
      <c r="C355" s="131"/>
      <c r="D355" s="131"/>
      <c r="E355" s="131">
        <v>1504</v>
      </c>
      <c r="F355" s="131" t="str">
        <f t="shared" si="3"/>
        <v>2041504</v>
      </c>
      <c r="G355" s="133" t="s">
        <v>490</v>
      </c>
      <c r="H355" s="129"/>
    </row>
    <row r="356" spans="1:8" x14ac:dyDescent="0.45">
      <c r="A356" s="130">
        <v>204</v>
      </c>
      <c r="B356" s="131" t="s">
        <v>427</v>
      </c>
      <c r="C356" s="131"/>
      <c r="D356" s="131"/>
      <c r="E356" s="131">
        <v>1505</v>
      </c>
      <c r="F356" s="131" t="str">
        <f t="shared" si="3"/>
        <v>2041505</v>
      </c>
      <c r="G356" s="133" t="s">
        <v>491</v>
      </c>
      <c r="H356" s="129"/>
    </row>
    <row r="357" spans="1:8" x14ac:dyDescent="0.45">
      <c r="A357" s="130">
        <v>204</v>
      </c>
      <c r="B357" s="131" t="s">
        <v>427</v>
      </c>
      <c r="C357" s="131"/>
      <c r="D357" s="131"/>
      <c r="E357" s="131">
        <v>1506</v>
      </c>
      <c r="F357" s="131" t="str">
        <f t="shared" si="3"/>
        <v>2041506</v>
      </c>
      <c r="G357" s="133" t="s">
        <v>492</v>
      </c>
      <c r="H357" s="129"/>
    </row>
    <row r="358" spans="1:8" x14ac:dyDescent="0.45">
      <c r="A358" s="130">
        <v>207</v>
      </c>
      <c r="B358" s="131" t="s">
        <v>493</v>
      </c>
      <c r="C358" s="131"/>
      <c r="D358" s="131"/>
      <c r="E358" s="131">
        <v>1</v>
      </c>
      <c r="F358" s="131" t="str">
        <f t="shared" ref="F358:F366" si="4">A358&amp;E358</f>
        <v>2071</v>
      </c>
      <c r="G358" s="133" t="s">
        <v>197</v>
      </c>
      <c r="H358" s="129"/>
    </row>
    <row r="359" spans="1:8" x14ac:dyDescent="0.45">
      <c r="A359" s="130">
        <v>207</v>
      </c>
      <c r="B359" s="131" t="s">
        <v>493</v>
      </c>
      <c r="C359" s="131"/>
      <c r="D359" s="131"/>
      <c r="E359" s="131">
        <v>4</v>
      </c>
      <c r="F359" s="131" t="str">
        <f>A359&amp;E359</f>
        <v>2074</v>
      </c>
      <c r="G359" s="133" t="s">
        <v>722</v>
      </c>
      <c r="H359" s="129"/>
    </row>
    <row r="360" spans="1:8" x14ac:dyDescent="0.45">
      <c r="A360" s="130">
        <v>208</v>
      </c>
      <c r="B360" s="131" t="s">
        <v>495</v>
      </c>
      <c r="C360" s="131"/>
      <c r="D360" s="131"/>
      <c r="E360" s="131">
        <v>1</v>
      </c>
      <c r="F360" s="131" t="str">
        <f t="shared" si="4"/>
        <v>2081</v>
      </c>
      <c r="G360" s="133" t="s">
        <v>496</v>
      </c>
      <c r="H360" s="129"/>
    </row>
    <row r="361" spans="1:8" x14ac:dyDescent="0.45">
      <c r="A361" s="130">
        <v>208</v>
      </c>
      <c r="B361" s="131" t="s">
        <v>495</v>
      </c>
      <c r="C361" s="131"/>
      <c r="D361" s="131"/>
      <c r="E361" s="131">
        <v>2</v>
      </c>
      <c r="F361" s="131" t="str">
        <f t="shared" si="4"/>
        <v>2082</v>
      </c>
      <c r="G361" s="133" t="s">
        <v>497</v>
      </c>
      <c r="H361" s="129"/>
    </row>
    <row r="362" spans="1:8" x14ac:dyDescent="0.45">
      <c r="A362" s="130">
        <v>208</v>
      </c>
      <c r="B362" s="131" t="s">
        <v>495</v>
      </c>
      <c r="C362" s="131"/>
      <c r="D362" s="131"/>
      <c r="E362" s="131">
        <v>3</v>
      </c>
      <c r="F362" s="131" t="str">
        <f t="shared" si="4"/>
        <v>2083</v>
      </c>
      <c r="G362" s="133" t="s">
        <v>498</v>
      </c>
      <c r="H362" s="129"/>
    </row>
    <row r="363" spans="1:8" x14ac:dyDescent="0.45">
      <c r="A363" s="130">
        <v>208</v>
      </c>
      <c r="B363" s="131" t="s">
        <v>495</v>
      </c>
      <c r="C363" s="131"/>
      <c r="D363" s="131"/>
      <c r="E363" s="131">
        <v>4</v>
      </c>
      <c r="F363" s="131" t="str">
        <f t="shared" si="4"/>
        <v>2084</v>
      </c>
      <c r="G363" s="133" t="s">
        <v>499</v>
      </c>
      <c r="H363" s="129"/>
    </row>
    <row r="364" spans="1:8" x14ac:dyDescent="0.45">
      <c r="A364" s="130">
        <v>208</v>
      </c>
      <c r="B364" s="131" t="s">
        <v>495</v>
      </c>
      <c r="C364" s="131"/>
      <c r="D364" s="131"/>
      <c r="E364" s="131">
        <v>5</v>
      </c>
      <c r="F364" s="131" t="str">
        <f t="shared" si="4"/>
        <v>2085</v>
      </c>
      <c r="G364" s="133" t="s">
        <v>500</v>
      </c>
      <c r="H364" s="129"/>
    </row>
    <row r="365" spans="1:8" x14ac:dyDescent="0.45">
      <c r="A365" s="130">
        <v>208</v>
      </c>
      <c r="B365" s="131" t="s">
        <v>495</v>
      </c>
      <c r="C365" s="131"/>
      <c r="D365" s="131"/>
      <c r="E365" s="131">
        <v>6</v>
      </c>
      <c r="F365" s="131" t="str">
        <f t="shared" si="4"/>
        <v>2086</v>
      </c>
      <c r="G365" s="133" t="s">
        <v>501</v>
      </c>
      <c r="H365" s="129"/>
    </row>
    <row r="366" spans="1:8" x14ac:dyDescent="0.45">
      <c r="A366" s="130">
        <v>208</v>
      </c>
      <c r="B366" s="131" t="s">
        <v>495</v>
      </c>
      <c r="C366" s="131"/>
      <c r="D366" s="131"/>
      <c r="E366" s="131">
        <v>8</v>
      </c>
      <c r="F366" s="131" t="str">
        <f t="shared" si="4"/>
        <v>2088</v>
      </c>
      <c r="G366" s="133" t="s">
        <v>502</v>
      </c>
      <c r="H366" s="129"/>
    </row>
    <row r="367" spans="1:8" x14ac:dyDescent="0.45">
      <c r="A367" s="130">
        <v>208</v>
      </c>
      <c r="B367" s="131" t="s">
        <v>495</v>
      </c>
      <c r="C367" s="131"/>
      <c r="D367" s="131"/>
      <c r="E367" s="131">
        <v>10</v>
      </c>
      <c r="F367" s="131" t="str">
        <f>A367&amp;E367</f>
        <v>20810</v>
      </c>
      <c r="G367" s="133" t="s">
        <v>503</v>
      </c>
      <c r="H367" s="129"/>
    </row>
    <row r="368" spans="1:8" x14ac:dyDescent="0.45">
      <c r="A368" s="130">
        <v>208</v>
      </c>
      <c r="B368" s="131" t="s">
        <v>495</v>
      </c>
      <c r="C368" s="131"/>
      <c r="D368" s="131"/>
      <c r="E368" s="131">
        <v>44</v>
      </c>
      <c r="F368" s="131" t="str">
        <f>A368&amp;E368</f>
        <v>20844</v>
      </c>
      <c r="G368" s="133" t="s">
        <v>504</v>
      </c>
      <c r="H368" s="129"/>
    </row>
    <row r="369" spans="1:8" x14ac:dyDescent="0.45">
      <c r="A369" s="130">
        <v>2117</v>
      </c>
      <c r="B369" s="131" t="s">
        <v>505</v>
      </c>
      <c r="C369" s="131">
        <v>32</v>
      </c>
      <c r="D369" s="131">
        <v>8</v>
      </c>
      <c r="E369" s="131"/>
      <c r="F369" s="131" t="str">
        <f t="shared" ref="F369:F398" si="5">A369&amp;E369</f>
        <v>2117</v>
      </c>
      <c r="G369" s="133"/>
      <c r="H369" s="129"/>
    </row>
    <row r="370" spans="1:8" x14ac:dyDescent="0.45">
      <c r="A370" s="130">
        <v>212</v>
      </c>
      <c r="B370" s="131" t="s">
        <v>506</v>
      </c>
      <c r="C370" s="131"/>
      <c r="D370" s="131"/>
      <c r="E370" s="131"/>
      <c r="F370" s="131" t="str">
        <f t="shared" si="5"/>
        <v>212</v>
      </c>
      <c r="G370" s="133"/>
      <c r="H370" s="129"/>
    </row>
    <row r="371" spans="1:8" x14ac:dyDescent="0.45">
      <c r="A371" s="130">
        <v>215</v>
      </c>
      <c r="B371" s="131" t="s">
        <v>723</v>
      </c>
      <c r="C371" s="131"/>
      <c r="D371" s="131"/>
      <c r="E371" s="131"/>
      <c r="F371" s="131" t="str">
        <f>A371&amp;E371</f>
        <v>215</v>
      </c>
      <c r="G371" s="133"/>
      <c r="H371" s="129"/>
    </row>
    <row r="372" spans="1:8" x14ac:dyDescent="0.45">
      <c r="A372" s="130">
        <v>220</v>
      </c>
      <c r="B372" s="131" t="s">
        <v>507</v>
      </c>
      <c r="C372" s="131"/>
      <c r="D372" s="131"/>
      <c r="E372" s="131"/>
      <c r="F372" s="131" t="str">
        <f t="shared" si="5"/>
        <v>220</v>
      </c>
      <c r="G372" s="133"/>
      <c r="H372" s="129"/>
    </row>
    <row r="373" spans="1:8" x14ac:dyDescent="0.45">
      <c r="A373" s="130">
        <v>331</v>
      </c>
      <c r="B373" s="131" t="s">
        <v>508</v>
      </c>
      <c r="C373" s="131"/>
      <c r="D373" s="131"/>
      <c r="E373" s="131"/>
      <c r="F373" s="131" t="str">
        <f t="shared" si="5"/>
        <v>331</v>
      </c>
      <c r="G373" s="133"/>
      <c r="H373" s="129"/>
    </row>
    <row r="374" spans="1:8" x14ac:dyDescent="0.45">
      <c r="A374" s="130">
        <v>460</v>
      </c>
      <c r="B374" s="131" t="s">
        <v>509</v>
      </c>
      <c r="C374" s="131">
        <v>81</v>
      </c>
      <c r="D374" s="131"/>
      <c r="E374" s="131"/>
      <c r="F374" s="131" t="str">
        <f t="shared" si="5"/>
        <v>460</v>
      </c>
      <c r="G374" s="133"/>
      <c r="H374" s="129"/>
    </row>
    <row r="375" spans="1:8" x14ac:dyDescent="0.45">
      <c r="A375" s="130">
        <v>461</v>
      </c>
      <c r="B375" s="131" t="s">
        <v>510</v>
      </c>
      <c r="C375" s="131">
        <v>32</v>
      </c>
      <c r="D375" s="131">
        <v>5</v>
      </c>
      <c r="E375" s="131"/>
      <c r="F375" s="131" t="str">
        <f t="shared" si="5"/>
        <v>461</v>
      </c>
      <c r="G375" s="133"/>
      <c r="H375" s="129"/>
    </row>
    <row r="376" spans="1:8" x14ac:dyDescent="0.45">
      <c r="A376" s="130">
        <v>461</v>
      </c>
      <c r="B376" s="131" t="s">
        <v>510</v>
      </c>
      <c r="C376" s="131">
        <v>32</v>
      </c>
      <c r="D376" s="131">
        <v>8</v>
      </c>
      <c r="E376" s="131"/>
      <c r="F376" s="131" t="str">
        <f t="shared" si="5"/>
        <v>461</v>
      </c>
      <c r="G376" s="133"/>
      <c r="H376" s="129"/>
    </row>
    <row r="377" spans="1:8" x14ac:dyDescent="0.45">
      <c r="A377" s="130">
        <v>465</v>
      </c>
      <c r="B377" s="131" t="s">
        <v>724</v>
      </c>
      <c r="C377" s="131"/>
      <c r="D377" s="131"/>
      <c r="E377" s="131"/>
      <c r="F377" s="131" t="str">
        <f t="shared" si="5"/>
        <v>465</v>
      </c>
      <c r="G377" s="133"/>
      <c r="H377" s="129"/>
    </row>
    <row r="378" spans="1:8" x14ac:dyDescent="0.45">
      <c r="A378" s="130">
        <v>466</v>
      </c>
      <c r="B378" s="131" t="s">
        <v>511</v>
      </c>
      <c r="C378" s="131">
        <v>81</v>
      </c>
      <c r="D378" s="131"/>
      <c r="E378" s="131"/>
      <c r="F378" s="131" t="str">
        <f t="shared" si="5"/>
        <v>466</v>
      </c>
      <c r="G378" s="133"/>
      <c r="H378" s="129"/>
    </row>
    <row r="379" spans="1:8" x14ac:dyDescent="0.45">
      <c r="A379" s="130">
        <v>504</v>
      </c>
      <c r="B379" s="131" t="s">
        <v>514</v>
      </c>
      <c r="C379" s="131">
        <v>81</v>
      </c>
      <c r="D379" s="131"/>
      <c r="E379" s="131">
        <v>1</v>
      </c>
      <c r="F379" s="131" t="str">
        <f t="shared" si="5"/>
        <v>5041</v>
      </c>
      <c r="G379" s="133" t="s">
        <v>197</v>
      </c>
      <c r="H379" s="129"/>
    </row>
    <row r="380" spans="1:8" x14ac:dyDescent="0.45">
      <c r="A380" s="130">
        <v>505</v>
      </c>
      <c r="B380" s="131" t="s">
        <v>515</v>
      </c>
      <c r="C380" s="131">
        <v>32</v>
      </c>
      <c r="D380" s="131">
        <v>8</v>
      </c>
      <c r="E380" s="131">
        <v>999</v>
      </c>
      <c r="F380" s="131" t="str">
        <f t="shared" si="5"/>
        <v>505999</v>
      </c>
      <c r="G380" s="133" t="s">
        <v>503</v>
      </c>
      <c r="H380" s="129"/>
    </row>
    <row r="381" spans="1:8" x14ac:dyDescent="0.45">
      <c r="A381" s="130">
        <v>523</v>
      </c>
      <c r="B381" s="131" t="s">
        <v>561</v>
      </c>
      <c r="C381" s="131">
        <v>32</v>
      </c>
      <c r="D381" s="131">
        <v>8</v>
      </c>
      <c r="E381" s="131">
        <v>999</v>
      </c>
      <c r="F381" s="131" t="str">
        <f t="shared" si="5"/>
        <v>523999</v>
      </c>
      <c r="G381" s="133" t="s">
        <v>503</v>
      </c>
      <c r="H381" s="129"/>
    </row>
    <row r="382" spans="1:8" x14ac:dyDescent="0.45">
      <c r="A382" s="130">
        <v>525</v>
      </c>
      <c r="B382" s="131" t="s">
        <v>725</v>
      </c>
      <c r="C382" s="131">
        <v>30</v>
      </c>
      <c r="D382" s="131"/>
      <c r="E382" s="131">
        <v>1</v>
      </c>
      <c r="F382" s="131" t="str">
        <f t="shared" si="5"/>
        <v>5251</v>
      </c>
      <c r="G382" s="133" t="s">
        <v>194</v>
      </c>
      <c r="H382" s="129"/>
    </row>
    <row r="383" spans="1:8" x14ac:dyDescent="0.45">
      <c r="A383" s="130">
        <v>530</v>
      </c>
      <c r="B383" s="131" t="s">
        <v>726</v>
      </c>
      <c r="C383" s="131"/>
      <c r="D383" s="131"/>
      <c r="E383" s="131">
        <v>999</v>
      </c>
      <c r="F383" s="131" t="str">
        <f t="shared" si="5"/>
        <v>530999</v>
      </c>
      <c r="G383" s="133" t="s">
        <v>213</v>
      </c>
      <c r="H383" s="129"/>
    </row>
    <row r="384" spans="1:8" x14ac:dyDescent="0.45">
      <c r="A384" s="130">
        <v>531</v>
      </c>
      <c r="B384" s="131" t="s">
        <v>587</v>
      </c>
      <c r="C384" s="131">
        <v>32</v>
      </c>
      <c r="D384" s="131">
        <v>5</v>
      </c>
      <c r="E384" s="131">
        <v>999</v>
      </c>
      <c r="F384" s="131" t="str">
        <f t="shared" si="5"/>
        <v>531999</v>
      </c>
      <c r="G384" s="133" t="s">
        <v>503</v>
      </c>
      <c r="H384" s="129"/>
    </row>
    <row r="385" spans="1:8" x14ac:dyDescent="0.45">
      <c r="A385" s="130">
        <v>532</v>
      </c>
      <c r="B385" s="131" t="s">
        <v>727</v>
      </c>
      <c r="C385" s="131">
        <v>31</v>
      </c>
      <c r="D385" s="131">
        <v>8</v>
      </c>
      <c r="E385" s="131"/>
      <c r="F385" s="131" t="str">
        <f t="shared" si="5"/>
        <v>532</v>
      </c>
      <c r="G385" s="133"/>
      <c r="H385" s="129"/>
    </row>
    <row r="386" spans="1:8" x14ac:dyDescent="0.45">
      <c r="A386" s="130">
        <v>533</v>
      </c>
      <c r="B386" s="131" t="s">
        <v>593</v>
      </c>
      <c r="C386" s="131"/>
      <c r="D386" s="131"/>
      <c r="E386" s="131"/>
      <c r="F386" s="131" t="str">
        <f t="shared" si="5"/>
        <v>533</v>
      </c>
      <c r="G386" s="133"/>
      <c r="H386" s="129"/>
    </row>
    <row r="387" spans="1:8" x14ac:dyDescent="0.45">
      <c r="A387" s="130">
        <v>534</v>
      </c>
      <c r="B387" s="131" t="s">
        <v>594</v>
      </c>
      <c r="C387" s="131">
        <v>32</v>
      </c>
      <c r="D387" s="131">
        <v>5</v>
      </c>
      <c r="E387" s="131"/>
      <c r="F387" s="131" t="str">
        <f t="shared" si="5"/>
        <v>534</v>
      </c>
      <c r="G387" s="133"/>
      <c r="H387" s="129"/>
    </row>
    <row r="388" spans="1:8" x14ac:dyDescent="0.45">
      <c r="A388" s="130">
        <v>536</v>
      </c>
      <c r="B388" s="131" t="s">
        <v>595</v>
      </c>
      <c r="C388" s="131">
        <v>32</v>
      </c>
      <c r="D388" s="131">
        <v>8</v>
      </c>
      <c r="E388" s="131"/>
      <c r="F388" s="131" t="str">
        <f t="shared" si="5"/>
        <v>536</v>
      </c>
      <c r="G388" s="133"/>
      <c r="H388" s="129"/>
    </row>
    <row r="389" spans="1:8" x14ac:dyDescent="0.45">
      <c r="A389" s="130">
        <v>537</v>
      </c>
      <c r="B389" s="131" t="s">
        <v>596</v>
      </c>
      <c r="C389" s="131">
        <v>32</v>
      </c>
      <c r="D389" s="131">
        <v>5</v>
      </c>
      <c r="E389" s="131"/>
      <c r="F389" s="131" t="str">
        <f t="shared" si="5"/>
        <v>537</v>
      </c>
      <c r="G389" s="133"/>
      <c r="H389" s="129"/>
    </row>
    <row r="390" spans="1:8" x14ac:dyDescent="0.45">
      <c r="A390" s="130">
        <v>538</v>
      </c>
      <c r="B390" s="131" t="s">
        <v>597</v>
      </c>
      <c r="C390" s="131">
        <v>32</v>
      </c>
      <c r="D390" s="131">
        <v>8</v>
      </c>
      <c r="E390" s="131"/>
      <c r="F390" s="131" t="str">
        <f t="shared" si="5"/>
        <v>538</v>
      </c>
      <c r="G390" s="133"/>
      <c r="H390" s="129"/>
    </row>
    <row r="391" spans="1:8" x14ac:dyDescent="0.45">
      <c r="A391" s="130">
        <v>539</v>
      </c>
      <c r="B391" s="131" t="s">
        <v>598</v>
      </c>
      <c r="C391" s="131">
        <v>32</v>
      </c>
      <c r="D391" s="131">
        <v>8</v>
      </c>
      <c r="E391" s="131">
        <v>1</v>
      </c>
      <c r="F391" s="131" t="str">
        <f t="shared" si="5"/>
        <v>5391</v>
      </c>
      <c r="G391" s="133" t="s">
        <v>197</v>
      </c>
      <c r="H391" s="129"/>
    </row>
    <row r="392" spans="1:8" x14ac:dyDescent="0.45">
      <c r="A392" s="130">
        <v>600</v>
      </c>
      <c r="B392" s="131" t="s">
        <v>728</v>
      </c>
      <c r="C392" s="131">
        <v>20</v>
      </c>
      <c r="D392" s="131"/>
      <c r="E392" s="131"/>
      <c r="F392" s="131" t="str">
        <f t="shared" si="5"/>
        <v>600</v>
      </c>
      <c r="G392" s="133"/>
      <c r="H392" s="129"/>
    </row>
    <row r="393" spans="1:8" x14ac:dyDescent="0.45">
      <c r="A393" s="130">
        <v>601</v>
      </c>
      <c r="B393" s="131" t="s">
        <v>729</v>
      </c>
      <c r="C393" s="131">
        <v>80</v>
      </c>
      <c r="D393" s="131"/>
      <c r="E393" s="131"/>
      <c r="F393" s="131" t="str">
        <f t="shared" si="5"/>
        <v>601</v>
      </c>
      <c r="G393" s="133"/>
      <c r="H393" s="129"/>
    </row>
    <row r="394" spans="1:8" x14ac:dyDescent="0.45">
      <c r="A394" s="130">
        <v>603</v>
      </c>
      <c r="B394" s="131" t="s">
        <v>730</v>
      </c>
      <c r="C394" s="131"/>
      <c r="D394" s="131"/>
      <c r="E394" s="131"/>
      <c r="F394" s="131" t="str">
        <f t="shared" si="5"/>
        <v>603</v>
      </c>
      <c r="G394" s="133"/>
      <c r="H394" s="129"/>
    </row>
    <row r="395" spans="1:8" x14ac:dyDescent="0.45">
      <c r="A395" s="130">
        <v>604</v>
      </c>
      <c r="B395" s="131" t="s">
        <v>731</v>
      </c>
      <c r="C395" s="131">
        <v>2</v>
      </c>
      <c r="D395" s="131">
        <v>5</v>
      </c>
      <c r="E395" s="131"/>
      <c r="F395" s="131" t="str">
        <f t="shared" si="5"/>
        <v>604</v>
      </c>
      <c r="G395" s="133"/>
      <c r="H395" s="129"/>
    </row>
    <row r="396" spans="1:8" x14ac:dyDescent="0.45">
      <c r="A396" s="130">
        <v>810</v>
      </c>
      <c r="B396" s="131" t="s">
        <v>604</v>
      </c>
      <c r="C396" s="131">
        <v>2</v>
      </c>
      <c r="D396" s="131">
        <v>8</v>
      </c>
      <c r="E396" s="131"/>
      <c r="F396" s="131" t="str">
        <f t="shared" si="5"/>
        <v>810</v>
      </c>
      <c r="G396" s="133"/>
      <c r="H396" s="129"/>
    </row>
    <row r="397" spans="1:8" x14ac:dyDescent="0.45">
      <c r="A397" s="130">
        <v>815</v>
      </c>
      <c r="B397" s="131" t="s">
        <v>605</v>
      </c>
      <c r="C397" s="131">
        <v>12</v>
      </c>
      <c r="D397" s="131">
        <v>8</v>
      </c>
      <c r="E397" s="131"/>
      <c r="F397" s="131" t="str">
        <f t="shared" si="5"/>
        <v>815</v>
      </c>
      <c r="G397" s="133"/>
      <c r="H397" s="129"/>
    </row>
    <row r="398" spans="1:8" x14ac:dyDescent="0.45">
      <c r="A398" s="138">
        <v>999</v>
      </c>
      <c r="B398" s="139" t="s">
        <v>606</v>
      </c>
      <c r="C398" s="139"/>
      <c r="D398" s="139"/>
      <c r="E398" s="139"/>
      <c r="F398" s="139" t="str">
        <f t="shared" si="5"/>
        <v>999</v>
      </c>
      <c r="G398" s="140"/>
    </row>
  </sheetData>
  <phoneticPr fontId="2"/>
  <pageMargins left="0.75" right="0" top="0.5" bottom="0.5" header="0.3" footer="0.3"/>
  <pageSetup paperSize="9" orientation="portrait" r:id="rId1"/>
  <headerFooter>
    <oddFooter>&amp;R©2024 SMS DataTech Corporation. All rights reserved.</oddFooter>
  </headerFooter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8"/>
  <sheetViews>
    <sheetView zoomScale="80" zoomScaleNormal="80" workbookViewId="0"/>
  </sheetViews>
  <sheetFormatPr defaultColWidth="8.09765625" defaultRowHeight="13.2" x14ac:dyDescent="0.45"/>
  <cols>
    <col min="1" max="1" width="8.5" style="159" bestFit="1" customWidth="1"/>
    <col min="2" max="2" width="5.09765625" style="159" bestFit="1" customWidth="1"/>
    <col min="3" max="3" width="5.19921875" style="159" customWidth="1"/>
    <col min="4" max="4" width="4.59765625" style="159" customWidth="1"/>
    <col min="5" max="6" width="7.59765625" style="159" customWidth="1"/>
    <col min="7" max="8" width="4.3984375" style="159" customWidth="1"/>
    <col min="9" max="9" width="11.69921875" style="159" customWidth="1"/>
    <col min="10" max="10" width="14.296875" style="159" customWidth="1"/>
    <col min="11" max="12" width="7.59765625" style="159" customWidth="1"/>
    <col min="13" max="14" width="4.3984375" style="159" customWidth="1"/>
    <col min="15" max="15" width="12.796875" style="159" customWidth="1"/>
    <col min="16" max="16" width="11.69921875" style="159" customWidth="1"/>
    <col min="17" max="17" width="13.3984375" style="181" customWidth="1"/>
    <col min="18" max="18" width="13.59765625" style="181" customWidth="1"/>
    <col min="19" max="19" width="59.19921875" style="159" bestFit="1" customWidth="1"/>
    <col min="20" max="20" width="20.5" style="159" bestFit="1" customWidth="1"/>
    <col min="21" max="21" width="8" style="159" customWidth="1"/>
    <col min="22" max="22" width="13.5" style="159" customWidth="1"/>
    <col min="23" max="256" width="8.09765625" style="159"/>
    <col min="257" max="257" width="8.5" style="159" bestFit="1" customWidth="1"/>
    <col min="258" max="258" width="5.09765625" style="159" bestFit="1" customWidth="1"/>
    <col min="259" max="259" width="5.19921875" style="159" customWidth="1"/>
    <col min="260" max="260" width="4.59765625" style="159" customWidth="1"/>
    <col min="261" max="262" width="7.59765625" style="159" customWidth="1"/>
    <col min="263" max="264" width="4.3984375" style="159" customWidth="1"/>
    <col min="265" max="265" width="11.69921875" style="159" customWidth="1"/>
    <col min="266" max="266" width="14.296875" style="159" customWidth="1"/>
    <col min="267" max="268" width="7.59765625" style="159" customWidth="1"/>
    <col min="269" max="270" width="4.3984375" style="159" customWidth="1"/>
    <col min="271" max="271" width="12.796875" style="159" customWidth="1"/>
    <col min="272" max="272" width="11.69921875" style="159" customWidth="1"/>
    <col min="273" max="273" width="13.3984375" style="159" customWidth="1"/>
    <col min="274" max="274" width="13.59765625" style="159" customWidth="1"/>
    <col min="275" max="275" width="59.19921875" style="159" bestFit="1" customWidth="1"/>
    <col min="276" max="276" width="20.5" style="159" bestFit="1" customWidth="1"/>
    <col min="277" max="277" width="8" style="159" customWidth="1"/>
    <col min="278" max="278" width="13.5" style="159" customWidth="1"/>
    <col min="279" max="512" width="8.09765625" style="159"/>
    <col min="513" max="513" width="8.5" style="159" bestFit="1" customWidth="1"/>
    <col min="514" max="514" width="5.09765625" style="159" bestFit="1" customWidth="1"/>
    <col min="515" max="515" width="5.19921875" style="159" customWidth="1"/>
    <col min="516" max="516" width="4.59765625" style="159" customWidth="1"/>
    <col min="517" max="518" width="7.59765625" style="159" customWidth="1"/>
    <col min="519" max="520" width="4.3984375" style="159" customWidth="1"/>
    <col min="521" max="521" width="11.69921875" style="159" customWidth="1"/>
    <col min="522" max="522" width="14.296875" style="159" customWidth="1"/>
    <col min="523" max="524" width="7.59765625" style="159" customWidth="1"/>
    <col min="525" max="526" width="4.3984375" style="159" customWidth="1"/>
    <col min="527" max="527" width="12.796875" style="159" customWidth="1"/>
    <col min="528" max="528" width="11.69921875" style="159" customWidth="1"/>
    <col min="529" max="529" width="13.3984375" style="159" customWidth="1"/>
    <col min="530" max="530" width="13.59765625" style="159" customWidth="1"/>
    <col min="531" max="531" width="59.19921875" style="159" bestFit="1" customWidth="1"/>
    <col min="532" max="532" width="20.5" style="159" bestFit="1" customWidth="1"/>
    <col min="533" max="533" width="8" style="159" customWidth="1"/>
    <col min="534" max="534" width="13.5" style="159" customWidth="1"/>
    <col min="535" max="768" width="8.09765625" style="159"/>
    <col min="769" max="769" width="8.5" style="159" bestFit="1" customWidth="1"/>
    <col min="770" max="770" width="5.09765625" style="159" bestFit="1" customWidth="1"/>
    <col min="771" max="771" width="5.19921875" style="159" customWidth="1"/>
    <col min="772" max="772" width="4.59765625" style="159" customWidth="1"/>
    <col min="773" max="774" width="7.59765625" style="159" customWidth="1"/>
    <col min="775" max="776" width="4.3984375" style="159" customWidth="1"/>
    <col min="777" max="777" width="11.69921875" style="159" customWidth="1"/>
    <col min="778" max="778" width="14.296875" style="159" customWidth="1"/>
    <col min="779" max="780" width="7.59765625" style="159" customWidth="1"/>
    <col min="781" max="782" width="4.3984375" style="159" customWidth="1"/>
    <col min="783" max="783" width="12.796875" style="159" customWidth="1"/>
    <col min="784" max="784" width="11.69921875" style="159" customWidth="1"/>
    <col min="785" max="785" width="13.3984375" style="159" customWidth="1"/>
    <col min="786" max="786" width="13.59765625" style="159" customWidth="1"/>
    <col min="787" max="787" width="59.19921875" style="159" bestFit="1" customWidth="1"/>
    <col min="788" max="788" width="20.5" style="159" bestFit="1" customWidth="1"/>
    <col min="789" max="789" width="8" style="159" customWidth="1"/>
    <col min="790" max="790" width="13.5" style="159" customWidth="1"/>
    <col min="791" max="1024" width="8.09765625" style="159"/>
    <col min="1025" max="1025" width="8.5" style="159" bestFit="1" customWidth="1"/>
    <col min="1026" max="1026" width="5.09765625" style="159" bestFit="1" customWidth="1"/>
    <col min="1027" max="1027" width="5.19921875" style="159" customWidth="1"/>
    <col min="1028" max="1028" width="4.59765625" style="159" customWidth="1"/>
    <col min="1029" max="1030" width="7.59765625" style="159" customWidth="1"/>
    <col min="1031" max="1032" width="4.3984375" style="159" customWidth="1"/>
    <col min="1033" max="1033" width="11.69921875" style="159" customWidth="1"/>
    <col min="1034" max="1034" width="14.296875" style="159" customWidth="1"/>
    <col min="1035" max="1036" width="7.59765625" style="159" customWidth="1"/>
    <col min="1037" max="1038" width="4.3984375" style="159" customWidth="1"/>
    <col min="1039" max="1039" width="12.796875" style="159" customWidth="1"/>
    <col min="1040" max="1040" width="11.69921875" style="159" customWidth="1"/>
    <col min="1041" max="1041" width="13.3984375" style="159" customWidth="1"/>
    <col min="1042" max="1042" width="13.59765625" style="159" customWidth="1"/>
    <col min="1043" max="1043" width="59.19921875" style="159" bestFit="1" customWidth="1"/>
    <col min="1044" max="1044" width="20.5" style="159" bestFit="1" customWidth="1"/>
    <col min="1045" max="1045" width="8" style="159" customWidth="1"/>
    <col min="1046" max="1046" width="13.5" style="159" customWidth="1"/>
    <col min="1047" max="1280" width="8.09765625" style="159"/>
    <col min="1281" max="1281" width="8.5" style="159" bestFit="1" customWidth="1"/>
    <col min="1282" max="1282" width="5.09765625" style="159" bestFit="1" customWidth="1"/>
    <col min="1283" max="1283" width="5.19921875" style="159" customWidth="1"/>
    <col min="1284" max="1284" width="4.59765625" style="159" customWidth="1"/>
    <col min="1285" max="1286" width="7.59765625" style="159" customWidth="1"/>
    <col min="1287" max="1288" width="4.3984375" style="159" customWidth="1"/>
    <col min="1289" max="1289" width="11.69921875" style="159" customWidth="1"/>
    <col min="1290" max="1290" width="14.296875" style="159" customWidth="1"/>
    <col min="1291" max="1292" width="7.59765625" style="159" customWidth="1"/>
    <col min="1293" max="1294" width="4.3984375" style="159" customWidth="1"/>
    <col min="1295" max="1295" width="12.796875" style="159" customWidth="1"/>
    <col min="1296" max="1296" width="11.69921875" style="159" customWidth="1"/>
    <col min="1297" max="1297" width="13.3984375" style="159" customWidth="1"/>
    <col min="1298" max="1298" width="13.59765625" style="159" customWidth="1"/>
    <col min="1299" max="1299" width="59.19921875" style="159" bestFit="1" customWidth="1"/>
    <col min="1300" max="1300" width="20.5" style="159" bestFit="1" customWidth="1"/>
    <col min="1301" max="1301" width="8" style="159" customWidth="1"/>
    <col min="1302" max="1302" width="13.5" style="159" customWidth="1"/>
    <col min="1303" max="1536" width="8.09765625" style="159"/>
    <col min="1537" max="1537" width="8.5" style="159" bestFit="1" customWidth="1"/>
    <col min="1538" max="1538" width="5.09765625" style="159" bestFit="1" customWidth="1"/>
    <col min="1539" max="1539" width="5.19921875" style="159" customWidth="1"/>
    <col min="1540" max="1540" width="4.59765625" style="159" customWidth="1"/>
    <col min="1541" max="1542" width="7.59765625" style="159" customWidth="1"/>
    <col min="1543" max="1544" width="4.3984375" style="159" customWidth="1"/>
    <col min="1545" max="1545" width="11.69921875" style="159" customWidth="1"/>
    <col min="1546" max="1546" width="14.296875" style="159" customWidth="1"/>
    <col min="1547" max="1548" width="7.59765625" style="159" customWidth="1"/>
    <col min="1549" max="1550" width="4.3984375" style="159" customWidth="1"/>
    <col min="1551" max="1551" width="12.796875" style="159" customWidth="1"/>
    <col min="1552" max="1552" width="11.69921875" style="159" customWidth="1"/>
    <col min="1553" max="1553" width="13.3984375" style="159" customWidth="1"/>
    <col min="1554" max="1554" width="13.59765625" style="159" customWidth="1"/>
    <col min="1555" max="1555" width="59.19921875" style="159" bestFit="1" customWidth="1"/>
    <col min="1556" max="1556" width="20.5" style="159" bestFit="1" customWidth="1"/>
    <col min="1557" max="1557" width="8" style="159" customWidth="1"/>
    <col min="1558" max="1558" width="13.5" style="159" customWidth="1"/>
    <col min="1559" max="1792" width="8.09765625" style="159"/>
    <col min="1793" max="1793" width="8.5" style="159" bestFit="1" customWidth="1"/>
    <col min="1794" max="1794" width="5.09765625" style="159" bestFit="1" customWidth="1"/>
    <col min="1795" max="1795" width="5.19921875" style="159" customWidth="1"/>
    <col min="1796" max="1796" width="4.59765625" style="159" customWidth="1"/>
    <col min="1797" max="1798" width="7.59765625" style="159" customWidth="1"/>
    <col min="1799" max="1800" width="4.3984375" style="159" customWidth="1"/>
    <col min="1801" max="1801" width="11.69921875" style="159" customWidth="1"/>
    <col min="1802" max="1802" width="14.296875" style="159" customWidth="1"/>
    <col min="1803" max="1804" width="7.59765625" style="159" customWidth="1"/>
    <col min="1805" max="1806" width="4.3984375" style="159" customWidth="1"/>
    <col min="1807" max="1807" width="12.796875" style="159" customWidth="1"/>
    <col min="1808" max="1808" width="11.69921875" style="159" customWidth="1"/>
    <col min="1809" max="1809" width="13.3984375" style="159" customWidth="1"/>
    <col min="1810" max="1810" width="13.59765625" style="159" customWidth="1"/>
    <col min="1811" max="1811" width="59.19921875" style="159" bestFit="1" customWidth="1"/>
    <col min="1812" max="1812" width="20.5" style="159" bestFit="1" customWidth="1"/>
    <col min="1813" max="1813" width="8" style="159" customWidth="1"/>
    <col min="1814" max="1814" width="13.5" style="159" customWidth="1"/>
    <col min="1815" max="2048" width="8.09765625" style="159"/>
    <col min="2049" max="2049" width="8.5" style="159" bestFit="1" customWidth="1"/>
    <col min="2050" max="2050" width="5.09765625" style="159" bestFit="1" customWidth="1"/>
    <col min="2051" max="2051" width="5.19921875" style="159" customWidth="1"/>
    <col min="2052" max="2052" width="4.59765625" style="159" customWidth="1"/>
    <col min="2053" max="2054" width="7.59765625" style="159" customWidth="1"/>
    <col min="2055" max="2056" width="4.3984375" style="159" customWidth="1"/>
    <col min="2057" max="2057" width="11.69921875" style="159" customWidth="1"/>
    <col min="2058" max="2058" width="14.296875" style="159" customWidth="1"/>
    <col min="2059" max="2060" width="7.59765625" style="159" customWidth="1"/>
    <col min="2061" max="2062" width="4.3984375" style="159" customWidth="1"/>
    <col min="2063" max="2063" width="12.796875" style="159" customWidth="1"/>
    <col min="2064" max="2064" width="11.69921875" style="159" customWidth="1"/>
    <col min="2065" max="2065" width="13.3984375" style="159" customWidth="1"/>
    <col min="2066" max="2066" width="13.59765625" style="159" customWidth="1"/>
    <col min="2067" max="2067" width="59.19921875" style="159" bestFit="1" customWidth="1"/>
    <col min="2068" max="2068" width="20.5" style="159" bestFit="1" customWidth="1"/>
    <col min="2069" max="2069" width="8" style="159" customWidth="1"/>
    <col min="2070" max="2070" width="13.5" style="159" customWidth="1"/>
    <col min="2071" max="2304" width="8.09765625" style="159"/>
    <col min="2305" max="2305" width="8.5" style="159" bestFit="1" customWidth="1"/>
    <col min="2306" max="2306" width="5.09765625" style="159" bestFit="1" customWidth="1"/>
    <col min="2307" max="2307" width="5.19921875" style="159" customWidth="1"/>
    <col min="2308" max="2308" width="4.59765625" style="159" customWidth="1"/>
    <col min="2309" max="2310" width="7.59765625" style="159" customWidth="1"/>
    <col min="2311" max="2312" width="4.3984375" style="159" customWidth="1"/>
    <col min="2313" max="2313" width="11.69921875" style="159" customWidth="1"/>
    <col min="2314" max="2314" width="14.296875" style="159" customWidth="1"/>
    <col min="2315" max="2316" width="7.59765625" style="159" customWidth="1"/>
    <col min="2317" max="2318" width="4.3984375" style="159" customWidth="1"/>
    <col min="2319" max="2319" width="12.796875" style="159" customWidth="1"/>
    <col min="2320" max="2320" width="11.69921875" style="159" customWidth="1"/>
    <col min="2321" max="2321" width="13.3984375" style="159" customWidth="1"/>
    <col min="2322" max="2322" width="13.59765625" style="159" customWidth="1"/>
    <col min="2323" max="2323" width="59.19921875" style="159" bestFit="1" customWidth="1"/>
    <col min="2324" max="2324" width="20.5" style="159" bestFit="1" customWidth="1"/>
    <col min="2325" max="2325" width="8" style="159" customWidth="1"/>
    <col min="2326" max="2326" width="13.5" style="159" customWidth="1"/>
    <col min="2327" max="2560" width="8.09765625" style="159"/>
    <col min="2561" max="2561" width="8.5" style="159" bestFit="1" customWidth="1"/>
    <col min="2562" max="2562" width="5.09765625" style="159" bestFit="1" customWidth="1"/>
    <col min="2563" max="2563" width="5.19921875" style="159" customWidth="1"/>
    <col min="2564" max="2564" width="4.59765625" style="159" customWidth="1"/>
    <col min="2565" max="2566" width="7.59765625" style="159" customWidth="1"/>
    <col min="2567" max="2568" width="4.3984375" style="159" customWidth="1"/>
    <col min="2569" max="2569" width="11.69921875" style="159" customWidth="1"/>
    <col min="2570" max="2570" width="14.296875" style="159" customWidth="1"/>
    <col min="2571" max="2572" width="7.59765625" style="159" customWidth="1"/>
    <col min="2573" max="2574" width="4.3984375" style="159" customWidth="1"/>
    <col min="2575" max="2575" width="12.796875" style="159" customWidth="1"/>
    <col min="2576" max="2576" width="11.69921875" style="159" customWidth="1"/>
    <col min="2577" max="2577" width="13.3984375" style="159" customWidth="1"/>
    <col min="2578" max="2578" width="13.59765625" style="159" customWidth="1"/>
    <col min="2579" max="2579" width="59.19921875" style="159" bestFit="1" customWidth="1"/>
    <col min="2580" max="2580" width="20.5" style="159" bestFit="1" customWidth="1"/>
    <col min="2581" max="2581" width="8" style="159" customWidth="1"/>
    <col min="2582" max="2582" width="13.5" style="159" customWidth="1"/>
    <col min="2583" max="2816" width="8.09765625" style="159"/>
    <col min="2817" max="2817" width="8.5" style="159" bestFit="1" customWidth="1"/>
    <col min="2818" max="2818" width="5.09765625" style="159" bestFit="1" customWidth="1"/>
    <col min="2819" max="2819" width="5.19921875" style="159" customWidth="1"/>
    <col min="2820" max="2820" width="4.59765625" style="159" customWidth="1"/>
    <col min="2821" max="2822" width="7.59765625" style="159" customWidth="1"/>
    <col min="2823" max="2824" width="4.3984375" style="159" customWidth="1"/>
    <col min="2825" max="2825" width="11.69921875" style="159" customWidth="1"/>
    <col min="2826" max="2826" width="14.296875" style="159" customWidth="1"/>
    <col min="2827" max="2828" width="7.59765625" style="159" customWidth="1"/>
    <col min="2829" max="2830" width="4.3984375" style="159" customWidth="1"/>
    <col min="2831" max="2831" width="12.796875" style="159" customWidth="1"/>
    <col min="2832" max="2832" width="11.69921875" style="159" customWidth="1"/>
    <col min="2833" max="2833" width="13.3984375" style="159" customWidth="1"/>
    <col min="2834" max="2834" width="13.59765625" style="159" customWidth="1"/>
    <col min="2835" max="2835" width="59.19921875" style="159" bestFit="1" customWidth="1"/>
    <col min="2836" max="2836" width="20.5" style="159" bestFit="1" customWidth="1"/>
    <col min="2837" max="2837" width="8" style="159" customWidth="1"/>
    <col min="2838" max="2838" width="13.5" style="159" customWidth="1"/>
    <col min="2839" max="3072" width="8.09765625" style="159"/>
    <col min="3073" max="3073" width="8.5" style="159" bestFit="1" customWidth="1"/>
    <col min="3074" max="3074" width="5.09765625" style="159" bestFit="1" customWidth="1"/>
    <col min="3075" max="3075" width="5.19921875" style="159" customWidth="1"/>
    <col min="3076" max="3076" width="4.59765625" style="159" customWidth="1"/>
    <col min="3077" max="3078" width="7.59765625" style="159" customWidth="1"/>
    <col min="3079" max="3080" width="4.3984375" style="159" customWidth="1"/>
    <col min="3081" max="3081" width="11.69921875" style="159" customWidth="1"/>
    <col min="3082" max="3082" width="14.296875" style="159" customWidth="1"/>
    <col min="3083" max="3084" width="7.59765625" style="159" customWidth="1"/>
    <col min="3085" max="3086" width="4.3984375" style="159" customWidth="1"/>
    <col min="3087" max="3087" width="12.796875" style="159" customWidth="1"/>
    <col min="3088" max="3088" width="11.69921875" style="159" customWidth="1"/>
    <col min="3089" max="3089" width="13.3984375" style="159" customWidth="1"/>
    <col min="3090" max="3090" width="13.59765625" style="159" customWidth="1"/>
    <col min="3091" max="3091" width="59.19921875" style="159" bestFit="1" customWidth="1"/>
    <col min="3092" max="3092" width="20.5" style="159" bestFit="1" customWidth="1"/>
    <col min="3093" max="3093" width="8" style="159" customWidth="1"/>
    <col min="3094" max="3094" width="13.5" style="159" customWidth="1"/>
    <col min="3095" max="3328" width="8.09765625" style="159"/>
    <col min="3329" max="3329" width="8.5" style="159" bestFit="1" customWidth="1"/>
    <col min="3330" max="3330" width="5.09765625" style="159" bestFit="1" customWidth="1"/>
    <col min="3331" max="3331" width="5.19921875" style="159" customWidth="1"/>
    <col min="3332" max="3332" width="4.59765625" style="159" customWidth="1"/>
    <col min="3333" max="3334" width="7.59765625" style="159" customWidth="1"/>
    <col min="3335" max="3336" width="4.3984375" style="159" customWidth="1"/>
    <col min="3337" max="3337" width="11.69921875" style="159" customWidth="1"/>
    <col min="3338" max="3338" width="14.296875" style="159" customWidth="1"/>
    <col min="3339" max="3340" width="7.59765625" style="159" customWidth="1"/>
    <col min="3341" max="3342" width="4.3984375" style="159" customWidth="1"/>
    <col min="3343" max="3343" width="12.796875" style="159" customWidth="1"/>
    <col min="3344" max="3344" width="11.69921875" style="159" customWidth="1"/>
    <col min="3345" max="3345" width="13.3984375" style="159" customWidth="1"/>
    <col min="3346" max="3346" width="13.59765625" style="159" customWidth="1"/>
    <col min="3347" max="3347" width="59.19921875" style="159" bestFit="1" customWidth="1"/>
    <col min="3348" max="3348" width="20.5" style="159" bestFit="1" customWidth="1"/>
    <col min="3349" max="3349" width="8" style="159" customWidth="1"/>
    <col min="3350" max="3350" width="13.5" style="159" customWidth="1"/>
    <col min="3351" max="3584" width="8.09765625" style="159"/>
    <col min="3585" max="3585" width="8.5" style="159" bestFit="1" customWidth="1"/>
    <col min="3586" max="3586" width="5.09765625" style="159" bestFit="1" customWidth="1"/>
    <col min="3587" max="3587" width="5.19921875" style="159" customWidth="1"/>
    <col min="3588" max="3588" width="4.59765625" style="159" customWidth="1"/>
    <col min="3589" max="3590" width="7.59765625" style="159" customWidth="1"/>
    <col min="3591" max="3592" width="4.3984375" style="159" customWidth="1"/>
    <col min="3593" max="3593" width="11.69921875" style="159" customWidth="1"/>
    <col min="3594" max="3594" width="14.296875" style="159" customWidth="1"/>
    <col min="3595" max="3596" width="7.59765625" style="159" customWidth="1"/>
    <col min="3597" max="3598" width="4.3984375" style="159" customWidth="1"/>
    <col min="3599" max="3599" width="12.796875" style="159" customWidth="1"/>
    <col min="3600" max="3600" width="11.69921875" style="159" customWidth="1"/>
    <col min="3601" max="3601" width="13.3984375" style="159" customWidth="1"/>
    <col min="3602" max="3602" width="13.59765625" style="159" customWidth="1"/>
    <col min="3603" max="3603" width="59.19921875" style="159" bestFit="1" customWidth="1"/>
    <col min="3604" max="3604" width="20.5" style="159" bestFit="1" customWidth="1"/>
    <col min="3605" max="3605" width="8" style="159" customWidth="1"/>
    <col min="3606" max="3606" width="13.5" style="159" customWidth="1"/>
    <col min="3607" max="3840" width="8.09765625" style="159"/>
    <col min="3841" max="3841" width="8.5" style="159" bestFit="1" customWidth="1"/>
    <col min="3842" max="3842" width="5.09765625" style="159" bestFit="1" customWidth="1"/>
    <col min="3843" max="3843" width="5.19921875" style="159" customWidth="1"/>
    <col min="3844" max="3844" width="4.59765625" style="159" customWidth="1"/>
    <col min="3845" max="3846" width="7.59765625" style="159" customWidth="1"/>
    <col min="3847" max="3848" width="4.3984375" style="159" customWidth="1"/>
    <col min="3849" max="3849" width="11.69921875" style="159" customWidth="1"/>
    <col min="3850" max="3850" width="14.296875" style="159" customWidth="1"/>
    <col min="3851" max="3852" width="7.59765625" style="159" customWidth="1"/>
    <col min="3853" max="3854" width="4.3984375" style="159" customWidth="1"/>
    <col min="3855" max="3855" width="12.796875" style="159" customWidth="1"/>
    <col min="3856" max="3856" width="11.69921875" style="159" customWidth="1"/>
    <col min="3857" max="3857" width="13.3984375" style="159" customWidth="1"/>
    <col min="3858" max="3858" width="13.59765625" style="159" customWidth="1"/>
    <col min="3859" max="3859" width="59.19921875" style="159" bestFit="1" customWidth="1"/>
    <col min="3860" max="3860" width="20.5" style="159" bestFit="1" customWidth="1"/>
    <col min="3861" max="3861" width="8" style="159" customWidth="1"/>
    <col min="3862" max="3862" width="13.5" style="159" customWidth="1"/>
    <col min="3863" max="4096" width="8.09765625" style="159"/>
    <col min="4097" max="4097" width="8.5" style="159" bestFit="1" customWidth="1"/>
    <col min="4098" max="4098" width="5.09765625" style="159" bestFit="1" customWidth="1"/>
    <col min="4099" max="4099" width="5.19921875" style="159" customWidth="1"/>
    <col min="4100" max="4100" width="4.59765625" style="159" customWidth="1"/>
    <col min="4101" max="4102" width="7.59765625" style="159" customWidth="1"/>
    <col min="4103" max="4104" width="4.3984375" style="159" customWidth="1"/>
    <col min="4105" max="4105" width="11.69921875" style="159" customWidth="1"/>
    <col min="4106" max="4106" width="14.296875" style="159" customWidth="1"/>
    <col min="4107" max="4108" width="7.59765625" style="159" customWidth="1"/>
    <col min="4109" max="4110" width="4.3984375" style="159" customWidth="1"/>
    <col min="4111" max="4111" width="12.796875" style="159" customWidth="1"/>
    <col min="4112" max="4112" width="11.69921875" style="159" customWidth="1"/>
    <col min="4113" max="4113" width="13.3984375" style="159" customWidth="1"/>
    <col min="4114" max="4114" width="13.59765625" style="159" customWidth="1"/>
    <col min="4115" max="4115" width="59.19921875" style="159" bestFit="1" customWidth="1"/>
    <col min="4116" max="4116" width="20.5" style="159" bestFit="1" customWidth="1"/>
    <col min="4117" max="4117" width="8" style="159" customWidth="1"/>
    <col min="4118" max="4118" width="13.5" style="159" customWidth="1"/>
    <col min="4119" max="4352" width="8.09765625" style="159"/>
    <col min="4353" max="4353" width="8.5" style="159" bestFit="1" customWidth="1"/>
    <col min="4354" max="4354" width="5.09765625" style="159" bestFit="1" customWidth="1"/>
    <col min="4355" max="4355" width="5.19921875" style="159" customWidth="1"/>
    <col min="4356" max="4356" width="4.59765625" style="159" customWidth="1"/>
    <col min="4357" max="4358" width="7.59765625" style="159" customWidth="1"/>
    <col min="4359" max="4360" width="4.3984375" style="159" customWidth="1"/>
    <col min="4361" max="4361" width="11.69921875" style="159" customWidth="1"/>
    <col min="4362" max="4362" width="14.296875" style="159" customWidth="1"/>
    <col min="4363" max="4364" width="7.59765625" style="159" customWidth="1"/>
    <col min="4365" max="4366" width="4.3984375" style="159" customWidth="1"/>
    <col min="4367" max="4367" width="12.796875" style="159" customWidth="1"/>
    <col min="4368" max="4368" width="11.69921875" style="159" customWidth="1"/>
    <col min="4369" max="4369" width="13.3984375" style="159" customWidth="1"/>
    <col min="4370" max="4370" width="13.59765625" style="159" customWidth="1"/>
    <col min="4371" max="4371" width="59.19921875" style="159" bestFit="1" customWidth="1"/>
    <col min="4372" max="4372" width="20.5" style="159" bestFit="1" customWidth="1"/>
    <col min="4373" max="4373" width="8" style="159" customWidth="1"/>
    <col min="4374" max="4374" width="13.5" style="159" customWidth="1"/>
    <col min="4375" max="4608" width="8.09765625" style="159"/>
    <col min="4609" max="4609" width="8.5" style="159" bestFit="1" customWidth="1"/>
    <col min="4610" max="4610" width="5.09765625" style="159" bestFit="1" customWidth="1"/>
    <col min="4611" max="4611" width="5.19921875" style="159" customWidth="1"/>
    <col min="4612" max="4612" width="4.59765625" style="159" customWidth="1"/>
    <col min="4613" max="4614" width="7.59765625" style="159" customWidth="1"/>
    <col min="4615" max="4616" width="4.3984375" style="159" customWidth="1"/>
    <col min="4617" max="4617" width="11.69921875" style="159" customWidth="1"/>
    <col min="4618" max="4618" width="14.296875" style="159" customWidth="1"/>
    <col min="4619" max="4620" width="7.59765625" style="159" customWidth="1"/>
    <col min="4621" max="4622" width="4.3984375" style="159" customWidth="1"/>
    <col min="4623" max="4623" width="12.796875" style="159" customWidth="1"/>
    <col min="4624" max="4624" width="11.69921875" style="159" customWidth="1"/>
    <col min="4625" max="4625" width="13.3984375" style="159" customWidth="1"/>
    <col min="4626" max="4626" width="13.59765625" style="159" customWidth="1"/>
    <col min="4627" max="4627" width="59.19921875" style="159" bestFit="1" customWidth="1"/>
    <col min="4628" max="4628" width="20.5" style="159" bestFit="1" customWidth="1"/>
    <col min="4629" max="4629" width="8" style="159" customWidth="1"/>
    <col min="4630" max="4630" width="13.5" style="159" customWidth="1"/>
    <col min="4631" max="4864" width="8.09765625" style="159"/>
    <col min="4865" max="4865" width="8.5" style="159" bestFit="1" customWidth="1"/>
    <col min="4866" max="4866" width="5.09765625" style="159" bestFit="1" customWidth="1"/>
    <col min="4867" max="4867" width="5.19921875" style="159" customWidth="1"/>
    <col min="4868" max="4868" width="4.59765625" style="159" customWidth="1"/>
    <col min="4869" max="4870" width="7.59765625" style="159" customWidth="1"/>
    <col min="4871" max="4872" width="4.3984375" style="159" customWidth="1"/>
    <col min="4873" max="4873" width="11.69921875" style="159" customWidth="1"/>
    <col min="4874" max="4874" width="14.296875" style="159" customWidth="1"/>
    <col min="4875" max="4876" width="7.59765625" style="159" customWidth="1"/>
    <col min="4877" max="4878" width="4.3984375" style="159" customWidth="1"/>
    <col min="4879" max="4879" width="12.796875" style="159" customWidth="1"/>
    <col min="4880" max="4880" width="11.69921875" style="159" customWidth="1"/>
    <col min="4881" max="4881" width="13.3984375" style="159" customWidth="1"/>
    <col min="4882" max="4882" width="13.59765625" style="159" customWidth="1"/>
    <col min="4883" max="4883" width="59.19921875" style="159" bestFit="1" customWidth="1"/>
    <col min="4884" max="4884" width="20.5" style="159" bestFit="1" customWidth="1"/>
    <col min="4885" max="4885" width="8" style="159" customWidth="1"/>
    <col min="4886" max="4886" width="13.5" style="159" customWidth="1"/>
    <col min="4887" max="5120" width="8.09765625" style="159"/>
    <col min="5121" max="5121" width="8.5" style="159" bestFit="1" customWidth="1"/>
    <col min="5122" max="5122" width="5.09765625" style="159" bestFit="1" customWidth="1"/>
    <col min="5123" max="5123" width="5.19921875" style="159" customWidth="1"/>
    <col min="5124" max="5124" width="4.59765625" style="159" customWidth="1"/>
    <col min="5125" max="5126" width="7.59765625" style="159" customWidth="1"/>
    <col min="5127" max="5128" width="4.3984375" style="159" customWidth="1"/>
    <col min="5129" max="5129" width="11.69921875" style="159" customWidth="1"/>
    <col min="5130" max="5130" width="14.296875" style="159" customWidth="1"/>
    <col min="5131" max="5132" width="7.59765625" style="159" customWidth="1"/>
    <col min="5133" max="5134" width="4.3984375" style="159" customWidth="1"/>
    <col min="5135" max="5135" width="12.796875" style="159" customWidth="1"/>
    <col min="5136" max="5136" width="11.69921875" style="159" customWidth="1"/>
    <col min="5137" max="5137" width="13.3984375" style="159" customWidth="1"/>
    <col min="5138" max="5138" width="13.59765625" style="159" customWidth="1"/>
    <col min="5139" max="5139" width="59.19921875" style="159" bestFit="1" customWidth="1"/>
    <col min="5140" max="5140" width="20.5" style="159" bestFit="1" customWidth="1"/>
    <col min="5141" max="5141" width="8" style="159" customWidth="1"/>
    <col min="5142" max="5142" width="13.5" style="159" customWidth="1"/>
    <col min="5143" max="5376" width="8.09765625" style="159"/>
    <col min="5377" max="5377" width="8.5" style="159" bestFit="1" customWidth="1"/>
    <col min="5378" max="5378" width="5.09765625" style="159" bestFit="1" customWidth="1"/>
    <col min="5379" max="5379" width="5.19921875" style="159" customWidth="1"/>
    <col min="5380" max="5380" width="4.59765625" style="159" customWidth="1"/>
    <col min="5381" max="5382" width="7.59765625" style="159" customWidth="1"/>
    <col min="5383" max="5384" width="4.3984375" style="159" customWidth="1"/>
    <col min="5385" max="5385" width="11.69921875" style="159" customWidth="1"/>
    <col min="5386" max="5386" width="14.296875" style="159" customWidth="1"/>
    <col min="5387" max="5388" width="7.59765625" style="159" customWidth="1"/>
    <col min="5389" max="5390" width="4.3984375" style="159" customWidth="1"/>
    <col min="5391" max="5391" width="12.796875" style="159" customWidth="1"/>
    <col min="5392" max="5392" width="11.69921875" style="159" customWidth="1"/>
    <col min="5393" max="5393" width="13.3984375" style="159" customWidth="1"/>
    <col min="5394" max="5394" width="13.59765625" style="159" customWidth="1"/>
    <col min="5395" max="5395" width="59.19921875" style="159" bestFit="1" customWidth="1"/>
    <col min="5396" max="5396" width="20.5" style="159" bestFit="1" customWidth="1"/>
    <col min="5397" max="5397" width="8" style="159" customWidth="1"/>
    <col min="5398" max="5398" width="13.5" style="159" customWidth="1"/>
    <col min="5399" max="5632" width="8.09765625" style="159"/>
    <col min="5633" max="5633" width="8.5" style="159" bestFit="1" customWidth="1"/>
    <col min="5634" max="5634" width="5.09765625" style="159" bestFit="1" customWidth="1"/>
    <col min="5635" max="5635" width="5.19921875" style="159" customWidth="1"/>
    <col min="5636" max="5636" width="4.59765625" style="159" customWidth="1"/>
    <col min="5637" max="5638" width="7.59765625" style="159" customWidth="1"/>
    <col min="5639" max="5640" width="4.3984375" style="159" customWidth="1"/>
    <col min="5641" max="5641" width="11.69921875" style="159" customWidth="1"/>
    <col min="5642" max="5642" width="14.296875" style="159" customWidth="1"/>
    <col min="5643" max="5644" width="7.59765625" style="159" customWidth="1"/>
    <col min="5645" max="5646" width="4.3984375" style="159" customWidth="1"/>
    <col min="5647" max="5647" width="12.796875" style="159" customWidth="1"/>
    <col min="5648" max="5648" width="11.69921875" style="159" customWidth="1"/>
    <col min="5649" max="5649" width="13.3984375" style="159" customWidth="1"/>
    <col min="5650" max="5650" width="13.59765625" style="159" customWidth="1"/>
    <col min="5651" max="5651" width="59.19921875" style="159" bestFit="1" customWidth="1"/>
    <col min="5652" max="5652" width="20.5" style="159" bestFit="1" customWidth="1"/>
    <col min="5653" max="5653" width="8" style="159" customWidth="1"/>
    <col min="5654" max="5654" width="13.5" style="159" customWidth="1"/>
    <col min="5655" max="5888" width="8.09765625" style="159"/>
    <col min="5889" max="5889" width="8.5" style="159" bestFit="1" customWidth="1"/>
    <col min="5890" max="5890" width="5.09765625" style="159" bestFit="1" customWidth="1"/>
    <col min="5891" max="5891" width="5.19921875" style="159" customWidth="1"/>
    <col min="5892" max="5892" width="4.59765625" style="159" customWidth="1"/>
    <col min="5893" max="5894" width="7.59765625" style="159" customWidth="1"/>
    <col min="5895" max="5896" width="4.3984375" style="159" customWidth="1"/>
    <col min="5897" max="5897" width="11.69921875" style="159" customWidth="1"/>
    <col min="5898" max="5898" width="14.296875" style="159" customWidth="1"/>
    <col min="5899" max="5900" width="7.59765625" style="159" customWidth="1"/>
    <col min="5901" max="5902" width="4.3984375" style="159" customWidth="1"/>
    <col min="5903" max="5903" width="12.796875" style="159" customWidth="1"/>
    <col min="5904" max="5904" width="11.69921875" style="159" customWidth="1"/>
    <col min="5905" max="5905" width="13.3984375" style="159" customWidth="1"/>
    <col min="5906" max="5906" width="13.59765625" style="159" customWidth="1"/>
    <col min="5907" max="5907" width="59.19921875" style="159" bestFit="1" customWidth="1"/>
    <col min="5908" max="5908" width="20.5" style="159" bestFit="1" customWidth="1"/>
    <col min="5909" max="5909" width="8" style="159" customWidth="1"/>
    <col min="5910" max="5910" width="13.5" style="159" customWidth="1"/>
    <col min="5911" max="6144" width="8.09765625" style="159"/>
    <col min="6145" max="6145" width="8.5" style="159" bestFit="1" customWidth="1"/>
    <col min="6146" max="6146" width="5.09765625" style="159" bestFit="1" customWidth="1"/>
    <col min="6147" max="6147" width="5.19921875" style="159" customWidth="1"/>
    <col min="6148" max="6148" width="4.59765625" style="159" customWidth="1"/>
    <col min="6149" max="6150" width="7.59765625" style="159" customWidth="1"/>
    <col min="6151" max="6152" width="4.3984375" style="159" customWidth="1"/>
    <col min="6153" max="6153" width="11.69921875" style="159" customWidth="1"/>
    <col min="6154" max="6154" width="14.296875" style="159" customWidth="1"/>
    <col min="6155" max="6156" width="7.59765625" style="159" customWidth="1"/>
    <col min="6157" max="6158" width="4.3984375" style="159" customWidth="1"/>
    <col min="6159" max="6159" width="12.796875" style="159" customWidth="1"/>
    <col min="6160" max="6160" width="11.69921875" style="159" customWidth="1"/>
    <col min="6161" max="6161" width="13.3984375" style="159" customWidth="1"/>
    <col min="6162" max="6162" width="13.59765625" style="159" customWidth="1"/>
    <col min="6163" max="6163" width="59.19921875" style="159" bestFit="1" customWidth="1"/>
    <col min="6164" max="6164" width="20.5" style="159" bestFit="1" customWidth="1"/>
    <col min="6165" max="6165" width="8" style="159" customWidth="1"/>
    <col min="6166" max="6166" width="13.5" style="159" customWidth="1"/>
    <col min="6167" max="6400" width="8.09765625" style="159"/>
    <col min="6401" max="6401" width="8.5" style="159" bestFit="1" customWidth="1"/>
    <col min="6402" max="6402" width="5.09765625" style="159" bestFit="1" customWidth="1"/>
    <col min="6403" max="6403" width="5.19921875" style="159" customWidth="1"/>
    <col min="6404" max="6404" width="4.59765625" style="159" customWidth="1"/>
    <col min="6405" max="6406" width="7.59765625" style="159" customWidth="1"/>
    <col min="6407" max="6408" width="4.3984375" style="159" customWidth="1"/>
    <col min="6409" max="6409" width="11.69921875" style="159" customWidth="1"/>
    <col min="6410" max="6410" width="14.296875" style="159" customWidth="1"/>
    <col min="6411" max="6412" width="7.59765625" style="159" customWidth="1"/>
    <col min="6413" max="6414" width="4.3984375" style="159" customWidth="1"/>
    <col min="6415" max="6415" width="12.796875" style="159" customWidth="1"/>
    <col min="6416" max="6416" width="11.69921875" style="159" customWidth="1"/>
    <col min="6417" max="6417" width="13.3984375" style="159" customWidth="1"/>
    <col min="6418" max="6418" width="13.59765625" style="159" customWidth="1"/>
    <col min="6419" max="6419" width="59.19921875" style="159" bestFit="1" customWidth="1"/>
    <col min="6420" max="6420" width="20.5" style="159" bestFit="1" customWidth="1"/>
    <col min="6421" max="6421" width="8" style="159" customWidth="1"/>
    <col min="6422" max="6422" width="13.5" style="159" customWidth="1"/>
    <col min="6423" max="6656" width="8.09765625" style="159"/>
    <col min="6657" max="6657" width="8.5" style="159" bestFit="1" customWidth="1"/>
    <col min="6658" max="6658" width="5.09765625" style="159" bestFit="1" customWidth="1"/>
    <col min="6659" max="6659" width="5.19921875" style="159" customWidth="1"/>
    <col min="6660" max="6660" width="4.59765625" style="159" customWidth="1"/>
    <col min="6661" max="6662" width="7.59765625" style="159" customWidth="1"/>
    <col min="6663" max="6664" width="4.3984375" style="159" customWidth="1"/>
    <col min="6665" max="6665" width="11.69921875" style="159" customWidth="1"/>
    <col min="6666" max="6666" width="14.296875" style="159" customWidth="1"/>
    <col min="6667" max="6668" width="7.59765625" style="159" customWidth="1"/>
    <col min="6669" max="6670" width="4.3984375" style="159" customWidth="1"/>
    <col min="6671" max="6671" width="12.796875" style="159" customWidth="1"/>
    <col min="6672" max="6672" width="11.69921875" style="159" customWidth="1"/>
    <col min="6673" max="6673" width="13.3984375" style="159" customWidth="1"/>
    <col min="6674" max="6674" width="13.59765625" style="159" customWidth="1"/>
    <col min="6675" max="6675" width="59.19921875" style="159" bestFit="1" customWidth="1"/>
    <col min="6676" max="6676" width="20.5" style="159" bestFit="1" customWidth="1"/>
    <col min="6677" max="6677" width="8" style="159" customWidth="1"/>
    <col min="6678" max="6678" width="13.5" style="159" customWidth="1"/>
    <col min="6679" max="6912" width="8.09765625" style="159"/>
    <col min="6913" max="6913" width="8.5" style="159" bestFit="1" customWidth="1"/>
    <col min="6914" max="6914" width="5.09765625" style="159" bestFit="1" customWidth="1"/>
    <col min="6915" max="6915" width="5.19921875" style="159" customWidth="1"/>
    <col min="6916" max="6916" width="4.59765625" style="159" customWidth="1"/>
    <col min="6917" max="6918" width="7.59765625" style="159" customWidth="1"/>
    <col min="6919" max="6920" width="4.3984375" style="159" customWidth="1"/>
    <col min="6921" max="6921" width="11.69921875" style="159" customWidth="1"/>
    <col min="6922" max="6922" width="14.296875" style="159" customWidth="1"/>
    <col min="6923" max="6924" width="7.59765625" style="159" customWidth="1"/>
    <col min="6925" max="6926" width="4.3984375" style="159" customWidth="1"/>
    <col min="6927" max="6927" width="12.796875" style="159" customWidth="1"/>
    <col min="6928" max="6928" width="11.69921875" style="159" customWidth="1"/>
    <col min="6929" max="6929" width="13.3984375" style="159" customWidth="1"/>
    <col min="6930" max="6930" width="13.59765625" style="159" customWidth="1"/>
    <col min="6931" max="6931" width="59.19921875" style="159" bestFit="1" customWidth="1"/>
    <col min="6932" max="6932" width="20.5" style="159" bestFit="1" customWidth="1"/>
    <col min="6933" max="6933" width="8" style="159" customWidth="1"/>
    <col min="6934" max="6934" width="13.5" style="159" customWidth="1"/>
    <col min="6935" max="7168" width="8.09765625" style="159"/>
    <col min="7169" max="7169" width="8.5" style="159" bestFit="1" customWidth="1"/>
    <col min="7170" max="7170" width="5.09765625" style="159" bestFit="1" customWidth="1"/>
    <col min="7171" max="7171" width="5.19921875" style="159" customWidth="1"/>
    <col min="7172" max="7172" width="4.59765625" style="159" customWidth="1"/>
    <col min="7173" max="7174" width="7.59765625" style="159" customWidth="1"/>
    <col min="7175" max="7176" width="4.3984375" style="159" customWidth="1"/>
    <col min="7177" max="7177" width="11.69921875" style="159" customWidth="1"/>
    <col min="7178" max="7178" width="14.296875" style="159" customWidth="1"/>
    <col min="7179" max="7180" width="7.59765625" style="159" customWidth="1"/>
    <col min="7181" max="7182" width="4.3984375" style="159" customWidth="1"/>
    <col min="7183" max="7183" width="12.796875" style="159" customWidth="1"/>
    <col min="7184" max="7184" width="11.69921875" style="159" customWidth="1"/>
    <col min="7185" max="7185" width="13.3984375" style="159" customWidth="1"/>
    <col min="7186" max="7186" width="13.59765625" style="159" customWidth="1"/>
    <col min="7187" max="7187" width="59.19921875" style="159" bestFit="1" customWidth="1"/>
    <col min="7188" max="7188" width="20.5" style="159" bestFit="1" customWidth="1"/>
    <col min="7189" max="7189" width="8" style="159" customWidth="1"/>
    <col min="7190" max="7190" width="13.5" style="159" customWidth="1"/>
    <col min="7191" max="7424" width="8.09765625" style="159"/>
    <col min="7425" max="7425" width="8.5" style="159" bestFit="1" customWidth="1"/>
    <col min="7426" max="7426" width="5.09765625" style="159" bestFit="1" customWidth="1"/>
    <col min="7427" max="7427" width="5.19921875" style="159" customWidth="1"/>
    <col min="7428" max="7428" width="4.59765625" style="159" customWidth="1"/>
    <col min="7429" max="7430" width="7.59765625" style="159" customWidth="1"/>
    <col min="7431" max="7432" width="4.3984375" style="159" customWidth="1"/>
    <col min="7433" max="7433" width="11.69921875" style="159" customWidth="1"/>
    <col min="7434" max="7434" width="14.296875" style="159" customWidth="1"/>
    <col min="7435" max="7436" width="7.59765625" style="159" customWidth="1"/>
    <col min="7437" max="7438" width="4.3984375" style="159" customWidth="1"/>
    <col min="7439" max="7439" width="12.796875" style="159" customWidth="1"/>
    <col min="7440" max="7440" width="11.69921875" style="159" customWidth="1"/>
    <col min="7441" max="7441" width="13.3984375" style="159" customWidth="1"/>
    <col min="7442" max="7442" width="13.59765625" style="159" customWidth="1"/>
    <col min="7443" max="7443" width="59.19921875" style="159" bestFit="1" customWidth="1"/>
    <col min="7444" max="7444" width="20.5" style="159" bestFit="1" customWidth="1"/>
    <col min="7445" max="7445" width="8" style="159" customWidth="1"/>
    <col min="7446" max="7446" width="13.5" style="159" customWidth="1"/>
    <col min="7447" max="7680" width="8.09765625" style="159"/>
    <col min="7681" max="7681" width="8.5" style="159" bestFit="1" customWidth="1"/>
    <col min="7682" max="7682" width="5.09765625" style="159" bestFit="1" customWidth="1"/>
    <col min="7683" max="7683" width="5.19921875" style="159" customWidth="1"/>
    <col min="7684" max="7684" width="4.59765625" style="159" customWidth="1"/>
    <col min="7685" max="7686" width="7.59765625" style="159" customWidth="1"/>
    <col min="7687" max="7688" width="4.3984375" style="159" customWidth="1"/>
    <col min="7689" max="7689" width="11.69921875" style="159" customWidth="1"/>
    <col min="7690" max="7690" width="14.296875" style="159" customWidth="1"/>
    <col min="7691" max="7692" width="7.59765625" style="159" customWidth="1"/>
    <col min="7693" max="7694" width="4.3984375" style="159" customWidth="1"/>
    <col min="7695" max="7695" width="12.796875" style="159" customWidth="1"/>
    <col min="7696" max="7696" width="11.69921875" style="159" customWidth="1"/>
    <col min="7697" max="7697" width="13.3984375" style="159" customWidth="1"/>
    <col min="7698" max="7698" width="13.59765625" style="159" customWidth="1"/>
    <col min="7699" max="7699" width="59.19921875" style="159" bestFit="1" customWidth="1"/>
    <col min="7700" max="7700" width="20.5" style="159" bestFit="1" customWidth="1"/>
    <col min="7701" max="7701" width="8" style="159" customWidth="1"/>
    <col min="7702" max="7702" width="13.5" style="159" customWidth="1"/>
    <col min="7703" max="7936" width="8.09765625" style="159"/>
    <col min="7937" max="7937" width="8.5" style="159" bestFit="1" customWidth="1"/>
    <col min="7938" max="7938" width="5.09765625" style="159" bestFit="1" customWidth="1"/>
    <col min="7939" max="7939" width="5.19921875" style="159" customWidth="1"/>
    <col min="7940" max="7940" width="4.59765625" style="159" customWidth="1"/>
    <col min="7941" max="7942" width="7.59765625" style="159" customWidth="1"/>
    <col min="7943" max="7944" width="4.3984375" style="159" customWidth="1"/>
    <col min="7945" max="7945" width="11.69921875" style="159" customWidth="1"/>
    <col min="7946" max="7946" width="14.296875" style="159" customWidth="1"/>
    <col min="7947" max="7948" width="7.59765625" style="159" customWidth="1"/>
    <col min="7949" max="7950" width="4.3984375" style="159" customWidth="1"/>
    <col min="7951" max="7951" width="12.796875" style="159" customWidth="1"/>
    <col min="7952" max="7952" width="11.69921875" style="159" customWidth="1"/>
    <col min="7953" max="7953" width="13.3984375" style="159" customWidth="1"/>
    <col min="7954" max="7954" width="13.59765625" style="159" customWidth="1"/>
    <col min="7955" max="7955" width="59.19921875" style="159" bestFit="1" customWidth="1"/>
    <col min="7956" max="7956" width="20.5" style="159" bestFit="1" customWidth="1"/>
    <col min="7957" max="7957" width="8" style="159" customWidth="1"/>
    <col min="7958" max="7958" width="13.5" style="159" customWidth="1"/>
    <col min="7959" max="8192" width="8.09765625" style="159"/>
    <col min="8193" max="8193" width="8.5" style="159" bestFit="1" customWidth="1"/>
    <col min="8194" max="8194" width="5.09765625" style="159" bestFit="1" customWidth="1"/>
    <col min="8195" max="8195" width="5.19921875" style="159" customWidth="1"/>
    <col min="8196" max="8196" width="4.59765625" style="159" customWidth="1"/>
    <col min="8197" max="8198" width="7.59765625" style="159" customWidth="1"/>
    <col min="8199" max="8200" width="4.3984375" style="159" customWidth="1"/>
    <col min="8201" max="8201" width="11.69921875" style="159" customWidth="1"/>
    <col min="8202" max="8202" width="14.296875" style="159" customWidth="1"/>
    <col min="8203" max="8204" width="7.59765625" style="159" customWidth="1"/>
    <col min="8205" max="8206" width="4.3984375" style="159" customWidth="1"/>
    <col min="8207" max="8207" width="12.796875" style="159" customWidth="1"/>
    <col min="8208" max="8208" width="11.69921875" style="159" customWidth="1"/>
    <col min="8209" max="8209" width="13.3984375" style="159" customWidth="1"/>
    <col min="8210" max="8210" width="13.59765625" style="159" customWidth="1"/>
    <col min="8211" max="8211" width="59.19921875" style="159" bestFit="1" customWidth="1"/>
    <col min="8212" max="8212" width="20.5" style="159" bestFit="1" customWidth="1"/>
    <col min="8213" max="8213" width="8" style="159" customWidth="1"/>
    <col min="8214" max="8214" width="13.5" style="159" customWidth="1"/>
    <col min="8215" max="8448" width="8.09765625" style="159"/>
    <col min="8449" max="8449" width="8.5" style="159" bestFit="1" customWidth="1"/>
    <col min="8450" max="8450" width="5.09765625" style="159" bestFit="1" customWidth="1"/>
    <col min="8451" max="8451" width="5.19921875" style="159" customWidth="1"/>
    <col min="8452" max="8452" width="4.59765625" style="159" customWidth="1"/>
    <col min="8453" max="8454" width="7.59765625" style="159" customWidth="1"/>
    <col min="8455" max="8456" width="4.3984375" style="159" customWidth="1"/>
    <col min="8457" max="8457" width="11.69921875" style="159" customWidth="1"/>
    <col min="8458" max="8458" width="14.296875" style="159" customWidth="1"/>
    <col min="8459" max="8460" width="7.59765625" style="159" customWidth="1"/>
    <col min="8461" max="8462" width="4.3984375" style="159" customWidth="1"/>
    <col min="8463" max="8463" width="12.796875" style="159" customWidth="1"/>
    <col min="8464" max="8464" width="11.69921875" style="159" customWidth="1"/>
    <col min="8465" max="8465" width="13.3984375" style="159" customWidth="1"/>
    <col min="8466" max="8466" width="13.59765625" style="159" customWidth="1"/>
    <col min="8467" max="8467" width="59.19921875" style="159" bestFit="1" customWidth="1"/>
    <col min="8468" max="8468" width="20.5" style="159" bestFit="1" customWidth="1"/>
    <col min="8469" max="8469" width="8" style="159" customWidth="1"/>
    <col min="8470" max="8470" width="13.5" style="159" customWidth="1"/>
    <col min="8471" max="8704" width="8.09765625" style="159"/>
    <col min="8705" max="8705" width="8.5" style="159" bestFit="1" customWidth="1"/>
    <col min="8706" max="8706" width="5.09765625" style="159" bestFit="1" customWidth="1"/>
    <col min="8707" max="8707" width="5.19921875" style="159" customWidth="1"/>
    <col min="8708" max="8708" width="4.59765625" style="159" customWidth="1"/>
    <col min="8709" max="8710" width="7.59765625" style="159" customWidth="1"/>
    <col min="8711" max="8712" width="4.3984375" style="159" customWidth="1"/>
    <col min="8713" max="8713" width="11.69921875" style="159" customWidth="1"/>
    <col min="8714" max="8714" width="14.296875" style="159" customWidth="1"/>
    <col min="8715" max="8716" width="7.59765625" style="159" customWidth="1"/>
    <col min="8717" max="8718" width="4.3984375" style="159" customWidth="1"/>
    <col min="8719" max="8719" width="12.796875" style="159" customWidth="1"/>
    <col min="8720" max="8720" width="11.69921875" style="159" customWidth="1"/>
    <col min="8721" max="8721" width="13.3984375" style="159" customWidth="1"/>
    <col min="8722" max="8722" width="13.59765625" style="159" customWidth="1"/>
    <col min="8723" max="8723" width="59.19921875" style="159" bestFit="1" customWidth="1"/>
    <col min="8724" max="8724" width="20.5" style="159" bestFit="1" customWidth="1"/>
    <col min="8725" max="8725" width="8" style="159" customWidth="1"/>
    <col min="8726" max="8726" width="13.5" style="159" customWidth="1"/>
    <col min="8727" max="8960" width="8.09765625" style="159"/>
    <col min="8961" max="8961" width="8.5" style="159" bestFit="1" customWidth="1"/>
    <col min="8962" max="8962" width="5.09765625" style="159" bestFit="1" customWidth="1"/>
    <col min="8963" max="8963" width="5.19921875" style="159" customWidth="1"/>
    <col min="8964" max="8964" width="4.59765625" style="159" customWidth="1"/>
    <col min="8965" max="8966" width="7.59765625" style="159" customWidth="1"/>
    <col min="8967" max="8968" width="4.3984375" style="159" customWidth="1"/>
    <col min="8969" max="8969" width="11.69921875" style="159" customWidth="1"/>
    <col min="8970" max="8970" width="14.296875" style="159" customWidth="1"/>
    <col min="8971" max="8972" width="7.59765625" style="159" customWidth="1"/>
    <col min="8973" max="8974" width="4.3984375" style="159" customWidth="1"/>
    <col min="8975" max="8975" width="12.796875" style="159" customWidth="1"/>
    <col min="8976" max="8976" width="11.69921875" style="159" customWidth="1"/>
    <col min="8977" max="8977" width="13.3984375" style="159" customWidth="1"/>
    <col min="8978" max="8978" width="13.59765625" style="159" customWidth="1"/>
    <col min="8979" max="8979" width="59.19921875" style="159" bestFit="1" customWidth="1"/>
    <col min="8980" max="8980" width="20.5" style="159" bestFit="1" customWidth="1"/>
    <col min="8981" max="8981" width="8" style="159" customWidth="1"/>
    <col min="8982" max="8982" width="13.5" style="159" customWidth="1"/>
    <col min="8983" max="9216" width="8.09765625" style="159"/>
    <col min="9217" max="9217" width="8.5" style="159" bestFit="1" customWidth="1"/>
    <col min="9218" max="9218" width="5.09765625" style="159" bestFit="1" customWidth="1"/>
    <col min="9219" max="9219" width="5.19921875" style="159" customWidth="1"/>
    <col min="9220" max="9220" width="4.59765625" style="159" customWidth="1"/>
    <col min="9221" max="9222" width="7.59765625" style="159" customWidth="1"/>
    <col min="9223" max="9224" width="4.3984375" style="159" customWidth="1"/>
    <col min="9225" max="9225" width="11.69921875" style="159" customWidth="1"/>
    <col min="9226" max="9226" width="14.296875" style="159" customWidth="1"/>
    <col min="9227" max="9228" width="7.59765625" style="159" customWidth="1"/>
    <col min="9229" max="9230" width="4.3984375" style="159" customWidth="1"/>
    <col min="9231" max="9231" width="12.796875" style="159" customWidth="1"/>
    <col min="9232" max="9232" width="11.69921875" style="159" customWidth="1"/>
    <col min="9233" max="9233" width="13.3984375" style="159" customWidth="1"/>
    <col min="9234" max="9234" width="13.59765625" style="159" customWidth="1"/>
    <col min="9235" max="9235" width="59.19921875" style="159" bestFit="1" customWidth="1"/>
    <col min="9236" max="9236" width="20.5" style="159" bestFit="1" customWidth="1"/>
    <col min="9237" max="9237" width="8" style="159" customWidth="1"/>
    <col min="9238" max="9238" width="13.5" style="159" customWidth="1"/>
    <col min="9239" max="9472" width="8.09765625" style="159"/>
    <col min="9473" max="9473" width="8.5" style="159" bestFit="1" customWidth="1"/>
    <col min="9474" max="9474" width="5.09765625" style="159" bestFit="1" customWidth="1"/>
    <col min="9475" max="9475" width="5.19921875" style="159" customWidth="1"/>
    <col min="9476" max="9476" width="4.59765625" style="159" customWidth="1"/>
    <col min="9477" max="9478" width="7.59765625" style="159" customWidth="1"/>
    <col min="9479" max="9480" width="4.3984375" style="159" customWidth="1"/>
    <col min="9481" max="9481" width="11.69921875" style="159" customWidth="1"/>
    <col min="9482" max="9482" width="14.296875" style="159" customWidth="1"/>
    <col min="9483" max="9484" width="7.59765625" style="159" customWidth="1"/>
    <col min="9485" max="9486" width="4.3984375" style="159" customWidth="1"/>
    <col min="9487" max="9487" width="12.796875" style="159" customWidth="1"/>
    <col min="9488" max="9488" width="11.69921875" style="159" customWidth="1"/>
    <col min="9489" max="9489" width="13.3984375" style="159" customWidth="1"/>
    <col min="9490" max="9490" width="13.59765625" style="159" customWidth="1"/>
    <col min="9491" max="9491" width="59.19921875" style="159" bestFit="1" customWidth="1"/>
    <col min="9492" max="9492" width="20.5" style="159" bestFit="1" customWidth="1"/>
    <col min="9493" max="9493" width="8" style="159" customWidth="1"/>
    <col min="9494" max="9494" width="13.5" style="159" customWidth="1"/>
    <col min="9495" max="9728" width="8.09765625" style="159"/>
    <col min="9729" max="9729" width="8.5" style="159" bestFit="1" customWidth="1"/>
    <col min="9730" max="9730" width="5.09765625" style="159" bestFit="1" customWidth="1"/>
    <col min="9731" max="9731" width="5.19921875" style="159" customWidth="1"/>
    <col min="9732" max="9732" width="4.59765625" style="159" customWidth="1"/>
    <col min="9733" max="9734" width="7.59765625" style="159" customWidth="1"/>
    <col min="9735" max="9736" width="4.3984375" style="159" customWidth="1"/>
    <col min="9737" max="9737" width="11.69921875" style="159" customWidth="1"/>
    <col min="9738" max="9738" width="14.296875" style="159" customWidth="1"/>
    <col min="9739" max="9740" width="7.59765625" style="159" customWidth="1"/>
    <col min="9741" max="9742" width="4.3984375" style="159" customWidth="1"/>
    <col min="9743" max="9743" width="12.796875" style="159" customWidth="1"/>
    <col min="9744" max="9744" width="11.69921875" style="159" customWidth="1"/>
    <col min="9745" max="9745" width="13.3984375" style="159" customWidth="1"/>
    <col min="9746" max="9746" width="13.59765625" style="159" customWidth="1"/>
    <col min="9747" max="9747" width="59.19921875" style="159" bestFit="1" customWidth="1"/>
    <col min="9748" max="9748" width="20.5" style="159" bestFit="1" customWidth="1"/>
    <col min="9749" max="9749" width="8" style="159" customWidth="1"/>
    <col min="9750" max="9750" width="13.5" style="159" customWidth="1"/>
    <col min="9751" max="9984" width="8.09765625" style="159"/>
    <col min="9985" max="9985" width="8.5" style="159" bestFit="1" customWidth="1"/>
    <col min="9986" max="9986" width="5.09765625" style="159" bestFit="1" customWidth="1"/>
    <col min="9987" max="9987" width="5.19921875" style="159" customWidth="1"/>
    <col min="9988" max="9988" width="4.59765625" style="159" customWidth="1"/>
    <col min="9989" max="9990" width="7.59765625" style="159" customWidth="1"/>
    <col min="9991" max="9992" width="4.3984375" style="159" customWidth="1"/>
    <col min="9993" max="9993" width="11.69921875" style="159" customWidth="1"/>
    <col min="9994" max="9994" width="14.296875" style="159" customWidth="1"/>
    <col min="9995" max="9996" width="7.59765625" style="159" customWidth="1"/>
    <col min="9997" max="9998" width="4.3984375" style="159" customWidth="1"/>
    <col min="9999" max="9999" width="12.796875" style="159" customWidth="1"/>
    <col min="10000" max="10000" width="11.69921875" style="159" customWidth="1"/>
    <col min="10001" max="10001" width="13.3984375" style="159" customWidth="1"/>
    <col min="10002" max="10002" width="13.59765625" style="159" customWidth="1"/>
    <col min="10003" max="10003" width="59.19921875" style="159" bestFit="1" customWidth="1"/>
    <col min="10004" max="10004" width="20.5" style="159" bestFit="1" customWidth="1"/>
    <col min="10005" max="10005" width="8" style="159" customWidth="1"/>
    <col min="10006" max="10006" width="13.5" style="159" customWidth="1"/>
    <col min="10007" max="10240" width="8.09765625" style="159"/>
    <col min="10241" max="10241" width="8.5" style="159" bestFit="1" customWidth="1"/>
    <col min="10242" max="10242" width="5.09765625" style="159" bestFit="1" customWidth="1"/>
    <col min="10243" max="10243" width="5.19921875" style="159" customWidth="1"/>
    <col min="10244" max="10244" width="4.59765625" style="159" customWidth="1"/>
    <col min="10245" max="10246" width="7.59765625" style="159" customWidth="1"/>
    <col min="10247" max="10248" width="4.3984375" style="159" customWidth="1"/>
    <col min="10249" max="10249" width="11.69921875" style="159" customWidth="1"/>
    <col min="10250" max="10250" width="14.296875" style="159" customWidth="1"/>
    <col min="10251" max="10252" width="7.59765625" style="159" customWidth="1"/>
    <col min="10253" max="10254" width="4.3984375" style="159" customWidth="1"/>
    <col min="10255" max="10255" width="12.796875" style="159" customWidth="1"/>
    <col min="10256" max="10256" width="11.69921875" style="159" customWidth="1"/>
    <col min="10257" max="10257" width="13.3984375" style="159" customWidth="1"/>
    <col min="10258" max="10258" width="13.59765625" style="159" customWidth="1"/>
    <col min="10259" max="10259" width="59.19921875" style="159" bestFit="1" customWidth="1"/>
    <col min="10260" max="10260" width="20.5" style="159" bestFit="1" customWidth="1"/>
    <col min="10261" max="10261" width="8" style="159" customWidth="1"/>
    <col min="10262" max="10262" width="13.5" style="159" customWidth="1"/>
    <col min="10263" max="10496" width="8.09765625" style="159"/>
    <col min="10497" max="10497" width="8.5" style="159" bestFit="1" customWidth="1"/>
    <col min="10498" max="10498" width="5.09765625" style="159" bestFit="1" customWidth="1"/>
    <col min="10499" max="10499" width="5.19921875" style="159" customWidth="1"/>
    <col min="10500" max="10500" width="4.59765625" style="159" customWidth="1"/>
    <col min="10501" max="10502" width="7.59765625" style="159" customWidth="1"/>
    <col min="10503" max="10504" width="4.3984375" style="159" customWidth="1"/>
    <col min="10505" max="10505" width="11.69921875" style="159" customWidth="1"/>
    <col min="10506" max="10506" width="14.296875" style="159" customWidth="1"/>
    <col min="10507" max="10508" width="7.59765625" style="159" customWidth="1"/>
    <col min="10509" max="10510" width="4.3984375" style="159" customWidth="1"/>
    <col min="10511" max="10511" width="12.796875" style="159" customWidth="1"/>
    <col min="10512" max="10512" width="11.69921875" style="159" customWidth="1"/>
    <col min="10513" max="10513" width="13.3984375" style="159" customWidth="1"/>
    <col min="10514" max="10514" width="13.59765625" style="159" customWidth="1"/>
    <col min="10515" max="10515" width="59.19921875" style="159" bestFit="1" customWidth="1"/>
    <col min="10516" max="10516" width="20.5" style="159" bestFit="1" customWidth="1"/>
    <col min="10517" max="10517" width="8" style="159" customWidth="1"/>
    <col min="10518" max="10518" width="13.5" style="159" customWidth="1"/>
    <col min="10519" max="10752" width="8.09765625" style="159"/>
    <col min="10753" max="10753" width="8.5" style="159" bestFit="1" customWidth="1"/>
    <col min="10754" max="10754" width="5.09765625" style="159" bestFit="1" customWidth="1"/>
    <col min="10755" max="10755" width="5.19921875" style="159" customWidth="1"/>
    <col min="10756" max="10756" width="4.59765625" style="159" customWidth="1"/>
    <col min="10757" max="10758" width="7.59765625" style="159" customWidth="1"/>
    <col min="10759" max="10760" width="4.3984375" style="159" customWidth="1"/>
    <col min="10761" max="10761" width="11.69921875" style="159" customWidth="1"/>
    <col min="10762" max="10762" width="14.296875" style="159" customWidth="1"/>
    <col min="10763" max="10764" width="7.59765625" style="159" customWidth="1"/>
    <col min="10765" max="10766" width="4.3984375" style="159" customWidth="1"/>
    <col min="10767" max="10767" width="12.796875" style="159" customWidth="1"/>
    <col min="10768" max="10768" width="11.69921875" style="159" customWidth="1"/>
    <col min="10769" max="10769" width="13.3984375" style="159" customWidth="1"/>
    <col min="10770" max="10770" width="13.59765625" style="159" customWidth="1"/>
    <col min="10771" max="10771" width="59.19921875" style="159" bestFit="1" customWidth="1"/>
    <col min="10772" max="10772" width="20.5" style="159" bestFit="1" customWidth="1"/>
    <col min="10773" max="10773" width="8" style="159" customWidth="1"/>
    <col min="10774" max="10774" width="13.5" style="159" customWidth="1"/>
    <col min="10775" max="11008" width="8.09765625" style="159"/>
    <col min="11009" max="11009" width="8.5" style="159" bestFit="1" customWidth="1"/>
    <col min="11010" max="11010" width="5.09765625" style="159" bestFit="1" customWidth="1"/>
    <col min="11011" max="11011" width="5.19921875" style="159" customWidth="1"/>
    <col min="11012" max="11012" width="4.59765625" style="159" customWidth="1"/>
    <col min="11013" max="11014" width="7.59765625" style="159" customWidth="1"/>
    <col min="11015" max="11016" width="4.3984375" style="159" customWidth="1"/>
    <col min="11017" max="11017" width="11.69921875" style="159" customWidth="1"/>
    <col min="11018" max="11018" width="14.296875" style="159" customWidth="1"/>
    <col min="11019" max="11020" width="7.59765625" style="159" customWidth="1"/>
    <col min="11021" max="11022" width="4.3984375" style="159" customWidth="1"/>
    <col min="11023" max="11023" width="12.796875" style="159" customWidth="1"/>
    <col min="11024" max="11024" width="11.69921875" style="159" customWidth="1"/>
    <col min="11025" max="11025" width="13.3984375" style="159" customWidth="1"/>
    <col min="11026" max="11026" width="13.59765625" style="159" customWidth="1"/>
    <col min="11027" max="11027" width="59.19921875" style="159" bestFit="1" customWidth="1"/>
    <col min="11028" max="11028" width="20.5" style="159" bestFit="1" customWidth="1"/>
    <col min="11029" max="11029" width="8" style="159" customWidth="1"/>
    <col min="11030" max="11030" width="13.5" style="159" customWidth="1"/>
    <col min="11031" max="11264" width="8.09765625" style="159"/>
    <col min="11265" max="11265" width="8.5" style="159" bestFit="1" customWidth="1"/>
    <col min="11266" max="11266" width="5.09765625" style="159" bestFit="1" customWidth="1"/>
    <col min="11267" max="11267" width="5.19921875" style="159" customWidth="1"/>
    <col min="11268" max="11268" width="4.59765625" style="159" customWidth="1"/>
    <col min="11269" max="11270" width="7.59765625" style="159" customWidth="1"/>
    <col min="11271" max="11272" width="4.3984375" style="159" customWidth="1"/>
    <col min="11273" max="11273" width="11.69921875" style="159" customWidth="1"/>
    <col min="11274" max="11274" width="14.296875" style="159" customWidth="1"/>
    <col min="11275" max="11276" width="7.59765625" style="159" customWidth="1"/>
    <col min="11277" max="11278" width="4.3984375" style="159" customWidth="1"/>
    <col min="11279" max="11279" width="12.796875" style="159" customWidth="1"/>
    <col min="11280" max="11280" width="11.69921875" style="159" customWidth="1"/>
    <col min="11281" max="11281" width="13.3984375" style="159" customWidth="1"/>
    <col min="11282" max="11282" width="13.59765625" style="159" customWidth="1"/>
    <col min="11283" max="11283" width="59.19921875" style="159" bestFit="1" customWidth="1"/>
    <col min="11284" max="11284" width="20.5" style="159" bestFit="1" customWidth="1"/>
    <col min="11285" max="11285" width="8" style="159" customWidth="1"/>
    <col min="11286" max="11286" width="13.5" style="159" customWidth="1"/>
    <col min="11287" max="11520" width="8.09765625" style="159"/>
    <col min="11521" max="11521" width="8.5" style="159" bestFit="1" customWidth="1"/>
    <col min="11522" max="11522" width="5.09765625" style="159" bestFit="1" customWidth="1"/>
    <col min="11523" max="11523" width="5.19921875" style="159" customWidth="1"/>
    <col min="11524" max="11524" width="4.59765625" style="159" customWidth="1"/>
    <col min="11525" max="11526" width="7.59765625" style="159" customWidth="1"/>
    <col min="11527" max="11528" width="4.3984375" style="159" customWidth="1"/>
    <col min="11529" max="11529" width="11.69921875" style="159" customWidth="1"/>
    <col min="11530" max="11530" width="14.296875" style="159" customWidth="1"/>
    <col min="11531" max="11532" width="7.59765625" style="159" customWidth="1"/>
    <col min="11533" max="11534" width="4.3984375" style="159" customWidth="1"/>
    <col min="11535" max="11535" width="12.796875" style="159" customWidth="1"/>
    <col min="11536" max="11536" width="11.69921875" style="159" customWidth="1"/>
    <col min="11537" max="11537" width="13.3984375" style="159" customWidth="1"/>
    <col min="11538" max="11538" width="13.59765625" style="159" customWidth="1"/>
    <col min="11539" max="11539" width="59.19921875" style="159" bestFit="1" customWidth="1"/>
    <col min="11540" max="11540" width="20.5" style="159" bestFit="1" customWidth="1"/>
    <col min="11541" max="11541" width="8" style="159" customWidth="1"/>
    <col min="11542" max="11542" width="13.5" style="159" customWidth="1"/>
    <col min="11543" max="11776" width="8.09765625" style="159"/>
    <col min="11777" max="11777" width="8.5" style="159" bestFit="1" customWidth="1"/>
    <col min="11778" max="11778" width="5.09765625" style="159" bestFit="1" customWidth="1"/>
    <col min="11779" max="11779" width="5.19921875" style="159" customWidth="1"/>
    <col min="11780" max="11780" width="4.59765625" style="159" customWidth="1"/>
    <col min="11781" max="11782" width="7.59765625" style="159" customWidth="1"/>
    <col min="11783" max="11784" width="4.3984375" style="159" customWidth="1"/>
    <col min="11785" max="11785" width="11.69921875" style="159" customWidth="1"/>
    <col min="11786" max="11786" width="14.296875" style="159" customWidth="1"/>
    <col min="11787" max="11788" width="7.59765625" style="159" customWidth="1"/>
    <col min="11789" max="11790" width="4.3984375" style="159" customWidth="1"/>
    <col min="11791" max="11791" width="12.796875" style="159" customWidth="1"/>
    <col min="11792" max="11792" width="11.69921875" style="159" customWidth="1"/>
    <col min="11793" max="11793" width="13.3984375" style="159" customWidth="1"/>
    <col min="11794" max="11794" width="13.59765625" style="159" customWidth="1"/>
    <col min="11795" max="11795" width="59.19921875" style="159" bestFit="1" customWidth="1"/>
    <col min="11796" max="11796" width="20.5" style="159" bestFit="1" customWidth="1"/>
    <col min="11797" max="11797" width="8" style="159" customWidth="1"/>
    <col min="11798" max="11798" width="13.5" style="159" customWidth="1"/>
    <col min="11799" max="12032" width="8.09765625" style="159"/>
    <col min="12033" max="12033" width="8.5" style="159" bestFit="1" customWidth="1"/>
    <col min="12034" max="12034" width="5.09765625" style="159" bestFit="1" customWidth="1"/>
    <col min="12035" max="12035" width="5.19921875" style="159" customWidth="1"/>
    <col min="12036" max="12036" width="4.59765625" style="159" customWidth="1"/>
    <col min="12037" max="12038" width="7.59765625" style="159" customWidth="1"/>
    <col min="12039" max="12040" width="4.3984375" style="159" customWidth="1"/>
    <col min="12041" max="12041" width="11.69921875" style="159" customWidth="1"/>
    <col min="12042" max="12042" width="14.296875" style="159" customWidth="1"/>
    <col min="12043" max="12044" width="7.59765625" style="159" customWidth="1"/>
    <col min="12045" max="12046" width="4.3984375" style="159" customWidth="1"/>
    <col min="12047" max="12047" width="12.796875" style="159" customWidth="1"/>
    <col min="12048" max="12048" width="11.69921875" style="159" customWidth="1"/>
    <col min="12049" max="12049" width="13.3984375" style="159" customWidth="1"/>
    <col min="12050" max="12050" width="13.59765625" style="159" customWidth="1"/>
    <col min="12051" max="12051" width="59.19921875" style="159" bestFit="1" customWidth="1"/>
    <col min="12052" max="12052" width="20.5" style="159" bestFit="1" customWidth="1"/>
    <col min="12053" max="12053" width="8" style="159" customWidth="1"/>
    <col min="12054" max="12054" width="13.5" style="159" customWidth="1"/>
    <col min="12055" max="12288" width="8.09765625" style="159"/>
    <col min="12289" max="12289" width="8.5" style="159" bestFit="1" customWidth="1"/>
    <col min="12290" max="12290" width="5.09765625" style="159" bestFit="1" customWidth="1"/>
    <col min="12291" max="12291" width="5.19921875" style="159" customWidth="1"/>
    <col min="12292" max="12292" width="4.59765625" style="159" customWidth="1"/>
    <col min="12293" max="12294" width="7.59765625" style="159" customWidth="1"/>
    <col min="12295" max="12296" width="4.3984375" style="159" customWidth="1"/>
    <col min="12297" max="12297" width="11.69921875" style="159" customWidth="1"/>
    <col min="12298" max="12298" width="14.296875" style="159" customWidth="1"/>
    <col min="12299" max="12300" width="7.59765625" style="159" customWidth="1"/>
    <col min="12301" max="12302" width="4.3984375" style="159" customWidth="1"/>
    <col min="12303" max="12303" width="12.796875" style="159" customWidth="1"/>
    <col min="12304" max="12304" width="11.69921875" style="159" customWidth="1"/>
    <col min="12305" max="12305" width="13.3984375" style="159" customWidth="1"/>
    <col min="12306" max="12306" width="13.59765625" style="159" customWidth="1"/>
    <col min="12307" max="12307" width="59.19921875" style="159" bestFit="1" customWidth="1"/>
    <col min="12308" max="12308" width="20.5" style="159" bestFit="1" customWidth="1"/>
    <col min="12309" max="12309" width="8" style="159" customWidth="1"/>
    <col min="12310" max="12310" width="13.5" style="159" customWidth="1"/>
    <col min="12311" max="12544" width="8.09765625" style="159"/>
    <col min="12545" max="12545" width="8.5" style="159" bestFit="1" customWidth="1"/>
    <col min="12546" max="12546" width="5.09765625" style="159" bestFit="1" customWidth="1"/>
    <col min="12547" max="12547" width="5.19921875" style="159" customWidth="1"/>
    <col min="12548" max="12548" width="4.59765625" style="159" customWidth="1"/>
    <col min="12549" max="12550" width="7.59765625" style="159" customWidth="1"/>
    <col min="12551" max="12552" width="4.3984375" style="159" customWidth="1"/>
    <col min="12553" max="12553" width="11.69921875" style="159" customWidth="1"/>
    <col min="12554" max="12554" width="14.296875" style="159" customWidth="1"/>
    <col min="12555" max="12556" width="7.59765625" style="159" customWidth="1"/>
    <col min="12557" max="12558" width="4.3984375" style="159" customWidth="1"/>
    <col min="12559" max="12559" width="12.796875" style="159" customWidth="1"/>
    <col min="12560" max="12560" width="11.69921875" style="159" customWidth="1"/>
    <col min="12561" max="12561" width="13.3984375" style="159" customWidth="1"/>
    <col min="12562" max="12562" width="13.59765625" style="159" customWidth="1"/>
    <col min="12563" max="12563" width="59.19921875" style="159" bestFit="1" customWidth="1"/>
    <col min="12564" max="12564" width="20.5" style="159" bestFit="1" customWidth="1"/>
    <col min="12565" max="12565" width="8" style="159" customWidth="1"/>
    <col min="12566" max="12566" width="13.5" style="159" customWidth="1"/>
    <col min="12567" max="12800" width="8.09765625" style="159"/>
    <col min="12801" max="12801" width="8.5" style="159" bestFit="1" customWidth="1"/>
    <col min="12802" max="12802" width="5.09765625" style="159" bestFit="1" customWidth="1"/>
    <col min="12803" max="12803" width="5.19921875" style="159" customWidth="1"/>
    <col min="12804" max="12804" width="4.59765625" style="159" customWidth="1"/>
    <col min="12805" max="12806" width="7.59765625" style="159" customWidth="1"/>
    <col min="12807" max="12808" width="4.3984375" style="159" customWidth="1"/>
    <col min="12809" max="12809" width="11.69921875" style="159" customWidth="1"/>
    <col min="12810" max="12810" width="14.296875" style="159" customWidth="1"/>
    <col min="12811" max="12812" width="7.59765625" style="159" customWidth="1"/>
    <col min="12813" max="12814" width="4.3984375" style="159" customWidth="1"/>
    <col min="12815" max="12815" width="12.796875" style="159" customWidth="1"/>
    <col min="12816" max="12816" width="11.69921875" style="159" customWidth="1"/>
    <col min="12817" max="12817" width="13.3984375" style="159" customWidth="1"/>
    <col min="12818" max="12818" width="13.59765625" style="159" customWidth="1"/>
    <col min="12819" max="12819" width="59.19921875" style="159" bestFit="1" customWidth="1"/>
    <col min="12820" max="12820" width="20.5" style="159" bestFit="1" customWidth="1"/>
    <col min="12821" max="12821" width="8" style="159" customWidth="1"/>
    <col min="12822" max="12822" width="13.5" style="159" customWidth="1"/>
    <col min="12823" max="13056" width="8.09765625" style="159"/>
    <col min="13057" max="13057" width="8.5" style="159" bestFit="1" customWidth="1"/>
    <col min="13058" max="13058" width="5.09765625" style="159" bestFit="1" customWidth="1"/>
    <col min="13059" max="13059" width="5.19921875" style="159" customWidth="1"/>
    <col min="13060" max="13060" width="4.59765625" style="159" customWidth="1"/>
    <col min="13061" max="13062" width="7.59765625" style="159" customWidth="1"/>
    <col min="13063" max="13064" width="4.3984375" style="159" customWidth="1"/>
    <col min="13065" max="13065" width="11.69921875" style="159" customWidth="1"/>
    <col min="13066" max="13066" width="14.296875" style="159" customWidth="1"/>
    <col min="13067" max="13068" width="7.59765625" style="159" customWidth="1"/>
    <col min="13069" max="13070" width="4.3984375" style="159" customWidth="1"/>
    <col min="13071" max="13071" width="12.796875" style="159" customWidth="1"/>
    <col min="13072" max="13072" width="11.69921875" style="159" customWidth="1"/>
    <col min="13073" max="13073" width="13.3984375" style="159" customWidth="1"/>
    <col min="13074" max="13074" width="13.59765625" style="159" customWidth="1"/>
    <col min="13075" max="13075" width="59.19921875" style="159" bestFit="1" customWidth="1"/>
    <col min="13076" max="13076" width="20.5" style="159" bestFit="1" customWidth="1"/>
    <col min="13077" max="13077" width="8" style="159" customWidth="1"/>
    <col min="13078" max="13078" width="13.5" style="159" customWidth="1"/>
    <col min="13079" max="13312" width="8.09765625" style="159"/>
    <col min="13313" max="13313" width="8.5" style="159" bestFit="1" customWidth="1"/>
    <col min="13314" max="13314" width="5.09765625" style="159" bestFit="1" customWidth="1"/>
    <col min="13315" max="13315" width="5.19921875" style="159" customWidth="1"/>
    <col min="13316" max="13316" width="4.59765625" style="159" customWidth="1"/>
    <col min="13317" max="13318" width="7.59765625" style="159" customWidth="1"/>
    <col min="13319" max="13320" width="4.3984375" style="159" customWidth="1"/>
    <col min="13321" max="13321" width="11.69921875" style="159" customWidth="1"/>
    <col min="13322" max="13322" width="14.296875" style="159" customWidth="1"/>
    <col min="13323" max="13324" width="7.59765625" style="159" customWidth="1"/>
    <col min="13325" max="13326" width="4.3984375" style="159" customWidth="1"/>
    <col min="13327" max="13327" width="12.796875" style="159" customWidth="1"/>
    <col min="13328" max="13328" width="11.69921875" style="159" customWidth="1"/>
    <col min="13329" max="13329" width="13.3984375" style="159" customWidth="1"/>
    <col min="13330" max="13330" width="13.59765625" style="159" customWidth="1"/>
    <col min="13331" max="13331" width="59.19921875" style="159" bestFit="1" customWidth="1"/>
    <col min="13332" max="13332" width="20.5" style="159" bestFit="1" customWidth="1"/>
    <col min="13333" max="13333" width="8" style="159" customWidth="1"/>
    <col min="13334" max="13334" width="13.5" style="159" customWidth="1"/>
    <col min="13335" max="13568" width="8.09765625" style="159"/>
    <col min="13569" max="13569" width="8.5" style="159" bestFit="1" customWidth="1"/>
    <col min="13570" max="13570" width="5.09765625" style="159" bestFit="1" customWidth="1"/>
    <col min="13571" max="13571" width="5.19921875" style="159" customWidth="1"/>
    <col min="13572" max="13572" width="4.59765625" style="159" customWidth="1"/>
    <col min="13573" max="13574" width="7.59765625" style="159" customWidth="1"/>
    <col min="13575" max="13576" width="4.3984375" style="159" customWidth="1"/>
    <col min="13577" max="13577" width="11.69921875" style="159" customWidth="1"/>
    <col min="13578" max="13578" width="14.296875" style="159" customWidth="1"/>
    <col min="13579" max="13580" width="7.59765625" style="159" customWidth="1"/>
    <col min="13581" max="13582" width="4.3984375" style="159" customWidth="1"/>
    <col min="13583" max="13583" width="12.796875" style="159" customWidth="1"/>
    <col min="13584" max="13584" width="11.69921875" style="159" customWidth="1"/>
    <col min="13585" max="13585" width="13.3984375" style="159" customWidth="1"/>
    <col min="13586" max="13586" width="13.59765625" style="159" customWidth="1"/>
    <col min="13587" max="13587" width="59.19921875" style="159" bestFit="1" customWidth="1"/>
    <col min="13588" max="13588" width="20.5" style="159" bestFit="1" customWidth="1"/>
    <col min="13589" max="13589" width="8" style="159" customWidth="1"/>
    <col min="13590" max="13590" width="13.5" style="159" customWidth="1"/>
    <col min="13591" max="13824" width="8.09765625" style="159"/>
    <col min="13825" max="13825" width="8.5" style="159" bestFit="1" customWidth="1"/>
    <col min="13826" max="13826" width="5.09765625" style="159" bestFit="1" customWidth="1"/>
    <col min="13827" max="13827" width="5.19921875" style="159" customWidth="1"/>
    <col min="13828" max="13828" width="4.59765625" style="159" customWidth="1"/>
    <col min="13829" max="13830" width="7.59765625" style="159" customWidth="1"/>
    <col min="13831" max="13832" width="4.3984375" style="159" customWidth="1"/>
    <col min="13833" max="13833" width="11.69921875" style="159" customWidth="1"/>
    <col min="13834" max="13834" width="14.296875" style="159" customWidth="1"/>
    <col min="13835" max="13836" width="7.59765625" style="159" customWidth="1"/>
    <col min="13837" max="13838" width="4.3984375" style="159" customWidth="1"/>
    <col min="13839" max="13839" width="12.796875" style="159" customWidth="1"/>
    <col min="13840" max="13840" width="11.69921875" style="159" customWidth="1"/>
    <col min="13841" max="13841" width="13.3984375" style="159" customWidth="1"/>
    <col min="13842" max="13842" width="13.59765625" style="159" customWidth="1"/>
    <col min="13843" max="13843" width="59.19921875" style="159" bestFit="1" customWidth="1"/>
    <col min="13844" max="13844" width="20.5" style="159" bestFit="1" customWidth="1"/>
    <col min="13845" max="13845" width="8" style="159" customWidth="1"/>
    <col min="13846" max="13846" width="13.5" style="159" customWidth="1"/>
    <col min="13847" max="14080" width="8.09765625" style="159"/>
    <col min="14081" max="14081" width="8.5" style="159" bestFit="1" customWidth="1"/>
    <col min="14082" max="14082" width="5.09765625" style="159" bestFit="1" customWidth="1"/>
    <col min="14083" max="14083" width="5.19921875" style="159" customWidth="1"/>
    <col min="14084" max="14084" width="4.59765625" style="159" customWidth="1"/>
    <col min="14085" max="14086" width="7.59765625" style="159" customWidth="1"/>
    <col min="14087" max="14088" width="4.3984375" style="159" customWidth="1"/>
    <col min="14089" max="14089" width="11.69921875" style="159" customWidth="1"/>
    <col min="14090" max="14090" width="14.296875" style="159" customWidth="1"/>
    <col min="14091" max="14092" width="7.59765625" style="159" customWidth="1"/>
    <col min="14093" max="14094" width="4.3984375" style="159" customWidth="1"/>
    <col min="14095" max="14095" width="12.796875" style="159" customWidth="1"/>
    <col min="14096" max="14096" width="11.69921875" style="159" customWidth="1"/>
    <col min="14097" max="14097" width="13.3984375" style="159" customWidth="1"/>
    <col min="14098" max="14098" width="13.59765625" style="159" customWidth="1"/>
    <col min="14099" max="14099" width="59.19921875" style="159" bestFit="1" customWidth="1"/>
    <col min="14100" max="14100" width="20.5" style="159" bestFit="1" customWidth="1"/>
    <col min="14101" max="14101" width="8" style="159" customWidth="1"/>
    <col min="14102" max="14102" width="13.5" style="159" customWidth="1"/>
    <col min="14103" max="14336" width="8.09765625" style="159"/>
    <col min="14337" max="14337" width="8.5" style="159" bestFit="1" customWidth="1"/>
    <col min="14338" max="14338" width="5.09765625" style="159" bestFit="1" customWidth="1"/>
    <col min="14339" max="14339" width="5.19921875" style="159" customWidth="1"/>
    <col min="14340" max="14340" width="4.59765625" style="159" customWidth="1"/>
    <col min="14341" max="14342" width="7.59765625" style="159" customWidth="1"/>
    <col min="14343" max="14344" width="4.3984375" style="159" customWidth="1"/>
    <col min="14345" max="14345" width="11.69921875" style="159" customWidth="1"/>
    <col min="14346" max="14346" width="14.296875" style="159" customWidth="1"/>
    <col min="14347" max="14348" width="7.59765625" style="159" customWidth="1"/>
    <col min="14349" max="14350" width="4.3984375" style="159" customWidth="1"/>
    <col min="14351" max="14351" width="12.796875" style="159" customWidth="1"/>
    <col min="14352" max="14352" width="11.69921875" style="159" customWidth="1"/>
    <col min="14353" max="14353" width="13.3984375" style="159" customWidth="1"/>
    <col min="14354" max="14354" width="13.59765625" style="159" customWidth="1"/>
    <col min="14355" max="14355" width="59.19921875" style="159" bestFit="1" customWidth="1"/>
    <col min="14356" max="14356" width="20.5" style="159" bestFit="1" customWidth="1"/>
    <col min="14357" max="14357" width="8" style="159" customWidth="1"/>
    <col min="14358" max="14358" width="13.5" style="159" customWidth="1"/>
    <col min="14359" max="14592" width="8.09765625" style="159"/>
    <col min="14593" max="14593" width="8.5" style="159" bestFit="1" customWidth="1"/>
    <col min="14594" max="14594" width="5.09765625" style="159" bestFit="1" customWidth="1"/>
    <col min="14595" max="14595" width="5.19921875" style="159" customWidth="1"/>
    <col min="14596" max="14596" width="4.59765625" style="159" customWidth="1"/>
    <col min="14597" max="14598" width="7.59765625" style="159" customWidth="1"/>
    <col min="14599" max="14600" width="4.3984375" style="159" customWidth="1"/>
    <col min="14601" max="14601" width="11.69921875" style="159" customWidth="1"/>
    <col min="14602" max="14602" width="14.296875" style="159" customWidth="1"/>
    <col min="14603" max="14604" width="7.59765625" style="159" customWidth="1"/>
    <col min="14605" max="14606" width="4.3984375" style="159" customWidth="1"/>
    <col min="14607" max="14607" width="12.796875" style="159" customWidth="1"/>
    <col min="14608" max="14608" width="11.69921875" style="159" customWidth="1"/>
    <col min="14609" max="14609" width="13.3984375" style="159" customWidth="1"/>
    <col min="14610" max="14610" width="13.59765625" style="159" customWidth="1"/>
    <col min="14611" max="14611" width="59.19921875" style="159" bestFit="1" customWidth="1"/>
    <col min="14612" max="14612" width="20.5" style="159" bestFit="1" customWidth="1"/>
    <col min="14613" max="14613" width="8" style="159" customWidth="1"/>
    <col min="14614" max="14614" width="13.5" style="159" customWidth="1"/>
    <col min="14615" max="14848" width="8.09765625" style="159"/>
    <col min="14849" max="14849" width="8.5" style="159" bestFit="1" customWidth="1"/>
    <col min="14850" max="14850" width="5.09765625" style="159" bestFit="1" customWidth="1"/>
    <col min="14851" max="14851" width="5.19921875" style="159" customWidth="1"/>
    <col min="14852" max="14852" width="4.59765625" style="159" customWidth="1"/>
    <col min="14853" max="14854" width="7.59765625" style="159" customWidth="1"/>
    <col min="14855" max="14856" width="4.3984375" style="159" customWidth="1"/>
    <col min="14857" max="14857" width="11.69921875" style="159" customWidth="1"/>
    <col min="14858" max="14858" width="14.296875" style="159" customWidth="1"/>
    <col min="14859" max="14860" width="7.59765625" style="159" customWidth="1"/>
    <col min="14861" max="14862" width="4.3984375" style="159" customWidth="1"/>
    <col min="14863" max="14863" width="12.796875" style="159" customWidth="1"/>
    <col min="14864" max="14864" width="11.69921875" style="159" customWidth="1"/>
    <col min="14865" max="14865" width="13.3984375" style="159" customWidth="1"/>
    <col min="14866" max="14866" width="13.59765625" style="159" customWidth="1"/>
    <col min="14867" max="14867" width="59.19921875" style="159" bestFit="1" customWidth="1"/>
    <col min="14868" max="14868" width="20.5" style="159" bestFit="1" customWidth="1"/>
    <col min="14869" max="14869" width="8" style="159" customWidth="1"/>
    <col min="14870" max="14870" width="13.5" style="159" customWidth="1"/>
    <col min="14871" max="15104" width="8.09765625" style="159"/>
    <col min="15105" max="15105" width="8.5" style="159" bestFit="1" customWidth="1"/>
    <col min="15106" max="15106" width="5.09765625" style="159" bestFit="1" customWidth="1"/>
    <col min="15107" max="15107" width="5.19921875" style="159" customWidth="1"/>
    <col min="15108" max="15108" width="4.59765625" style="159" customWidth="1"/>
    <col min="15109" max="15110" width="7.59765625" style="159" customWidth="1"/>
    <col min="15111" max="15112" width="4.3984375" style="159" customWidth="1"/>
    <col min="15113" max="15113" width="11.69921875" style="159" customWidth="1"/>
    <col min="15114" max="15114" width="14.296875" style="159" customWidth="1"/>
    <col min="15115" max="15116" width="7.59765625" style="159" customWidth="1"/>
    <col min="15117" max="15118" width="4.3984375" style="159" customWidth="1"/>
    <col min="15119" max="15119" width="12.796875" style="159" customWidth="1"/>
    <col min="15120" max="15120" width="11.69921875" style="159" customWidth="1"/>
    <col min="15121" max="15121" width="13.3984375" style="159" customWidth="1"/>
    <col min="15122" max="15122" width="13.59765625" style="159" customWidth="1"/>
    <col min="15123" max="15123" width="59.19921875" style="159" bestFit="1" customWidth="1"/>
    <col min="15124" max="15124" width="20.5" style="159" bestFit="1" customWidth="1"/>
    <col min="15125" max="15125" width="8" style="159" customWidth="1"/>
    <col min="15126" max="15126" width="13.5" style="159" customWidth="1"/>
    <col min="15127" max="15360" width="8.09765625" style="159"/>
    <col min="15361" max="15361" width="8.5" style="159" bestFit="1" customWidth="1"/>
    <col min="15362" max="15362" width="5.09765625" style="159" bestFit="1" customWidth="1"/>
    <col min="15363" max="15363" width="5.19921875" style="159" customWidth="1"/>
    <col min="15364" max="15364" width="4.59765625" style="159" customWidth="1"/>
    <col min="15365" max="15366" width="7.59765625" style="159" customWidth="1"/>
    <col min="15367" max="15368" width="4.3984375" style="159" customWidth="1"/>
    <col min="15369" max="15369" width="11.69921875" style="159" customWidth="1"/>
    <col min="15370" max="15370" width="14.296875" style="159" customWidth="1"/>
    <col min="15371" max="15372" width="7.59765625" style="159" customWidth="1"/>
    <col min="15373" max="15374" width="4.3984375" style="159" customWidth="1"/>
    <col min="15375" max="15375" width="12.796875" style="159" customWidth="1"/>
    <col min="15376" max="15376" width="11.69921875" style="159" customWidth="1"/>
    <col min="15377" max="15377" width="13.3984375" style="159" customWidth="1"/>
    <col min="15378" max="15378" width="13.59765625" style="159" customWidth="1"/>
    <col min="15379" max="15379" width="59.19921875" style="159" bestFit="1" customWidth="1"/>
    <col min="15380" max="15380" width="20.5" style="159" bestFit="1" customWidth="1"/>
    <col min="15381" max="15381" width="8" style="159" customWidth="1"/>
    <col min="15382" max="15382" width="13.5" style="159" customWidth="1"/>
    <col min="15383" max="15616" width="8.09765625" style="159"/>
    <col min="15617" max="15617" width="8.5" style="159" bestFit="1" customWidth="1"/>
    <col min="15618" max="15618" width="5.09765625" style="159" bestFit="1" customWidth="1"/>
    <col min="15619" max="15619" width="5.19921875" style="159" customWidth="1"/>
    <col min="15620" max="15620" width="4.59765625" style="159" customWidth="1"/>
    <col min="15621" max="15622" width="7.59765625" style="159" customWidth="1"/>
    <col min="15623" max="15624" width="4.3984375" style="159" customWidth="1"/>
    <col min="15625" max="15625" width="11.69921875" style="159" customWidth="1"/>
    <col min="15626" max="15626" width="14.296875" style="159" customWidth="1"/>
    <col min="15627" max="15628" width="7.59765625" style="159" customWidth="1"/>
    <col min="15629" max="15630" width="4.3984375" style="159" customWidth="1"/>
    <col min="15631" max="15631" width="12.796875" style="159" customWidth="1"/>
    <col min="15632" max="15632" width="11.69921875" style="159" customWidth="1"/>
    <col min="15633" max="15633" width="13.3984375" style="159" customWidth="1"/>
    <col min="15634" max="15634" width="13.59765625" style="159" customWidth="1"/>
    <col min="15635" max="15635" width="59.19921875" style="159" bestFit="1" customWidth="1"/>
    <col min="15636" max="15636" width="20.5" style="159" bestFit="1" customWidth="1"/>
    <col min="15637" max="15637" width="8" style="159" customWidth="1"/>
    <col min="15638" max="15638" width="13.5" style="159" customWidth="1"/>
    <col min="15639" max="15872" width="8.09765625" style="159"/>
    <col min="15873" max="15873" width="8.5" style="159" bestFit="1" customWidth="1"/>
    <col min="15874" max="15874" width="5.09765625" style="159" bestFit="1" customWidth="1"/>
    <col min="15875" max="15875" width="5.19921875" style="159" customWidth="1"/>
    <col min="15876" max="15876" width="4.59765625" style="159" customWidth="1"/>
    <col min="15877" max="15878" width="7.59765625" style="159" customWidth="1"/>
    <col min="15879" max="15880" width="4.3984375" style="159" customWidth="1"/>
    <col min="15881" max="15881" width="11.69921875" style="159" customWidth="1"/>
    <col min="15882" max="15882" width="14.296875" style="159" customWidth="1"/>
    <col min="15883" max="15884" width="7.59765625" style="159" customWidth="1"/>
    <col min="15885" max="15886" width="4.3984375" style="159" customWidth="1"/>
    <col min="15887" max="15887" width="12.796875" style="159" customWidth="1"/>
    <col min="15888" max="15888" width="11.69921875" style="159" customWidth="1"/>
    <col min="15889" max="15889" width="13.3984375" style="159" customWidth="1"/>
    <col min="15890" max="15890" width="13.59765625" style="159" customWidth="1"/>
    <col min="15891" max="15891" width="59.19921875" style="159" bestFit="1" customWidth="1"/>
    <col min="15892" max="15892" width="20.5" style="159" bestFit="1" customWidth="1"/>
    <col min="15893" max="15893" width="8" style="159" customWidth="1"/>
    <col min="15894" max="15894" width="13.5" style="159" customWidth="1"/>
    <col min="15895" max="16128" width="8.09765625" style="159"/>
    <col min="16129" max="16129" width="8.5" style="159" bestFit="1" customWidth="1"/>
    <col min="16130" max="16130" width="5.09765625" style="159" bestFit="1" customWidth="1"/>
    <col min="16131" max="16131" width="5.19921875" style="159" customWidth="1"/>
    <col min="16132" max="16132" width="4.59765625" style="159" customWidth="1"/>
    <col min="16133" max="16134" width="7.59765625" style="159" customWidth="1"/>
    <col min="16135" max="16136" width="4.3984375" style="159" customWidth="1"/>
    <col min="16137" max="16137" width="11.69921875" style="159" customWidth="1"/>
    <col min="16138" max="16138" width="14.296875" style="159" customWidth="1"/>
    <col min="16139" max="16140" width="7.59765625" style="159" customWidth="1"/>
    <col min="16141" max="16142" width="4.3984375" style="159" customWidth="1"/>
    <col min="16143" max="16143" width="12.796875" style="159" customWidth="1"/>
    <col min="16144" max="16144" width="11.69921875" style="159" customWidth="1"/>
    <col min="16145" max="16145" width="13.3984375" style="159" customWidth="1"/>
    <col min="16146" max="16146" width="13.59765625" style="159" customWidth="1"/>
    <col min="16147" max="16147" width="59.19921875" style="159" bestFit="1" customWidth="1"/>
    <col min="16148" max="16148" width="20.5" style="159" bestFit="1" customWidth="1"/>
    <col min="16149" max="16149" width="8" style="159" customWidth="1"/>
    <col min="16150" max="16150" width="13.5" style="159" customWidth="1"/>
    <col min="16151" max="16384" width="8.09765625" style="159"/>
  </cols>
  <sheetData>
    <row r="1" spans="1:25" s="146" customFormat="1" ht="27.75" customHeight="1" x14ac:dyDescent="0.45">
      <c r="A1" s="146" t="s">
        <v>732</v>
      </c>
      <c r="Q1" s="147" t="s">
        <v>733</v>
      </c>
      <c r="R1" s="147" t="s">
        <v>734</v>
      </c>
      <c r="S1" s="148">
        <f>SUMIF(E90:E91,116,Q90:Q91)-SUMIF(K90:K91,116,R90:R91)</f>
        <v>0</v>
      </c>
      <c r="T1" s="146" t="s">
        <v>735</v>
      </c>
    </row>
    <row r="2" spans="1:25" s="146" customFormat="1" ht="27.75" customHeight="1" x14ac:dyDescent="0.45">
      <c r="C2" s="259"/>
      <c r="D2" s="259"/>
      <c r="P2" s="149"/>
      <c r="Q2" s="150">
        <f>SUM(Q4:Q13)</f>
        <v>59820</v>
      </c>
      <c r="R2" s="151">
        <f>SUM(R4:R13)</f>
        <v>59820</v>
      </c>
      <c r="S2" s="148">
        <f>SUMIF(E90:E91,999,Q90:Q91)-SUMIF(K90:K91,999,R90:R91)</f>
        <v>0</v>
      </c>
      <c r="T2" s="146" t="s">
        <v>736</v>
      </c>
    </row>
    <row r="3" spans="1:25" s="146" customFormat="1" ht="39" customHeight="1" x14ac:dyDescent="0.45">
      <c r="A3" s="152" t="s">
        <v>737</v>
      </c>
      <c r="B3" s="152" t="s">
        <v>738</v>
      </c>
      <c r="C3" s="152" t="s">
        <v>739</v>
      </c>
      <c r="D3" s="152" t="s">
        <v>740</v>
      </c>
      <c r="E3" s="152" t="s">
        <v>741</v>
      </c>
      <c r="F3" s="152" t="s">
        <v>742</v>
      </c>
      <c r="G3" s="152" t="s">
        <v>743</v>
      </c>
      <c r="H3" s="152" t="s">
        <v>744</v>
      </c>
      <c r="I3" s="153" t="s">
        <v>745</v>
      </c>
      <c r="J3" s="153" t="s">
        <v>746</v>
      </c>
      <c r="K3" s="152" t="s">
        <v>747</v>
      </c>
      <c r="L3" s="152" t="s">
        <v>748</v>
      </c>
      <c r="M3" s="152" t="s">
        <v>749</v>
      </c>
      <c r="N3" s="152" t="s">
        <v>750</v>
      </c>
      <c r="O3" s="153" t="s">
        <v>751</v>
      </c>
      <c r="P3" s="154" t="s">
        <v>752</v>
      </c>
      <c r="Q3" s="155" t="s">
        <v>753</v>
      </c>
      <c r="R3" s="155" t="s">
        <v>754</v>
      </c>
      <c r="S3" s="152" t="s">
        <v>755</v>
      </c>
      <c r="T3" s="152" t="s">
        <v>756</v>
      </c>
    </row>
    <row r="4" spans="1:25" ht="25.95" customHeight="1" x14ac:dyDescent="0.45">
      <c r="A4" s="156"/>
      <c r="B4" s="156"/>
      <c r="C4" s="156"/>
      <c r="D4" s="156"/>
      <c r="E4" s="156"/>
      <c r="F4" s="156"/>
      <c r="G4" s="156"/>
      <c r="H4" s="156"/>
      <c r="I4" s="156" t="str">
        <f>IF(ISERROR(VLOOKUP(E4,[2]借方勘定科目!$A$2:$G$1045,2,FALSE))=FALSE,VLOOKUP(E4,[2]借方勘定科目!$A$2:$G$1045,2,FALSE)&amp;"","")</f>
        <v/>
      </c>
      <c r="J4" s="156" t="str">
        <f>IF(ISERROR(VLOOKUP(E4&amp;F4,[2]借方勘定科目!$F$2:$G$1045,2,FALSE))=FALSE,VLOOKUP(E4&amp;F4,[2]借方勘定科目!$F$2:$G$1045,2,FALSE)&amp;"","")</f>
        <v/>
      </c>
      <c r="K4" s="156"/>
      <c r="L4" s="156"/>
      <c r="M4" s="156"/>
      <c r="N4" s="156"/>
      <c r="O4" s="156" t="str">
        <f>IF(ISERROR(VLOOKUP(K4,[2]貸方勘定科目!$A$2:$G$1025,2,FALSE))=FALSE,VLOOKUP(K4,[2]貸方勘定科目!$A$2:$G$1025,2,FALSE)&amp;"","")</f>
        <v/>
      </c>
      <c r="P4" s="157" t="str">
        <f>IF(ISERROR(VLOOKUP(K4&amp;L4,[2]貸方勘定科目!$F$2:$G$1025,2,FALSE))=FALSE,VLOOKUP(K4&amp;L4,[2]貸方勘定科目!$F$2:$G$1025,2,FALSE)&amp;"","")</f>
        <v/>
      </c>
      <c r="Q4" s="158"/>
      <c r="R4" s="158"/>
      <c r="S4" s="156"/>
      <c r="T4" s="156"/>
    </row>
    <row r="5" spans="1:25" s="166" customFormat="1" ht="24.75" customHeight="1" x14ac:dyDescent="0.45">
      <c r="A5" s="160"/>
      <c r="B5" s="160">
        <v>2022</v>
      </c>
      <c r="C5" s="161">
        <v>11</v>
      </c>
      <c r="D5" s="161">
        <v>30</v>
      </c>
      <c r="E5" s="160">
        <v>536</v>
      </c>
      <c r="F5" s="160"/>
      <c r="G5" s="162">
        <v>41</v>
      </c>
      <c r="H5" s="162">
        <v>10</v>
      </c>
      <c r="I5" s="162" t="str">
        <f>IF(ISERROR(VLOOKUP(E5,[2]借方勘定科目!$A$2:$G$1045,2,FALSE))=FALSE,VLOOKUP(E5,[2]借方勘定科目!$A$2:$G$1045,2,FALSE)&amp;"","")</f>
        <v>新聞図書費</v>
      </c>
      <c r="J5" s="162" t="str">
        <f>IF(ISERROR(VLOOKUP(E5&amp;F5,[2]借方勘定科目!$F$2:$G$1045,2,FALSE))=FALSE,VLOOKUP(E5&amp;F5,[2]借方勘定科目!$F$2:$G$1045,2,FALSE)&amp;"","")</f>
        <v/>
      </c>
      <c r="K5" s="160">
        <v>204</v>
      </c>
      <c r="L5" s="160">
        <v>225</v>
      </c>
      <c r="M5" s="160"/>
      <c r="N5" s="160"/>
      <c r="O5" s="162" t="str">
        <f>IF(ISERROR(VLOOKUP(K5,[2]貸方勘定科目!$A$2:$G$1025,2,FALSE))=FALSE,VLOOKUP(K5,[2]貸方勘定科目!$A$2:$G$1025,2,FALSE)&amp;"","")</f>
        <v>未払金</v>
      </c>
      <c r="P5" s="163" t="str">
        <f>IF(ISERROR(VLOOKUP(K5&amp;L5,[2]貸方勘定科目!$F$2:$G$1025,2,FALSE))=FALSE,VLOOKUP(K5&amp;L5,[2]貸方勘定科目!$F$2:$G$1025,2,FALSE)&amp;"","")</f>
        <v>JCB</v>
      </c>
      <c r="Q5" s="164">
        <v>50000</v>
      </c>
      <c r="R5" s="164">
        <v>50000</v>
      </c>
      <c r="S5" s="165" t="s">
        <v>757</v>
      </c>
      <c r="T5" s="160"/>
      <c r="V5" s="167">
        <f>Q5-R5</f>
        <v>0</v>
      </c>
    </row>
    <row r="6" spans="1:25" s="166" customFormat="1" ht="24.75" customHeight="1" x14ac:dyDescent="0.45">
      <c r="A6" s="160"/>
      <c r="B6" s="160">
        <v>2022</v>
      </c>
      <c r="C6" s="161">
        <v>11</v>
      </c>
      <c r="D6" s="161">
        <v>30</v>
      </c>
      <c r="E6" s="160">
        <v>158</v>
      </c>
      <c r="F6" s="160"/>
      <c r="G6" s="162">
        <v>41</v>
      </c>
      <c r="H6" s="162">
        <v>10</v>
      </c>
      <c r="I6" s="162" t="str">
        <f>IF(ISERROR(VLOOKUP(E6,[2]借方勘定科目!$A$2:$G$1045,2,FALSE))=FALSE,VLOOKUP(E6,[2]借方勘定科目!$A$2:$G$1045,2,FALSE)&amp;"","")</f>
        <v>仮払消費税</v>
      </c>
      <c r="J6" s="162" t="str">
        <f>IF(ISERROR(VLOOKUP(E6&amp;F6,[2]借方勘定科目!$F$2:$G$1045,2,FALSE))=FALSE,VLOOKUP(E6&amp;F6,[2]借方勘定科目!$F$2:$G$1045,2,FALSE)&amp;"","")</f>
        <v/>
      </c>
      <c r="K6" s="160">
        <v>204</v>
      </c>
      <c r="L6" s="160">
        <v>225</v>
      </c>
      <c r="M6" s="160"/>
      <c r="N6" s="160"/>
      <c r="O6" s="162" t="str">
        <f>IF(ISERROR(VLOOKUP(K6,[2]貸方勘定科目!$A$2:$G$1025,2,FALSE))=FALSE,VLOOKUP(K6,[2]貸方勘定科目!$A$2:$G$1025,2,FALSE)&amp;"","")</f>
        <v>未払金</v>
      </c>
      <c r="P6" s="163" t="str">
        <f>IF(ISERROR(VLOOKUP(K6&amp;L6,[2]貸方勘定科目!$F$2:$G$1025,2,FALSE))=FALSE,VLOOKUP(K6&amp;L6,[2]貸方勘定科目!$F$2:$G$1025,2,FALSE)&amp;"","")</f>
        <v>JCB</v>
      </c>
      <c r="Q6" s="164">
        <v>5000</v>
      </c>
      <c r="R6" s="164">
        <v>5000</v>
      </c>
      <c r="S6" s="165" t="s">
        <v>757</v>
      </c>
      <c r="T6" s="160"/>
      <c r="V6" s="167">
        <f>Q6-R6</f>
        <v>0</v>
      </c>
    </row>
    <row r="7" spans="1:25" s="166" customFormat="1" ht="24.75" customHeight="1" x14ac:dyDescent="0.45">
      <c r="A7" s="160"/>
      <c r="B7" s="160">
        <v>2022</v>
      </c>
      <c r="C7" s="161">
        <v>11</v>
      </c>
      <c r="D7" s="161">
        <v>30</v>
      </c>
      <c r="E7" s="160">
        <v>536</v>
      </c>
      <c r="F7" s="160"/>
      <c r="G7" s="162">
        <v>41</v>
      </c>
      <c r="H7" s="162">
        <v>10</v>
      </c>
      <c r="I7" s="162" t="str">
        <f>IF(ISERROR(VLOOKUP(E7,[2]借方勘定科目!$A$2:$G$1045,2,FALSE))=FALSE,VLOOKUP(E7,[2]借方勘定科目!$A$2:$G$1045,2,FALSE)&amp;"","")</f>
        <v>新聞図書費</v>
      </c>
      <c r="J7" s="162" t="str">
        <f>IF(ISERROR(VLOOKUP(E7&amp;F7,[2]借方勘定科目!$F$2:$G$1045,2,FALSE))=FALSE,VLOOKUP(E7&amp;F7,[2]借方勘定科目!$F$2:$G$1045,2,FALSE)&amp;"","")</f>
        <v/>
      </c>
      <c r="K7" s="160">
        <v>204</v>
      </c>
      <c r="L7" s="160">
        <v>225</v>
      </c>
      <c r="M7" s="160"/>
      <c r="N7" s="160"/>
      <c r="O7" s="162" t="str">
        <f>IF(ISERROR(VLOOKUP(K7,[2]貸方勘定科目!$A$2:$G$1025,2,FALSE))=FALSE,VLOOKUP(K7,[2]貸方勘定科目!$A$2:$G$1025,2,FALSE)&amp;"","")</f>
        <v>未払金</v>
      </c>
      <c r="P7" s="163" t="str">
        <f>IF(ISERROR(VLOOKUP(K7&amp;L7,[2]貸方勘定科目!$F$2:$G$1025,2,FALSE))=FALSE,VLOOKUP(K7&amp;L7,[2]貸方勘定科目!$F$2:$G$1025,2,FALSE)&amp;"","")</f>
        <v>JCB</v>
      </c>
      <c r="Q7" s="164">
        <v>1800</v>
      </c>
      <c r="R7" s="164">
        <v>1800</v>
      </c>
      <c r="S7" s="165" t="s">
        <v>759</v>
      </c>
      <c r="T7" s="160"/>
      <c r="V7" s="167">
        <f>Q7-R7</f>
        <v>0</v>
      </c>
    </row>
    <row r="8" spans="1:25" s="166" customFormat="1" ht="24.75" customHeight="1" x14ac:dyDescent="0.45">
      <c r="A8" s="160"/>
      <c r="B8" s="160">
        <v>2022</v>
      </c>
      <c r="C8" s="161">
        <v>11</v>
      </c>
      <c r="D8" s="161">
        <v>30</v>
      </c>
      <c r="E8" s="160">
        <v>158</v>
      </c>
      <c r="F8" s="160"/>
      <c r="G8" s="162">
        <v>41</v>
      </c>
      <c r="H8" s="162">
        <v>10</v>
      </c>
      <c r="I8" s="162" t="str">
        <f>IF(ISERROR(VLOOKUP(E8,[2]借方勘定科目!$A$2:$G$1045,2,FALSE))=FALSE,VLOOKUP(E8,[2]借方勘定科目!$A$2:$G$1045,2,FALSE)&amp;"","")</f>
        <v>仮払消費税</v>
      </c>
      <c r="J8" s="162" t="str">
        <f>IF(ISERROR(VLOOKUP(E8&amp;F8,[2]借方勘定科目!$F$2:$G$1045,2,FALSE))=FALSE,VLOOKUP(E8&amp;F8,[2]借方勘定科目!$F$2:$G$1045,2,FALSE)&amp;"","")</f>
        <v/>
      </c>
      <c r="K8" s="160">
        <v>204</v>
      </c>
      <c r="L8" s="160">
        <v>225</v>
      </c>
      <c r="M8" s="160"/>
      <c r="N8" s="160"/>
      <c r="O8" s="162" t="str">
        <f>IF(ISERROR(VLOOKUP(K8,[2]貸方勘定科目!$A$2:$G$1025,2,FALSE))=FALSE,VLOOKUP(K8,[2]貸方勘定科目!$A$2:$G$1025,2,FALSE)&amp;"","")</f>
        <v>未払金</v>
      </c>
      <c r="P8" s="163" t="str">
        <f>IF(ISERROR(VLOOKUP(K8&amp;L8,[2]貸方勘定科目!$F$2:$G$1025,2,FALSE))=FALSE,VLOOKUP(K8&amp;L8,[2]貸方勘定科目!$F$2:$G$1025,2,FALSE)&amp;"","")</f>
        <v>JCB</v>
      </c>
      <c r="Q8" s="164">
        <v>200</v>
      </c>
      <c r="R8" s="164">
        <v>200</v>
      </c>
      <c r="S8" s="165" t="s">
        <v>759</v>
      </c>
      <c r="T8" s="160"/>
      <c r="V8" s="167">
        <f>Q8-R8</f>
        <v>0</v>
      </c>
    </row>
    <row r="9" spans="1:25" ht="24.6" customHeight="1" x14ac:dyDescent="0.45">
      <c r="A9" s="168"/>
      <c r="B9" s="168"/>
      <c r="C9" s="169"/>
      <c r="D9" s="169"/>
      <c r="E9" s="168"/>
      <c r="F9" s="168"/>
      <c r="G9" s="156"/>
      <c r="H9" s="156"/>
      <c r="I9" s="170"/>
      <c r="J9" s="171"/>
      <c r="K9" s="168"/>
      <c r="L9" s="168"/>
      <c r="M9" s="168"/>
      <c r="N9" s="168"/>
      <c r="O9" s="170"/>
      <c r="P9" s="171"/>
      <c r="Q9" s="172"/>
      <c r="R9" s="172"/>
      <c r="S9" s="170"/>
      <c r="T9" s="168"/>
      <c r="V9" s="173">
        <f>Q9-R9</f>
        <v>0</v>
      </c>
    </row>
    <row r="10" spans="1:25" s="166" customFormat="1" ht="24" customHeight="1" x14ac:dyDescent="0.45">
      <c r="A10" s="160"/>
      <c r="B10" s="160">
        <v>2022</v>
      </c>
      <c r="C10" s="161">
        <v>11</v>
      </c>
      <c r="D10" s="161">
        <v>30</v>
      </c>
      <c r="E10" s="160">
        <v>529</v>
      </c>
      <c r="F10" s="160">
        <v>9998</v>
      </c>
      <c r="G10" s="174">
        <v>81</v>
      </c>
      <c r="H10" s="174"/>
      <c r="I10" s="165" t="str">
        <f>IF(ISERROR(VLOOKUP(E10,[2]借方勘定科目!$A$2:$G$1045,2,FALSE))=FALSE,VLOOKUP(E10,[2]借方勘定科目!$A$2:$G$1045,2,FALSE)&amp;"","")</f>
        <v>交際接待費</v>
      </c>
      <c r="J10" s="175" t="str">
        <f>IF(ISERROR(VLOOKUP(E10&amp;F10,[2]借方勘定科目!$F$2:$G$1045,2,FALSE))=FALSE,VLOOKUP(E10&amp;F10,[2]借方勘定科目!$F$2:$G$1045,2,FALSE)&amp;"","")</f>
        <v>その他</v>
      </c>
      <c r="K10" s="160">
        <v>204</v>
      </c>
      <c r="L10" s="160">
        <v>225</v>
      </c>
      <c r="M10" s="161"/>
      <c r="N10" s="161"/>
      <c r="O10" s="165" t="str">
        <f>IF(ISERROR(VLOOKUP(K10,[2]貸方勘定科目!$A$2:$G$1025,2,FALSE))=FALSE,VLOOKUP(K10,[2]貸方勘定科目!$A$2:$G$1025,2,FALSE)&amp;"","")</f>
        <v>未払金</v>
      </c>
      <c r="P10" s="175" t="str">
        <f>IF(ISERROR(VLOOKUP(K10&amp;L10,[2]貸方勘定科目!$F$2:$G$1025,2,FALSE))=FALSE,VLOOKUP(K10&amp;L10,[2]貸方勘定科目!$F$2:$G$1025,2,FALSE)&amp;"","")</f>
        <v>JCB</v>
      </c>
      <c r="Q10" s="176">
        <v>500</v>
      </c>
      <c r="R10" s="176">
        <v>500</v>
      </c>
      <c r="S10" s="162" t="s">
        <v>758</v>
      </c>
      <c r="T10" s="160"/>
      <c r="V10" s="167">
        <f t="shared" ref="V10:V13" si="0">Q10-R10</f>
        <v>0</v>
      </c>
      <c r="Y10" s="177"/>
    </row>
    <row r="11" spans="1:25" s="166" customFormat="1" ht="24" customHeight="1" x14ac:dyDescent="0.45">
      <c r="A11" s="160"/>
      <c r="B11" s="160">
        <v>2022</v>
      </c>
      <c r="C11" s="161">
        <v>11</v>
      </c>
      <c r="D11" s="161">
        <v>30</v>
      </c>
      <c r="E11" s="160">
        <v>158</v>
      </c>
      <c r="F11" s="160"/>
      <c r="G11" s="174">
        <v>41</v>
      </c>
      <c r="H11" s="174">
        <v>10</v>
      </c>
      <c r="I11" s="165" t="str">
        <f>IF(ISERROR(VLOOKUP(E11,[2]借方勘定科目!$A$2:$G$1045,2,FALSE))=FALSE,VLOOKUP(E11,[2]借方勘定科目!$A$2:$G$1045,2,FALSE)&amp;"","")</f>
        <v>仮払消費税</v>
      </c>
      <c r="J11" s="175" t="str">
        <f>IF(ISERROR(VLOOKUP(E11&amp;F11,[2]借方勘定科目!$F$2:$G$1045,2,FALSE))=FALSE,VLOOKUP(E11&amp;F11,[2]借方勘定科目!$F$2:$G$1045,2,FALSE)&amp;"","")</f>
        <v/>
      </c>
      <c r="K11" s="160">
        <v>204</v>
      </c>
      <c r="L11" s="160">
        <v>225</v>
      </c>
      <c r="M11" s="161"/>
      <c r="N11" s="161"/>
      <c r="O11" s="165" t="str">
        <f>IF(ISERROR(VLOOKUP(K11,[2]貸方勘定科目!$A$2:$G$1025,2,FALSE))=FALSE,VLOOKUP(K11,[2]貸方勘定科目!$A$2:$G$1025,2,FALSE)&amp;"","")</f>
        <v>未払金</v>
      </c>
      <c r="P11" s="175" t="str">
        <f>IF(ISERROR(VLOOKUP(K11&amp;L11,[2]貸方勘定科目!$F$2:$G$1025,2,FALSE))=FALSE,VLOOKUP(K11&amp;L11,[2]貸方勘定科目!$F$2:$G$1025,2,FALSE)&amp;"","")</f>
        <v>JCB</v>
      </c>
      <c r="Q11" s="176">
        <v>2000</v>
      </c>
      <c r="R11" s="176">
        <v>2000</v>
      </c>
      <c r="S11" s="162" t="s">
        <v>758</v>
      </c>
      <c r="T11" s="160"/>
      <c r="V11" s="167">
        <f t="shared" si="0"/>
        <v>0</v>
      </c>
      <c r="Y11" s="177"/>
    </row>
    <row r="12" spans="1:25" s="166" customFormat="1" ht="24" customHeight="1" x14ac:dyDescent="0.45">
      <c r="A12" s="160"/>
      <c r="B12" s="160">
        <v>2022</v>
      </c>
      <c r="C12" s="161">
        <v>11</v>
      </c>
      <c r="D12" s="161">
        <v>30</v>
      </c>
      <c r="E12" s="160">
        <v>529</v>
      </c>
      <c r="F12" s="160">
        <v>9998</v>
      </c>
      <c r="G12" s="174">
        <v>41</v>
      </c>
      <c r="H12" s="178">
        <v>81</v>
      </c>
      <c r="I12" s="165" t="str">
        <f>IF(ISERROR(VLOOKUP(E12,[2]借方勘定科目!$A$2:$G$1045,2,FALSE))=FALSE,VLOOKUP(E12,[2]借方勘定科目!$A$2:$G$1045,2,FALSE)&amp;"","")</f>
        <v>交際接待費</v>
      </c>
      <c r="J12" s="175" t="str">
        <f>IF(ISERROR(VLOOKUP(E12&amp;F12,[2]借方勘定科目!$F$2:$G$1045,2,FALSE))=FALSE,VLOOKUP(E12&amp;F12,[2]借方勘定科目!$F$2:$G$1045,2,FALSE)&amp;"","")</f>
        <v>その他</v>
      </c>
      <c r="K12" s="160">
        <v>204</v>
      </c>
      <c r="L12" s="160">
        <v>225</v>
      </c>
      <c r="M12" s="161"/>
      <c r="N12" s="161"/>
      <c r="O12" s="165" t="str">
        <f>IF(ISERROR(VLOOKUP(K12,[2]貸方勘定科目!$A$2:$G$1025,2,FALSE))=FALSE,VLOOKUP(K12,[2]貸方勘定科目!$A$2:$G$1025,2,FALSE)&amp;"","")</f>
        <v>未払金</v>
      </c>
      <c r="P12" s="175" t="str">
        <f>IF(ISERROR(VLOOKUP(K12&amp;L12,[2]貸方勘定科目!$F$2:$G$1025,2,FALSE))=FALSE,VLOOKUP(K12&amp;L12,[2]貸方勘定科目!$F$2:$G$1025,2,FALSE)&amp;"","")</f>
        <v>JCB</v>
      </c>
      <c r="Q12" s="176">
        <v>300</v>
      </c>
      <c r="R12" s="176">
        <v>300</v>
      </c>
      <c r="S12" s="162" t="s">
        <v>758</v>
      </c>
      <c r="T12" s="160"/>
      <c r="V12" s="167">
        <f t="shared" si="0"/>
        <v>0</v>
      </c>
      <c r="Y12" s="177"/>
    </row>
    <row r="13" spans="1:25" s="166" customFormat="1" ht="24" customHeight="1" x14ac:dyDescent="0.45">
      <c r="A13" s="160"/>
      <c r="B13" s="160">
        <v>2022</v>
      </c>
      <c r="C13" s="161">
        <v>11</v>
      </c>
      <c r="D13" s="161">
        <v>30</v>
      </c>
      <c r="E13" s="160">
        <v>158</v>
      </c>
      <c r="F13" s="160"/>
      <c r="G13" s="174">
        <v>41</v>
      </c>
      <c r="H13" s="178">
        <v>81</v>
      </c>
      <c r="I13" s="165" t="str">
        <f>IF(ISERROR(VLOOKUP(E13,[2]借方勘定科目!$A$2:$G$1045,2,FALSE))=FALSE,VLOOKUP(E13,[2]借方勘定科目!$A$2:$G$1045,2,FALSE)&amp;"","")</f>
        <v>仮払消費税</v>
      </c>
      <c r="J13" s="175" t="str">
        <f>IF(ISERROR(VLOOKUP(E13&amp;F13,[2]借方勘定科目!$F$2:$G$1045,2,FALSE))=FALSE,VLOOKUP(E13&amp;F13,[2]借方勘定科目!$F$2:$G$1045,2,FALSE)&amp;"","")</f>
        <v/>
      </c>
      <c r="K13" s="160">
        <v>204</v>
      </c>
      <c r="L13" s="160">
        <v>225</v>
      </c>
      <c r="M13" s="161"/>
      <c r="N13" s="161"/>
      <c r="O13" s="165" t="str">
        <f>IF(ISERROR(VLOOKUP(K13,[2]貸方勘定科目!$A$2:$G$1025,2,FALSE))=FALSE,VLOOKUP(K13,[2]貸方勘定科目!$A$2:$G$1025,2,FALSE)&amp;"","")</f>
        <v>未払金</v>
      </c>
      <c r="P13" s="175" t="str">
        <f>IF(ISERROR(VLOOKUP(K13&amp;L13,[2]貸方勘定科目!$F$2:$G$1025,2,FALSE))=FALSE,VLOOKUP(K13&amp;L13,[2]貸方勘定科目!$F$2:$G$1025,2,FALSE)&amp;"","")</f>
        <v>JCB</v>
      </c>
      <c r="Q13" s="176">
        <v>20</v>
      </c>
      <c r="R13" s="176">
        <v>20</v>
      </c>
      <c r="S13" s="162" t="s">
        <v>758</v>
      </c>
      <c r="T13" s="160"/>
      <c r="V13" s="167">
        <f t="shared" si="0"/>
        <v>0</v>
      </c>
      <c r="Y13" s="177"/>
    </row>
    <row r="14" spans="1:25" s="166" customFormat="1" ht="24" customHeight="1" x14ac:dyDescent="0.45">
      <c r="A14" s="160"/>
      <c r="B14" s="160"/>
      <c r="C14" s="161"/>
      <c r="D14" s="161"/>
      <c r="E14" s="160"/>
      <c r="F14" s="160"/>
      <c r="G14" s="174"/>
      <c r="H14" s="178"/>
      <c r="I14" s="165"/>
      <c r="J14" s="175"/>
      <c r="K14" s="160"/>
      <c r="L14" s="160"/>
      <c r="M14" s="161"/>
      <c r="N14" s="161"/>
      <c r="O14" s="165"/>
      <c r="P14" s="175"/>
      <c r="Q14" s="176"/>
      <c r="R14" s="176"/>
      <c r="S14" s="162"/>
      <c r="T14" s="160"/>
      <c r="V14" s="167"/>
      <c r="Y14" s="177"/>
    </row>
    <row r="15" spans="1:25" ht="24" customHeight="1" x14ac:dyDescent="0.45">
      <c r="A15" s="168"/>
      <c r="B15" s="168">
        <v>2022</v>
      </c>
      <c r="C15" s="169">
        <v>10</v>
      </c>
      <c r="D15" s="169">
        <v>31</v>
      </c>
      <c r="E15" s="168">
        <v>530</v>
      </c>
      <c r="F15" s="168">
        <v>4209</v>
      </c>
      <c r="G15" s="179">
        <v>41</v>
      </c>
      <c r="H15" s="179">
        <v>10</v>
      </c>
      <c r="I15" s="170" t="str">
        <f>IF(ISERROR(VLOOKUP(E15,[2]借方勘定科目!$A$2:$G$1045,2,FALSE))=FALSE,VLOOKUP(E15,[2]借方勘定科目!$A$2:$G$1045,2,FALSE)&amp;"","")</f>
        <v>旅費交通費</v>
      </c>
      <c r="J15" s="171" t="str">
        <f>IF(ISERROR(VLOOKUP(E15&amp;F15,[2]借方勘定科目!$F$2:$G$1045,2,FALSE))=FALSE,VLOOKUP(E15&amp;F15,[2]借方勘定科目!$F$2:$G$1045,2,FALSE)&amp;"","")</f>
        <v/>
      </c>
      <c r="K15" s="168">
        <v>204</v>
      </c>
      <c r="L15" s="168">
        <v>225</v>
      </c>
      <c r="M15" s="169"/>
      <c r="N15" s="169"/>
      <c r="O15" s="170" t="str">
        <f>IF(ISERROR(VLOOKUP(K15,[2]貸方勘定科目!$A$2:$G$1025,2,FALSE))=FALSE,VLOOKUP(K15,[2]貸方勘定科目!$A$2:$G$1025,2,FALSE)&amp;"","")</f>
        <v>未払金</v>
      </c>
      <c r="P15" s="171" t="str">
        <f>IF(ISERROR(VLOOKUP(K15&amp;L15,[2]貸方勘定科目!$F$2:$G$1025,2,FALSE))=FALSE,VLOOKUP(K15&amp;L15,[2]貸方勘定科目!$F$2:$G$1025,2,FALSE)&amp;"","")</f>
        <v>JCB</v>
      </c>
      <c r="Q15" s="180">
        <v>8000</v>
      </c>
      <c r="R15" s="180">
        <v>8000</v>
      </c>
      <c r="S15" s="156" t="s">
        <v>760</v>
      </c>
      <c r="T15" s="168"/>
      <c r="V15" s="173">
        <f t="shared" ref="V15:V20" si="1">Q15-R15</f>
        <v>0</v>
      </c>
      <c r="Y15" s="181"/>
    </row>
    <row r="16" spans="1:25" ht="24" customHeight="1" x14ac:dyDescent="0.45">
      <c r="A16" s="168"/>
      <c r="B16" s="168">
        <v>2022</v>
      </c>
      <c r="C16" s="169">
        <v>10</v>
      </c>
      <c r="D16" s="169">
        <v>31</v>
      </c>
      <c r="E16" s="168">
        <v>158</v>
      </c>
      <c r="F16" s="168"/>
      <c r="G16" s="179">
        <v>41</v>
      </c>
      <c r="H16" s="179">
        <v>10</v>
      </c>
      <c r="I16" s="170" t="str">
        <f>IF(ISERROR(VLOOKUP(E16,[2]借方勘定科目!$A$2:$G$1045,2,FALSE))=FALSE,VLOOKUP(E16,[2]借方勘定科目!$A$2:$G$1045,2,FALSE)&amp;"","")</f>
        <v>仮払消費税</v>
      </c>
      <c r="J16" s="171" t="str">
        <f>IF(ISERROR(VLOOKUP(E16&amp;F16,[2]借方勘定科目!$F$2:$G$1045,2,FALSE))=FALSE,VLOOKUP(E16&amp;F16,[2]借方勘定科目!$F$2:$G$1045,2,FALSE)&amp;"","")</f>
        <v/>
      </c>
      <c r="K16" s="168">
        <v>204</v>
      </c>
      <c r="L16" s="168">
        <v>225</v>
      </c>
      <c r="M16" s="169"/>
      <c r="N16" s="169"/>
      <c r="O16" s="170" t="str">
        <f>IF(ISERROR(VLOOKUP(K16,[2]貸方勘定科目!$A$2:$G$1025,2,FALSE))=FALSE,VLOOKUP(K16,[2]貸方勘定科目!$A$2:$G$1025,2,FALSE)&amp;"","")</f>
        <v>未払金</v>
      </c>
      <c r="P16" s="171" t="str">
        <f>IF(ISERROR(VLOOKUP(K16&amp;L16,[2]貸方勘定科目!$F$2:$G$1025,2,FALSE))=FALSE,VLOOKUP(K16&amp;L16,[2]貸方勘定科目!$F$2:$G$1025,2,FALSE)&amp;"","")</f>
        <v>JCB</v>
      </c>
      <c r="Q16" s="180">
        <v>750</v>
      </c>
      <c r="R16" s="180">
        <v>750</v>
      </c>
      <c r="S16" s="156" t="s">
        <v>760</v>
      </c>
      <c r="T16" s="168"/>
      <c r="V16" s="173">
        <f t="shared" si="1"/>
        <v>0</v>
      </c>
      <c r="Y16" s="181"/>
    </row>
    <row r="17" spans="1:25" ht="24.75" customHeight="1" x14ac:dyDescent="0.45">
      <c r="A17" s="168"/>
      <c r="B17" s="168"/>
      <c r="C17" s="169"/>
      <c r="D17" s="169"/>
      <c r="E17" s="168"/>
      <c r="F17" s="168"/>
      <c r="G17" s="156"/>
      <c r="H17" s="156"/>
      <c r="I17" s="170"/>
      <c r="J17" s="171"/>
      <c r="K17" s="168"/>
      <c r="L17" s="168"/>
      <c r="M17" s="168"/>
      <c r="N17" s="168"/>
      <c r="O17" s="170"/>
      <c r="P17" s="171"/>
      <c r="Q17" s="172"/>
      <c r="R17" s="172"/>
      <c r="S17" s="170"/>
      <c r="T17" s="168"/>
      <c r="V17" s="173">
        <f t="shared" si="1"/>
        <v>0</v>
      </c>
    </row>
    <row r="18" spans="1:25" ht="24" customHeight="1" x14ac:dyDescent="0.45">
      <c r="A18" s="168"/>
      <c r="B18" s="168">
        <v>2022</v>
      </c>
      <c r="C18" s="169">
        <v>10</v>
      </c>
      <c r="D18" s="169">
        <v>31</v>
      </c>
      <c r="E18" s="168">
        <v>530</v>
      </c>
      <c r="F18" s="168">
        <v>9998</v>
      </c>
      <c r="G18" s="179">
        <v>41</v>
      </c>
      <c r="H18" s="179">
        <v>10</v>
      </c>
      <c r="I18" s="170" t="str">
        <f>IF(ISERROR(VLOOKUP(E18,[2]借方勘定科目!$A$2:$G$1045,2,FALSE))=FALSE,VLOOKUP(E18,[2]借方勘定科目!$A$2:$G$1045,2,FALSE)&amp;"","")</f>
        <v>旅費交通費</v>
      </c>
      <c r="J18" s="171" t="str">
        <f>IF(ISERROR(VLOOKUP(E18&amp;F18,[2]借方勘定科目!$F$2:$G$1045,2,FALSE))=FALSE,VLOOKUP(E18&amp;F18,[2]借方勘定科目!$F$2:$G$1045,2,FALSE)&amp;"","")</f>
        <v/>
      </c>
      <c r="K18" s="168">
        <v>204</v>
      </c>
      <c r="L18" s="168">
        <v>225</v>
      </c>
      <c r="M18" s="169"/>
      <c r="N18" s="169"/>
      <c r="O18" s="170" t="str">
        <f>IF(ISERROR(VLOOKUP(K18,[2]貸方勘定科目!$A$2:$G$1025,2,FALSE))=FALSE,VLOOKUP(K18,[2]貸方勘定科目!$A$2:$G$1025,2,FALSE)&amp;"","")</f>
        <v>未払金</v>
      </c>
      <c r="P18" s="171" t="str">
        <f>IF(ISERROR(VLOOKUP(K18&amp;L18,[2]貸方勘定科目!$F$2:$G$1025,2,FALSE))=FALSE,VLOOKUP(K18&amp;L18,[2]貸方勘定科目!$F$2:$G$1025,2,FALSE)&amp;"","")</f>
        <v>JCB</v>
      </c>
      <c r="Q18" s="180">
        <v>2500</v>
      </c>
      <c r="R18" s="180">
        <v>2500</v>
      </c>
      <c r="S18" s="156" t="s">
        <v>761</v>
      </c>
      <c r="T18" s="168"/>
      <c r="V18" s="173">
        <f t="shared" si="1"/>
        <v>0</v>
      </c>
      <c r="Y18" s="181"/>
    </row>
    <row r="19" spans="1:25" ht="24" customHeight="1" x14ac:dyDescent="0.45">
      <c r="A19" s="168"/>
      <c r="B19" s="168">
        <v>2022</v>
      </c>
      <c r="C19" s="169">
        <v>10</v>
      </c>
      <c r="D19" s="169">
        <v>31</v>
      </c>
      <c r="E19" s="168">
        <v>158</v>
      </c>
      <c r="F19" s="168"/>
      <c r="G19" s="179">
        <v>41</v>
      </c>
      <c r="H19" s="179">
        <v>10</v>
      </c>
      <c r="I19" s="170" t="str">
        <f>IF(ISERROR(VLOOKUP(E19,[2]借方勘定科目!$A$2:$G$1045,2,FALSE))=FALSE,VLOOKUP(E19,[2]借方勘定科目!$A$2:$G$1045,2,FALSE)&amp;"","")</f>
        <v>仮払消費税</v>
      </c>
      <c r="J19" s="171" t="str">
        <f>IF(ISERROR(VLOOKUP(E19&amp;F19,[2]借方勘定科目!$F$2:$G$1045,2,FALSE))=FALSE,VLOOKUP(E19&amp;F19,[2]借方勘定科目!$F$2:$G$1045,2,FALSE)&amp;"","")</f>
        <v/>
      </c>
      <c r="K19" s="168">
        <v>204</v>
      </c>
      <c r="L19" s="168">
        <v>225</v>
      </c>
      <c r="M19" s="169"/>
      <c r="N19" s="169"/>
      <c r="O19" s="170" t="str">
        <f>IF(ISERROR(VLOOKUP(K19,[2]貸方勘定科目!$A$2:$G$1025,2,FALSE))=FALSE,VLOOKUP(K19,[2]貸方勘定科目!$A$2:$G$1025,2,FALSE)&amp;"","")</f>
        <v>未払金</v>
      </c>
      <c r="P19" s="171" t="str">
        <f>IF(ISERROR(VLOOKUP(K19&amp;L19,[2]貸方勘定科目!$F$2:$G$1025,2,FALSE))=FALSE,VLOOKUP(K19&amp;L19,[2]貸方勘定科目!$F$2:$G$1025,2,FALSE)&amp;"","")</f>
        <v>JCB</v>
      </c>
      <c r="Q19" s="180">
        <v>250</v>
      </c>
      <c r="R19" s="180">
        <v>250</v>
      </c>
      <c r="S19" s="156" t="s">
        <v>761</v>
      </c>
      <c r="T19" s="168"/>
      <c r="V19" s="173">
        <f t="shared" si="1"/>
        <v>0</v>
      </c>
      <c r="Y19" s="181"/>
    </row>
    <row r="20" spans="1:25" ht="24.75" customHeight="1" x14ac:dyDescent="0.45">
      <c r="A20" s="168"/>
      <c r="B20" s="168"/>
      <c r="C20" s="169"/>
      <c r="D20" s="169"/>
      <c r="E20" s="168"/>
      <c r="F20" s="168"/>
      <c r="G20" s="156"/>
      <c r="H20" s="156"/>
      <c r="I20" s="170" t="str">
        <f>IF(ISERROR(VLOOKUP(E20,[2]借方勘定科目!$A$2:$G$1045,2,FALSE))=FALSE,VLOOKUP(E20,[2]借方勘定科目!$A$2:$G$1045,2,FALSE)&amp;"","")</f>
        <v/>
      </c>
      <c r="J20" s="171"/>
      <c r="K20" s="168"/>
      <c r="L20" s="168"/>
      <c r="M20" s="168"/>
      <c r="N20" s="168"/>
      <c r="O20" s="170"/>
      <c r="P20" s="171"/>
      <c r="Q20" s="172"/>
      <c r="R20" s="172"/>
      <c r="S20" s="170"/>
      <c r="T20" s="168"/>
      <c r="V20" s="173">
        <f t="shared" si="1"/>
        <v>0</v>
      </c>
    </row>
    <row r="21" spans="1:25" ht="24.75" customHeight="1" x14ac:dyDescent="0.45">
      <c r="A21" s="168"/>
      <c r="B21" s="168"/>
      <c r="C21" s="169"/>
      <c r="D21" s="169"/>
      <c r="E21" s="168"/>
      <c r="F21" s="168"/>
      <c r="G21" s="156"/>
      <c r="H21" s="156"/>
      <c r="I21" s="156"/>
      <c r="J21" s="156"/>
      <c r="K21" s="168"/>
      <c r="L21" s="168"/>
      <c r="M21" s="168"/>
      <c r="N21" s="168"/>
      <c r="O21" s="156"/>
      <c r="P21" s="157"/>
      <c r="Q21" s="172"/>
      <c r="R21" s="172"/>
      <c r="S21" s="170"/>
      <c r="T21" s="168"/>
      <c r="V21" s="173"/>
    </row>
    <row r="22" spans="1:25" ht="24.75" customHeight="1" x14ac:dyDescent="0.45">
      <c r="A22" s="168"/>
      <c r="B22" s="168"/>
      <c r="C22" s="169"/>
      <c r="D22" s="169"/>
      <c r="E22" s="168"/>
      <c r="F22" s="168"/>
      <c r="G22" s="156"/>
      <c r="H22" s="156"/>
      <c r="I22" s="156"/>
      <c r="J22" s="156"/>
      <c r="K22" s="168"/>
      <c r="L22" s="168"/>
      <c r="M22" s="168"/>
      <c r="N22" s="168"/>
      <c r="O22" s="156"/>
      <c r="P22" s="157"/>
      <c r="Q22" s="172"/>
      <c r="R22" s="172"/>
      <c r="S22" s="170"/>
      <c r="T22" s="168"/>
      <c r="V22" s="173"/>
    </row>
    <row r="23" spans="1:25" ht="24.75" customHeight="1" x14ac:dyDescent="0.45">
      <c r="A23" s="168"/>
      <c r="B23" s="168"/>
      <c r="C23" s="169"/>
      <c r="D23" s="169"/>
      <c r="E23" s="168"/>
      <c r="F23" s="168"/>
      <c r="G23" s="156"/>
      <c r="H23" s="156"/>
      <c r="I23" s="170"/>
      <c r="J23" s="171"/>
      <c r="K23" s="168"/>
      <c r="L23" s="168"/>
      <c r="M23" s="168"/>
      <c r="N23" s="168"/>
      <c r="O23" s="170"/>
      <c r="P23" s="171"/>
      <c r="Q23" s="172"/>
      <c r="R23" s="172"/>
      <c r="S23" s="170"/>
      <c r="T23" s="168"/>
      <c r="V23" s="173"/>
    </row>
    <row r="24" spans="1:25" ht="24" customHeight="1" x14ac:dyDescent="0.45">
      <c r="A24" s="168"/>
      <c r="B24" s="168"/>
      <c r="C24" s="169"/>
      <c r="D24" s="169"/>
      <c r="E24" s="168"/>
      <c r="F24" s="168"/>
      <c r="G24" s="179"/>
      <c r="H24" s="179"/>
      <c r="I24" s="170"/>
      <c r="J24" s="171"/>
      <c r="K24" s="168"/>
      <c r="L24" s="168"/>
      <c r="M24" s="169"/>
      <c r="N24" s="169"/>
      <c r="O24" s="170"/>
      <c r="P24" s="171"/>
      <c r="Q24" s="180"/>
      <c r="R24" s="180"/>
      <c r="S24" s="156"/>
      <c r="T24" s="168"/>
      <c r="V24" s="173"/>
      <c r="Y24" s="181"/>
    </row>
    <row r="25" spans="1:25" ht="24" customHeight="1" x14ac:dyDescent="0.45">
      <c r="A25" s="168"/>
      <c r="B25" s="168"/>
      <c r="C25" s="169"/>
      <c r="D25" s="169"/>
      <c r="E25" s="168"/>
      <c r="F25" s="168"/>
      <c r="G25" s="179"/>
      <c r="H25" s="179"/>
      <c r="I25" s="170"/>
      <c r="J25" s="171"/>
      <c r="K25" s="168"/>
      <c r="L25" s="168"/>
      <c r="M25" s="169"/>
      <c r="N25" s="169"/>
      <c r="O25" s="170"/>
      <c r="P25" s="171"/>
      <c r="Q25" s="180"/>
      <c r="R25" s="180"/>
      <c r="S25" s="156"/>
      <c r="T25" s="168"/>
      <c r="V25" s="173"/>
      <c r="Y25" s="181"/>
    </row>
    <row r="26" spans="1:25" ht="24.6" customHeight="1" x14ac:dyDescent="0.45">
      <c r="A26" s="168"/>
      <c r="B26" s="168"/>
      <c r="C26" s="169"/>
      <c r="D26" s="169"/>
      <c r="E26" s="168"/>
      <c r="F26" s="168"/>
      <c r="G26" s="156"/>
      <c r="H26" s="156"/>
      <c r="I26" s="170"/>
      <c r="J26" s="171"/>
      <c r="K26" s="168"/>
      <c r="L26" s="168"/>
      <c r="M26" s="168"/>
      <c r="N26" s="168"/>
      <c r="O26" s="170"/>
      <c r="P26" s="171"/>
      <c r="Q26" s="172"/>
      <c r="R26" s="172"/>
      <c r="S26" s="170"/>
      <c r="T26" s="168"/>
      <c r="V26" s="173"/>
    </row>
    <row r="27" spans="1:25" ht="24" customHeight="1" x14ac:dyDescent="0.45">
      <c r="A27" s="168"/>
      <c r="B27" s="168"/>
      <c r="C27" s="169"/>
      <c r="D27" s="169"/>
      <c r="E27" s="168"/>
      <c r="F27" s="168"/>
      <c r="G27" s="179"/>
      <c r="H27" s="179"/>
      <c r="I27" s="170"/>
      <c r="J27" s="171"/>
      <c r="K27" s="168"/>
      <c r="L27" s="168"/>
      <c r="M27" s="169"/>
      <c r="N27" s="169"/>
      <c r="O27" s="170"/>
      <c r="P27" s="171"/>
      <c r="Q27" s="180"/>
      <c r="R27" s="180"/>
      <c r="S27" s="156"/>
      <c r="T27" s="168"/>
      <c r="V27" s="173"/>
      <c r="Y27" s="181"/>
    </row>
    <row r="28" spans="1:25" ht="24" customHeight="1" x14ac:dyDescent="0.45">
      <c r="A28" s="168"/>
      <c r="B28" s="168"/>
      <c r="C28" s="169"/>
      <c r="D28" s="169"/>
      <c r="E28" s="168"/>
      <c r="F28" s="168"/>
      <c r="G28" s="179"/>
      <c r="H28" s="179"/>
      <c r="I28" s="170"/>
      <c r="J28" s="171"/>
      <c r="K28" s="168"/>
      <c r="L28" s="168"/>
      <c r="M28" s="169"/>
      <c r="N28" s="169"/>
      <c r="O28" s="170"/>
      <c r="P28" s="171"/>
      <c r="Q28" s="180"/>
      <c r="R28" s="180"/>
      <c r="S28" s="156"/>
      <c r="T28" s="168"/>
      <c r="V28" s="173"/>
      <c r="Y28" s="181"/>
    </row>
    <row r="29" spans="1:25" ht="24.6" customHeight="1" x14ac:dyDescent="0.45">
      <c r="A29" s="168"/>
      <c r="B29" s="168"/>
      <c r="C29" s="169"/>
      <c r="D29" s="169"/>
      <c r="E29" s="168"/>
      <c r="F29" s="168"/>
      <c r="G29" s="156"/>
      <c r="H29" s="156"/>
      <c r="I29" s="170"/>
      <c r="J29" s="171"/>
      <c r="K29" s="168"/>
      <c r="L29" s="168"/>
      <c r="M29" s="168"/>
      <c r="N29" s="168"/>
      <c r="O29" s="170"/>
      <c r="P29" s="171"/>
      <c r="Q29" s="172"/>
      <c r="R29" s="172"/>
      <c r="S29" s="170"/>
      <c r="T29" s="168"/>
      <c r="V29" s="173"/>
    </row>
    <row r="30" spans="1:25" ht="24" customHeight="1" x14ac:dyDescent="0.45">
      <c r="A30" s="168"/>
      <c r="B30" s="168"/>
      <c r="C30" s="169"/>
      <c r="D30" s="169"/>
      <c r="E30" s="168"/>
      <c r="F30" s="168"/>
      <c r="G30" s="179"/>
      <c r="H30" s="179"/>
      <c r="I30" s="170"/>
      <c r="J30" s="171"/>
      <c r="K30" s="168"/>
      <c r="L30" s="168"/>
      <c r="M30" s="169"/>
      <c r="N30" s="169"/>
      <c r="O30" s="170"/>
      <c r="P30" s="171"/>
      <c r="Q30" s="180"/>
      <c r="R30" s="180"/>
      <c r="S30" s="156"/>
      <c r="T30" s="168"/>
      <c r="V30" s="173"/>
      <c r="Y30" s="181"/>
    </row>
    <row r="31" spans="1:25" ht="24" customHeight="1" x14ac:dyDescent="0.45">
      <c r="A31" s="168"/>
      <c r="B31" s="168"/>
      <c r="C31" s="169"/>
      <c r="D31" s="169"/>
      <c r="E31" s="168"/>
      <c r="F31" s="168"/>
      <c r="G31" s="179"/>
      <c r="H31" s="179"/>
      <c r="I31" s="170"/>
      <c r="J31" s="171"/>
      <c r="K31" s="168"/>
      <c r="L31" s="168"/>
      <c r="M31" s="169"/>
      <c r="N31" s="169"/>
      <c r="O31" s="170"/>
      <c r="P31" s="171"/>
      <c r="Q31" s="180"/>
      <c r="R31" s="180"/>
      <c r="S31" s="156"/>
      <c r="T31" s="168"/>
      <c r="V31" s="173"/>
      <c r="Y31" s="181"/>
    </row>
    <row r="32" spans="1:25" ht="24" customHeight="1" x14ac:dyDescent="0.45">
      <c r="A32" s="168"/>
      <c r="B32" s="168"/>
      <c r="C32" s="169"/>
      <c r="D32" s="169"/>
      <c r="E32" s="168"/>
      <c r="F32" s="168"/>
      <c r="G32" s="179"/>
      <c r="H32" s="179"/>
      <c r="I32" s="170"/>
      <c r="J32" s="171"/>
      <c r="K32" s="168"/>
      <c r="L32" s="168"/>
      <c r="M32" s="169"/>
      <c r="N32" s="169"/>
      <c r="O32" s="170"/>
      <c r="P32" s="171"/>
      <c r="Q32" s="180"/>
      <c r="R32" s="180"/>
      <c r="S32" s="156"/>
      <c r="T32" s="168"/>
      <c r="V32" s="173"/>
      <c r="Y32" s="181"/>
    </row>
    <row r="33" spans="1:25" ht="24.6" customHeight="1" x14ac:dyDescent="0.45">
      <c r="A33" s="168"/>
      <c r="B33" s="168"/>
      <c r="C33" s="169"/>
      <c r="D33" s="169"/>
      <c r="E33" s="168"/>
      <c r="F33" s="168"/>
      <c r="G33" s="156"/>
      <c r="H33" s="156"/>
      <c r="I33" s="170"/>
      <c r="J33" s="171"/>
      <c r="K33" s="168"/>
      <c r="L33" s="168"/>
      <c r="M33" s="168"/>
      <c r="N33" s="168"/>
      <c r="O33" s="170"/>
      <c r="P33" s="171"/>
      <c r="Q33" s="172"/>
      <c r="R33" s="172"/>
      <c r="S33" s="170"/>
      <c r="T33" s="168"/>
      <c r="V33" s="173"/>
    </row>
    <row r="34" spans="1:25" ht="24" customHeight="1" x14ac:dyDescent="0.45">
      <c r="A34" s="168"/>
      <c r="B34" s="168"/>
      <c r="C34" s="169"/>
      <c r="D34" s="169"/>
      <c r="E34" s="168"/>
      <c r="F34" s="168"/>
      <c r="G34" s="179"/>
      <c r="H34" s="179"/>
      <c r="I34" s="170"/>
      <c r="J34" s="171"/>
      <c r="K34" s="168"/>
      <c r="L34" s="168"/>
      <c r="M34" s="169"/>
      <c r="N34" s="169"/>
      <c r="O34" s="170"/>
      <c r="P34" s="171"/>
      <c r="Q34" s="180"/>
      <c r="R34" s="180"/>
      <c r="S34" s="156"/>
      <c r="T34" s="168"/>
      <c r="V34" s="173"/>
      <c r="Y34" s="181"/>
    </row>
    <row r="35" spans="1:25" ht="24" customHeight="1" x14ac:dyDescent="0.45">
      <c r="A35" s="168"/>
      <c r="B35" s="168"/>
      <c r="C35" s="169"/>
      <c r="D35" s="169"/>
      <c r="E35" s="168"/>
      <c r="F35" s="168"/>
      <c r="G35" s="179"/>
      <c r="H35" s="179"/>
      <c r="I35" s="170"/>
      <c r="J35" s="171"/>
      <c r="K35" s="168"/>
      <c r="L35" s="168"/>
      <c r="M35" s="169"/>
      <c r="N35" s="169"/>
      <c r="O35" s="170"/>
      <c r="P35" s="171"/>
      <c r="Q35" s="180"/>
      <c r="R35" s="180"/>
      <c r="S35" s="156"/>
      <c r="T35" s="168"/>
      <c r="V35" s="173"/>
      <c r="Y35" s="181"/>
    </row>
    <row r="36" spans="1:25" ht="24" customHeight="1" x14ac:dyDescent="0.45">
      <c r="A36" s="168"/>
      <c r="B36" s="168"/>
      <c r="C36" s="169"/>
      <c r="D36" s="169"/>
      <c r="E36" s="168"/>
      <c r="F36" s="168"/>
      <c r="G36" s="179"/>
      <c r="H36" s="179"/>
      <c r="I36" s="170"/>
      <c r="J36" s="171"/>
      <c r="K36" s="168"/>
      <c r="L36" s="168"/>
      <c r="M36" s="169"/>
      <c r="N36" s="169"/>
      <c r="O36" s="170"/>
      <c r="P36" s="171"/>
      <c r="Q36" s="180"/>
      <c r="R36" s="180"/>
      <c r="S36" s="156"/>
      <c r="T36" s="168"/>
      <c r="V36" s="173"/>
      <c r="Y36" s="181"/>
    </row>
    <row r="37" spans="1:25" ht="24.6" customHeight="1" x14ac:dyDescent="0.45">
      <c r="A37" s="168"/>
      <c r="B37" s="168"/>
      <c r="C37" s="169"/>
      <c r="D37" s="169"/>
      <c r="E37" s="168"/>
      <c r="F37" s="168"/>
      <c r="G37" s="156"/>
      <c r="H37" s="156"/>
      <c r="I37" s="170"/>
      <c r="J37" s="171"/>
      <c r="K37" s="168"/>
      <c r="L37" s="168"/>
      <c r="M37" s="168"/>
      <c r="N37" s="168"/>
      <c r="O37" s="170"/>
      <c r="P37" s="171"/>
      <c r="Q37" s="172"/>
      <c r="R37" s="172"/>
      <c r="S37" s="170"/>
      <c r="T37" s="168"/>
      <c r="V37" s="173"/>
    </row>
    <row r="38" spans="1:25" ht="24" customHeight="1" x14ac:dyDescent="0.45">
      <c r="A38" s="168"/>
      <c r="B38" s="168"/>
      <c r="C38" s="169"/>
      <c r="D38" s="169"/>
      <c r="E38" s="168"/>
      <c r="F38" s="168"/>
      <c r="G38" s="179"/>
      <c r="H38" s="178"/>
      <c r="I38" s="170"/>
      <c r="J38" s="171"/>
      <c r="K38" s="168"/>
      <c r="L38" s="168"/>
      <c r="M38" s="169"/>
      <c r="N38" s="169"/>
      <c r="O38" s="170"/>
      <c r="P38" s="171"/>
      <c r="Q38" s="180"/>
      <c r="R38" s="180"/>
      <c r="S38" s="156"/>
      <c r="T38" s="168"/>
      <c r="V38" s="173"/>
      <c r="Y38" s="181"/>
    </row>
    <row r="39" spans="1:25" ht="24" customHeight="1" x14ac:dyDescent="0.45">
      <c r="A39" s="168"/>
      <c r="B39" s="168"/>
      <c r="C39" s="169"/>
      <c r="D39" s="169"/>
      <c r="E39" s="168"/>
      <c r="F39" s="168"/>
      <c r="G39" s="179"/>
      <c r="H39" s="178"/>
      <c r="I39" s="170"/>
      <c r="J39" s="171"/>
      <c r="K39" s="168"/>
      <c r="L39" s="168"/>
      <c r="M39" s="169"/>
      <c r="N39" s="169"/>
      <c r="O39" s="170"/>
      <c r="P39" s="171"/>
      <c r="Q39" s="180"/>
      <c r="R39" s="180"/>
      <c r="S39" s="156"/>
      <c r="T39" s="168"/>
      <c r="V39" s="173"/>
      <c r="Y39" s="181"/>
    </row>
    <row r="40" spans="1:25" ht="24.75" customHeight="1" x14ac:dyDescent="0.45">
      <c r="A40" s="168"/>
      <c r="B40" s="168"/>
      <c r="C40" s="169"/>
      <c r="D40" s="169"/>
      <c r="E40" s="168"/>
      <c r="F40" s="168"/>
      <c r="G40" s="156"/>
      <c r="H40" s="156"/>
      <c r="I40" s="170"/>
      <c r="J40" s="171"/>
      <c r="K40" s="168"/>
      <c r="L40" s="168"/>
      <c r="M40" s="168"/>
      <c r="N40" s="168"/>
      <c r="O40" s="170"/>
      <c r="P40" s="171"/>
      <c r="Q40" s="172"/>
      <c r="R40" s="172"/>
      <c r="S40" s="170"/>
      <c r="T40" s="168"/>
      <c r="V40" s="173"/>
    </row>
    <row r="41" spans="1:25" ht="24" customHeight="1" x14ac:dyDescent="0.45">
      <c r="A41" s="168"/>
      <c r="B41" s="168"/>
      <c r="C41" s="169"/>
      <c r="D41" s="169"/>
      <c r="E41" s="168"/>
      <c r="F41" s="168"/>
      <c r="G41" s="179"/>
      <c r="H41" s="179"/>
      <c r="I41" s="170"/>
      <c r="J41" s="171"/>
      <c r="K41" s="168"/>
      <c r="L41" s="168"/>
      <c r="M41" s="169"/>
      <c r="N41" s="169"/>
      <c r="O41" s="170"/>
      <c r="P41" s="171"/>
      <c r="Q41" s="180"/>
      <c r="R41" s="180"/>
      <c r="S41" s="156"/>
      <c r="T41" s="168"/>
      <c r="V41" s="173"/>
      <c r="Y41" s="181"/>
    </row>
    <row r="42" spans="1:25" ht="24" customHeight="1" x14ac:dyDescent="0.45">
      <c r="A42" s="168"/>
      <c r="B42" s="168"/>
      <c r="C42" s="169"/>
      <c r="D42" s="169"/>
      <c r="E42" s="168"/>
      <c r="F42" s="168"/>
      <c r="G42" s="179"/>
      <c r="H42" s="179"/>
      <c r="I42" s="170"/>
      <c r="J42" s="171"/>
      <c r="K42" s="168"/>
      <c r="L42" s="168"/>
      <c r="M42" s="169"/>
      <c r="N42" s="169"/>
      <c r="O42" s="170"/>
      <c r="P42" s="171"/>
      <c r="Q42" s="180"/>
      <c r="R42" s="180"/>
      <c r="S42" s="156"/>
      <c r="T42" s="168"/>
      <c r="V42" s="173"/>
      <c r="Y42" s="181"/>
    </row>
    <row r="43" spans="1:25" ht="24" customHeight="1" x14ac:dyDescent="0.45">
      <c r="A43" s="168"/>
      <c r="B43" s="168"/>
      <c r="C43" s="169"/>
      <c r="D43" s="169"/>
      <c r="E43" s="168"/>
      <c r="F43" s="168"/>
      <c r="G43" s="179"/>
      <c r="H43" s="179"/>
      <c r="I43" s="170"/>
      <c r="J43" s="171"/>
      <c r="K43" s="168"/>
      <c r="L43" s="168"/>
      <c r="M43" s="169"/>
      <c r="N43" s="169"/>
      <c r="O43" s="170"/>
      <c r="P43" s="171"/>
      <c r="Q43" s="180"/>
      <c r="R43" s="180"/>
      <c r="S43" s="156"/>
      <c r="T43" s="168"/>
      <c r="V43" s="173"/>
      <c r="Y43" s="181"/>
    </row>
    <row r="44" spans="1:25" ht="24.6" customHeight="1" x14ac:dyDescent="0.45">
      <c r="A44" s="168"/>
      <c r="B44" s="168"/>
      <c r="C44" s="169"/>
      <c r="D44" s="169"/>
      <c r="E44" s="168"/>
      <c r="F44" s="168"/>
      <c r="G44" s="156"/>
      <c r="H44" s="156"/>
      <c r="I44" s="170"/>
      <c r="J44" s="171"/>
      <c r="K44" s="168"/>
      <c r="L44" s="168"/>
      <c r="M44" s="168"/>
      <c r="N44" s="168"/>
      <c r="O44" s="170"/>
      <c r="P44" s="171"/>
      <c r="Q44" s="172"/>
      <c r="R44" s="172"/>
      <c r="S44" s="170"/>
      <c r="T44" s="168"/>
      <c r="V44" s="173"/>
    </row>
    <row r="45" spans="1:25" ht="24" customHeight="1" x14ac:dyDescent="0.45">
      <c r="A45" s="168"/>
      <c r="B45" s="168"/>
      <c r="C45" s="169"/>
      <c r="D45" s="169"/>
      <c r="E45" s="168"/>
      <c r="F45" s="168"/>
      <c r="G45" s="179"/>
      <c r="H45" s="179"/>
      <c r="I45" s="170"/>
      <c r="J45" s="171"/>
      <c r="K45" s="168"/>
      <c r="L45" s="168"/>
      <c r="M45" s="169"/>
      <c r="N45" s="169"/>
      <c r="O45" s="170"/>
      <c r="P45" s="171"/>
      <c r="Q45" s="180"/>
      <c r="R45" s="180"/>
      <c r="S45" s="156"/>
      <c r="T45" s="168"/>
      <c r="V45" s="173"/>
      <c r="Y45" s="181"/>
    </row>
    <row r="46" spans="1:25" ht="24" customHeight="1" x14ac:dyDescent="0.45">
      <c r="A46" s="168"/>
      <c r="B46" s="168"/>
      <c r="C46" s="169"/>
      <c r="D46" s="169"/>
      <c r="E46" s="168"/>
      <c r="F46" s="168"/>
      <c r="G46" s="179"/>
      <c r="H46" s="179"/>
      <c r="I46" s="170"/>
      <c r="J46" s="171"/>
      <c r="K46" s="168"/>
      <c r="L46" s="168"/>
      <c r="M46" s="169"/>
      <c r="N46" s="169"/>
      <c r="O46" s="170"/>
      <c r="P46" s="171"/>
      <c r="Q46" s="180"/>
      <c r="R46" s="180"/>
      <c r="S46" s="156"/>
      <c r="T46" s="168"/>
      <c r="V46" s="173"/>
      <c r="Y46" s="181"/>
    </row>
    <row r="47" spans="1:25" ht="24" customHeight="1" x14ac:dyDescent="0.45">
      <c r="A47" s="168"/>
      <c r="B47" s="168"/>
      <c r="C47" s="169"/>
      <c r="D47" s="169"/>
      <c r="E47" s="168"/>
      <c r="F47" s="168"/>
      <c r="G47" s="179"/>
      <c r="H47" s="179"/>
      <c r="I47" s="170"/>
      <c r="J47" s="171"/>
      <c r="K47" s="168"/>
      <c r="L47" s="168"/>
      <c r="M47" s="169"/>
      <c r="N47" s="169"/>
      <c r="O47" s="170"/>
      <c r="P47" s="171"/>
      <c r="Q47" s="180"/>
      <c r="R47" s="180"/>
      <c r="S47" s="156"/>
      <c r="T47" s="168"/>
      <c r="V47" s="173"/>
      <c r="Y47" s="181"/>
    </row>
    <row r="48" spans="1:25" ht="24.6" customHeight="1" x14ac:dyDescent="0.45">
      <c r="A48" s="168"/>
      <c r="B48" s="168"/>
      <c r="C48" s="169"/>
      <c r="D48" s="169"/>
      <c r="E48" s="168"/>
      <c r="F48" s="168"/>
      <c r="G48" s="156"/>
      <c r="H48" s="156"/>
      <c r="I48" s="170"/>
      <c r="J48" s="171"/>
      <c r="K48" s="168"/>
      <c r="L48" s="168"/>
      <c r="M48" s="168"/>
      <c r="N48" s="168"/>
      <c r="O48" s="170"/>
      <c r="P48" s="171"/>
      <c r="Q48" s="172"/>
      <c r="R48" s="172"/>
      <c r="S48" s="170"/>
      <c r="T48" s="168"/>
      <c r="V48" s="173"/>
    </row>
    <row r="49" spans="1:25" ht="24" customHeight="1" x14ac:dyDescent="0.45">
      <c r="A49" s="168"/>
      <c r="B49" s="168"/>
      <c r="C49" s="169"/>
      <c r="D49" s="169"/>
      <c r="E49" s="168"/>
      <c r="F49" s="168"/>
      <c r="G49" s="179"/>
      <c r="H49" s="179"/>
      <c r="I49" s="170"/>
      <c r="J49" s="171"/>
      <c r="K49" s="168"/>
      <c r="L49" s="168"/>
      <c r="M49" s="169"/>
      <c r="N49" s="169"/>
      <c r="O49" s="170"/>
      <c r="P49" s="171"/>
      <c r="Q49" s="180"/>
      <c r="R49" s="180"/>
      <c r="S49" s="156"/>
      <c r="T49" s="168"/>
      <c r="V49" s="173"/>
      <c r="Y49" s="181"/>
    </row>
    <row r="50" spans="1:25" ht="24" customHeight="1" x14ac:dyDescent="0.45">
      <c r="A50" s="168"/>
      <c r="B50" s="168"/>
      <c r="C50" s="169"/>
      <c r="D50" s="169"/>
      <c r="E50" s="168"/>
      <c r="F50" s="168"/>
      <c r="G50" s="179"/>
      <c r="H50" s="179"/>
      <c r="I50" s="170"/>
      <c r="J50" s="171"/>
      <c r="K50" s="168"/>
      <c r="L50" s="168"/>
      <c r="M50" s="169"/>
      <c r="N50" s="169"/>
      <c r="O50" s="170"/>
      <c r="P50" s="171"/>
      <c r="Q50" s="180"/>
      <c r="R50" s="180"/>
      <c r="S50" s="156"/>
      <c r="T50" s="168"/>
      <c r="V50" s="173"/>
      <c r="Y50" s="181"/>
    </row>
    <row r="51" spans="1:25" ht="24.75" customHeight="1" x14ac:dyDescent="0.45">
      <c r="A51" s="168"/>
      <c r="B51" s="168"/>
      <c r="C51" s="169"/>
      <c r="D51" s="169"/>
      <c r="E51" s="168"/>
      <c r="F51" s="168"/>
      <c r="G51" s="156"/>
      <c r="H51" s="156"/>
      <c r="I51" s="170"/>
      <c r="J51" s="171"/>
      <c r="K51" s="168"/>
      <c r="L51" s="168"/>
      <c r="M51" s="168"/>
      <c r="N51" s="168"/>
      <c r="O51" s="170"/>
      <c r="P51" s="171"/>
      <c r="Q51" s="172"/>
      <c r="R51" s="172"/>
      <c r="S51" s="170"/>
      <c r="T51" s="168"/>
      <c r="V51" s="173"/>
    </row>
    <row r="52" spans="1:25" ht="24.75" customHeight="1" x14ac:dyDescent="0.45">
      <c r="A52" s="168"/>
      <c r="B52" s="168"/>
      <c r="C52" s="169"/>
      <c r="D52" s="169"/>
      <c r="E52" s="168"/>
      <c r="F52" s="168"/>
      <c r="G52" s="156"/>
      <c r="H52" s="156"/>
      <c r="I52" s="156"/>
      <c r="J52" s="156"/>
      <c r="K52" s="168"/>
      <c r="L52" s="168"/>
      <c r="M52" s="168"/>
      <c r="N52" s="168"/>
      <c r="O52" s="156"/>
      <c r="P52" s="157"/>
      <c r="Q52" s="172"/>
      <c r="R52" s="172"/>
      <c r="S52" s="170"/>
      <c r="T52" s="168"/>
      <c r="V52" s="173"/>
    </row>
    <row r="53" spans="1:25" ht="24.75" customHeight="1" x14ac:dyDescent="0.45">
      <c r="A53" s="168"/>
      <c r="B53" s="168"/>
      <c r="C53" s="169"/>
      <c r="D53" s="169"/>
      <c r="E53" s="168"/>
      <c r="F53" s="168"/>
      <c r="G53" s="156"/>
      <c r="H53" s="156"/>
      <c r="I53" s="156"/>
      <c r="J53" s="156"/>
      <c r="K53" s="168"/>
      <c r="L53" s="168"/>
      <c r="M53" s="168"/>
      <c r="N53" s="168"/>
      <c r="O53" s="156"/>
      <c r="P53" s="157"/>
      <c r="Q53" s="172"/>
      <c r="R53" s="172"/>
      <c r="S53" s="170"/>
      <c r="T53" s="168"/>
      <c r="V53" s="173"/>
    </row>
    <row r="54" spans="1:25" ht="24.75" customHeight="1" x14ac:dyDescent="0.45">
      <c r="A54" s="168"/>
      <c r="B54" s="168"/>
      <c r="C54" s="169"/>
      <c r="D54" s="169"/>
      <c r="E54" s="168"/>
      <c r="F54" s="168"/>
      <c r="G54" s="156"/>
      <c r="H54" s="156"/>
      <c r="I54" s="170"/>
      <c r="J54" s="171"/>
      <c r="K54" s="168"/>
      <c r="L54" s="168"/>
      <c r="M54" s="168"/>
      <c r="N54" s="168"/>
      <c r="O54" s="170"/>
      <c r="P54" s="171"/>
      <c r="Q54" s="172"/>
      <c r="R54" s="172"/>
      <c r="S54" s="170"/>
      <c r="T54" s="168"/>
      <c r="V54" s="173"/>
    </row>
    <row r="55" spans="1:25" ht="24" customHeight="1" x14ac:dyDescent="0.45">
      <c r="A55" s="168"/>
      <c r="B55" s="168"/>
      <c r="C55" s="169"/>
      <c r="D55" s="169"/>
      <c r="E55" s="168"/>
      <c r="F55" s="168"/>
      <c r="G55" s="179"/>
      <c r="H55" s="179"/>
      <c r="I55" s="170"/>
      <c r="J55" s="171"/>
      <c r="K55" s="168"/>
      <c r="L55" s="168"/>
      <c r="M55" s="169"/>
      <c r="N55" s="169"/>
      <c r="O55" s="170"/>
      <c r="P55" s="171"/>
      <c r="Q55" s="180"/>
      <c r="R55" s="180"/>
      <c r="S55" s="156"/>
      <c r="T55" s="168"/>
      <c r="V55" s="173"/>
      <c r="Y55" s="181"/>
    </row>
    <row r="56" spans="1:25" ht="24" customHeight="1" x14ac:dyDescent="0.45">
      <c r="A56" s="168"/>
      <c r="B56" s="168"/>
      <c r="C56" s="169"/>
      <c r="D56" s="169"/>
      <c r="E56" s="168"/>
      <c r="F56" s="168"/>
      <c r="G56" s="179"/>
      <c r="H56" s="179"/>
      <c r="I56" s="170"/>
      <c r="J56" s="171"/>
      <c r="K56" s="168"/>
      <c r="L56" s="168"/>
      <c r="M56" s="169"/>
      <c r="N56" s="169"/>
      <c r="O56" s="170"/>
      <c r="P56" s="171"/>
      <c r="Q56" s="180"/>
      <c r="R56" s="180"/>
      <c r="S56" s="156"/>
      <c r="T56" s="168"/>
      <c r="V56" s="173"/>
      <c r="Y56" s="181"/>
    </row>
    <row r="57" spans="1:25" ht="24.75" customHeight="1" x14ac:dyDescent="0.45">
      <c r="A57" s="168"/>
      <c r="B57" s="168"/>
      <c r="C57" s="169"/>
      <c r="D57" s="169"/>
      <c r="E57" s="168"/>
      <c r="F57" s="168"/>
      <c r="G57" s="156"/>
      <c r="H57" s="156"/>
      <c r="I57" s="170"/>
      <c r="J57" s="171"/>
      <c r="K57" s="168"/>
      <c r="L57" s="168"/>
      <c r="M57" s="168"/>
      <c r="N57" s="168"/>
      <c r="O57" s="170"/>
      <c r="P57" s="171"/>
      <c r="Q57" s="172"/>
      <c r="R57" s="172"/>
      <c r="S57" s="170"/>
      <c r="T57" s="168"/>
      <c r="V57" s="173"/>
    </row>
    <row r="58" spans="1:25" ht="24" customHeight="1" x14ac:dyDescent="0.45">
      <c r="A58" s="168"/>
      <c r="B58" s="168"/>
      <c r="C58" s="169"/>
      <c r="D58" s="169"/>
      <c r="E58" s="168"/>
      <c r="F58" s="168"/>
      <c r="G58" s="179"/>
      <c r="H58" s="179"/>
      <c r="I58" s="170"/>
      <c r="J58" s="171"/>
      <c r="K58" s="168"/>
      <c r="L58" s="168"/>
      <c r="M58" s="169"/>
      <c r="N58" s="169"/>
      <c r="O58" s="170"/>
      <c r="P58" s="171"/>
      <c r="Q58" s="180"/>
      <c r="R58" s="180"/>
      <c r="S58" s="156"/>
      <c r="T58" s="168"/>
      <c r="V58" s="173"/>
      <c r="Y58" s="181"/>
    </row>
    <row r="59" spans="1:25" ht="24" customHeight="1" x14ac:dyDescent="0.45">
      <c r="A59" s="168"/>
      <c r="B59" s="168"/>
      <c r="C59" s="169"/>
      <c r="D59" s="169"/>
      <c r="E59" s="168"/>
      <c r="F59" s="168"/>
      <c r="G59" s="179"/>
      <c r="H59" s="179"/>
      <c r="I59" s="170"/>
      <c r="J59" s="171"/>
      <c r="K59" s="168"/>
      <c r="L59" s="168"/>
      <c r="M59" s="169"/>
      <c r="N59" s="169"/>
      <c r="O59" s="170"/>
      <c r="P59" s="171"/>
      <c r="Q59" s="180"/>
      <c r="R59" s="180"/>
      <c r="S59" s="156"/>
      <c r="T59" s="168"/>
      <c r="V59" s="173"/>
      <c r="Y59" s="181"/>
    </row>
    <row r="60" spans="1:25" ht="24.75" customHeight="1" x14ac:dyDescent="0.45">
      <c r="A60" s="168"/>
      <c r="B60" s="168"/>
      <c r="C60" s="169"/>
      <c r="D60" s="169"/>
      <c r="E60" s="168"/>
      <c r="F60" s="168"/>
      <c r="G60" s="156"/>
      <c r="H60" s="156"/>
      <c r="I60" s="170"/>
      <c r="J60" s="171"/>
      <c r="K60" s="168"/>
      <c r="L60" s="168"/>
      <c r="M60" s="168"/>
      <c r="N60" s="168"/>
      <c r="O60" s="170"/>
      <c r="P60" s="171"/>
      <c r="Q60" s="172"/>
      <c r="R60" s="172"/>
      <c r="S60" s="170"/>
      <c r="T60" s="168"/>
      <c r="V60" s="173"/>
    </row>
    <row r="61" spans="1:25" ht="24" customHeight="1" x14ac:dyDescent="0.45">
      <c r="A61" s="168"/>
      <c r="B61" s="168"/>
      <c r="C61" s="169"/>
      <c r="D61" s="169"/>
      <c r="E61" s="168"/>
      <c r="F61" s="168"/>
      <c r="G61" s="179"/>
      <c r="H61" s="179"/>
      <c r="I61" s="170"/>
      <c r="J61" s="171"/>
      <c r="K61" s="168"/>
      <c r="L61" s="168"/>
      <c r="M61" s="169"/>
      <c r="N61" s="169"/>
      <c r="O61" s="170"/>
      <c r="P61" s="171"/>
      <c r="Q61" s="180"/>
      <c r="R61" s="180"/>
      <c r="S61" s="156"/>
      <c r="T61" s="168"/>
      <c r="V61" s="173"/>
      <c r="Y61" s="181"/>
    </row>
    <row r="62" spans="1:25" ht="24" customHeight="1" x14ac:dyDescent="0.45">
      <c r="A62" s="168"/>
      <c r="B62" s="168"/>
      <c r="C62" s="169"/>
      <c r="D62" s="169"/>
      <c r="E62" s="168"/>
      <c r="F62" s="168"/>
      <c r="G62" s="179"/>
      <c r="H62" s="179"/>
      <c r="I62" s="170"/>
      <c r="J62" s="171"/>
      <c r="K62" s="168"/>
      <c r="L62" s="168"/>
      <c r="M62" s="169"/>
      <c r="N62" s="169"/>
      <c r="O62" s="170"/>
      <c r="P62" s="171"/>
      <c r="Q62" s="180"/>
      <c r="R62" s="180"/>
      <c r="S62" s="156"/>
      <c r="T62" s="168"/>
      <c r="V62" s="173"/>
      <c r="Y62" s="181"/>
    </row>
    <row r="63" spans="1:25" ht="24.75" customHeight="1" x14ac:dyDescent="0.45">
      <c r="A63" s="168"/>
      <c r="B63" s="168"/>
      <c r="C63" s="169"/>
      <c r="D63" s="169"/>
      <c r="E63" s="168"/>
      <c r="F63" s="168"/>
      <c r="G63" s="156"/>
      <c r="H63" s="156"/>
      <c r="I63" s="170"/>
      <c r="J63" s="171"/>
      <c r="K63" s="168"/>
      <c r="L63" s="168"/>
      <c r="M63" s="168"/>
      <c r="N63" s="168"/>
      <c r="O63" s="170"/>
      <c r="P63" s="171"/>
      <c r="Q63" s="172"/>
      <c r="R63" s="172"/>
      <c r="S63" s="170"/>
      <c r="T63" s="168"/>
      <c r="V63" s="173"/>
    </row>
    <row r="64" spans="1:25" ht="24" customHeight="1" x14ac:dyDescent="0.45">
      <c r="A64" s="168"/>
      <c r="B64" s="168"/>
      <c r="C64" s="169"/>
      <c r="D64" s="169"/>
      <c r="E64" s="168"/>
      <c r="F64" s="168"/>
      <c r="G64" s="179"/>
      <c r="H64" s="179"/>
      <c r="I64" s="170"/>
      <c r="J64" s="171"/>
      <c r="K64" s="168"/>
      <c r="L64" s="168"/>
      <c r="M64" s="169"/>
      <c r="N64" s="169"/>
      <c r="O64" s="170"/>
      <c r="P64" s="171"/>
      <c r="Q64" s="180"/>
      <c r="R64" s="180"/>
      <c r="S64" s="156"/>
      <c r="T64" s="168"/>
      <c r="V64" s="173"/>
      <c r="Y64" s="181"/>
    </row>
    <row r="65" spans="1:25" ht="24" customHeight="1" x14ac:dyDescent="0.45">
      <c r="A65" s="168"/>
      <c r="B65" s="168"/>
      <c r="C65" s="169"/>
      <c r="D65" s="169"/>
      <c r="E65" s="168"/>
      <c r="F65" s="168"/>
      <c r="G65" s="179"/>
      <c r="H65" s="179"/>
      <c r="I65" s="170"/>
      <c r="J65" s="171"/>
      <c r="K65" s="168"/>
      <c r="L65" s="168"/>
      <c r="M65" s="169"/>
      <c r="N65" s="169"/>
      <c r="O65" s="170"/>
      <c r="P65" s="171"/>
      <c r="Q65" s="180"/>
      <c r="R65" s="180"/>
      <c r="S65" s="156"/>
      <c r="T65" s="168"/>
      <c r="V65" s="173"/>
      <c r="Y65" s="181"/>
    </row>
    <row r="66" spans="1:25" ht="24.75" customHeight="1" x14ac:dyDescent="0.45">
      <c r="A66" s="168"/>
      <c r="B66" s="168"/>
      <c r="C66" s="169"/>
      <c r="D66" s="169"/>
      <c r="E66" s="168"/>
      <c r="F66" s="168"/>
      <c r="G66" s="156"/>
      <c r="H66" s="156"/>
      <c r="I66" s="170"/>
      <c r="J66" s="171"/>
      <c r="K66" s="168"/>
      <c r="L66" s="168"/>
      <c r="M66" s="168"/>
      <c r="N66" s="168"/>
      <c r="O66" s="170"/>
      <c r="P66" s="171"/>
      <c r="Q66" s="172"/>
      <c r="R66" s="172"/>
      <c r="S66" s="170"/>
      <c r="T66" s="168"/>
      <c r="V66" s="173"/>
    </row>
    <row r="67" spans="1:25" ht="24" customHeight="1" x14ac:dyDescent="0.45">
      <c r="A67" s="168"/>
      <c r="B67" s="168"/>
      <c r="C67" s="169"/>
      <c r="D67" s="169"/>
      <c r="E67" s="168"/>
      <c r="F67" s="168"/>
      <c r="G67" s="179"/>
      <c r="H67" s="178"/>
      <c r="I67" s="170"/>
      <c r="J67" s="171"/>
      <c r="K67" s="168"/>
      <c r="L67" s="168"/>
      <c r="M67" s="169"/>
      <c r="N67" s="169"/>
      <c r="O67" s="170"/>
      <c r="P67" s="171"/>
      <c r="Q67" s="180"/>
      <c r="R67" s="180"/>
      <c r="S67" s="156"/>
      <c r="T67" s="168"/>
      <c r="V67" s="173"/>
      <c r="Y67" s="181"/>
    </row>
    <row r="68" spans="1:25" ht="24" customHeight="1" x14ac:dyDescent="0.45">
      <c r="A68" s="168"/>
      <c r="B68" s="168"/>
      <c r="C68" s="169"/>
      <c r="D68" s="169"/>
      <c r="E68" s="168"/>
      <c r="F68" s="168"/>
      <c r="G68" s="179"/>
      <c r="H68" s="178"/>
      <c r="I68" s="170"/>
      <c r="J68" s="171"/>
      <c r="K68" s="168"/>
      <c r="L68" s="168"/>
      <c r="M68" s="169"/>
      <c r="N68" s="169"/>
      <c r="O68" s="170"/>
      <c r="P68" s="171"/>
      <c r="Q68" s="180"/>
      <c r="R68" s="180"/>
      <c r="S68" s="156"/>
      <c r="T68" s="168"/>
      <c r="V68" s="173"/>
      <c r="Y68" s="181"/>
    </row>
    <row r="69" spans="1:25" ht="24.75" customHeight="1" x14ac:dyDescent="0.45">
      <c r="A69" s="168"/>
      <c r="B69" s="168"/>
      <c r="C69" s="169"/>
      <c r="D69" s="169"/>
      <c r="E69" s="168"/>
      <c r="F69" s="168"/>
      <c r="G69" s="156"/>
      <c r="H69" s="156"/>
      <c r="I69" s="170"/>
      <c r="J69" s="171"/>
      <c r="K69" s="168"/>
      <c r="L69" s="168"/>
      <c r="M69" s="168"/>
      <c r="N69" s="168"/>
      <c r="O69" s="170"/>
      <c r="P69" s="171"/>
      <c r="Q69" s="172"/>
      <c r="R69" s="172"/>
      <c r="S69" s="170"/>
      <c r="T69" s="168"/>
      <c r="V69" s="173"/>
    </row>
    <row r="70" spans="1:25" ht="24" customHeight="1" x14ac:dyDescent="0.45">
      <c r="A70" s="168"/>
      <c r="B70" s="168"/>
      <c r="C70" s="169"/>
      <c r="D70" s="169"/>
      <c r="E70" s="168"/>
      <c r="F70" s="168"/>
      <c r="G70" s="179"/>
      <c r="H70" s="179"/>
      <c r="I70" s="170"/>
      <c r="J70" s="171"/>
      <c r="K70" s="168"/>
      <c r="L70" s="168"/>
      <c r="M70" s="169"/>
      <c r="N70" s="169"/>
      <c r="O70" s="170"/>
      <c r="P70" s="171"/>
      <c r="Q70" s="180"/>
      <c r="R70" s="180"/>
      <c r="S70" s="156"/>
      <c r="T70" s="168"/>
      <c r="V70" s="173"/>
      <c r="Y70" s="181"/>
    </row>
    <row r="71" spans="1:25" ht="24" customHeight="1" x14ac:dyDescent="0.45">
      <c r="A71" s="168"/>
      <c r="B71" s="168"/>
      <c r="C71" s="169"/>
      <c r="D71" s="169"/>
      <c r="E71" s="168"/>
      <c r="F71" s="168"/>
      <c r="G71" s="179"/>
      <c r="H71" s="179"/>
      <c r="I71" s="170"/>
      <c r="J71" s="171"/>
      <c r="K71" s="168"/>
      <c r="L71" s="168"/>
      <c r="M71" s="169"/>
      <c r="N71" s="169"/>
      <c r="O71" s="170"/>
      <c r="P71" s="171"/>
      <c r="Q71" s="180"/>
      <c r="R71" s="180"/>
      <c r="S71" s="156"/>
      <c r="T71" s="168"/>
      <c r="V71" s="173"/>
      <c r="Y71" s="181"/>
    </row>
    <row r="72" spans="1:25" ht="24.75" customHeight="1" x14ac:dyDescent="0.45">
      <c r="A72" s="168"/>
      <c r="B72" s="168"/>
      <c r="C72" s="169"/>
      <c r="D72" s="169"/>
      <c r="E72" s="168"/>
      <c r="F72" s="168"/>
      <c r="G72" s="156"/>
      <c r="H72" s="156"/>
      <c r="I72" s="170"/>
      <c r="J72" s="171"/>
      <c r="K72" s="168"/>
      <c r="L72" s="168"/>
      <c r="M72" s="168"/>
      <c r="N72" s="168"/>
      <c r="O72" s="170"/>
      <c r="P72" s="171"/>
      <c r="Q72" s="172"/>
      <c r="R72" s="172"/>
      <c r="S72" s="170"/>
      <c r="T72" s="168"/>
      <c r="V72" s="173"/>
    </row>
    <row r="73" spans="1:25" ht="24" customHeight="1" x14ac:dyDescent="0.45">
      <c r="A73" s="168"/>
      <c r="B73" s="168"/>
      <c r="C73" s="169"/>
      <c r="D73" s="169"/>
      <c r="E73" s="168"/>
      <c r="F73" s="168"/>
      <c r="G73" s="179"/>
      <c r="H73" s="179"/>
      <c r="I73" s="170"/>
      <c r="J73" s="171"/>
      <c r="K73" s="168"/>
      <c r="L73" s="168"/>
      <c r="M73" s="169"/>
      <c r="N73" s="169"/>
      <c r="O73" s="170"/>
      <c r="P73" s="171"/>
      <c r="Q73" s="180"/>
      <c r="R73" s="180"/>
      <c r="S73" s="156"/>
      <c r="T73" s="168"/>
      <c r="V73" s="173"/>
      <c r="Y73" s="181"/>
    </row>
    <row r="74" spans="1:25" ht="24" customHeight="1" x14ac:dyDescent="0.45">
      <c r="A74" s="168"/>
      <c r="B74" s="168"/>
      <c r="C74" s="169"/>
      <c r="D74" s="169"/>
      <c r="E74" s="168"/>
      <c r="F74" s="168"/>
      <c r="G74" s="179"/>
      <c r="H74" s="179"/>
      <c r="I74" s="170"/>
      <c r="J74" s="171"/>
      <c r="K74" s="168"/>
      <c r="L74" s="168"/>
      <c r="M74" s="169"/>
      <c r="N74" s="169"/>
      <c r="O74" s="170"/>
      <c r="P74" s="171"/>
      <c r="Q74" s="180"/>
      <c r="R74" s="180"/>
      <c r="S74" s="156"/>
      <c r="T74" s="168"/>
      <c r="V74" s="173"/>
      <c r="Y74" s="181"/>
    </row>
    <row r="75" spans="1:25" ht="24.75" customHeight="1" x14ac:dyDescent="0.45">
      <c r="A75" s="168"/>
      <c r="B75" s="168"/>
      <c r="C75" s="169"/>
      <c r="D75" s="169"/>
      <c r="E75" s="168"/>
      <c r="F75" s="168"/>
      <c r="G75" s="156"/>
      <c r="H75" s="156"/>
      <c r="I75" s="170"/>
      <c r="J75" s="171"/>
      <c r="K75" s="168"/>
      <c r="L75" s="168"/>
      <c r="M75" s="168"/>
      <c r="N75" s="168"/>
      <c r="O75" s="170"/>
      <c r="P75" s="171"/>
      <c r="Q75" s="172"/>
      <c r="R75" s="172"/>
      <c r="S75" s="170"/>
      <c r="T75" s="168"/>
      <c r="V75" s="173"/>
    </row>
    <row r="76" spans="1:25" ht="24" customHeight="1" x14ac:dyDescent="0.45">
      <c r="A76" s="168"/>
      <c r="B76" s="168"/>
      <c r="C76" s="169"/>
      <c r="D76" s="169"/>
      <c r="E76" s="168"/>
      <c r="F76" s="168"/>
      <c r="G76" s="179"/>
      <c r="H76" s="179"/>
      <c r="I76" s="170"/>
      <c r="J76" s="171"/>
      <c r="K76" s="168"/>
      <c r="L76" s="168"/>
      <c r="M76" s="169"/>
      <c r="N76" s="169"/>
      <c r="O76" s="170"/>
      <c r="P76" s="171"/>
      <c r="Q76" s="180"/>
      <c r="R76" s="180"/>
      <c r="S76" s="156"/>
      <c r="T76" s="168"/>
      <c r="V76" s="173"/>
      <c r="Y76" s="181"/>
    </row>
    <row r="77" spans="1:25" ht="24" customHeight="1" x14ac:dyDescent="0.45">
      <c r="A77" s="168"/>
      <c r="B77" s="168"/>
      <c r="C77" s="169"/>
      <c r="D77" s="169"/>
      <c r="E77" s="168"/>
      <c r="F77" s="168"/>
      <c r="G77" s="179"/>
      <c r="H77" s="179"/>
      <c r="I77" s="170"/>
      <c r="J77" s="171"/>
      <c r="K77" s="168"/>
      <c r="L77" s="168"/>
      <c r="M77" s="169"/>
      <c r="N77" s="169"/>
      <c r="O77" s="170"/>
      <c r="P77" s="171"/>
      <c r="Q77" s="180"/>
      <c r="R77" s="180"/>
      <c r="S77" s="156"/>
      <c r="T77" s="168"/>
      <c r="V77" s="173"/>
      <c r="Y77" s="181"/>
    </row>
    <row r="78" spans="1:25" ht="24.75" customHeight="1" x14ac:dyDescent="0.45">
      <c r="A78" s="168"/>
      <c r="B78" s="168"/>
      <c r="C78" s="169"/>
      <c r="D78" s="169"/>
      <c r="E78" s="168"/>
      <c r="F78" s="168"/>
      <c r="G78" s="156"/>
      <c r="H78" s="156"/>
      <c r="I78" s="170"/>
      <c r="J78" s="171"/>
      <c r="K78" s="168"/>
      <c r="L78" s="168"/>
      <c r="M78" s="168"/>
      <c r="N78" s="168"/>
      <c r="O78" s="170"/>
      <c r="P78" s="171"/>
      <c r="Q78" s="172"/>
      <c r="R78" s="172"/>
      <c r="S78" s="170"/>
      <c r="T78" s="168"/>
      <c r="V78" s="173"/>
    </row>
    <row r="79" spans="1:25" ht="24" customHeight="1" x14ac:dyDescent="0.45">
      <c r="A79" s="168"/>
      <c r="B79" s="168"/>
      <c r="C79" s="169"/>
      <c r="D79" s="169"/>
      <c r="E79" s="168"/>
      <c r="F79" s="168"/>
      <c r="G79" s="179"/>
      <c r="H79" s="179"/>
      <c r="I79" s="170"/>
      <c r="J79" s="171"/>
      <c r="K79" s="168"/>
      <c r="L79" s="168"/>
      <c r="M79" s="169"/>
      <c r="N79" s="169"/>
      <c r="O79" s="170"/>
      <c r="P79" s="171"/>
      <c r="Q79" s="180"/>
      <c r="R79" s="180"/>
      <c r="S79" s="156"/>
      <c r="T79" s="168"/>
      <c r="V79" s="173"/>
      <c r="Y79" s="181"/>
    </row>
    <row r="80" spans="1:25" ht="24" customHeight="1" x14ac:dyDescent="0.45">
      <c r="A80" s="168"/>
      <c r="B80" s="168"/>
      <c r="C80" s="169"/>
      <c r="D80" s="169"/>
      <c r="E80" s="168"/>
      <c r="F80" s="168"/>
      <c r="G80" s="179"/>
      <c r="H80" s="179"/>
      <c r="I80" s="170"/>
      <c r="J80" s="171"/>
      <c r="K80" s="168"/>
      <c r="L80" s="168"/>
      <c r="M80" s="169"/>
      <c r="N80" s="169"/>
      <c r="O80" s="170"/>
      <c r="P80" s="171"/>
      <c r="Q80" s="180"/>
      <c r="R80" s="180"/>
      <c r="S80" s="156"/>
      <c r="T80" s="168"/>
      <c r="V80" s="173"/>
      <c r="Y80" s="181"/>
    </row>
    <row r="81" spans="1:25" ht="24.75" customHeight="1" x14ac:dyDescent="0.45">
      <c r="A81" s="168"/>
      <c r="B81" s="168"/>
      <c r="C81" s="169"/>
      <c r="D81" s="169"/>
      <c r="E81" s="168"/>
      <c r="F81" s="168"/>
      <c r="G81" s="156"/>
      <c r="H81" s="156"/>
      <c r="I81" s="170"/>
      <c r="J81" s="171"/>
      <c r="K81" s="168"/>
      <c r="L81" s="168"/>
      <c r="M81" s="168"/>
      <c r="N81" s="168"/>
      <c r="O81" s="170"/>
      <c r="P81" s="171"/>
      <c r="Q81" s="172"/>
      <c r="R81" s="172"/>
      <c r="S81" s="170"/>
      <c r="T81" s="168"/>
      <c r="V81" s="173"/>
    </row>
    <row r="82" spans="1:25" ht="24" customHeight="1" x14ac:dyDescent="0.45">
      <c r="A82" s="168"/>
      <c r="B82" s="168"/>
      <c r="C82" s="169"/>
      <c r="D82" s="169"/>
      <c r="E82" s="168"/>
      <c r="F82" s="168"/>
      <c r="G82" s="179"/>
      <c r="H82" s="179"/>
      <c r="I82" s="170"/>
      <c r="J82" s="171"/>
      <c r="K82" s="168"/>
      <c r="L82" s="168"/>
      <c r="M82" s="169"/>
      <c r="N82" s="169"/>
      <c r="O82" s="170"/>
      <c r="P82" s="171"/>
      <c r="Q82" s="180"/>
      <c r="R82" s="180"/>
      <c r="S82" s="156"/>
      <c r="T82" s="168"/>
      <c r="V82" s="173"/>
      <c r="Y82" s="181"/>
    </row>
    <row r="83" spans="1:25" ht="24" customHeight="1" x14ac:dyDescent="0.45">
      <c r="A83" s="168"/>
      <c r="B83" s="168"/>
      <c r="C83" s="169"/>
      <c r="D83" s="169"/>
      <c r="E83" s="168"/>
      <c r="F83" s="168"/>
      <c r="G83" s="179"/>
      <c r="H83" s="179"/>
      <c r="I83" s="170"/>
      <c r="J83" s="171"/>
      <c r="K83" s="168"/>
      <c r="L83" s="168"/>
      <c r="M83" s="169"/>
      <c r="N83" s="169"/>
      <c r="O83" s="170"/>
      <c r="P83" s="171"/>
      <c r="Q83" s="180"/>
      <c r="R83" s="180"/>
      <c r="S83" s="156"/>
      <c r="T83" s="168"/>
      <c r="V83" s="173"/>
      <c r="Y83" s="181"/>
    </row>
    <row r="84" spans="1:25" ht="24.75" customHeight="1" x14ac:dyDescent="0.45">
      <c r="A84" s="168"/>
      <c r="B84" s="168"/>
      <c r="C84" s="169"/>
      <c r="D84" s="169"/>
      <c r="E84" s="168"/>
      <c r="F84" s="168"/>
      <c r="G84" s="156"/>
      <c r="H84" s="156"/>
      <c r="I84" s="170"/>
      <c r="J84" s="171"/>
      <c r="K84" s="168"/>
      <c r="L84" s="168"/>
      <c r="M84" s="168"/>
      <c r="N84" s="168"/>
      <c r="O84" s="170"/>
      <c r="P84" s="171"/>
      <c r="Q84" s="172"/>
      <c r="R84" s="172"/>
      <c r="S84" s="170"/>
      <c r="T84" s="168"/>
      <c r="V84" s="173"/>
    </row>
    <row r="85" spans="1:25" ht="24" customHeight="1" x14ac:dyDescent="0.45">
      <c r="A85" s="168"/>
      <c r="B85" s="168"/>
      <c r="C85" s="169"/>
      <c r="D85" s="169"/>
      <c r="E85" s="168"/>
      <c r="F85" s="168"/>
      <c r="G85" s="179"/>
      <c r="H85" s="179"/>
      <c r="I85" s="170"/>
      <c r="J85" s="171"/>
      <c r="K85" s="168"/>
      <c r="L85" s="168"/>
      <c r="M85" s="169"/>
      <c r="N85" s="169"/>
      <c r="O85" s="170"/>
      <c r="P85" s="171"/>
      <c r="Q85" s="180"/>
      <c r="R85" s="180"/>
      <c r="S85" s="156"/>
      <c r="T85" s="168"/>
      <c r="V85" s="173"/>
      <c r="Y85" s="181"/>
    </row>
    <row r="86" spans="1:25" ht="24" customHeight="1" x14ac:dyDescent="0.45">
      <c r="A86" s="168"/>
      <c r="B86" s="168"/>
      <c r="C86" s="169"/>
      <c r="D86" s="169"/>
      <c r="E86" s="168"/>
      <c r="F86" s="168"/>
      <c r="G86" s="179"/>
      <c r="H86" s="179"/>
      <c r="I86" s="170"/>
      <c r="J86" s="171"/>
      <c r="K86" s="168"/>
      <c r="L86" s="168"/>
      <c r="M86" s="169"/>
      <c r="N86" s="169"/>
      <c r="O86" s="170"/>
      <c r="P86" s="171"/>
      <c r="Q86" s="180"/>
      <c r="R86" s="180"/>
      <c r="S86" s="156"/>
      <c r="T86" s="168"/>
      <c r="V86" s="173"/>
      <c r="Y86" s="181"/>
    </row>
    <row r="87" spans="1:25" ht="24.75" customHeight="1" x14ac:dyDescent="0.45">
      <c r="A87" s="168"/>
      <c r="B87" s="168"/>
      <c r="C87" s="169"/>
      <c r="D87" s="169"/>
      <c r="E87" s="168"/>
      <c r="F87" s="168"/>
      <c r="G87" s="156"/>
      <c r="H87" s="156"/>
      <c r="I87" s="170"/>
      <c r="J87" s="171"/>
      <c r="K87" s="168"/>
      <c r="L87" s="168"/>
      <c r="M87" s="168"/>
      <c r="N87" s="168"/>
      <c r="O87" s="170"/>
      <c r="P87" s="171"/>
      <c r="Q87" s="172"/>
      <c r="R87" s="172"/>
      <c r="S87" s="170"/>
      <c r="T87" s="168"/>
      <c r="V87" s="173"/>
    </row>
    <row r="88" spans="1:25" ht="24" customHeight="1" x14ac:dyDescent="0.45">
      <c r="A88" s="168"/>
      <c r="B88" s="168"/>
      <c r="C88" s="169"/>
      <c r="D88" s="169"/>
      <c r="E88" s="168"/>
      <c r="F88" s="168"/>
      <c r="G88" s="179"/>
      <c r="H88" s="179"/>
      <c r="I88" s="170"/>
      <c r="J88" s="171"/>
      <c r="K88" s="168"/>
      <c r="L88" s="168"/>
      <c r="M88" s="169"/>
      <c r="N88" s="169"/>
      <c r="O88" s="170"/>
      <c r="P88" s="171"/>
      <c r="Q88" s="180"/>
      <c r="R88" s="180"/>
      <c r="S88" s="156"/>
      <c r="T88" s="168"/>
      <c r="V88" s="173"/>
      <c r="Y88" s="181"/>
    </row>
    <row r="89" spans="1:25" ht="24" customHeight="1" x14ac:dyDescent="0.45">
      <c r="A89" s="168"/>
      <c r="B89" s="168"/>
      <c r="C89" s="169"/>
      <c r="D89" s="169"/>
      <c r="E89" s="168"/>
      <c r="F89" s="168"/>
      <c r="G89" s="179"/>
      <c r="H89" s="179"/>
      <c r="I89" s="170"/>
      <c r="J89" s="171"/>
      <c r="K89" s="168"/>
      <c r="L89" s="168"/>
      <c r="M89" s="169"/>
      <c r="N89" s="169"/>
      <c r="O89" s="170"/>
      <c r="P89" s="171"/>
      <c r="Q89" s="180"/>
      <c r="R89" s="180"/>
      <c r="S89" s="156"/>
      <c r="T89" s="168"/>
      <c r="V89" s="173"/>
      <c r="Y89" s="181"/>
    </row>
    <row r="90" spans="1:25" ht="24.75" customHeight="1" x14ac:dyDescent="0.45">
      <c r="A90" s="168"/>
      <c r="B90" s="168"/>
      <c r="C90" s="169"/>
      <c r="D90" s="169"/>
      <c r="E90" s="168"/>
      <c r="F90" s="168"/>
      <c r="G90" s="156"/>
      <c r="H90" s="156"/>
      <c r="I90" s="170"/>
      <c r="J90" s="171"/>
      <c r="K90" s="168"/>
      <c r="L90" s="168"/>
      <c r="M90" s="168"/>
      <c r="N90" s="168"/>
      <c r="O90" s="170"/>
      <c r="P90" s="171"/>
      <c r="Q90" s="172"/>
      <c r="R90" s="172"/>
      <c r="S90" s="170"/>
      <c r="T90" s="168"/>
      <c r="V90" s="173"/>
    </row>
    <row r="91" spans="1:25" ht="24" customHeight="1" x14ac:dyDescent="0.45">
      <c r="A91" s="168"/>
      <c r="B91" s="168"/>
      <c r="C91" s="169"/>
      <c r="D91" s="169"/>
      <c r="E91" s="168"/>
      <c r="F91" s="168"/>
      <c r="G91" s="179"/>
      <c r="H91" s="179"/>
      <c r="I91" s="170"/>
      <c r="J91" s="171"/>
      <c r="K91" s="168"/>
      <c r="L91" s="168"/>
      <c r="M91" s="169"/>
      <c r="N91" s="169"/>
      <c r="O91" s="170"/>
      <c r="P91" s="171"/>
      <c r="Q91" s="180"/>
      <c r="R91" s="180"/>
      <c r="S91" s="156"/>
      <c r="T91" s="168"/>
      <c r="V91" s="173"/>
      <c r="Y91" s="181"/>
    </row>
    <row r="92" spans="1:25" ht="24" customHeight="1" x14ac:dyDescent="0.45">
      <c r="A92" s="168"/>
      <c r="B92" s="168"/>
      <c r="C92" s="169"/>
      <c r="D92" s="169"/>
      <c r="E92" s="168"/>
      <c r="F92" s="168"/>
      <c r="G92" s="179"/>
      <c r="H92" s="179"/>
      <c r="I92" s="170"/>
      <c r="J92" s="171"/>
      <c r="K92" s="168"/>
      <c r="L92" s="168"/>
      <c r="M92" s="169"/>
      <c r="N92" s="169"/>
      <c r="O92" s="170"/>
      <c r="P92" s="171"/>
      <c r="Q92" s="180"/>
      <c r="R92" s="180"/>
      <c r="S92" s="156"/>
      <c r="T92" s="168"/>
      <c r="V92" s="173"/>
      <c r="Y92" s="181"/>
    </row>
    <row r="93" spans="1:25" ht="24.75" customHeight="1" x14ac:dyDescent="0.45">
      <c r="A93" s="168"/>
      <c r="B93" s="168"/>
      <c r="C93" s="169"/>
      <c r="D93" s="169"/>
      <c r="E93" s="168"/>
      <c r="F93" s="168"/>
      <c r="G93" s="156"/>
      <c r="H93" s="156"/>
      <c r="I93" s="170"/>
      <c r="J93" s="171"/>
      <c r="K93" s="168"/>
      <c r="L93" s="168"/>
      <c r="M93" s="168"/>
      <c r="N93" s="168"/>
      <c r="O93" s="170"/>
      <c r="P93" s="171"/>
      <c r="Q93" s="172"/>
      <c r="R93" s="172"/>
      <c r="S93" s="170"/>
      <c r="T93" s="168"/>
      <c r="V93" s="173"/>
    </row>
    <row r="94" spans="1:25" ht="24" customHeight="1" x14ac:dyDescent="0.45">
      <c r="A94" s="168"/>
      <c r="B94" s="168"/>
      <c r="C94" s="169"/>
      <c r="D94" s="169"/>
      <c r="E94" s="168"/>
      <c r="F94" s="168"/>
      <c r="G94" s="179"/>
      <c r="H94" s="179"/>
      <c r="I94" s="170"/>
      <c r="J94" s="171"/>
      <c r="K94" s="168"/>
      <c r="L94" s="168"/>
      <c r="M94" s="169"/>
      <c r="N94" s="169"/>
      <c r="O94" s="170"/>
      <c r="P94" s="171"/>
      <c r="Q94" s="180"/>
      <c r="R94" s="180"/>
      <c r="S94" s="156"/>
      <c r="T94" s="168"/>
      <c r="V94" s="173"/>
      <c r="Y94" s="181"/>
    </row>
    <row r="95" spans="1:25" ht="24" customHeight="1" x14ac:dyDescent="0.45">
      <c r="A95" s="168"/>
      <c r="B95" s="168"/>
      <c r="C95" s="169"/>
      <c r="D95" s="169"/>
      <c r="E95" s="168"/>
      <c r="F95" s="168"/>
      <c r="G95" s="179"/>
      <c r="H95" s="179"/>
      <c r="I95" s="170"/>
      <c r="J95" s="171"/>
      <c r="K95" s="168"/>
      <c r="L95" s="168"/>
      <c r="M95" s="169"/>
      <c r="N95" s="169"/>
      <c r="O95" s="170"/>
      <c r="P95" s="171"/>
      <c r="Q95" s="180"/>
      <c r="R95" s="180"/>
      <c r="S95" s="156"/>
      <c r="T95" s="168"/>
      <c r="V95" s="173"/>
      <c r="Y95" s="181"/>
    </row>
    <row r="96" spans="1:25" ht="24.75" customHeight="1" x14ac:dyDescent="0.45">
      <c r="A96" s="168"/>
      <c r="B96" s="168"/>
      <c r="C96" s="169"/>
      <c r="D96" s="169"/>
      <c r="E96" s="168"/>
      <c r="F96" s="168"/>
      <c r="G96" s="156"/>
      <c r="H96" s="156"/>
      <c r="I96" s="170"/>
      <c r="J96" s="171"/>
      <c r="K96" s="168"/>
      <c r="L96" s="168"/>
      <c r="M96" s="168"/>
      <c r="N96" s="168"/>
      <c r="O96" s="170"/>
      <c r="P96" s="171"/>
      <c r="Q96" s="172"/>
      <c r="R96" s="172"/>
      <c r="S96" s="170"/>
      <c r="T96" s="168"/>
      <c r="V96" s="173"/>
    </row>
    <row r="97" spans="1:25" ht="24" customHeight="1" x14ac:dyDescent="0.45">
      <c r="A97" s="168"/>
      <c r="B97" s="168"/>
      <c r="C97" s="169"/>
      <c r="D97" s="169"/>
      <c r="E97" s="168"/>
      <c r="F97" s="168"/>
      <c r="G97" s="179"/>
      <c r="H97" s="179"/>
      <c r="I97" s="170"/>
      <c r="J97" s="171"/>
      <c r="K97" s="168"/>
      <c r="L97" s="168"/>
      <c r="M97" s="169"/>
      <c r="N97" s="169"/>
      <c r="O97" s="170"/>
      <c r="P97" s="171"/>
      <c r="Q97" s="180"/>
      <c r="R97" s="180"/>
      <c r="S97" s="156"/>
      <c r="T97" s="168"/>
      <c r="V97" s="173"/>
      <c r="Y97" s="181"/>
    </row>
    <row r="98" spans="1:25" ht="24" customHeight="1" x14ac:dyDescent="0.45">
      <c r="A98" s="168"/>
      <c r="B98" s="168"/>
      <c r="C98" s="169"/>
      <c r="D98" s="169"/>
      <c r="E98" s="168"/>
      <c r="F98" s="168"/>
      <c r="G98" s="179"/>
      <c r="H98" s="179"/>
      <c r="I98" s="170"/>
      <c r="J98" s="171"/>
      <c r="K98" s="168"/>
      <c r="L98" s="168"/>
      <c r="M98" s="169"/>
      <c r="N98" s="169"/>
      <c r="O98" s="170"/>
      <c r="P98" s="171"/>
      <c r="Q98" s="180"/>
      <c r="R98" s="180"/>
      <c r="S98" s="156"/>
      <c r="T98" s="168"/>
      <c r="V98" s="173"/>
      <c r="Y98" s="181"/>
    </row>
    <row r="99" spans="1:25" ht="24.75" customHeight="1" x14ac:dyDescent="0.45">
      <c r="A99" s="168"/>
      <c r="B99" s="168"/>
      <c r="C99" s="169"/>
      <c r="D99" s="169"/>
      <c r="E99" s="168"/>
      <c r="F99" s="168"/>
      <c r="G99" s="156"/>
      <c r="H99" s="156"/>
      <c r="I99" s="170"/>
      <c r="J99" s="171"/>
      <c r="K99" s="168"/>
      <c r="L99" s="168"/>
      <c r="M99" s="168"/>
      <c r="N99" s="168"/>
      <c r="O99" s="170"/>
      <c r="P99" s="171"/>
      <c r="Q99" s="172"/>
      <c r="R99" s="172"/>
      <c r="S99" s="170"/>
      <c r="T99" s="168"/>
      <c r="V99" s="173"/>
    </row>
    <row r="100" spans="1:25" ht="24.75" customHeight="1" x14ac:dyDescent="0.45">
      <c r="A100" s="168"/>
      <c r="B100" s="168"/>
      <c r="C100" s="169"/>
      <c r="D100" s="169"/>
      <c r="E100" s="168"/>
      <c r="F100" s="168"/>
      <c r="G100" s="156"/>
      <c r="H100" s="156"/>
      <c r="I100" s="170"/>
      <c r="J100" s="171"/>
      <c r="K100" s="168"/>
      <c r="L100" s="168"/>
      <c r="M100" s="168"/>
      <c r="N100" s="168"/>
      <c r="O100" s="170"/>
      <c r="P100" s="171"/>
      <c r="Q100" s="172"/>
      <c r="R100" s="172"/>
      <c r="S100" s="170"/>
      <c r="T100" s="168"/>
      <c r="V100" s="173"/>
    </row>
    <row r="101" spans="1:25" ht="24" customHeight="1" x14ac:dyDescent="0.45">
      <c r="A101" s="168"/>
      <c r="B101" s="168"/>
      <c r="C101" s="169"/>
      <c r="D101" s="169"/>
      <c r="E101" s="168"/>
      <c r="F101" s="168"/>
      <c r="G101" s="179"/>
      <c r="H101" s="179"/>
      <c r="I101" s="170"/>
      <c r="J101" s="171"/>
      <c r="K101" s="168"/>
      <c r="L101" s="168"/>
      <c r="M101" s="169"/>
      <c r="N101" s="169"/>
      <c r="O101" s="170"/>
      <c r="P101" s="171"/>
      <c r="Q101" s="180"/>
      <c r="R101" s="180"/>
      <c r="S101" s="156"/>
      <c r="T101" s="168"/>
      <c r="V101" s="173"/>
      <c r="Y101" s="181"/>
    </row>
    <row r="102" spans="1:25" ht="24" customHeight="1" x14ac:dyDescent="0.45">
      <c r="A102" s="168"/>
      <c r="B102" s="168"/>
      <c r="C102" s="169"/>
      <c r="D102" s="169"/>
      <c r="E102" s="168"/>
      <c r="F102" s="168"/>
      <c r="G102" s="179"/>
      <c r="H102" s="179"/>
      <c r="I102" s="170"/>
      <c r="J102" s="171"/>
      <c r="K102" s="168"/>
      <c r="L102" s="168"/>
      <c r="M102" s="169"/>
      <c r="N102" s="169"/>
      <c r="O102" s="170"/>
      <c r="P102" s="171"/>
      <c r="Q102" s="180"/>
      <c r="R102" s="180"/>
      <c r="S102" s="156"/>
      <c r="T102" s="168"/>
      <c r="V102" s="173"/>
      <c r="Y102" s="181"/>
    </row>
    <row r="103" spans="1:25" ht="24.75" customHeight="1" x14ac:dyDescent="0.45">
      <c r="A103" s="168"/>
      <c r="B103" s="168"/>
      <c r="C103" s="169"/>
      <c r="D103" s="169"/>
      <c r="E103" s="168"/>
      <c r="F103" s="168"/>
      <c r="G103" s="156"/>
      <c r="H103" s="156"/>
      <c r="I103" s="170"/>
      <c r="J103" s="171"/>
      <c r="K103" s="168"/>
      <c r="L103" s="168"/>
      <c r="M103" s="168"/>
      <c r="N103" s="168"/>
      <c r="O103" s="170"/>
      <c r="P103" s="171"/>
      <c r="Q103" s="172"/>
      <c r="R103" s="172"/>
      <c r="S103" s="170"/>
      <c r="T103" s="168"/>
      <c r="V103" s="173"/>
    </row>
    <row r="104" spans="1:25" ht="24" customHeight="1" x14ac:dyDescent="0.45">
      <c r="A104" s="168"/>
      <c r="B104" s="168"/>
      <c r="C104" s="169"/>
      <c r="D104" s="169"/>
      <c r="E104" s="168"/>
      <c r="F104" s="168"/>
      <c r="G104" s="179"/>
      <c r="H104" s="179"/>
      <c r="I104" s="170"/>
      <c r="J104" s="171"/>
      <c r="K104" s="168"/>
      <c r="L104" s="168"/>
      <c r="M104" s="169"/>
      <c r="N104" s="169"/>
      <c r="O104" s="170"/>
      <c r="P104" s="171"/>
      <c r="Q104" s="180"/>
      <c r="R104" s="180"/>
      <c r="S104" s="156"/>
      <c r="T104" s="168"/>
      <c r="V104" s="173"/>
      <c r="Y104" s="181"/>
    </row>
    <row r="105" spans="1:25" ht="24" customHeight="1" x14ac:dyDescent="0.45">
      <c r="A105" s="168"/>
      <c r="B105" s="168"/>
      <c r="C105" s="169"/>
      <c r="D105" s="169"/>
      <c r="E105" s="168"/>
      <c r="F105" s="168"/>
      <c r="G105" s="179"/>
      <c r="H105" s="179"/>
      <c r="I105" s="170"/>
      <c r="J105" s="171"/>
      <c r="K105" s="168"/>
      <c r="L105" s="168"/>
      <c r="M105" s="169"/>
      <c r="N105" s="169"/>
      <c r="O105" s="170"/>
      <c r="P105" s="171"/>
      <c r="Q105" s="180"/>
      <c r="R105" s="180"/>
      <c r="S105" s="156"/>
      <c r="T105" s="168"/>
      <c r="V105" s="173"/>
      <c r="Y105" s="181"/>
    </row>
    <row r="106" spans="1:25" ht="24" customHeight="1" x14ac:dyDescent="0.45">
      <c r="A106" s="168"/>
      <c r="B106" s="168"/>
      <c r="C106" s="169"/>
      <c r="D106" s="169"/>
      <c r="E106" s="168"/>
      <c r="F106" s="168"/>
      <c r="G106" s="179"/>
      <c r="H106" s="179"/>
      <c r="I106" s="170"/>
      <c r="J106" s="171"/>
      <c r="K106" s="168"/>
      <c r="L106" s="168"/>
      <c r="M106" s="169"/>
      <c r="N106" s="169"/>
      <c r="O106" s="170"/>
      <c r="P106" s="171"/>
      <c r="Q106" s="180"/>
      <c r="R106" s="180"/>
      <c r="S106" s="156"/>
      <c r="T106" s="168"/>
      <c r="V106" s="173"/>
      <c r="Y106" s="181"/>
    </row>
    <row r="107" spans="1:25" ht="24.75" customHeight="1" x14ac:dyDescent="0.45">
      <c r="A107" s="168"/>
      <c r="B107" s="168"/>
      <c r="C107" s="169"/>
      <c r="D107" s="169"/>
      <c r="E107" s="168"/>
      <c r="F107" s="168"/>
      <c r="G107" s="156"/>
      <c r="H107" s="156"/>
      <c r="I107" s="170"/>
      <c r="J107" s="171"/>
      <c r="K107" s="168"/>
      <c r="L107" s="168"/>
      <c r="M107" s="168"/>
      <c r="N107" s="168"/>
      <c r="O107" s="170"/>
      <c r="P107" s="171"/>
      <c r="Q107" s="172"/>
      <c r="R107" s="172"/>
      <c r="S107" s="170"/>
      <c r="T107" s="168"/>
      <c r="V107" s="173"/>
    </row>
    <row r="108" spans="1:25" ht="24" customHeight="1" x14ac:dyDescent="0.45">
      <c r="A108" s="168"/>
      <c r="B108" s="168"/>
      <c r="C108" s="169"/>
      <c r="D108" s="169"/>
      <c r="E108" s="168"/>
      <c r="F108" s="168"/>
      <c r="G108" s="179"/>
      <c r="H108" s="178"/>
      <c r="I108" s="170"/>
      <c r="J108" s="171"/>
      <c r="K108" s="168"/>
      <c r="L108" s="168"/>
      <c r="M108" s="169"/>
      <c r="N108" s="169"/>
      <c r="O108" s="170"/>
      <c r="P108" s="171"/>
      <c r="Q108" s="180"/>
      <c r="R108" s="180"/>
      <c r="S108" s="156"/>
      <c r="T108" s="168"/>
      <c r="V108" s="173"/>
      <c r="Y108" s="181"/>
    </row>
    <row r="109" spans="1:25" ht="24" customHeight="1" x14ac:dyDescent="0.45">
      <c r="A109" s="168"/>
      <c r="B109" s="168"/>
      <c r="C109" s="169"/>
      <c r="D109" s="169"/>
      <c r="E109" s="168"/>
      <c r="F109" s="168"/>
      <c r="G109" s="179"/>
      <c r="H109" s="178"/>
      <c r="I109" s="170"/>
      <c r="J109" s="171"/>
      <c r="K109" s="168"/>
      <c r="L109" s="168"/>
      <c r="M109" s="169"/>
      <c r="N109" s="169"/>
      <c r="O109" s="170"/>
      <c r="P109" s="171"/>
      <c r="Q109" s="180"/>
      <c r="R109" s="180"/>
      <c r="S109" s="156"/>
      <c r="T109" s="168"/>
      <c r="V109" s="173"/>
      <c r="Y109" s="181"/>
    </row>
    <row r="110" spans="1:25" ht="24" customHeight="1" x14ac:dyDescent="0.45">
      <c r="A110" s="168"/>
      <c r="B110" s="168"/>
      <c r="C110" s="169"/>
      <c r="D110" s="169"/>
      <c r="E110" s="168"/>
      <c r="F110" s="168"/>
      <c r="G110" s="179"/>
      <c r="H110" s="179"/>
      <c r="I110" s="170"/>
      <c r="J110" s="171"/>
      <c r="K110" s="168"/>
      <c r="L110" s="168"/>
      <c r="M110" s="169"/>
      <c r="N110" s="169"/>
      <c r="O110" s="170"/>
      <c r="P110" s="171"/>
      <c r="Q110" s="180"/>
      <c r="R110" s="180"/>
      <c r="S110" s="156"/>
      <c r="T110" s="168"/>
      <c r="V110" s="173"/>
      <c r="Y110" s="181"/>
    </row>
    <row r="111" spans="1:25" ht="24.75" customHeight="1" x14ac:dyDescent="0.45">
      <c r="A111" s="168"/>
      <c r="B111" s="168"/>
      <c r="C111" s="169"/>
      <c r="D111" s="169"/>
      <c r="E111" s="168"/>
      <c r="F111" s="168"/>
      <c r="G111" s="156"/>
      <c r="H111" s="156"/>
      <c r="I111" s="170"/>
      <c r="J111" s="171"/>
      <c r="K111" s="168"/>
      <c r="L111" s="168"/>
      <c r="M111" s="168"/>
      <c r="N111" s="168"/>
      <c r="O111" s="170"/>
      <c r="P111" s="171"/>
      <c r="Q111" s="172"/>
      <c r="R111" s="172"/>
      <c r="S111" s="170"/>
      <c r="T111" s="168"/>
      <c r="V111" s="173"/>
    </row>
    <row r="112" spans="1:25" ht="24" customHeight="1" x14ac:dyDescent="0.45">
      <c r="A112" s="168"/>
      <c r="B112" s="168"/>
      <c r="C112" s="169"/>
      <c r="D112" s="169"/>
      <c r="E112" s="168"/>
      <c r="F112" s="168"/>
      <c r="G112" s="179"/>
      <c r="H112" s="179"/>
      <c r="I112" s="170"/>
      <c r="J112" s="171"/>
      <c r="K112" s="168"/>
      <c r="L112" s="168"/>
      <c r="M112" s="169"/>
      <c r="N112" s="169"/>
      <c r="O112" s="170"/>
      <c r="P112" s="171"/>
      <c r="Q112" s="180"/>
      <c r="R112" s="180"/>
      <c r="S112" s="156"/>
      <c r="T112" s="168"/>
      <c r="V112" s="173"/>
      <c r="Y112" s="181"/>
    </row>
    <row r="113" spans="1:25" ht="24" customHeight="1" x14ac:dyDescent="0.45">
      <c r="A113" s="168"/>
      <c r="B113" s="168"/>
      <c r="C113" s="169"/>
      <c r="D113" s="169"/>
      <c r="E113" s="168"/>
      <c r="F113" s="168"/>
      <c r="G113" s="179"/>
      <c r="H113" s="179"/>
      <c r="I113" s="170"/>
      <c r="J113" s="171"/>
      <c r="K113" s="168"/>
      <c r="L113" s="168"/>
      <c r="M113" s="169"/>
      <c r="N113" s="169"/>
      <c r="O113" s="170"/>
      <c r="P113" s="171"/>
      <c r="Q113" s="180"/>
      <c r="R113" s="180"/>
      <c r="S113" s="156"/>
      <c r="T113" s="168"/>
      <c r="V113" s="173"/>
      <c r="Y113" s="181"/>
    </row>
    <row r="114" spans="1:25" ht="24.75" customHeight="1" x14ac:dyDescent="0.45">
      <c r="A114" s="168"/>
      <c r="B114" s="168"/>
      <c r="C114" s="169"/>
      <c r="D114" s="169"/>
      <c r="E114" s="168"/>
      <c r="F114" s="168"/>
      <c r="G114" s="156"/>
      <c r="H114" s="156"/>
      <c r="I114" s="170"/>
      <c r="J114" s="171"/>
      <c r="K114" s="168"/>
      <c r="L114" s="168"/>
      <c r="M114" s="168"/>
      <c r="N114" s="168"/>
      <c r="O114" s="170"/>
      <c r="P114" s="171"/>
      <c r="Q114" s="172"/>
      <c r="R114" s="172"/>
      <c r="S114" s="170"/>
      <c r="T114" s="168"/>
      <c r="V114" s="173"/>
    </row>
    <row r="115" spans="1:25" ht="24" customHeight="1" x14ac:dyDescent="0.45">
      <c r="A115" s="168"/>
      <c r="B115" s="168"/>
      <c r="C115" s="169"/>
      <c r="D115" s="169"/>
      <c r="E115" s="168"/>
      <c r="F115" s="168"/>
      <c r="G115" s="179"/>
      <c r="H115" s="179"/>
      <c r="I115" s="170"/>
      <c r="J115" s="171"/>
      <c r="K115" s="168"/>
      <c r="L115" s="168"/>
      <c r="M115" s="169"/>
      <c r="N115" s="169"/>
      <c r="O115" s="170"/>
      <c r="P115" s="171"/>
      <c r="Q115" s="180"/>
      <c r="R115" s="180"/>
      <c r="S115" s="156"/>
      <c r="T115" s="168"/>
      <c r="V115" s="173"/>
      <c r="Y115" s="181"/>
    </row>
    <row r="116" spans="1:25" ht="24" customHeight="1" x14ac:dyDescent="0.45">
      <c r="A116" s="168"/>
      <c r="B116" s="169"/>
      <c r="C116" s="169"/>
      <c r="D116" s="169"/>
      <c r="E116" s="168"/>
      <c r="F116" s="168"/>
      <c r="G116" s="179"/>
      <c r="H116" s="179"/>
      <c r="I116" s="156"/>
      <c r="J116" s="156"/>
      <c r="K116" s="168"/>
      <c r="L116" s="168"/>
      <c r="M116" s="169"/>
      <c r="N116" s="169"/>
      <c r="O116" s="170"/>
      <c r="P116" s="171"/>
      <c r="Q116" s="180"/>
      <c r="R116" s="180"/>
      <c r="S116" s="156"/>
      <c r="T116" s="168"/>
      <c r="V116" s="173"/>
      <c r="Y116" s="181"/>
    </row>
    <row r="117" spans="1:25" ht="24.75" customHeight="1" x14ac:dyDescent="0.45">
      <c r="A117" s="168"/>
      <c r="B117" s="168"/>
      <c r="C117" s="168"/>
      <c r="D117" s="168"/>
      <c r="E117" s="168"/>
      <c r="F117" s="168"/>
      <c r="G117" s="156"/>
      <c r="H117" s="156"/>
      <c r="I117" s="156"/>
      <c r="J117" s="156"/>
      <c r="K117" s="168"/>
      <c r="L117" s="168"/>
      <c r="M117" s="168"/>
      <c r="N117" s="168"/>
      <c r="O117" s="170"/>
      <c r="P117" s="171"/>
      <c r="Q117" s="172"/>
      <c r="R117" s="172"/>
      <c r="S117" s="170"/>
      <c r="T117" s="168"/>
      <c r="V117" s="173"/>
    </row>
    <row r="118" spans="1:25" ht="24" customHeight="1" x14ac:dyDescent="0.45">
      <c r="A118" s="168"/>
      <c r="B118" s="169"/>
      <c r="C118" s="169"/>
      <c r="D118" s="169"/>
      <c r="E118" s="168"/>
      <c r="F118" s="168"/>
      <c r="G118" s="179"/>
      <c r="H118" s="179"/>
      <c r="I118" s="156"/>
      <c r="J118" s="156"/>
      <c r="K118" s="168"/>
      <c r="L118" s="168"/>
      <c r="M118" s="169"/>
      <c r="N118" s="169"/>
      <c r="O118" s="170"/>
      <c r="P118" s="171"/>
      <c r="Q118" s="180"/>
      <c r="R118" s="180"/>
      <c r="S118" s="156"/>
      <c r="T118" s="168"/>
      <c r="V118" s="173"/>
      <c r="Y118" s="181"/>
    </row>
    <row r="119" spans="1:25" ht="24" customHeight="1" x14ac:dyDescent="0.45">
      <c r="A119" s="168"/>
      <c r="B119" s="169"/>
      <c r="C119" s="169"/>
      <c r="D119" s="169"/>
      <c r="E119" s="168"/>
      <c r="F119" s="168"/>
      <c r="G119" s="179"/>
      <c r="H119" s="179"/>
      <c r="I119" s="156"/>
      <c r="J119" s="156"/>
      <c r="K119" s="168"/>
      <c r="L119" s="168"/>
      <c r="M119" s="169"/>
      <c r="N119" s="169"/>
      <c r="O119" s="170"/>
      <c r="P119" s="171"/>
      <c r="Q119" s="180"/>
      <c r="R119" s="180"/>
      <c r="S119" s="156"/>
      <c r="T119" s="168"/>
      <c r="V119" s="173"/>
      <c r="Y119" s="181"/>
    </row>
    <row r="120" spans="1:25" ht="24" customHeight="1" x14ac:dyDescent="0.45">
      <c r="A120" s="168"/>
      <c r="B120" s="169"/>
      <c r="C120" s="169"/>
      <c r="D120" s="169"/>
      <c r="E120" s="168"/>
      <c r="F120" s="168"/>
      <c r="G120" s="179"/>
      <c r="H120" s="179"/>
      <c r="I120" s="156"/>
      <c r="J120" s="156"/>
      <c r="K120" s="168"/>
      <c r="L120" s="168"/>
      <c r="M120" s="169"/>
      <c r="N120" s="169"/>
      <c r="O120" s="170"/>
      <c r="P120" s="171"/>
      <c r="Q120" s="180"/>
      <c r="R120" s="180"/>
      <c r="S120" s="156"/>
      <c r="T120" s="168"/>
      <c r="V120" s="173"/>
      <c r="Y120" s="181"/>
    </row>
    <row r="121" spans="1:25" ht="24.75" customHeight="1" x14ac:dyDescent="0.45">
      <c r="A121" s="168"/>
      <c r="B121" s="168"/>
      <c r="C121" s="168"/>
      <c r="D121" s="168"/>
      <c r="E121" s="168"/>
      <c r="F121" s="168"/>
      <c r="G121" s="156"/>
      <c r="H121" s="156"/>
      <c r="I121" s="156"/>
      <c r="J121" s="156"/>
      <c r="K121" s="168"/>
      <c r="L121" s="168"/>
      <c r="M121" s="168"/>
      <c r="N121" s="168"/>
      <c r="O121" s="170"/>
      <c r="P121" s="171"/>
      <c r="Q121" s="172"/>
      <c r="R121" s="172"/>
      <c r="S121" s="170"/>
      <c r="T121" s="168"/>
      <c r="V121" s="173"/>
    </row>
    <row r="122" spans="1:25" ht="24" customHeight="1" x14ac:dyDescent="0.45">
      <c r="A122" s="168"/>
      <c r="B122" s="169"/>
      <c r="C122" s="169"/>
      <c r="D122" s="169"/>
      <c r="E122" s="168"/>
      <c r="F122" s="168"/>
      <c r="G122" s="179"/>
      <c r="H122" s="179"/>
      <c r="I122" s="156"/>
      <c r="J122" s="156"/>
      <c r="K122" s="168"/>
      <c r="L122" s="168"/>
      <c r="M122" s="169"/>
      <c r="N122" s="169"/>
      <c r="O122" s="170"/>
      <c r="P122" s="171"/>
      <c r="Q122" s="180"/>
      <c r="R122" s="180"/>
      <c r="S122" s="156"/>
      <c r="T122" s="168"/>
      <c r="V122" s="173"/>
      <c r="Y122" s="181"/>
    </row>
    <row r="123" spans="1:25" ht="24" customHeight="1" x14ac:dyDescent="0.45">
      <c r="A123" s="168"/>
      <c r="B123" s="169"/>
      <c r="C123" s="169"/>
      <c r="D123" s="169"/>
      <c r="E123" s="168"/>
      <c r="F123" s="168"/>
      <c r="G123" s="179"/>
      <c r="H123" s="179"/>
      <c r="I123" s="156"/>
      <c r="J123" s="156"/>
      <c r="K123" s="168"/>
      <c r="L123" s="168"/>
      <c r="M123" s="169"/>
      <c r="N123" s="169"/>
      <c r="O123" s="170"/>
      <c r="P123" s="171"/>
      <c r="Q123" s="180"/>
      <c r="R123" s="180"/>
      <c r="S123" s="156"/>
      <c r="T123" s="168"/>
      <c r="V123" s="173"/>
      <c r="Y123" s="181"/>
    </row>
    <row r="124" spans="1:25" ht="24" customHeight="1" x14ac:dyDescent="0.45">
      <c r="A124" s="168"/>
      <c r="B124" s="169"/>
      <c r="C124" s="169"/>
      <c r="D124" s="169"/>
      <c r="E124" s="168"/>
      <c r="F124" s="168"/>
      <c r="G124" s="179"/>
      <c r="H124" s="179"/>
      <c r="I124" s="156"/>
      <c r="J124" s="156"/>
      <c r="K124" s="168"/>
      <c r="L124" s="168"/>
      <c r="M124" s="169"/>
      <c r="N124" s="169"/>
      <c r="O124" s="170"/>
      <c r="P124" s="171"/>
      <c r="Q124" s="180"/>
      <c r="R124" s="180"/>
      <c r="S124" s="156"/>
      <c r="T124" s="168"/>
      <c r="V124" s="173"/>
      <c r="Y124" s="181"/>
    </row>
    <row r="125" spans="1:25" ht="24.75" customHeight="1" x14ac:dyDescent="0.45">
      <c r="A125" s="168"/>
      <c r="B125" s="168"/>
      <c r="C125" s="168"/>
      <c r="D125" s="168"/>
      <c r="E125" s="168"/>
      <c r="F125" s="168"/>
      <c r="G125" s="156"/>
      <c r="H125" s="156"/>
      <c r="I125" s="156"/>
      <c r="J125" s="156"/>
      <c r="K125" s="168"/>
      <c r="L125" s="168"/>
      <c r="M125" s="168"/>
      <c r="N125" s="168"/>
      <c r="O125" s="170"/>
      <c r="P125" s="171"/>
      <c r="Q125" s="172"/>
      <c r="R125" s="172"/>
      <c r="S125" s="170"/>
      <c r="T125" s="168"/>
      <c r="V125" s="173"/>
    </row>
    <row r="126" spans="1:25" ht="24" customHeight="1" x14ac:dyDescent="0.45">
      <c r="A126" s="168"/>
      <c r="B126" s="169"/>
      <c r="C126" s="169"/>
      <c r="D126" s="169"/>
      <c r="E126" s="168"/>
      <c r="F126" s="168"/>
      <c r="G126" s="179"/>
      <c r="H126" s="179"/>
      <c r="I126" s="156"/>
      <c r="J126" s="156"/>
      <c r="K126" s="168"/>
      <c r="L126" s="168"/>
      <c r="M126" s="169"/>
      <c r="N126" s="169"/>
      <c r="O126" s="170"/>
      <c r="P126" s="171"/>
      <c r="Q126" s="180"/>
      <c r="R126" s="180"/>
      <c r="S126" s="156"/>
      <c r="T126" s="168"/>
      <c r="V126" s="173"/>
      <c r="Y126" s="181"/>
    </row>
    <row r="127" spans="1:25" ht="24.75" customHeight="1" x14ac:dyDescent="0.45">
      <c r="A127" s="168"/>
      <c r="B127" s="168"/>
      <c r="C127" s="168"/>
      <c r="D127" s="168"/>
      <c r="E127" s="168"/>
      <c r="F127" s="168"/>
      <c r="G127" s="156"/>
      <c r="H127" s="156"/>
      <c r="I127" s="156"/>
      <c r="J127" s="156"/>
      <c r="K127" s="168"/>
      <c r="L127" s="168"/>
      <c r="M127" s="168"/>
      <c r="N127" s="168"/>
      <c r="O127" s="170"/>
      <c r="P127" s="171"/>
      <c r="Q127" s="172"/>
      <c r="R127" s="172"/>
      <c r="S127" s="170"/>
      <c r="T127" s="168"/>
      <c r="V127" s="173"/>
    </row>
    <row r="128" spans="1:25" ht="24" customHeight="1" x14ac:dyDescent="0.45">
      <c r="A128" s="168"/>
      <c r="B128" s="168"/>
      <c r="C128" s="169"/>
      <c r="D128" s="169"/>
      <c r="E128" s="168"/>
      <c r="F128" s="168"/>
      <c r="G128" s="179"/>
      <c r="H128" s="179"/>
      <c r="I128" s="170"/>
      <c r="J128" s="171"/>
      <c r="K128" s="168"/>
      <c r="L128" s="168"/>
      <c r="M128" s="169"/>
      <c r="N128" s="169"/>
      <c r="O128" s="170"/>
      <c r="P128" s="171"/>
      <c r="Q128" s="180"/>
      <c r="R128" s="180"/>
      <c r="S128" s="156"/>
      <c r="T128" s="168"/>
      <c r="V128" s="173"/>
      <c r="Y128" s="181"/>
    </row>
    <row r="129" spans="1:25" ht="24" customHeight="1" x14ac:dyDescent="0.45">
      <c r="A129" s="168"/>
      <c r="B129" s="168"/>
      <c r="C129" s="169"/>
      <c r="D129" s="169"/>
      <c r="E129" s="168"/>
      <c r="F129" s="168"/>
      <c r="G129" s="179"/>
      <c r="H129" s="179"/>
      <c r="I129" s="170"/>
      <c r="J129" s="171"/>
      <c r="K129" s="168"/>
      <c r="L129" s="168"/>
      <c r="M129" s="169"/>
      <c r="N129" s="169"/>
      <c r="O129" s="170"/>
      <c r="P129" s="171"/>
      <c r="Q129" s="180"/>
      <c r="R129" s="180"/>
      <c r="S129" s="156"/>
      <c r="T129" s="168"/>
      <c r="V129" s="173"/>
      <c r="Y129" s="181"/>
    </row>
    <row r="130" spans="1:25" ht="24" customHeight="1" x14ac:dyDescent="0.45">
      <c r="A130" s="168"/>
      <c r="B130" s="168"/>
      <c r="C130" s="169"/>
      <c r="D130" s="169"/>
      <c r="E130" s="168"/>
      <c r="F130" s="168"/>
      <c r="G130" s="179"/>
      <c r="H130" s="179"/>
      <c r="I130" s="170"/>
      <c r="J130" s="171"/>
      <c r="K130" s="168"/>
      <c r="L130" s="168"/>
      <c r="M130" s="169"/>
      <c r="N130" s="169"/>
      <c r="O130" s="170"/>
      <c r="P130" s="171"/>
      <c r="Q130" s="180"/>
      <c r="R130" s="180"/>
      <c r="S130" s="156"/>
      <c r="T130" s="168"/>
      <c r="V130" s="173"/>
      <c r="Y130" s="181"/>
    </row>
    <row r="131" spans="1:25" ht="24" customHeight="1" x14ac:dyDescent="0.45">
      <c r="A131" s="168"/>
      <c r="B131" s="168"/>
      <c r="C131" s="169"/>
      <c r="D131" s="169"/>
      <c r="E131" s="168"/>
      <c r="F131" s="168"/>
      <c r="G131" s="179"/>
      <c r="H131" s="179"/>
      <c r="I131" s="170"/>
      <c r="J131" s="171"/>
      <c r="K131" s="168"/>
      <c r="L131" s="168"/>
      <c r="M131" s="169"/>
      <c r="N131" s="169"/>
      <c r="O131" s="170"/>
      <c r="P131" s="171"/>
      <c r="Q131" s="180"/>
      <c r="R131" s="180"/>
      <c r="S131" s="156"/>
      <c r="T131" s="168"/>
      <c r="V131" s="173"/>
      <c r="Y131" s="181"/>
    </row>
    <row r="132" spans="1:25" ht="24.6" customHeight="1" x14ac:dyDescent="0.45">
      <c r="A132" s="168"/>
      <c r="B132" s="168"/>
      <c r="C132" s="169"/>
      <c r="D132" s="169"/>
      <c r="E132" s="168"/>
      <c r="F132" s="168"/>
      <c r="G132" s="156"/>
      <c r="H132" s="156"/>
      <c r="I132" s="170"/>
      <c r="J132" s="171"/>
      <c r="K132" s="168"/>
      <c r="L132" s="168"/>
      <c r="M132" s="168"/>
      <c r="N132" s="168"/>
      <c r="O132" s="170"/>
      <c r="P132" s="171"/>
      <c r="Q132" s="172"/>
      <c r="R132" s="172"/>
      <c r="S132" s="170"/>
      <c r="T132" s="168"/>
    </row>
    <row r="133" spans="1:25" ht="24" customHeight="1" x14ac:dyDescent="0.45">
      <c r="A133" s="168"/>
      <c r="B133" s="168"/>
      <c r="C133" s="169"/>
      <c r="D133" s="169"/>
      <c r="E133" s="168"/>
      <c r="F133" s="168"/>
      <c r="G133" s="179"/>
      <c r="H133" s="179"/>
      <c r="I133" s="170"/>
      <c r="J133" s="171"/>
      <c r="K133" s="168"/>
      <c r="L133" s="168"/>
      <c r="M133" s="169"/>
      <c r="N133" s="169"/>
      <c r="O133" s="170"/>
      <c r="P133" s="171"/>
      <c r="Q133" s="180"/>
      <c r="R133" s="180"/>
      <c r="S133" s="156"/>
      <c r="T133" s="168"/>
      <c r="V133" s="173"/>
      <c r="Y133" s="181"/>
    </row>
    <row r="134" spans="1:25" ht="24" customHeight="1" x14ac:dyDescent="0.45">
      <c r="A134" s="168"/>
      <c r="B134" s="168"/>
      <c r="C134" s="169"/>
      <c r="D134" s="169"/>
      <c r="E134" s="168"/>
      <c r="F134" s="168"/>
      <c r="G134" s="179"/>
      <c r="H134" s="179"/>
      <c r="I134" s="170"/>
      <c r="J134" s="171"/>
      <c r="K134" s="168"/>
      <c r="L134" s="168"/>
      <c r="M134" s="169"/>
      <c r="N134" s="169"/>
      <c r="O134" s="170"/>
      <c r="P134" s="171"/>
      <c r="Q134" s="180"/>
      <c r="R134" s="180"/>
      <c r="S134" s="156"/>
      <c r="T134" s="168"/>
      <c r="V134" s="173"/>
      <c r="Y134" s="181"/>
    </row>
    <row r="135" spans="1:25" ht="24.6" customHeight="1" x14ac:dyDescent="0.45">
      <c r="A135" s="168"/>
      <c r="B135" s="168"/>
      <c r="C135" s="169"/>
      <c r="D135" s="169"/>
      <c r="E135" s="168"/>
      <c r="F135" s="168"/>
      <c r="G135" s="156"/>
      <c r="H135" s="156"/>
      <c r="I135" s="170"/>
      <c r="J135" s="171"/>
      <c r="K135" s="168"/>
      <c r="L135" s="168"/>
      <c r="M135" s="168"/>
      <c r="N135" s="168"/>
      <c r="O135" s="170"/>
      <c r="P135" s="171"/>
      <c r="Q135" s="172"/>
      <c r="R135" s="172"/>
      <c r="S135" s="170"/>
      <c r="T135" s="168"/>
    </row>
    <row r="136" spans="1:25" ht="24" customHeight="1" x14ac:dyDescent="0.45">
      <c r="A136" s="168"/>
      <c r="B136" s="168"/>
      <c r="C136" s="169"/>
      <c r="D136" s="169"/>
      <c r="E136" s="168"/>
      <c r="F136" s="168"/>
      <c r="G136" s="179"/>
      <c r="H136" s="179"/>
      <c r="I136" s="170"/>
      <c r="J136" s="171"/>
      <c r="K136" s="168"/>
      <c r="L136" s="168"/>
      <c r="M136" s="169"/>
      <c r="N136" s="169"/>
      <c r="O136" s="170"/>
      <c r="P136" s="171"/>
      <c r="Q136" s="180"/>
      <c r="R136" s="180"/>
      <c r="S136" s="156"/>
      <c r="T136" s="168"/>
      <c r="V136" s="173"/>
      <c r="Y136" s="181"/>
    </row>
    <row r="137" spans="1:25" ht="24" customHeight="1" x14ac:dyDescent="0.45">
      <c r="A137" s="168"/>
      <c r="B137" s="168"/>
      <c r="C137" s="169"/>
      <c r="D137" s="169"/>
      <c r="E137" s="168"/>
      <c r="F137" s="168"/>
      <c r="G137" s="179"/>
      <c r="H137" s="179"/>
      <c r="I137" s="170"/>
      <c r="J137" s="171"/>
      <c r="K137" s="168"/>
      <c r="L137" s="168"/>
      <c r="M137" s="169"/>
      <c r="N137" s="169"/>
      <c r="O137" s="170"/>
      <c r="P137" s="171"/>
      <c r="Q137" s="180"/>
      <c r="R137" s="180"/>
      <c r="S137" s="156"/>
      <c r="T137" s="168"/>
      <c r="V137" s="173"/>
      <c r="Y137" s="181"/>
    </row>
    <row r="138" spans="1:25" ht="24.75" customHeight="1" x14ac:dyDescent="0.45">
      <c r="A138" s="168"/>
      <c r="B138" s="168"/>
      <c r="C138" s="169"/>
      <c r="D138" s="169"/>
      <c r="E138" s="168"/>
      <c r="F138" s="168"/>
      <c r="G138" s="156"/>
      <c r="H138" s="156"/>
      <c r="I138" s="170"/>
      <c r="J138" s="171"/>
      <c r="K138" s="168"/>
      <c r="L138" s="168"/>
      <c r="M138" s="168"/>
      <c r="N138" s="168"/>
      <c r="O138" s="170"/>
      <c r="P138" s="171"/>
      <c r="Q138" s="172"/>
      <c r="R138" s="172"/>
      <c r="S138" s="170"/>
      <c r="T138" s="168"/>
    </row>
  </sheetData>
  <sheetProtection formatCells="0" formatRows="0" insertRows="0" deleteRows="0" autoFilter="0"/>
  <autoFilter ref="A3:T13"/>
  <mergeCells count="1">
    <mergeCell ref="C2:D2"/>
  </mergeCells>
  <phoneticPr fontId="2"/>
  <pageMargins left="0.78700000000000003" right="0.78700000000000003" top="0.98399999999999999" bottom="0.98399999999999999" header="0.51200000000000001" footer="0.51200000000000001"/>
  <pageSetup paperSize="8" scale="83" orientation="landscape" r:id="rId1"/>
  <headerFooter alignWithMargins="0">
    <oddFooter>&amp;R©2024 SMS DataTech Corporation. All rights reserved.</oddFooter>
  </headerFooter>
  <colBreaks count="1" manualBreakCount="1">
    <brk id="19" min="2" max="90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68" t="s">
        <v>47</v>
      </c>
    </row>
    <row r="2" spans="1:1" x14ac:dyDescent="0.45">
      <c r="A2" s="69" t="s">
        <v>37</v>
      </c>
    </row>
    <row r="3" spans="1:1" x14ac:dyDescent="0.45">
      <c r="A3" s="68" t="s">
        <v>38</v>
      </c>
    </row>
    <row r="4" spans="1:1" x14ac:dyDescent="0.45">
      <c r="A4" s="68" t="s">
        <v>41</v>
      </c>
    </row>
    <row r="5" spans="1:1" x14ac:dyDescent="0.45">
      <c r="A5" s="68" t="s">
        <v>39</v>
      </c>
    </row>
    <row r="6" spans="1:1" x14ac:dyDescent="0.45">
      <c r="A6" s="68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19</vt:i4>
      </vt:variant>
    </vt:vector>
  </HeadingPairs>
  <TitlesOfParts>
    <vt:vector size="32" baseType="lpstr">
      <vt:lpstr>変更履歴</vt:lpstr>
      <vt:lpstr>概要</vt:lpstr>
      <vt:lpstr>帳票レイアウト_借方勘定科目</vt:lpstr>
      <vt:lpstr>帳票レイアウト_貸方勘定科目</vt:lpstr>
      <vt:lpstr>帳票レイアウト_振替伝票</vt:lpstr>
      <vt:lpstr>項目一覧</vt:lpstr>
      <vt:lpstr>処理詳細</vt:lpstr>
      <vt:lpstr>処理詳細_書き方</vt:lpstr>
      <vt:lpstr>確認事項</vt:lpstr>
      <vt:lpstr>別紙_テンプレート_借方勘定科目</vt:lpstr>
      <vt:lpstr>別紙_テンプレート_貸方勘定科目</vt:lpstr>
      <vt:lpstr>別紙_テンプレート_振替伝票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帳票レイアウト_借方勘定科目!Print_Area</vt:lpstr>
      <vt:lpstr>帳票レイアウト_振替伝票!Print_Area</vt:lpstr>
      <vt:lpstr>帳票レイアウト_貸方勘定科目!Print_Area</vt:lpstr>
      <vt:lpstr>別紙_テンプレート_振替伝票!Print_Area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帳票レイアウト_借方勘定科目!Print_Titles</vt:lpstr>
      <vt:lpstr>帳票レイアウト_振替伝票!Print_Titles</vt:lpstr>
      <vt:lpstr>帳票レイアウト_貸方勘定科目!Print_Titles</vt:lpstr>
      <vt:lpstr>別紙_テンプレート_借方勘定科目!Print_Titles</vt:lpstr>
      <vt:lpstr>別紙_テンプレート_貸方勘定科目!Print_Titles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2025-05-24T05:29:08Z</dcterms:modified>
</cp:coreProperties>
</file>