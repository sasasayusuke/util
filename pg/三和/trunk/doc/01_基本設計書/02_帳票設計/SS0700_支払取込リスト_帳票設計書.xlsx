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21" r:id="rId8"/>
    <sheet name="別紙_印刷レイアウト" sheetId="22" r:id="rId9"/>
    <sheet name="参照" sheetId="12" state="hidden" r:id="rId10"/>
  </sheets>
  <definedNames>
    <definedName name="CoreCells">別紙_テンプレート!$A$5:$H$5</definedName>
    <definedName name="CoreCellsRow">#REF!</definedName>
    <definedName name="_xlnm.Print_Area" localSheetId="1">概要!$A$1:$BN$31</definedName>
    <definedName name="_xlnm.Print_Area" localSheetId="3">項目一覧!$A$1:$CD$54</definedName>
    <definedName name="_xlnm.Print_Area" localSheetId="4">処理詳細!$A$1:$BR$58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別紙_テンプレート!#REF!</definedName>
    <definedName name="見積日">#REF!</definedName>
    <definedName name="見積番号">別紙_テンプレート!#REF!</definedName>
    <definedName name="見積有効期限">#REF!</definedName>
    <definedName name="現場名">#REF!</definedName>
    <definedName name="合計金額">#REF!</definedName>
    <definedName name="作成日">別紙_テンプレート!$H$1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">別紙_テンプレート!#REF!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1" l="1"/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P3" i="3"/>
  <c r="BL3" i="3"/>
  <c r="BH3" i="3"/>
  <c r="BD3" i="3"/>
  <c r="AQ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AD3" i="3"/>
</calcChain>
</file>

<file path=xl/sharedStrings.xml><?xml version="1.0" encoding="utf-8"?>
<sst xmlns="http://schemas.openxmlformats.org/spreadsheetml/2006/main" count="342" uniqueCount="248">
  <si>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</si>
  <si>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</si>
  <si>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</si>
  <si>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</si>
  <si>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</si>
  <si>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</si>
  <si>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</si>
  <si>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</si>
  <si>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</si>
  <si>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</si>
  <si>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</si>
  <si>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</si>
  <si>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</si>
  <si>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</si>
  <si>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</si>
  <si>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</si>
  <si>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</si>
  <si>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</si>
  <si>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</si>
  <si>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</si>
  <si>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</si>
  <si>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</si>
  <si>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</si>
  <si>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</si>
  <si>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</si>
  <si>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</si>
  <si>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</si>
  <si>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</si>
  <si>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</si>
  <si>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</si>
  <si>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</si>
  <si>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</si>
  <si>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</si>
  <si>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</si>
  <si>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</si>
  <si>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</si>
  <si>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</si>
  <si>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</si>
  <si>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</si>
  <si>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</si>
  <si>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</si>
  <si>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</si>
  <si>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</si>
  <si>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</si>
  <si>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</si>
  <si>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</si>
  <si>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</si>
  <si>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</si>
  <si>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</si>
  <si>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</si>
  <si>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</si>
  <si>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</si>
  <si>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</si>
  <si>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</si>
  <si>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</si>
  <si>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</si>
  <si>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</si>
  <si>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</si>
  <si>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</si>
  <si>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</si>
  <si>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</si>
  <si>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</si>
  <si>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</si>
  <si>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</si>
  <si>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</si>
  <si>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</si>
  <si>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</si>
  <si>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</si>
  <si>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</si>
  <si>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</si>
  <si>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</si>
  <si>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</si>
  <si>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</si>
  <si>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</si>
  <si>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</si>
  <si>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</si>
  <si>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</si>
  <si>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</si>
  <si>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</si>
  <si>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</si>
  <si>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</si>
  <si>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</si>
  <si>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</si>
  <si>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</si>
  <si>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</si>
  <si>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</si>
  <si>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</si>
  <si>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支払取込リスト</t>
    <rPh sb="0" eb="2">
      <t>シハラ</t>
    </rPh>
    <rPh sb="2" eb="4">
      <t>トリコミ</t>
    </rPh>
    <phoneticPr fontId="13"/>
  </si>
  <si>
    <t>作成日：</t>
    <rPh sb="0" eb="3">
      <t>サクセイビ</t>
    </rPh>
    <phoneticPr fontId="13"/>
  </si>
  <si>
    <t>日付</t>
    <rPh sb="0" eb="2">
      <t>ヒヅケ</t>
    </rPh>
    <phoneticPr fontId="13"/>
  </si>
  <si>
    <t>仕入先CD</t>
    <rPh sb="0" eb="2">
      <t>シイレ</t>
    </rPh>
    <rPh sb="2" eb="3">
      <t>サキ</t>
    </rPh>
    <phoneticPr fontId="13"/>
  </si>
  <si>
    <t>仕入先名1</t>
    <phoneticPr fontId="13"/>
  </si>
  <si>
    <t>仕入先名2</t>
    <rPh sb="0" eb="2">
      <t>シイレ</t>
    </rPh>
    <rPh sb="2" eb="3">
      <t>サキ</t>
    </rPh>
    <rPh sb="3" eb="4">
      <t>メイ</t>
    </rPh>
    <phoneticPr fontId="13"/>
  </si>
  <si>
    <t>支払区分CD</t>
    <rPh sb="0" eb="2">
      <t>シハライ</t>
    </rPh>
    <rPh sb="2" eb="4">
      <t>クブン</t>
    </rPh>
    <phoneticPr fontId="13"/>
  </si>
  <si>
    <t>支払区分</t>
    <rPh sb="0" eb="2">
      <t>シハライ</t>
    </rPh>
    <rPh sb="2" eb="4">
      <t>クブン</t>
    </rPh>
    <phoneticPr fontId="13"/>
  </si>
  <si>
    <t>支払金額</t>
    <rPh sb="0" eb="2">
      <t>シハライ</t>
    </rPh>
    <phoneticPr fontId="13"/>
  </si>
  <si>
    <t>摘要</t>
    <rPh sb="0" eb="2">
      <t>テキヨウ</t>
    </rPh>
    <phoneticPr fontId="13"/>
  </si>
  <si>
    <t>合計金額　</t>
    <phoneticPr fontId="13"/>
  </si>
  <si>
    <t>0041</t>
    <phoneticPr fontId="13"/>
  </si>
  <si>
    <t>ＷＷＷＷＷＷＷＷＷＸＷＷＷＷ</t>
    <phoneticPr fontId="13"/>
  </si>
  <si>
    <t>銀行振込</t>
    <rPh sb="0" eb="2">
      <t>ギンコウ</t>
    </rPh>
    <rPh sb="2" eb="4">
      <t>フリコミ</t>
    </rPh>
    <phoneticPr fontId="13"/>
  </si>
  <si>
    <t>ＷＷＷＷＷＷＷＷＷＸＷＷＷＷ</t>
    <phoneticPr fontId="13"/>
  </si>
  <si>
    <t>Temp支払取込リスト.xlsx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</si>
  <si>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</si>
  <si>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</si>
  <si>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</si>
  <si>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</si>
  <si>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</si>
  <si>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作成日</t>
    <rPh sb="0" eb="3">
      <t>サクセイビ</t>
    </rPh>
    <phoneticPr fontId="1"/>
  </si>
  <si>
    <t>日付</t>
    <rPh sb="0" eb="2">
      <t>ヒヅケ</t>
    </rPh>
    <phoneticPr fontId="1"/>
  </si>
  <si>
    <t>仕入先CD</t>
    <rPh sb="0" eb="3">
      <t>シイレサキ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</si>
  <si>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</si>
  <si>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</si>
  <si>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支払区分CD</t>
    <rPh sb="0" eb="4">
      <t>シハライクブン</t>
    </rPh>
    <phoneticPr fontId="1"/>
  </si>
  <si>
    <t>支払区分</t>
    <rPh sb="0" eb="4">
      <t>シハライクブン</t>
    </rPh>
    <phoneticPr fontId="1"/>
  </si>
  <si>
    <t>支払金額</t>
    <rPh sb="0" eb="4">
      <t>シハライキンガク</t>
    </rPh>
    <phoneticPr fontId="1"/>
  </si>
  <si>
    <t>摘要</t>
    <rPh sb="0" eb="2">
      <t>テキヨウ</t>
    </rPh>
    <phoneticPr fontId="1"/>
  </si>
  <si>
    <t>半角</t>
    <rPh sb="0" eb="2">
      <t>ハンカク</t>
    </rPh>
    <phoneticPr fontId="1"/>
  </si>
  <si>
    <t>作成日：[現在日付]</t>
    <rPh sb="0" eb="3">
      <t>サクセイビ</t>
    </rPh>
    <rPh sb="5" eb="9">
      <t>ゲンザイヒヅケ</t>
    </rPh>
    <phoneticPr fontId="1"/>
  </si>
  <si>
    <t>現在日付</t>
    <rPh sb="0" eb="4">
      <t>ゲンザイヒヅケ</t>
    </rPh>
    <phoneticPr fontId="1"/>
  </si>
  <si>
    <t>合計金額</t>
    <rPh sb="0" eb="4">
      <t>ゴウケイキンガク</t>
    </rPh>
    <phoneticPr fontId="1"/>
  </si>
  <si>
    <t>支払金額合計</t>
    <rPh sb="0" eb="6">
      <t>シハライキンガクゴウケイ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</si>
  <si>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</si>
  <si>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</si>
  <si>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固定文字「合計金額」</t>
    <rPh sb="0" eb="4">
      <t>コテイモジ</t>
    </rPh>
    <rPh sb="5" eb="9">
      <t>ゴウケイキンガク</t>
    </rPh>
    <phoneticPr fontId="1"/>
  </si>
  <si>
    <t>10.支払金額</t>
    <rPh sb="3" eb="7">
      <t>シハライキンガク</t>
    </rPh>
    <phoneticPr fontId="1"/>
  </si>
  <si>
    <t>[10.支払金額]の合計</t>
    <rPh sb="10" eb="12">
      <t>ゴウケイ</t>
    </rPh>
    <phoneticPr fontId="1"/>
  </si>
  <si>
    <t>回答</t>
    <rPh sb="0" eb="2">
      <t>カイトウ</t>
    </rPh>
    <phoneticPr fontId="2"/>
  </si>
  <si>
    <t>固定値「1」</t>
    <rPh sb="0" eb="3">
      <t>コテイチ</t>
    </rPh>
    <phoneticPr fontId="1"/>
  </si>
  <si>
    <t>固定値「銀行振込」</t>
    <rPh sb="0" eb="3">
      <t>コテイチ</t>
    </rPh>
    <rPh sb="4" eb="8">
      <t>ギンコウフリコミ</t>
    </rPh>
    <phoneticPr fontId="1"/>
  </si>
  <si>
    <t>取込CSV.2列目</t>
    <rPh sb="0" eb="2">
      <t>トリコミ</t>
    </rPh>
    <phoneticPr fontId="1"/>
  </si>
  <si>
    <t>取込CSV.1列目</t>
    <phoneticPr fontId="1"/>
  </si>
  <si>
    <t>取込CSV.3列目</t>
    <rPh sb="7" eb="9">
      <t>レツメ</t>
    </rPh>
    <phoneticPr fontId="1"/>
  </si>
  <si>
    <t>SQL1</t>
    <phoneticPr fontId="2"/>
  </si>
  <si>
    <t>支払番号</t>
    <rPh sb="0" eb="4">
      <t>シハライバンゴウ</t>
    </rPh>
    <phoneticPr fontId="2"/>
  </si>
  <si>
    <t>TD支払.支払番号</t>
    <rPh sb="5" eb="9">
      <t>シハライバンゴウ</t>
    </rPh>
    <phoneticPr fontId="2"/>
  </si>
  <si>
    <t>select * from TD支払 where 0 &lt;&gt; 0</t>
    <phoneticPr fontId="2"/>
  </si>
  <si>
    <t>枝番</t>
    <rPh sb="0" eb="2">
      <t>エダバン</t>
    </rPh>
    <phoneticPr fontId="2"/>
  </si>
  <si>
    <t>TD支払.枝番</t>
    <rPh sb="5" eb="7">
      <t>エダバン</t>
    </rPh>
    <phoneticPr fontId="2"/>
  </si>
  <si>
    <t>支払日付</t>
    <rPh sb="0" eb="4">
      <t>シハライヒヅケ</t>
    </rPh>
    <phoneticPr fontId="2"/>
  </si>
  <si>
    <t>TD支払.支払日付</t>
    <rPh sb="5" eb="9">
      <t>シハライヒヅケ</t>
    </rPh>
    <phoneticPr fontId="2"/>
  </si>
  <si>
    <t>仕入先CD</t>
    <rPh sb="0" eb="2">
      <t>シイ</t>
    </rPh>
    <rPh sb="2" eb="3">
      <t>サキ</t>
    </rPh>
    <phoneticPr fontId="2"/>
  </si>
  <si>
    <t>TD支払.仕入先CD</t>
    <rPh sb="5" eb="7">
      <t>シイ</t>
    </rPh>
    <rPh sb="7" eb="8">
      <t>サキ</t>
    </rPh>
    <phoneticPr fontId="2"/>
  </si>
  <si>
    <t>仕入先名1</t>
    <rPh sb="0" eb="4">
      <t>シイレサキメイ</t>
    </rPh>
    <phoneticPr fontId="2"/>
  </si>
  <si>
    <t>TD支払.仕入先名1</t>
    <rPh sb="5" eb="9">
      <t>シイレサキメイ</t>
    </rPh>
    <phoneticPr fontId="2"/>
  </si>
  <si>
    <t>仕入先名2</t>
    <rPh sb="0" eb="4">
      <t>シイレサキメイ</t>
    </rPh>
    <phoneticPr fontId="2"/>
  </si>
  <si>
    <t>TD支払.仕入先名2</t>
    <rPh sb="5" eb="9">
      <t>シイレサキメイ</t>
    </rPh>
    <phoneticPr fontId="2"/>
  </si>
  <si>
    <t>支払区分CD</t>
    <rPh sb="0" eb="4">
      <t>シハライクブン</t>
    </rPh>
    <phoneticPr fontId="2"/>
  </si>
  <si>
    <t>TD支払.支払区分CD</t>
    <rPh sb="5" eb="9">
      <t>シハライクブン</t>
    </rPh>
    <phoneticPr fontId="2"/>
  </si>
  <si>
    <t>支払区分名</t>
    <rPh sb="0" eb="5">
      <t>シハライクブンメイ</t>
    </rPh>
    <phoneticPr fontId="2"/>
  </si>
  <si>
    <t>TD支払.支払区分名</t>
    <rPh sb="5" eb="10">
      <t>シハライクブンメイ</t>
    </rPh>
    <phoneticPr fontId="2"/>
  </si>
  <si>
    <t>支払種別</t>
    <rPh sb="0" eb="4">
      <t>シハライシュベツ</t>
    </rPh>
    <phoneticPr fontId="2"/>
  </si>
  <si>
    <t>TD支払.支払種別</t>
    <rPh sb="5" eb="9">
      <t>シハライシュベツ</t>
    </rPh>
    <phoneticPr fontId="2"/>
  </si>
  <si>
    <t>支払金額</t>
    <rPh sb="0" eb="4">
      <t>シハライキンガク</t>
    </rPh>
    <phoneticPr fontId="2"/>
  </si>
  <si>
    <t>TD支払.支払金額</t>
    <rPh sb="5" eb="9">
      <t>シハライキンガク</t>
    </rPh>
    <phoneticPr fontId="2"/>
  </si>
  <si>
    <t>手形期日</t>
    <rPh sb="0" eb="4">
      <t>テガタキジツ</t>
    </rPh>
    <phoneticPr fontId="2"/>
  </si>
  <si>
    <t>TD支払.手形期日</t>
    <rPh sb="5" eb="9">
      <t>テガタキジツ</t>
    </rPh>
    <phoneticPr fontId="2"/>
  </si>
  <si>
    <t>手形番号</t>
    <rPh sb="0" eb="4">
      <t>テガタバンゴウ</t>
    </rPh>
    <phoneticPr fontId="2"/>
  </si>
  <si>
    <t>TD支払.手形番号</t>
    <rPh sb="5" eb="9">
      <t>テガタバンゴウ</t>
    </rPh>
    <phoneticPr fontId="2"/>
  </si>
  <si>
    <t>摘要名</t>
    <rPh sb="0" eb="3">
      <t>テキヨウメイ</t>
    </rPh>
    <phoneticPr fontId="2"/>
  </si>
  <si>
    <t>TD支払.摘要名</t>
    <rPh sb="5" eb="8">
      <t>テキヨウメイ</t>
    </rPh>
    <phoneticPr fontId="2"/>
  </si>
  <si>
    <t>合計金額</t>
    <rPh sb="0" eb="4">
      <t>ゴウケイキンガク</t>
    </rPh>
    <phoneticPr fontId="2"/>
  </si>
  <si>
    <t>TD支払.合計金額</t>
    <rPh sb="5" eb="9">
      <t>ゴウケイキンガク</t>
    </rPh>
    <phoneticPr fontId="2"/>
  </si>
  <si>
    <t>支払年月</t>
    <rPh sb="0" eb="4">
      <t>シハライネンゲツ</t>
    </rPh>
    <phoneticPr fontId="2"/>
  </si>
  <si>
    <t>TD支払.支払年月</t>
    <rPh sb="5" eb="9">
      <t>シハライネンゲツ</t>
    </rPh>
    <phoneticPr fontId="2"/>
  </si>
  <si>
    <t>支払締日</t>
    <rPh sb="0" eb="4">
      <t>シハライシメビ</t>
    </rPh>
    <phoneticPr fontId="2"/>
  </si>
  <si>
    <t>TD支払.支払締日</t>
    <rPh sb="5" eb="9">
      <t>シハライシメビ</t>
    </rPh>
    <phoneticPr fontId="2"/>
  </si>
  <si>
    <t>支払更新FLG</t>
    <rPh sb="0" eb="4">
      <t>シハライコウシン</t>
    </rPh>
    <phoneticPr fontId="2"/>
  </si>
  <si>
    <t>TD支払.支払更新FLG</t>
    <rPh sb="5" eb="9">
      <t>シハライコウシン</t>
    </rPh>
    <phoneticPr fontId="2"/>
  </si>
  <si>
    <t>初期登録日</t>
    <rPh sb="0" eb="5">
      <t>ショキトウロクビ</t>
    </rPh>
    <phoneticPr fontId="2"/>
  </si>
  <si>
    <t>TD支払.初期登録日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</si>
  <si>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</si>
  <si>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TD支払.登録変更日</t>
    <rPh sb="5" eb="10">
      <t>トウロクヘンコウビ</t>
    </rPh>
    <phoneticPr fontId="2"/>
  </si>
  <si>
    <t>from</t>
    <phoneticPr fontId="2"/>
  </si>
  <si>
    <t>From TD支払</t>
    <rPh sb="7" eb="9">
      <t>シハライ</t>
    </rPh>
    <phoneticPr fontId="2"/>
  </si>
  <si>
    <t>where</t>
    <phoneticPr fontId="2"/>
  </si>
  <si>
    <t>where 0 &lt;&gt; 0</t>
    <phoneticPr fontId="2"/>
  </si>
  <si>
    <t>必ずFalseになる条件</t>
    <rPh sb="9" eb="11">
      <t>ジョウケン</t>
    </rPh>
    <phoneticPr fontId="2"/>
  </si>
  <si>
    <t>SQLで項目のみ取得</t>
    <rPh sb="4" eb="6">
      <t>コウモク</t>
    </rPh>
    <rPh sb="8" eb="10">
      <t>シュトク</t>
    </rPh>
    <phoneticPr fontId="2"/>
  </si>
  <si>
    <t>仕入先CD</t>
    <rPh sb="0" eb="3">
      <t>シイレサキ</t>
    </rPh>
    <phoneticPr fontId="2"/>
  </si>
  <si>
    <t>TM仕入先.仕入先CD</t>
    <rPh sb="6" eb="9">
      <t>シイレサキ</t>
    </rPh>
    <phoneticPr fontId="2"/>
  </si>
  <si>
    <t>select * from TM仕入先</t>
    <rPh sb="16" eb="19">
      <t>シイレサキ</t>
    </rPh>
    <phoneticPr fontId="2"/>
  </si>
  <si>
    <t>TM仕入先.初期登録日</t>
    <rPh sb="6" eb="11">
      <t>ショキトウロクビ</t>
    </rPh>
    <phoneticPr fontId="2"/>
  </si>
  <si>
    <t>仕入先名1</t>
    <phoneticPr fontId="2"/>
  </si>
  <si>
    <t>TM仕入先.仕入先名1</t>
    <phoneticPr fontId="2"/>
  </si>
  <si>
    <t>TM仕入先.仕入先名2</t>
    <rPh sb="6" eb="10">
      <t>シイレサキメイ</t>
    </rPh>
    <phoneticPr fontId="2"/>
  </si>
  <si>
    <t>略称</t>
    <rPh sb="0" eb="2">
      <t>リャクショウ</t>
    </rPh>
    <phoneticPr fontId="2"/>
  </si>
  <si>
    <t>TM仕入先.略称</t>
    <rPh sb="6" eb="8">
      <t>リャクショウ</t>
    </rPh>
    <phoneticPr fontId="2"/>
  </si>
  <si>
    <t>フリガナ</t>
    <phoneticPr fontId="2"/>
  </si>
  <si>
    <t>TM仕入先.フリガナ</t>
    <phoneticPr fontId="2"/>
  </si>
  <si>
    <t>郵便番号</t>
    <rPh sb="0" eb="4">
      <t>ユウビンバンゴウ</t>
    </rPh>
    <phoneticPr fontId="2"/>
  </si>
  <si>
    <t>TM仕入先.郵便番号</t>
    <rPh sb="6" eb="10">
      <t>ユウビンバンゴウ</t>
    </rPh>
    <phoneticPr fontId="2"/>
  </si>
  <si>
    <t>住所1</t>
    <rPh sb="0" eb="2">
      <t>ジュウショ</t>
    </rPh>
    <phoneticPr fontId="2"/>
  </si>
  <si>
    <t>TM仕入先.住所1</t>
    <rPh sb="6" eb="8">
      <t>ジュウショ</t>
    </rPh>
    <phoneticPr fontId="2"/>
  </si>
  <si>
    <t>住所2</t>
    <rPh sb="0" eb="2">
      <t>ジュウショ</t>
    </rPh>
    <phoneticPr fontId="2"/>
  </si>
  <si>
    <t>TM仕入先.住所2</t>
    <rPh sb="6" eb="8">
      <t>ジュウショ</t>
    </rPh>
    <phoneticPr fontId="2"/>
  </si>
  <si>
    <t>電話番号</t>
    <rPh sb="0" eb="4">
      <t>デンワバンゴウ</t>
    </rPh>
    <phoneticPr fontId="2"/>
  </si>
  <si>
    <t>TM仕入先.電話番号</t>
    <rPh sb="6" eb="10">
      <t>デンワバンゴウ</t>
    </rPh>
    <phoneticPr fontId="2"/>
  </si>
  <si>
    <t>FAX番号</t>
    <rPh sb="3" eb="5">
      <t>バンゴウ</t>
    </rPh>
    <phoneticPr fontId="2"/>
  </si>
  <si>
    <t>TM仕入先.FAX番号</t>
    <rPh sb="9" eb="11">
      <t>バンゴウ</t>
    </rPh>
    <phoneticPr fontId="2"/>
  </si>
  <si>
    <t>仕入先担当者名</t>
    <rPh sb="0" eb="2">
      <t>シイレ</t>
    </rPh>
    <rPh sb="2" eb="3">
      <t>サキ</t>
    </rPh>
    <rPh sb="3" eb="6">
      <t>タントウシャ</t>
    </rPh>
    <rPh sb="6" eb="7">
      <t>メイ</t>
    </rPh>
    <phoneticPr fontId="2"/>
  </si>
  <si>
    <t>TM仕入先.仕入先担当者名</t>
    <rPh sb="6" eb="8">
      <t>シイレ</t>
    </rPh>
    <rPh sb="8" eb="9">
      <t>サキ</t>
    </rPh>
    <rPh sb="9" eb="12">
      <t>タントウシャ</t>
    </rPh>
    <rPh sb="12" eb="13">
      <t>メイ</t>
    </rPh>
    <phoneticPr fontId="2"/>
  </si>
  <si>
    <t>担当者CD</t>
    <rPh sb="0" eb="3">
      <t>タントウシャ</t>
    </rPh>
    <phoneticPr fontId="2"/>
  </si>
  <si>
    <t>TM仕入先.担当者CD</t>
    <rPh sb="6" eb="9">
      <t>タントウシャ</t>
    </rPh>
    <phoneticPr fontId="2"/>
  </si>
  <si>
    <t>締日</t>
    <rPh sb="0" eb="2">
      <t>シメビ</t>
    </rPh>
    <phoneticPr fontId="2"/>
  </si>
  <si>
    <t>TM仕入先.締日</t>
    <rPh sb="6" eb="8">
      <t>シメビ</t>
    </rPh>
    <phoneticPr fontId="2"/>
  </si>
  <si>
    <t>決算月</t>
    <rPh sb="0" eb="3">
      <t>ケッサンツキ</t>
    </rPh>
    <phoneticPr fontId="2"/>
  </si>
  <si>
    <t>TM仕入先.決算月</t>
    <rPh sb="6" eb="9">
      <t>ケッサンツキ</t>
    </rPh>
    <phoneticPr fontId="2"/>
  </si>
  <si>
    <t>税収計区分</t>
    <rPh sb="0" eb="3">
      <t>ゼイシュウケイ</t>
    </rPh>
    <rPh sb="3" eb="5">
      <t>クブン</t>
    </rPh>
    <phoneticPr fontId="2"/>
  </si>
  <si>
    <t>TM仕入先.税収計区分</t>
    <rPh sb="6" eb="9">
      <t>ゼイシュウケイ</t>
    </rPh>
    <rPh sb="9" eb="11">
      <t>クブン</t>
    </rPh>
    <phoneticPr fontId="2"/>
  </si>
  <si>
    <t>仕入端数</t>
    <rPh sb="0" eb="4">
      <t>シイレハスウ</t>
    </rPh>
    <phoneticPr fontId="2"/>
  </si>
  <si>
    <t>TM仕入先.仕入端数</t>
    <rPh sb="6" eb="10">
      <t>シイレハスウ</t>
    </rPh>
    <phoneticPr fontId="2"/>
  </si>
  <si>
    <t>消費税端数</t>
    <rPh sb="0" eb="5">
      <t>ショウヒゼイハスウ</t>
    </rPh>
    <phoneticPr fontId="2"/>
  </si>
  <si>
    <t>TM仕入先.消費税端数</t>
    <rPh sb="6" eb="11">
      <t>ショウヒゼイハスウ</t>
    </rPh>
    <phoneticPr fontId="2"/>
  </si>
  <si>
    <t>支払サイクル</t>
    <rPh sb="0" eb="2">
      <t>シハライ</t>
    </rPh>
    <phoneticPr fontId="2"/>
  </si>
  <si>
    <t>TM仕入先.支払サイクル</t>
    <rPh sb="6" eb="8">
      <t>シハライ</t>
    </rPh>
    <phoneticPr fontId="2"/>
  </si>
  <si>
    <t>支払予定日</t>
    <rPh sb="0" eb="5">
      <t>シハライヨテイビ</t>
    </rPh>
    <phoneticPr fontId="2"/>
  </si>
  <si>
    <t>TM仕入先.支払予定日</t>
    <rPh sb="6" eb="11">
      <t>シハライヨテイビ</t>
    </rPh>
    <phoneticPr fontId="2"/>
  </si>
  <si>
    <t>支払区分CD</t>
    <rPh sb="0" eb="2">
      <t>シハライ</t>
    </rPh>
    <rPh sb="2" eb="4">
      <t>クブン</t>
    </rPh>
    <phoneticPr fontId="2"/>
  </si>
  <si>
    <t>TM仕入先.支払区分CD</t>
    <rPh sb="6" eb="8">
      <t>シハライ</t>
    </rPh>
    <rPh sb="8" eb="10">
      <t>クブン</t>
    </rPh>
    <phoneticPr fontId="2"/>
  </si>
  <si>
    <t>支払方法</t>
    <rPh sb="0" eb="4">
      <t>シハライホウホウ</t>
    </rPh>
    <phoneticPr fontId="2"/>
  </si>
  <si>
    <t>TM仕入先.支払方法</t>
    <rPh sb="6" eb="10">
      <t>シハライホウホウ</t>
    </rPh>
    <phoneticPr fontId="2"/>
  </si>
  <si>
    <t>支払様式</t>
    <rPh sb="0" eb="4">
      <t>シハライヨウシキ</t>
    </rPh>
    <phoneticPr fontId="2"/>
  </si>
  <si>
    <t>TM仕入先.支払様式</t>
    <rPh sb="6" eb="10">
      <t>シハライヨウシキ</t>
    </rPh>
    <phoneticPr fontId="2"/>
  </si>
  <si>
    <t>導入支払金額</t>
    <rPh sb="0" eb="6">
      <t>ドウニュウシハライキンガク</t>
    </rPh>
    <phoneticPr fontId="2"/>
  </si>
  <si>
    <t>TM仕入先.導入支払金額</t>
    <rPh sb="6" eb="12">
      <t>ドウニュウシハライキンガク</t>
    </rPh>
    <phoneticPr fontId="2"/>
  </si>
  <si>
    <t>導入買掛金額</t>
    <rPh sb="0" eb="2">
      <t>ドウニュウ</t>
    </rPh>
    <rPh sb="2" eb="6">
      <t>カイカケキンガク</t>
    </rPh>
    <phoneticPr fontId="2"/>
  </si>
  <si>
    <t>TM仕入先.導入買掛金額</t>
    <rPh sb="6" eb="8">
      <t>ドウニュウ</t>
    </rPh>
    <rPh sb="8" eb="12">
      <t>カイカケキンガク</t>
    </rPh>
    <phoneticPr fontId="2"/>
  </si>
  <si>
    <t>メモ</t>
    <phoneticPr fontId="2"/>
  </si>
  <si>
    <t>TM仕入先.メモ</t>
    <phoneticPr fontId="2"/>
  </si>
  <si>
    <t>最終使用日</t>
    <rPh sb="0" eb="5">
      <t>サイシュウシヨウビ</t>
    </rPh>
    <phoneticPr fontId="2"/>
  </si>
  <si>
    <t>TM仕入先.最終使用日</t>
    <rPh sb="6" eb="11">
      <t>サイシュウシヨウビ</t>
    </rPh>
    <phoneticPr fontId="2"/>
  </si>
  <si>
    <t>インボイス登録番号</t>
    <rPh sb="5" eb="9">
      <t>トウロクバンゴウ</t>
    </rPh>
    <phoneticPr fontId="2"/>
  </si>
  <si>
    <t>TM仕入先.インボイス登録番号</t>
    <rPh sb="11" eb="15">
      <t>トウロクバンゴウ</t>
    </rPh>
    <phoneticPr fontId="2"/>
  </si>
  <si>
    <t>登録変更日</t>
    <rPh sb="0" eb="2">
      <t>トウロク</t>
    </rPh>
    <rPh sb="2" eb="4">
      <t>ヘンコウ</t>
    </rPh>
    <rPh sb="4" eb="5">
      <t>ビ</t>
    </rPh>
    <phoneticPr fontId="2"/>
  </si>
  <si>
    <t>TM仕入先.登録変更日</t>
    <rPh sb="6" eb="8">
      <t>トウロク</t>
    </rPh>
    <rPh sb="8" eb="10">
      <t>ヘンコウ</t>
    </rPh>
    <rPh sb="10" eb="11">
      <t>ビ</t>
    </rPh>
    <phoneticPr fontId="2"/>
  </si>
  <si>
    <t>FROM TM仕入先</t>
    <phoneticPr fontId="2"/>
  </si>
  <si>
    <t>WHERE 仕入先CD = [取込CSV.1列目]</t>
    <phoneticPr fontId="2"/>
  </si>
  <si>
    <t>SQL2</t>
    <phoneticPr fontId="2"/>
  </si>
  <si>
    <t>SQL2.仕入先名1</t>
    <rPh sb="5" eb="7">
      <t>シイレ</t>
    </rPh>
    <rPh sb="7" eb="8">
      <t>サキ</t>
    </rPh>
    <rPh sb="8" eb="9">
      <t>メイ</t>
    </rPh>
    <phoneticPr fontId="1"/>
  </si>
  <si>
    <t>SQL2.仕入先名2</t>
    <rPh sb="5" eb="7">
      <t>シイレ</t>
    </rPh>
    <rPh sb="7" eb="8">
      <t>サキ</t>
    </rPh>
    <rPh sb="8" eb="9">
      <t>メイ</t>
    </rPh>
    <phoneticPr fontId="1"/>
  </si>
  <si>
    <t>SQL2.摘要名</t>
    <rPh sb="5" eb="7">
      <t>テキヨウ</t>
    </rPh>
    <rPh sb="7" eb="8">
      <t>メイ</t>
    </rPh>
    <phoneticPr fontId="1"/>
  </si>
  <si>
    <t>A4縦</t>
    <rPh sb="2" eb="3">
      <t>タテ</t>
    </rPh>
    <phoneticPr fontId="2"/>
  </si>
  <si>
    <t>受発注</t>
    <phoneticPr fontId="2"/>
  </si>
  <si>
    <t>受発注システム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</si>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</sst>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#,##0_ 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1" fillId="0" borderId="0">
      <alignment vertical="center"/>
    </xf>
  </cellStyleXfs>
  <cellXfs count="2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3" fillId="2" borderId="39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4" xfId="0" applyFont="1" applyFill="1" applyBorder="1" applyAlignment="1">
      <alignment horizontal="left"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7" xfId="0" quotePrefix="1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1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1" xfId="0" applyFont="1" applyFill="1" applyBorder="1">
      <alignment vertical="center"/>
    </xf>
    <xf numFmtId="0" fontId="9" fillId="2" borderId="61" xfId="0" quotePrefix="1" applyFont="1" applyFill="1" applyBorder="1">
      <alignment vertical="center"/>
    </xf>
    <xf numFmtId="0" fontId="3" fillId="2" borderId="61" xfId="0" quotePrefix="1" applyFont="1" applyFill="1" applyBorder="1" applyAlignment="1">
      <alignment vertical="center"/>
    </xf>
    <xf numFmtId="0" fontId="3" fillId="2" borderId="66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2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59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2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14" fillId="0" borderId="0" xfId="2" applyFont="1">
      <alignment vertical="center"/>
    </xf>
    <xf numFmtId="0" fontId="14" fillId="0" borderId="0" xfId="2" applyFont="1" applyAlignment="1">
      <alignment horizontal="right" vertical="center"/>
    </xf>
    <xf numFmtId="0" fontId="15" fillId="0" borderId="0" xfId="2" applyFont="1" applyAlignment="1">
      <alignment horizontal="right" vertical="center"/>
    </xf>
    <xf numFmtId="0" fontId="15" fillId="6" borderId="5" xfId="2" applyFont="1" applyFill="1" applyBorder="1" applyAlignment="1">
      <alignment horizontal="center" vertical="center" shrinkToFit="1"/>
    </xf>
    <xf numFmtId="0" fontId="15" fillId="6" borderId="1" xfId="2" applyFont="1" applyFill="1" applyBorder="1" applyAlignment="1">
      <alignment horizontal="center" vertical="center" shrinkToFit="1"/>
    </xf>
    <xf numFmtId="14" fontId="14" fillId="0" borderId="1" xfId="2" applyNumberFormat="1" applyFont="1" applyBorder="1" applyAlignment="1">
      <alignment vertical="center" shrinkToFit="1"/>
    </xf>
    <xf numFmtId="0" fontId="14" fillId="0" borderId="1" xfId="2" applyFont="1" applyBorder="1" applyAlignment="1">
      <alignment vertical="center" shrinkToFit="1"/>
    </xf>
    <xf numFmtId="0" fontId="14" fillId="0" borderId="1" xfId="2" applyFont="1" applyBorder="1" applyAlignment="1">
      <alignment horizontal="right" vertical="center" shrinkToFit="1"/>
    </xf>
    <xf numFmtId="38" fontId="14" fillId="0" borderId="1" xfId="2" applyNumberFormat="1" applyFont="1" applyBorder="1" applyAlignment="1">
      <alignment vertical="center" shrinkToFit="1"/>
    </xf>
    <xf numFmtId="49" fontId="14" fillId="0" borderId="1" xfId="2" applyNumberFormat="1" applyFont="1" applyBorder="1" applyAlignment="1">
      <alignment vertical="center" shrinkToFit="1"/>
    </xf>
    <xf numFmtId="40" fontId="14" fillId="0" borderId="1" xfId="2" applyNumberFormat="1" applyFont="1" applyBorder="1" applyAlignment="1">
      <alignment vertical="center" shrinkToFit="1"/>
    </xf>
    <xf numFmtId="177" fontId="14" fillId="0" borderId="1" xfId="2" applyNumberFormat="1" applyFont="1" applyBorder="1" applyAlignment="1">
      <alignment vertical="center" shrinkToFit="1"/>
    </xf>
    <xf numFmtId="0" fontId="0" fillId="0" borderId="14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shrinkToFi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14" fontId="3" fillId="2" borderId="49" xfId="0" applyNumberFormat="1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</cellXfs>
  <cellStyles count="3"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80682</xdr:colOff>
      <xdr:row>8</xdr:row>
      <xdr:rowOff>53789</xdr:rowOff>
    </xdr:from>
    <xdr:to>
      <xdr:col>58</xdr:col>
      <xdr:colOff>171354</xdr:colOff>
      <xdr:row>20</xdr:row>
      <xdr:rowOff>213915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76" y="1685365"/>
          <a:ext cx="15375496" cy="3172268"/>
        </a:xfrm>
        <a:prstGeom prst="rect">
          <a:avLst/>
        </a:prstGeom>
      </xdr:spPr>
    </xdr:pic>
    <xdr:clientData/>
  </xdr:twoCellAnchor>
  <xdr:twoCellAnchor>
    <xdr:from>
      <xdr:col>46</xdr:col>
      <xdr:colOff>188259</xdr:colOff>
      <xdr:row>15</xdr:row>
      <xdr:rowOff>35860</xdr:rowOff>
    </xdr:from>
    <xdr:to>
      <xdr:col>47</xdr:col>
      <xdr:colOff>251011</xdr:colOff>
      <xdr:row>16</xdr:row>
      <xdr:rowOff>107578</xdr:rowOff>
    </xdr:to>
    <xdr:sp macro="" textlink="">
      <xdr:nvSpPr>
        <xdr:cNvPr id="3" name="正方形/長方形 2"/>
        <xdr:cNvSpPr/>
      </xdr:nvSpPr>
      <xdr:spPr>
        <a:xfrm>
          <a:off x="12774706" y="34245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35859</xdr:colOff>
      <xdr:row>15</xdr:row>
      <xdr:rowOff>8966</xdr:rowOff>
    </xdr:from>
    <xdr:to>
      <xdr:col>41</xdr:col>
      <xdr:colOff>98611</xdr:colOff>
      <xdr:row>16</xdr:row>
      <xdr:rowOff>80684</xdr:rowOff>
    </xdr:to>
    <xdr:sp macro="" textlink="">
      <xdr:nvSpPr>
        <xdr:cNvPr id="5" name="正方形/長方形 4"/>
        <xdr:cNvSpPr/>
      </xdr:nvSpPr>
      <xdr:spPr>
        <a:xfrm>
          <a:off x="10954871" y="33976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242047</xdr:colOff>
      <xdr:row>15</xdr:row>
      <xdr:rowOff>8965</xdr:rowOff>
    </xdr:from>
    <xdr:to>
      <xdr:col>37</xdr:col>
      <xdr:colOff>26893</xdr:colOff>
      <xdr:row>16</xdr:row>
      <xdr:rowOff>80683</xdr:rowOff>
    </xdr:to>
    <xdr:sp macro="" textlink="">
      <xdr:nvSpPr>
        <xdr:cNvPr id="6" name="正方形/長方形 5"/>
        <xdr:cNvSpPr/>
      </xdr:nvSpPr>
      <xdr:spPr>
        <a:xfrm>
          <a:off x="9771529" y="3397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80683</xdr:colOff>
      <xdr:row>15</xdr:row>
      <xdr:rowOff>8965</xdr:rowOff>
    </xdr:from>
    <xdr:to>
      <xdr:col>26</xdr:col>
      <xdr:colOff>143436</xdr:colOff>
      <xdr:row>16</xdr:row>
      <xdr:rowOff>80683</xdr:rowOff>
    </xdr:to>
    <xdr:sp macro="" textlink="">
      <xdr:nvSpPr>
        <xdr:cNvPr id="7" name="正方形/長方形 6"/>
        <xdr:cNvSpPr/>
      </xdr:nvSpPr>
      <xdr:spPr>
        <a:xfrm>
          <a:off x="6831107" y="3397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224117</xdr:colOff>
      <xdr:row>15</xdr:row>
      <xdr:rowOff>8965</xdr:rowOff>
    </xdr:from>
    <xdr:to>
      <xdr:col>16</xdr:col>
      <xdr:colOff>8963</xdr:colOff>
      <xdr:row>16</xdr:row>
      <xdr:rowOff>80683</xdr:rowOff>
    </xdr:to>
    <xdr:sp macro="" textlink="">
      <xdr:nvSpPr>
        <xdr:cNvPr id="8" name="正方形/長方形 7"/>
        <xdr:cNvSpPr/>
      </xdr:nvSpPr>
      <xdr:spPr>
        <a:xfrm>
          <a:off x="3917576" y="3397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179295</xdr:colOff>
      <xdr:row>15</xdr:row>
      <xdr:rowOff>8965</xdr:rowOff>
    </xdr:from>
    <xdr:to>
      <xdr:col>11</xdr:col>
      <xdr:colOff>242047</xdr:colOff>
      <xdr:row>16</xdr:row>
      <xdr:rowOff>80683</xdr:rowOff>
    </xdr:to>
    <xdr:sp macro="" textlink="">
      <xdr:nvSpPr>
        <xdr:cNvPr id="9" name="正方形/長方形 8"/>
        <xdr:cNvSpPr/>
      </xdr:nvSpPr>
      <xdr:spPr>
        <a:xfrm>
          <a:off x="2761130" y="33976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62753</xdr:colOff>
      <xdr:row>15</xdr:row>
      <xdr:rowOff>0</xdr:rowOff>
    </xdr:from>
    <xdr:to>
      <xdr:col>6</xdr:col>
      <xdr:colOff>125505</xdr:colOff>
      <xdr:row>16</xdr:row>
      <xdr:rowOff>71718</xdr:rowOff>
    </xdr:to>
    <xdr:sp macro="" textlink="">
      <xdr:nvSpPr>
        <xdr:cNvPr id="10" name="正方形/長方形 9"/>
        <xdr:cNvSpPr/>
      </xdr:nvSpPr>
      <xdr:spPr>
        <a:xfrm>
          <a:off x="1255059" y="33886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8965</xdr:colOff>
      <xdr:row>9</xdr:row>
      <xdr:rowOff>206190</xdr:rowOff>
    </xdr:from>
    <xdr:to>
      <xdr:col>58</xdr:col>
      <xdr:colOff>71717</xdr:colOff>
      <xdr:row>11</xdr:row>
      <xdr:rowOff>26896</xdr:rowOff>
    </xdr:to>
    <xdr:sp macro="" textlink="">
      <xdr:nvSpPr>
        <xdr:cNvPr id="11" name="正方形/長方形 10"/>
        <xdr:cNvSpPr/>
      </xdr:nvSpPr>
      <xdr:spPr>
        <a:xfrm>
          <a:off x="15652377" y="208877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35859</xdr:colOff>
      <xdr:row>13</xdr:row>
      <xdr:rowOff>215155</xdr:rowOff>
    </xdr:from>
    <xdr:to>
      <xdr:col>41</xdr:col>
      <xdr:colOff>98611</xdr:colOff>
      <xdr:row>15</xdr:row>
      <xdr:rowOff>35861</xdr:rowOff>
    </xdr:to>
    <xdr:sp macro="" textlink="">
      <xdr:nvSpPr>
        <xdr:cNvPr id="12" name="正方形/長方形 11"/>
        <xdr:cNvSpPr/>
      </xdr:nvSpPr>
      <xdr:spPr>
        <a:xfrm>
          <a:off x="10954871" y="310179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80682</xdr:colOff>
      <xdr:row>13</xdr:row>
      <xdr:rowOff>206190</xdr:rowOff>
    </xdr:from>
    <xdr:to>
      <xdr:col>26</xdr:col>
      <xdr:colOff>143435</xdr:colOff>
      <xdr:row>15</xdr:row>
      <xdr:rowOff>26896</xdr:rowOff>
    </xdr:to>
    <xdr:sp macro="" textlink="">
      <xdr:nvSpPr>
        <xdr:cNvPr id="13" name="正方形/長方形 12"/>
        <xdr:cNvSpPr/>
      </xdr:nvSpPr>
      <xdr:spPr>
        <a:xfrm>
          <a:off x="6831106" y="30928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68088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2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7" t="s">
        <v>0</v>
      </c>
      <c r="C2" s="150"/>
      <c r="D2" s="150"/>
      <c r="E2" s="150"/>
      <c r="F2" s="150"/>
      <c r="G2" s="150"/>
      <c r="H2" s="150" t="s">
        <v>17</v>
      </c>
      <c r="I2" s="150"/>
      <c r="J2" s="150"/>
      <c r="K2" s="150"/>
      <c r="L2" s="150" t="s">
        <v>245</v>
      </c>
      <c r="M2" s="150"/>
      <c r="N2" s="150"/>
      <c r="O2" s="150"/>
      <c r="P2" s="150"/>
      <c r="Q2" s="150"/>
      <c r="R2" s="150" t="s">
        <v>2</v>
      </c>
      <c r="S2" s="150"/>
      <c r="T2" s="150"/>
      <c r="U2" s="150"/>
      <c r="V2" s="150"/>
      <c r="W2" s="150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31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50" t="s">
        <v>5</v>
      </c>
      <c r="AY2" s="150"/>
      <c r="AZ2" s="150"/>
      <c r="BA2" s="150"/>
      <c r="BB2" s="150" t="s">
        <v>4</v>
      </c>
      <c r="BC2" s="150"/>
      <c r="BD2" s="150"/>
      <c r="BE2" s="150"/>
      <c r="BF2" s="150" t="s">
        <v>6</v>
      </c>
      <c r="BG2" s="150"/>
      <c r="BH2" s="150"/>
      <c r="BI2" s="150"/>
      <c r="BJ2" s="150" t="s">
        <v>7</v>
      </c>
      <c r="BK2" s="150"/>
      <c r="BL2" s="150"/>
      <c r="BM2" s="151"/>
      <c r="BN2" s="14"/>
    </row>
    <row r="3" spans="1:66" ht="20.100000000000001" customHeight="1" x14ac:dyDescent="0.45">
      <c r="A3" s="8"/>
      <c r="B3" s="165" t="s">
        <v>244</v>
      </c>
      <c r="C3" s="153"/>
      <c r="D3" s="153"/>
      <c r="E3" s="153"/>
      <c r="F3" s="153"/>
      <c r="G3" s="153"/>
      <c r="H3" s="153" t="str">
        <f ca="1">LEFT($X$3,FIND("_",$X$3)-1)</f>
        <v>SS0700</v>
      </c>
      <c r="I3" s="153"/>
      <c r="J3" s="153"/>
      <c r="K3" s="153"/>
      <c r="L3" s="153" t="s">
        <v>243</v>
      </c>
      <c r="M3" s="153"/>
      <c r="N3" s="153"/>
      <c r="O3" s="153"/>
      <c r="P3" s="153"/>
      <c r="Q3" s="153"/>
      <c r="R3" s="166" t="str">
        <f ca="1">MID($X$3,FIND("_",$X$3,FIND("_",$X$3)+1)+1,LEN($X$3)-FIND("_",$X$3,FIND("_",$X$3)+1))</f>
        <v>帳票設計書</v>
      </c>
      <c r="S3" s="153"/>
      <c r="T3" s="153"/>
      <c r="U3" s="153"/>
      <c r="V3" s="153"/>
      <c r="W3" s="153"/>
      <c r="X3" s="156" t="str">
        <f ca="1">REPLACE(LEFT(CELL("filename",$B$2),FIND(".x",CELL("filename",$B$2))-1),1,FIND("[",CELL("filename",$B$2)),)</f>
        <v>SS0700_支払取込リスト_帳票設計書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8"/>
      <c r="AK3" s="156" t="str">
        <f ca="1">MID($X$3,FIND("_",$X$3)+1,FIND("_",$X$3,FIND("_",$X$3)+1)-FIND("_",$X$3)-1)</f>
        <v>支払取込リスト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8"/>
      <c r="AX3" s="152">
        <v>45581</v>
      </c>
      <c r="AY3" s="153"/>
      <c r="AZ3" s="153"/>
      <c r="BA3" s="153"/>
      <c r="BB3" s="153" t="s">
        <v>246</v>
      </c>
      <c r="BC3" s="153"/>
      <c r="BD3" s="153"/>
      <c r="BE3" s="153"/>
      <c r="BF3" s="152">
        <v>45581</v>
      </c>
      <c r="BG3" s="153"/>
      <c r="BH3" s="153"/>
      <c r="BI3" s="153"/>
      <c r="BJ3" s="153" t="s">
        <v>247</v>
      </c>
      <c r="BK3" s="153"/>
      <c r="BL3" s="153"/>
      <c r="BM3" s="155"/>
      <c r="BN3" s="14"/>
    </row>
    <row r="4" spans="1:66" ht="20.100000000000001" customHeight="1" thickBot="1" x14ac:dyDescent="0.5">
      <c r="A4" s="8"/>
      <c r="B4" s="158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9" t="s">
        <v>8</v>
      </c>
      <c r="D8" s="149"/>
      <c r="E8" s="149"/>
      <c r="F8" s="149"/>
      <c r="G8" s="149" t="s">
        <v>9</v>
      </c>
      <c r="H8" s="149"/>
      <c r="I8" s="149"/>
      <c r="J8" s="149"/>
      <c r="K8" s="149" t="s">
        <v>10</v>
      </c>
      <c r="L8" s="149"/>
      <c r="M8" s="149"/>
      <c r="N8" s="149"/>
      <c r="O8" s="149" t="s">
        <v>11</v>
      </c>
      <c r="P8" s="149"/>
      <c r="Q8" s="149"/>
      <c r="R8" s="149"/>
      <c r="S8" s="149"/>
      <c r="T8" s="149"/>
      <c r="U8" s="149"/>
      <c r="V8" s="149"/>
      <c r="W8" s="149"/>
      <c r="X8" s="149"/>
      <c r="Y8" s="149" t="s">
        <v>12</v>
      </c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7"/>
      <c r="BN8" s="14"/>
    </row>
    <row r="9" spans="1:66" ht="20.100000000000001" customHeight="1" x14ac:dyDescent="0.45">
      <c r="A9" s="8"/>
      <c r="B9" s="7"/>
      <c r="C9" s="148">
        <v>45581</v>
      </c>
      <c r="D9" s="146"/>
      <c r="E9" s="146"/>
      <c r="F9" s="147"/>
      <c r="G9" s="142" t="s">
        <v>16</v>
      </c>
      <c r="H9" s="143"/>
      <c r="I9" s="143"/>
      <c r="J9" s="144"/>
      <c r="K9" s="145" t="s">
        <v>247</v>
      </c>
      <c r="L9" s="146"/>
      <c r="M9" s="146"/>
      <c r="N9" s="14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8"/>
      <c r="D10" s="146"/>
      <c r="E10" s="146"/>
      <c r="F10" s="147"/>
      <c r="G10" s="142"/>
      <c r="H10" s="143"/>
      <c r="I10" s="143"/>
      <c r="J10" s="144"/>
      <c r="K10" s="145"/>
      <c r="L10" s="146"/>
      <c r="M10" s="146"/>
      <c r="N10" s="14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8"/>
      <c r="D11" s="146"/>
      <c r="E11" s="146"/>
      <c r="F11" s="147"/>
      <c r="G11" s="142"/>
      <c r="H11" s="143"/>
      <c r="I11" s="143"/>
      <c r="J11" s="144"/>
      <c r="K11" s="145"/>
      <c r="L11" s="146"/>
      <c r="M11" s="146"/>
      <c r="N11" s="14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8"/>
      <c r="D36" s="146"/>
      <c r="E36" s="146"/>
      <c r="F36" s="147"/>
      <c r="G36" s="142"/>
      <c r="H36" s="143"/>
      <c r="I36" s="143"/>
      <c r="J36" s="144"/>
      <c r="K36" s="145"/>
      <c r="L36" s="146"/>
      <c r="M36" s="146"/>
      <c r="N36" s="14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8"/>
      <c r="D37" s="146"/>
      <c r="E37" s="146"/>
      <c r="F37" s="147"/>
      <c r="G37" s="142"/>
      <c r="H37" s="143"/>
      <c r="I37" s="143"/>
      <c r="J37" s="144"/>
      <c r="K37" s="145"/>
      <c r="L37" s="146"/>
      <c r="M37" s="146"/>
      <c r="N37" s="14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8"/>
      <c r="D38" s="146"/>
      <c r="E38" s="146"/>
      <c r="F38" s="147"/>
      <c r="G38" s="142"/>
      <c r="H38" s="143"/>
      <c r="I38" s="143"/>
      <c r="J38" s="144"/>
      <c r="K38" s="145"/>
      <c r="L38" s="146"/>
      <c r="M38" s="146"/>
      <c r="N38" s="14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8"/>
      <c r="D39" s="146"/>
      <c r="E39" s="146"/>
      <c r="F39" s="147"/>
      <c r="G39" s="142"/>
      <c r="H39" s="143"/>
      <c r="I39" s="143"/>
      <c r="J39" s="144"/>
      <c r="K39" s="145"/>
      <c r="L39" s="146"/>
      <c r="M39" s="146"/>
      <c r="N39" s="14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8"/>
      <c r="D40" s="146"/>
      <c r="E40" s="146"/>
      <c r="F40" s="147"/>
      <c r="G40" s="142"/>
      <c r="H40" s="143"/>
      <c r="I40" s="143"/>
      <c r="J40" s="144"/>
      <c r="K40" s="145"/>
      <c r="L40" s="146"/>
      <c r="M40" s="146"/>
      <c r="N40" s="14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8"/>
      <c r="D41" s="146"/>
      <c r="E41" s="146"/>
      <c r="F41" s="147"/>
      <c r="G41" s="142"/>
      <c r="H41" s="143"/>
      <c r="I41" s="143"/>
      <c r="J41" s="144"/>
      <c r="K41" s="145"/>
      <c r="L41" s="146"/>
      <c r="M41" s="146"/>
      <c r="N41" s="14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8"/>
      <c r="D42" s="146"/>
      <c r="E42" s="146"/>
      <c r="F42" s="147"/>
      <c r="G42" s="142"/>
      <c r="H42" s="143"/>
      <c r="I42" s="143"/>
      <c r="J42" s="144"/>
      <c r="K42" s="145"/>
      <c r="L42" s="146"/>
      <c r="M42" s="146"/>
      <c r="N42" s="14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8"/>
      <c r="D43" s="146"/>
      <c r="E43" s="146"/>
      <c r="F43" s="147"/>
      <c r="G43" s="142"/>
      <c r="H43" s="143"/>
      <c r="I43" s="143"/>
      <c r="J43" s="144"/>
      <c r="K43" s="145"/>
      <c r="L43" s="146"/>
      <c r="M43" s="146"/>
      <c r="N43" s="14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8"/>
      <c r="D44" s="146"/>
      <c r="E44" s="146"/>
      <c r="F44" s="147"/>
      <c r="G44" s="142"/>
      <c r="H44" s="143"/>
      <c r="I44" s="143"/>
      <c r="J44" s="144"/>
      <c r="K44" s="145"/>
      <c r="L44" s="146"/>
      <c r="M44" s="146"/>
      <c r="N44" s="14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8"/>
      <c r="D45" s="146"/>
      <c r="E45" s="146"/>
      <c r="F45" s="147"/>
      <c r="G45" s="142"/>
      <c r="H45" s="143"/>
      <c r="I45" s="143"/>
      <c r="J45" s="144"/>
      <c r="K45" s="145"/>
      <c r="L45" s="146"/>
      <c r="M45" s="146"/>
      <c r="N45" s="14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8"/>
      <c r="D46" s="146"/>
      <c r="E46" s="146"/>
      <c r="F46" s="147"/>
      <c r="G46" s="142"/>
      <c r="H46" s="143"/>
      <c r="I46" s="143"/>
      <c r="J46" s="144"/>
      <c r="K46" s="145"/>
      <c r="L46" s="146"/>
      <c r="M46" s="146"/>
      <c r="N46" s="14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8"/>
      <c r="D47" s="146"/>
      <c r="E47" s="146"/>
      <c r="F47" s="147"/>
      <c r="G47" s="142"/>
      <c r="H47" s="143"/>
      <c r="I47" s="143"/>
      <c r="J47" s="144"/>
      <c r="K47" s="145"/>
      <c r="L47" s="146"/>
      <c r="M47" s="146"/>
      <c r="N47" s="14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7" t="s">
        <v>0</v>
      </c>
      <c r="C2" s="150"/>
      <c r="D2" s="150"/>
      <c r="E2" s="150"/>
      <c r="F2" s="150"/>
      <c r="G2" s="150"/>
      <c r="H2" s="150" t="s">
        <v>17</v>
      </c>
      <c r="I2" s="150"/>
      <c r="J2" s="150"/>
      <c r="K2" s="150"/>
      <c r="L2" s="150" t="s">
        <v>245</v>
      </c>
      <c r="M2" s="150"/>
      <c r="N2" s="150"/>
      <c r="O2" s="150"/>
      <c r="P2" s="150"/>
      <c r="Q2" s="150"/>
      <c r="R2" s="150" t="s">
        <v>2</v>
      </c>
      <c r="S2" s="150"/>
      <c r="T2" s="150"/>
      <c r="U2" s="150"/>
      <c r="V2" s="150"/>
      <c r="W2" s="150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32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50" t="s">
        <v>5</v>
      </c>
      <c r="AY2" s="150"/>
      <c r="AZ2" s="150"/>
      <c r="BA2" s="150"/>
      <c r="BB2" s="150" t="s">
        <v>4</v>
      </c>
      <c r="BC2" s="150"/>
      <c r="BD2" s="150"/>
      <c r="BE2" s="150"/>
      <c r="BF2" s="150" t="s">
        <v>6</v>
      </c>
      <c r="BG2" s="150"/>
      <c r="BH2" s="150"/>
      <c r="BI2" s="150"/>
      <c r="BJ2" s="150" t="s">
        <v>7</v>
      </c>
      <c r="BK2" s="150"/>
      <c r="BL2" s="150"/>
      <c r="BM2" s="151"/>
      <c r="BN2" s="35"/>
    </row>
    <row r="3" spans="1:66" ht="20.100000000000001" customHeight="1" x14ac:dyDescent="0.45">
      <c r="A3" s="32"/>
      <c r="B3" s="165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SS0700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6" t="str">
        <f ca="1">変更履歴!X3</f>
        <v>SS0700_支払取込リスト_帳票設計書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8"/>
      <c r="AK3" s="156" t="str">
        <f ca="1">変更履歴!AK3</f>
        <v>支払取込リスト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8"/>
      <c r="AX3" s="152">
        <f>変更履歴!AX3</f>
        <v>45581</v>
      </c>
      <c r="AY3" s="152"/>
      <c r="AZ3" s="152"/>
      <c r="BA3" s="152"/>
      <c r="BB3" s="153" t="str">
        <f>変更履歴!BB3</f>
        <v>大谷</v>
      </c>
      <c r="BC3" s="153"/>
      <c r="BD3" s="153"/>
      <c r="BE3" s="153"/>
      <c r="BF3" s="152">
        <f>変更履歴!BF3</f>
        <v>45581</v>
      </c>
      <c r="BG3" s="152"/>
      <c r="BH3" s="152"/>
      <c r="BI3" s="152"/>
      <c r="BJ3" s="153" t="str">
        <f>変更履歴!BJ3</f>
        <v>大谷</v>
      </c>
      <c r="BK3" s="153"/>
      <c r="BL3" s="153"/>
      <c r="BM3" s="155"/>
      <c r="BN3" s="35"/>
    </row>
    <row r="4" spans="1:66" ht="20.100000000000001" customHeight="1" thickBot="1" x14ac:dyDescent="0.5">
      <c r="A4" s="32"/>
      <c r="B4" s="158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68"/>
      <c r="AY4" s="168"/>
      <c r="AZ4" s="168"/>
      <c r="BA4" s="168"/>
      <c r="BB4" s="154"/>
      <c r="BC4" s="154"/>
      <c r="BD4" s="154"/>
      <c r="BE4" s="154"/>
      <c r="BF4" s="168"/>
      <c r="BG4" s="168"/>
      <c r="BH4" s="168"/>
      <c r="BI4" s="168"/>
      <c r="BJ4" s="154"/>
      <c r="BK4" s="154"/>
      <c r="BL4" s="154"/>
      <c r="BM4" s="156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支払取込リスト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102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103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104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105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106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105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107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242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7" t="s">
        <v>0</v>
      </c>
      <c r="C2" s="150"/>
      <c r="D2" s="150"/>
      <c r="E2" s="150"/>
      <c r="F2" s="150"/>
      <c r="G2" s="150"/>
      <c r="H2" s="150" t="s">
        <v>17</v>
      </c>
      <c r="I2" s="150"/>
      <c r="J2" s="150"/>
      <c r="K2" s="150"/>
      <c r="L2" s="150" t="s">
        <v>245</v>
      </c>
      <c r="M2" s="150"/>
      <c r="N2" s="150"/>
      <c r="O2" s="150"/>
      <c r="P2" s="150"/>
      <c r="Q2" s="150"/>
      <c r="R2" s="150" t="s">
        <v>2</v>
      </c>
      <c r="S2" s="150"/>
      <c r="T2" s="150"/>
      <c r="U2" s="150"/>
      <c r="V2" s="150"/>
      <c r="W2" s="150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32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50" t="s">
        <v>5</v>
      </c>
      <c r="AY2" s="150"/>
      <c r="AZ2" s="150"/>
      <c r="BA2" s="150"/>
      <c r="BB2" s="150" t="s">
        <v>4</v>
      </c>
      <c r="BC2" s="150"/>
      <c r="BD2" s="150"/>
      <c r="BE2" s="150"/>
      <c r="BF2" s="150" t="s">
        <v>6</v>
      </c>
      <c r="BG2" s="150"/>
      <c r="BH2" s="150"/>
      <c r="BI2" s="150"/>
      <c r="BJ2" s="150" t="s">
        <v>7</v>
      </c>
      <c r="BK2" s="150"/>
      <c r="BL2" s="150"/>
      <c r="BM2" s="151"/>
      <c r="BN2" s="15"/>
    </row>
    <row r="3" spans="1:66" ht="20.100000000000001" customHeight="1" x14ac:dyDescent="0.45">
      <c r="A3" s="9"/>
      <c r="B3" s="165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SS0700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6" t="str">
        <f ca="1">変更履歴!X3</f>
        <v>SS0700_支払取込リスト_帳票設計書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8"/>
      <c r="AK3" s="156" t="str">
        <f ca="1">変更履歴!AK3</f>
        <v>支払取込リスト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8"/>
      <c r="AX3" s="152">
        <f>変更履歴!AX3</f>
        <v>45581</v>
      </c>
      <c r="AY3" s="152"/>
      <c r="AZ3" s="152"/>
      <c r="BA3" s="152"/>
      <c r="BB3" s="153" t="str">
        <f>変更履歴!BB3</f>
        <v>大谷</v>
      </c>
      <c r="BC3" s="153"/>
      <c r="BD3" s="153"/>
      <c r="BE3" s="153"/>
      <c r="BF3" s="152">
        <f>変更履歴!BF3</f>
        <v>45581</v>
      </c>
      <c r="BG3" s="152"/>
      <c r="BH3" s="152"/>
      <c r="BI3" s="152"/>
      <c r="BJ3" s="153" t="str">
        <f>変更履歴!BJ3</f>
        <v>大谷</v>
      </c>
      <c r="BK3" s="153"/>
      <c r="BL3" s="153"/>
      <c r="BM3" s="155"/>
      <c r="BN3" s="15"/>
    </row>
    <row r="4" spans="1:66" ht="20.100000000000001" customHeight="1" thickBot="1" x14ac:dyDescent="0.5">
      <c r="A4" s="9"/>
      <c r="B4" s="158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68"/>
      <c r="AY4" s="168"/>
      <c r="AZ4" s="168"/>
      <c r="BA4" s="168"/>
      <c r="BB4" s="154"/>
      <c r="BC4" s="154"/>
      <c r="BD4" s="154"/>
      <c r="BE4" s="154"/>
      <c r="BF4" s="168"/>
      <c r="BG4" s="168"/>
      <c r="BH4" s="168"/>
      <c r="BI4" s="168"/>
      <c r="BJ4" s="154"/>
      <c r="BK4" s="154"/>
      <c r="BL4" s="154"/>
      <c r="BM4" s="156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1" width="3.69921875" style="6" customWidth="1"/>
    <col min="72" max="72" width="3.59765625" style="6" customWidth="1"/>
    <col min="73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34"/>
      <c r="W1" s="34"/>
      <c r="X1" s="34"/>
      <c r="Y1" s="34"/>
      <c r="Z1" s="34"/>
      <c r="AA1" s="34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</row>
    <row r="2" spans="1:85" ht="20.100000000000001" customHeight="1" thickTop="1" x14ac:dyDescent="0.45">
      <c r="A2" s="9"/>
      <c r="B2" s="167" t="s">
        <v>0</v>
      </c>
      <c r="C2" s="150"/>
      <c r="D2" s="150"/>
      <c r="E2" s="150"/>
      <c r="F2" s="150"/>
      <c r="G2" s="150"/>
      <c r="H2" s="150" t="s">
        <v>17</v>
      </c>
      <c r="I2" s="150"/>
      <c r="J2" s="150"/>
      <c r="K2" s="150"/>
      <c r="L2" s="150" t="s">
        <v>245</v>
      </c>
      <c r="M2" s="150"/>
      <c r="N2" s="150"/>
      <c r="O2" s="150"/>
      <c r="P2" s="150"/>
      <c r="Q2" s="150"/>
      <c r="R2" s="150" t="s">
        <v>2</v>
      </c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62" t="s">
        <v>3</v>
      </c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4"/>
      <c r="AQ2" s="162" t="s">
        <v>32</v>
      </c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4"/>
      <c r="BD2" s="150" t="s">
        <v>5</v>
      </c>
      <c r="BE2" s="150"/>
      <c r="BF2" s="150"/>
      <c r="BG2" s="150"/>
      <c r="BH2" s="150" t="s">
        <v>4</v>
      </c>
      <c r="BI2" s="150"/>
      <c r="BJ2" s="150"/>
      <c r="BK2" s="150"/>
      <c r="BL2" s="150" t="s">
        <v>6</v>
      </c>
      <c r="BM2" s="150"/>
      <c r="BN2" s="150"/>
      <c r="BO2" s="150"/>
      <c r="BP2" s="150" t="s">
        <v>7</v>
      </c>
      <c r="BQ2" s="150"/>
      <c r="BR2" s="150"/>
      <c r="BS2" s="151"/>
      <c r="BT2" s="15"/>
    </row>
    <row r="3" spans="1:85" ht="20.100000000000001" customHeight="1" x14ac:dyDescent="0.45">
      <c r="A3" s="9"/>
      <c r="B3" s="165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SS0700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6" t="str">
        <f ca="1">変更履歴!X3</f>
        <v>SS0700_支払取込リスト_帳票設計書</v>
      </c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8"/>
      <c r="AQ3" s="156" t="str">
        <f ca="1">変更履歴!AK3</f>
        <v>支払取込リスト</v>
      </c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8"/>
      <c r="BD3" s="152">
        <f>変更履歴!AX3</f>
        <v>45581</v>
      </c>
      <c r="BE3" s="152"/>
      <c r="BF3" s="152"/>
      <c r="BG3" s="152"/>
      <c r="BH3" s="153" t="str">
        <f>変更履歴!BB3</f>
        <v>大谷</v>
      </c>
      <c r="BI3" s="153"/>
      <c r="BJ3" s="153"/>
      <c r="BK3" s="153"/>
      <c r="BL3" s="152">
        <f>変更履歴!BF3</f>
        <v>45581</v>
      </c>
      <c r="BM3" s="152"/>
      <c r="BN3" s="152"/>
      <c r="BO3" s="152"/>
      <c r="BP3" s="153" t="str">
        <f>変更履歴!BJ3</f>
        <v>大谷</v>
      </c>
      <c r="BQ3" s="153"/>
      <c r="BR3" s="153"/>
      <c r="BS3" s="155"/>
      <c r="BT3" s="15"/>
    </row>
    <row r="4" spans="1:85" ht="20.100000000000001" customHeight="1" thickBot="1" x14ac:dyDescent="0.5">
      <c r="A4" s="9"/>
      <c r="B4" s="158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9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1"/>
      <c r="AQ4" s="159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1"/>
      <c r="BD4" s="168"/>
      <c r="BE4" s="168"/>
      <c r="BF4" s="168"/>
      <c r="BG4" s="168"/>
      <c r="BH4" s="154"/>
      <c r="BI4" s="154"/>
      <c r="BJ4" s="154"/>
      <c r="BK4" s="154"/>
      <c r="BL4" s="168"/>
      <c r="BM4" s="168"/>
      <c r="BN4" s="168"/>
      <c r="BO4" s="168"/>
      <c r="BP4" s="154"/>
      <c r="BQ4" s="154"/>
      <c r="BR4" s="154"/>
      <c r="BS4" s="156"/>
      <c r="BT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33"/>
      <c r="W5" s="33"/>
      <c r="X5" s="33"/>
      <c r="Y5" s="33"/>
      <c r="Z5" s="33"/>
      <c r="AA5" s="33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29"/>
      <c r="W6" s="29"/>
      <c r="X6" s="29"/>
      <c r="Y6" s="29"/>
      <c r="Z6" s="29"/>
      <c r="AA6" s="29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5"/>
      <c r="BW8" s="31"/>
      <c r="BX8" s="31"/>
      <c r="BY8" s="31"/>
      <c r="BZ8" s="31"/>
      <c r="CA8" s="31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29"/>
      <c r="BA9" s="29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31"/>
      <c r="BV9" s="35"/>
      <c r="BW9" s="31"/>
      <c r="BX9" s="31"/>
      <c r="BY9" s="31"/>
      <c r="BZ9" s="31"/>
      <c r="CA9" s="31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7" t="s">
        <v>20</v>
      </c>
      <c r="F10" s="188"/>
      <c r="G10" s="188"/>
      <c r="H10" s="188"/>
      <c r="I10" s="188"/>
      <c r="J10" s="188"/>
      <c r="K10" s="188"/>
      <c r="L10" s="189"/>
      <c r="M10" s="190" t="s">
        <v>24</v>
      </c>
      <c r="N10" s="191"/>
      <c r="O10" s="191"/>
      <c r="P10" s="190" t="s">
        <v>33</v>
      </c>
      <c r="Q10" s="191"/>
      <c r="R10" s="191"/>
      <c r="S10" s="190" t="s">
        <v>34</v>
      </c>
      <c r="T10" s="191"/>
      <c r="U10" s="191"/>
      <c r="V10" s="190" t="s">
        <v>36</v>
      </c>
      <c r="W10" s="191"/>
      <c r="X10" s="191"/>
      <c r="Y10" s="191"/>
      <c r="Z10" s="191"/>
      <c r="AA10" s="192"/>
      <c r="AB10" s="190" t="s">
        <v>35</v>
      </c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2"/>
      <c r="AR10" s="190" t="s">
        <v>42</v>
      </c>
      <c r="AS10" s="191"/>
      <c r="AT10" s="191"/>
      <c r="AU10" s="191"/>
      <c r="AV10" s="191"/>
      <c r="AW10" s="192"/>
      <c r="AX10" s="190" t="s">
        <v>43</v>
      </c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4"/>
      <c r="BU10" s="40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18.600000000000001" customHeight="1" x14ac:dyDescent="0.45">
      <c r="A11" s="30"/>
      <c r="B11" s="44"/>
      <c r="C11" s="32"/>
      <c r="D11" s="37">
        <v>1</v>
      </c>
      <c r="E11" s="175" t="s">
        <v>108</v>
      </c>
      <c r="F11" s="176"/>
      <c r="G11" s="176"/>
      <c r="H11" s="176"/>
      <c r="I11" s="176"/>
      <c r="J11" s="176"/>
      <c r="K11" s="176"/>
      <c r="L11" s="177"/>
      <c r="M11" s="145" t="s">
        <v>8</v>
      </c>
      <c r="N11" s="146"/>
      <c r="O11" s="146"/>
      <c r="P11" s="145" t="s">
        <v>117</v>
      </c>
      <c r="Q11" s="146"/>
      <c r="R11" s="146"/>
      <c r="S11" s="145">
        <v>8</v>
      </c>
      <c r="T11" s="146"/>
      <c r="U11" s="146"/>
      <c r="V11" s="169" t="s">
        <v>119</v>
      </c>
      <c r="W11" s="170"/>
      <c r="X11" s="170"/>
      <c r="Y11" s="170"/>
      <c r="Z11" s="170"/>
      <c r="AA11" s="171"/>
      <c r="AB11" s="178" t="s">
        <v>118</v>
      </c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80"/>
      <c r="AR11" s="145"/>
      <c r="AS11" s="146"/>
      <c r="AT11" s="146"/>
      <c r="AU11" s="146"/>
      <c r="AV11" s="146"/>
      <c r="AW11" s="147"/>
      <c r="AX11" s="169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95"/>
      <c r="BU11" s="40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18.600000000000001" customHeight="1" x14ac:dyDescent="0.45">
      <c r="A12" s="30"/>
      <c r="B12" s="44"/>
      <c r="C12" s="32"/>
      <c r="D12" s="37">
        <v>2</v>
      </c>
      <c r="E12" s="175" t="s">
        <v>120</v>
      </c>
      <c r="F12" s="176"/>
      <c r="G12" s="176"/>
      <c r="H12" s="176"/>
      <c r="I12" s="176"/>
      <c r="J12" s="176"/>
      <c r="K12" s="176"/>
      <c r="L12" s="177"/>
      <c r="M12" s="145" t="s">
        <v>47</v>
      </c>
      <c r="N12" s="146"/>
      <c r="O12" s="146"/>
      <c r="P12" s="145" t="s">
        <v>117</v>
      </c>
      <c r="Q12" s="146"/>
      <c r="R12" s="146"/>
      <c r="S12" s="155" t="s">
        <v>123</v>
      </c>
      <c r="T12" s="193"/>
      <c r="U12" s="193"/>
      <c r="V12" s="169" t="s">
        <v>124</v>
      </c>
      <c r="W12" s="170"/>
      <c r="X12" s="170"/>
      <c r="Y12" s="170"/>
      <c r="Z12" s="170"/>
      <c r="AA12" s="171"/>
      <c r="AB12" s="178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80"/>
      <c r="AR12" s="145"/>
      <c r="AS12" s="146"/>
      <c r="AT12" s="146"/>
      <c r="AU12" s="146"/>
      <c r="AV12" s="146"/>
      <c r="AW12" s="147"/>
      <c r="AX12" s="169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95"/>
      <c r="BU12" s="40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175" t="s">
        <v>121</v>
      </c>
      <c r="F13" s="176"/>
      <c r="G13" s="176"/>
      <c r="H13" s="176"/>
      <c r="I13" s="176"/>
      <c r="J13" s="176"/>
      <c r="K13" s="176"/>
      <c r="L13" s="177"/>
      <c r="M13" s="145" t="s">
        <v>47</v>
      </c>
      <c r="N13" s="146"/>
      <c r="O13" s="146"/>
      <c r="P13" s="145" t="s">
        <v>117</v>
      </c>
      <c r="Q13" s="146"/>
      <c r="R13" s="146"/>
      <c r="S13" s="155" t="s">
        <v>123</v>
      </c>
      <c r="T13" s="193"/>
      <c r="U13" s="193"/>
      <c r="V13" s="169" t="s">
        <v>125</v>
      </c>
      <c r="W13" s="170"/>
      <c r="X13" s="170"/>
      <c r="Y13" s="170"/>
      <c r="Z13" s="170"/>
      <c r="AA13" s="171"/>
      <c r="AB13" s="178" t="s">
        <v>126</v>
      </c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80"/>
      <c r="AR13" s="145"/>
      <c r="AS13" s="146"/>
      <c r="AT13" s="146"/>
      <c r="AU13" s="146"/>
      <c r="AV13" s="146"/>
      <c r="AW13" s="147"/>
      <c r="AX13" s="169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95"/>
      <c r="BU13" s="40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2"/>
      <c r="D14" s="37">
        <v>4</v>
      </c>
      <c r="E14" s="175" t="s">
        <v>109</v>
      </c>
      <c r="F14" s="176"/>
      <c r="G14" s="176"/>
      <c r="H14" s="176"/>
      <c r="I14" s="176"/>
      <c r="J14" s="176"/>
      <c r="K14" s="176"/>
      <c r="L14" s="177"/>
      <c r="M14" s="145" t="s">
        <v>8</v>
      </c>
      <c r="N14" s="146"/>
      <c r="O14" s="146"/>
      <c r="P14" s="145" t="s">
        <v>117</v>
      </c>
      <c r="Q14" s="146"/>
      <c r="R14" s="146"/>
      <c r="S14" s="145">
        <v>8</v>
      </c>
      <c r="T14" s="146"/>
      <c r="U14" s="146"/>
      <c r="V14" s="169" t="s">
        <v>130</v>
      </c>
      <c r="W14" s="170"/>
      <c r="X14" s="170"/>
      <c r="Y14" s="170"/>
      <c r="Z14" s="170"/>
      <c r="AA14" s="171"/>
      <c r="AB14" s="178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80"/>
      <c r="AR14" s="145"/>
      <c r="AS14" s="146"/>
      <c r="AT14" s="146"/>
      <c r="AU14" s="146"/>
      <c r="AV14" s="146"/>
      <c r="AW14" s="147"/>
      <c r="AX14" s="169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95"/>
      <c r="BU14" s="40"/>
      <c r="BV14" s="40"/>
      <c r="BW14" s="41"/>
      <c r="BX14" s="41"/>
      <c r="BY14" s="41"/>
      <c r="BZ14" s="41"/>
      <c r="CA14" s="41"/>
      <c r="CB14" s="30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75" t="s">
        <v>110</v>
      </c>
      <c r="F15" s="176"/>
      <c r="G15" s="176"/>
      <c r="H15" s="176"/>
      <c r="I15" s="176"/>
      <c r="J15" s="176"/>
      <c r="K15" s="176"/>
      <c r="L15" s="177"/>
      <c r="M15" s="145" t="s">
        <v>47</v>
      </c>
      <c r="N15" s="146"/>
      <c r="O15" s="146"/>
      <c r="P15" s="145" t="s">
        <v>117</v>
      </c>
      <c r="Q15" s="146"/>
      <c r="R15" s="146"/>
      <c r="S15" s="155" t="s">
        <v>123</v>
      </c>
      <c r="T15" s="193"/>
      <c r="U15" s="193"/>
      <c r="V15" s="169" t="s">
        <v>131</v>
      </c>
      <c r="W15" s="170"/>
      <c r="X15" s="170"/>
      <c r="Y15" s="170"/>
      <c r="Z15" s="170"/>
      <c r="AA15" s="171"/>
      <c r="AB15" s="178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80"/>
      <c r="AR15" s="145"/>
      <c r="AS15" s="146"/>
      <c r="AT15" s="146"/>
      <c r="AU15" s="146"/>
      <c r="AV15" s="146"/>
      <c r="AW15" s="147"/>
      <c r="AX15" s="169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95"/>
      <c r="BU15" s="40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175" t="s">
        <v>111</v>
      </c>
      <c r="F16" s="176"/>
      <c r="G16" s="176"/>
      <c r="H16" s="176"/>
      <c r="I16" s="176"/>
      <c r="J16" s="176"/>
      <c r="K16" s="176"/>
      <c r="L16" s="177"/>
      <c r="M16" s="145" t="s">
        <v>38</v>
      </c>
      <c r="N16" s="146"/>
      <c r="O16" s="147"/>
      <c r="P16" s="145" t="s">
        <v>122</v>
      </c>
      <c r="Q16" s="146"/>
      <c r="R16" s="147"/>
      <c r="S16" s="155" t="s">
        <v>123</v>
      </c>
      <c r="T16" s="193"/>
      <c r="U16" s="193"/>
      <c r="V16" s="169" t="s">
        <v>239</v>
      </c>
      <c r="W16" s="170"/>
      <c r="X16" s="170"/>
      <c r="Y16" s="170"/>
      <c r="Z16" s="170"/>
      <c r="AA16" s="171"/>
      <c r="AB16" s="178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80"/>
      <c r="AR16" s="145"/>
      <c r="AS16" s="146"/>
      <c r="AT16" s="146"/>
      <c r="AU16" s="146"/>
      <c r="AV16" s="146"/>
      <c r="AW16" s="147"/>
      <c r="AX16" s="169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95"/>
      <c r="BU16" s="40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6"/>
      <c r="D17" s="37">
        <v>7</v>
      </c>
      <c r="E17" s="175" t="s">
        <v>112</v>
      </c>
      <c r="F17" s="176"/>
      <c r="G17" s="176"/>
      <c r="H17" s="176"/>
      <c r="I17" s="176"/>
      <c r="J17" s="176"/>
      <c r="K17" s="176"/>
      <c r="L17" s="177"/>
      <c r="M17" s="145" t="s">
        <v>38</v>
      </c>
      <c r="N17" s="146"/>
      <c r="O17" s="147"/>
      <c r="P17" s="145" t="s">
        <v>122</v>
      </c>
      <c r="Q17" s="146"/>
      <c r="R17" s="147"/>
      <c r="S17" s="155" t="s">
        <v>123</v>
      </c>
      <c r="T17" s="193"/>
      <c r="U17" s="193"/>
      <c r="V17" s="169" t="s">
        <v>240</v>
      </c>
      <c r="W17" s="170"/>
      <c r="X17" s="170"/>
      <c r="Y17" s="170"/>
      <c r="Z17" s="170"/>
      <c r="AA17" s="171"/>
      <c r="AB17" s="178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80"/>
      <c r="AR17" s="145"/>
      <c r="AS17" s="146"/>
      <c r="AT17" s="146"/>
      <c r="AU17" s="146"/>
      <c r="AV17" s="146"/>
      <c r="AW17" s="147"/>
      <c r="AX17" s="169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95"/>
      <c r="BU17" s="40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30"/>
      <c r="D18" s="37">
        <v>8</v>
      </c>
      <c r="E18" s="175" t="s">
        <v>113</v>
      </c>
      <c r="F18" s="176"/>
      <c r="G18" s="176"/>
      <c r="H18" s="176"/>
      <c r="I18" s="176"/>
      <c r="J18" s="176"/>
      <c r="K18" s="176"/>
      <c r="L18" s="177"/>
      <c r="M18" s="145" t="s">
        <v>47</v>
      </c>
      <c r="N18" s="146"/>
      <c r="O18" s="146"/>
      <c r="P18" s="145" t="s">
        <v>117</v>
      </c>
      <c r="Q18" s="146"/>
      <c r="R18" s="146"/>
      <c r="S18" s="155" t="s">
        <v>123</v>
      </c>
      <c r="T18" s="193"/>
      <c r="U18" s="193"/>
      <c r="V18" s="169" t="s">
        <v>128</v>
      </c>
      <c r="W18" s="170"/>
      <c r="X18" s="170"/>
      <c r="Y18" s="170"/>
      <c r="Z18" s="170"/>
      <c r="AA18" s="171"/>
      <c r="AB18" s="178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80"/>
      <c r="AR18" s="145"/>
      <c r="AS18" s="146"/>
      <c r="AT18" s="146"/>
      <c r="AU18" s="146"/>
      <c r="AV18" s="146"/>
      <c r="AW18" s="147"/>
      <c r="AX18" s="169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95"/>
      <c r="BU18" s="40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/>
      <c r="D19" s="37">
        <v>9</v>
      </c>
      <c r="E19" s="175" t="s">
        <v>114</v>
      </c>
      <c r="F19" s="176"/>
      <c r="G19" s="176"/>
      <c r="H19" s="176"/>
      <c r="I19" s="176"/>
      <c r="J19" s="176"/>
      <c r="K19" s="176"/>
      <c r="L19" s="177"/>
      <c r="M19" s="145" t="s">
        <v>38</v>
      </c>
      <c r="N19" s="146"/>
      <c r="O19" s="147"/>
      <c r="P19" s="145" t="s">
        <v>122</v>
      </c>
      <c r="Q19" s="146"/>
      <c r="R19" s="147"/>
      <c r="S19" s="155" t="s">
        <v>123</v>
      </c>
      <c r="T19" s="193"/>
      <c r="U19" s="193"/>
      <c r="V19" s="169" t="s">
        <v>129</v>
      </c>
      <c r="W19" s="170"/>
      <c r="X19" s="170"/>
      <c r="Y19" s="170"/>
      <c r="Z19" s="170"/>
      <c r="AA19" s="171"/>
      <c r="AB19" s="178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80"/>
      <c r="AR19" s="145"/>
      <c r="AS19" s="146"/>
      <c r="AT19" s="146"/>
      <c r="AU19" s="146"/>
      <c r="AV19" s="146"/>
      <c r="AW19" s="147"/>
      <c r="AX19" s="169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95"/>
      <c r="BU19" s="40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29"/>
      <c r="B20" s="35"/>
      <c r="C20"/>
      <c r="D20" s="37">
        <v>10</v>
      </c>
      <c r="E20" s="175" t="s">
        <v>115</v>
      </c>
      <c r="F20" s="176"/>
      <c r="G20" s="176"/>
      <c r="H20" s="176"/>
      <c r="I20" s="176"/>
      <c r="J20" s="176"/>
      <c r="K20" s="176"/>
      <c r="L20" s="177"/>
      <c r="M20" s="145" t="s">
        <v>47</v>
      </c>
      <c r="N20" s="146"/>
      <c r="O20" s="146"/>
      <c r="P20" s="145" t="s">
        <v>117</v>
      </c>
      <c r="Q20" s="146"/>
      <c r="R20" s="146"/>
      <c r="S20" s="155" t="s">
        <v>123</v>
      </c>
      <c r="T20" s="193"/>
      <c r="U20" s="193"/>
      <c r="V20" s="169" t="s">
        <v>132</v>
      </c>
      <c r="W20" s="170"/>
      <c r="X20" s="170"/>
      <c r="Y20" s="170"/>
      <c r="Z20" s="170"/>
      <c r="AA20" s="171"/>
      <c r="AB20" s="178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80"/>
      <c r="AR20" s="145"/>
      <c r="AS20" s="146"/>
      <c r="AT20" s="146"/>
      <c r="AU20" s="146"/>
      <c r="AV20" s="146"/>
      <c r="AW20" s="147"/>
      <c r="AX20" s="169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95"/>
      <c r="BU20" s="40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31"/>
      <c r="CG20" s="31"/>
    </row>
    <row r="21" spans="1:85" s="5" customFormat="1" ht="20.100000000000001" customHeight="1" x14ac:dyDescent="0.45">
      <c r="A21" s="29"/>
      <c r="B21" s="35"/>
      <c r="C21"/>
      <c r="D21" s="37">
        <v>11</v>
      </c>
      <c r="E21" s="175" t="s">
        <v>116</v>
      </c>
      <c r="F21" s="176"/>
      <c r="G21" s="176"/>
      <c r="H21" s="176"/>
      <c r="I21" s="176"/>
      <c r="J21" s="176"/>
      <c r="K21" s="176"/>
      <c r="L21" s="177"/>
      <c r="M21" s="145" t="s">
        <v>38</v>
      </c>
      <c r="N21" s="146"/>
      <c r="O21" s="147"/>
      <c r="P21" s="145" t="s">
        <v>122</v>
      </c>
      <c r="Q21" s="146"/>
      <c r="R21" s="147"/>
      <c r="S21" s="155" t="s">
        <v>123</v>
      </c>
      <c r="T21" s="193"/>
      <c r="U21" s="193"/>
      <c r="V21" s="169" t="s">
        <v>241</v>
      </c>
      <c r="W21" s="170"/>
      <c r="X21" s="170"/>
      <c r="Y21" s="170"/>
      <c r="Z21" s="170"/>
      <c r="AA21" s="171"/>
      <c r="AB21" s="178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80"/>
      <c r="AR21" s="145"/>
      <c r="AS21" s="146"/>
      <c r="AT21" s="146"/>
      <c r="AU21" s="146"/>
      <c r="AV21" s="146"/>
      <c r="AW21" s="147"/>
      <c r="AX21" s="169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95"/>
      <c r="BU21" s="40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75"/>
      <c r="F22" s="176"/>
      <c r="G22" s="176"/>
      <c r="H22" s="176"/>
      <c r="I22" s="176"/>
      <c r="J22" s="176"/>
      <c r="K22" s="176"/>
      <c r="L22" s="177"/>
      <c r="M22" s="145"/>
      <c r="N22" s="146"/>
      <c r="O22" s="146"/>
      <c r="P22" s="145"/>
      <c r="Q22" s="146"/>
      <c r="R22" s="146"/>
      <c r="S22" s="145"/>
      <c r="T22" s="146"/>
      <c r="U22" s="146"/>
      <c r="V22" s="169"/>
      <c r="W22" s="170"/>
      <c r="X22" s="170"/>
      <c r="Y22" s="170"/>
      <c r="Z22" s="170"/>
      <c r="AA22" s="171"/>
      <c r="AB22" s="178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80"/>
      <c r="AR22" s="145"/>
      <c r="AS22" s="146"/>
      <c r="AT22" s="146"/>
      <c r="AU22" s="146"/>
      <c r="AV22" s="146"/>
      <c r="AW22" s="147"/>
      <c r="AX22" s="169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95"/>
      <c r="BU22" s="40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75"/>
      <c r="F23" s="176"/>
      <c r="G23" s="176"/>
      <c r="H23" s="176"/>
      <c r="I23" s="176"/>
      <c r="J23" s="176"/>
      <c r="K23" s="176"/>
      <c r="L23" s="177"/>
      <c r="M23" s="145"/>
      <c r="N23" s="146"/>
      <c r="O23" s="146"/>
      <c r="P23" s="145"/>
      <c r="Q23" s="146"/>
      <c r="R23" s="146"/>
      <c r="S23" s="145"/>
      <c r="T23" s="146"/>
      <c r="U23" s="146"/>
      <c r="V23" s="169"/>
      <c r="W23" s="170"/>
      <c r="X23" s="170"/>
      <c r="Y23" s="170"/>
      <c r="Z23" s="170"/>
      <c r="AA23" s="171"/>
      <c r="AB23" s="178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80"/>
      <c r="AR23" s="145"/>
      <c r="AS23" s="146"/>
      <c r="AT23" s="146"/>
      <c r="AU23" s="146"/>
      <c r="AV23" s="146"/>
      <c r="AW23" s="147"/>
      <c r="AX23" s="169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95"/>
      <c r="BU23" s="40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75"/>
      <c r="F24" s="176"/>
      <c r="G24" s="176"/>
      <c r="H24" s="176"/>
      <c r="I24" s="176"/>
      <c r="J24" s="176"/>
      <c r="K24" s="176"/>
      <c r="L24" s="177"/>
      <c r="M24" s="145"/>
      <c r="N24" s="146"/>
      <c r="O24" s="147"/>
      <c r="P24" s="145"/>
      <c r="Q24" s="146"/>
      <c r="R24" s="147"/>
      <c r="S24" s="145"/>
      <c r="T24" s="146"/>
      <c r="U24" s="147"/>
      <c r="V24" s="169"/>
      <c r="W24" s="170"/>
      <c r="X24" s="170"/>
      <c r="Y24" s="170"/>
      <c r="Z24" s="170"/>
      <c r="AA24" s="171"/>
      <c r="AB24" s="178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80"/>
      <c r="AR24" s="145"/>
      <c r="AS24" s="146"/>
      <c r="AT24" s="146"/>
      <c r="AU24" s="146"/>
      <c r="AV24" s="146"/>
      <c r="AW24" s="147"/>
      <c r="AX24" s="169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95"/>
      <c r="BU24" s="40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75"/>
      <c r="F25" s="176"/>
      <c r="G25" s="176"/>
      <c r="H25" s="176"/>
      <c r="I25" s="176"/>
      <c r="J25" s="176"/>
      <c r="K25" s="176"/>
      <c r="L25" s="177"/>
      <c r="M25" s="145"/>
      <c r="N25" s="146"/>
      <c r="O25" s="147"/>
      <c r="P25" s="145"/>
      <c r="Q25" s="146"/>
      <c r="R25" s="147"/>
      <c r="S25" s="145"/>
      <c r="T25" s="146"/>
      <c r="U25" s="147"/>
      <c r="V25" s="169"/>
      <c r="W25" s="170"/>
      <c r="X25" s="170"/>
      <c r="Y25" s="170"/>
      <c r="Z25" s="170"/>
      <c r="AA25" s="171"/>
      <c r="AB25" s="178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80"/>
      <c r="AR25" s="145"/>
      <c r="AS25" s="146"/>
      <c r="AT25" s="146"/>
      <c r="AU25" s="146"/>
      <c r="AV25" s="146"/>
      <c r="AW25" s="147"/>
      <c r="AX25" s="169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95"/>
      <c r="BU25" s="40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75"/>
      <c r="F26" s="176"/>
      <c r="G26" s="176"/>
      <c r="H26" s="176"/>
      <c r="I26" s="176"/>
      <c r="J26" s="176"/>
      <c r="K26" s="176"/>
      <c r="L26" s="177"/>
      <c r="M26" s="145"/>
      <c r="N26" s="146"/>
      <c r="O26" s="147"/>
      <c r="P26" s="145"/>
      <c r="Q26" s="146"/>
      <c r="R26" s="147"/>
      <c r="S26" s="145"/>
      <c r="T26" s="146"/>
      <c r="U26" s="147"/>
      <c r="V26" s="169"/>
      <c r="W26" s="170"/>
      <c r="X26" s="170"/>
      <c r="Y26" s="170"/>
      <c r="Z26" s="170"/>
      <c r="AA26" s="171"/>
      <c r="AB26" s="178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80"/>
      <c r="AR26" s="145"/>
      <c r="AS26" s="146"/>
      <c r="AT26" s="146"/>
      <c r="AU26" s="146"/>
      <c r="AV26" s="146"/>
      <c r="AW26" s="147"/>
      <c r="AX26" s="169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95"/>
      <c r="BU26" s="40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175"/>
      <c r="F27" s="176"/>
      <c r="G27" s="176"/>
      <c r="H27" s="176"/>
      <c r="I27" s="176"/>
      <c r="J27" s="176"/>
      <c r="K27" s="176"/>
      <c r="L27" s="177"/>
      <c r="M27" s="145"/>
      <c r="N27" s="146"/>
      <c r="O27" s="147"/>
      <c r="P27" s="145"/>
      <c r="Q27" s="146"/>
      <c r="R27" s="147"/>
      <c r="S27" s="145"/>
      <c r="T27" s="146"/>
      <c r="U27" s="147"/>
      <c r="V27" s="169"/>
      <c r="W27" s="170"/>
      <c r="X27" s="170"/>
      <c r="Y27" s="170"/>
      <c r="Z27" s="170"/>
      <c r="AA27" s="171"/>
      <c r="AB27" s="178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80"/>
      <c r="AR27" s="145"/>
      <c r="AS27" s="146"/>
      <c r="AT27" s="146"/>
      <c r="AU27" s="146"/>
      <c r="AV27" s="146"/>
      <c r="AW27" s="147"/>
      <c r="AX27" s="169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9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s="5" customFormat="1" ht="20.100000000000001" customHeight="1" x14ac:dyDescent="0.45">
      <c r="A28" s="29"/>
      <c r="B28" s="35"/>
      <c r="C28"/>
      <c r="D28" s="37">
        <v>18</v>
      </c>
      <c r="E28" s="175"/>
      <c r="F28" s="176"/>
      <c r="G28" s="176"/>
      <c r="H28" s="176"/>
      <c r="I28" s="176"/>
      <c r="J28" s="176"/>
      <c r="K28" s="176"/>
      <c r="L28" s="177"/>
      <c r="M28" s="145"/>
      <c r="N28" s="146"/>
      <c r="O28" s="147"/>
      <c r="P28" s="145"/>
      <c r="Q28" s="146"/>
      <c r="R28" s="147"/>
      <c r="S28" s="145"/>
      <c r="T28" s="146"/>
      <c r="U28" s="147"/>
      <c r="V28" s="169"/>
      <c r="W28" s="170"/>
      <c r="X28" s="170"/>
      <c r="Y28" s="170"/>
      <c r="Z28" s="170"/>
      <c r="AA28" s="171"/>
      <c r="AB28" s="178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80"/>
      <c r="AR28" s="145"/>
      <c r="AS28" s="146"/>
      <c r="AT28" s="146"/>
      <c r="AU28" s="146"/>
      <c r="AV28" s="146"/>
      <c r="AW28" s="147"/>
      <c r="AX28" s="169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9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20.100000000000001" customHeight="1" x14ac:dyDescent="0.45">
      <c r="A29" s="29"/>
      <c r="B29" s="44"/>
      <c r="C29"/>
      <c r="D29" s="37">
        <v>19</v>
      </c>
      <c r="E29" s="175"/>
      <c r="F29" s="176"/>
      <c r="G29" s="176"/>
      <c r="H29" s="176"/>
      <c r="I29" s="176"/>
      <c r="J29" s="176"/>
      <c r="K29" s="176"/>
      <c r="L29" s="177"/>
      <c r="M29" s="145"/>
      <c r="N29" s="146"/>
      <c r="O29" s="147"/>
      <c r="P29" s="145"/>
      <c r="Q29" s="146"/>
      <c r="R29" s="147"/>
      <c r="S29" s="145"/>
      <c r="T29" s="146"/>
      <c r="U29" s="147"/>
      <c r="V29" s="169"/>
      <c r="W29" s="170"/>
      <c r="X29" s="170"/>
      <c r="Y29" s="170"/>
      <c r="Z29" s="170"/>
      <c r="AA29" s="171"/>
      <c r="AB29" s="178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80"/>
      <c r="AR29" s="145"/>
      <c r="AS29" s="146"/>
      <c r="AT29" s="146"/>
      <c r="AU29" s="146"/>
      <c r="AV29" s="146"/>
      <c r="AW29" s="147"/>
      <c r="AX29" s="169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9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 x14ac:dyDescent="0.45">
      <c r="A30" s="29"/>
      <c r="B30" s="44"/>
      <c r="C30"/>
      <c r="D30" s="37">
        <v>20</v>
      </c>
      <c r="E30" s="175"/>
      <c r="F30" s="176"/>
      <c r="G30" s="176"/>
      <c r="H30" s="176"/>
      <c r="I30" s="176"/>
      <c r="J30" s="176"/>
      <c r="K30" s="176"/>
      <c r="L30" s="177"/>
      <c r="M30" s="145"/>
      <c r="N30" s="146"/>
      <c r="O30" s="146"/>
      <c r="P30" s="145"/>
      <c r="Q30" s="146"/>
      <c r="R30" s="146"/>
      <c r="S30" s="145"/>
      <c r="T30" s="146"/>
      <c r="U30" s="146"/>
      <c r="V30" s="169"/>
      <c r="W30" s="170"/>
      <c r="X30" s="170"/>
      <c r="Y30" s="170"/>
      <c r="Z30" s="170"/>
      <c r="AA30" s="171"/>
      <c r="AB30" s="178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80"/>
      <c r="AR30" s="145"/>
      <c r="AS30" s="146"/>
      <c r="AT30" s="146"/>
      <c r="AU30" s="146"/>
      <c r="AV30" s="146"/>
      <c r="AW30" s="147"/>
      <c r="AX30" s="169"/>
      <c r="AY30" s="170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70"/>
      <c r="BS30" s="170"/>
      <c r="BT30" s="19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19.5" customHeight="1" x14ac:dyDescent="0.45">
      <c r="A31" s="29"/>
      <c r="B31" s="44"/>
      <c r="C31"/>
      <c r="D31" s="37">
        <v>21</v>
      </c>
      <c r="E31" s="175"/>
      <c r="F31" s="176"/>
      <c r="G31" s="176"/>
      <c r="H31" s="176"/>
      <c r="I31" s="176"/>
      <c r="J31" s="176"/>
      <c r="K31" s="176"/>
      <c r="L31" s="177"/>
      <c r="M31" s="145"/>
      <c r="N31" s="146"/>
      <c r="O31" s="146"/>
      <c r="P31" s="145"/>
      <c r="Q31" s="146"/>
      <c r="R31" s="146"/>
      <c r="S31" s="145"/>
      <c r="T31" s="146"/>
      <c r="U31" s="146"/>
      <c r="V31" s="169"/>
      <c r="W31" s="170"/>
      <c r="X31" s="170"/>
      <c r="Y31" s="170"/>
      <c r="Z31" s="170"/>
      <c r="AA31" s="171"/>
      <c r="AB31" s="178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80"/>
      <c r="AR31" s="145"/>
      <c r="AS31" s="146"/>
      <c r="AT31" s="146"/>
      <c r="AU31" s="146"/>
      <c r="AV31" s="146"/>
      <c r="AW31" s="147"/>
      <c r="AX31" s="169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70"/>
      <c r="BS31" s="170"/>
      <c r="BT31" s="19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thickBot="1" x14ac:dyDescent="0.5">
      <c r="A32" s="29"/>
      <c r="B32" s="44"/>
      <c r="C32"/>
      <c r="D32" s="37">
        <v>22</v>
      </c>
      <c r="E32" s="181"/>
      <c r="F32" s="182"/>
      <c r="G32" s="182"/>
      <c r="H32" s="182"/>
      <c r="I32" s="182"/>
      <c r="J32" s="182"/>
      <c r="K32" s="182"/>
      <c r="L32" s="183"/>
      <c r="M32" s="184"/>
      <c r="N32" s="185"/>
      <c r="O32" s="186"/>
      <c r="P32" s="184"/>
      <c r="Q32" s="185"/>
      <c r="R32" s="185"/>
      <c r="S32" s="184"/>
      <c r="T32" s="185"/>
      <c r="U32" s="185"/>
      <c r="V32" s="172"/>
      <c r="W32" s="173"/>
      <c r="X32" s="173"/>
      <c r="Y32" s="173"/>
      <c r="Z32" s="173"/>
      <c r="AA32" s="174"/>
      <c r="AB32" s="196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8"/>
      <c r="AR32" s="184"/>
      <c r="AS32" s="185"/>
      <c r="AT32" s="185"/>
      <c r="AU32" s="185"/>
      <c r="AV32" s="185"/>
      <c r="AW32" s="186"/>
      <c r="AX32" s="172"/>
      <c r="AY32" s="173"/>
      <c r="AZ32" s="173"/>
      <c r="BA32" s="173"/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173"/>
      <c r="BP32" s="173"/>
      <c r="BQ32" s="173"/>
      <c r="BR32" s="173"/>
      <c r="BS32" s="173"/>
      <c r="BT32" s="199"/>
      <c r="BU32" s="40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79" ht="20.100000000000001" customHeight="1" thickTop="1" thickBot="1" x14ac:dyDescent="0.5">
      <c r="A33" s="29"/>
      <c r="B33" s="40"/>
      <c r="C3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141"/>
      <c r="BV33" s="40"/>
      <c r="BW33" s="31"/>
      <c r="BX33" s="31"/>
      <c r="BY33" s="31"/>
      <c r="BZ33" s="31"/>
      <c r="CA33" s="31"/>
    </row>
    <row r="34" spans="1:79" ht="20.100000000000001" customHeight="1" thickTop="1" x14ac:dyDescent="0.45">
      <c r="A34" s="29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33"/>
      <c r="BJ34" s="33"/>
      <c r="BK34" s="33"/>
      <c r="BL34" s="33"/>
      <c r="BM34" s="33"/>
      <c r="BN34" s="33"/>
      <c r="BO34" s="42"/>
      <c r="BP34" s="42"/>
      <c r="BQ34" s="42"/>
      <c r="BR34" s="42"/>
      <c r="BS34" s="42"/>
      <c r="BT34" s="42"/>
      <c r="BU34" s="42"/>
      <c r="BV34" s="41"/>
    </row>
    <row r="35" spans="1:79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</row>
    <row r="36" spans="1:79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31"/>
      <c r="BN36" s="31"/>
      <c r="BO36" s="31"/>
      <c r="BP36" s="31"/>
      <c r="BQ36" s="31"/>
      <c r="BR36" s="31"/>
      <c r="BS36" s="31"/>
      <c r="BT36" s="31"/>
      <c r="BU36" s="31"/>
      <c r="BV36" s="31"/>
    </row>
    <row r="37" spans="1:79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31"/>
      <c r="BN37" s="31"/>
      <c r="BO37" s="31"/>
      <c r="BP37" s="31"/>
      <c r="BQ37" s="31"/>
      <c r="BR37" s="31"/>
      <c r="BS37" s="31"/>
      <c r="BT37" s="31"/>
      <c r="BU37" s="31"/>
      <c r="BV37" s="31"/>
    </row>
    <row r="38" spans="1:79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31"/>
      <c r="BN38" s="31"/>
      <c r="BO38" s="31"/>
      <c r="BP38" s="31"/>
      <c r="BQ38" s="31"/>
      <c r="BR38" s="31"/>
      <c r="BS38" s="31"/>
      <c r="BT38" s="31"/>
      <c r="BU38" s="31"/>
      <c r="BV38" s="31"/>
    </row>
    <row r="39" spans="1:79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31"/>
      <c r="BN39" s="31"/>
      <c r="BO39" s="31"/>
      <c r="BP39" s="31"/>
      <c r="BQ39" s="31"/>
      <c r="BR39" s="31"/>
      <c r="BS39" s="31"/>
      <c r="BT39" s="31"/>
      <c r="BU39" s="31"/>
      <c r="BV39" s="31"/>
    </row>
    <row r="40" spans="1:79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31"/>
      <c r="BN40" s="31"/>
      <c r="BO40" s="31"/>
      <c r="BP40" s="31"/>
      <c r="BQ40" s="31"/>
      <c r="BR40" s="31"/>
      <c r="BS40" s="31"/>
      <c r="BT40" s="31"/>
      <c r="BU40" s="31"/>
      <c r="BV40" s="31"/>
    </row>
    <row r="41" spans="1:79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31"/>
      <c r="BN41" s="31"/>
      <c r="BO41" s="31"/>
      <c r="BP41" s="31"/>
      <c r="BQ41" s="31"/>
      <c r="BR41" s="31"/>
      <c r="BS41" s="31"/>
      <c r="BT41" s="31"/>
      <c r="BU41" s="31"/>
      <c r="BV41" s="31"/>
    </row>
    <row r="42" spans="1:79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31"/>
      <c r="BN42" s="31"/>
      <c r="BO42" s="31"/>
      <c r="BP42" s="31"/>
      <c r="BQ42" s="31"/>
      <c r="BR42" s="31"/>
      <c r="BS42" s="31"/>
      <c r="BT42" s="31"/>
      <c r="BU42" s="31"/>
      <c r="BV42" s="31"/>
    </row>
    <row r="43" spans="1:79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31"/>
      <c r="BN43" s="31"/>
      <c r="BO43" s="31"/>
      <c r="BP43" s="31"/>
      <c r="BQ43" s="31"/>
      <c r="BR43" s="31"/>
      <c r="BS43" s="31"/>
      <c r="BT43" s="31"/>
      <c r="BU43" s="31"/>
      <c r="BV43" s="31"/>
    </row>
    <row r="44" spans="1:79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31"/>
      <c r="BN44" s="31"/>
      <c r="BO44" s="31"/>
      <c r="BP44" s="31"/>
      <c r="BQ44" s="31"/>
      <c r="BR44" s="31"/>
      <c r="BS44" s="31"/>
      <c r="BT44" s="31"/>
      <c r="BU44" s="31"/>
      <c r="BV44" s="31"/>
    </row>
    <row r="45" spans="1:79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31"/>
      <c r="BN45" s="31"/>
      <c r="BO45" s="31"/>
      <c r="BP45" s="31"/>
      <c r="BQ45" s="31"/>
      <c r="BR45" s="31"/>
      <c r="BS45" s="31"/>
      <c r="BT45" s="31"/>
      <c r="BU45" s="31"/>
      <c r="BV45" s="31"/>
    </row>
    <row r="46" spans="1:79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</row>
    <row r="47" spans="1:79" ht="20.100000000000001" customHeight="1" x14ac:dyDescent="0.45">
      <c r="B47" s="3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</row>
    <row r="48" spans="1:79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31"/>
      <c r="BV48" s="31"/>
    </row>
    <row r="49" spans="1:74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31"/>
      <c r="BV49" s="31"/>
    </row>
    <row r="50" spans="1:74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31"/>
      <c r="BV50" s="31"/>
    </row>
    <row r="51" spans="1:74" ht="20.100000000000001" customHeight="1" x14ac:dyDescent="0.45">
      <c r="A51" s="2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31"/>
      <c r="BV51" s="31"/>
    </row>
    <row r="52" spans="1:74" ht="20.100000000000001" customHeight="1" x14ac:dyDescent="0.45">
      <c r="A52" s="29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31"/>
      <c r="BV52" s="31"/>
    </row>
    <row r="53" spans="1:74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</row>
    <row r="54" spans="1:74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spans="1:74" ht="20.100000000000001" customHeight="1" x14ac:dyDescent="0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</sheetData>
  <mergeCells count="204">
    <mergeCell ref="AR32:AW32"/>
    <mergeCell ref="AR10:AW10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0:AW30"/>
    <mergeCell ref="AR31:AW31"/>
    <mergeCell ref="AR11:AW11"/>
    <mergeCell ref="AB31:AQ31"/>
    <mergeCell ref="AB32:AQ32"/>
    <mergeCell ref="AB26:AQ26"/>
    <mergeCell ref="AB27:AQ27"/>
    <mergeCell ref="AB28:AQ28"/>
    <mergeCell ref="AB29:AQ29"/>
    <mergeCell ref="AB30:AQ30"/>
    <mergeCell ref="AX32:BT32"/>
    <mergeCell ref="AB10:AQ10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B24:AQ24"/>
    <mergeCell ref="AB25:AQ25"/>
    <mergeCell ref="AX27:BT27"/>
    <mergeCell ref="AX28:BT28"/>
    <mergeCell ref="AX29:BT29"/>
    <mergeCell ref="AX30:BT30"/>
    <mergeCell ref="AX31:BT31"/>
    <mergeCell ref="AX22:BT22"/>
    <mergeCell ref="AX23:BT23"/>
    <mergeCell ref="AX24:BT24"/>
    <mergeCell ref="AX25:BT25"/>
    <mergeCell ref="AX26:BT26"/>
    <mergeCell ref="AX17:BT17"/>
    <mergeCell ref="AX18:BT18"/>
    <mergeCell ref="AX19:BT19"/>
    <mergeCell ref="AX20:BT20"/>
    <mergeCell ref="AX21:BT21"/>
    <mergeCell ref="AX15:BT15"/>
    <mergeCell ref="AX16:BT16"/>
    <mergeCell ref="S10:U10"/>
    <mergeCell ref="S26:U26"/>
    <mergeCell ref="S27:U27"/>
    <mergeCell ref="S28:U28"/>
    <mergeCell ref="V28:AA28"/>
    <mergeCell ref="AX11:BT11"/>
    <mergeCell ref="AR12:AW12"/>
    <mergeCell ref="AX12:BT12"/>
    <mergeCell ref="S29:U29"/>
    <mergeCell ref="S30:U30"/>
    <mergeCell ref="S31:U31"/>
    <mergeCell ref="S32:U32"/>
    <mergeCell ref="P31:R31"/>
    <mergeCell ref="P32:R3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P26:R26"/>
    <mergeCell ref="P27:R27"/>
    <mergeCell ref="P28:R28"/>
    <mergeCell ref="P29:R29"/>
    <mergeCell ref="P30:R30"/>
    <mergeCell ref="P21:R21"/>
    <mergeCell ref="P22:R22"/>
    <mergeCell ref="P23:R23"/>
    <mergeCell ref="P24:R24"/>
    <mergeCell ref="P25:R25"/>
    <mergeCell ref="V24:AA24"/>
    <mergeCell ref="V25:AA25"/>
    <mergeCell ref="V26:AA26"/>
    <mergeCell ref="V27:AA27"/>
    <mergeCell ref="V22:AA22"/>
    <mergeCell ref="V23:AA23"/>
    <mergeCell ref="V29:AA29"/>
    <mergeCell ref="V30:AA30"/>
    <mergeCell ref="AD2:AP2"/>
    <mergeCell ref="AD3:AP4"/>
    <mergeCell ref="M22:O22"/>
    <mergeCell ref="M23:O23"/>
    <mergeCell ref="M24:O24"/>
    <mergeCell ref="M25:O25"/>
    <mergeCell ref="R3:AC4"/>
    <mergeCell ref="P10:R10"/>
    <mergeCell ref="P13:R13"/>
    <mergeCell ref="P14:R14"/>
    <mergeCell ref="P15:R15"/>
    <mergeCell ref="P16:R16"/>
    <mergeCell ref="P17:R17"/>
    <mergeCell ref="P18:R18"/>
    <mergeCell ref="P19:R19"/>
    <mergeCell ref="P20:R20"/>
    <mergeCell ref="V16:AA16"/>
    <mergeCell ref="V17:AA17"/>
    <mergeCell ref="V18:AA18"/>
    <mergeCell ref="V19:AA19"/>
    <mergeCell ref="V20:AA20"/>
    <mergeCell ref="V21:AA21"/>
    <mergeCell ref="E22:L22"/>
    <mergeCell ref="E23:L23"/>
    <mergeCell ref="E24:L24"/>
    <mergeCell ref="E16:L16"/>
    <mergeCell ref="E17:L17"/>
    <mergeCell ref="M10:O10"/>
    <mergeCell ref="M13:O13"/>
    <mergeCell ref="M14:O14"/>
    <mergeCell ref="M15:O15"/>
    <mergeCell ref="M16:O16"/>
    <mergeCell ref="M21:O21"/>
    <mergeCell ref="E20:L20"/>
    <mergeCell ref="E21:L21"/>
    <mergeCell ref="M17:O17"/>
    <mergeCell ref="M18:O18"/>
    <mergeCell ref="M19:O19"/>
    <mergeCell ref="M20:O20"/>
    <mergeCell ref="E18:L18"/>
    <mergeCell ref="E19:L19"/>
    <mergeCell ref="B3:G4"/>
    <mergeCell ref="H3:K4"/>
    <mergeCell ref="L3:Q4"/>
    <mergeCell ref="E14:L14"/>
    <mergeCell ref="E15:L15"/>
    <mergeCell ref="B2:G2"/>
    <mergeCell ref="H2:K2"/>
    <mergeCell ref="L2:Q2"/>
    <mergeCell ref="R2:AC2"/>
    <mergeCell ref="E10:L10"/>
    <mergeCell ref="E13:L13"/>
    <mergeCell ref="V10:AA10"/>
    <mergeCell ref="V13:AA13"/>
    <mergeCell ref="V14:AA14"/>
    <mergeCell ref="V15:AA15"/>
    <mergeCell ref="M12:O12"/>
    <mergeCell ref="P12:R12"/>
    <mergeCell ref="S12:U12"/>
    <mergeCell ref="V12:AA12"/>
    <mergeCell ref="AB12:AQ12"/>
    <mergeCell ref="AQ2:BC2"/>
    <mergeCell ref="AX10:BT10"/>
    <mergeCell ref="AX13:BT13"/>
    <mergeCell ref="AX14:BT14"/>
    <mergeCell ref="BP3:BS4"/>
    <mergeCell ref="BD2:BG2"/>
    <mergeCell ref="BH2:BK2"/>
    <mergeCell ref="BL2:BO2"/>
    <mergeCell ref="BP2:BS2"/>
    <mergeCell ref="BD3:BG4"/>
    <mergeCell ref="BH3:BK4"/>
    <mergeCell ref="BL3:BO4"/>
    <mergeCell ref="AQ3:BC4"/>
    <mergeCell ref="V31:AA31"/>
    <mergeCell ref="V32:AA32"/>
    <mergeCell ref="E11:L11"/>
    <mergeCell ref="M11:O11"/>
    <mergeCell ref="P11:R11"/>
    <mergeCell ref="S11:U11"/>
    <mergeCell ref="V11:AA11"/>
    <mergeCell ref="AB11:AQ11"/>
    <mergeCell ref="E32:L32"/>
    <mergeCell ref="M28:O28"/>
    <mergeCell ref="M29:O29"/>
    <mergeCell ref="M30:O30"/>
    <mergeCell ref="M31:O31"/>
    <mergeCell ref="M32:O32"/>
    <mergeCell ref="E25:L25"/>
    <mergeCell ref="E28:L28"/>
    <mergeCell ref="E29:L29"/>
    <mergeCell ref="E30:L30"/>
    <mergeCell ref="E31:L31"/>
    <mergeCell ref="E27:L27"/>
    <mergeCell ref="E26:L26"/>
    <mergeCell ref="M26:O26"/>
    <mergeCell ref="M27:O27"/>
    <mergeCell ref="E12:L12"/>
  </mergeCells>
  <phoneticPr fontId="1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58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3" t="s">
        <v>0</v>
      </c>
      <c r="C2" s="204"/>
      <c r="D2" s="204"/>
      <c r="E2" s="204"/>
      <c r="F2" s="204"/>
      <c r="G2" s="204"/>
      <c r="H2" s="204" t="s">
        <v>17</v>
      </c>
      <c r="I2" s="204"/>
      <c r="J2" s="204"/>
      <c r="K2" s="204"/>
      <c r="L2" s="204" t="s">
        <v>245</v>
      </c>
      <c r="M2" s="204"/>
      <c r="N2" s="204"/>
      <c r="O2" s="204"/>
      <c r="P2" s="204"/>
      <c r="Q2" s="204"/>
      <c r="R2" s="204" t="s">
        <v>2</v>
      </c>
      <c r="S2" s="204"/>
      <c r="T2" s="204"/>
      <c r="U2" s="204"/>
      <c r="V2" s="204"/>
      <c r="W2" s="204"/>
      <c r="X2" s="205" t="s">
        <v>3</v>
      </c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7"/>
      <c r="AK2" s="205" t="s">
        <v>32</v>
      </c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7"/>
      <c r="AX2" s="204" t="s">
        <v>5</v>
      </c>
      <c r="AY2" s="204"/>
      <c r="AZ2" s="204"/>
      <c r="BA2" s="204"/>
      <c r="BB2" s="204" t="s">
        <v>4</v>
      </c>
      <c r="BC2" s="204"/>
      <c r="BD2" s="204"/>
      <c r="BE2" s="204"/>
      <c r="BF2" s="204" t="s">
        <v>6</v>
      </c>
      <c r="BG2" s="204"/>
      <c r="BH2" s="204"/>
      <c r="BI2" s="204"/>
      <c r="BJ2" s="204" t="s">
        <v>7</v>
      </c>
      <c r="BK2" s="204"/>
      <c r="BL2" s="204"/>
      <c r="BM2" s="214"/>
    </row>
    <row r="3" spans="2:65" ht="20.100000000000001" customHeight="1" x14ac:dyDescent="0.45">
      <c r="B3" s="208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SS0700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6" t="str">
        <f ca="1">変更履歴!X3</f>
        <v>SS0700_支払取込リスト_帳票設計書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8"/>
      <c r="AK3" s="156" t="str">
        <f ca="1">変更履歴!AK3</f>
        <v>支払取込リスト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8"/>
      <c r="AX3" s="152">
        <f>変更履歴!AX3</f>
        <v>45581</v>
      </c>
      <c r="AY3" s="152"/>
      <c r="AZ3" s="152"/>
      <c r="BA3" s="152"/>
      <c r="BB3" s="153" t="str">
        <f>変更履歴!BB3</f>
        <v>大谷</v>
      </c>
      <c r="BC3" s="153"/>
      <c r="BD3" s="153"/>
      <c r="BE3" s="153"/>
      <c r="BF3" s="152">
        <f>変更履歴!BF3</f>
        <v>45581</v>
      </c>
      <c r="BG3" s="152"/>
      <c r="BH3" s="152"/>
      <c r="BI3" s="152"/>
      <c r="BJ3" s="153" t="str">
        <f>変更履歴!BJ3</f>
        <v>大谷</v>
      </c>
      <c r="BK3" s="153"/>
      <c r="BL3" s="153"/>
      <c r="BM3" s="212"/>
    </row>
    <row r="4" spans="2:65" ht="20.100000000000001" customHeight="1" thickBot="1" x14ac:dyDescent="0.5">
      <c r="B4" s="209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00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2"/>
      <c r="AK4" s="200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2"/>
      <c r="AX4" s="211"/>
      <c r="AY4" s="211"/>
      <c r="AZ4" s="211"/>
      <c r="BA4" s="211"/>
      <c r="BB4" s="210"/>
      <c r="BC4" s="210"/>
      <c r="BD4" s="210"/>
      <c r="BE4" s="210"/>
      <c r="BF4" s="211"/>
      <c r="BG4" s="211"/>
      <c r="BH4" s="211"/>
      <c r="BI4" s="211"/>
      <c r="BJ4" s="210"/>
      <c r="BK4" s="210"/>
      <c r="BL4" s="210"/>
      <c r="BM4" s="213"/>
    </row>
    <row r="5" spans="2:65" ht="5.0999999999999996" customHeight="1" thickBot="1" x14ac:dyDescent="0.5"/>
    <row r="6" spans="2:65" ht="20.100000000000001" customHeight="1" x14ac:dyDescent="0.45">
      <c r="B6" s="88" t="s">
        <v>133</v>
      </c>
      <c r="C6" s="89"/>
      <c r="D6" s="89"/>
      <c r="E6" s="89"/>
      <c r="F6" s="89"/>
      <c r="G6" s="90"/>
      <c r="H6" s="91" t="s">
        <v>81</v>
      </c>
      <c r="I6" s="89"/>
      <c r="J6" s="119" t="s">
        <v>134</v>
      </c>
      <c r="K6" s="120"/>
      <c r="L6" s="120"/>
      <c r="M6" s="120"/>
      <c r="N6" s="120"/>
      <c r="O6" s="120"/>
      <c r="P6" s="120"/>
      <c r="Q6" s="121"/>
      <c r="R6" s="119" t="s">
        <v>135</v>
      </c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1"/>
      <c r="AK6" s="92" t="s">
        <v>136</v>
      </c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93"/>
    </row>
    <row r="7" spans="2:65" ht="20.100000000000001" customHeight="1" x14ac:dyDescent="0.45">
      <c r="B7" s="122"/>
      <c r="C7" s="31"/>
      <c r="D7" s="31"/>
      <c r="E7" s="31"/>
      <c r="F7" s="31"/>
      <c r="G7" s="95"/>
      <c r="H7" s="96"/>
      <c r="I7" s="31"/>
      <c r="J7" s="123" t="s">
        <v>137</v>
      </c>
      <c r="K7" s="52"/>
      <c r="L7" s="52"/>
      <c r="M7" s="52"/>
      <c r="N7" s="52"/>
      <c r="O7" s="52"/>
      <c r="P7" s="52"/>
      <c r="Q7" s="124"/>
      <c r="R7" s="123" t="s">
        <v>138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4"/>
      <c r="AK7" s="9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8"/>
    </row>
    <row r="8" spans="2:65" ht="20.100000000000001" customHeight="1" x14ac:dyDescent="0.45">
      <c r="B8" s="122"/>
      <c r="C8" s="31"/>
      <c r="D8" s="31"/>
      <c r="E8" s="31"/>
      <c r="F8" s="31"/>
      <c r="G8" s="95"/>
      <c r="H8" s="96"/>
      <c r="I8" s="31"/>
      <c r="J8" s="123" t="s">
        <v>139</v>
      </c>
      <c r="K8" s="52"/>
      <c r="L8" s="52"/>
      <c r="M8" s="52"/>
      <c r="N8" s="52"/>
      <c r="O8" s="52"/>
      <c r="P8" s="52"/>
      <c r="Q8" s="124"/>
      <c r="R8" s="123" t="s">
        <v>140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4"/>
      <c r="AK8" s="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8"/>
    </row>
    <row r="9" spans="2:65" ht="20.100000000000001" customHeight="1" x14ac:dyDescent="0.45">
      <c r="B9" s="122"/>
      <c r="C9" s="31"/>
      <c r="D9" s="31"/>
      <c r="E9" s="31"/>
      <c r="F9" s="31"/>
      <c r="G9" s="95"/>
      <c r="H9" s="96"/>
      <c r="I9" s="31"/>
      <c r="J9" s="123" t="s">
        <v>141</v>
      </c>
      <c r="K9" s="52"/>
      <c r="L9" s="52"/>
      <c r="M9" s="52"/>
      <c r="N9" s="52"/>
      <c r="O9" s="52"/>
      <c r="P9" s="52"/>
      <c r="Q9" s="124"/>
      <c r="R9" s="123" t="s">
        <v>142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4"/>
      <c r="AK9" s="9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8"/>
    </row>
    <row r="10" spans="2:65" ht="20.100000000000001" customHeight="1" x14ac:dyDescent="0.45">
      <c r="B10" s="122"/>
      <c r="C10" s="31"/>
      <c r="D10" s="31"/>
      <c r="E10" s="31"/>
      <c r="F10" s="31"/>
      <c r="G10" s="95"/>
      <c r="H10" s="31"/>
      <c r="I10" s="31"/>
      <c r="J10" s="123" t="s">
        <v>143</v>
      </c>
      <c r="K10" s="52"/>
      <c r="L10" s="52"/>
      <c r="M10" s="52"/>
      <c r="N10" s="52"/>
      <c r="O10" s="52"/>
      <c r="P10" s="52"/>
      <c r="Q10" s="124"/>
      <c r="R10" s="123" t="s">
        <v>144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4"/>
      <c r="AK10" s="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8"/>
    </row>
    <row r="11" spans="2:65" ht="20.100000000000001" customHeight="1" x14ac:dyDescent="0.45">
      <c r="B11" s="122"/>
      <c r="C11" s="31"/>
      <c r="D11" s="31"/>
      <c r="E11" s="31"/>
      <c r="F11" s="31"/>
      <c r="G11" s="95"/>
      <c r="H11" s="31"/>
      <c r="I11" s="31"/>
      <c r="J11" s="123" t="s">
        <v>145</v>
      </c>
      <c r="K11" s="52"/>
      <c r="L11" s="52"/>
      <c r="M11" s="52"/>
      <c r="N11" s="52"/>
      <c r="O11" s="52"/>
      <c r="P11" s="52"/>
      <c r="Q11" s="124"/>
      <c r="R11" s="123" t="s">
        <v>146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4"/>
      <c r="AK11" s="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8"/>
    </row>
    <row r="12" spans="2:65" ht="20.100000000000001" customHeight="1" x14ac:dyDescent="0.45">
      <c r="B12" s="122"/>
      <c r="C12" s="31"/>
      <c r="D12" s="31"/>
      <c r="E12" s="31"/>
      <c r="F12" s="31"/>
      <c r="G12" s="95"/>
      <c r="H12" s="31"/>
      <c r="I12" s="31"/>
      <c r="J12" s="123" t="s">
        <v>147</v>
      </c>
      <c r="K12" s="52"/>
      <c r="L12" s="52"/>
      <c r="M12" s="52"/>
      <c r="N12" s="52"/>
      <c r="O12" s="52"/>
      <c r="P12" s="52"/>
      <c r="Q12" s="124"/>
      <c r="R12" s="123" t="s">
        <v>148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4"/>
      <c r="AK12" s="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8"/>
    </row>
    <row r="13" spans="2:65" ht="20.100000000000001" customHeight="1" x14ac:dyDescent="0.45">
      <c r="B13" s="122"/>
      <c r="C13" s="31"/>
      <c r="D13" s="31"/>
      <c r="E13" s="31"/>
      <c r="F13" s="31"/>
      <c r="G13" s="95"/>
      <c r="I13" s="31"/>
      <c r="J13" s="123" t="s">
        <v>149</v>
      </c>
      <c r="K13" s="52"/>
      <c r="L13" s="52"/>
      <c r="M13" s="52"/>
      <c r="N13" s="52"/>
      <c r="O13" s="52"/>
      <c r="P13" s="52"/>
      <c r="Q13" s="124"/>
      <c r="R13" s="123" t="s">
        <v>150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4"/>
      <c r="AK13" s="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8"/>
    </row>
    <row r="14" spans="2:65" ht="20.100000000000001" customHeight="1" x14ac:dyDescent="0.45">
      <c r="B14" s="122"/>
      <c r="C14" s="31"/>
      <c r="D14" s="31"/>
      <c r="E14" s="31"/>
      <c r="F14" s="31"/>
      <c r="G14" s="95"/>
      <c r="I14" s="31"/>
      <c r="J14" s="123" t="s">
        <v>151</v>
      </c>
      <c r="K14" s="52"/>
      <c r="L14" s="52"/>
      <c r="M14" s="52"/>
      <c r="N14" s="52"/>
      <c r="O14" s="52"/>
      <c r="P14" s="52"/>
      <c r="Q14" s="124"/>
      <c r="R14" s="123" t="s">
        <v>152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4"/>
      <c r="AK14" s="97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8"/>
    </row>
    <row r="15" spans="2:65" ht="20.100000000000001" customHeight="1" x14ac:dyDescent="0.45">
      <c r="B15" s="122"/>
      <c r="C15" s="31"/>
      <c r="D15" s="31"/>
      <c r="E15" s="31"/>
      <c r="F15" s="31"/>
      <c r="G15" s="95"/>
      <c r="H15" s="96"/>
      <c r="I15" s="31"/>
      <c r="J15" s="123" t="s">
        <v>153</v>
      </c>
      <c r="K15" s="52"/>
      <c r="L15" s="52"/>
      <c r="M15" s="52"/>
      <c r="N15" s="52"/>
      <c r="O15" s="52"/>
      <c r="P15" s="52"/>
      <c r="Q15" s="124"/>
      <c r="R15" s="123" t="s">
        <v>154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4"/>
      <c r="AK15" s="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8"/>
    </row>
    <row r="16" spans="2:65" ht="20.100000000000001" customHeight="1" x14ac:dyDescent="0.45">
      <c r="B16" s="122"/>
      <c r="C16" s="31"/>
      <c r="D16" s="31"/>
      <c r="E16" s="31"/>
      <c r="F16" s="31"/>
      <c r="G16" s="95"/>
      <c r="H16" s="96"/>
      <c r="I16" s="31"/>
      <c r="J16" s="123" t="s">
        <v>155</v>
      </c>
      <c r="K16" s="52"/>
      <c r="L16" s="52"/>
      <c r="M16" s="52"/>
      <c r="N16" s="52"/>
      <c r="O16" s="52"/>
      <c r="P16" s="52"/>
      <c r="Q16" s="124"/>
      <c r="R16" s="123" t="s">
        <v>156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4"/>
      <c r="AK16" s="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8"/>
    </row>
    <row r="17" spans="2:61" ht="20.100000000000001" customHeight="1" x14ac:dyDescent="0.45">
      <c r="B17" s="122"/>
      <c r="C17" s="31"/>
      <c r="D17" s="31"/>
      <c r="E17" s="31"/>
      <c r="F17" s="31"/>
      <c r="G17" s="95"/>
      <c r="H17" s="96"/>
      <c r="I17" s="31"/>
      <c r="J17" s="123" t="s">
        <v>157</v>
      </c>
      <c r="K17" s="52"/>
      <c r="L17" s="52"/>
      <c r="M17" s="52"/>
      <c r="N17" s="52"/>
      <c r="O17" s="52"/>
      <c r="P17" s="52"/>
      <c r="Q17" s="124"/>
      <c r="R17" s="123" t="s">
        <v>158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4"/>
      <c r="AK17" s="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8"/>
    </row>
    <row r="18" spans="2:61" ht="19.8" customHeight="1" x14ac:dyDescent="0.45">
      <c r="B18" s="122"/>
      <c r="C18" s="31"/>
      <c r="D18" s="31"/>
      <c r="E18" s="31"/>
      <c r="F18" s="31"/>
      <c r="G18" s="95"/>
      <c r="H18" s="31"/>
      <c r="I18" s="31"/>
      <c r="J18" s="123" t="s">
        <v>159</v>
      </c>
      <c r="K18" s="52"/>
      <c r="L18" s="52"/>
      <c r="M18" s="52"/>
      <c r="N18" s="52"/>
      <c r="O18" s="52"/>
      <c r="P18" s="52"/>
      <c r="Q18" s="124"/>
      <c r="R18" s="123" t="s">
        <v>160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4"/>
      <c r="AK18" s="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8"/>
    </row>
    <row r="19" spans="2:61" ht="20.100000000000001" customHeight="1" x14ac:dyDescent="0.45">
      <c r="B19" s="122"/>
      <c r="C19" s="31"/>
      <c r="D19" s="31"/>
      <c r="E19" s="31"/>
      <c r="F19" s="31"/>
      <c r="G19" s="95"/>
      <c r="H19" s="31"/>
      <c r="I19" s="31"/>
      <c r="J19" s="123" t="s">
        <v>161</v>
      </c>
      <c r="K19" s="52"/>
      <c r="L19" s="52"/>
      <c r="M19" s="52"/>
      <c r="N19" s="52"/>
      <c r="O19" s="52"/>
      <c r="P19" s="52"/>
      <c r="Q19" s="124"/>
      <c r="R19" s="123" t="s">
        <v>162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4"/>
      <c r="AK19" s="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8"/>
    </row>
    <row r="20" spans="2:61" ht="20.100000000000001" customHeight="1" x14ac:dyDescent="0.45">
      <c r="B20" s="122"/>
      <c r="C20" s="31"/>
      <c r="D20" s="31"/>
      <c r="E20" s="31"/>
      <c r="F20" s="31"/>
      <c r="G20" s="95"/>
      <c r="H20" s="31"/>
      <c r="I20" s="31"/>
      <c r="J20" s="123" t="s">
        <v>163</v>
      </c>
      <c r="K20" s="52"/>
      <c r="L20" s="52"/>
      <c r="M20" s="52"/>
      <c r="N20" s="52"/>
      <c r="O20" s="52"/>
      <c r="P20" s="52"/>
      <c r="Q20" s="124"/>
      <c r="R20" s="123" t="s">
        <v>164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4"/>
      <c r="AK20" s="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8"/>
    </row>
    <row r="21" spans="2:61" ht="20.100000000000001" customHeight="1" x14ac:dyDescent="0.45">
      <c r="B21" s="122"/>
      <c r="C21" s="31"/>
      <c r="D21" s="31"/>
      <c r="E21" s="31"/>
      <c r="F21" s="31"/>
      <c r="G21" s="95"/>
      <c r="I21" s="31"/>
      <c r="J21" s="123" t="s">
        <v>165</v>
      </c>
      <c r="K21" s="52"/>
      <c r="L21" s="52"/>
      <c r="M21" s="52"/>
      <c r="N21" s="52"/>
      <c r="O21" s="52"/>
      <c r="P21" s="52"/>
      <c r="Q21" s="124"/>
      <c r="R21" s="123" t="s">
        <v>166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4"/>
      <c r="AK21" s="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8"/>
    </row>
    <row r="22" spans="2:61" ht="20.100000000000001" customHeight="1" x14ac:dyDescent="0.45">
      <c r="B22" s="122"/>
      <c r="C22" s="31"/>
      <c r="D22" s="31"/>
      <c r="E22" s="31"/>
      <c r="F22" s="31"/>
      <c r="G22" s="95"/>
      <c r="I22" s="31"/>
      <c r="J22" s="123" t="s">
        <v>167</v>
      </c>
      <c r="K22" s="52"/>
      <c r="L22" s="52"/>
      <c r="M22" s="52"/>
      <c r="N22" s="52"/>
      <c r="O22" s="52"/>
      <c r="P22" s="52"/>
      <c r="Q22" s="124"/>
      <c r="R22" s="123" t="s">
        <v>168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4"/>
      <c r="AK22" s="97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8"/>
    </row>
    <row r="23" spans="2:61" ht="19.8" customHeight="1" x14ac:dyDescent="0.45">
      <c r="B23" s="122"/>
      <c r="C23" s="31"/>
      <c r="D23" s="31"/>
      <c r="E23" s="31"/>
      <c r="F23" s="31"/>
      <c r="G23" s="95"/>
      <c r="H23" s="31"/>
      <c r="I23" s="31"/>
      <c r="J23" s="123" t="s">
        <v>169</v>
      </c>
      <c r="K23" s="52"/>
      <c r="L23" s="52"/>
      <c r="M23" s="52"/>
      <c r="N23" s="52"/>
      <c r="O23" s="52"/>
      <c r="P23" s="52"/>
      <c r="Q23" s="124"/>
      <c r="R23" s="123" t="s">
        <v>170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4"/>
      <c r="AK23" s="9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8"/>
    </row>
    <row r="24" spans="2:61" ht="20.100000000000001" customHeight="1" x14ac:dyDescent="0.45">
      <c r="B24" s="122"/>
      <c r="C24" s="31"/>
      <c r="D24" s="31"/>
      <c r="E24" s="31"/>
      <c r="F24" s="31"/>
      <c r="G24" s="95"/>
      <c r="H24" s="31"/>
      <c r="I24" s="31"/>
      <c r="J24" s="123" t="s">
        <v>171</v>
      </c>
      <c r="K24" s="52"/>
      <c r="L24" s="52"/>
      <c r="M24" s="52"/>
      <c r="N24" s="52"/>
      <c r="O24" s="52"/>
      <c r="P24" s="52"/>
      <c r="Q24" s="124"/>
      <c r="R24" s="123" t="s">
        <v>172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4"/>
      <c r="AK24" s="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8"/>
    </row>
    <row r="25" spans="2:61" ht="20.100000000000001" customHeight="1" x14ac:dyDescent="0.45">
      <c r="B25" s="122"/>
      <c r="C25" s="31"/>
      <c r="D25" s="31"/>
      <c r="E25" s="31"/>
      <c r="F25" s="31"/>
      <c r="G25" s="95"/>
      <c r="H25" s="99" t="s">
        <v>173</v>
      </c>
      <c r="I25" s="55"/>
      <c r="J25" s="99" t="s">
        <v>174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0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1"/>
    </row>
    <row r="26" spans="2:61" ht="20.100000000000001" customHeight="1" thickBot="1" x14ac:dyDescent="0.5">
      <c r="B26" s="94"/>
      <c r="C26" s="31"/>
      <c r="D26" s="31"/>
      <c r="E26" s="31"/>
      <c r="F26" s="31"/>
      <c r="G26" s="95"/>
      <c r="H26" s="99" t="s">
        <v>175</v>
      </c>
      <c r="I26" s="55"/>
      <c r="J26" s="99" t="s">
        <v>176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0" t="s">
        <v>177</v>
      </c>
      <c r="AL26" s="55"/>
      <c r="AM26" s="55"/>
      <c r="AN26" s="55"/>
      <c r="AO26" s="55"/>
      <c r="AP26" s="55" t="s">
        <v>178</v>
      </c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1"/>
    </row>
    <row r="27" spans="2:61" ht="20.100000000000001" customHeight="1" x14ac:dyDescent="0.45">
      <c r="B27" s="88" t="s">
        <v>238</v>
      </c>
      <c r="C27" s="89"/>
      <c r="D27" s="89"/>
      <c r="E27" s="89"/>
      <c r="F27" s="89"/>
      <c r="G27" s="90"/>
      <c r="H27" s="91" t="s">
        <v>81</v>
      </c>
      <c r="I27" s="89"/>
      <c r="J27" s="119" t="s">
        <v>179</v>
      </c>
      <c r="K27" s="120"/>
      <c r="L27" s="120"/>
      <c r="M27" s="120"/>
      <c r="N27" s="120"/>
      <c r="O27" s="120"/>
      <c r="P27" s="120"/>
      <c r="Q27" s="121"/>
      <c r="R27" s="119" t="s">
        <v>180</v>
      </c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1"/>
      <c r="AK27" s="92" t="s">
        <v>181</v>
      </c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93"/>
    </row>
    <row r="28" spans="2:61" ht="20.100000000000001" customHeight="1" x14ac:dyDescent="0.45">
      <c r="B28" s="122"/>
      <c r="C28" s="31"/>
      <c r="D28" s="31"/>
      <c r="E28" s="31"/>
      <c r="F28" s="31"/>
      <c r="G28" s="95"/>
      <c r="H28" s="96"/>
      <c r="I28" s="31"/>
      <c r="J28" s="102" t="s">
        <v>169</v>
      </c>
      <c r="K28" s="103"/>
      <c r="L28" s="103"/>
      <c r="M28" s="103"/>
      <c r="N28" s="103"/>
      <c r="O28" s="103"/>
      <c r="P28" s="103"/>
      <c r="Q28" s="126"/>
      <c r="R28" s="102" t="s">
        <v>182</v>
      </c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26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8"/>
    </row>
    <row r="29" spans="2:61" ht="20.100000000000001" customHeight="1" x14ac:dyDescent="0.45">
      <c r="B29" s="122"/>
      <c r="C29" s="31"/>
      <c r="D29" s="31"/>
      <c r="E29" s="31"/>
      <c r="F29" s="31"/>
      <c r="G29" s="95"/>
      <c r="H29" s="96"/>
      <c r="I29" s="31"/>
      <c r="J29" s="102" t="s">
        <v>183</v>
      </c>
      <c r="K29" s="103"/>
      <c r="L29" s="103"/>
      <c r="M29" s="103"/>
      <c r="N29" s="103"/>
      <c r="O29" s="103"/>
      <c r="P29" s="103"/>
      <c r="Q29" s="126"/>
      <c r="R29" s="102" t="s">
        <v>184</v>
      </c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26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8"/>
    </row>
    <row r="30" spans="2:61" ht="20.100000000000001" customHeight="1" x14ac:dyDescent="0.45">
      <c r="B30" s="122"/>
      <c r="C30" s="31"/>
      <c r="D30" s="31"/>
      <c r="E30" s="31"/>
      <c r="F30" s="31"/>
      <c r="G30" s="95"/>
      <c r="H30" s="96"/>
      <c r="I30" s="31"/>
      <c r="J30" s="123" t="s">
        <v>145</v>
      </c>
      <c r="K30" s="52"/>
      <c r="L30" s="52"/>
      <c r="M30" s="52"/>
      <c r="N30" s="52"/>
      <c r="O30" s="52"/>
      <c r="P30" s="52"/>
      <c r="Q30" s="124"/>
      <c r="R30" s="123" t="s">
        <v>185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4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8"/>
    </row>
    <row r="31" spans="2:61" ht="20.100000000000001" customHeight="1" x14ac:dyDescent="0.45">
      <c r="B31" s="122"/>
      <c r="C31" s="31"/>
      <c r="D31" s="31"/>
      <c r="E31" s="31"/>
      <c r="F31" s="31"/>
      <c r="G31" s="95"/>
      <c r="H31" s="96"/>
      <c r="I31" s="31"/>
      <c r="J31" s="123" t="s">
        <v>186</v>
      </c>
      <c r="K31" s="52"/>
      <c r="L31" s="52"/>
      <c r="M31" s="52"/>
      <c r="N31" s="52"/>
      <c r="O31" s="52"/>
      <c r="P31" s="52"/>
      <c r="Q31" s="124"/>
      <c r="R31" s="123" t="s">
        <v>187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4"/>
      <c r="AK31" s="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8"/>
    </row>
    <row r="32" spans="2:61" ht="20.100000000000001" customHeight="1" x14ac:dyDescent="0.45">
      <c r="B32" s="122"/>
      <c r="C32" s="31"/>
      <c r="D32" s="31"/>
      <c r="E32" s="31"/>
      <c r="F32" s="31"/>
      <c r="G32" s="95"/>
      <c r="H32" s="96"/>
      <c r="I32" s="31"/>
      <c r="J32" s="123" t="s">
        <v>188</v>
      </c>
      <c r="K32" s="52"/>
      <c r="L32" s="52"/>
      <c r="M32" s="52"/>
      <c r="N32" s="52"/>
      <c r="O32" s="52"/>
      <c r="P32" s="52"/>
      <c r="Q32" s="124"/>
      <c r="R32" s="123" t="s">
        <v>189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4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8"/>
    </row>
    <row r="33" spans="2:61" ht="20.100000000000001" customHeight="1" x14ac:dyDescent="0.45">
      <c r="B33" s="122"/>
      <c r="C33" s="31"/>
      <c r="D33" s="31"/>
      <c r="E33" s="31"/>
      <c r="F33" s="31"/>
      <c r="G33" s="95"/>
      <c r="H33" s="31"/>
      <c r="I33" s="31"/>
      <c r="J33" s="123" t="s">
        <v>190</v>
      </c>
      <c r="K33" s="52"/>
      <c r="L33" s="52"/>
      <c r="M33" s="52"/>
      <c r="N33" s="52"/>
      <c r="O33" s="52"/>
      <c r="P33" s="52"/>
      <c r="Q33" s="124"/>
      <c r="R33" s="123" t="s">
        <v>191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4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8"/>
    </row>
    <row r="34" spans="2:61" ht="20.100000000000001" customHeight="1" x14ac:dyDescent="0.45">
      <c r="B34" s="122"/>
      <c r="C34" s="31"/>
      <c r="D34" s="31"/>
      <c r="E34" s="31"/>
      <c r="F34" s="31"/>
      <c r="G34" s="95"/>
      <c r="H34" s="31"/>
      <c r="I34" s="31"/>
      <c r="J34" s="123" t="s">
        <v>192</v>
      </c>
      <c r="K34" s="52"/>
      <c r="L34" s="52"/>
      <c r="M34" s="52"/>
      <c r="N34" s="52"/>
      <c r="O34" s="52"/>
      <c r="P34" s="52"/>
      <c r="Q34" s="124"/>
      <c r="R34" s="123" t="s">
        <v>193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4"/>
      <c r="AK34" s="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8"/>
    </row>
    <row r="35" spans="2:61" ht="20.100000000000001" customHeight="1" x14ac:dyDescent="0.45">
      <c r="B35" s="122"/>
      <c r="C35" s="31"/>
      <c r="D35" s="31"/>
      <c r="E35" s="31"/>
      <c r="F35" s="31"/>
      <c r="G35" s="95"/>
      <c r="H35" s="31"/>
      <c r="I35" s="31"/>
      <c r="J35" s="123" t="s">
        <v>194</v>
      </c>
      <c r="K35" s="52"/>
      <c r="L35" s="52"/>
      <c r="M35" s="52"/>
      <c r="N35" s="52"/>
      <c r="O35" s="52"/>
      <c r="P35" s="52"/>
      <c r="Q35" s="124"/>
      <c r="R35" s="123" t="s">
        <v>195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24"/>
      <c r="AK35" s="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8"/>
    </row>
    <row r="36" spans="2:61" ht="20.100000000000001" customHeight="1" x14ac:dyDescent="0.45">
      <c r="B36" s="122"/>
      <c r="C36" s="31"/>
      <c r="D36" s="31"/>
      <c r="E36" s="31"/>
      <c r="F36" s="31"/>
      <c r="G36" s="95"/>
      <c r="H36" s="31"/>
      <c r="I36" s="31"/>
      <c r="J36" s="123" t="s">
        <v>196</v>
      </c>
      <c r="K36" s="52"/>
      <c r="L36" s="52"/>
      <c r="M36" s="52"/>
      <c r="N36" s="52"/>
      <c r="O36" s="52"/>
      <c r="P36" s="52"/>
      <c r="Q36" s="124"/>
      <c r="R36" s="123" t="s">
        <v>197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24"/>
      <c r="AK36" s="9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8"/>
    </row>
    <row r="37" spans="2:61" ht="20.100000000000001" customHeight="1" x14ac:dyDescent="0.45">
      <c r="B37" s="122"/>
      <c r="C37" s="31"/>
      <c r="D37" s="31"/>
      <c r="E37" s="31"/>
      <c r="F37" s="31"/>
      <c r="G37" s="95"/>
      <c r="H37" s="31"/>
      <c r="I37" s="31"/>
      <c r="J37" s="123" t="s">
        <v>198</v>
      </c>
      <c r="K37" s="52"/>
      <c r="L37" s="52"/>
      <c r="M37" s="52"/>
      <c r="N37" s="52"/>
      <c r="O37" s="52"/>
      <c r="P37" s="52"/>
      <c r="Q37" s="124"/>
      <c r="R37" s="123" t="s">
        <v>199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24"/>
      <c r="AK37" s="9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8"/>
    </row>
    <row r="38" spans="2:61" ht="20.100000000000001" customHeight="1" x14ac:dyDescent="0.45">
      <c r="B38" s="122"/>
      <c r="C38" s="31"/>
      <c r="D38" s="31"/>
      <c r="E38" s="31"/>
      <c r="F38" s="31"/>
      <c r="G38" s="95"/>
      <c r="H38" s="31"/>
      <c r="I38" s="31"/>
      <c r="J38" s="123" t="s">
        <v>200</v>
      </c>
      <c r="K38" s="52"/>
      <c r="L38" s="52"/>
      <c r="M38" s="52"/>
      <c r="N38" s="52"/>
      <c r="O38" s="52"/>
      <c r="P38" s="52"/>
      <c r="Q38" s="124"/>
      <c r="R38" s="123" t="s">
        <v>201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24"/>
      <c r="AK38" s="9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8"/>
    </row>
    <row r="39" spans="2:61" ht="20.100000000000001" customHeight="1" x14ac:dyDescent="0.45">
      <c r="B39" s="122"/>
      <c r="C39" s="31"/>
      <c r="D39" s="31"/>
      <c r="E39" s="31"/>
      <c r="F39" s="31"/>
      <c r="G39" s="95"/>
      <c r="H39" s="31"/>
      <c r="I39" s="31"/>
      <c r="J39" s="123" t="s">
        <v>202</v>
      </c>
      <c r="K39" s="52"/>
      <c r="L39" s="52"/>
      <c r="M39" s="52"/>
      <c r="N39" s="52"/>
      <c r="O39" s="52"/>
      <c r="P39" s="52"/>
      <c r="Q39" s="124"/>
      <c r="R39" s="123" t="s">
        <v>203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24"/>
      <c r="AK39" s="97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8"/>
    </row>
    <row r="40" spans="2:61" ht="20.100000000000001" customHeight="1" x14ac:dyDescent="0.45">
      <c r="B40" s="122"/>
      <c r="C40" s="31"/>
      <c r="D40" s="31"/>
      <c r="E40" s="31"/>
      <c r="F40" s="31"/>
      <c r="G40" s="95"/>
      <c r="H40" s="31"/>
      <c r="I40" s="31"/>
      <c r="J40" s="123" t="s">
        <v>204</v>
      </c>
      <c r="K40" s="52"/>
      <c r="L40" s="52"/>
      <c r="M40" s="52"/>
      <c r="N40" s="52"/>
      <c r="O40" s="52"/>
      <c r="P40" s="52"/>
      <c r="Q40" s="124"/>
      <c r="R40" s="123" t="s">
        <v>205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24"/>
      <c r="AK40" s="97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8"/>
    </row>
    <row r="41" spans="2:61" ht="20.100000000000001" customHeight="1" x14ac:dyDescent="0.45">
      <c r="B41" s="122"/>
      <c r="C41" s="31"/>
      <c r="D41" s="31"/>
      <c r="E41" s="31"/>
      <c r="F41" s="31"/>
      <c r="G41" s="95"/>
      <c r="H41" s="31"/>
      <c r="I41" s="31"/>
      <c r="J41" s="123" t="s">
        <v>206</v>
      </c>
      <c r="K41" s="52"/>
      <c r="L41" s="52"/>
      <c r="M41" s="52"/>
      <c r="N41" s="52"/>
      <c r="O41" s="52"/>
      <c r="P41" s="52"/>
      <c r="Q41" s="124"/>
      <c r="R41" s="123" t="s">
        <v>207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24"/>
      <c r="AK41" s="9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8"/>
    </row>
    <row r="42" spans="2:61" ht="20.100000000000001" customHeight="1" x14ac:dyDescent="0.45">
      <c r="B42" s="122"/>
      <c r="C42" s="31"/>
      <c r="D42" s="31"/>
      <c r="E42" s="31"/>
      <c r="F42" s="31"/>
      <c r="G42" s="95"/>
      <c r="H42" s="31"/>
      <c r="I42" s="31"/>
      <c r="J42" s="123" t="s">
        <v>208</v>
      </c>
      <c r="K42" s="52"/>
      <c r="L42" s="52"/>
      <c r="M42" s="52"/>
      <c r="N42" s="52"/>
      <c r="O42" s="52"/>
      <c r="P42" s="52"/>
      <c r="Q42" s="124"/>
      <c r="R42" s="123" t="s">
        <v>209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24"/>
      <c r="AK42" s="9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8"/>
    </row>
    <row r="43" spans="2:61" ht="20.100000000000001" customHeight="1" x14ac:dyDescent="0.45">
      <c r="B43" s="122"/>
      <c r="C43" s="31"/>
      <c r="D43" s="31"/>
      <c r="E43" s="31"/>
      <c r="F43" s="31"/>
      <c r="G43" s="95"/>
      <c r="H43" s="31"/>
      <c r="I43" s="31"/>
      <c r="J43" s="123" t="s">
        <v>210</v>
      </c>
      <c r="K43" s="52"/>
      <c r="L43" s="52"/>
      <c r="M43" s="52"/>
      <c r="N43" s="52"/>
      <c r="O43" s="52"/>
      <c r="P43" s="52"/>
      <c r="Q43" s="124"/>
      <c r="R43" s="123" t="s">
        <v>211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24"/>
      <c r="AK43" s="9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8"/>
    </row>
    <row r="44" spans="2:61" ht="20.100000000000001" customHeight="1" x14ac:dyDescent="0.45">
      <c r="B44" s="122"/>
      <c r="C44" s="31"/>
      <c r="D44" s="31"/>
      <c r="E44" s="31"/>
      <c r="F44" s="31"/>
      <c r="G44" s="95"/>
      <c r="H44" s="31"/>
      <c r="I44" s="31"/>
      <c r="J44" s="123" t="s">
        <v>212</v>
      </c>
      <c r="K44" s="52"/>
      <c r="L44" s="52"/>
      <c r="M44" s="52"/>
      <c r="N44" s="52"/>
      <c r="O44" s="52"/>
      <c r="P44" s="52"/>
      <c r="Q44" s="124"/>
      <c r="R44" s="123" t="s">
        <v>213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24"/>
      <c r="AK44" s="9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8"/>
    </row>
    <row r="45" spans="2:61" ht="20.100000000000001" customHeight="1" x14ac:dyDescent="0.45">
      <c r="B45" s="122"/>
      <c r="C45" s="31"/>
      <c r="D45" s="31"/>
      <c r="E45" s="31"/>
      <c r="F45" s="31"/>
      <c r="G45" s="95"/>
      <c r="H45" s="31"/>
      <c r="I45" s="31"/>
      <c r="J45" s="123" t="s">
        <v>214</v>
      </c>
      <c r="K45" s="52"/>
      <c r="L45" s="52"/>
      <c r="M45" s="52"/>
      <c r="N45" s="52"/>
      <c r="O45" s="52"/>
      <c r="P45" s="52"/>
      <c r="Q45" s="124"/>
      <c r="R45" s="123" t="s">
        <v>215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24"/>
      <c r="AK45" s="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8"/>
    </row>
    <row r="46" spans="2:61" ht="20.100000000000001" customHeight="1" x14ac:dyDescent="0.45">
      <c r="B46" s="122"/>
      <c r="C46" s="31"/>
      <c r="D46" s="31"/>
      <c r="E46" s="31"/>
      <c r="F46" s="31"/>
      <c r="G46" s="95"/>
      <c r="H46" s="31"/>
      <c r="I46" s="31"/>
      <c r="J46" s="123" t="s">
        <v>216</v>
      </c>
      <c r="K46" s="52"/>
      <c r="L46" s="52"/>
      <c r="M46" s="52"/>
      <c r="N46" s="52"/>
      <c r="O46" s="52"/>
      <c r="P46" s="52"/>
      <c r="Q46" s="124"/>
      <c r="R46" s="123" t="s">
        <v>217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124"/>
      <c r="AK46" s="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8"/>
    </row>
    <row r="47" spans="2:61" ht="20.100000000000001" customHeight="1" x14ac:dyDescent="0.45">
      <c r="B47" s="122"/>
      <c r="C47" s="31"/>
      <c r="D47" s="31"/>
      <c r="E47" s="31"/>
      <c r="F47" s="31"/>
      <c r="G47" s="95"/>
      <c r="H47" s="31"/>
      <c r="I47" s="31"/>
      <c r="J47" s="123" t="s">
        <v>218</v>
      </c>
      <c r="K47" s="52"/>
      <c r="L47" s="52"/>
      <c r="M47" s="52"/>
      <c r="N47" s="52"/>
      <c r="O47" s="52"/>
      <c r="P47" s="52"/>
      <c r="Q47" s="124"/>
      <c r="R47" s="123" t="s">
        <v>219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24"/>
      <c r="AK47" s="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8"/>
    </row>
    <row r="48" spans="2:61" ht="20.100000000000001" customHeight="1" x14ac:dyDescent="0.45">
      <c r="B48" s="122"/>
      <c r="C48" s="31"/>
      <c r="D48" s="31"/>
      <c r="E48" s="31"/>
      <c r="F48" s="31"/>
      <c r="G48" s="95"/>
      <c r="H48" s="31"/>
      <c r="I48" s="31"/>
      <c r="J48" s="123" t="s">
        <v>220</v>
      </c>
      <c r="K48" s="52"/>
      <c r="L48" s="52"/>
      <c r="M48" s="52"/>
      <c r="N48" s="52"/>
      <c r="O48" s="52"/>
      <c r="P48" s="52"/>
      <c r="Q48" s="124"/>
      <c r="R48" s="123" t="s">
        <v>221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24"/>
      <c r="AK48" s="9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8"/>
    </row>
    <row r="49" spans="2:61" ht="20.100000000000001" customHeight="1" x14ac:dyDescent="0.45">
      <c r="B49" s="122"/>
      <c r="C49" s="31"/>
      <c r="D49" s="31"/>
      <c r="E49" s="31"/>
      <c r="F49" s="31"/>
      <c r="G49" s="95"/>
      <c r="H49" s="31"/>
      <c r="I49" s="31"/>
      <c r="J49" s="123" t="s">
        <v>222</v>
      </c>
      <c r="K49" s="52"/>
      <c r="L49" s="52"/>
      <c r="M49" s="52"/>
      <c r="N49" s="52"/>
      <c r="O49" s="52"/>
      <c r="P49" s="52"/>
      <c r="Q49" s="124"/>
      <c r="R49" s="123" t="s">
        <v>223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24"/>
      <c r="AK49" s="9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8"/>
    </row>
    <row r="50" spans="2:61" ht="20.100000000000001" customHeight="1" x14ac:dyDescent="0.45">
      <c r="B50" s="122"/>
      <c r="C50" s="31"/>
      <c r="D50" s="31"/>
      <c r="E50" s="31"/>
      <c r="F50" s="31"/>
      <c r="G50" s="95"/>
      <c r="H50" s="31"/>
      <c r="I50" s="31"/>
      <c r="J50" s="123" t="s">
        <v>224</v>
      </c>
      <c r="K50" s="52"/>
      <c r="L50" s="52"/>
      <c r="M50" s="52"/>
      <c r="N50" s="52"/>
      <c r="O50" s="52"/>
      <c r="P50" s="52"/>
      <c r="Q50" s="124"/>
      <c r="R50" s="123" t="s">
        <v>225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24"/>
      <c r="AK50" s="97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8"/>
    </row>
    <row r="51" spans="2:61" ht="20.100000000000001" customHeight="1" x14ac:dyDescent="0.45">
      <c r="B51" s="122"/>
      <c r="C51" s="31"/>
      <c r="D51" s="31"/>
      <c r="E51" s="31"/>
      <c r="F51" s="31"/>
      <c r="G51" s="95"/>
      <c r="H51" s="31"/>
      <c r="I51" s="31"/>
      <c r="J51" s="123" t="s">
        <v>226</v>
      </c>
      <c r="K51" s="52"/>
      <c r="L51" s="52"/>
      <c r="M51" s="52"/>
      <c r="N51" s="52"/>
      <c r="O51" s="52"/>
      <c r="P51" s="52"/>
      <c r="Q51" s="124"/>
      <c r="R51" s="123" t="s">
        <v>227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4"/>
      <c r="AK51" s="9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8"/>
    </row>
    <row r="52" spans="2:61" ht="20.100000000000001" customHeight="1" x14ac:dyDescent="0.45">
      <c r="B52" s="122"/>
      <c r="C52" s="31"/>
      <c r="D52" s="31"/>
      <c r="E52" s="31"/>
      <c r="F52" s="31"/>
      <c r="G52" s="95"/>
      <c r="H52" s="31"/>
      <c r="I52" s="31"/>
      <c r="J52" s="123" t="s">
        <v>228</v>
      </c>
      <c r="K52" s="52"/>
      <c r="L52" s="52"/>
      <c r="M52" s="52"/>
      <c r="N52" s="52"/>
      <c r="O52" s="52"/>
      <c r="P52" s="52"/>
      <c r="Q52" s="124"/>
      <c r="R52" s="123" t="s">
        <v>229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4"/>
      <c r="AK52" s="9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8"/>
    </row>
    <row r="53" spans="2:61" ht="20.100000000000001" customHeight="1" x14ac:dyDescent="0.45">
      <c r="B53" s="122"/>
      <c r="C53" s="31"/>
      <c r="D53" s="31"/>
      <c r="E53" s="31"/>
      <c r="F53" s="31"/>
      <c r="G53" s="95"/>
      <c r="H53" s="31"/>
      <c r="I53" s="31"/>
      <c r="J53" s="123" t="s">
        <v>230</v>
      </c>
      <c r="K53" s="52"/>
      <c r="L53" s="52"/>
      <c r="M53" s="52"/>
      <c r="N53" s="52"/>
      <c r="O53" s="52"/>
      <c r="P53" s="52"/>
      <c r="Q53" s="124"/>
      <c r="R53" s="123" t="s">
        <v>231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4"/>
      <c r="AK53" s="9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8"/>
    </row>
    <row r="54" spans="2:61" ht="20.100000000000001" customHeight="1" x14ac:dyDescent="0.45">
      <c r="B54" s="122"/>
      <c r="C54" s="31"/>
      <c r="D54" s="31"/>
      <c r="E54" s="31"/>
      <c r="F54" s="31"/>
      <c r="G54" s="95"/>
      <c r="H54" s="31"/>
      <c r="I54" s="31"/>
      <c r="J54" s="123" t="s">
        <v>232</v>
      </c>
      <c r="K54" s="52"/>
      <c r="L54" s="52"/>
      <c r="M54" s="52"/>
      <c r="N54" s="52"/>
      <c r="O54" s="52"/>
      <c r="P54" s="52"/>
      <c r="Q54" s="124"/>
      <c r="R54" s="123" t="s">
        <v>233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24"/>
      <c r="AK54" s="9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8"/>
    </row>
    <row r="55" spans="2:61" ht="20.100000000000001" customHeight="1" x14ac:dyDescent="0.45">
      <c r="B55" s="122"/>
      <c r="C55" s="31"/>
      <c r="D55" s="31"/>
      <c r="E55" s="31"/>
      <c r="F55" s="31"/>
      <c r="G55" s="95"/>
      <c r="H55" s="31"/>
      <c r="I55" s="31"/>
      <c r="J55" s="123" t="s">
        <v>234</v>
      </c>
      <c r="K55" s="52"/>
      <c r="L55" s="52"/>
      <c r="M55" s="52"/>
      <c r="N55" s="52"/>
      <c r="O55" s="52"/>
      <c r="P55" s="52"/>
      <c r="Q55" s="124"/>
      <c r="R55" s="123" t="s">
        <v>235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124"/>
      <c r="AK55" s="9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8"/>
    </row>
    <row r="56" spans="2:61" ht="20.100000000000001" customHeight="1" x14ac:dyDescent="0.45">
      <c r="B56" s="122"/>
      <c r="C56" s="31"/>
      <c r="D56" s="31"/>
      <c r="E56" s="31"/>
      <c r="F56" s="31"/>
      <c r="G56" s="95"/>
      <c r="H56" s="99" t="s">
        <v>173</v>
      </c>
      <c r="I56" s="55"/>
      <c r="J56" s="99" t="s">
        <v>236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100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101"/>
    </row>
    <row r="57" spans="2:61" ht="20.100000000000001" customHeight="1" thickBot="1" x14ac:dyDescent="0.5">
      <c r="B57" s="94"/>
      <c r="C57" s="31"/>
      <c r="D57" s="31"/>
      <c r="E57" s="31"/>
      <c r="F57" s="31"/>
      <c r="G57" s="95"/>
      <c r="H57" s="99" t="s">
        <v>175</v>
      </c>
      <c r="I57" s="55"/>
      <c r="J57" s="99" t="s">
        <v>237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100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101"/>
    </row>
    <row r="58" spans="2:61" ht="5.0999999999999996" customHeight="1" x14ac:dyDescent="0.45"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3" t="s">
        <v>0</v>
      </c>
      <c r="C2" s="204"/>
      <c r="D2" s="204"/>
      <c r="E2" s="204"/>
      <c r="F2" s="204"/>
      <c r="G2" s="204"/>
      <c r="H2" s="204" t="s">
        <v>17</v>
      </c>
      <c r="I2" s="204"/>
      <c r="J2" s="204"/>
      <c r="K2" s="204"/>
      <c r="L2" s="204" t="s">
        <v>1</v>
      </c>
      <c r="M2" s="204"/>
      <c r="N2" s="204"/>
      <c r="O2" s="204"/>
      <c r="P2" s="204"/>
      <c r="Q2" s="204"/>
      <c r="R2" s="204" t="s">
        <v>2</v>
      </c>
      <c r="S2" s="204"/>
      <c r="T2" s="204"/>
      <c r="U2" s="204"/>
      <c r="V2" s="204"/>
      <c r="W2" s="204"/>
      <c r="X2" s="205" t="s">
        <v>3</v>
      </c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7"/>
      <c r="AK2" s="205" t="s">
        <v>32</v>
      </c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7"/>
      <c r="AX2" s="204" t="s">
        <v>5</v>
      </c>
      <c r="AY2" s="204"/>
      <c r="AZ2" s="204"/>
      <c r="BA2" s="204"/>
      <c r="BB2" s="204" t="s">
        <v>4</v>
      </c>
      <c r="BC2" s="204"/>
      <c r="BD2" s="204"/>
      <c r="BE2" s="204"/>
      <c r="BF2" s="204" t="s">
        <v>6</v>
      </c>
      <c r="BG2" s="204"/>
      <c r="BH2" s="204"/>
      <c r="BI2" s="204"/>
      <c r="BJ2" s="204" t="s">
        <v>7</v>
      </c>
      <c r="BK2" s="204"/>
      <c r="BL2" s="204"/>
      <c r="BM2" s="214"/>
    </row>
    <row r="3" spans="2:65" ht="20.100000000000001" customHeight="1" x14ac:dyDescent="0.45">
      <c r="B3" s="208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SS0700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6" t="str">
        <f ca="1">変更履歴!X3</f>
        <v>SS0700_支払取込リスト_帳票設計書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8"/>
      <c r="AK3" s="156" t="str">
        <f ca="1">変更履歴!AK3</f>
        <v>支払取込リスト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8"/>
      <c r="AX3" s="152">
        <f>変更履歴!AX3</f>
        <v>45581</v>
      </c>
      <c r="AY3" s="152"/>
      <c r="AZ3" s="152"/>
      <c r="BA3" s="152"/>
      <c r="BB3" s="153" t="str">
        <f>変更履歴!BB3</f>
        <v>大谷</v>
      </c>
      <c r="BC3" s="153"/>
      <c r="BD3" s="153"/>
      <c r="BE3" s="153"/>
      <c r="BF3" s="152">
        <f>変更履歴!BF3</f>
        <v>45581</v>
      </c>
      <c r="BG3" s="152"/>
      <c r="BH3" s="152"/>
      <c r="BI3" s="152"/>
      <c r="BJ3" s="153" t="str">
        <f>変更履歴!BJ3</f>
        <v>大谷</v>
      </c>
      <c r="BK3" s="153"/>
      <c r="BL3" s="153"/>
      <c r="BM3" s="212"/>
    </row>
    <row r="4" spans="2:65" ht="20.100000000000001" customHeight="1" thickBot="1" x14ac:dyDescent="0.5">
      <c r="B4" s="209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00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2"/>
      <c r="AK4" s="200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2"/>
      <c r="AX4" s="211"/>
      <c r="AY4" s="211"/>
      <c r="AZ4" s="211"/>
      <c r="BA4" s="211"/>
      <c r="BB4" s="210"/>
      <c r="BC4" s="210"/>
      <c r="BD4" s="210"/>
      <c r="BE4" s="210"/>
      <c r="BF4" s="211"/>
      <c r="BG4" s="211"/>
      <c r="BH4" s="211"/>
      <c r="BI4" s="211"/>
      <c r="BJ4" s="210"/>
      <c r="BK4" s="210"/>
      <c r="BL4" s="210"/>
      <c r="BM4" s="21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8" t="s">
        <v>53</v>
      </c>
      <c r="C7" s="89"/>
      <c r="D7" s="89"/>
      <c r="E7" s="89"/>
      <c r="F7" s="89"/>
      <c r="G7" s="89"/>
      <c r="H7" s="91" t="s">
        <v>81</v>
      </c>
      <c r="I7" s="90"/>
      <c r="J7" s="125" t="s">
        <v>20</v>
      </c>
      <c r="K7" s="120"/>
      <c r="L7" s="120"/>
      <c r="M7" s="120"/>
      <c r="N7" s="120"/>
      <c r="O7" s="120"/>
      <c r="P7" s="120"/>
      <c r="Q7" s="120"/>
      <c r="R7" s="125" t="s">
        <v>82</v>
      </c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1"/>
      <c r="AK7" s="92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93"/>
      <c r="BJ7" s="29"/>
      <c r="BK7" s="29"/>
      <c r="BL7" s="29"/>
      <c r="BM7" s="29"/>
    </row>
    <row r="8" spans="2:65" ht="20.100000000000001" customHeight="1" x14ac:dyDescent="0.45">
      <c r="B8" s="122"/>
      <c r="C8" s="31"/>
      <c r="D8" s="31"/>
      <c r="E8" s="31"/>
      <c r="F8" s="31"/>
      <c r="G8" s="31"/>
      <c r="H8" s="96"/>
      <c r="I8" s="95"/>
      <c r="J8" s="123" t="s">
        <v>83</v>
      </c>
      <c r="K8" s="52"/>
      <c r="L8" s="52"/>
      <c r="M8" s="52"/>
      <c r="N8" s="52"/>
      <c r="O8" s="52"/>
      <c r="P8" s="52"/>
      <c r="Q8" s="52"/>
      <c r="R8" s="123" t="s">
        <v>84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4"/>
      <c r="AK8" s="9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8"/>
      <c r="BJ8" s="29"/>
      <c r="BK8" s="29"/>
      <c r="BL8" s="29"/>
      <c r="BM8" s="29"/>
    </row>
    <row r="9" spans="2:65" ht="20.100000000000001" customHeight="1" x14ac:dyDescent="0.45">
      <c r="B9" s="122"/>
      <c r="C9" s="31"/>
      <c r="D9" s="31"/>
      <c r="E9" s="31"/>
      <c r="F9" s="31"/>
      <c r="G9" s="31"/>
      <c r="H9" s="102"/>
      <c r="I9" s="126"/>
      <c r="J9" s="123" t="s">
        <v>85</v>
      </c>
      <c r="K9" s="52"/>
      <c r="L9" s="52"/>
      <c r="M9" s="52"/>
      <c r="N9" s="52"/>
      <c r="O9" s="52"/>
      <c r="P9" s="52"/>
      <c r="Q9" s="52"/>
      <c r="R9" s="123" t="s">
        <v>86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4"/>
      <c r="AK9" s="104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5"/>
      <c r="BJ9" s="29"/>
      <c r="BK9" s="29"/>
      <c r="BL9" s="29"/>
      <c r="BM9" s="29"/>
    </row>
    <row r="10" spans="2:65" ht="20.100000000000001" customHeight="1" x14ac:dyDescent="0.45">
      <c r="B10" s="122"/>
      <c r="C10" s="31"/>
      <c r="D10" s="31"/>
      <c r="E10" s="31"/>
      <c r="F10" s="31"/>
      <c r="G10" s="95"/>
      <c r="H10" s="96" t="s">
        <v>54</v>
      </c>
      <c r="I10" s="31"/>
      <c r="J10" s="110" t="s">
        <v>55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8"/>
      <c r="BJ10" s="29"/>
      <c r="BK10" s="29"/>
      <c r="BL10" s="29"/>
      <c r="BM10" s="29"/>
    </row>
    <row r="11" spans="2:65" ht="20.100000000000001" customHeight="1" x14ac:dyDescent="0.45">
      <c r="B11" s="94"/>
      <c r="C11" s="31"/>
      <c r="D11" s="31"/>
      <c r="E11" s="31"/>
      <c r="F11" s="31"/>
      <c r="G11" s="95"/>
      <c r="H11" s="96"/>
      <c r="I11" s="31"/>
      <c r="J11" s="96" t="s">
        <v>56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8"/>
      <c r="BJ11" s="29"/>
      <c r="BK11" s="29"/>
      <c r="BL11" s="29"/>
      <c r="BM11" s="29"/>
    </row>
    <row r="12" spans="2:65" ht="20.100000000000001" customHeight="1" x14ac:dyDescent="0.45">
      <c r="B12" s="94"/>
      <c r="C12" s="31"/>
      <c r="D12" s="31"/>
      <c r="E12" s="31"/>
      <c r="F12" s="31"/>
      <c r="G12" s="95"/>
      <c r="H12" s="96"/>
      <c r="I12" s="31"/>
      <c r="J12" s="96" t="s">
        <v>57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8"/>
      <c r="BJ12" s="29"/>
      <c r="BK12" s="29"/>
      <c r="BL12" s="29"/>
      <c r="BM12" s="29"/>
    </row>
    <row r="13" spans="2:65" ht="20.100000000000001" customHeight="1" x14ac:dyDescent="0.45">
      <c r="B13" s="94"/>
      <c r="C13" s="31"/>
      <c r="D13" s="31"/>
      <c r="E13" s="31"/>
      <c r="F13" s="31"/>
      <c r="G13" s="95"/>
      <c r="H13" s="96"/>
      <c r="I13" s="31"/>
      <c r="J13" s="96" t="s">
        <v>58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8"/>
      <c r="BJ13" s="29"/>
      <c r="BK13" s="29"/>
      <c r="BL13" s="29"/>
      <c r="BM13" s="29"/>
    </row>
    <row r="14" spans="2:65" ht="20.100000000000001" customHeight="1" x14ac:dyDescent="0.45">
      <c r="B14" s="94"/>
      <c r="C14" s="31"/>
      <c r="D14" s="31"/>
      <c r="E14" s="31"/>
      <c r="F14" s="31"/>
      <c r="G14" s="95"/>
      <c r="H14" s="99" t="s">
        <v>59</v>
      </c>
      <c r="I14" s="55"/>
      <c r="J14" s="106" t="s">
        <v>60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1"/>
      <c r="BJ14" s="29"/>
      <c r="BK14" s="29"/>
      <c r="BL14" s="29"/>
      <c r="BM14" s="29"/>
    </row>
    <row r="15" spans="2:65" ht="20.100000000000001" customHeight="1" x14ac:dyDescent="0.45">
      <c r="B15" s="94"/>
      <c r="C15" s="31"/>
      <c r="D15" s="31"/>
      <c r="E15" s="31"/>
      <c r="F15" s="31"/>
      <c r="G15" s="95"/>
      <c r="H15" s="96"/>
      <c r="I15" s="31"/>
      <c r="J15" s="107"/>
      <c r="K15" s="108" t="s">
        <v>61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8"/>
      <c r="BJ15" s="29"/>
      <c r="BK15" s="29"/>
      <c r="BL15" s="29"/>
      <c r="BM15" s="29"/>
    </row>
    <row r="16" spans="2:65" ht="20.100000000000001" customHeight="1" x14ac:dyDescent="0.45">
      <c r="B16" s="94"/>
      <c r="C16" s="31"/>
      <c r="D16" s="31"/>
      <c r="E16" s="31"/>
      <c r="F16" s="31"/>
      <c r="G16" s="95"/>
      <c r="H16" s="96"/>
      <c r="I16" s="31"/>
      <c r="J16" s="96"/>
      <c r="K16" s="29"/>
      <c r="L16" s="109"/>
      <c r="M16" s="108" t="s">
        <v>62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8"/>
      <c r="BJ16" s="29"/>
      <c r="BK16" s="29"/>
      <c r="BL16" s="29"/>
      <c r="BM16" s="29"/>
    </row>
    <row r="17" spans="2:65" ht="20.100000000000001" customHeight="1" x14ac:dyDescent="0.45">
      <c r="B17" s="94"/>
      <c r="C17" s="31"/>
      <c r="D17" s="31"/>
      <c r="E17" s="31"/>
      <c r="F17" s="31"/>
      <c r="G17" s="95"/>
      <c r="H17" s="96"/>
      <c r="I17" s="31"/>
      <c r="J17" s="96"/>
      <c r="K17" s="29"/>
      <c r="L17" s="109" t="s">
        <v>63</v>
      </c>
      <c r="M17" s="108" t="s">
        <v>62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8"/>
      <c r="BJ17" s="29"/>
      <c r="BK17" s="29"/>
      <c r="BL17" s="29"/>
      <c r="BM17" s="29"/>
    </row>
    <row r="18" spans="2:65" ht="20.100000000000001" customHeight="1" x14ac:dyDescent="0.45">
      <c r="B18" s="94"/>
      <c r="C18" s="31"/>
      <c r="D18" s="31"/>
      <c r="E18" s="31"/>
      <c r="F18" s="31"/>
      <c r="G18" s="95"/>
      <c r="H18" s="96"/>
      <c r="I18" s="31"/>
      <c r="J18" s="96"/>
      <c r="K18" s="29"/>
      <c r="L18" s="109" t="s">
        <v>64</v>
      </c>
      <c r="M18" s="108" t="s">
        <v>62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8"/>
      <c r="BJ18" s="29"/>
      <c r="BK18" s="29"/>
      <c r="BL18" s="29"/>
      <c r="BM18" s="29"/>
    </row>
    <row r="19" spans="2:65" ht="20.100000000000001" customHeight="1" x14ac:dyDescent="0.45">
      <c r="B19" s="94"/>
      <c r="C19" s="31"/>
      <c r="D19" s="31"/>
      <c r="E19" s="31"/>
      <c r="F19" s="31"/>
      <c r="G19" s="95"/>
      <c r="H19" s="96"/>
      <c r="I19" s="31"/>
      <c r="J19" s="96" t="s">
        <v>65</v>
      </c>
      <c r="K19" s="109"/>
      <c r="L19" s="10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8"/>
      <c r="BJ19" s="29"/>
      <c r="BK19" s="29"/>
      <c r="BL19" s="29"/>
      <c r="BM19" s="29"/>
    </row>
    <row r="20" spans="2:65" ht="20.100000000000001" customHeight="1" x14ac:dyDescent="0.45">
      <c r="B20" s="94"/>
      <c r="C20" s="31"/>
      <c r="D20" s="31"/>
      <c r="E20" s="31"/>
      <c r="F20" s="31"/>
      <c r="G20" s="95"/>
      <c r="H20" s="96"/>
      <c r="I20" s="31"/>
      <c r="J20" s="96"/>
      <c r="K20" s="31" t="s">
        <v>66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8"/>
      <c r="BJ20" s="29"/>
      <c r="BK20" s="29"/>
      <c r="BL20" s="29"/>
      <c r="BM20" s="29"/>
    </row>
    <row r="21" spans="2:65" ht="20.100000000000001" customHeight="1" x14ac:dyDescent="0.45">
      <c r="B21" s="94"/>
      <c r="C21" s="31"/>
      <c r="D21" s="31"/>
      <c r="E21" s="31"/>
      <c r="F21" s="31"/>
      <c r="G21" s="95"/>
      <c r="H21" s="96"/>
      <c r="I21" s="31"/>
      <c r="J21" s="96"/>
      <c r="K21" s="29"/>
      <c r="L21" s="31"/>
      <c r="M21" s="31" t="s">
        <v>67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8"/>
    </row>
    <row r="22" spans="2:65" ht="20.100000000000001" customHeight="1" x14ac:dyDescent="0.45">
      <c r="B22" s="94"/>
      <c r="C22" s="31"/>
      <c r="D22" s="31"/>
      <c r="E22" s="31"/>
      <c r="F22" s="31"/>
      <c r="G22" s="95"/>
      <c r="H22" s="102"/>
      <c r="I22" s="103"/>
      <c r="J22" s="102"/>
      <c r="K22" s="103"/>
      <c r="L22" s="103" t="s">
        <v>63</v>
      </c>
      <c r="M22" s="103" t="s">
        <v>68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4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5"/>
    </row>
    <row r="23" spans="2:65" ht="20.100000000000001" customHeight="1" x14ac:dyDescent="0.45">
      <c r="B23" s="94"/>
      <c r="C23" s="31"/>
      <c r="D23" s="31"/>
      <c r="E23" s="31"/>
      <c r="F23" s="31"/>
      <c r="G23" s="95"/>
      <c r="H23" s="96" t="s">
        <v>69</v>
      </c>
      <c r="I23" s="31"/>
      <c r="J23" s="110"/>
      <c r="K23" s="108" t="s">
        <v>70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1" t="s">
        <v>71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8"/>
    </row>
    <row r="24" spans="2:65" ht="20.100000000000001" customHeight="1" x14ac:dyDescent="0.45">
      <c r="B24" s="94"/>
      <c r="C24" s="31"/>
      <c r="D24" s="31"/>
      <c r="E24" s="31"/>
      <c r="F24" s="31"/>
      <c r="G24" s="95"/>
      <c r="H24" s="96"/>
      <c r="I24" s="31"/>
      <c r="J24" s="110" t="s">
        <v>63</v>
      </c>
      <c r="K24" s="108" t="s">
        <v>72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8"/>
    </row>
    <row r="25" spans="2:65" ht="20.100000000000001" customHeight="1" x14ac:dyDescent="0.45">
      <c r="B25" s="94"/>
      <c r="C25" s="31"/>
      <c r="D25" s="31"/>
      <c r="E25" s="31"/>
      <c r="F25" s="31"/>
      <c r="G25" s="95"/>
      <c r="H25" s="96"/>
      <c r="I25" s="31"/>
      <c r="J25" s="110" t="s">
        <v>64</v>
      </c>
      <c r="K25" s="108" t="s">
        <v>72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8"/>
    </row>
    <row r="26" spans="2:65" ht="20.100000000000001" customHeight="1" x14ac:dyDescent="0.45">
      <c r="B26" s="94"/>
      <c r="C26" s="31"/>
      <c r="D26" s="31"/>
      <c r="E26" s="31"/>
      <c r="F26" s="31"/>
      <c r="G26" s="95"/>
      <c r="H26" s="96"/>
      <c r="I26" s="31"/>
      <c r="J26" s="110" t="s">
        <v>73</v>
      </c>
      <c r="K26" s="10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8"/>
    </row>
    <row r="27" spans="2:65" ht="20.100000000000001" customHeight="1" x14ac:dyDescent="0.45">
      <c r="B27" s="94"/>
      <c r="C27" s="31"/>
      <c r="D27" s="31"/>
      <c r="E27" s="31"/>
      <c r="F27" s="31"/>
      <c r="G27" s="95"/>
      <c r="H27" s="96"/>
      <c r="I27" s="31"/>
      <c r="J27" s="96"/>
      <c r="K27" s="31" t="s">
        <v>74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2" t="s">
        <v>75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8"/>
    </row>
    <row r="28" spans="2:65" ht="20.100000000000001" customHeight="1" x14ac:dyDescent="0.45">
      <c r="B28" s="94"/>
      <c r="C28" s="31"/>
      <c r="D28" s="31"/>
      <c r="E28" s="31"/>
      <c r="F28" s="31"/>
      <c r="G28" s="95"/>
      <c r="H28" s="96"/>
      <c r="I28" s="31"/>
      <c r="J28" s="96" t="s">
        <v>63</v>
      </c>
      <c r="K28" s="31" t="s">
        <v>76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8"/>
    </row>
    <row r="29" spans="2:65" ht="20.100000000000001" customHeight="1" x14ac:dyDescent="0.45">
      <c r="B29" s="94"/>
      <c r="C29" s="31"/>
      <c r="D29" s="31"/>
      <c r="E29" s="31"/>
      <c r="F29" s="31"/>
      <c r="G29" s="95"/>
      <c r="H29" s="96"/>
      <c r="I29" s="31"/>
      <c r="J29" s="11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8"/>
    </row>
    <row r="30" spans="2:65" ht="20.100000000000001" customHeight="1" x14ac:dyDescent="0.45">
      <c r="B30" s="94"/>
      <c r="C30" s="31"/>
      <c r="D30" s="31"/>
      <c r="E30" s="31"/>
      <c r="F30" s="31"/>
      <c r="G30" s="95"/>
      <c r="H30" s="96"/>
      <c r="I30" s="31"/>
      <c r="J30" s="9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8"/>
    </row>
    <row r="31" spans="2:65" ht="20.100000000000001" customHeight="1" x14ac:dyDescent="0.45">
      <c r="B31" s="94"/>
      <c r="C31" s="31"/>
      <c r="D31" s="31"/>
      <c r="E31" s="31"/>
      <c r="F31" s="31"/>
      <c r="G31" s="95"/>
      <c r="H31" s="102"/>
      <c r="I31" s="103"/>
      <c r="J31" s="102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2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5"/>
    </row>
    <row r="32" spans="2:65" ht="20.100000000000001" customHeight="1" x14ac:dyDescent="0.45">
      <c r="B32" s="94"/>
      <c r="C32" s="31"/>
      <c r="D32" s="31"/>
      <c r="E32" s="31"/>
      <c r="F32" s="31"/>
      <c r="G32" s="95"/>
      <c r="H32" s="96" t="s">
        <v>77</v>
      </c>
      <c r="I32" s="31"/>
      <c r="J32" s="110" t="s">
        <v>78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8"/>
    </row>
    <row r="33" spans="2:61" ht="20.100000000000001" customHeight="1" x14ac:dyDescent="0.45">
      <c r="B33" s="94"/>
      <c r="C33" s="31"/>
      <c r="D33" s="31"/>
      <c r="E33" s="31"/>
      <c r="F33" s="31"/>
      <c r="G33" s="95"/>
      <c r="H33" s="96"/>
      <c r="I33" s="31"/>
      <c r="J33" s="110" t="s">
        <v>79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8"/>
    </row>
    <row r="34" spans="2:61" ht="20.100000000000001" customHeight="1" thickBot="1" x14ac:dyDescent="0.5">
      <c r="B34" s="113"/>
      <c r="C34" s="114"/>
      <c r="D34" s="114"/>
      <c r="E34" s="114"/>
      <c r="F34" s="114"/>
      <c r="G34" s="115"/>
      <c r="H34" s="116"/>
      <c r="I34" s="114"/>
      <c r="J34" s="116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6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8" t="s">
        <v>80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42.796875" style="29" bestFit="1" customWidth="1"/>
    <col min="6" max="6" width="14.3984375" style="29" bestFit="1" customWidth="1"/>
    <col min="7" max="16384" width="8.796875" style="29"/>
  </cols>
  <sheetData>
    <row r="2" spans="2:7" ht="19.2" thickBot="1" x14ac:dyDescent="0.5">
      <c r="B2" s="86" t="s">
        <v>48</v>
      </c>
    </row>
    <row r="3" spans="2:7" ht="18.600000000000001" thickTop="1" x14ac:dyDescent="0.45">
      <c r="B3" s="38" t="s">
        <v>19</v>
      </c>
      <c r="C3" s="76" t="s">
        <v>49</v>
      </c>
      <c r="D3" s="76" t="s">
        <v>50</v>
      </c>
      <c r="E3" s="73" t="s">
        <v>21</v>
      </c>
      <c r="F3" s="127" t="s">
        <v>127</v>
      </c>
      <c r="G3" s="77" t="s">
        <v>51</v>
      </c>
    </row>
    <row r="4" spans="2:7" x14ac:dyDescent="0.45">
      <c r="B4" s="37">
        <v>1</v>
      </c>
      <c r="C4" s="78"/>
      <c r="D4" s="78"/>
      <c r="E4" s="79"/>
      <c r="F4" s="79"/>
      <c r="G4" s="80"/>
    </row>
    <row r="5" spans="2:7" x14ac:dyDescent="0.45">
      <c r="B5" s="37">
        <v>2</v>
      </c>
      <c r="C5" s="78"/>
      <c r="D5" s="78"/>
      <c r="E5" s="81"/>
      <c r="F5" s="81"/>
      <c r="G5" s="80"/>
    </row>
    <row r="6" spans="2:7" x14ac:dyDescent="0.45">
      <c r="B6" s="37">
        <v>3</v>
      </c>
      <c r="C6" s="78"/>
      <c r="D6" s="78"/>
      <c r="E6" s="81"/>
      <c r="F6" s="81"/>
      <c r="G6" s="80"/>
    </row>
    <row r="7" spans="2:7" x14ac:dyDescent="0.45">
      <c r="B7" s="37">
        <v>4</v>
      </c>
      <c r="C7" s="78"/>
      <c r="D7" s="78"/>
      <c r="E7" s="81"/>
      <c r="F7" s="81"/>
      <c r="G7" s="80"/>
    </row>
    <row r="8" spans="2:7" x14ac:dyDescent="0.45">
      <c r="B8" s="37">
        <v>5</v>
      </c>
      <c r="C8" s="78"/>
      <c r="D8" s="78"/>
      <c r="E8" s="81"/>
      <c r="F8" s="81"/>
      <c r="G8" s="80"/>
    </row>
    <row r="9" spans="2:7" x14ac:dyDescent="0.45">
      <c r="B9" s="37">
        <v>6</v>
      </c>
      <c r="C9" s="78"/>
      <c r="D9" s="78"/>
      <c r="E9" s="81"/>
      <c r="F9" s="81"/>
      <c r="G9" s="80"/>
    </row>
    <row r="10" spans="2:7" x14ac:dyDescent="0.45">
      <c r="B10" s="37">
        <v>7</v>
      </c>
      <c r="C10" s="78"/>
      <c r="D10" s="78"/>
      <c r="E10" s="81"/>
      <c r="F10" s="81"/>
      <c r="G10" s="80"/>
    </row>
    <row r="11" spans="2:7" x14ac:dyDescent="0.45">
      <c r="B11" s="37">
        <v>8</v>
      </c>
      <c r="C11" s="78"/>
      <c r="D11" s="78"/>
      <c r="E11" s="81"/>
      <c r="F11" s="81"/>
      <c r="G11" s="80"/>
    </row>
    <row r="12" spans="2:7" x14ac:dyDescent="0.45">
      <c r="B12" s="37">
        <v>9</v>
      </c>
      <c r="C12" s="78"/>
      <c r="D12" s="78"/>
      <c r="E12" s="81"/>
      <c r="F12" s="81"/>
      <c r="G12" s="80"/>
    </row>
    <row r="13" spans="2:7" x14ac:dyDescent="0.45">
      <c r="B13" s="37">
        <v>10</v>
      </c>
      <c r="C13" s="78"/>
      <c r="D13" s="78"/>
      <c r="E13" s="81"/>
      <c r="F13" s="81"/>
      <c r="G13" s="80"/>
    </row>
    <row r="14" spans="2:7" x14ac:dyDescent="0.45">
      <c r="B14" s="37">
        <v>11</v>
      </c>
      <c r="C14" s="78"/>
      <c r="D14" s="78"/>
      <c r="E14" s="81"/>
      <c r="F14" s="81"/>
      <c r="G14" s="80"/>
    </row>
    <row r="15" spans="2:7" x14ac:dyDescent="0.45">
      <c r="B15" s="37">
        <v>12</v>
      </c>
      <c r="C15" s="78"/>
      <c r="D15" s="78"/>
      <c r="E15" s="81"/>
      <c r="F15" s="81"/>
      <c r="G15" s="80"/>
    </row>
    <row r="16" spans="2:7" x14ac:dyDescent="0.45">
      <c r="B16" s="37">
        <v>13</v>
      </c>
      <c r="C16" s="78"/>
      <c r="D16" s="78"/>
      <c r="E16" s="81"/>
      <c r="F16" s="81"/>
      <c r="G16" s="80"/>
    </row>
    <row r="17" spans="2:7" x14ac:dyDescent="0.45">
      <c r="B17" s="37">
        <v>14</v>
      </c>
      <c r="C17" s="78"/>
      <c r="D17" s="78"/>
      <c r="E17" s="81"/>
      <c r="F17" s="81"/>
      <c r="G17" s="80"/>
    </row>
    <row r="18" spans="2:7" x14ac:dyDescent="0.45">
      <c r="B18" s="37">
        <v>15</v>
      </c>
      <c r="C18" s="78"/>
      <c r="D18" s="78"/>
      <c r="E18" s="81"/>
      <c r="F18" s="81"/>
      <c r="G18" s="80"/>
    </row>
    <row r="19" spans="2:7" x14ac:dyDescent="0.45">
      <c r="B19" s="37">
        <v>16</v>
      </c>
      <c r="C19" s="78"/>
      <c r="D19" s="78"/>
      <c r="E19" s="81"/>
      <c r="F19" s="81"/>
      <c r="G19" s="80"/>
    </row>
    <row r="20" spans="2:7" x14ac:dyDescent="0.45">
      <c r="B20" s="37">
        <v>17</v>
      </c>
      <c r="C20" s="78"/>
      <c r="D20" s="78"/>
      <c r="E20" s="81"/>
      <c r="F20" s="81"/>
      <c r="G20" s="80"/>
    </row>
    <row r="21" spans="2:7" x14ac:dyDescent="0.45">
      <c r="B21" s="37">
        <v>18</v>
      </c>
      <c r="C21" s="78"/>
      <c r="D21" s="78"/>
      <c r="E21" s="81"/>
      <c r="F21" s="81"/>
      <c r="G21" s="80"/>
    </row>
    <row r="22" spans="2:7" x14ac:dyDescent="0.45">
      <c r="B22" s="37">
        <v>19</v>
      </c>
      <c r="C22" s="78"/>
      <c r="D22" s="78"/>
      <c r="E22" s="81"/>
      <c r="F22" s="81"/>
      <c r="G22" s="80"/>
    </row>
    <row r="23" spans="2:7" x14ac:dyDescent="0.45">
      <c r="B23" s="37">
        <v>20</v>
      </c>
      <c r="C23" s="78"/>
      <c r="D23" s="78"/>
      <c r="E23" s="81"/>
      <c r="F23" s="81"/>
      <c r="G23" s="80"/>
    </row>
    <row r="24" spans="2:7" x14ac:dyDescent="0.45">
      <c r="B24" s="37">
        <v>21</v>
      </c>
      <c r="C24" s="78"/>
      <c r="D24" s="78"/>
      <c r="E24" s="81"/>
      <c r="F24" s="81"/>
      <c r="G24" s="80"/>
    </row>
    <row r="25" spans="2:7" x14ac:dyDescent="0.45">
      <c r="B25" s="37">
        <v>22</v>
      </c>
      <c r="C25" s="78"/>
      <c r="D25" s="78"/>
      <c r="E25" s="81"/>
      <c r="F25" s="81"/>
      <c r="G25" s="80"/>
    </row>
    <row r="26" spans="2:7" x14ac:dyDescent="0.45">
      <c r="B26" s="37">
        <v>23</v>
      </c>
      <c r="C26" s="78"/>
      <c r="D26" s="78"/>
      <c r="E26" s="81"/>
      <c r="F26" s="81"/>
      <c r="G26" s="80"/>
    </row>
    <row r="27" spans="2:7" x14ac:dyDescent="0.45">
      <c r="B27" s="37">
        <v>24</v>
      </c>
      <c r="C27" s="78"/>
      <c r="D27" s="78"/>
      <c r="E27" s="81"/>
      <c r="F27" s="81"/>
      <c r="G27" s="80"/>
    </row>
    <row r="28" spans="2:7" x14ac:dyDescent="0.45">
      <c r="B28" s="37">
        <v>25</v>
      </c>
      <c r="C28" s="78"/>
      <c r="D28" s="78"/>
      <c r="E28" s="81"/>
      <c r="F28" s="81"/>
      <c r="G28" s="80"/>
    </row>
    <row r="29" spans="2:7" x14ac:dyDescent="0.45">
      <c r="B29" s="37">
        <v>26</v>
      </c>
      <c r="C29" s="78"/>
      <c r="D29" s="78"/>
      <c r="E29" s="81"/>
      <c r="F29" s="81"/>
      <c r="G29" s="80"/>
    </row>
    <row r="30" spans="2:7" x14ac:dyDescent="0.45">
      <c r="B30" s="37">
        <v>27</v>
      </c>
      <c r="C30" s="78"/>
      <c r="D30" s="78"/>
      <c r="E30" s="81"/>
      <c r="F30" s="81"/>
      <c r="G30" s="80"/>
    </row>
    <row r="31" spans="2:7" x14ac:dyDescent="0.45">
      <c r="B31" s="37">
        <v>28</v>
      </c>
      <c r="C31" s="78"/>
      <c r="D31" s="78"/>
      <c r="E31" s="81"/>
      <c r="F31" s="81"/>
      <c r="G31" s="80"/>
    </row>
    <row r="32" spans="2:7" x14ac:dyDescent="0.45">
      <c r="B32" s="37">
        <v>29</v>
      </c>
      <c r="C32" s="78"/>
      <c r="D32" s="78"/>
      <c r="E32" s="81"/>
      <c r="F32" s="81"/>
      <c r="G32" s="80"/>
    </row>
    <row r="33" spans="2:7" x14ac:dyDescent="0.45">
      <c r="B33" s="37">
        <v>30</v>
      </c>
      <c r="C33" s="78"/>
      <c r="D33" s="78"/>
      <c r="E33" s="81"/>
      <c r="F33" s="81"/>
      <c r="G33" s="80"/>
    </row>
    <row r="34" spans="2:7" x14ac:dyDescent="0.45">
      <c r="B34" s="37">
        <v>31</v>
      </c>
      <c r="C34" s="78"/>
      <c r="D34" s="78"/>
      <c r="E34" s="81"/>
      <c r="F34" s="81"/>
      <c r="G34" s="80"/>
    </row>
    <row r="35" spans="2:7" x14ac:dyDescent="0.45">
      <c r="B35" s="37">
        <v>32</v>
      </c>
      <c r="C35" s="78"/>
      <c r="D35" s="78"/>
      <c r="E35" s="81"/>
      <c r="F35" s="81"/>
      <c r="G35" s="80"/>
    </row>
    <row r="36" spans="2:7" x14ac:dyDescent="0.45">
      <c r="B36" s="37">
        <v>33</v>
      </c>
      <c r="C36" s="78"/>
      <c r="D36" s="78"/>
      <c r="E36" s="81"/>
      <c r="F36" s="81"/>
      <c r="G36" s="80"/>
    </row>
    <row r="37" spans="2:7" x14ac:dyDescent="0.45">
      <c r="B37" s="37">
        <v>34</v>
      </c>
      <c r="C37" s="78"/>
      <c r="D37" s="78"/>
      <c r="E37" s="81"/>
      <c r="F37" s="81"/>
      <c r="G37" s="80"/>
    </row>
    <row r="38" spans="2:7" x14ac:dyDescent="0.45">
      <c r="B38" s="37">
        <v>35</v>
      </c>
      <c r="C38" s="78"/>
      <c r="D38" s="78"/>
      <c r="E38" s="81"/>
      <c r="F38" s="81"/>
      <c r="G38" s="80"/>
    </row>
    <row r="39" spans="2:7" x14ac:dyDescent="0.45">
      <c r="B39" s="37">
        <v>36</v>
      </c>
      <c r="C39" s="78"/>
      <c r="D39" s="78"/>
      <c r="E39" s="81"/>
      <c r="F39" s="81"/>
      <c r="G39" s="80"/>
    </row>
    <row r="40" spans="2:7" x14ac:dyDescent="0.45">
      <c r="B40" s="37">
        <v>37</v>
      </c>
      <c r="C40" s="78"/>
      <c r="D40" s="78"/>
      <c r="E40" s="81"/>
      <c r="F40" s="81"/>
      <c r="G40" s="80"/>
    </row>
    <row r="41" spans="2:7" x14ac:dyDescent="0.45">
      <c r="B41" s="37">
        <v>38</v>
      </c>
      <c r="C41" s="78"/>
      <c r="D41" s="78"/>
      <c r="E41" s="81"/>
      <c r="F41" s="81"/>
      <c r="G41" s="80"/>
    </row>
    <row r="42" spans="2:7" x14ac:dyDescent="0.45">
      <c r="B42" s="37">
        <v>39</v>
      </c>
      <c r="C42" s="78"/>
      <c r="D42" s="78"/>
      <c r="E42" s="81"/>
      <c r="F42" s="81"/>
      <c r="G42" s="80"/>
    </row>
    <row r="43" spans="2:7" x14ac:dyDescent="0.45">
      <c r="B43" s="37">
        <v>40</v>
      </c>
      <c r="C43" s="78"/>
      <c r="D43" s="78"/>
      <c r="E43" s="81"/>
      <c r="F43" s="81"/>
      <c r="G43" s="80"/>
    </row>
    <row r="44" spans="2:7" x14ac:dyDescent="0.45">
      <c r="B44" s="37">
        <v>41</v>
      </c>
      <c r="C44" s="78"/>
      <c r="D44" s="78"/>
      <c r="E44" s="81"/>
      <c r="F44" s="81"/>
      <c r="G44" s="80"/>
    </row>
    <row r="45" spans="2:7" x14ac:dyDescent="0.45">
      <c r="B45" s="37">
        <v>42</v>
      </c>
      <c r="C45" s="78"/>
      <c r="D45" s="78"/>
      <c r="E45" s="81"/>
      <c r="F45" s="81"/>
      <c r="G45" s="80"/>
    </row>
    <row r="46" spans="2:7" x14ac:dyDescent="0.45">
      <c r="B46" s="37">
        <v>43</v>
      </c>
      <c r="C46" s="78"/>
      <c r="D46" s="78"/>
      <c r="E46" s="81"/>
      <c r="F46" s="81"/>
      <c r="G46" s="80"/>
    </row>
    <row r="47" spans="2:7" x14ac:dyDescent="0.45">
      <c r="B47" s="37">
        <v>44</v>
      </c>
      <c r="C47" s="78"/>
      <c r="D47" s="78"/>
      <c r="E47" s="81"/>
      <c r="F47" s="81"/>
      <c r="G47" s="80"/>
    </row>
    <row r="48" spans="2:7" x14ac:dyDescent="0.45">
      <c r="B48" s="37">
        <v>45</v>
      </c>
      <c r="C48" s="78"/>
      <c r="D48" s="78"/>
      <c r="E48" s="81"/>
      <c r="F48" s="81"/>
      <c r="G48" s="80"/>
    </row>
    <row r="49" spans="2:7" x14ac:dyDescent="0.45">
      <c r="B49" s="37">
        <v>46</v>
      </c>
      <c r="C49" s="78"/>
      <c r="D49" s="78"/>
      <c r="E49" s="81"/>
      <c r="F49" s="81"/>
      <c r="G49" s="80"/>
    </row>
    <row r="50" spans="2:7" x14ac:dyDescent="0.45">
      <c r="B50" s="37">
        <v>47</v>
      </c>
      <c r="C50" s="78"/>
      <c r="D50" s="78"/>
      <c r="E50" s="81"/>
      <c r="F50" s="81"/>
      <c r="G50" s="80"/>
    </row>
    <row r="51" spans="2:7" x14ac:dyDescent="0.45">
      <c r="B51" s="37">
        <v>48</v>
      </c>
      <c r="C51" s="78"/>
      <c r="D51" s="78"/>
      <c r="E51" s="81"/>
      <c r="F51" s="81"/>
      <c r="G51" s="80"/>
    </row>
    <row r="52" spans="2:7" x14ac:dyDescent="0.45">
      <c r="B52" s="37">
        <v>49</v>
      </c>
      <c r="C52" s="78"/>
      <c r="D52" s="78"/>
      <c r="E52" s="81"/>
      <c r="F52" s="81"/>
      <c r="G52" s="80"/>
    </row>
    <row r="53" spans="2:7" x14ac:dyDescent="0.45">
      <c r="B53" s="37">
        <v>50</v>
      </c>
      <c r="C53" s="78"/>
      <c r="D53" s="78"/>
      <c r="E53" s="81"/>
      <c r="F53" s="81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4"/>
      <c r="G54" s="8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zoomScaleSheetLayoutView="100" workbookViewId="0"/>
  </sheetViews>
  <sheetFormatPr defaultColWidth="8.09765625" defaultRowHeight="12" x14ac:dyDescent="0.45"/>
  <cols>
    <col min="1" max="1" width="9.09765625" style="129" customWidth="1"/>
    <col min="2" max="2" width="7" style="129" customWidth="1"/>
    <col min="3" max="4" width="17.5" style="129" customWidth="1"/>
    <col min="5" max="5" width="4.69921875" style="129" hidden="1" customWidth="1"/>
    <col min="6" max="6" width="7.19921875" style="129" bestFit="1" customWidth="1"/>
    <col min="7" max="7" width="10.796875" style="129" customWidth="1"/>
    <col min="8" max="8" width="17.5" style="129" customWidth="1"/>
    <col min="9" max="9" width="1.59765625" style="129" customWidth="1"/>
    <col min="10" max="256" width="8.09765625" style="129"/>
    <col min="257" max="257" width="9.09765625" style="129" customWidth="1"/>
    <col min="258" max="258" width="7" style="129" customWidth="1"/>
    <col min="259" max="260" width="17.5" style="129" customWidth="1"/>
    <col min="261" max="261" width="0" style="129" hidden="1" customWidth="1"/>
    <col min="262" max="262" width="7.19921875" style="129" bestFit="1" customWidth="1"/>
    <col min="263" max="263" width="10.796875" style="129" customWidth="1"/>
    <col min="264" max="264" width="17.5" style="129" customWidth="1"/>
    <col min="265" max="265" width="1.59765625" style="129" customWidth="1"/>
    <col min="266" max="512" width="8.09765625" style="129"/>
    <col min="513" max="513" width="9.09765625" style="129" customWidth="1"/>
    <col min="514" max="514" width="7" style="129" customWidth="1"/>
    <col min="515" max="516" width="17.5" style="129" customWidth="1"/>
    <col min="517" max="517" width="0" style="129" hidden="1" customWidth="1"/>
    <col min="518" max="518" width="7.19921875" style="129" bestFit="1" customWidth="1"/>
    <col min="519" max="519" width="10.796875" style="129" customWidth="1"/>
    <col min="520" max="520" width="17.5" style="129" customWidth="1"/>
    <col min="521" max="521" width="1.59765625" style="129" customWidth="1"/>
    <col min="522" max="768" width="8.09765625" style="129"/>
    <col min="769" max="769" width="9.09765625" style="129" customWidth="1"/>
    <col min="770" max="770" width="7" style="129" customWidth="1"/>
    <col min="771" max="772" width="17.5" style="129" customWidth="1"/>
    <col min="773" max="773" width="0" style="129" hidden="1" customWidth="1"/>
    <col min="774" max="774" width="7.19921875" style="129" bestFit="1" customWidth="1"/>
    <col min="775" max="775" width="10.796875" style="129" customWidth="1"/>
    <col min="776" max="776" width="17.5" style="129" customWidth="1"/>
    <col min="777" max="777" width="1.59765625" style="129" customWidth="1"/>
    <col min="778" max="1024" width="8.09765625" style="129"/>
    <col min="1025" max="1025" width="9.09765625" style="129" customWidth="1"/>
    <col min="1026" max="1026" width="7" style="129" customWidth="1"/>
    <col min="1027" max="1028" width="17.5" style="129" customWidth="1"/>
    <col min="1029" max="1029" width="0" style="129" hidden="1" customWidth="1"/>
    <col min="1030" max="1030" width="7.19921875" style="129" bestFit="1" customWidth="1"/>
    <col min="1031" max="1031" width="10.796875" style="129" customWidth="1"/>
    <col min="1032" max="1032" width="17.5" style="129" customWidth="1"/>
    <col min="1033" max="1033" width="1.59765625" style="129" customWidth="1"/>
    <col min="1034" max="1280" width="8.09765625" style="129"/>
    <col min="1281" max="1281" width="9.09765625" style="129" customWidth="1"/>
    <col min="1282" max="1282" width="7" style="129" customWidth="1"/>
    <col min="1283" max="1284" width="17.5" style="129" customWidth="1"/>
    <col min="1285" max="1285" width="0" style="129" hidden="1" customWidth="1"/>
    <col min="1286" max="1286" width="7.19921875" style="129" bestFit="1" customWidth="1"/>
    <col min="1287" max="1287" width="10.796875" style="129" customWidth="1"/>
    <col min="1288" max="1288" width="17.5" style="129" customWidth="1"/>
    <col min="1289" max="1289" width="1.59765625" style="129" customWidth="1"/>
    <col min="1290" max="1536" width="8.09765625" style="129"/>
    <col min="1537" max="1537" width="9.09765625" style="129" customWidth="1"/>
    <col min="1538" max="1538" width="7" style="129" customWidth="1"/>
    <col min="1539" max="1540" width="17.5" style="129" customWidth="1"/>
    <col min="1541" max="1541" width="0" style="129" hidden="1" customWidth="1"/>
    <col min="1542" max="1542" width="7.19921875" style="129" bestFit="1" customWidth="1"/>
    <col min="1543" max="1543" width="10.796875" style="129" customWidth="1"/>
    <col min="1544" max="1544" width="17.5" style="129" customWidth="1"/>
    <col min="1545" max="1545" width="1.59765625" style="129" customWidth="1"/>
    <col min="1546" max="1792" width="8.09765625" style="129"/>
    <col min="1793" max="1793" width="9.09765625" style="129" customWidth="1"/>
    <col min="1794" max="1794" width="7" style="129" customWidth="1"/>
    <col min="1795" max="1796" width="17.5" style="129" customWidth="1"/>
    <col min="1797" max="1797" width="0" style="129" hidden="1" customWidth="1"/>
    <col min="1798" max="1798" width="7.19921875" style="129" bestFit="1" customWidth="1"/>
    <col min="1799" max="1799" width="10.796875" style="129" customWidth="1"/>
    <col min="1800" max="1800" width="17.5" style="129" customWidth="1"/>
    <col min="1801" max="1801" width="1.59765625" style="129" customWidth="1"/>
    <col min="1802" max="2048" width="8.09765625" style="129"/>
    <col min="2049" max="2049" width="9.09765625" style="129" customWidth="1"/>
    <col min="2050" max="2050" width="7" style="129" customWidth="1"/>
    <col min="2051" max="2052" width="17.5" style="129" customWidth="1"/>
    <col min="2053" max="2053" width="0" style="129" hidden="1" customWidth="1"/>
    <col min="2054" max="2054" width="7.19921875" style="129" bestFit="1" customWidth="1"/>
    <col min="2055" max="2055" width="10.796875" style="129" customWidth="1"/>
    <col min="2056" max="2056" width="17.5" style="129" customWidth="1"/>
    <col min="2057" max="2057" width="1.59765625" style="129" customWidth="1"/>
    <col min="2058" max="2304" width="8.09765625" style="129"/>
    <col min="2305" max="2305" width="9.09765625" style="129" customWidth="1"/>
    <col min="2306" max="2306" width="7" style="129" customWidth="1"/>
    <col min="2307" max="2308" width="17.5" style="129" customWidth="1"/>
    <col min="2309" max="2309" width="0" style="129" hidden="1" customWidth="1"/>
    <col min="2310" max="2310" width="7.19921875" style="129" bestFit="1" customWidth="1"/>
    <col min="2311" max="2311" width="10.796875" style="129" customWidth="1"/>
    <col min="2312" max="2312" width="17.5" style="129" customWidth="1"/>
    <col min="2313" max="2313" width="1.59765625" style="129" customWidth="1"/>
    <col min="2314" max="2560" width="8.09765625" style="129"/>
    <col min="2561" max="2561" width="9.09765625" style="129" customWidth="1"/>
    <col min="2562" max="2562" width="7" style="129" customWidth="1"/>
    <col min="2563" max="2564" width="17.5" style="129" customWidth="1"/>
    <col min="2565" max="2565" width="0" style="129" hidden="1" customWidth="1"/>
    <col min="2566" max="2566" width="7.19921875" style="129" bestFit="1" customWidth="1"/>
    <col min="2567" max="2567" width="10.796875" style="129" customWidth="1"/>
    <col min="2568" max="2568" width="17.5" style="129" customWidth="1"/>
    <col min="2569" max="2569" width="1.59765625" style="129" customWidth="1"/>
    <col min="2570" max="2816" width="8.09765625" style="129"/>
    <col min="2817" max="2817" width="9.09765625" style="129" customWidth="1"/>
    <col min="2818" max="2818" width="7" style="129" customWidth="1"/>
    <col min="2819" max="2820" width="17.5" style="129" customWidth="1"/>
    <col min="2821" max="2821" width="0" style="129" hidden="1" customWidth="1"/>
    <col min="2822" max="2822" width="7.19921875" style="129" bestFit="1" customWidth="1"/>
    <col min="2823" max="2823" width="10.796875" style="129" customWidth="1"/>
    <col min="2824" max="2824" width="17.5" style="129" customWidth="1"/>
    <col min="2825" max="2825" width="1.59765625" style="129" customWidth="1"/>
    <col min="2826" max="3072" width="8.09765625" style="129"/>
    <col min="3073" max="3073" width="9.09765625" style="129" customWidth="1"/>
    <col min="3074" max="3074" width="7" style="129" customWidth="1"/>
    <col min="3075" max="3076" width="17.5" style="129" customWidth="1"/>
    <col min="3077" max="3077" width="0" style="129" hidden="1" customWidth="1"/>
    <col min="3078" max="3078" width="7.19921875" style="129" bestFit="1" customWidth="1"/>
    <col min="3079" max="3079" width="10.796875" style="129" customWidth="1"/>
    <col min="3080" max="3080" width="17.5" style="129" customWidth="1"/>
    <col min="3081" max="3081" width="1.59765625" style="129" customWidth="1"/>
    <col min="3082" max="3328" width="8.09765625" style="129"/>
    <col min="3329" max="3329" width="9.09765625" style="129" customWidth="1"/>
    <col min="3330" max="3330" width="7" style="129" customWidth="1"/>
    <col min="3331" max="3332" width="17.5" style="129" customWidth="1"/>
    <col min="3333" max="3333" width="0" style="129" hidden="1" customWidth="1"/>
    <col min="3334" max="3334" width="7.19921875" style="129" bestFit="1" customWidth="1"/>
    <col min="3335" max="3335" width="10.796875" style="129" customWidth="1"/>
    <col min="3336" max="3336" width="17.5" style="129" customWidth="1"/>
    <col min="3337" max="3337" width="1.59765625" style="129" customWidth="1"/>
    <col min="3338" max="3584" width="8.09765625" style="129"/>
    <col min="3585" max="3585" width="9.09765625" style="129" customWidth="1"/>
    <col min="3586" max="3586" width="7" style="129" customWidth="1"/>
    <col min="3587" max="3588" width="17.5" style="129" customWidth="1"/>
    <col min="3589" max="3589" width="0" style="129" hidden="1" customWidth="1"/>
    <col min="3590" max="3590" width="7.19921875" style="129" bestFit="1" customWidth="1"/>
    <col min="3591" max="3591" width="10.796875" style="129" customWidth="1"/>
    <col min="3592" max="3592" width="17.5" style="129" customWidth="1"/>
    <col min="3593" max="3593" width="1.59765625" style="129" customWidth="1"/>
    <col min="3594" max="3840" width="8.09765625" style="129"/>
    <col min="3841" max="3841" width="9.09765625" style="129" customWidth="1"/>
    <col min="3842" max="3842" width="7" style="129" customWidth="1"/>
    <col min="3843" max="3844" width="17.5" style="129" customWidth="1"/>
    <col min="3845" max="3845" width="0" style="129" hidden="1" customWidth="1"/>
    <col min="3846" max="3846" width="7.19921875" style="129" bestFit="1" customWidth="1"/>
    <col min="3847" max="3847" width="10.796875" style="129" customWidth="1"/>
    <col min="3848" max="3848" width="17.5" style="129" customWidth="1"/>
    <col min="3849" max="3849" width="1.59765625" style="129" customWidth="1"/>
    <col min="3850" max="4096" width="8.09765625" style="129"/>
    <col min="4097" max="4097" width="9.09765625" style="129" customWidth="1"/>
    <col min="4098" max="4098" width="7" style="129" customWidth="1"/>
    <col min="4099" max="4100" width="17.5" style="129" customWidth="1"/>
    <col min="4101" max="4101" width="0" style="129" hidden="1" customWidth="1"/>
    <col min="4102" max="4102" width="7.19921875" style="129" bestFit="1" customWidth="1"/>
    <col min="4103" max="4103" width="10.796875" style="129" customWidth="1"/>
    <col min="4104" max="4104" width="17.5" style="129" customWidth="1"/>
    <col min="4105" max="4105" width="1.59765625" style="129" customWidth="1"/>
    <col min="4106" max="4352" width="8.09765625" style="129"/>
    <col min="4353" max="4353" width="9.09765625" style="129" customWidth="1"/>
    <col min="4354" max="4354" width="7" style="129" customWidth="1"/>
    <col min="4355" max="4356" width="17.5" style="129" customWidth="1"/>
    <col min="4357" max="4357" width="0" style="129" hidden="1" customWidth="1"/>
    <col min="4358" max="4358" width="7.19921875" style="129" bestFit="1" customWidth="1"/>
    <col min="4359" max="4359" width="10.796875" style="129" customWidth="1"/>
    <col min="4360" max="4360" width="17.5" style="129" customWidth="1"/>
    <col min="4361" max="4361" width="1.59765625" style="129" customWidth="1"/>
    <col min="4362" max="4608" width="8.09765625" style="129"/>
    <col min="4609" max="4609" width="9.09765625" style="129" customWidth="1"/>
    <col min="4610" max="4610" width="7" style="129" customWidth="1"/>
    <col min="4611" max="4612" width="17.5" style="129" customWidth="1"/>
    <col min="4613" max="4613" width="0" style="129" hidden="1" customWidth="1"/>
    <col min="4614" max="4614" width="7.19921875" style="129" bestFit="1" customWidth="1"/>
    <col min="4615" max="4615" width="10.796875" style="129" customWidth="1"/>
    <col min="4616" max="4616" width="17.5" style="129" customWidth="1"/>
    <col min="4617" max="4617" width="1.59765625" style="129" customWidth="1"/>
    <col min="4618" max="4864" width="8.09765625" style="129"/>
    <col min="4865" max="4865" width="9.09765625" style="129" customWidth="1"/>
    <col min="4866" max="4866" width="7" style="129" customWidth="1"/>
    <col min="4867" max="4868" width="17.5" style="129" customWidth="1"/>
    <col min="4869" max="4869" width="0" style="129" hidden="1" customWidth="1"/>
    <col min="4870" max="4870" width="7.19921875" style="129" bestFit="1" customWidth="1"/>
    <col min="4871" max="4871" width="10.796875" style="129" customWidth="1"/>
    <col min="4872" max="4872" width="17.5" style="129" customWidth="1"/>
    <col min="4873" max="4873" width="1.59765625" style="129" customWidth="1"/>
    <col min="4874" max="5120" width="8.09765625" style="129"/>
    <col min="5121" max="5121" width="9.09765625" style="129" customWidth="1"/>
    <col min="5122" max="5122" width="7" style="129" customWidth="1"/>
    <col min="5123" max="5124" width="17.5" style="129" customWidth="1"/>
    <col min="5125" max="5125" width="0" style="129" hidden="1" customWidth="1"/>
    <col min="5126" max="5126" width="7.19921875" style="129" bestFit="1" customWidth="1"/>
    <col min="5127" max="5127" width="10.796875" style="129" customWidth="1"/>
    <col min="5128" max="5128" width="17.5" style="129" customWidth="1"/>
    <col min="5129" max="5129" width="1.59765625" style="129" customWidth="1"/>
    <col min="5130" max="5376" width="8.09765625" style="129"/>
    <col min="5377" max="5377" width="9.09765625" style="129" customWidth="1"/>
    <col min="5378" max="5378" width="7" style="129" customWidth="1"/>
    <col min="5379" max="5380" width="17.5" style="129" customWidth="1"/>
    <col min="5381" max="5381" width="0" style="129" hidden="1" customWidth="1"/>
    <col min="5382" max="5382" width="7.19921875" style="129" bestFit="1" customWidth="1"/>
    <col min="5383" max="5383" width="10.796875" style="129" customWidth="1"/>
    <col min="5384" max="5384" width="17.5" style="129" customWidth="1"/>
    <col min="5385" max="5385" width="1.59765625" style="129" customWidth="1"/>
    <col min="5386" max="5632" width="8.09765625" style="129"/>
    <col min="5633" max="5633" width="9.09765625" style="129" customWidth="1"/>
    <col min="5634" max="5634" width="7" style="129" customWidth="1"/>
    <col min="5635" max="5636" width="17.5" style="129" customWidth="1"/>
    <col min="5637" max="5637" width="0" style="129" hidden="1" customWidth="1"/>
    <col min="5638" max="5638" width="7.19921875" style="129" bestFit="1" customWidth="1"/>
    <col min="5639" max="5639" width="10.796875" style="129" customWidth="1"/>
    <col min="5640" max="5640" width="17.5" style="129" customWidth="1"/>
    <col min="5641" max="5641" width="1.59765625" style="129" customWidth="1"/>
    <col min="5642" max="5888" width="8.09765625" style="129"/>
    <col min="5889" max="5889" width="9.09765625" style="129" customWidth="1"/>
    <col min="5890" max="5890" width="7" style="129" customWidth="1"/>
    <col min="5891" max="5892" width="17.5" style="129" customWidth="1"/>
    <col min="5893" max="5893" width="0" style="129" hidden="1" customWidth="1"/>
    <col min="5894" max="5894" width="7.19921875" style="129" bestFit="1" customWidth="1"/>
    <col min="5895" max="5895" width="10.796875" style="129" customWidth="1"/>
    <col min="5896" max="5896" width="17.5" style="129" customWidth="1"/>
    <col min="5897" max="5897" width="1.59765625" style="129" customWidth="1"/>
    <col min="5898" max="6144" width="8.09765625" style="129"/>
    <col min="6145" max="6145" width="9.09765625" style="129" customWidth="1"/>
    <col min="6146" max="6146" width="7" style="129" customWidth="1"/>
    <col min="6147" max="6148" width="17.5" style="129" customWidth="1"/>
    <col min="6149" max="6149" width="0" style="129" hidden="1" customWidth="1"/>
    <col min="6150" max="6150" width="7.19921875" style="129" bestFit="1" customWidth="1"/>
    <col min="6151" max="6151" width="10.796875" style="129" customWidth="1"/>
    <col min="6152" max="6152" width="17.5" style="129" customWidth="1"/>
    <col min="6153" max="6153" width="1.59765625" style="129" customWidth="1"/>
    <col min="6154" max="6400" width="8.09765625" style="129"/>
    <col min="6401" max="6401" width="9.09765625" style="129" customWidth="1"/>
    <col min="6402" max="6402" width="7" style="129" customWidth="1"/>
    <col min="6403" max="6404" width="17.5" style="129" customWidth="1"/>
    <col min="6405" max="6405" width="0" style="129" hidden="1" customWidth="1"/>
    <col min="6406" max="6406" width="7.19921875" style="129" bestFit="1" customWidth="1"/>
    <col min="6407" max="6407" width="10.796875" style="129" customWidth="1"/>
    <col min="6408" max="6408" width="17.5" style="129" customWidth="1"/>
    <col min="6409" max="6409" width="1.59765625" style="129" customWidth="1"/>
    <col min="6410" max="6656" width="8.09765625" style="129"/>
    <col min="6657" max="6657" width="9.09765625" style="129" customWidth="1"/>
    <col min="6658" max="6658" width="7" style="129" customWidth="1"/>
    <col min="6659" max="6660" width="17.5" style="129" customWidth="1"/>
    <col min="6661" max="6661" width="0" style="129" hidden="1" customWidth="1"/>
    <col min="6662" max="6662" width="7.19921875" style="129" bestFit="1" customWidth="1"/>
    <col min="6663" max="6663" width="10.796875" style="129" customWidth="1"/>
    <col min="6664" max="6664" width="17.5" style="129" customWidth="1"/>
    <col min="6665" max="6665" width="1.59765625" style="129" customWidth="1"/>
    <col min="6666" max="6912" width="8.09765625" style="129"/>
    <col min="6913" max="6913" width="9.09765625" style="129" customWidth="1"/>
    <col min="6914" max="6914" width="7" style="129" customWidth="1"/>
    <col min="6915" max="6916" width="17.5" style="129" customWidth="1"/>
    <col min="6917" max="6917" width="0" style="129" hidden="1" customWidth="1"/>
    <col min="6918" max="6918" width="7.19921875" style="129" bestFit="1" customWidth="1"/>
    <col min="6919" max="6919" width="10.796875" style="129" customWidth="1"/>
    <col min="6920" max="6920" width="17.5" style="129" customWidth="1"/>
    <col min="6921" max="6921" width="1.59765625" style="129" customWidth="1"/>
    <col min="6922" max="7168" width="8.09765625" style="129"/>
    <col min="7169" max="7169" width="9.09765625" style="129" customWidth="1"/>
    <col min="7170" max="7170" width="7" style="129" customWidth="1"/>
    <col min="7171" max="7172" width="17.5" style="129" customWidth="1"/>
    <col min="7173" max="7173" width="0" style="129" hidden="1" customWidth="1"/>
    <col min="7174" max="7174" width="7.19921875" style="129" bestFit="1" customWidth="1"/>
    <col min="7175" max="7175" width="10.796875" style="129" customWidth="1"/>
    <col min="7176" max="7176" width="17.5" style="129" customWidth="1"/>
    <col min="7177" max="7177" width="1.59765625" style="129" customWidth="1"/>
    <col min="7178" max="7424" width="8.09765625" style="129"/>
    <col min="7425" max="7425" width="9.09765625" style="129" customWidth="1"/>
    <col min="7426" max="7426" width="7" style="129" customWidth="1"/>
    <col min="7427" max="7428" width="17.5" style="129" customWidth="1"/>
    <col min="7429" max="7429" width="0" style="129" hidden="1" customWidth="1"/>
    <col min="7430" max="7430" width="7.19921875" style="129" bestFit="1" customWidth="1"/>
    <col min="7431" max="7431" width="10.796875" style="129" customWidth="1"/>
    <col min="7432" max="7432" width="17.5" style="129" customWidth="1"/>
    <col min="7433" max="7433" width="1.59765625" style="129" customWidth="1"/>
    <col min="7434" max="7680" width="8.09765625" style="129"/>
    <col min="7681" max="7681" width="9.09765625" style="129" customWidth="1"/>
    <col min="7682" max="7682" width="7" style="129" customWidth="1"/>
    <col min="7683" max="7684" width="17.5" style="129" customWidth="1"/>
    <col min="7685" max="7685" width="0" style="129" hidden="1" customWidth="1"/>
    <col min="7686" max="7686" width="7.19921875" style="129" bestFit="1" customWidth="1"/>
    <col min="7687" max="7687" width="10.796875" style="129" customWidth="1"/>
    <col min="7688" max="7688" width="17.5" style="129" customWidth="1"/>
    <col min="7689" max="7689" width="1.59765625" style="129" customWidth="1"/>
    <col min="7690" max="7936" width="8.09765625" style="129"/>
    <col min="7937" max="7937" width="9.09765625" style="129" customWidth="1"/>
    <col min="7938" max="7938" width="7" style="129" customWidth="1"/>
    <col min="7939" max="7940" width="17.5" style="129" customWidth="1"/>
    <col min="7941" max="7941" width="0" style="129" hidden="1" customWidth="1"/>
    <col min="7942" max="7942" width="7.19921875" style="129" bestFit="1" customWidth="1"/>
    <col min="7943" max="7943" width="10.796875" style="129" customWidth="1"/>
    <col min="7944" max="7944" width="17.5" style="129" customWidth="1"/>
    <col min="7945" max="7945" width="1.59765625" style="129" customWidth="1"/>
    <col min="7946" max="8192" width="8.09765625" style="129"/>
    <col min="8193" max="8193" width="9.09765625" style="129" customWidth="1"/>
    <col min="8194" max="8194" width="7" style="129" customWidth="1"/>
    <col min="8195" max="8196" width="17.5" style="129" customWidth="1"/>
    <col min="8197" max="8197" width="0" style="129" hidden="1" customWidth="1"/>
    <col min="8198" max="8198" width="7.19921875" style="129" bestFit="1" customWidth="1"/>
    <col min="8199" max="8199" width="10.796875" style="129" customWidth="1"/>
    <col min="8200" max="8200" width="17.5" style="129" customWidth="1"/>
    <col min="8201" max="8201" width="1.59765625" style="129" customWidth="1"/>
    <col min="8202" max="8448" width="8.09765625" style="129"/>
    <col min="8449" max="8449" width="9.09765625" style="129" customWidth="1"/>
    <col min="8450" max="8450" width="7" style="129" customWidth="1"/>
    <col min="8451" max="8452" width="17.5" style="129" customWidth="1"/>
    <col min="8453" max="8453" width="0" style="129" hidden="1" customWidth="1"/>
    <col min="8454" max="8454" width="7.19921875" style="129" bestFit="1" customWidth="1"/>
    <col min="8455" max="8455" width="10.796875" style="129" customWidth="1"/>
    <col min="8456" max="8456" width="17.5" style="129" customWidth="1"/>
    <col min="8457" max="8457" width="1.59765625" style="129" customWidth="1"/>
    <col min="8458" max="8704" width="8.09765625" style="129"/>
    <col min="8705" max="8705" width="9.09765625" style="129" customWidth="1"/>
    <col min="8706" max="8706" width="7" style="129" customWidth="1"/>
    <col min="8707" max="8708" width="17.5" style="129" customWidth="1"/>
    <col min="8709" max="8709" width="0" style="129" hidden="1" customWidth="1"/>
    <col min="8710" max="8710" width="7.19921875" style="129" bestFit="1" customWidth="1"/>
    <col min="8711" max="8711" width="10.796875" style="129" customWidth="1"/>
    <col min="8712" max="8712" width="17.5" style="129" customWidth="1"/>
    <col min="8713" max="8713" width="1.59765625" style="129" customWidth="1"/>
    <col min="8714" max="8960" width="8.09765625" style="129"/>
    <col min="8961" max="8961" width="9.09765625" style="129" customWidth="1"/>
    <col min="8962" max="8962" width="7" style="129" customWidth="1"/>
    <col min="8963" max="8964" width="17.5" style="129" customWidth="1"/>
    <col min="8965" max="8965" width="0" style="129" hidden="1" customWidth="1"/>
    <col min="8966" max="8966" width="7.19921875" style="129" bestFit="1" customWidth="1"/>
    <col min="8967" max="8967" width="10.796875" style="129" customWidth="1"/>
    <col min="8968" max="8968" width="17.5" style="129" customWidth="1"/>
    <col min="8969" max="8969" width="1.59765625" style="129" customWidth="1"/>
    <col min="8970" max="9216" width="8.09765625" style="129"/>
    <col min="9217" max="9217" width="9.09765625" style="129" customWidth="1"/>
    <col min="9218" max="9218" width="7" style="129" customWidth="1"/>
    <col min="9219" max="9220" width="17.5" style="129" customWidth="1"/>
    <col min="9221" max="9221" width="0" style="129" hidden="1" customWidth="1"/>
    <col min="9222" max="9222" width="7.19921875" style="129" bestFit="1" customWidth="1"/>
    <col min="9223" max="9223" width="10.796875" style="129" customWidth="1"/>
    <col min="9224" max="9224" width="17.5" style="129" customWidth="1"/>
    <col min="9225" max="9225" width="1.59765625" style="129" customWidth="1"/>
    <col min="9226" max="9472" width="8.09765625" style="129"/>
    <col min="9473" max="9473" width="9.09765625" style="129" customWidth="1"/>
    <col min="9474" max="9474" width="7" style="129" customWidth="1"/>
    <col min="9475" max="9476" width="17.5" style="129" customWidth="1"/>
    <col min="9477" max="9477" width="0" style="129" hidden="1" customWidth="1"/>
    <col min="9478" max="9478" width="7.19921875" style="129" bestFit="1" customWidth="1"/>
    <col min="9479" max="9479" width="10.796875" style="129" customWidth="1"/>
    <col min="9480" max="9480" width="17.5" style="129" customWidth="1"/>
    <col min="9481" max="9481" width="1.59765625" style="129" customWidth="1"/>
    <col min="9482" max="9728" width="8.09765625" style="129"/>
    <col min="9729" max="9729" width="9.09765625" style="129" customWidth="1"/>
    <col min="9730" max="9730" width="7" style="129" customWidth="1"/>
    <col min="9731" max="9732" width="17.5" style="129" customWidth="1"/>
    <col min="9733" max="9733" width="0" style="129" hidden="1" customWidth="1"/>
    <col min="9734" max="9734" width="7.19921875" style="129" bestFit="1" customWidth="1"/>
    <col min="9735" max="9735" width="10.796875" style="129" customWidth="1"/>
    <col min="9736" max="9736" width="17.5" style="129" customWidth="1"/>
    <col min="9737" max="9737" width="1.59765625" style="129" customWidth="1"/>
    <col min="9738" max="9984" width="8.09765625" style="129"/>
    <col min="9985" max="9985" width="9.09765625" style="129" customWidth="1"/>
    <col min="9986" max="9986" width="7" style="129" customWidth="1"/>
    <col min="9987" max="9988" width="17.5" style="129" customWidth="1"/>
    <col min="9989" max="9989" width="0" style="129" hidden="1" customWidth="1"/>
    <col min="9990" max="9990" width="7.19921875" style="129" bestFit="1" customWidth="1"/>
    <col min="9991" max="9991" width="10.796875" style="129" customWidth="1"/>
    <col min="9992" max="9992" width="17.5" style="129" customWidth="1"/>
    <col min="9993" max="9993" width="1.59765625" style="129" customWidth="1"/>
    <col min="9994" max="10240" width="8.09765625" style="129"/>
    <col min="10241" max="10241" width="9.09765625" style="129" customWidth="1"/>
    <col min="10242" max="10242" width="7" style="129" customWidth="1"/>
    <col min="10243" max="10244" width="17.5" style="129" customWidth="1"/>
    <col min="10245" max="10245" width="0" style="129" hidden="1" customWidth="1"/>
    <col min="10246" max="10246" width="7.19921875" style="129" bestFit="1" customWidth="1"/>
    <col min="10247" max="10247" width="10.796875" style="129" customWidth="1"/>
    <col min="10248" max="10248" width="17.5" style="129" customWidth="1"/>
    <col min="10249" max="10249" width="1.59765625" style="129" customWidth="1"/>
    <col min="10250" max="10496" width="8.09765625" style="129"/>
    <col min="10497" max="10497" width="9.09765625" style="129" customWidth="1"/>
    <col min="10498" max="10498" width="7" style="129" customWidth="1"/>
    <col min="10499" max="10500" width="17.5" style="129" customWidth="1"/>
    <col min="10501" max="10501" width="0" style="129" hidden="1" customWidth="1"/>
    <col min="10502" max="10502" width="7.19921875" style="129" bestFit="1" customWidth="1"/>
    <col min="10503" max="10503" width="10.796875" style="129" customWidth="1"/>
    <col min="10504" max="10504" width="17.5" style="129" customWidth="1"/>
    <col min="10505" max="10505" width="1.59765625" style="129" customWidth="1"/>
    <col min="10506" max="10752" width="8.09765625" style="129"/>
    <col min="10753" max="10753" width="9.09765625" style="129" customWidth="1"/>
    <col min="10754" max="10754" width="7" style="129" customWidth="1"/>
    <col min="10755" max="10756" width="17.5" style="129" customWidth="1"/>
    <col min="10757" max="10757" width="0" style="129" hidden="1" customWidth="1"/>
    <col min="10758" max="10758" width="7.19921875" style="129" bestFit="1" customWidth="1"/>
    <col min="10759" max="10759" width="10.796875" style="129" customWidth="1"/>
    <col min="10760" max="10760" width="17.5" style="129" customWidth="1"/>
    <col min="10761" max="10761" width="1.59765625" style="129" customWidth="1"/>
    <col min="10762" max="11008" width="8.09765625" style="129"/>
    <col min="11009" max="11009" width="9.09765625" style="129" customWidth="1"/>
    <col min="11010" max="11010" width="7" style="129" customWidth="1"/>
    <col min="11011" max="11012" width="17.5" style="129" customWidth="1"/>
    <col min="11013" max="11013" width="0" style="129" hidden="1" customWidth="1"/>
    <col min="11014" max="11014" width="7.19921875" style="129" bestFit="1" customWidth="1"/>
    <col min="11015" max="11015" width="10.796875" style="129" customWidth="1"/>
    <col min="11016" max="11016" width="17.5" style="129" customWidth="1"/>
    <col min="11017" max="11017" width="1.59765625" style="129" customWidth="1"/>
    <col min="11018" max="11264" width="8.09765625" style="129"/>
    <col min="11265" max="11265" width="9.09765625" style="129" customWidth="1"/>
    <col min="11266" max="11266" width="7" style="129" customWidth="1"/>
    <col min="11267" max="11268" width="17.5" style="129" customWidth="1"/>
    <col min="11269" max="11269" width="0" style="129" hidden="1" customWidth="1"/>
    <col min="11270" max="11270" width="7.19921875" style="129" bestFit="1" customWidth="1"/>
    <col min="11271" max="11271" width="10.796875" style="129" customWidth="1"/>
    <col min="11272" max="11272" width="17.5" style="129" customWidth="1"/>
    <col min="11273" max="11273" width="1.59765625" style="129" customWidth="1"/>
    <col min="11274" max="11520" width="8.09765625" style="129"/>
    <col min="11521" max="11521" width="9.09765625" style="129" customWidth="1"/>
    <col min="11522" max="11522" width="7" style="129" customWidth="1"/>
    <col min="11523" max="11524" width="17.5" style="129" customWidth="1"/>
    <col min="11525" max="11525" width="0" style="129" hidden="1" customWidth="1"/>
    <col min="11526" max="11526" width="7.19921875" style="129" bestFit="1" customWidth="1"/>
    <col min="11527" max="11527" width="10.796875" style="129" customWidth="1"/>
    <col min="11528" max="11528" width="17.5" style="129" customWidth="1"/>
    <col min="11529" max="11529" width="1.59765625" style="129" customWidth="1"/>
    <col min="11530" max="11776" width="8.09765625" style="129"/>
    <col min="11777" max="11777" width="9.09765625" style="129" customWidth="1"/>
    <col min="11778" max="11778" width="7" style="129" customWidth="1"/>
    <col min="11779" max="11780" width="17.5" style="129" customWidth="1"/>
    <col min="11781" max="11781" width="0" style="129" hidden="1" customWidth="1"/>
    <col min="11782" max="11782" width="7.19921875" style="129" bestFit="1" customWidth="1"/>
    <col min="11783" max="11783" width="10.796875" style="129" customWidth="1"/>
    <col min="11784" max="11784" width="17.5" style="129" customWidth="1"/>
    <col min="11785" max="11785" width="1.59765625" style="129" customWidth="1"/>
    <col min="11786" max="12032" width="8.09765625" style="129"/>
    <col min="12033" max="12033" width="9.09765625" style="129" customWidth="1"/>
    <col min="12034" max="12034" width="7" style="129" customWidth="1"/>
    <col min="12035" max="12036" width="17.5" style="129" customWidth="1"/>
    <col min="12037" max="12037" width="0" style="129" hidden="1" customWidth="1"/>
    <col min="12038" max="12038" width="7.19921875" style="129" bestFit="1" customWidth="1"/>
    <col min="12039" max="12039" width="10.796875" style="129" customWidth="1"/>
    <col min="12040" max="12040" width="17.5" style="129" customWidth="1"/>
    <col min="12041" max="12041" width="1.59765625" style="129" customWidth="1"/>
    <col min="12042" max="12288" width="8.09765625" style="129"/>
    <col min="12289" max="12289" width="9.09765625" style="129" customWidth="1"/>
    <col min="12290" max="12290" width="7" style="129" customWidth="1"/>
    <col min="12291" max="12292" width="17.5" style="129" customWidth="1"/>
    <col min="12293" max="12293" width="0" style="129" hidden="1" customWidth="1"/>
    <col min="12294" max="12294" width="7.19921875" style="129" bestFit="1" customWidth="1"/>
    <col min="12295" max="12295" width="10.796875" style="129" customWidth="1"/>
    <col min="12296" max="12296" width="17.5" style="129" customWidth="1"/>
    <col min="12297" max="12297" width="1.59765625" style="129" customWidth="1"/>
    <col min="12298" max="12544" width="8.09765625" style="129"/>
    <col min="12545" max="12545" width="9.09765625" style="129" customWidth="1"/>
    <col min="12546" max="12546" width="7" style="129" customWidth="1"/>
    <col min="12547" max="12548" width="17.5" style="129" customWidth="1"/>
    <col min="12549" max="12549" width="0" style="129" hidden="1" customWidth="1"/>
    <col min="12550" max="12550" width="7.19921875" style="129" bestFit="1" customWidth="1"/>
    <col min="12551" max="12551" width="10.796875" style="129" customWidth="1"/>
    <col min="12552" max="12552" width="17.5" style="129" customWidth="1"/>
    <col min="12553" max="12553" width="1.59765625" style="129" customWidth="1"/>
    <col min="12554" max="12800" width="8.09765625" style="129"/>
    <col min="12801" max="12801" width="9.09765625" style="129" customWidth="1"/>
    <col min="12802" max="12802" width="7" style="129" customWidth="1"/>
    <col min="12803" max="12804" width="17.5" style="129" customWidth="1"/>
    <col min="12805" max="12805" width="0" style="129" hidden="1" customWidth="1"/>
    <col min="12806" max="12806" width="7.19921875" style="129" bestFit="1" customWidth="1"/>
    <col min="12807" max="12807" width="10.796875" style="129" customWidth="1"/>
    <col min="12808" max="12808" width="17.5" style="129" customWidth="1"/>
    <col min="12809" max="12809" width="1.59765625" style="129" customWidth="1"/>
    <col min="12810" max="13056" width="8.09765625" style="129"/>
    <col min="13057" max="13057" width="9.09765625" style="129" customWidth="1"/>
    <col min="13058" max="13058" width="7" style="129" customWidth="1"/>
    <col min="13059" max="13060" width="17.5" style="129" customWidth="1"/>
    <col min="13061" max="13061" width="0" style="129" hidden="1" customWidth="1"/>
    <col min="13062" max="13062" width="7.19921875" style="129" bestFit="1" customWidth="1"/>
    <col min="13063" max="13063" width="10.796875" style="129" customWidth="1"/>
    <col min="13064" max="13064" width="17.5" style="129" customWidth="1"/>
    <col min="13065" max="13065" width="1.59765625" style="129" customWidth="1"/>
    <col min="13066" max="13312" width="8.09765625" style="129"/>
    <col min="13313" max="13313" width="9.09765625" style="129" customWidth="1"/>
    <col min="13314" max="13314" width="7" style="129" customWidth="1"/>
    <col min="13315" max="13316" width="17.5" style="129" customWidth="1"/>
    <col min="13317" max="13317" width="0" style="129" hidden="1" customWidth="1"/>
    <col min="13318" max="13318" width="7.19921875" style="129" bestFit="1" customWidth="1"/>
    <col min="13319" max="13319" width="10.796875" style="129" customWidth="1"/>
    <col min="13320" max="13320" width="17.5" style="129" customWidth="1"/>
    <col min="13321" max="13321" width="1.59765625" style="129" customWidth="1"/>
    <col min="13322" max="13568" width="8.09765625" style="129"/>
    <col min="13569" max="13569" width="9.09765625" style="129" customWidth="1"/>
    <col min="13570" max="13570" width="7" style="129" customWidth="1"/>
    <col min="13571" max="13572" width="17.5" style="129" customWidth="1"/>
    <col min="13573" max="13573" width="0" style="129" hidden="1" customWidth="1"/>
    <col min="13574" max="13574" width="7.19921875" style="129" bestFit="1" customWidth="1"/>
    <col min="13575" max="13575" width="10.796875" style="129" customWidth="1"/>
    <col min="13576" max="13576" width="17.5" style="129" customWidth="1"/>
    <col min="13577" max="13577" width="1.59765625" style="129" customWidth="1"/>
    <col min="13578" max="13824" width="8.09765625" style="129"/>
    <col min="13825" max="13825" width="9.09765625" style="129" customWidth="1"/>
    <col min="13826" max="13826" width="7" style="129" customWidth="1"/>
    <col min="13827" max="13828" width="17.5" style="129" customWidth="1"/>
    <col min="13829" max="13829" width="0" style="129" hidden="1" customWidth="1"/>
    <col min="13830" max="13830" width="7.19921875" style="129" bestFit="1" customWidth="1"/>
    <col min="13831" max="13831" width="10.796875" style="129" customWidth="1"/>
    <col min="13832" max="13832" width="17.5" style="129" customWidth="1"/>
    <col min="13833" max="13833" width="1.59765625" style="129" customWidth="1"/>
    <col min="13834" max="14080" width="8.09765625" style="129"/>
    <col min="14081" max="14081" width="9.09765625" style="129" customWidth="1"/>
    <col min="14082" max="14082" width="7" style="129" customWidth="1"/>
    <col min="14083" max="14084" width="17.5" style="129" customWidth="1"/>
    <col min="14085" max="14085" width="0" style="129" hidden="1" customWidth="1"/>
    <col min="14086" max="14086" width="7.19921875" style="129" bestFit="1" customWidth="1"/>
    <col min="14087" max="14087" width="10.796875" style="129" customWidth="1"/>
    <col min="14088" max="14088" width="17.5" style="129" customWidth="1"/>
    <col min="14089" max="14089" width="1.59765625" style="129" customWidth="1"/>
    <col min="14090" max="14336" width="8.09765625" style="129"/>
    <col min="14337" max="14337" width="9.09765625" style="129" customWidth="1"/>
    <col min="14338" max="14338" width="7" style="129" customWidth="1"/>
    <col min="14339" max="14340" width="17.5" style="129" customWidth="1"/>
    <col min="14341" max="14341" width="0" style="129" hidden="1" customWidth="1"/>
    <col min="14342" max="14342" width="7.19921875" style="129" bestFit="1" customWidth="1"/>
    <col min="14343" max="14343" width="10.796875" style="129" customWidth="1"/>
    <col min="14344" max="14344" width="17.5" style="129" customWidth="1"/>
    <col min="14345" max="14345" width="1.59765625" style="129" customWidth="1"/>
    <col min="14346" max="14592" width="8.09765625" style="129"/>
    <col min="14593" max="14593" width="9.09765625" style="129" customWidth="1"/>
    <col min="14594" max="14594" width="7" style="129" customWidth="1"/>
    <col min="14595" max="14596" width="17.5" style="129" customWidth="1"/>
    <col min="14597" max="14597" width="0" style="129" hidden="1" customWidth="1"/>
    <col min="14598" max="14598" width="7.19921875" style="129" bestFit="1" customWidth="1"/>
    <col min="14599" max="14599" width="10.796875" style="129" customWidth="1"/>
    <col min="14600" max="14600" width="17.5" style="129" customWidth="1"/>
    <col min="14601" max="14601" width="1.59765625" style="129" customWidth="1"/>
    <col min="14602" max="14848" width="8.09765625" style="129"/>
    <col min="14849" max="14849" width="9.09765625" style="129" customWidth="1"/>
    <col min="14850" max="14850" width="7" style="129" customWidth="1"/>
    <col min="14851" max="14852" width="17.5" style="129" customWidth="1"/>
    <col min="14853" max="14853" width="0" style="129" hidden="1" customWidth="1"/>
    <col min="14854" max="14854" width="7.19921875" style="129" bestFit="1" customWidth="1"/>
    <col min="14855" max="14855" width="10.796875" style="129" customWidth="1"/>
    <col min="14856" max="14856" width="17.5" style="129" customWidth="1"/>
    <col min="14857" max="14857" width="1.59765625" style="129" customWidth="1"/>
    <col min="14858" max="15104" width="8.09765625" style="129"/>
    <col min="15105" max="15105" width="9.09765625" style="129" customWidth="1"/>
    <col min="15106" max="15106" width="7" style="129" customWidth="1"/>
    <col min="15107" max="15108" width="17.5" style="129" customWidth="1"/>
    <col min="15109" max="15109" width="0" style="129" hidden="1" customWidth="1"/>
    <col min="15110" max="15110" width="7.19921875" style="129" bestFit="1" customWidth="1"/>
    <col min="15111" max="15111" width="10.796875" style="129" customWidth="1"/>
    <col min="15112" max="15112" width="17.5" style="129" customWidth="1"/>
    <col min="15113" max="15113" width="1.59765625" style="129" customWidth="1"/>
    <col min="15114" max="15360" width="8.09765625" style="129"/>
    <col min="15361" max="15361" width="9.09765625" style="129" customWidth="1"/>
    <col min="15362" max="15362" width="7" style="129" customWidth="1"/>
    <col min="15363" max="15364" width="17.5" style="129" customWidth="1"/>
    <col min="15365" max="15365" width="0" style="129" hidden="1" customWidth="1"/>
    <col min="15366" max="15366" width="7.19921875" style="129" bestFit="1" customWidth="1"/>
    <col min="15367" max="15367" width="10.796875" style="129" customWidth="1"/>
    <col min="15368" max="15368" width="17.5" style="129" customWidth="1"/>
    <col min="15369" max="15369" width="1.59765625" style="129" customWidth="1"/>
    <col min="15370" max="15616" width="8.09765625" style="129"/>
    <col min="15617" max="15617" width="9.09765625" style="129" customWidth="1"/>
    <col min="15618" max="15618" width="7" style="129" customWidth="1"/>
    <col min="15619" max="15620" width="17.5" style="129" customWidth="1"/>
    <col min="15621" max="15621" width="0" style="129" hidden="1" customWidth="1"/>
    <col min="15622" max="15622" width="7.19921875" style="129" bestFit="1" customWidth="1"/>
    <col min="15623" max="15623" width="10.796875" style="129" customWidth="1"/>
    <col min="15624" max="15624" width="17.5" style="129" customWidth="1"/>
    <col min="15625" max="15625" width="1.59765625" style="129" customWidth="1"/>
    <col min="15626" max="15872" width="8.09765625" style="129"/>
    <col min="15873" max="15873" width="9.09765625" style="129" customWidth="1"/>
    <col min="15874" max="15874" width="7" style="129" customWidth="1"/>
    <col min="15875" max="15876" width="17.5" style="129" customWidth="1"/>
    <col min="15877" max="15877" width="0" style="129" hidden="1" customWidth="1"/>
    <col min="15878" max="15878" width="7.19921875" style="129" bestFit="1" customWidth="1"/>
    <col min="15879" max="15879" width="10.796875" style="129" customWidth="1"/>
    <col min="15880" max="15880" width="17.5" style="129" customWidth="1"/>
    <col min="15881" max="15881" width="1.59765625" style="129" customWidth="1"/>
    <col min="15882" max="16128" width="8.09765625" style="129"/>
    <col min="16129" max="16129" width="9.09765625" style="129" customWidth="1"/>
    <col min="16130" max="16130" width="7" style="129" customWidth="1"/>
    <col min="16131" max="16132" width="17.5" style="129" customWidth="1"/>
    <col min="16133" max="16133" width="0" style="129" hidden="1" customWidth="1"/>
    <col min="16134" max="16134" width="7.19921875" style="129" bestFit="1" customWidth="1"/>
    <col min="16135" max="16135" width="10.796875" style="129" customWidth="1"/>
    <col min="16136" max="16136" width="17.5" style="129" customWidth="1"/>
    <col min="16137" max="16137" width="1.59765625" style="129" customWidth="1"/>
    <col min="16138" max="16384" width="8.09765625" style="129"/>
  </cols>
  <sheetData>
    <row r="1" spans="1:9" ht="20.25" customHeight="1" x14ac:dyDescent="0.45">
      <c r="A1" s="128" t="s">
        <v>87</v>
      </c>
      <c r="H1" s="130" t="s">
        <v>88</v>
      </c>
      <c r="I1" s="130"/>
    </row>
    <row r="2" spans="1:9" x14ac:dyDescent="0.45">
      <c r="A2" s="131"/>
    </row>
    <row r="3" spans="1:9" x14ac:dyDescent="0.45">
      <c r="A3" s="132" t="s">
        <v>89</v>
      </c>
      <c r="B3" s="132" t="s">
        <v>90</v>
      </c>
      <c r="C3" s="132" t="s">
        <v>91</v>
      </c>
      <c r="D3" s="133" t="s">
        <v>92</v>
      </c>
      <c r="E3" s="133" t="s">
        <v>93</v>
      </c>
      <c r="F3" s="133" t="s">
        <v>94</v>
      </c>
      <c r="G3" s="133" t="s">
        <v>95</v>
      </c>
      <c r="H3" s="133" t="s">
        <v>96</v>
      </c>
    </row>
    <row r="4" spans="1:9" x14ac:dyDescent="0.45">
      <c r="A4" s="134"/>
      <c r="B4" s="135"/>
      <c r="C4" s="135"/>
      <c r="D4" s="136" t="s">
        <v>97</v>
      </c>
      <c r="E4" s="136"/>
      <c r="F4" s="136"/>
      <c r="G4" s="137">
        <f>SUM(G5:G6)</f>
        <v>1234567890</v>
      </c>
      <c r="H4" s="135"/>
    </row>
    <row r="5" spans="1:9" x14ac:dyDescent="0.45">
      <c r="A5" s="134">
        <v>44926</v>
      </c>
      <c r="B5" s="138" t="s">
        <v>98</v>
      </c>
      <c r="C5" s="138" t="s">
        <v>99</v>
      </c>
      <c r="D5" s="135"/>
      <c r="E5" s="135"/>
      <c r="F5" s="135" t="s">
        <v>100</v>
      </c>
      <c r="G5" s="137">
        <v>1234567890</v>
      </c>
      <c r="H5" s="139" t="s">
        <v>101</v>
      </c>
    </row>
    <row r="6" spans="1:9" x14ac:dyDescent="0.45">
      <c r="A6" s="134"/>
      <c r="B6" s="138"/>
      <c r="C6" s="138"/>
      <c r="D6" s="140"/>
      <c r="E6" s="140"/>
      <c r="F6" s="140"/>
      <c r="G6" s="137"/>
      <c r="H6" s="139"/>
    </row>
  </sheetData>
  <phoneticPr fontId="2"/>
  <pageMargins left="0.5" right="0" top="0.5" bottom="0.5" header="0.3" footer="0.3"/>
  <pageSetup paperSize="9" orientation="portrait" r:id="rId1"/>
  <headerFooter alignWithMargins="0"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14</vt:i4>
      </vt:variant>
    </vt:vector>
  </HeadingPairs>
  <TitlesOfParts>
    <vt:vector size="24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2025-05-24T05:32:32Z</dcterms:modified>
</cp:coreProperties>
</file>