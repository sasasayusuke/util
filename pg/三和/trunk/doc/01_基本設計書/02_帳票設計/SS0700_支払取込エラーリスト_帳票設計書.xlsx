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976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8" r:id="rId5"/>
    <sheet name="処理詳細_書き方" sheetId="19" state="hidden" r:id="rId6"/>
    <sheet name="確認事項" sheetId="15" r:id="rId7"/>
    <sheet name="新規レイアウト" sheetId="20" r:id="rId8"/>
    <sheet name="旧レイアウト" sheetId="21" r:id="rId9"/>
    <sheet name="エラー条件" sheetId="22" r:id="rId10"/>
    <sheet name="別紙_印刷レイアウト" sheetId="23" r:id="rId11"/>
    <sheet name="参照" sheetId="12" state="hidden" r:id="rId12"/>
  </sheets>
  <definedNames>
    <definedName name="_xlnm.Print_Area" localSheetId="1">概要!$A$1:$BN$31</definedName>
    <definedName name="_xlnm.Print_Area" localSheetId="3">項目一覧!$A$1:$BX$52</definedName>
    <definedName name="_xlnm.Print_Area" localSheetId="4">処理詳細!$A$1:$BR$37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9"/>
  <c r="X3" i="14"/>
  <c r="H3" i="1"/>
  <c r="R3" i="1"/>
  <c r="AK3" i="1"/>
  <c r="AK3" i="18" l="1"/>
  <c r="AK3" i="19"/>
  <c r="R3" i="18"/>
  <c r="R3" i="19"/>
  <c r="H3" i="18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<sst xmlns="http://schemas.openxmlformats.org/spreadsheetml/2006/main" count="274" uniqueCount="190">
  <si>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</si>
  <si>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</si>
  <si>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</si>
  <si>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</si>
  <si>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</si>
  <si>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</si>
  <si>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</si>
  <si>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</si>
  <si>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</si>
  <si>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</si>
  <si>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</si>
  <si>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</si>
  <si>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</si>
  <si>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</si>
  <si>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</si>
  <si>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</si>
  <si>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</si>
  <si>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</si>
  <si>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</si>
  <si>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</si>
  <si>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</si>
  <si>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</si>
  <si>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</si>
  <si>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</si>
  <si>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</si>
  <si>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</si>
  <si>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</si>
  <si>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</si>
  <si>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</si>
  <si>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</si>
  <si>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</si>
  <si>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</si>
  <si>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</si>
  <si>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</si>
  <si>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</si>
  <si>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</si>
  <si>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</si>
  <si>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</si>
  <si>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</si>
  <si>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</si>
  <si>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</si>
  <si>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</si>
  <si>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</si>
  <si>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</si>
  <si>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</si>
  <si>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</si>
  <si>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</si>
  <si>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</si>
  <si>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</si>
  <si>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</si>
  <si>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</si>
  <si>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</si>
  <si>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</si>
  <si>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</si>
  <si>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</si>
  <si>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</si>
  <si>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</si>
  <si>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</si>
  <si>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</si>
  <si>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</si>
  <si>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</si>
  <si>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</si>
  <si>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</si>
  <si>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</si>
  <si>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</si>
  <si>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</si>
  <si>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</si>
  <si>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</si>
  <si>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</si>
  <si>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</si>
  <si>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</si>
  <si>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</si>
  <si>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</si>
  <si>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</si>
  <si>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</si>
  <si>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</si>
  <si>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</si>
  <si>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</si>
  <si>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</si>
  <si>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</si>
  <si>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</si>
  <si>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</si>
  <si>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</si>
  <si>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</si>
  <si>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</si>
  <si>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</si>
  <si>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</si>
  <si>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-</t>
    <phoneticPr fontId="2"/>
  </si>
  <si>
    <t>PDF</t>
    <phoneticPr fontId="2"/>
  </si>
  <si>
    <t>pdf</t>
    <phoneticPr fontId="2"/>
  </si>
  <si>
    <t>yyyy年mm月dd日</t>
    <rPh sb="4" eb="5">
      <t>ネン</t>
    </rPh>
    <rPh sb="7" eb="8">
      <t>ガツ</t>
    </rPh>
    <rPh sb="10" eb="11">
      <t>ビ</t>
    </rPh>
    <phoneticPr fontId="1"/>
  </si>
  <si>
    <t>当日日付</t>
    <rPh sb="0" eb="4">
      <t>トウジツヒヅケ</t>
    </rPh>
    <phoneticPr fontId="1"/>
  </si>
  <si>
    <t>SQL1</t>
    <phoneticPr fontId="2"/>
  </si>
  <si>
    <t>半角</t>
    <rPh sb="0" eb="2">
      <t>ハンカク</t>
    </rPh>
    <phoneticPr fontId="1"/>
  </si>
  <si>
    <t>全角</t>
    <rPh sb="0" eb="2">
      <t>ゼンカク</t>
    </rPh>
    <phoneticPr fontId="1"/>
  </si>
  <si>
    <t>支払日付</t>
    <rPh sb="0" eb="4">
      <t>シハライヒヅケ</t>
    </rPh>
    <phoneticPr fontId="2"/>
  </si>
  <si>
    <t>仕入先CD</t>
    <rPh sb="0" eb="3">
      <t>シイレサキ</t>
    </rPh>
    <phoneticPr fontId="2"/>
  </si>
  <si>
    <t>仕入先名2</t>
    <rPh sb="0" eb="4">
      <t>シイレサキメイ</t>
    </rPh>
    <phoneticPr fontId="2"/>
  </si>
  <si>
    <t>支払金額</t>
    <rPh sb="0" eb="4">
      <t>シハライキンガク</t>
    </rPh>
    <phoneticPr fontId="2"/>
  </si>
  <si>
    <t>初期登録日</t>
    <rPh sb="0" eb="5">
      <t>ショキトウロクビ</t>
    </rPh>
    <phoneticPr fontId="2"/>
  </si>
  <si>
    <t>yyyy/mm/dd</t>
    <phoneticPr fontId="1"/>
  </si>
  <si>
    <t>tx_ope 作成日</t>
    <rPh sb="7" eb="10">
      <t>サクセイビ</t>
    </rPh>
    <phoneticPr fontId="1"/>
  </si>
  <si>
    <t>tx_経費日付　支払日付</t>
    <rPh sb="3" eb="7">
      <t>ケイヒヒヅケ</t>
    </rPh>
    <rPh sb="8" eb="12">
      <t>シハライヒヅケ</t>
    </rPh>
    <phoneticPr fontId="1"/>
  </si>
  <si>
    <t>tx_科目CD 仕入先CD</t>
    <rPh sb="3" eb="5">
      <t>カモク</t>
    </rPh>
    <rPh sb="8" eb="11">
      <t>シイレサキ</t>
    </rPh>
    <phoneticPr fontId="1"/>
  </si>
  <si>
    <t>tx_金額 支払金額</t>
    <rPh sb="3" eb="5">
      <t>キンガク</t>
    </rPh>
    <rPh sb="6" eb="10">
      <t>シハライキンガク</t>
    </rPh>
    <phoneticPr fontId="1"/>
  </si>
  <si>
    <t>tx_摘要 摘要名</t>
    <rPh sb="3" eb="5">
      <t>テキヨウ</t>
    </rPh>
    <rPh sb="6" eb="9">
      <t>テキヨウメイ</t>
    </rPh>
    <phoneticPr fontId="1"/>
  </si>
  <si>
    <t>TM仕入先.仕入先CD</t>
    <rPh sb="6" eb="9">
      <t>シイレサキ</t>
    </rPh>
    <phoneticPr fontId="2"/>
  </si>
  <si>
    <t>select * from TM仕入先</t>
    <rPh sb="16" eb="19">
      <t>シイレサキ</t>
    </rPh>
    <phoneticPr fontId="2"/>
  </si>
  <si>
    <t>TM仕入先.初期登録日</t>
    <rPh sb="6" eb="11">
      <t>ショキトウロクビ</t>
    </rPh>
    <phoneticPr fontId="2"/>
  </si>
  <si>
    <t>仕入先名1</t>
    <phoneticPr fontId="2"/>
  </si>
  <si>
    <t>TM仕入先.仕入先名1</t>
    <phoneticPr fontId="2"/>
  </si>
  <si>
    <t>TM仕入先.仕入先名2</t>
    <rPh sb="6" eb="10">
      <t>シイレサキメイ</t>
    </rPh>
    <phoneticPr fontId="2"/>
  </si>
  <si>
    <t>略称</t>
    <rPh sb="0" eb="2">
      <t>リャクショウ</t>
    </rPh>
    <phoneticPr fontId="2"/>
  </si>
  <si>
    <t>TM仕入先.略称</t>
    <rPh sb="6" eb="8">
      <t>リャクショウ</t>
    </rPh>
    <phoneticPr fontId="2"/>
  </si>
  <si>
    <t>フリガナ</t>
    <phoneticPr fontId="2"/>
  </si>
  <si>
    <t>TM仕入先.フリガナ</t>
    <phoneticPr fontId="2"/>
  </si>
  <si>
    <t>郵便番号</t>
    <rPh sb="0" eb="4">
      <t>ユウビンバンゴウ</t>
    </rPh>
    <phoneticPr fontId="2"/>
  </si>
  <si>
    <t>TM仕入先.郵便番号</t>
    <rPh sb="6" eb="10">
      <t>ユウビンバンゴウ</t>
    </rPh>
    <phoneticPr fontId="2"/>
  </si>
  <si>
    <t>住所1</t>
    <rPh sb="0" eb="2">
      <t>ジュウショ</t>
    </rPh>
    <phoneticPr fontId="2"/>
  </si>
  <si>
    <t>TM仕入先.住所1</t>
    <rPh sb="6" eb="8">
      <t>ジュウショ</t>
    </rPh>
    <phoneticPr fontId="2"/>
  </si>
  <si>
    <t>住所2</t>
    <rPh sb="0" eb="2">
      <t>ジュウショ</t>
    </rPh>
    <phoneticPr fontId="2"/>
  </si>
  <si>
    <t>TM仕入先.住所2</t>
    <rPh sb="6" eb="8">
      <t>ジュウショ</t>
    </rPh>
    <phoneticPr fontId="2"/>
  </si>
  <si>
    <t>電話番号</t>
    <rPh sb="0" eb="4">
      <t>デンワバンゴウ</t>
    </rPh>
    <phoneticPr fontId="2"/>
  </si>
  <si>
    <t>TM仕入先.電話番号</t>
    <rPh sb="6" eb="10">
      <t>デンワバンゴウ</t>
    </rPh>
    <phoneticPr fontId="2"/>
  </si>
  <si>
    <t>FAX番号</t>
    <rPh sb="3" eb="5">
      <t>バンゴウ</t>
    </rPh>
    <phoneticPr fontId="2"/>
  </si>
  <si>
    <t>TM仕入先.FAX番号</t>
    <rPh sb="9" eb="11">
      <t>バンゴウ</t>
    </rPh>
    <phoneticPr fontId="2"/>
  </si>
  <si>
    <t>仕入先担当者名</t>
    <rPh sb="0" eb="2">
      <t>シイレ</t>
    </rPh>
    <rPh sb="2" eb="3">
      <t>サキ</t>
    </rPh>
    <rPh sb="3" eb="6">
      <t>タントウシャ</t>
    </rPh>
    <rPh sb="6" eb="7">
      <t>メイ</t>
    </rPh>
    <phoneticPr fontId="2"/>
  </si>
  <si>
    <t>TM仕入先.仕入先担当者名</t>
    <rPh sb="6" eb="8">
      <t>シイレ</t>
    </rPh>
    <rPh sb="8" eb="9">
      <t>サキ</t>
    </rPh>
    <rPh sb="9" eb="12">
      <t>タントウシャ</t>
    </rPh>
    <rPh sb="12" eb="13">
      <t>メイ</t>
    </rPh>
    <phoneticPr fontId="2"/>
  </si>
  <si>
    <t>担当者CD</t>
    <rPh sb="0" eb="3">
      <t>タントウシャ</t>
    </rPh>
    <phoneticPr fontId="2"/>
  </si>
  <si>
    <t>TM仕入先.担当者CD</t>
    <rPh sb="6" eb="9">
      <t>タントウシャ</t>
    </rPh>
    <phoneticPr fontId="2"/>
  </si>
  <si>
    <t>締日</t>
    <rPh sb="0" eb="2">
      <t>シメビ</t>
    </rPh>
    <phoneticPr fontId="2"/>
  </si>
  <si>
    <t>TM仕入先.締日</t>
    <rPh sb="6" eb="8">
      <t>シメビ</t>
    </rPh>
    <phoneticPr fontId="2"/>
  </si>
  <si>
    <t>決算月</t>
    <rPh sb="0" eb="3">
      <t>ケッサンツキ</t>
    </rPh>
    <phoneticPr fontId="2"/>
  </si>
  <si>
    <t>TM仕入先.決算月</t>
    <rPh sb="6" eb="9">
      <t>ケッサンツキ</t>
    </rPh>
    <phoneticPr fontId="2"/>
  </si>
  <si>
    <t>税収計区分</t>
    <rPh sb="0" eb="3">
      <t>ゼイシュウケイ</t>
    </rPh>
    <rPh sb="3" eb="5">
      <t>クブン</t>
    </rPh>
    <phoneticPr fontId="2"/>
  </si>
  <si>
    <t>TM仕入先.税収計区分</t>
    <rPh sb="6" eb="9">
      <t>ゼイシュウケイ</t>
    </rPh>
    <rPh sb="9" eb="11">
      <t>クブン</t>
    </rPh>
    <phoneticPr fontId="2"/>
  </si>
  <si>
    <t>仕入端数</t>
    <rPh sb="0" eb="4">
      <t>シイレハスウ</t>
    </rPh>
    <phoneticPr fontId="2"/>
  </si>
  <si>
    <t>TM仕入先.仕入端数</t>
    <rPh sb="6" eb="10">
      <t>シイレハスウ</t>
    </rPh>
    <phoneticPr fontId="2"/>
  </si>
  <si>
    <t>消費税端数</t>
    <rPh sb="0" eb="5">
      <t>ショウヒゼイハスウ</t>
    </rPh>
    <phoneticPr fontId="2"/>
  </si>
  <si>
    <t>TM仕入先.消費税端数</t>
    <rPh sb="6" eb="11">
      <t>ショウヒゼイハスウ</t>
    </rPh>
    <phoneticPr fontId="2"/>
  </si>
  <si>
    <t>支払サイクル</t>
    <rPh sb="0" eb="2">
      <t>シハライ</t>
    </rPh>
    <phoneticPr fontId="2"/>
  </si>
  <si>
    <t>TM仕入先.支払サイクル</t>
    <rPh sb="6" eb="8">
      <t>シハライ</t>
    </rPh>
    <phoneticPr fontId="2"/>
  </si>
  <si>
    <t>支払予定日</t>
    <rPh sb="0" eb="5">
      <t>シハライヨテイビ</t>
    </rPh>
    <phoneticPr fontId="2"/>
  </si>
  <si>
    <t>TM仕入先.支払予定日</t>
    <rPh sb="6" eb="11">
      <t>シハライヨテイビ</t>
    </rPh>
    <phoneticPr fontId="2"/>
  </si>
  <si>
    <t>支払区分CD</t>
    <rPh sb="0" eb="2">
      <t>シハライ</t>
    </rPh>
    <rPh sb="2" eb="4">
      <t>クブン</t>
    </rPh>
    <phoneticPr fontId="2"/>
  </si>
  <si>
    <t>TM仕入先.支払区分CD</t>
    <rPh sb="6" eb="8">
      <t>シハライ</t>
    </rPh>
    <rPh sb="8" eb="10">
      <t>クブン</t>
    </rPh>
    <phoneticPr fontId="2"/>
  </si>
  <si>
    <t>支払方法</t>
    <rPh sb="0" eb="4">
      <t>シハライホウホウ</t>
    </rPh>
    <phoneticPr fontId="2"/>
  </si>
  <si>
    <t>TM仕入先.支払方法</t>
    <rPh sb="6" eb="10">
      <t>シハライホウホウ</t>
    </rPh>
    <phoneticPr fontId="2"/>
  </si>
  <si>
    <t>支払様式</t>
    <rPh sb="0" eb="4">
      <t>シハライヨウシキ</t>
    </rPh>
    <phoneticPr fontId="2"/>
  </si>
  <si>
    <t>TM仕入先.支払様式</t>
    <rPh sb="6" eb="10">
      <t>シハライヨウシキ</t>
    </rPh>
    <phoneticPr fontId="2"/>
  </si>
  <si>
    <t>導入支払金額</t>
    <rPh sb="0" eb="6">
      <t>ドウニュウシハライキンガク</t>
    </rPh>
    <phoneticPr fontId="2"/>
  </si>
  <si>
    <t>TM仕入先.導入支払金額</t>
    <rPh sb="6" eb="12">
      <t>ドウニュウシハライキンガク</t>
    </rPh>
    <phoneticPr fontId="2"/>
  </si>
  <si>
    <t>導入買掛金額</t>
    <rPh sb="0" eb="2">
      <t>ドウニュウ</t>
    </rPh>
    <rPh sb="2" eb="6">
      <t>カイカケキンガク</t>
    </rPh>
    <phoneticPr fontId="2"/>
  </si>
  <si>
    <t>TM仕入先.導入買掛金額</t>
    <rPh sb="6" eb="8">
      <t>ドウニュウ</t>
    </rPh>
    <rPh sb="8" eb="12">
      <t>カイカケキンガク</t>
    </rPh>
    <phoneticPr fontId="2"/>
  </si>
  <si>
    <t>メモ</t>
    <phoneticPr fontId="2"/>
  </si>
  <si>
    <t>TM仕入先.メモ</t>
    <phoneticPr fontId="2"/>
  </si>
  <si>
    <t>最終使用日</t>
    <rPh sb="0" eb="5">
      <t>サイシュウシヨウビ</t>
    </rPh>
    <phoneticPr fontId="2"/>
  </si>
  <si>
    <t>TM仕入先.最終使用日</t>
    <rPh sb="6" eb="11">
      <t>サイシュウシヨウビ</t>
    </rPh>
    <phoneticPr fontId="2"/>
  </si>
  <si>
    <t>インボイス登録番号</t>
    <rPh sb="5" eb="9">
      <t>トウロクバンゴウ</t>
    </rPh>
    <phoneticPr fontId="2"/>
  </si>
  <si>
    <t>TM仕入先.インボイス登録番号</t>
    <rPh sb="11" eb="15">
      <t>トウロクバンゴウ</t>
    </rPh>
    <phoneticPr fontId="2"/>
  </si>
  <si>
    <t>登録変更日</t>
    <rPh sb="0" eb="2">
      <t>トウロク</t>
    </rPh>
    <rPh sb="2" eb="4">
      <t>ヘンコウ</t>
    </rPh>
    <rPh sb="4" eb="5">
      <t>ビ</t>
    </rPh>
    <phoneticPr fontId="2"/>
  </si>
  <si>
    <t>TM仕入先.登録変更日</t>
    <rPh sb="6" eb="8">
      <t>トウロク</t>
    </rPh>
    <rPh sb="8" eb="10">
      <t>ヘンコウ</t>
    </rPh>
    <rPh sb="10" eb="11">
      <t>ビ</t>
    </rPh>
    <phoneticPr fontId="2"/>
  </si>
  <si>
    <t>FROM TM仕入先</t>
    <phoneticPr fontId="2"/>
  </si>
  <si>
    <t>取込エラーリスト</t>
    <rPh sb="0" eb="2">
      <t>トリコミ</t>
    </rPh>
    <phoneticPr fontId="2"/>
  </si>
  <si>
    <t>金額</t>
    <rPh sb="0" eb="2">
      <t>キンガク</t>
    </rPh>
    <phoneticPr fontId="2"/>
  </si>
  <si>
    <t>摘要</t>
    <rPh sb="0" eb="2">
      <t>テキヨウ</t>
    </rPh>
    <phoneticPr fontId="2"/>
  </si>
  <si>
    <t>9999/99/99</t>
    <phoneticPr fontId="2"/>
  </si>
  <si>
    <t>作成日:</t>
    <rPh sb="0" eb="2">
      <t>サクセイ</t>
    </rPh>
    <rPh sb="2" eb="3">
      <t>ビ</t>
    </rPh>
    <phoneticPr fontId="2"/>
  </si>
  <si>
    <t xml:space="preserve">Page:  /  </t>
    <phoneticPr fontId="2"/>
  </si>
  <si>
    <t>WWWWWWWWWWWWWWWWWW</t>
    <phoneticPr fontId="2"/>
  </si>
  <si>
    <t>支払取込エラー条件</t>
    <rPh sb="0" eb="3">
      <t>シハライト</t>
    </rPh>
    <rPh sb="3" eb="4">
      <t>コ</t>
    </rPh>
    <rPh sb="7" eb="9">
      <t>ジョウケン</t>
    </rPh>
    <phoneticPr fontId="2"/>
  </si>
  <si>
    <t>エラー条件</t>
    <rPh sb="3" eb="5">
      <t>ジョウケン</t>
    </rPh>
    <phoneticPr fontId="2"/>
  </si>
  <si>
    <t>エラー条件の認識合わせ</t>
    <rPh sb="3" eb="5">
      <t>ジョウケン</t>
    </rPh>
    <rPh sb="6" eb="9">
      <t>ニンシキア</t>
    </rPh>
    <phoneticPr fontId="2"/>
  </si>
  <si>
    <t>エラー条件</t>
    <rPh sb="3" eb="5">
      <t>ジョウケン</t>
    </rPh>
    <phoneticPr fontId="2"/>
  </si>
  <si>
    <t>空</t>
    <rPh sb="0" eb="1">
      <t>カラ</t>
    </rPh>
    <phoneticPr fontId="2"/>
  </si>
  <si>
    <t>TM仕入先.仕入先CDに存在しないCD</t>
    <rPh sb="2" eb="5">
      <t>シイレサキ</t>
    </rPh>
    <rPh sb="6" eb="9">
      <t>シイレサキ</t>
    </rPh>
    <rPh sb="12" eb="14">
      <t>ソンザイ</t>
    </rPh>
    <phoneticPr fontId="2"/>
  </si>
  <si>
    <t>空 or 0未満(マイナスの値)</t>
    <rPh sb="0" eb="1">
      <t>カラ</t>
    </rPh>
    <rPh sb="6" eb="8">
      <t>ミマン</t>
    </rPh>
    <rPh sb="14" eb="15">
      <t>アタイ</t>
    </rPh>
    <phoneticPr fontId="2"/>
  </si>
  <si>
    <t>実在しない日付</t>
    <rPh sb="0" eb="2">
      <t>ジツザイ</t>
    </rPh>
    <rPh sb="5" eb="7">
      <t>ヒヅケ</t>
    </rPh>
    <phoneticPr fontId="2"/>
  </si>
  <si>
    <t>取込CSV.2列目</t>
    <rPh sb="0" eb="2">
      <t>トリコミ</t>
    </rPh>
    <phoneticPr fontId="1"/>
  </si>
  <si>
    <t>取込CSV.1列目</t>
    <phoneticPr fontId="1"/>
  </si>
  <si>
    <t>取込CSV.3列目</t>
    <rPh sb="7" eb="9">
      <t>レツメ</t>
    </rPh>
    <phoneticPr fontId="1"/>
  </si>
  <si>
    <t>WHERE 仕入先CD = [取込CSV.1列目]</t>
    <phoneticPr fontId="2"/>
  </si>
  <si>
    <t>SQL1.略称</t>
    <rPh sb="5" eb="7">
      <t>リャクショウ</t>
    </rPh>
    <phoneticPr fontId="1"/>
  </si>
  <si>
    <t>〇</t>
    <phoneticPr fontId="2"/>
  </si>
  <si>
    <t>A4縦</t>
    <rPh sb="2" eb="3">
      <t>タテ</t>
    </rPh>
    <phoneticPr fontId="2"/>
  </si>
  <si>
    <t>受発注システム</t>
    <phoneticPr fontId="2"/>
  </si>
  <si>
    <t>システム分類</t>
    <phoneticPr fontId="2"/>
  </si>
  <si>
    <t>大谷</t>
    <rPh sb="0" eb="2">
      <t>オオタニ</t>
    </rPh>
    <phoneticPr fontId="2"/>
  </si>
  <si>
    <t>受発注</t>
    <rPh sb="0" eb="3">
      <t>ジュハッチュウ</t>
    </rPh>
    <phoneticPr fontId="2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</si>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</sst>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12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13" fillId="0" borderId="0">
      <alignment vertical="center"/>
    </xf>
  </cellStyleXfs>
  <cellXfs count="21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11" fillId="0" borderId="0" xfId="0" applyFont="1">
      <alignment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0" fillId="0" borderId="36" xfId="0" applyBorder="1">
      <alignment vertical="center"/>
    </xf>
    <xf numFmtId="0" fontId="3" fillId="2" borderId="69" xfId="0" applyFont="1" applyFill="1" applyBorder="1" applyAlignment="1">
      <alignment horizontal="center" vertical="center"/>
    </xf>
    <xf numFmtId="0" fontId="0" fillId="0" borderId="40" xfId="0" applyBorder="1">
      <alignment vertical="center"/>
    </xf>
    <xf numFmtId="0" fontId="3" fillId="2" borderId="5" xfId="0" applyFont="1" applyFill="1" applyBorder="1" applyAlignment="1">
      <alignment horizontal="left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6" xfId="0" applyFont="1" applyFill="1" applyBorder="1" applyAlignment="1">
      <alignment horizontal="center" vertical="center"/>
    </xf>
  </cellXfs>
  <cellStyles count="3">
    <cellStyle name="標準" xfId="0" builtinId="0"/>
    <cellStyle name="標準 2" xfId="2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152401</xdr:colOff>
      <xdr:row>9</xdr:row>
      <xdr:rowOff>44823</xdr:rowOff>
    </xdr:from>
    <xdr:to>
      <xdr:col>56</xdr:col>
      <xdr:colOff>71718</xdr:colOff>
      <xdr:row>24</xdr:row>
      <xdr:rowOff>185996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6330" y="1927411"/>
          <a:ext cx="12980894" cy="3906350"/>
        </a:xfrm>
        <a:prstGeom prst="rect">
          <a:avLst/>
        </a:prstGeom>
      </xdr:spPr>
    </xdr:pic>
    <xdr:clientData/>
  </xdr:twoCellAnchor>
  <xdr:twoCellAnchor>
    <xdr:from>
      <xdr:col>30</xdr:col>
      <xdr:colOff>80682</xdr:colOff>
      <xdr:row>11</xdr:row>
      <xdr:rowOff>107574</xdr:rowOff>
    </xdr:from>
    <xdr:to>
      <xdr:col>31</xdr:col>
      <xdr:colOff>143434</xdr:colOff>
      <xdr:row>12</xdr:row>
      <xdr:rowOff>179292</xdr:rowOff>
    </xdr:to>
    <xdr:sp macro="" textlink="">
      <xdr:nvSpPr>
        <xdr:cNvPr id="5" name="正方形/長方形 4"/>
        <xdr:cNvSpPr/>
      </xdr:nvSpPr>
      <xdr:spPr>
        <a:xfrm>
          <a:off x="8220635" y="249218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152399</xdr:colOff>
      <xdr:row>17</xdr:row>
      <xdr:rowOff>26894</xdr:rowOff>
    </xdr:from>
    <xdr:to>
      <xdr:col>12</xdr:col>
      <xdr:colOff>215151</xdr:colOff>
      <xdr:row>18</xdr:row>
      <xdr:rowOff>98612</xdr:rowOff>
    </xdr:to>
    <xdr:sp macro="" textlink="">
      <xdr:nvSpPr>
        <xdr:cNvPr id="6" name="正方形/長方形 5"/>
        <xdr:cNvSpPr/>
      </xdr:nvSpPr>
      <xdr:spPr>
        <a:xfrm>
          <a:off x="3012140" y="391757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8965</xdr:colOff>
      <xdr:row>17</xdr:row>
      <xdr:rowOff>26893</xdr:rowOff>
    </xdr:from>
    <xdr:to>
      <xdr:col>21</xdr:col>
      <xdr:colOff>71717</xdr:colOff>
      <xdr:row>18</xdr:row>
      <xdr:rowOff>98611</xdr:rowOff>
    </xdr:to>
    <xdr:sp macro="" textlink="">
      <xdr:nvSpPr>
        <xdr:cNvPr id="7" name="正方形/長方形 6"/>
        <xdr:cNvSpPr/>
      </xdr:nvSpPr>
      <xdr:spPr>
        <a:xfrm>
          <a:off x="5369859" y="391757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26</xdr:col>
      <xdr:colOff>233079</xdr:colOff>
      <xdr:row>17</xdr:row>
      <xdr:rowOff>35860</xdr:rowOff>
    </xdr:from>
    <xdr:to>
      <xdr:col>28</xdr:col>
      <xdr:colOff>17925</xdr:colOff>
      <xdr:row>18</xdr:row>
      <xdr:rowOff>107578</xdr:rowOff>
    </xdr:to>
    <xdr:sp macro="" textlink="">
      <xdr:nvSpPr>
        <xdr:cNvPr id="8" name="正方形/長方形 7"/>
        <xdr:cNvSpPr/>
      </xdr:nvSpPr>
      <xdr:spPr>
        <a:xfrm>
          <a:off x="7261408" y="392654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36</xdr:col>
      <xdr:colOff>107577</xdr:colOff>
      <xdr:row>17</xdr:row>
      <xdr:rowOff>26893</xdr:rowOff>
    </xdr:from>
    <xdr:to>
      <xdr:col>37</xdr:col>
      <xdr:colOff>170329</xdr:colOff>
      <xdr:row>18</xdr:row>
      <xdr:rowOff>98611</xdr:rowOff>
    </xdr:to>
    <xdr:sp macro="" textlink="">
      <xdr:nvSpPr>
        <xdr:cNvPr id="9" name="正方形/長方形 8"/>
        <xdr:cNvSpPr/>
      </xdr:nvSpPr>
      <xdr:spPr>
        <a:xfrm>
          <a:off x="9914965" y="391757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297180</xdr:colOff>
      <xdr:row>9</xdr:row>
      <xdr:rowOff>213056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9685020" cy="20418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563880</xdr:colOff>
      <xdr:row>2</xdr:row>
      <xdr:rowOff>38100</xdr:rowOff>
    </xdr:from>
    <xdr:to>
      <xdr:col>9</xdr:col>
      <xdr:colOff>426719</xdr:colOff>
      <xdr:row>20</xdr:row>
      <xdr:rowOff>53340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9160" y="510540"/>
          <a:ext cx="3215639" cy="4152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310172</xdr:colOff>
      <xdr:row>40</xdr:row>
      <xdr:rowOff>115560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215" y="228600"/>
          <a:ext cx="6992326" cy="9030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63" t="s">
        <v>0</v>
      </c>
      <c r="C2" s="146"/>
      <c r="D2" s="146"/>
      <c r="E2" s="146"/>
      <c r="F2" s="146"/>
      <c r="G2" s="146"/>
      <c r="H2" s="146" t="s">
        <v>16</v>
      </c>
      <c r="I2" s="146"/>
      <c r="J2" s="146"/>
      <c r="K2" s="146"/>
      <c r="L2" s="146" t="s">
        <v>186</v>
      </c>
      <c r="M2" s="146"/>
      <c r="N2" s="146"/>
      <c r="O2" s="146"/>
      <c r="P2" s="146"/>
      <c r="Q2" s="146"/>
      <c r="R2" s="146" t="s">
        <v>2</v>
      </c>
      <c r="S2" s="146"/>
      <c r="T2" s="146"/>
      <c r="U2" s="146"/>
      <c r="V2" s="146"/>
      <c r="W2" s="146"/>
      <c r="X2" s="158" t="s">
        <v>3</v>
      </c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60"/>
      <c r="AK2" s="158" t="s">
        <v>30</v>
      </c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59"/>
      <c r="AW2" s="160"/>
      <c r="AX2" s="146" t="s">
        <v>5</v>
      </c>
      <c r="AY2" s="146"/>
      <c r="AZ2" s="146"/>
      <c r="BA2" s="146"/>
      <c r="BB2" s="146" t="s">
        <v>4</v>
      </c>
      <c r="BC2" s="146"/>
      <c r="BD2" s="146"/>
      <c r="BE2" s="146"/>
      <c r="BF2" s="146" t="s">
        <v>6</v>
      </c>
      <c r="BG2" s="146"/>
      <c r="BH2" s="146"/>
      <c r="BI2" s="146"/>
      <c r="BJ2" s="146" t="s">
        <v>7</v>
      </c>
      <c r="BK2" s="146"/>
      <c r="BL2" s="146"/>
      <c r="BM2" s="147"/>
      <c r="BN2" s="14"/>
    </row>
    <row r="3" spans="1:66" ht="20.100000000000001" customHeight="1" x14ac:dyDescent="0.45">
      <c r="A3" s="8"/>
      <c r="B3" s="161" t="s">
        <v>185</v>
      </c>
      <c r="C3" s="149"/>
      <c r="D3" s="149"/>
      <c r="E3" s="149"/>
      <c r="F3" s="149"/>
      <c r="G3" s="149"/>
      <c r="H3" s="149" t="str">
        <f ca="1">LEFT($X$3,FIND("_",$X$3)-1)</f>
        <v>SS0700</v>
      </c>
      <c r="I3" s="149"/>
      <c r="J3" s="149"/>
      <c r="K3" s="149"/>
      <c r="L3" s="149" t="s">
        <v>188</v>
      </c>
      <c r="M3" s="149"/>
      <c r="N3" s="149"/>
      <c r="O3" s="149"/>
      <c r="P3" s="149"/>
      <c r="Q3" s="149"/>
      <c r="R3" s="162" t="str">
        <f ca="1">MID($X$3,FIND("_",$X$3,FIND("_",$X$3)+1)+1,LEN($X$3)-FIND("_",$X$3,FIND("_",$X$3)+1))</f>
        <v>帳票設計書</v>
      </c>
      <c r="S3" s="149"/>
      <c r="T3" s="149"/>
      <c r="U3" s="149"/>
      <c r="V3" s="149"/>
      <c r="W3" s="149"/>
      <c r="X3" s="152" t="str">
        <f ca="1">REPLACE(LEFT(CELL("filename",$B$2),FIND(".x",CELL("filename",$B$2))-1),1,FIND("[",CELL("filename",$B$2)),)</f>
        <v>SS0700_支払取込エラーリスト_帳票設計書</v>
      </c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4"/>
      <c r="AK3" s="152" t="str">
        <f ca="1">MID($X$3,FIND("_",$X$3)+1,FIND("_",$X$3,FIND("_",$X$3)+1)-FIND("_",$X$3)-1)</f>
        <v>支払取込エラーリスト</v>
      </c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4"/>
      <c r="AX3" s="148">
        <v>45583</v>
      </c>
      <c r="AY3" s="149"/>
      <c r="AZ3" s="149"/>
      <c r="BA3" s="149"/>
      <c r="BB3" s="149" t="s">
        <v>187</v>
      </c>
      <c r="BC3" s="149"/>
      <c r="BD3" s="149"/>
      <c r="BE3" s="149"/>
      <c r="BF3" s="148">
        <v>45583</v>
      </c>
      <c r="BG3" s="149"/>
      <c r="BH3" s="149"/>
      <c r="BI3" s="149"/>
      <c r="BJ3" s="149" t="s">
        <v>187</v>
      </c>
      <c r="BK3" s="149"/>
      <c r="BL3" s="149"/>
      <c r="BM3" s="151"/>
      <c r="BN3" s="14"/>
    </row>
    <row r="4" spans="1:66" ht="20.100000000000001" customHeight="1" thickBot="1" x14ac:dyDescent="0.5">
      <c r="A4" s="8"/>
      <c r="B4" s="154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5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7"/>
      <c r="AK4" s="155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7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  <c r="BM4" s="152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45" t="s">
        <v>8</v>
      </c>
      <c r="D8" s="145"/>
      <c r="E8" s="145"/>
      <c r="F8" s="145"/>
      <c r="G8" s="145" t="s">
        <v>9</v>
      </c>
      <c r="H8" s="145"/>
      <c r="I8" s="145"/>
      <c r="J8" s="145"/>
      <c r="K8" s="145" t="s">
        <v>10</v>
      </c>
      <c r="L8" s="145"/>
      <c r="M8" s="145"/>
      <c r="N8" s="145"/>
      <c r="O8" s="145" t="s">
        <v>11</v>
      </c>
      <c r="P8" s="145"/>
      <c r="Q8" s="145"/>
      <c r="R8" s="145"/>
      <c r="S8" s="145"/>
      <c r="T8" s="145"/>
      <c r="U8" s="145"/>
      <c r="V8" s="145"/>
      <c r="W8" s="145"/>
      <c r="X8" s="145"/>
      <c r="Y8" s="145" t="s">
        <v>12</v>
      </c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7"/>
      <c r="BN8" s="14"/>
    </row>
    <row r="9" spans="1:66" ht="20.100000000000001" customHeight="1" x14ac:dyDescent="0.45">
      <c r="A9" s="8"/>
      <c r="B9" s="7"/>
      <c r="C9" s="144">
        <v>45583</v>
      </c>
      <c r="D9" s="142"/>
      <c r="E9" s="142"/>
      <c r="F9" s="143"/>
      <c r="G9" s="138" t="s">
        <v>15</v>
      </c>
      <c r="H9" s="139"/>
      <c r="I9" s="139"/>
      <c r="J9" s="140"/>
      <c r="K9" s="141" t="s">
        <v>187</v>
      </c>
      <c r="L9" s="142"/>
      <c r="M9" s="142"/>
      <c r="N9" s="143"/>
      <c r="O9" s="137" t="s">
        <v>189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44"/>
      <c r="D10" s="142"/>
      <c r="E10" s="142"/>
      <c r="F10" s="143"/>
      <c r="G10" s="138"/>
      <c r="H10" s="139"/>
      <c r="I10" s="139"/>
      <c r="J10" s="140"/>
      <c r="K10" s="141"/>
      <c r="L10" s="142"/>
      <c r="M10" s="142"/>
      <c r="N10" s="143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44"/>
      <c r="D11" s="142"/>
      <c r="E11" s="142"/>
      <c r="F11" s="143"/>
      <c r="G11" s="138"/>
      <c r="H11" s="139"/>
      <c r="I11" s="139"/>
      <c r="J11" s="140"/>
      <c r="K11" s="141"/>
      <c r="L11" s="142"/>
      <c r="M11" s="142"/>
      <c r="N11" s="143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44"/>
      <c r="D36" s="142"/>
      <c r="E36" s="142"/>
      <c r="F36" s="143"/>
      <c r="G36" s="138"/>
      <c r="H36" s="139"/>
      <c r="I36" s="139"/>
      <c r="J36" s="140"/>
      <c r="K36" s="141"/>
      <c r="L36" s="142"/>
      <c r="M36" s="142"/>
      <c r="N36" s="143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44"/>
      <c r="D37" s="142"/>
      <c r="E37" s="142"/>
      <c r="F37" s="143"/>
      <c r="G37" s="138"/>
      <c r="H37" s="139"/>
      <c r="I37" s="139"/>
      <c r="J37" s="140"/>
      <c r="K37" s="141"/>
      <c r="L37" s="142"/>
      <c r="M37" s="142"/>
      <c r="N37" s="143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44"/>
      <c r="D38" s="142"/>
      <c r="E38" s="142"/>
      <c r="F38" s="143"/>
      <c r="G38" s="138"/>
      <c r="H38" s="139"/>
      <c r="I38" s="139"/>
      <c r="J38" s="140"/>
      <c r="K38" s="141"/>
      <c r="L38" s="142"/>
      <c r="M38" s="142"/>
      <c r="N38" s="143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44"/>
      <c r="D39" s="142"/>
      <c r="E39" s="142"/>
      <c r="F39" s="143"/>
      <c r="G39" s="138"/>
      <c r="H39" s="139"/>
      <c r="I39" s="139"/>
      <c r="J39" s="140"/>
      <c r="K39" s="141"/>
      <c r="L39" s="142"/>
      <c r="M39" s="142"/>
      <c r="N39" s="143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44"/>
      <c r="D40" s="142"/>
      <c r="E40" s="142"/>
      <c r="F40" s="143"/>
      <c r="G40" s="138"/>
      <c r="H40" s="139"/>
      <c r="I40" s="139"/>
      <c r="J40" s="140"/>
      <c r="K40" s="141"/>
      <c r="L40" s="142"/>
      <c r="M40" s="142"/>
      <c r="N40" s="143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44"/>
      <c r="D41" s="142"/>
      <c r="E41" s="142"/>
      <c r="F41" s="143"/>
      <c r="G41" s="138"/>
      <c r="H41" s="139"/>
      <c r="I41" s="139"/>
      <c r="J41" s="140"/>
      <c r="K41" s="141"/>
      <c r="L41" s="142"/>
      <c r="M41" s="142"/>
      <c r="N41" s="143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44"/>
      <c r="D42" s="142"/>
      <c r="E42" s="142"/>
      <c r="F42" s="143"/>
      <c r="G42" s="138"/>
      <c r="H42" s="139"/>
      <c r="I42" s="139"/>
      <c r="J42" s="140"/>
      <c r="K42" s="141"/>
      <c r="L42" s="142"/>
      <c r="M42" s="142"/>
      <c r="N42" s="143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44"/>
      <c r="D43" s="142"/>
      <c r="E43" s="142"/>
      <c r="F43" s="143"/>
      <c r="G43" s="138"/>
      <c r="H43" s="139"/>
      <c r="I43" s="139"/>
      <c r="J43" s="140"/>
      <c r="K43" s="141"/>
      <c r="L43" s="142"/>
      <c r="M43" s="142"/>
      <c r="N43" s="143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44"/>
      <c r="D44" s="142"/>
      <c r="E44" s="142"/>
      <c r="F44" s="143"/>
      <c r="G44" s="138"/>
      <c r="H44" s="139"/>
      <c r="I44" s="139"/>
      <c r="J44" s="140"/>
      <c r="K44" s="141"/>
      <c r="L44" s="142"/>
      <c r="M44" s="142"/>
      <c r="N44" s="143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44"/>
      <c r="D45" s="142"/>
      <c r="E45" s="142"/>
      <c r="F45" s="143"/>
      <c r="G45" s="138"/>
      <c r="H45" s="139"/>
      <c r="I45" s="139"/>
      <c r="J45" s="140"/>
      <c r="K45" s="141"/>
      <c r="L45" s="142"/>
      <c r="M45" s="142"/>
      <c r="N45" s="143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44"/>
      <c r="D46" s="142"/>
      <c r="E46" s="142"/>
      <c r="F46" s="143"/>
      <c r="G46" s="138"/>
      <c r="H46" s="139"/>
      <c r="I46" s="139"/>
      <c r="J46" s="140"/>
      <c r="K46" s="141"/>
      <c r="L46" s="142"/>
      <c r="M46" s="142"/>
      <c r="N46" s="143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44"/>
      <c r="D47" s="142"/>
      <c r="E47" s="142"/>
      <c r="F47" s="143"/>
      <c r="G47" s="138"/>
      <c r="H47" s="139"/>
      <c r="I47" s="139"/>
      <c r="J47" s="140"/>
      <c r="K47" s="141"/>
      <c r="L47" s="142"/>
      <c r="M47" s="142"/>
      <c r="N47" s="143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63" t="s">
        <v>0</v>
      </c>
      <c r="C2" s="146"/>
      <c r="D2" s="146"/>
      <c r="E2" s="146"/>
      <c r="F2" s="146"/>
      <c r="G2" s="146"/>
      <c r="H2" s="146" t="s">
        <v>16</v>
      </c>
      <c r="I2" s="146"/>
      <c r="J2" s="146"/>
      <c r="K2" s="146"/>
      <c r="L2" s="146" t="s">
        <v>186</v>
      </c>
      <c r="M2" s="146"/>
      <c r="N2" s="146"/>
      <c r="O2" s="146"/>
      <c r="P2" s="146"/>
      <c r="Q2" s="146"/>
      <c r="R2" s="146" t="s">
        <v>2</v>
      </c>
      <c r="S2" s="146"/>
      <c r="T2" s="146"/>
      <c r="U2" s="146"/>
      <c r="V2" s="146"/>
      <c r="W2" s="146"/>
      <c r="X2" s="158" t="s">
        <v>3</v>
      </c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60"/>
      <c r="AK2" s="158" t="s">
        <v>31</v>
      </c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59"/>
      <c r="AW2" s="160"/>
      <c r="AX2" s="146" t="s">
        <v>5</v>
      </c>
      <c r="AY2" s="146"/>
      <c r="AZ2" s="146"/>
      <c r="BA2" s="146"/>
      <c r="BB2" s="146" t="s">
        <v>4</v>
      </c>
      <c r="BC2" s="146"/>
      <c r="BD2" s="146"/>
      <c r="BE2" s="146"/>
      <c r="BF2" s="146" t="s">
        <v>6</v>
      </c>
      <c r="BG2" s="146"/>
      <c r="BH2" s="146"/>
      <c r="BI2" s="146"/>
      <c r="BJ2" s="146" t="s">
        <v>7</v>
      </c>
      <c r="BK2" s="146"/>
      <c r="BL2" s="146"/>
      <c r="BM2" s="147"/>
      <c r="BN2" s="35"/>
    </row>
    <row r="3" spans="1:66" ht="20.100000000000001" customHeight="1" x14ac:dyDescent="0.45">
      <c r="A3" s="32"/>
      <c r="B3" s="161" t="str">
        <f>変更履歴!B3</f>
        <v>受発注システム</v>
      </c>
      <c r="C3" s="149"/>
      <c r="D3" s="149"/>
      <c r="E3" s="149"/>
      <c r="F3" s="149"/>
      <c r="G3" s="149"/>
      <c r="H3" s="149" t="str">
        <f ca="1">変更履歴!H3</f>
        <v>SS0700</v>
      </c>
      <c r="I3" s="149"/>
      <c r="J3" s="149"/>
      <c r="K3" s="149"/>
      <c r="L3" s="149" t="str">
        <f>変更履歴!L3</f>
        <v>受発注</v>
      </c>
      <c r="M3" s="149"/>
      <c r="N3" s="149"/>
      <c r="O3" s="149"/>
      <c r="P3" s="149"/>
      <c r="Q3" s="149"/>
      <c r="R3" s="149" t="str">
        <f ca="1">変更履歴!R3</f>
        <v>帳票設計書</v>
      </c>
      <c r="S3" s="149"/>
      <c r="T3" s="149"/>
      <c r="U3" s="149"/>
      <c r="V3" s="149"/>
      <c r="W3" s="149"/>
      <c r="X3" s="152" t="str">
        <f ca="1">変更履歴!X3</f>
        <v>SS0700_支払取込エラーリスト_帳票設計書</v>
      </c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4"/>
      <c r="AK3" s="152" t="str">
        <f ca="1">変更履歴!AK3</f>
        <v>支払取込エラーリスト</v>
      </c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4"/>
      <c r="AX3" s="148">
        <f>変更履歴!AX3</f>
        <v>45583</v>
      </c>
      <c r="AY3" s="148"/>
      <c r="AZ3" s="148"/>
      <c r="BA3" s="148"/>
      <c r="BB3" s="149" t="str">
        <f>変更履歴!BB3</f>
        <v>大谷</v>
      </c>
      <c r="BC3" s="149"/>
      <c r="BD3" s="149"/>
      <c r="BE3" s="149"/>
      <c r="BF3" s="148">
        <f>変更履歴!BF3</f>
        <v>45583</v>
      </c>
      <c r="BG3" s="148"/>
      <c r="BH3" s="148"/>
      <c r="BI3" s="148"/>
      <c r="BJ3" s="149" t="str">
        <f>変更履歴!BJ3</f>
        <v>大谷</v>
      </c>
      <c r="BK3" s="149"/>
      <c r="BL3" s="149"/>
      <c r="BM3" s="151"/>
      <c r="BN3" s="35"/>
    </row>
    <row r="4" spans="1:66" ht="20.100000000000001" customHeight="1" thickBot="1" x14ac:dyDescent="0.5">
      <c r="A4" s="32"/>
      <c r="B4" s="154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5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7"/>
      <c r="AK4" s="155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7"/>
      <c r="AX4" s="164"/>
      <c r="AY4" s="164"/>
      <c r="AZ4" s="164"/>
      <c r="BA4" s="164"/>
      <c r="BB4" s="150"/>
      <c r="BC4" s="150"/>
      <c r="BD4" s="150"/>
      <c r="BE4" s="150"/>
      <c r="BF4" s="164"/>
      <c r="BG4" s="164"/>
      <c r="BH4" s="164"/>
      <c r="BI4" s="164"/>
      <c r="BJ4" s="150"/>
      <c r="BK4" s="150"/>
      <c r="BL4" s="150"/>
      <c r="BM4" s="152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21</v>
      </c>
      <c r="E7" s="47"/>
      <c r="F7" s="47"/>
      <c r="G7" s="67"/>
      <c r="H7" s="48" t="str">
        <f ca="1">AK3</f>
        <v>支払取込エラーリスト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24</v>
      </c>
      <c r="E8" s="50"/>
      <c r="F8" s="50"/>
      <c r="G8" s="56"/>
      <c r="H8" s="51" t="s">
        <v>87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22</v>
      </c>
      <c r="E9" s="50"/>
      <c r="F9" s="50"/>
      <c r="G9" s="56"/>
      <c r="H9" s="51" t="s">
        <v>88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25</v>
      </c>
      <c r="E10" s="50"/>
      <c r="F10" s="50"/>
      <c r="G10" s="56"/>
      <c r="H10" s="54" t="s">
        <v>89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26</v>
      </c>
      <c r="E11" s="50"/>
      <c r="F11" s="50"/>
      <c r="G11" s="56"/>
      <c r="H11" s="54" t="s">
        <v>87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27</v>
      </c>
      <c r="E12" s="50"/>
      <c r="F12" s="50"/>
      <c r="G12" s="56"/>
      <c r="H12" s="54" t="s">
        <v>87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28</v>
      </c>
      <c r="E13" s="50"/>
      <c r="F13" s="50"/>
      <c r="G13" s="56"/>
      <c r="H13" s="54" t="s">
        <v>87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29</v>
      </c>
      <c r="E14" s="50"/>
      <c r="F14" s="50"/>
      <c r="G14" s="56"/>
      <c r="H14" s="51" t="s">
        <v>87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43</v>
      </c>
      <c r="E15" s="50"/>
      <c r="F15" s="50"/>
      <c r="G15" s="56"/>
      <c r="H15" s="54" t="s">
        <v>184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20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63" t="s">
        <v>0</v>
      </c>
      <c r="C2" s="146"/>
      <c r="D2" s="146"/>
      <c r="E2" s="146"/>
      <c r="F2" s="146"/>
      <c r="G2" s="146"/>
      <c r="H2" s="146" t="s">
        <v>16</v>
      </c>
      <c r="I2" s="146"/>
      <c r="J2" s="146"/>
      <c r="K2" s="146"/>
      <c r="L2" s="146" t="s">
        <v>186</v>
      </c>
      <c r="M2" s="146"/>
      <c r="N2" s="146"/>
      <c r="O2" s="146"/>
      <c r="P2" s="146"/>
      <c r="Q2" s="146"/>
      <c r="R2" s="146" t="s">
        <v>2</v>
      </c>
      <c r="S2" s="146"/>
      <c r="T2" s="146"/>
      <c r="U2" s="146"/>
      <c r="V2" s="146"/>
      <c r="W2" s="146"/>
      <c r="X2" s="158" t="s">
        <v>3</v>
      </c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60"/>
      <c r="AK2" s="158" t="s">
        <v>31</v>
      </c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59"/>
      <c r="AW2" s="160"/>
      <c r="AX2" s="146" t="s">
        <v>5</v>
      </c>
      <c r="AY2" s="146"/>
      <c r="AZ2" s="146"/>
      <c r="BA2" s="146"/>
      <c r="BB2" s="146" t="s">
        <v>4</v>
      </c>
      <c r="BC2" s="146"/>
      <c r="BD2" s="146"/>
      <c r="BE2" s="146"/>
      <c r="BF2" s="146" t="s">
        <v>6</v>
      </c>
      <c r="BG2" s="146"/>
      <c r="BH2" s="146"/>
      <c r="BI2" s="146"/>
      <c r="BJ2" s="146" t="s">
        <v>7</v>
      </c>
      <c r="BK2" s="146"/>
      <c r="BL2" s="146"/>
      <c r="BM2" s="147"/>
      <c r="BN2" s="15"/>
    </row>
    <row r="3" spans="1:66" ht="20.100000000000001" customHeight="1" x14ac:dyDescent="0.45">
      <c r="A3" s="9"/>
      <c r="B3" s="161" t="str">
        <f>変更履歴!B3</f>
        <v>受発注システム</v>
      </c>
      <c r="C3" s="149"/>
      <c r="D3" s="149"/>
      <c r="E3" s="149"/>
      <c r="F3" s="149"/>
      <c r="G3" s="149"/>
      <c r="H3" s="149" t="str">
        <f ca="1">変更履歴!H3</f>
        <v>SS0700</v>
      </c>
      <c r="I3" s="149"/>
      <c r="J3" s="149"/>
      <c r="K3" s="149"/>
      <c r="L3" s="149" t="str">
        <f>変更履歴!L3</f>
        <v>受発注</v>
      </c>
      <c r="M3" s="149"/>
      <c r="N3" s="149"/>
      <c r="O3" s="149"/>
      <c r="P3" s="149"/>
      <c r="Q3" s="149"/>
      <c r="R3" s="149" t="str">
        <f ca="1">変更履歴!R3</f>
        <v>帳票設計書</v>
      </c>
      <c r="S3" s="149"/>
      <c r="T3" s="149"/>
      <c r="U3" s="149"/>
      <c r="V3" s="149"/>
      <c r="W3" s="149"/>
      <c r="X3" s="152" t="str">
        <f ca="1">変更履歴!X3</f>
        <v>SS0700_支払取込エラーリスト_帳票設計書</v>
      </c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4"/>
      <c r="AK3" s="152" t="str">
        <f ca="1">変更履歴!AK3</f>
        <v>支払取込エラーリスト</v>
      </c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4"/>
      <c r="AX3" s="148">
        <f>変更履歴!AX3</f>
        <v>45583</v>
      </c>
      <c r="AY3" s="148"/>
      <c r="AZ3" s="148"/>
      <c r="BA3" s="148"/>
      <c r="BB3" s="149" t="str">
        <f>変更履歴!BB3</f>
        <v>大谷</v>
      </c>
      <c r="BC3" s="149"/>
      <c r="BD3" s="149"/>
      <c r="BE3" s="149"/>
      <c r="BF3" s="148">
        <f>変更履歴!BF3</f>
        <v>45583</v>
      </c>
      <c r="BG3" s="148"/>
      <c r="BH3" s="148"/>
      <c r="BI3" s="148"/>
      <c r="BJ3" s="149" t="str">
        <f>変更履歴!BJ3</f>
        <v>大谷</v>
      </c>
      <c r="BK3" s="149"/>
      <c r="BL3" s="149"/>
      <c r="BM3" s="151"/>
      <c r="BN3" s="15"/>
    </row>
    <row r="4" spans="1:66" ht="20.100000000000001" customHeight="1" thickBot="1" x14ac:dyDescent="0.5">
      <c r="A4" s="9"/>
      <c r="B4" s="154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5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7"/>
      <c r="AK4" s="155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7"/>
      <c r="AX4" s="164"/>
      <c r="AY4" s="164"/>
      <c r="AZ4" s="164"/>
      <c r="BA4" s="164"/>
      <c r="BB4" s="150"/>
      <c r="BC4" s="150"/>
      <c r="BD4" s="150"/>
      <c r="BE4" s="150"/>
      <c r="BF4" s="164"/>
      <c r="BG4" s="164"/>
      <c r="BH4" s="164"/>
      <c r="BI4" s="164"/>
      <c r="BJ4" s="150"/>
      <c r="BK4" s="150"/>
      <c r="BL4" s="150"/>
      <c r="BM4" s="152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63" t="s">
        <v>0</v>
      </c>
      <c r="C2" s="146"/>
      <c r="D2" s="146"/>
      <c r="E2" s="146"/>
      <c r="F2" s="146"/>
      <c r="G2" s="146"/>
      <c r="H2" s="146" t="s">
        <v>16</v>
      </c>
      <c r="I2" s="146"/>
      <c r="J2" s="146"/>
      <c r="K2" s="146"/>
      <c r="L2" s="146" t="s">
        <v>186</v>
      </c>
      <c r="M2" s="146"/>
      <c r="N2" s="146"/>
      <c r="O2" s="146"/>
      <c r="P2" s="146"/>
      <c r="Q2" s="146"/>
      <c r="R2" s="146" t="s">
        <v>2</v>
      </c>
      <c r="S2" s="146"/>
      <c r="T2" s="146"/>
      <c r="U2" s="146"/>
      <c r="V2" s="146"/>
      <c r="W2" s="146"/>
      <c r="X2" s="158" t="s">
        <v>3</v>
      </c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60"/>
      <c r="AK2" s="158" t="s">
        <v>31</v>
      </c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59"/>
      <c r="AW2" s="160"/>
      <c r="AX2" s="146" t="s">
        <v>5</v>
      </c>
      <c r="AY2" s="146"/>
      <c r="AZ2" s="146"/>
      <c r="BA2" s="146"/>
      <c r="BB2" s="146" t="s">
        <v>4</v>
      </c>
      <c r="BC2" s="146"/>
      <c r="BD2" s="146"/>
      <c r="BE2" s="146"/>
      <c r="BF2" s="146" t="s">
        <v>6</v>
      </c>
      <c r="BG2" s="146"/>
      <c r="BH2" s="146"/>
      <c r="BI2" s="146"/>
      <c r="BJ2" s="146" t="s">
        <v>7</v>
      </c>
      <c r="BK2" s="146"/>
      <c r="BL2" s="146"/>
      <c r="BM2" s="147"/>
      <c r="BN2" s="15"/>
    </row>
    <row r="3" spans="1:85" ht="20.100000000000001" customHeight="1" x14ac:dyDescent="0.45">
      <c r="A3" s="9"/>
      <c r="B3" s="161" t="str">
        <f>変更履歴!B3</f>
        <v>受発注システム</v>
      </c>
      <c r="C3" s="149"/>
      <c r="D3" s="149"/>
      <c r="E3" s="149"/>
      <c r="F3" s="149"/>
      <c r="G3" s="149"/>
      <c r="H3" s="149" t="str">
        <f ca="1">変更履歴!H3</f>
        <v>SS0700</v>
      </c>
      <c r="I3" s="149"/>
      <c r="J3" s="149"/>
      <c r="K3" s="149"/>
      <c r="L3" s="149" t="str">
        <f>変更履歴!L3</f>
        <v>受発注</v>
      </c>
      <c r="M3" s="149"/>
      <c r="N3" s="149"/>
      <c r="O3" s="149"/>
      <c r="P3" s="149"/>
      <c r="Q3" s="149"/>
      <c r="R3" s="149" t="str">
        <f ca="1">変更履歴!R3</f>
        <v>帳票設計書</v>
      </c>
      <c r="S3" s="149"/>
      <c r="T3" s="149"/>
      <c r="U3" s="149"/>
      <c r="V3" s="149"/>
      <c r="W3" s="149"/>
      <c r="X3" s="152" t="str">
        <f ca="1">変更履歴!X3</f>
        <v>SS0700_支払取込エラーリスト_帳票設計書</v>
      </c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4"/>
      <c r="AK3" s="152" t="str">
        <f ca="1">変更履歴!AK3</f>
        <v>支払取込エラーリスト</v>
      </c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4"/>
      <c r="AX3" s="148">
        <f>変更履歴!AX3</f>
        <v>45583</v>
      </c>
      <c r="AY3" s="148"/>
      <c r="AZ3" s="148"/>
      <c r="BA3" s="148"/>
      <c r="BB3" s="149" t="str">
        <f>変更履歴!BB3</f>
        <v>大谷</v>
      </c>
      <c r="BC3" s="149"/>
      <c r="BD3" s="149"/>
      <c r="BE3" s="149"/>
      <c r="BF3" s="148">
        <f>変更履歴!BF3</f>
        <v>45583</v>
      </c>
      <c r="BG3" s="148"/>
      <c r="BH3" s="148"/>
      <c r="BI3" s="148"/>
      <c r="BJ3" s="149" t="str">
        <f>変更履歴!BJ3</f>
        <v>大谷</v>
      </c>
      <c r="BK3" s="149"/>
      <c r="BL3" s="149"/>
      <c r="BM3" s="151"/>
      <c r="BN3" s="15"/>
    </row>
    <row r="4" spans="1:85" ht="20.100000000000001" customHeight="1" thickBot="1" x14ac:dyDescent="0.5">
      <c r="A4" s="9"/>
      <c r="B4" s="154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5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7"/>
      <c r="AK4" s="155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7"/>
      <c r="AX4" s="164"/>
      <c r="AY4" s="164"/>
      <c r="AZ4" s="164"/>
      <c r="BA4" s="164"/>
      <c r="BB4" s="150"/>
      <c r="BC4" s="150"/>
      <c r="BD4" s="150"/>
      <c r="BE4" s="150"/>
      <c r="BF4" s="164"/>
      <c r="BG4" s="164"/>
      <c r="BH4" s="164"/>
      <c r="BI4" s="164"/>
      <c r="BJ4" s="150"/>
      <c r="BK4" s="150"/>
      <c r="BL4" s="150"/>
      <c r="BM4" s="152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17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45</v>
      </c>
      <c r="D9" s="34"/>
      <c r="E9" s="34"/>
      <c r="F9" s="88" t="s">
        <v>50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18</v>
      </c>
      <c r="E10" s="174" t="s">
        <v>19</v>
      </c>
      <c r="F10" s="175"/>
      <c r="G10" s="175"/>
      <c r="H10" s="175"/>
      <c r="I10" s="175"/>
      <c r="J10" s="175"/>
      <c r="K10" s="175"/>
      <c r="L10" s="176"/>
      <c r="M10" s="177" t="s">
        <v>23</v>
      </c>
      <c r="N10" s="178"/>
      <c r="O10" s="178"/>
      <c r="P10" s="177" t="s">
        <v>32</v>
      </c>
      <c r="Q10" s="178"/>
      <c r="R10" s="178"/>
      <c r="S10" s="177" t="s">
        <v>33</v>
      </c>
      <c r="T10" s="178"/>
      <c r="U10" s="178"/>
      <c r="V10" s="177" t="s">
        <v>35</v>
      </c>
      <c r="W10" s="178"/>
      <c r="X10" s="178"/>
      <c r="Y10" s="178"/>
      <c r="Z10" s="178"/>
      <c r="AA10" s="187"/>
      <c r="AB10" s="177" t="s">
        <v>34</v>
      </c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87"/>
      <c r="AR10" s="177" t="s">
        <v>41</v>
      </c>
      <c r="AS10" s="178"/>
      <c r="AT10" s="178"/>
      <c r="AU10" s="178"/>
      <c r="AV10" s="178"/>
      <c r="AW10" s="187"/>
      <c r="AX10" s="177" t="s">
        <v>42</v>
      </c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82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71" t="s">
        <v>101</v>
      </c>
      <c r="F11" s="172"/>
      <c r="G11" s="172"/>
      <c r="H11" s="172"/>
      <c r="I11" s="172"/>
      <c r="J11" s="172"/>
      <c r="K11" s="172"/>
      <c r="L11" s="173"/>
      <c r="M11" s="141" t="s">
        <v>8</v>
      </c>
      <c r="N11" s="142"/>
      <c r="O11" s="142"/>
      <c r="P11" s="141" t="s">
        <v>93</v>
      </c>
      <c r="Q11" s="142"/>
      <c r="R11" s="142"/>
      <c r="S11" s="141"/>
      <c r="T11" s="142"/>
      <c r="U11" s="142"/>
      <c r="V11" s="179" t="s">
        <v>91</v>
      </c>
      <c r="W11" s="180"/>
      <c r="X11" s="180"/>
      <c r="Y11" s="180"/>
      <c r="Z11" s="180"/>
      <c r="AA11" s="181"/>
      <c r="AB11" s="188"/>
      <c r="AC11" s="189"/>
      <c r="AD11" s="189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  <c r="AQ11" s="190"/>
      <c r="AR11" s="141" t="s">
        <v>90</v>
      </c>
      <c r="AS11" s="142"/>
      <c r="AT11" s="142"/>
      <c r="AU11" s="142"/>
      <c r="AV11" s="142"/>
      <c r="AW11" s="143"/>
      <c r="AX11" s="179"/>
      <c r="AY11" s="180"/>
      <c r="AZ11" s="180"/>
      <c r="BA11" s="180"/>
      <c r="BB11" s="180"/>
      <c r="BC11" s="180"/>
      <c r="BD11" s="180"/>
      <c r="BE11" s="180"/>
      <c r="BF11" s="180"/>
      <c r="BG11" s="180"/>
      <c r="BH11" s="180"/>
      <c r="BI11" s="180"/>
      <c r="BJ11" s="180"/>
      <c r="BK11" s="180"/>
      <c r="BL11" s="180"/>
      <c r="BM11" s="180"/>
      <c r="BN11" s="180"/>
      <c r="BO11" s="180"/>
      <c r="BP11" s="180"/>
      <c r="BQ11" s="180"/>
      <c r="BR11" s="180"/>
      <c r="BS11" s="180"/>
      <c r="BT11" s="183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71" t="s">
        <v>102</v>
      </c>
      <c r="F12" s="172"/>
      <c r="G12" s="172"/>
      <c r="H12" s="172"/>
      <c r="I12" s="172"/>
      <c r="J12" s="172"/>
      <c r="K12" s="172"/>
      <c r="L12" s="173"/>
      <c r="M12" s="141" t="s">
        <v>8</v>
      </c>
      <c r="N12" s="142"/>
      <c r="O12" s="142"/>
      <c r="P12" s="141" t="s">
        <v>93</v>
      </c>
      <c r="Q12" s="142"/>
      <c r="R12" s="142"/>
      <c r="S12" s="141"/>
      <c r="T12" s="142"/>
      <c r="U12" s="142"/>
      <c r="V12" s="179" t="s">
        <v>178</v>
      </c>
      <c r="W12" s="180"/>
      <c r="X12" s="180"/>
      <c r="Y12" s="180"/>
      <c r="Z12" s="180"/>
      <c r="AA12" s="181"/>
      <c r="AB12" s="188"/>
      <c r="AC12" s="189"/>
      <c r="AD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/>
      <c r="AO12" s="189"/>
      <c r="AP12" s="189"/>
      <c r="AQ12" s="190"/>
      <c r="AR12" s="141" t="s">
        <v>100</v>
      </c>
      <c r="AS12" s="142"/>
      <c r="AT12" s="142"/>
      <c r="AU12" s="142"/>
      <c r="AV12" s="142"/>
      <c r="AW12" s="143"/>
      <c r="AX12" s="179"/>
      <c r="AY12" s="180"/>
      <c r="AZ12" s="180"/>
      <c r="BA12" s="180"/>
      <c r="BB12" s="180"/>
      <c r="BC12" s="180"/>
      <c r="BD12" s="180"/>
      <c r="BE12" s="180"/>
      <c r="BF12" s="180"/>
      <c r="BG12" s="180"/>
      <c r="BH12" s="180"/>
      <c r="BI12" s="180"/>
      <c r="BJ12" s="180"/>
      <c r="BK12" s="180"/>
      <c r="BL12" s="180"/>
      <c r="BM12" s="180"/>
      <c r="BN12" s="180"/>
      <c r="BO12" s="180"/>
      <c r="BP12" s="180"/>
      <c r="BQ12" s="180"/>
      <c r="BR12" s="180"/>
      <c r="BS12" s="180"/>
      <c r="BT12" s="183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71" t="s">
        <v>103</v>
      </c>
      <c r="F13" s="172"/>
      <c r="G13" s="172"/>
      <c r="H13" s="172"/>
      <c r="I13" s="172"/>
      <c r="J13" s="172"/>
      <c r="K13" s="172"/>
      <c r="L13" s="173"/>
      <c r="M13" s="141" t="s">
        <v>46</v>
      </c>
      <c r="N13" s="142"/>
      <c r="O13" s="142"/>
      <c r="P13" s="141" t="s">
        <v>93</v>
      </c>
      <c r="Q13" s="142"/>
      <c r="R13" s="142"/>
      <c r="S13" s="141"/>
      <c r="T13" s="142"/>
      <c r="U13" s="142"/>
      <c r="V13" s="179" t="s">
        <v>179</v>
      </c>
      <c r="W13" s="180"/>
      <c r="X13" s="180"/>
      <c r="Y13" s="180"/>
      <c r="Z13" s="180"/>
      <c r="AA13" s="181"/>
      <c r="AB13" s="188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90"/>
      <c r="AR13" s="141"/>
      <c r="AS13" s="142"/>
      <c r="AT13" s="142"/>
      <c r="AU13" s="142"/>
      <c r="AV13" s="142"/>
      <c r="AW13" s="143"/>
      <c r="AX13" s="179"/>
      <c r="AY13" s="180"/>
      <c r="AZ13" s="180"/>
      <c r="BA13" s="180"/>
      <c r="BB13" s="180"/>
      <c r="BC13" s="180"/>
      <c r="BD13" s="180"/>
      <c r="BE13" s="180"/>
      <c r="BF13" s="180"/>
      <c r="BG13" s="180"/>
      <c r="BH13" s="180"/>
      <c r="BI13" s="180"/>
      <c r="BJ13" s="180"/>
      <c r="BK13" s="180"/>
      <c r="BL13" s="180"/>
      <c r="BM13" s="180"/>
      <c r="BN13" s="180"/>
      <c r="BO13" s="180"/>
      <c r="BP13" s="180"/>
      <c r="BQ13" s="180"/>
      <c r="BR13" s="180"/>
      <c r="BS13" s="180"/>
      <c r="BT13" s="183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71" t="s">
        <v>104</v>
      </c>
      <c r="F14" s="172"/>
      <c r="G14" s="172"/>
      <c r="H14" s="172"/>
      <c r="I14" s="172"/>
      <c r="J14" s="172"/>
      <c r="K14" s="172"/>
      <c r="L14" s="173"/>
      <c r="M14" s="141" t="s">
        <v>46</v>
      </c>
      <c r="N14" s="142"/>
      <c r="O14" s="142"/>
      <c r="P14" s="141" t="s">
        <v>93</v>
      </c>
      <c r="Q14" s="142"/>
      <c r="R14" s="142"/>
      <c r="S14" s="141"/>
      <c r="T14" s="142"/>
      <c r="U14" s="142"/>
      <c r="V14" s="179" t="s">
        <v>180</v>
      </c>
      <c r="W14" s="180"/>
      <c r="X14" s="180"/>
      <c r="Y14" s="180"/>
      <c r="Z14" s="180"/>
      <c r="AA14" s="181"/>
      <c r="AB14" s="188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90"/>
      <c r="AR14" s="141"/>
      <c r="AS14" s="142"/>
      <c r="AT14" s="142"/>
      <c r="AU14" s="142"/>
      <c r="AV14" s="142"/>
      <c r="AW14" s="143"/>
      <c r="AX14" s="179"/>
      <c r="AY14" s="180"/>
      <c r="AZ14" s="180"/>
      <c r="BA14" s="180"/>
      <c r="BB14" s="180"/>
      <c r="BC14" s="180"/>
      <c r="BD14" s="180"/>
      <c r="BE14" s="180"/>
      <c r="BF14" s="180"/>
      <c r="BG14" s="180"/>
      <c r="BH14" s="180"/>
      <c r="BI14" s="180"/>
      <c r="BJ14" s="180"/>
      <c r="BK14" s="180"/>
      <c r="BL14" s="180"/>
      <c r="BM14" s="180"/>
      <c r="BN14" s="180"/>
      <c r="BO14" s="180"/>
      <c r="BP14" s="180"/>
      <c r="BQ14" s="180"/>
      <c r="BR14" s="180"/>
      <c r="BS14" s="180"/>
      <c r="BT14" s="183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71" t="s">
        <v>105</v>
      </c>
      <c r="F15" s="172"/>
      <c r="G15" s="172"/>
      <c r="H15" s="172"/>
      <c r="I15" s="172"/>
      <c r="J15" s="172"/>
      <c r="K15" s="172"/>
      <c r="L15" s="173"/>
      <c r="M15" s="141" t="s">
        <v>37</v>
      </c>
      <c r="N15" s="142"/>
      <c r="O15" s="142"/>
      <c r="P15" s="141" t="s">
        <v>94</v>
      </c>
      <c r="Q15" s="142"/>
      <c r="R15" s="142"/>
      <c r="S15" s="141"/>
      <c r="T15" s="142"/>
      <c r="U15" s="142"/>
      <c r="V15" s="179" t="s">
        <v>182</v>
      </c>
      <c r="W15" s="180"/>
      <c r="X15" s="180"/>
      <c r="Y15" s="180"/>
      <c r="Z15" s="180"/>
      <c r="AA15" s="181"/>
      <c r="AB15" s="188"/>
      <c r="AC15" s="189"/>
      <c r="AD15" s="189"/>
      <c r="AE15" s="189"/>
      <c r="AF15" s="189"/>
      <c r="AG15" s="189"/>
      <c r="AH15" s="189"/>
      <c r="AI15" s="189"/>
      <c r="AJ15" s="189"/>
      <c r="AK15" s="189"/>
      <c r="AL15" s="189"/>
      <c r="AM15" s="189"/>
      <c r="AN15" s="189"/>
      <c r="AO15" s="189"/>
      <c r="AP15" s="189"/>
      <c r="AQ15" s="190"/>
      <c r="AR15" s="141"/>
      <c r="AS15" s="142"/>
      <c r="AT15" s="142"/>
      <c r="AU15" s="142"/>
      <c r="AV15" s="142"/>
      <c r="AW15" s="143"/>
      <c r="AX15" s="179"/>
      <c r="AY15" s="180"/>
      <c r="AZ15" s="180"/>
      <c r="BA15" s="180"/>
      <c r="BB15" s="180"/>
      <c r="BC15" s="180"/>
      <c r="BD15" s="180"/>
      <c r="BE15" s="180"/>
      <c r="BF15" s="180"/>
      <c r="BG15" s="180"/>
      <c r="BH15" s="180"/>
      <c r="BI15" s="180"/>
      <c r="BJ15" s="180"/>
      <c r="BK15" s="180"/>
      <c r="BL15" s="180"/>
      <c r="BM15" s="180"/>
      <c r="BN15" s="180"/>
      <c r="BO15" s="180"/>
      <c r="BP15" s="180"/>
      <c r="BQ15" s="180"/>
      <c r="BR15" s="180"/>
      <c r="BS15" s="180"/>
      <c r="BT15" s="183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/>
      <c r="E16" s="171"/>
      <c r="F16" s="172"/>
      <c r="G16" s="172"/>
      <c r="H16" s="172"/>
      <c r="I16" s="172"/>
      <c r="J16" s="172"/>
      <c r="K16" s="172"/>
      <c r="L16" s="173"/>
      <c r="M16" s="141"/>
      <c r="N16" s="142"/>
      <c r="O16" s="142"/>
      <c r="P16" s="141"/>
      <c r="Q16" s="142"/>
      <c r="R16" s="142"/>
      <c r="S16" s="141"/>
      <c r="T16" s="142"/>
      <c r="U16" s="142"/>
      <c r="V16" s="179"/>
      <c r="W16" s="180"/>
      <c r="X16" s="180"/>
      <c r="Y16" s="180"/>
      <c r="Z16" s="180"/>
      <c r="AA16" s="181"/>
      <c r="AB16" s="188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90"/>
      <c r="AR16" s="141"/>
      <c r="AS16" s="142"/>
      <c r="AT16" s="142"/>
      <c r="AU16" s="142"/>
      <c r="AV16" s="142"/>
      <c r="AW16" s="143"/>
      <c r="AX16" s="179"/>
      <c r="AY16" s="180"/>
      <c r="AZ16" s="180"/>
      <c r="BA16" s="180"/>
      <c r="BB16" s="180"/>
      <c r="BC16" s="180"/>
      <c r="BD16" s="180"/>
      <c r="BE16" s="180"/>
      <c r="BF16" s="180"/>
      <c r="BG16" s="180"/>
      <c r="BH16" s="180"/>
      <c r="BI16" s="180"/>
      <c r="BJ16" s="180"/>
      <c r="BK16" s="180"/>
      <c r="BL16" s="180"/>
      <c r="BM16" s="180"/>
      <c r="BN16" s="180"/>
      <c r="BO16" s="180"/>
      <c r="BP16" s="180"/>
      <c r="BQ16" s="180"/>
      <c r="BR16" s="180"/>
      <c r="BS16" s="180"/>
      <c r="BT16" s="183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/>
      <c r="E17" s="171"/>
      <c r="F17" s="172"/>
      <c r="G17" s="172"/>
      <c r="H17" s="172"/>
      <c r="I17" s="172"/>
      <c r="J17" s="172"/>
      <c r="K17" s="172"/>
      <c r="L17" s="173"/>
      <c r="M17" s="141"/>
      <c r="N17" s="142"/>
      <c r="O17" s="142"/>
      <c r="P17" s="141"/>
      <c r="Q17" s="142"/>
      <c r="R17" s="142"/>
      <c r="S17" s="141"/>
      <c r="T17" s="142"/>
      <c r="U17" s="142"/>
      <c r="V17" s="179"/>
      <c r="W17" s="180"/>
      <c r="X17" s="180"/>
      <c r="Y17" s="180"/>
      <c r="Z17" s="180"/>
      <c r="AA17" s="181"/>
      <c r="AB17" s="188"/>
      <c r="AC17" s="189"/>
      <c r="AD17" s="189"/>
      <c r="AE17" s="189"/>
      <c r="AF17" s="189"/>
      <c r="AG17" s="189"/>
      <c r="AH17" s="189"/>
      <c r="AI17" s="189"/>
      <c r="AJ17" s="189"/>
      <c r="AK17" s="189"/>
      <c r="AL17" s="189"/>
      <c r="AM17" s="189"/>
      <c r="AN17" s="189"/>
      <c r="AO17" s="189"/>
      <c r="AP17" s="189"/>
      <c r="AQ17" s="190"/>
      <c r="AR17" s="141"/>
      <c r="AS17" s="142"/>
      <c r="AT17" s="142"/>
      <c r="AU17" s="142"/>
      <c r="AV17" s="142"/>
      <c r="AW17" s="143"/>
      <c r="AX17" s="179"/>
      <c r="AY17" s="180"/>
      <c r="AZ17" s="180"/>
      <c r="BA17" s="180"/>
      <c r="BB17" s="180"/>
      <c r="BC17" s="180"/>
      <c r="BD17" s="180"/>
      <c r="BE17" s="180"/>
      <c r="BF17" s="180"/>
      <c r="BG17" s="180"/>
      <c r="BH17" s="180"/>
      <c r="BI17" s="180"/>
      <c r="BJ17" s="180"/>
      <c r="BK17" s="180"/>
      <c r="BL17" s="180"/>
      <c r="BM17" s="180"/>
      <c r="BN17" s="180"/>
      <c r="BO17" s="180"/>
      <c r="BP17" s="180"/>
      <c r="BQ17" s="180"/>
      <c r="BR17" s="180"/>
      <c r="BS17" s="180"/>
      <c r="BT17" s="183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/>
      <c r="E18" s="171"/>
      <c r="F18" s="172"/>
      <c r="G18" s="172"/>
      <c r="H18" s="172"/>
      <c r="I18" s="172"/>
      <c r="J18" s="172"/>
      <c r="K18" s="172"/>
      <c r="L18" s="173"/>
      <c r="M18" s="141"/>
      <c r="N18" s="142"/>
      <c r="O18" s="142"/>
      <c r="P18" s="141"/>
      <c r="Q18" s="142"/>
      <c r="R18" s="142"/>
      <c r="S18" s="141"/>
      <c r="T18" s="142"/>
      <c r="U18" s="142"/>
      <c r="V18" s="179"/>
      <c r="W18" s="180"/>
      <c r="X18" s="180"/>
      <c r="Y18" s="180"/>
      <c r="Z18" s="180"/>
      <c r="AA18" s="181"/>
      <c r="AB18" s="188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90"/>
      <c r="AR18" s="141"/>
      <c r="AS18" s="142"/>
      <c r="AT18" s="142"/>
      <c r="AU18" s="142"/>
      <c r="AV18" s="142"/>
      <c r="AW18" s="143"/>
      <c r="AX18" s="179"/>
      <c r="AY18" s="180"/>
      <c r="AZ18" s="180"/>
      <c r="BA18" s="180"/>
      <c r="BB18" s="180"/>
      <c r="BC18" s="180"/>
      <c r="BD18" s="180"/>
      <c r="BE18" s="180"/>
      <c r="BF18" s="180"/>
      <c r="BG18" s="180"/>
      <c r="BH18" s="180"/>
      <c r="BI18" s="180"/>
      <c r="BJ18" s="180"/>
      <c r="BK18" s="180"/>
      <c r="BL18" s="180"/>
      <c r="BM18" s="180"/>
      <c r="BN18" s="180"/>
      <c r="BO18" s="180"/>
      <c r="BP18" s="180"/>
      <c r="BQ18" s="180"/>
      <c r="BR18" s="180"/>
      <c r="BS18" s="180"/>
      <c r="BT18" s="183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/>
      <c r="E19" s="171"/>
      <c r="F19" s="172"/>
      <c r="G19" s="172"/>
      <c r="H19" s="172"/>
      <c r="I19" s="172"/>
      <c r="J19" s="172"/>
      <c r="K19" s="172"/>
      <c r="L19" s="173"/>
      <c r="M19" s="141"/>
      <c r="N19" s="142"/>
      <c r="O19" s="142"/>
      <c r="P19" s="141"/>
      <c r="Q19" s="142"/>
      <c r="R19" s="142"/>
      <c r="S19" s="141"/>
      <c r="T19" s="142"/>
      <c r="U19" s="142"/>
      <c r="V19" s="179"/>
      <c r="W19" s="180"/>
      <c r="X19" s="180"/>
      <c r="Y19" s="180"/>
      <c r="Z19" s="180"/>
      <c r="AA19" s="181"/>
      <c r="AB19" s="188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189"/>
      <c r="AP19" s="189"/>
      <c r="AQ19" s="190"/>
      <c r="AR19" s="141"/>
      <c r="AS19" s="142"/>
      <c r="AT19" s="142"/>
      <c r="AU19" s="142"/>
      <c r="AV19" s="142"/>
      <c r="AW19" s="143"/>
      <c r="AX19" s="179"/>
      <c r="AY19" s="180"/>
      <c r="AZ19" s="180"/>
      <c r="BA19" s="180"/>
      <c r="BB19" s="180"/>
      <c r="BC19" s="180"/>
      <c r="BD19" s="180"/>
      <c r="BE19" s="180"/>
      <c r="BF19" s="180"/>
      <c r="BG19" s="180"/>
      <c r="BH19" s="180"/>
      <c r="BI19" s="180"/>
      <c r="BJ19" s="180"/>
      <c r="BK19" s="180"/>
      <c r="BL19" s="180"/>
      <c r="BM19" s="180"/>
      <c r="BN19" s="180"/>
      <c r="BO19" s="180"/>
      <c r="BP19" s="180"/>
      <c r="BQ19" s="180"/>
      <c r="BR19" s="180"/>
      <c r="BS19" s="180"/>
      <c r="BT19" s="183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/>
      <c r="E20" s="171"/>
      <c r="F20" s="172"/>
      <c r="G20" s="172"/>
      <c r="H20" s="172"/>
      <c r="I20" s="172"/>
      <c r="J20" s="172"/>
      <c r="K20" s="172"/>
      <c r="L20" s="173"/>
      <c r="M20" s="141"/>
      <c r="N20" s="142"/>
      <c r="O20" s="142"/>
      <c r="P20" s="141"/>
      <c r="Q20" s="142"/>
      <c r="R20" s="142"/>
      <c r="S20" s="141"/>
      <c r="T20" s="142"/>
      <c r="U20" s="142"/>
      <c r="V20" s="179"/>
      <c r="W20" s="180"/>
      <c r="X20" s="180"/>
      <c r="Y20" s="180"/>
      <c r="Z20" s="180"/>
      <c r="AA20" s="181"/>
      <c r="AB20" s="188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189"/>
      <c r="AP20" s="189"/>
      <c r="AQ20" s="190"/>
      <c r="AR20" s="141"/>
      <c r="AS20" s="142"/>
      <c r="AT20" s="142"/>
      <c r="AU20" s="142"/>
      <c r="AV20" s="142"/>
      <c r="AW20" s="143"/>
      <c r="AX20" s="179"/>
      <c r="AY20" s="180"/>
      <c r="AZ20" s="180"/>
      <c r="BA20" s="180"/>
      <c r="BB20" s="180"/>
      <c r="BC20" s="180"/>
      <c r="BD20" s="180"/>
      <c r="BE20" s="180"/>
      <c r="BF20" s="180"/>
      <c r="BG20" s="180"/>
      <c r="BH20" s="180"/>
      <c r="BI20" s="180"/>
      <c r="BJ20" s="180"/>
      <c r="BK20" s="180"/>
      <c r="BL20" s="180"/>
      <c r="BM20" s="180"/>
      <c r="BN20" s="180"/>
      <c r="BO20" s="180"/>
      <c r="BP20" s="180"/>
      <c r="BQ20" s="180"/>
      <c r="BR20" s="180"/>
      <c r="BS20" s="180"/>
      <c r="BT20" s="183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/>
      <c r="E21" s="171"/>
      <c r="F21" s="172"/>
      <c r="G21" s="172"/>
      <c r="H21" s="172"/>
      <c r="I21" s="172"/>
      <c r="J21" s="172"/>
      <c r="K21" s="172"/>
      <c r="L21" s="173"/>
      <c r="M21" s="141"/>
      <c r="N21" s="142"/>
      <c r="O21" s="142"/>
      <c r="P21" s="141"/>
      <c r="Q21" s="142"/>
      <c r="R21" s="142"/>
      <c r="S21" s="141"/>
      <c r="T21" s="142"/>
      <c r="U21" s="142"/>
      <c r="V21" s="179"/>
      <c r="W21" s="180"/>
      <c r="X21" s="180"/>
      <c r="Y21" s="180"/>
      <c r="Z21" s="180"/>
      <c r="AA21" s="181"/>
      <c r="AB21" s="188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9"/>
      <c r="AP21" s="189"/>
      <c r="AQ21" s="190"/>
      <c r="AR21" s="141"/>
      <c r="AS21" s="142"/>
      <c r="AT21" s="142"/>
      <c r="AU21" s="142"/>
      <c r="AV21" s="142"/>
      <c r="AW21" s="143"/>
      <c r="AX21" s="179"/>
      <c r="AY21" s="180"/>
      <c r="AZ21" s="180"/>
      <c r="BA21" s="180"/>
      <c r="BB21" s="180"/>
      <c r="BC21" s="180"/>
      <c r="BD21" s="180"/>
      <c r="BE21" s="180"/>
      <c r="BF21" s="180"/>
      <c r="BG21" s="180"/>
      <c r="BH21" s="180"/>
      <c r="BI21" s="180"/>
      <c r="BJ21" s="180"/>
      <c r="BK21" s="180"/>
      <c r="BL21" s="180"/>
      <c r="BM21" s="180"/>
      <c r="BN21" s="180"/>
      <c r="BO21" s="180"/>
      <c r="BP21" s="180"/>
      <c r="BQ21" s="180"/>
      <c r="BR21" s="180"/>
      <c r="BS21" s="180"/>
      <c r="BT21" s="183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/>
      <c r="E22" s="171"/>
      <c r="F22" s="172"/>
      <c r="G22" s="172"/>
      <c r="H22" s="172"/>
      <c r="I22" s="172"/>
      <c r="J22" s="172"/>
      <c r="K22" s="172"/>
      <c r="L22" s="173"/>
      <c r="M22" s="141"/>
      <c r="N22" s="142"/>
      <c r="O22" s="142"/>
      <c r="P22" s="141"/>
      <c r="Q22" s="142"/>
      <c r="R22" s="142"/>
      <c r="S22" s="141"/>
      <c r="T22" s="142"/>
      <c r="U22" s="142"/>
      <c r="V22" s="179"/>
      <c r="W22" s="180"/>
      <c r="X22" s="180"/>
      <c r="Y22" s="180"/>
      <c r="Z22" s="180"/>
      <c r="AA22" s="181"/>
      <c r="AB22" s="188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90"/>
      <c r="AR22" s="141"/>
      <c r="AS22" s="142"/>
      <c r="AT22" s="142"/>
      <c r="AU22" s="142"/>
      <c r="AV22" s="142"/>
      <c r="AW22" s="143"/>
      <c r="AX22" s="179"/>
      <c r="AY22" s="180"/>
      <c r="AZ22" s="180"/>
      <c r="BA22" s="180"/>
      <c r="BB22" s="180"/>
      <c r="BC22" s="180"/>
      <c r="BD22" s="180"/>
      <c r="BE22" s="180"/>
      <c r="BF22" s="180"/>
      <c r="BG22" s="180"/>
      <c r="BH22" s="180"/>
      <c r="BI22" s="180"/>
      <c r="BJ22" s="180"/>
      <c r="BK22" s="180"/>
      <c r="BL22" s="180"/>
      <c r="BM22" s="180"/>
      <c r="BN22" s="180"/>
      <c r="BO22" s="180"/>
      <c r="BP22" s="180"/>
      <c r="BQ22" s="180"/>
      <c r="BR22" s="180"/>
      <c r="BS22" s="180"/>
      <c r="BT22" s="183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/>
      <c r="E23" s="171"/>
      <c r="F23" s="172"/>
      <c r="G23" s="172"/>
      <c r="H23" s="172"/>
      <c r="I23" s="172"/>
      <c r="J23" s="172"/>
      <c r="K23" s="172"/>
      <c r="L23" s="173"/>
      <c r="M23" s="141"/>
      <c r="N23" s="142"/>
      <c r="O23" s="142"/>
      <c r="P23" s="141"/>
      <c r="Q23" s="142"/>
      <c r="R23" s="142"/>
      <c r="S23" s="141"/>
      <c r="T23" s="142"/>
      <c r="U23" s="142"/>
      <c r="V23" s="179"/>
      <c r="W23" s="180"/>
      <c r="X23" s="180"/>
      <c r="Y23" s="180"/>
      <c r="Z23" s="180"/>
      <c r="AA23" s="181"/>
      <c r="AB23" s="188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90"/>
      <c r="AR23" s="141"/>
      <c r="AS23" s="142"/>
      <c r="AT23" s="142"/>
      <c r="AU23" s="142"/>
      <c r="AV23" s="142"/>
      <c r="AW23" s="143"/>
      <c r="AX23" s="179"/>
      <c r="AY23" s="180"/>
      <c r="AZ23" s="180"/>
      <c r="BA23" s="180"/>
      <c r="BB23" s="180"/>
      <c r="BC23" s="180"/>
      <c r="BD23" s="180"/>
      <c r="BE23" s="180"/>
      <c r="BF23" s="180"/>
      <c r="BG23" s="180"/>
      <c r="BH23" s="180"/>
      <c r="BI23" s="180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3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/>
      <c r="E24" s="171"/>
      <c r="F24" s="172"/>
      <c r="G24" s="172"/>
      <c r="H24" s="172"/>
      <c r="I24" s="172"/>
      <c r="J24" s="172"/>
      <c r="K24" s="172"/>
      <c r="L24" s="173"/>
      <c r="M24" s="141"/>
      <c r="N24" s="142"/>
      <c r="O24" s="142"/>
      <c r="P24" s="141"/>
      <c r="Q24" s="142"/>
      <c r="R24" s="142"/>
      <c r="S24" s="141"/>
      <c r="T24" s="142"/>
      <c r="U24" s="142"/>
      <c r="V24" s="179"/>
      <c r="W24" s="180"/>
      <c r="X24" s="180"/>
      <c r="Y24" s="180"/>
      <c r="Z24" s="180"/>
      <c r="AA24" s="181"/>
      <c r="AB24" s="188"/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/>
      <c r="AP24" s="189"/>
      <c r="AQ24" s="190"/>
      <c r="AR24" s="141"/>
      <c r="AS24" s="142"/>
      <c r="AT24" s="142"/>
      <c r="AU24" s="142"/>
      <c r="AV24" s="142"/>
      <c r="AW24" s="143"/>
      <c r="AX24" s="179"/>
      <c r="AY24" s="180"/>
      <c r="AZ24" s="180"/>
      <c r="BA24" s="180"/>
      <c r="BB24" s="180"/>
      <c r="BC24" s="180"/>
      <c r="BD24" s="180"/>
      <c r="BE24" s="180"/>
      <c r="BF24" s="180"/>
      <c r="BG24" s="180"/>
      <c r="BH24" s="180"/>
      <c r="BI24" s="180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3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/>
      <c r="E25" s="171"/>
      <c r="F25" s="172"/>
      <c r="G25" s="172"/>
      <c r="H25" s="172"/>
      <c r="I25" s="172"/>
      <c r="J25" s="172"/>
      <c r="K25" s="172"/>
      <c r="L25" s="173"/>
      <c r="M25" s="141"/>
      <c r="N25" s="142"/>
      <c r="O25" s="142"/>
      <c r="P25" s="141"/>
      <c r="Q25" s="142"/>
      <c r="R25" s="142"/>
      <c r="S25" s="141"/>
      <c r="T25" s="142"/>
      <c r="U25" s="142"/>
      <c r="V25" s="179"/>
      <c r="W25" s="180"/>
      <c r="X25" s="180"/>
      <c r="Y25" s="180"/>
      <c r="Z25" s="180"/>
      <c r="AA25" s="181"/>
      <c r="AB25" s="188"/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9"/>
      <c r="AQ25" s="190"/>
      <c r="AR25" s="141"/>
      <c r="AS25" s="142"/>
      <c r="AT25" s="142"/>
      <c r="AU25" s="142"/>
      <c r="AV25" s="142"/>
      <c r="AW25" s="143"/>
      <c r="AX25" s="179"/>
      <c r="AY25" s="180"/>
      <c r="AZ25" s="180"/>
      <c r="BA25" s="180"/>
      <c r="BB25" s="180"/>
      <c r="BC25" s="180"/>
      <c r="BD25" s="180"/>
      <c r="BE25" s="180"/>
      <c r="BF25" s="180"/>
      <c r="BG25" s="180"/>
      <c r="BH25" s="180"/>
      <c r="BI25" s="180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3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/>
      <c r="E26" s="171"/>
      <c r="F26" s="172"/>
      <c r="G26" s="172"/>
      <c r="H26" s="172"/>
      <c r="I26" s="172"/>
      <c r="J26" s="172"/>
      <c r="K26" s="172"/>
      <c r="L26" s="173"/>
      <c r="M26" s="141"/>
      <c r="N26" s="142"/>
      <c r="O26" s="142"/>
      <c r="P26" s="141"/>
      <c r="Q26" s="142"/>
      <c r="R26" s="142"/>
      <c r="S26" s="141"/>
      <c r="T26" s="142"/>
      <c r="U26" s="142"/>
      <c r="V26" s="179"/>
      <c r="W26" s="180"/>
      <c r="X26" s="180"/>
      <c r="Y26" s="180"/>
      <c r="Z26" s="180"/>
      <c r="AA26" s="181"/>
      <c r="AB26" s="188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90"/>
      <c r="AR26" s="141"/>
      <c r="AS26" s="142"/>
      <c r="AT26" s="142"/>
      <c r="AU26" s="142"/>
      <c r="AV26" s="142"/>
      <c r="AW26" s="143"/>
      <c r="AX26" s="179"/>
      <c r="AY26" s="180"/>
      <c r="AZ26" s="180"/>
      <c r="BA26" s="180"/>
      <c r="BB26" s="180"/>
      <c r="BC26" s="180"/>
      <c r="BD26" s="180"/>
      <c r="BE26" s="180"/>
      <c r="BF26" s="180"/>
      <c r="BG26" s="180"/>
      <c r="BH26" s="180"/>
      <c r="BI26" s="180"/>
      <c r="BJ26" s="180"/>
      <c r="BK26" s="180"/>
      <c r="BL26" s="180"/>
      <c r="BM26" s="180"/>
      <c r="BN26" s="180"/>
      <c r="BO26" s="180"/>
      <c r="BP26" s="180"/>
      <c r="BQ26" s="180"/>
      <c r="BR26" s="180"/>
      <c r="BS26" s="180"/>
      <c r="BT26" s="183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/>
      <c r="E27" s="171"/>
      <c r="F27" s="172"/>
      <c r="G27" s="172"/>
      <c r="H27" s="172"/>
      <c r="I27" s="172"/>
      <c r="J27" s="172"/>
      <c r="K27" s="172"/>
      <c r="L27" s="173"/>
      <c r="M27" s="141"/>
      <c r="N27" s="142"/>
      <c r="O27" s="142"/>
      <c r="P27" s="141"/>
      <c r="Q27" s="142"/>
      <c r="R27" s="142"/>
      <c r="S27" s="141"/>
      <c r="T27" s="142"/>
      <c r="U27" s="142"/>
      <c r="V27" s="179"/>
      <c r="W27" s="180"/>
      <c r="X27" s="180"/>
      <c r="Y27" s="180"/>
      <c r="Z27" s="180"/>
      <c r="AA27" s="181"/>
      <c r="AB27" s="188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90"/>
      <c r="AR27" s="141"/>
      <c r="AS27" s="142"/>
      <c r="AT27" s="142"/>
      <c r="AU27" s="142"/>
      <c r="AV27" s="142"/>
      <c r="AW27" s="143"/>
      <c r="AX27" s="179"/>
      <c r="AY27" s="180"/>
      <c r="AZ27" s="180"/>
      <c r="BA27" s="180"/>
      <c r="BB27" s="180"/>
      <c r="BC27" s="180"/>
      <c r="BD27" s="180"/>
      <c r="BE27" s="180"/>
      <c r="BF27" s="180"/>
      <c r="BG27" s="180"/>
      <c r="BH27" s="180"/>
      <c r="BI27" s="180"/>
      <c r="BJ27" s="180"/>
      <c r="BK27" s="180"/>
      <c r="BL27" s="180"/>
      <c r="BM27" s="180"/>
      <c r="BN27" s="180"/>
      <c r="BO27" s="180"/>
      <c r="BP27" s="180"/>
      <c r="BQ27" s="180"/>
      <c r="BR27" s="180"/>
      <c r="BS27" s="180"/>
      <c r="BT27" s="183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/>
      <c r="E28" s="171"/>
      <c r="F28" s="172"/>
      <c r="G28" s="172"/>
      <c r="H28" s="172"/>
      <c r="I28" s="172"/>
      <c r="J28" s="172"/>
      <c r="K28" s="172"/>
      <c r="L28" s="173"/>
      <c r="M28" s="141"/>
      <c r="N28" s="142"/>
      <c r="O28" s="142"/>
      <c r="P28" s="141"/>
      <c r="Q28" s="142"/>
      <c r="R28" s="142"/>
      <c r="S28" s="141"/>
      <c r="T28" s="142"/>
      <c r="U28" s="142"/>
      <c r="V28" s="179"/>
      <c r="W28" s="180"/>
      <c r="X28" s="180"/>
      <c r="Y28" s="180"/>
      <c r="Z28" s="180"/>
      <c r="AA28" s="181"/>
      <c r="AB28" s="188"/>
      <c r="AC28" s="189"/>
      <c r="AD28" s="189"/>
      <c r="AE28" s="189"/>
      <c r="AF28" s="189"/>
      <c r="AG28" s="189"/>
      <c r="AH28" s="189"/>
      <c r="AI28" s="189"/>
      <c r="AJ28" s="189"/>
      <c r="AK28" s="189"/>
      <c r="AL28" s="189"/>
      <c r="AM28" s="189"/>
      <c r="AN28" s="189"/>
      <c r="AO28" s="189"/>
      <c r="AP28" s="189"/>
      <c r="AQ28" s="190"/>
      <c r="AR28" s="141"/>
      <c r="AS28" s="142"/>
      <c r="AT28" s="142"/>
      <c r="AU28" s="142"/>
      <c r="AV28" s="142"/>
      <c r="AW28" s="143"/>
      <c r="AX28" s="179"/>
      <c r="AY28" s="180"/>
      <c r="AZ28" s="180"/>
      <c r="BA28" s="180"/>
      <c r="BB28" s="180"/>
      <c r="BC28" s="180"/>
      <c r="BD28" s="180"/>
      <c r="BE28" s="180"/>
      <c r="BF28" s="180"/>
      <c r="BG28" s="180"/>
      <c r="BH28" s="180"/>
      <c r="BI28" s="180"/>
      <c r="BJ28" s="180"/>
      <c r="BK28" s="180"/>
      <c r="BL28" s="180"/>
      <c r="BM28" s="180"/>
      <c r="BN28" s="180"/>
      <c r="BO28" s="180"/>
      <c r="BP28" s="180"/>
      <c r="BQ28" s="180"/>
      <c r="BR28" s="180"/>
      <c r="BS28" s="180"/>
      <c r="BT28" s="183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/>
      <c r="E29" s="171"/>
      <c r="F29" s="172"/>
      <c r="G29" s="172"/>
      <c r="H29" s="172"/>
      <c r="I29" s="172"/>
      <c r="J29" s="172"/>
      <c r="K29" s="172"/>
      <c r="L29" s="173"/>
      <c r="M29" s="141"/>
      <c r="N29" s="142"/>
      <c r="O29" s="142"/>
      <c r="P29" s="141"/>
      <c r="Q29" s="142"/>
      <c r="R29" s="142"/>
      <c r="S29" s="141"/>
      <c r="T29" s="142"/>
      <c r="U29" s="142"/>
      <c r="V29" s="179"/>
      <c r="W29" s="180"/>
      <c r="X29" s="180"/>
      <c r="Y29" s="180"/>
      <c r="Z29" s="180"/>
      <c r="AA29" s="181"/>
      <c r="AB29" s="188"/>
      <c r="AC29" s="189"/>
      <c r="AD29" s="189"/>
      <c r="AE29" s="189"/>
      <c r="AF29" s="189"/>
      <c r="AG29" s="189"/>
      <c r="AH29" s="189"/>
      <c r="AI29" s="189"/>
      <c r="AJ29" s="189"/>
      <c r="AK29" s="189"/>
      <c r="AL29" s="189"/>
      <c r="AM29" s="189"/>
      <c r="AN29" s="189"/>
      <c r="AO29" s="189"/>
      <c r="AP29" s="189"/>
      <c r="AQ29" s="190"/>
      <c r="AR29" s="141"/>
      <c r="AS29" s="142"/>
      <c r="AT29" s="142"/>
      <c r="AU29" s="142"/>
      <c r="AV29" s="142"/>
      <c r="AW29" s="143"/>
      <c r="AX29" s="179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3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thickBot="1" x14ac:dyDescent="0.5">
      <c r="A30" s="29"/>
      <c r="B30" s="44"/>
      <c r="C30"/>
      <c r="D30" s="37"/>
      <c r="E30" s="165"/>
      <c r="F30" s="166"/>
      <c r="G30" s="166"/>
      <c r="H30" s="166"/>
      <c r="I30" s="166"/>
      <c r="J30" s="166"/>
      <c r="K30" s="166"/>
      <c r="L30" s="167"/>
      <c r="M30" s="168"/>
      <c r="N30" s="169"/>
      <c r="O30" s="170"/>
      <c r="P30" s="168"/>
      <c r="Q30" s="169"/>
      <c r="R30" s="169"/>
      <c r="S30" s="168"/>
      <c r="T30" s="169"/>
      <c r="U30" s="169"/>
      <c r="V30" s="184"/>
      <c r="W30" s="185"/>
      <c r="X30" s="185"/>
      <c r="Y30" s="185"/>
      <c r="Z30" s="185"/>
      <c r="AA30" s="186"/>
      <c r="AB30" s="191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3"/>
      <c r="AR30" s="168"/>
      <c r="AS30" s="169"/>
      <c r="AT30" s="169"/>
      <c r="AU30" s="169"/>
      <c r="AV30" s="169"/>
      <c r="AW30" s="170"/>
      <c r="AX30" s="184"/>
      <c r="AY30" s="185"/>
      <c r="AZ30" s="185"/>
      <c r="BA30" s="185"/>
      <c r="BB30" s="185"/>
      <c r="BC30" s="185"/>
      <c r="BD30" s="185"/>
      <c r="BE30" s="185"/>
      <c r="BF30" s="185"/>
      <c r="BG30" s="185"/>
      <c r="BH30" s="185"/>
      <c r="BI30" s="185"/>
      <c r="BJ30" s="185"/>
      <c r="BK30" s="185"/>
      <c r="BL30" s="185"/>
      <c r="BM30" s="185"/>
      <c r="BN30" s="185"/>
      <c r="BO30" s="185"/>
      <c r="BP30" s="185"/>
      <c r="BQ30" s="185"/>
      <c r="BR30" s="185"/>
      <c r="BS30" s="185"/>
      <c r="BT30" s="194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thickTop="1" thickBot="1" x14ac:dyDescent="0.5">
      <c r="A31" s="29"/>
      <c r="B31" s="40"/>
      <c r="C31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46"/>
      <c r="BR31" s="46"/>
      <c r="BS31" s="46"/>
      <c r="BT31" s="46"/>
      <c r="BU31" s="28"/>
    </row>
    <row r="32" spans="1:85" ht="20.100000000000001" customHeight="1" thickTop="1" x14ac:dyDescent="0.45">
      <c r="A32" s="29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33"/>
      <c r="BD32" s="33"/>
      <c r="BE32" s="33"/>
      <c r="BF32" s="33"/>
      <c r="BG32" s="33"/>
      <c r="BH32" s="33"/>
      <c r="BI32" s="42"/>
      <c r="BJ32" s="42"/>
      <c r="BK32" s="42"/>
      <c r="BL32" s="42"/>
      <c r="BM32" s="42"/>
      <c r="BN32" s="42"/>
      <c r="BO32" s="42"/>
      <c r="BP32" s="41"/>
    </row>
    <row r="33" spans="2:68" ht="20.100000000000001" customHeight="1" x14ac:dyDescent="0.45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</row>
    <row r="34" spans="2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spans="2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2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2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2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2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2:68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2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2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2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2:68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2:68" ht="20.100000000000001" customHeight="1" x14ac:dyDescent="0.45">
      <c r="B45" s="3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2:68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31"/>
      <c r="BP46" s="31"/>
    </row>
    <row r="47" spans="2:68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31"/>
      <c r="BP47" s="31"/>
    </row>
    <row r="48" spans="2:68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31"/>
      <c r="BP48" s="31"/>
    </row>
    <row r="49" spans="1:68" ht="20.100000000000001" customHeight="1" x14ac:dyDescent="0.45">
      <c r="A49" s="29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31"/>
      <c r="BP49" s="31"/>
    </row>
    <row r="50" spans="1:68" ht="20.100000000000001" customHeight="1" x14ac:dyDescent="0.45">
      <c r="A50" s="2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</row>
    <row r="52" spans="1:68" ht="20.100000000000001" customHeight="1" x14ac:dyDescent="0.4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</row>
  </sheetData>
  <mergeCells count="188">
    <mergeCell ref="AX15:BT15"/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X27:BT27"/>
    <mergeCell ref="AX28:BT28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X29:BT29"/>
    <mergeCell ref="AX20:BT20"/>
    <mergeCell ref="AX21:BT21"/>
    <mergeCell ref="AX22:BT22"/>
    <mergeCell ref="AX23:BT23"/>
    <mergeCell ref="AX24:BT24"/>
    <mergeCell ref="AX16:BT16"/>
    <mergeCell ref="AX17:BT17"/>
    <mergeCell ref="AX18:BT18"/>
    <mergeCell ref="AX19:BT19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37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98" t="s">
        <v>0</v>
      </c>
      <c r="C2" s="199"/>
      <c r="D2" s="199"/>
      <c r="E2" s="199"/>
      <c r="F2" s="199"/>
      <c r="G2" s="199"/>
      <c r="H2" s="199" t="s">
        <v>16</v>
      </c>
      <c r="I2" s="199"/>
      <c r="J2" s="199"/>
      <c r="K2" s="199"/>
      <c r="L2" s="199" t="s">
        <v>186</v>
      </c>
      <c r="M2" s="199"/>
      <c r="N2" s="199"/>
      <c r="O2" s="199"/>
      <c r="P2" s="199"/>
      <c r="Q2" s="199"/>
      <c r="R2" s="199" t="s">
        <v>2</v>
      </c>
      <c r="S2" s="199"/>
      <c r="T2" s="199"/>
      <c r="U2" s="199"/>
      <c r="V2" s="199"/>
      <c r="W2" s="199"/>
      <c r="X2" s="200" t="s">
        <v>3</v>
      </c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2"/>
      <c r="AK2" s="200" t="s">
        <v>31</v>
      </c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2"/>
      <c r="AX2" s="199" t="s">
        <v>5</v>
      </c>
      <c r="AY2" s="199"/>
      <c r="AZ2" s="199"/>
      <c r="BA2" s="199"/>
      <c r="BB2" s="199" t="s">
        <v>4</v>
      </c>
      <c r="BC2" s="199"/>
      <c r="BD2" s="199"/>
      <c r="BE2" s="199"/>
      <c r="BF2" s="199" t="s">
        <v>6</v>
      </c>
      <c r="BG2" s="199"/>
      <c r="BH2" s="199"/>
      <c r="BI2" s="199"/>
      <c r="BJ2" s="199" t="s">
        <v>7</v>
      </c>
      <c r="BK2" s="199"/>
      <c r="BL2" s="199"/>
      <c r="BM2" s="209"/>
    </row>
    <row r="3" spans="2:65" ht="20.100000000000001" customHeight="1" x14ac:dyDescent="0.45">
      <c r="B3" s="203" t="str">
        <f>変更履歴!B3</f>
        <v>受発注システム</v>
      </c>
      <c r="C3" s="149"/>
      <c r="D3" s="149"/>
      <c r="E3" s="149"/>
      <c r="F3" s="149"/>
      <c r="G3" s="149"/>
      <c r="H3" s="149" t="str">
        <f ca="1">変更履歴!H3</f>
        <v>SS0700</v>
      </c>
      <c r="I3" s="149"/>
      <c r="J3" s="149"/>
      <c r="K3" s="149"/>
      <c r="L3" s="149" t="str">
        <f>変更履歴!L3</f>
        <v>受発注</v>
      </c>
      <c r="M3" s="149"/>
      <c r="N3" s="149"/>
      <c r="O3" s="149"/>
      <c r="P3" s="149"/>
      <c r="Q3" s="149"/>
      <c r="R3" s="149" t="str">
        <f ca="1">変更履歴!R3</f>
        <v>帳票設計書</v>
      </c>
      <c r="S3" s="149"/>
      <c r="T3" s="149"/>
      <c r="U3" s="149"/>
      <c r="V3" s="149"/>
      <c r="W3" s="149"/>
      <c r="X3" s="152" t="str">
        <f ca="1">変更履歴!X3</f>
        <v>SS0700_支払取込エラーリスト_帳票設計書</v>
      </c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4"/>
      <c r="AK3" s="152" t="str">
        <f ca="1">変更履歴!AK3</f>
        <v>支払取込エラーリスト</v>
      </c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4"/>
      <c r="AX3" s="148">
        <f>変更履歴!AX3</f>
        <v>45583</v>
      </c>
      <c r="AY3" s="148"/>
      <c r="AZ3" s="148"/>
      <c r="BA3" s="148"/>
      <c r="BB3" s="149" t="str">
        <f>変更履歴!BB3</f>
        <v>大谷</v>
      </c>
      <c r="BC3" s="149"/>
      <c r="BD3" s="149"/>
      <c r="BE3" s="149"/>
      <c r="BF3" s="148">
        <f>変更履歴!BF3</f>
        <v>45583</v>
      </c>
      <c r="BG3" s="148"/>
      <c r="BH3" s="148"/>
      <c r="BI3" s="148"/>
      <c r="BJ3" s="149" t="str">
        <f>変更履歴!BJ3</f>
        <v>大谷</v>
      </c>
      <c r="BK3" s="149"/>
      <c r="BL3" s="149"/>
      <c r="BM3" s="207"/>
    </row>
    <row r="4" spans="2:65" ht="20.100000000000001" customHeight="1" thickBot="1" x14ac:dyDescent="0.5">
      <c r="B4" s="204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195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7"/>
      <c r="AK4" s="195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7"/>
      <c r="AX4" s="206"/>
      <c r="AY4" s="206"/>
      <c r="AZ4" s="206"/>
      <c r="BA4" s="206"/>
      <c r="BB4" s="205"/>
      <c r="BC4" s="205"/>
      <c r="BD4" s="205"/>
      <c r="BE4" s="205"/>
      <c r="BF4" s="206"/>
      <c r="BG4" s="206"/>
      <c r="BH4" s="206"/>
      <c r="BI4" s="206"/>
      <c r="BJ4" s="205"/>
      <c r="BK4" s="205"/>
      <c r="BL4" s="205"/>
      <c r="BM4" s="208"/>
    </row>
    <row r="5" spans="2:65" ht="5.0999999999999996" customHeight="1" thickBot="1" x14ac:dyDescent="0.5"/>
    <row r="6" spans="2:65" ht="20.100000000000001" customHeight="1" x14ac:dyDescent="0.45">
      <c r="B6" s="89" t="s">
        <v>92</v>
      </c>
      <c r="C6" s="90"/>
      <c r="D6" s="90"/>
      <c r="E6" s="90"/>
      <c r="F6" s="90"/>
      <c r="G6" s="91"/>
      <c r="H6" s="92" t="s">
        <v>81</v>
      </c>
      <c r="I6" s="90"/>
      <c r="J6" s="120" t="s">
        <v>96</v>
      </c>
      <c r="K6" s="121"/>
      <c r="L6" s="121"/>
      <c r="M6" s="121"/>
      <c r="N6" s="121"/>
      <c r="O6" s="121"/>
      <c r="P6" s="121"/>
      <c r="Q6" s="122"/>
      <c r="R6" s="120" t="s">
        <v>106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 t="s">
        <v>107</v>
      </c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03" t="s">
        <v>99</v>
      </c>
      <c r="K7" s="104"/>
      <c r="L7" s="104"/>
      <c r="M7" s="104"/>
      <c r="N7" s="104"/>
      <c r="O7" s="104"/>
      <c r="P7" s="104"/>
      <c r="Q7" s="127"/>
      <c r="R7" s="103" t="s">
        <v>108</v>
      </c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27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03" t="s">
        <v>109</v>
      </c>
      <c r="K8" s="104"/>
      <c r="L8" s="104"/>
      <c r="M8" s="104"/>
      <c r="N8" s="104"/>
      <c r="O8" s="104"/>
      <c r="P8" s="104"/>
      <c r="Q8" s="127"/>
      <c r="R8" s="103" t="s">
        <v>110</v>
      </c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27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 t="s">
        <v>97</v>
      </c>
      <c r="K9" s="52"/>
      <c r="L9" s="52"/>
      <c r="M9" s="52"/>
      <c r="N9" s="52"/>
      <c r="O9" s="52"/>
      <c r="P9" s="52"/>
      <c r="Q9" s="125"/>
      <c r="R9" s="124" t="s">
        <v>111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/>
      <c r="I10" s="31"/>
      <c r="J10" s="124" t="s">
        <v>112</v>
      </c>
      <c r="K10" s="52"/>
      <c r="L10" s="52"/>
      <c r="M10" s="52"/>
      <c r="N10" s="52"/>
      <c r="O10" s="52"/>
      <c r="P10" s="52"/>
      <c r="Q10" s="125"/>
      <c r="R10" s="124" t="s">
        <v>113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97"/>
      <c r="I11" s="31"/>
      <c r="J11" s="124" t="s">
        <v>114</v>
      </c>
      <c r="K11" s="52"/>
      <c r="L11" s="52"/>
      <c r="M11" s="52"/>
      <c r="N11" s="52"/>
      <c r="O11" s="52"/>
      <c r="P11" s="52"/>
      <c r="Q11" s="125"/>
      <c r="R11" s="124" t="s">
        <v>115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3"/>
      <c r="C12" s="31"/>
      <c r="D12" s="31"/>
      <c r="E12" s="31"/>
      <c r="F12" s="31"/>
      <c r="G12" s="96"/>
      <c r="H12" s="31"/>
      <c r="I12" s="31"/>
      <c r="J12" s="124" t="s">
        <v>116</v>
      </c>
      <c r="K12" s="52"/>
      <c r="L12" s="52"/>
      <c r="M12" s="52"/>
      <c r="N12" s="52"/>
      <c r="O12" s="52"/>
      <c r="P12" s="52"/>
      <c r="Q12" s="125"/>
      <c r="R12" s="124" t="s">
        <v>117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3"/>
      <c r="C13" s="31"/>
      <c r="D13" s="31"/>
      <c r="E13" s="31"/>
      <c r="F13" s="31"/>
      <c r="G13" s="96"/>
      <c r="H13" s="31"/>
      <c r="I13" s="31"/>
      <c r="J13" s="124" t="s">
        <v>118</v>
      </c>
      <c r="K13" s="52"/>
      <c r="L13" s="52"/>
      <c r="M13" s="52"/>
      <c r="N13" s="52"/>
      <c r="O13" s="52"/>
      <c r="P13" s="52"/>
      <c r="Q13" s="125"/>
      <c r="R13" s="124" t="s">
        <v>119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31"/>
      <c r="I14" s="31"/>
      <c r="J14" s="124" t="s">
        <v>120</v>
      </c>
      <c r="K14" s="52"/>
      <c r="L14" s="52"/>
      <c r="M14" s="52"/>
      <c r="N14" s="52"/>
      <c r="O14" s="52"/>
      <c r="P14" s="52"/>
      <c r="Q14" s="125"/>
      <c r="R14" s="124" t="s">
        <v>121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5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123"/>
      <c r="C15" s="31"/>
      <c r="D15" s="31"/>
      <c r="E15" s="31"/>
      <c r="F15" s="31"/>
      <c r="G15" s="96"/>
      <c r="H15" s="31"/>
      <c r="I15" s="31"/>
      <c r="J15" s="124" t="s">
        <v>122</v>
      </c>
      <c r="K15" s="52"/>
      <c r="L15" s="52"/>
      <c r="M15" s="52"/>
      <c r="N15" s="52"/>
      <c r="O15" s="52"/>
      <c r="P15" s="52"/>
      <c r="Q15" s="125"/>
      <c r="R15" s="124" t="s">
        <v>123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25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123"/>
      <c r="C16" s="31"/>
      <c r="D16" s="31"/>
      <c r="E16" s="31"/>
      <c r="F16" s="31"/>
      <c r="G16" s="96"/>
      <c r="H16" s="31"/>
      <c r="I16" s="31"/>
      <c r="J16" s="124" t="s">
        <v>124</v>
      </c>
      <c r="K16" s="52"/>
      <c r="L16" s="52"/>
      <c r="M16" s="52"/>
      <c r="N16" s="52"/>
      <c r="O16" s="52"/>
      <c r="P16" s="52"/>
      <c r="Q16" s="125"/>
      <c r="R16" s="124" t="s">
        <v>125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25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123"/>
      <c r="C17" s="31"/>
      <c r="D17" s="31"/>
      <c r="E17" s="31"/>
      <c r="F17" s="31"/>
      <c r="G17" s="96"/>
      <c r="H17" s="31"/>
      <c r="I17" s="31"/>
      <c r="J17" s="124" t="s">
        <v>126</v>
      </c>
      <c r="K17" s="52"/>
      <c r="L17" s="52"/>
      <c r="M17" s="52"/>
      <c r="N17" s="52"/>
      <c r="O17" s="52"/>
      <c r="P17" s="52"/>
      <c r="Q17" s="125"/>
      <c r="R17" s="124" t="s">
        <v>127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25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123"/>
      <c r="C18" s="31"/>
      <c r="D18" s="31"/>
      <c r="E18" s="31"/>
      <c r="F18" s="31"/>
      <c r="G18" s="96"/>
      <c r="H18" s="31"/>
      <c r="I18" s="31"/>
      <c r="J18" s="124" t="s">
        <v>128</v>
      </c>
      <c r="K18" s="52"/>
      <c r="L18" s="52"/>
      <c r="M18" s="52"/>
      <c r="N18" s="52"/>
      <c r="O18" s="52"/>
      <c r="P18" s="52"/>
      <c r="Q18" s="125"/>
      <c r="R18" s="124" t="s">
        <v>129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25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123"/>
      <c r="C19" s="31"/>
      <c r="D19" s="31"/>
      <c r="E19" s="31"/>
      <c r="F19" s="31"/>
      <c r="G19" s="96"/>
      <c r="H19" s="31"/>
      <c r="I19" s="31"/>
      <c r="J19" s="124" t="s">
        <v>130</v>
      </c>
      <c r="K19" s="52"/>
      <c r="L19" s="52"/>
      <c r="M19" s="52"/>
      <c r="N19" s="52"/>
      <c r="O19" s="52"/>
      <c r="P19" s="52"/>
      <c r="Q19" s="125"/>
      <c r="R19" s="124" t="s">
        <v>131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25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 x14ac:dyDescent="0.45">
      <c r="B20" s="123"/>
      <c r="C20" s="31"/>
      <c r="D20" s="31"/>
      <c r="E20" s="31"/>
      <c r="F20" s="31"/>
      <c r="G20" s="96"/>
      <c r="H20" s="31"/>
      <c r="I20" s="31"/>
      <c r="J20" s="124" t="s">
        <v>132</v>
      </c>
      <c r="K20" s="52"/>
      <c r="L20" s="52"/>
      <c r="M20" s="52"/>
      <c r="N20" s="52"/>
      <c r="O20" s="52"/>
      <c r="P20" s="52"/>
      <c r="Q20" s="125"/>
      <c r="R20" s="124" t="s">
        <v>133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25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x14ac:dyDescent="0.45">
      <c r="B21" s="123"/>
      <c r="C21" s="31"/>
      <c r="D21" s="31"/>
      <c r="E21" s="31"/>
      <c r="F21" s="31"/>
      <c r="G21" s="96"/>
      <c r="H21" s="31"/>
      <c r="I21" s="31"/>
      <c r="J21" s="124" t="s">
        <v>134</v>
      </c>
      <c r="K21" s="52"/>
      <c r="L21" s="52"/>
      <c r="M21" s="52"/>
      <c r="N21" s="52"/>
      <c r="O21" s="52"/>
      <c r="P21" s="52"/>
      <c r="Q21" s="125"/>
      <c r="R21" s="124" t="s">
        <v>135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25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123"/>
      <c r="C22" s="31"/>
      <c r="D22" s="31"/>
      <c r="E22" s="31"/>
      <c r="F22" s="31"/>
      <c r="G22" s="96"/>
      <c r="H22" s="31"/>
      <c r="I22" s="31"/>
      <c r="J22" s="124" t="s">
        <v>136</v>
      </c>
      <c r="K22" s="52"/>
      <c r="L22" s="52"/>
      <c r="M22" s="52"/>
      <c r="N22" s="52"/>
      <c r="O22" s="52"/>
      <c r="P22" s="52"/>
      <c r="Q22" s="125"/>
      <c r="R22" s="124" t="s">
        <v>137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25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123"/>
      <c r="C23" s="31"/>
      <c r="D23" s="31"/>
      <c r="E23" s="31"/>
      <c r="F23" s="31"/>
      <c r="G23" s="96"/>
      <c r="H23" s="31"/>
      <c r="I23" s="31"/>
      <c r="J23" s="124" t="s">
        <v>138</v>
      </c>
      <c r="K23" s="52"/>
      <c r="L23" s="52"/>
      <c r="M23" s="52"/>
      <c r="N23" s="52"/>
      <c r="O23" s="52"/>
      <c r="P23" s="52"/>
      <c r="Q23" s="125"/>
      <c r="R23" s="124" t="s">
        <v>139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25"/>
      <c r="AK23" s="9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1" ht="20.100000000000001" customHeight="1" x14ac:dyDescent="0.45">
      <c r="B24" s="123"/>
      <c r="C24" s="31"/>
      <c r="D24" s="31"/>
      <c r="E24" s="31"/>
      <c r="F24" s="31"/>
      <c r="G24" s="96"/>
      <c r="H24" s="31"/>
      <c r="I24" s="31"/>
      <c r="J24" s="124" t="s">
        <v>140</v>
      </c>
      <c r="K24" s="52"/>
      <c r="L24" s="52"/>
      <c r="M24" s="52"/>
      <c r="N24" s="52"/>
      <c r="O24" s="52"/>
      <c r="P24" s="52"/>
      <c r="Q24" s="125"/>
      <c r="R24" s="124" t="s">
        <v>141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25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1" ht="20.100000000000001" customHeight="1" x14ac:dyDescent="0.45">
      <c r="B25" s="123"/>
      <c r="C25" s="31"/>
      <c r="D25" s="31"/>
      <c r="E25" s="31"/>
      <c r="F25" s="31"/>
      <c r="G25" s="96"/>
      <c r="H25" s="31"/>
      <c r="I25" s="31"/>
      <c r="J25" s="124" t="s">
        <v>142</v>
      </c>
      <c r="K25" s="52"/>
      <c r="L25" s="52"/>
      <c r="M25" s="52"/>
      <c r="N25" s="52"/>
      <c r="O25" s="52"/>
      <c r="P25" s="52"/>
      <c r="Q25" s="125"/>
      <c r="R25" s="124" t="s">
        <v>143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25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1" ht="20.100000000000001" customHeight="1" x14ac:dyDescent="0.45">
      <c r="B26" s="123"/>
      <c r="C26" s="31"/>
      <c r="D26" s="31"/>
      <c r="E26" s="31"/>
      <c r="F26" s="31"/>
      <c r="G26" s="96"/>
      <c r="H26" s="31"/>
      <c r="I26" s="31"/>
      <c r="J26" s="124" t="s">
        <v>144</v>
      </c>
      <c r="K26" s="52"/>
      <c r="L26" s="52"/>
      <c r="M26" s="52"/>
      <c r="N26" s="52"/>
      <c r="O26" s="52"/>
      <c r="P26" s="52"/>
      <c r="Q26" s="125"/>
      <c r="R26" s="124" t="s">
        <v>145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125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1" ht="20.100000000000001" customHeight="1" x14ac:dyDescent="0.45">
      <c r="B27" s="123"/>
      <c r="C27" s="31"/>
      <c r="D27" s="31"/>
      <c r="E27" s="31"/>
      <c r="F27" s="31"/>
      <c r="G27" s="96"/>
      <c r="H27" s="31"/>
      <c r="I27" s="31"/>
      <c r="J27" s="124" t="s">
        <v>146</v>
      </c>
      <c r="K27" s="52"/>
      <c r="L27" s="52"/>
      <c r="M27" s="52"/>
      <c r="N27" s="52"/>
      <c r="O27" s="52"/>
      <c r="P27" s="52"/>
      <c r="Q27" s="125"/>
      <c r="R27" s="124" t="s">
        <v>147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125"/>
      <c r="AK27" s="98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123"/>
      <c r="C28" s="31"/>
      <c r="D28" s="31"/>
      <c r="E28" s="31"/>
      <c r="F28" s="31"/>
      <c r="G28" s="96"/>
      <c r="H28" s="31"/>
      <c r="I28" s="31"/>
      <c r="J28" s="124" t="s">
        <v>148</v>
      </c>
      <c r="K28" s="52"/>
      <c r="L28" s="52"/>
      <c r="M28" s="52"/>
      <c r="N28" s="52"/>
      <c r="O28" s="52"/>
      <c r="P28" s="52"/>
      <c r="Q28" s="125"/>
      <c r="R28" s="124" t="s">
        <v>149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125"/>
      <c r="AK28" s="98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x14ac:dyDescent="0.45">
      <c r="B29" s="123"/>
      <c r="C29" s="31"/>
      <c r="D29" s="31"/>
      <c r="E29" s="31"/>
      <c r="F29" s="31"/>
      <c r="G29" s="96"/>
      <c r="H29" s="31"/>
      <c r="I29" s="31"/>
      <c r="J29" s="124" t="s">
        <v>150</v>
      </c>
      <c r="K29" s="52"/>
      <c r="L29" s="52"/>
      <c r="M29" s="52"/>
      <c r="N29" s="52"/>
      <c r="O29" s="52"/>
      <c r="P29" s="52"/>
      <c r="Q29" s="125"/>
      <c r="R29" s="124" t="s">
        <v>151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125"/>
      <c r="AK29" s="98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1" ht="20.100000000000001" customHeight="1" x14ac:dyDescent="0.45">
      <c r="B30" s="123"/>
      <c r="C30" s="31"/>
      <c r="D30" s="31"/>
      <c r="E30" s="31"/>
      <c r="F30" s="31"/>
      <c r="G30" s="96"/>
      <c r="H30" s="31"/>
      <c r="I30" s="31"/>
      <c r="J30" s="124" t="s">
        <v>152</v>
      </c>
      <c r="K30" s="52"/>
      <c r="L30" s="52"/>
      <c r="M30" s="52"/>
      <c r="N30" s="52"/>
      <c r="O30" s="52"/>
      <c r="P30" s="52"/>
      <c r="Q30" s="125"/>
      <c r="R30" s="124" t="s">
        <v>153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125"/>
      <c r="AK30" s="98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1" ht="20.100000000000001" customHeight="1" x14ac:dyDescent="0.45">
      <c r="B31" s="123"/>
      <c r="C31" s="31"/>
      <c r="D31" s="31"/>
      <c r="E31" s="31"/>
      <c r="F31" s="31"/>
      <c r="G31" s="96"/>
      <c r="H31" s="31"/>
      <c r="I31" s="31"/>
      <c r="J31" s="124" t="s">
        <v>154</v>
      </c>
      <c r="K31" s="52"/>
      <c r="L31" s="52"/>
      <c r="M31" s="52"/>
      <c r="N31" s="52"/>
      <c r="O31" s="52"/>
      <c r="P31" s="52"/>
      <c r="Q31" s="125"/>
      <c r="R31" s="124" t="s">
        <v>155</v>
      </c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125"/>
      <c r="AK31" s="98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99"/>
    </row>
    <row r="32" spans="2:61" ht="20.100000000000001" customHeight="1" x14ac:dyDescent="0.45">
      <c r="B32" s="123"/>
      <c r="C32" s="31"/>
      <c r="D32" s="31"/>
      <c r="E32" s="31"/>
      <c r="F32" s="31"/>
      <c r="G32" s="96"/>
      <c r="H32" s="31"/>
      <c r="I32" s="31"/>
      <c r="J32" s="124" t="s">
        <v>156</v>
      </c>
      <c r="K32" s="52"/>
      <c r="L32" s="52"/>
      <c r="M32" s="52"/>
      <c r="N32" s="52"/>
      <c r="O32" s="52"/>
      <c r="P32" s="52"/>
      <c r="Q32" s="125"/>
      <c r="R32" s="124" t="s">
        <v>157</v>
      </c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125"/>
      <c r="AK32" s="98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123"/>
      <c r="C33" s="31"/>
      <c r="D33" s="31"/>
      <c r="E33" s="31"/>
      <c r="F33" s="31"/>
      <c r="G33" s="96"/>
      <c r="H33" s="31"/>
      <c r="I33" s="31"/>
      <c r="J33" s="124" t="s">
        <v>158</v>
      </c>
      <c r="K33" s="52"/>
      <c r="L33" s="52"/>
      <c r="M33" s="52"/>
      <c r="N33" s="52"/>
      <c r="O33" s="52"/>
      <c r="P33" s="52"/>
      <c r="Q33" s="125"/>
      <c r="R33" s="124" t="s">
        <v>159</v>
      </c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125"/>
      <c r="AK33" s="98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x14ac:dyDescent="0.45">
      <c r="B34" s="123"/>
      <c r="C34" s="31"/>
      <c r="D34" s="31"/>
      <c r="E34" s="31"/>
      <c r="F34" s="31"/>
      <c r="G34" s="96"/>
      <c r="H34" s="31"/>
      <c r="I34" s="31"/>
      <c r="J34" s="124" t="s">
        <v>160</v>
      </c>
      <c r="K34" s="52"/>
      <c r="L34" s="52"/>
      <c r="M34" s="52"/>
      <c r="N34" s="52"/>
      <c r="O34" s="52"/>
      <c r="P34" s="52"/>
      <c r="Q34" s="125"/>
      <c r="R34" s="124" t="s">
        <v>161</v>
      </c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125"/>
      <c r="AK34" s="98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99"/>
    </row>
    <row r="35" spans="2:61" ht="20.100000000000001" customHeight="1" x14ac:dyDescent="0.45">
      <c r="B35" s="123"/>
      <c r="C35" s="31"/>
      <c r="D35" s="31"/>
      <c r="E35" s="31"/>
      <c r="F35" s="31"/>
      <c r="G35" s="96"/>
      <c r="H35" s="100" t="s">
        <v>51</v>
      </c>
      <c r="I35" s="55"/>
      <c r="J35" s="100" t="s">
        <v>162</v>
      </c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101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102"/>
    </row>
    <row r="36" spans="2:61" ht="20.100000000000001" customHeight="1" thickBot="1" x14ac:dyDescent="0.5">
      <c r="B36" s="95"/>
      <c r="C36" s="31"/>
      <c r="D36" s="31"/>
      <c r="E36" s="31"/>
      <c r="F36" s="31"/>
      <c r="G36" s="96"/>
      <c r="H36" s="100" t="s">
        <v>52</v>
      </c>
      <c r="I36" s="55"/>
      <c r="J36" s="100" t="s">
        <v>181</v>
      </c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101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102"/>
    </row>
    <row r="37" spans="2:61" ht="5.0999999999999996" customHeight="1" x14ac:dyDescent="0.45"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98" t="s">
        <v>0</v>
      </c>
      <c r="C2" s="199"/>
      <c r="D2" s="199"/>
      <c r="E2" s="199"/>
      <c r="F2" s="199"/>
      <c r="G2" s="199"/>
      <c r="H2" s="199" t="s">
        <v>16</v>
      </c>
      <c r="I2" s="199"/>
      <c r="J2" s="199"/>
      <c r="K2" s="199"/>
      <c r="L2" s="199" t="s">
        <v>1</v>
      </c>
      <c r="M2" s="199"/>
      <c r="N2" s="199"/>
      <c r="O2" s="199"/>
      <c r="P2" s="199"/>
      <c r="Q2" s="199"/>
      <c r="R2" s="199" t="s">
        <v>2</v>
      </c>
      <c r="S2" s="199"/>
      <c r="T2" s="199"/>
      <c r="U2" s="199"/>
      <c r="V2" s="199"/>
      <c r="W2" s="199"/>
      <c r="X2" s="200" t="s">
        <v>3</v>
      </c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2"/>
      <c r="AK2" s="200" t="s">
        <v>31</v>
      </c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2"/>
      <c r="AX2" s="199" t="s">
        <v>5</v>
      </c>
      <c r="AY2" s="199"/>
      <c r="AZ2" s="199"/>
      <c r="BA2" s="199"/>
      <c r="BB2" s="199" t="s">
        <v>4</v>
      </c>
      <c r="BC2" s="199"/>
      <c r="BD2" s="199"/>
      <c r="BE2" s="199"/>
      <c r="BF2" s="199" t="s">
        <v>6</v>
      </c>
      <c r="BG2" s="199"/>
      <c r="BH2" s="199"/>
      <c r="BI2" s="199"/>
      <c r="BJ2" s="199" t="s">
        <v>7</v>
      </c>
      <c r="BK2" s="199"/>
      <c r="BL2" s="199"/>
      <c r="BM2" s="209"/>
    </row>
    <row r="3" spans="2:65" ht="20.100000000000001" customHeight="1" x14ac:dyDescent="0.45">
      <c r="B3" s="203" t="str">
        <f>変更履歴!B3</f>
        <v>受発注システム</v>
      </c>
      <c r="C3" s="149"/>
      <c r="D3" s="149"/>
      <c r="E3" s="149"/>
      <c r="F3" s="149"/>
      <c r="G3" s="149"/>
      <c r="H3" s="149" t="str">
        <f ca="1">変更履歴!H3</f>
        <v>SS0700</v>
      </c>
      <c r="I3" s="149"/>
      <c r="J3" s="149"/>
      <c r="K3" s="149"/>
      <c r="L3" s="149" t="str">
        <f>変更履歴!L3</f>
        <v>受発注</v>
      </c>
      <c r="M3" s="149"/>
      <c r="N3" s="149"/>
      <c r="O3" s="149"/>
      <c r="P3" s="149"/>
      <c r="Q3" s="149"/>
      <c r="R3" s="149" t="str">
        <f ca="1">変更履歴!R3</f>
        <v>帳票設計書</v>
      </c>
      <c r="S3" s="149"/>
      <c r="T3" s="149"/>
      <c r="U3" s="149"/>
      <c r="V3" s="149"/>
      <c r="W3" s="149"/>
      <c r="X3" s="152" t="str">
        <f ca="1">変更履歴!X3</f>
        <v>SS0700_支払取込エラーリスト_帳票設計書</v>
      </c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4"/>
      <c r="AK3" s="152" t="str">
        <f ca="1">変更履歴!AK3</f>
        <v>支払取込エラーリスト</v>
      </c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4"/>
      <c r="AX3" s="148">
        <f>変更履歴!AX3</f>
        <v>45583</v>
      </c>
      <c r="AY3" s="148"/>
      <c r="AZ3" s="148"/>
      <c r="BA3" s="148"/>
      <c r="BB3" s="149" t="str">
        <f>変更履歴!BB3</f>
        <v>大谷</v>
      </c>
      <c r="BC3" s="149"/>
      <c r="BD3" s="149"/>
      <c r="BE3" s="149"/>
      <c r="BF3" s="148">
        <f>変更履歴!BF3</f>
        <v>45583</v>
      </c>
      <c r="BG3" s="148"/>
      <c r="BH3" s="148"/>
      <c r="BI3" s="148"/>
      <c r="BJ3" s="149" t="str">
        <f>変更履歴!BJ3</f>
        <v>大谷</v>
      </c>
      <c r="BK3" s="149"/>
      <c r="BL3" s="149"/>
      <c r="BM3" s="207"/>
    </row>
    <row r="4" spans="2:65" ht="20.100000000000001" customHeight="1" thickBot="1" x14ac:dyDescent="0.5">
      <c r="B4" s="204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195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7"/>
      <c r="AK4" s="195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7"/>
      <c r="AX4" s="206"/>
      <c r="AY4" s="206"/>
      <c r="AZ4" s="206"/>
      <c r="BA4" s="206"/>
      <c r="BB4" s="205"/>
      <c r="BC4" s="205"/>
      <c r="BD4" s="205"/>
      <c r="BE4" s="205"/>
      <c r="BF4" s="206"/>
      <c r="BG4" s="206"/>
      <c r="BH4" s="206"/>
      <c r="BI4" s="206"/>
      <c r="BJ4" s="205"/>
      <c r="BK4" s="205"/>
      <c r="BL4" s="205"/>
      <c r="BM4" s="208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53</v>
      </c>
      <c r="C7" s="90"/>
      <c r="D7" s="90"/>
      <c r="E7" s="90"/>
      <c r="F7" s="90"/>
      <c r="G7" s="90"/>
      <c r="H7" s="92" t="s">
        <v>81</v>
      </c>
      <c r="I7" s="91"/>
      <c r="J7" s="126" t="s">
        <v>19</v>
      </c>
      <c r="K7" s="121"/>
      <c r="L7" s="121"/>
      <c r="M7" s="121"/>
      <c r="N7" s="121"/>
      <c r="O7" s="121"/>
      <c r="P7" s="121"/>
      <c r="Q7" s="121"/>
      <c r="R7" s="126" t="s">
        <v>82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83</v>
      </c>
      <c r="K8" s="52"/>
      <c r="L8" s="52"/>
      <c r="M8" s="52"/>
      <c r="N8" s="52"/>
      <c r="O8" s="52"/>
      <c r="P8" s="52"/>
      <c r="Q8" s="52"/>
      <c r="R8" s="124" t="s">
        <v>84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85</v>
      </c>
      <c r="K9" s="52"/>
      <c r="L9" s="52"/>
      <c r="M9" s="52"/>
      <c r="N9" s="52"/>
      <c r="O9" s="52"/>
      <c r="P9" s="52"/>
      <c r="Q9" s="52"/>
      <c r="R9" s="124" t="s">
        <v>86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54</v>
      </c>
      <c r="I10" s="31"/>
      <c r="J10" s="111" t="s">
        <v>55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56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57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58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59</v>
      </c>
      <c r="I14" s="55"/>
      <c r="J14" s="107" t="s">
        <v>60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61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62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63</v>
      </c>
      <c r="M17" s="109" t="s">
        <v>62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64</v>
      </c>
      <c r="M18" s="109" t="s">
        <v>62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65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66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67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63</v>
      </c>
      <c r="M22" s="104" t="s">
        <v>68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69</v>
      </c>
      <c r="I23" s="31"/>
      <c r="J23" s="111"/>
      <c r="K23" s="109" t="s">
        <v>70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71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63</v>
      </c>
      <c r="K24" s="109" t="s">
        <v>72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64</v>
      </c>
      <c r="K25" s="109" t="s">
        <v>72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73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74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75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63</v>
      </c>
      <c r="K28" s="31" t="s">
        <v>76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77</v>
      </c>
      <c r="I32" s="31"/>
      <c r="J32" s="111" t="s">
        <v>78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79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80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E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22.19921875" style="29" bestFit="1" customWidth="1"/>
    <col min="5" max="16384" width="8.796875" style="29"/>
  </cols>
  <sheetData>
    <row r="2" spans="2:5" ht="19.2" thickBot="1" x14ac:dyDescent="0.5">
      <c r="B2" s="87" t="s">
        <v>47</v>
      </c>
    </row>
    <row r="3" spans="2:5" ht="18.600000000000001" thickTop="1" x14ac:dyDescent="0.45">
      <c r="B3" s="38" t="s">
        <v>18</v>
      </c>
      <c r="C3" s="77" t="s">
        <v>48</v>
      </c>
      <c r="D3" s="74" t="s">
        <v>20</v>
      </c>
      <c r="E3" s="78" t="s">
        <v>49</v>
      </c>
    </row>
    <row r="4" spans="2:5" x14ac:dyDescent="0.45">
      <c r="B4" s="37">
        <v>1</v>
      </c>
      <c r="C4" s="79" t="s">
        <v>171</v>
      </c>
      <c r="D4" s="80" t="s">
        <v>172</v>
      </c>
      <c r="E4" s="81" t="s">
        <v>183</v>
      </c>
    </row>
    <row r="5" spans="2:5" x14ac:dyDescent="0.45">
      <c r="B5" s="37">
        <v>2</v>
      </c>
      <c r="C5" s="79"/>
      <c r="D5" s="82"/>
      <c r="E5" s="81"/>
    </row>
    <row r="6" spans="2:5" x14ac:dyDescent="0.45">
      <c r="B6" s="37">
        <v>3</v>
      </c>
      <c r="C6" s="79"/>
      <c r="D6" s="82"/>
      <c r="E6" s="81"/>
    </row>
    <row r="7" spans="2:5" x14ac:dyDescent="0.45">
      <c r="B7" s="37">
        <v>4</v>
      </c>
      <c r="C7" s="79"/>
      <c r="D7" s="82"/>
      <c r="E7" s="81"/>
    </row>
    <row r="8" spans="2:5" x14ac:dyDescent="0.45">
      <c r="B8" s="37">
        <v>5</v>
      </c>
      <c r="C8" s="79"/>
      <c r="D8" s="82"/>
      <c r="E8" s="81"/>
    </row>
    <row r="9" spans="2:5" x14ac:dyDescent="0.45">
      <c r="B9" s="37">
        <v>6</v>
      </c>
      <c r="C9" s="79"/>
      <c r="D9" s="82"/>
      <c r="E9" s="81"/>
    </row>
    <row r="10" spans="2:5" x14ac:dyDescent="0.45">
      <c r="B10" s="37">
        <v>7</v>
      </c>
      <c r="C10" s="79"/>
      <c r="D10" s="82"/>
      <c r="E10" s="81"/>
    </row>
    <row r="11" spans="2:5" x14ac:dyDescent="0.45">
      <c r="B11" s="37">
        <v>8</v>
      </c>
      <c r="C11" s="79"/>
      <c r="D11" s="82"/>
      <c r="E11" s="81"/>
    </row>
    <row r="12" spans="2:5" x14ac:dyDescent="0.45">
      <c r="B12" s="37">
        <v>9</v>
      </c>
      <c r="C12" s="79"/>
      <c r="D12" s="82"/>
      <c r="E12" s="81"/>
    </row>
    <row r="13" spans="2:5" x14ac:dyDescent="0.45">
      <c r="B13" s="37">
        <v>10</v>
      </c>
      <c r="C13" s="79"/>
      <c r="D13" s="82"/>
      <c r="E13" s="81"/>
    </row>
    <row r="14" spans="2:5" x14ac:dyDescent="0.45">
      <c r="B14" s="37">
        <v>11</v>
      </c>
      <c r="C14" s="79"/>
      <c r="D14" s="82"/>
      <c r="E14" s="81"/>
    </row>
    <row r="15" spans="2:5" x14ac:dyDescent="0.45">
      <c r="B15" s="37">
        <v>12</v>
      </c>
      <c r="C15" s="79"/>
      <c r="D15" s="82"/>
      <c r="E15" s="81"/>
    </row>
    <row r="16" spans="2:5" x14ac:dyDescent="0.45">
      <c r="B16" s="37">
        <v>13</v>
      </c>
      <c r="C16" s="79"/>
      <c r="D16" s="82"/>
      <c r="E16" s="81"/>
    </row>
    <row r="17" spans="2:5" x14ac:dyDescent="0.45">
      <c r="B17" s="37">
        <v>14</v>
      </c>
      <c r="C17" s="79"/>
      <c r="D17" s="82"/>
      <c r="E17" s="81"/>
    </row>
    <row r="18" spans="2:5" x14ac:dyDescent="0.45">
      <c r="B18" s="37">
        <v>15</v>
      </c>
      <c r="C18" s="79"/>
      <c r="D18" s="82"/>
      <c r="E18" s="81"/>
    </row>
    <row r="19" spans="2:5" x14ac:dyDescent="0.45">
      <c r="B19" s="37">
        <v>16</v>
      </c>
      <c r="C19" s="79"/>
      <c r="D19" s="82"/>
      <c r="E19" s="81"/>
    </row>
    <row r="20" spans="2:5" x14ac:dyDescent="0.45">
      <c r="B20" s="37">
        <v>17</v>
      </c>
      <c r="C20" s="79"/>
      <c r="D20" s="82"/>
      <c r="E20" s="81"/>
    </row>
    <row r="21" spans="2:5" x14ac:dyDescent="0.45">
      <c r="B21" s="37">
        <v>18</v>
      </c>
      <c r="C21" s="79"/>
      <c r="D21" s="82"/>
      <c r="E21" s="81"/>
    </row>
    <row r="22" spans="2:5" x14ac:dyDescent="0.45">
      <c r="B22" s="37">
        <v>19</v>
      </c>
      <c r="C22" s="79"/>
      <c r="D22" s="82"/>
      <c r="E22" s="81"/>
    </row>
    <row r="23" spans="2:5" x14ac:dyDescent="0.45">
      <c r="B23" s="37">
        <v>20</v>
      </c>
      <c r="C23" s="79"/>
      <c r="D23" s="82"/>
      <c r="E23" s="81"/>
    </row>
    <row r="24" spans="2:5" x14ac:dyDescent="0.45">
      <c r="B24" s="37">
        <v>21</v>
      </c>
      <c r="C24" s="79"/>
      <c r="D24" s="82"/>
      <c r="E24" s="81"/>
    </row>
    <row r="25" spans="2:5" x14ac:dyDescent="0.45">
      <c r="B25" s="37">
        <v>22</v>
      </c>
      <c r="C25" s="79"/>
      <c r="D25" s="82"/>
      <c r="E25" s="81"/>
    </row>
    <row r="26" spans="2:5" x14ac:dyDescent="0.45">
      <c r="B26" s="37">
        <v>23</v>
      </c>
      <c r="C26" s="79"/>
      <c r="D26" s="82"/>
      <c r="E26" s="81"/>
    </row>
    <row r="27" spans="2:5" x14ac:dyDescent="0.45">
      <c r="B27" s="37">
        <v>24</v>
      </c>
      <c r="C27" s="79"/>
      <c r="D27" s="82"/>
      <c r="E27" s="81"/>
    </row>
    <row r="28" spans="2:5" x14ac:dyDescent="0.45">
      <c r="B28" s="37">
        <v>25</v>
      </c>
      <c r="C28" s="79"/>
      <c r="D28" s="82"/>
      <c r="E28" s="81"/>
    </row>
    <row r="29" spans="2:5" x14ac:dyDescent="0.45">
      <c r="B29" s="37">
        <v>26</v>
      </c>
      <c r="C29" s="79"/>
      <c r="D29" s="82"/>
      <c r="E29" s="81"/>
    </row>
    <row r="30" spans="2:5" x14ac:dyDescent="0.45">
      <c r="B30" s="37">
        <v>27</v>
      </c>
      <c r="C30" s="79"/>
      <c r="D30" s="82"/>
      <c r="E30" s="81"/>
    </row>
    <row r="31" spans="2:5" x14ac:dyDescent="0.45">
      <c r="B31" s="37">
        <v>28</v>
      </c>
      <c r="C31" s="79"/>
      <c r="D31" s="82"/>
      <c r="E31" s="81"/>
    </row>
    <row r="32" spans="2:5" x14ac:dyDescent="0.45">
      <c r="B32" s="37">
        <v>29</v>
      </c>
      <c r="C32" s="79"/>
      <c r="D32" s="82"/>
      <c r="E32" s="81"/>
    </row>
    <row r="33" spans="2:5" x14ac:dyDescent="0.45">
      <c r="B33" s="37">
        <v>30</v>
      </c>
      <c r="C33" s="79"/>
      <c r="D33" s="82"/>
      <c r="E33" s="81"/>
    </row>
    <row r="34" spans="2:5" x14ac:dyDescent="0.45">
      <c r="B34" s="37">
        <v>31</v>
      </c>
      <c r="C34" s="79"/>
      <c r="D34" s="82"/>
      <c r="E34" s="81"/>
    </row>
    <row r="35" spans="2:5" x14ac:dyDescent="0.45">
      <c r="B35" s="37">
        <v>32</v>
      </c>
      <c r="C35" s="79"/>
      <c r="D35" s="82"/>
      <c r="E35" s="81"/>
    </row>
    <row r="36" spans="2:5" x14ac:dyDescent="0.45">
      <c r="B36" s="37">
        <v>33</v>
      </c>
      <c r="C36" s="79"/>
      <c r="D36" s="82"/>
      <c r="E36" s="81"/>
    </row>
    <row r="37" spans="2:5" x14ac:dyDescent="0.45">
      <c r="B37" s="37">
        <v>34</v>
      </c>
      <c r="C37" s="79"/>
      <c r="D37" s="82"/>
      <c r="E37" s="81"/>
    </row>
    <row r="38" spans="2:5" x14ac:dyDescent="0.45">
      <c r="B38" s="37">
        <v>35</v>
      </c>
      <c r="C38" s="79"/>
      <c r="D38" s="82"/>
      <c r="E38" s="81"/>
    </row>
    <row r="39" spans="2:5" x14ac:dyDescent="0.45">
      <c r="B39" s="37">
        <v>36</v>
      </c>
      <c r="C39" s="79"/>
      <c r="D39" s="82"/>
      <c r="E39" s="81"/>
    </row>
    <row r="40" spans="2:5" x14ac:dyDescent="0.45">
      <c r="B40" s="37">
        <v>37</v>
      </c>
      <c r="C40" s="79"/>
      <c r="D40" s="82"/>
      <c r="E40" s="81"/>
    </row>
    <row r="41" spans="2:5" x14ac:dyDescent="0.45">
      <c r="B41" s="37">
        <v>38</v>
      </c>
      <c r="C41" s="79"/>
      <c r="D41" s="82"/>
      <c r="E41" s="81"/>
    </row>
    <row r="42" spans="2:5" x14ac:dyDescent="0.45">
      <c r="B42" s="37">
        <v>39</v>
      </c>
      <c r="C42" s="79"/>
      <c r="D42" s="82"/>
      <c r="E42" s="81"/>
    </row>
    <row r="43" spans="2:5" x14ac:dyDescent="0.45">
      <c r="B43" s="37">
        <v>40</v>
      </c>
      <c r="C43" s="79"/>
      <c r="D43" s="82"/>
      <c r="E43" s="81"/>
    </row>
    <row r="44" spans="2:5" x14ac:dyDescent="0.45">
      <c r="B44" s="37">
        <v>41</v>
      </c>
      <c r="C44" s="79"/>
      <c r="D44" s="82"/>
      <c r="E44" s="81"/>
    </row>
    <row r="45" spans="2:5" x14ac:dyDescent="0.45">
      <c r="B45" s="37">
        <v>42</v>
      </c>
      <c r="C45" s="79"/>
      <c r="D45" s="82"/>
      <c r="E45" s="81"/>
    </row>
    <row r="46" spans="2:5" x14ac:dyDescent="0.45">
      <c r="B46" s="37">
        <v>43</v>
      </c>
      <c r="C46" s="79"/>
      <c r="D46" s="82"/>
      <c r="E46" s="81"/>
    </row>
    <row r="47" spans="2:5" x14ac:dyDescent="0.45">
      <c r="B47" s="37">
        <v>44</v>
      </c>
      <c r="C47" s="79"/>
      <c r="D47" s="82"/>
      <c r="E47" s="81"/>
    </row>
    <row r="48" spans="2:5" x14ac:dyDescent="0.45">
      <c r="B48" s="37">
        <v>45</v>
      </c>
      <c r="C48" s="79"/>
      <c r="D48" s="82"/>
      <c r="E48" s="81"/>
    </row>
    <row r="49" spans="2:5" x14ac:dyDescent="0.45">
      <c r="B49" s="37">
        <v>46</v>
      </c>
      <c r="C49" s="79"/>
      <c r="D49" s="82"/>
      <c r="E49" s="81"/>
    </row>
    <row r="50" spans="2:5" x14ac:dyDescent="0.45">
      <c r="B50" s="37">
        <v>47</v>
      </c>
      <c r="C50" s="79"/>
      <c r="D50" s="82"/>
      <c r="E50" s="81"/>
    </row>
    <row r="51" spans="2:5" x14ac:dyDescent="0.45">
      <c r="B51" s="37">
        <v>48</v>
      </c>
      <c r="C51" s="79"/>
      <c r="D51" s="82"/>
      <c r="E51" s="81"/>
    </row>
    <row r="52" spans="2:5" x14ac:dyDescent="0.45">
      <c r="B52" s="37">
        <v>49</v>
      </c>
      <c r="C52" s="79"/>
      <c r="D52" s="82"/>
      <c r="E52" s="81"/>
    </row>
    <row r="53" spans="2:5" x14ac:dyDescent="0.45">
      <c r="B53" s="37">
        <v>50</v>
      </c>
      <c r="C53" s="79"/>
      <c r="D53" s="82"/>
      <c r="E53" s="81"/>
    </row>
    <row r="54" spans="2:5" ht="18.600000000000001" thickBot="1" x14ac:dyDescent="0.5">
      <c r="B54" s="83">
        <v>51</v>
      </c>
      <c r="C54" s="84"/>
      <c r="D54" s="85"/>
      <c r="E54" s="86"/>
    </row>
    <row r="55" spans="2:5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8" x14ac:dyDescent="0.45"/>
  <cols>
    <col min="1" max="1" width="15.19921875" customWidth="1"/>
    <col min="2" max="2" width="11.796875" customWidth="1"/>
    <col min="3" max="3" width="16.8984375" customWidth="1"/>
    <col min="4" max="4" width="32.09765625" customWidth="1"/>
  </cols>
  <sheetData>
    <row r="1" spans="1:4" ht="19.8" x14ac:dyDescent="0.45">
      <c r="A1" s="128" t="s">
        <v>163</v>
      </c>
      <c r="C1" t="s">
        <v>167</v>
      </c>
      <c r="D1" t="s">
        <v>168</v>
      </c>
    </row>
    <row r="3" spans="1:4" x14ac:dyDescent="0.45">
      <c r="A3" s="129" t="s">
        <v>8</v>
      </c>
      <c r="B3" s="129" t="s">
        <v>83</v>
      </c>
      <c r="C3" s="129" t="s">
        <v>164</v>
      </c>
      <c r="D3" s="129" t="s">
        <v>165</v>
      </c>
    </row>
    <row r="4" spans="1:4" x14ac:dyDescent="0.45">
      <c r="A4" s="79" t="s">
        <v>166</v>
      </c>
      <c r="B4" s="79">
        <v>9999</v>
      </c>
      <c r="C4" s="130">
        <v>12345678901</v>
      </c>
      <c r="D4" s="79" t="s">
        <v>169</v>
      </c>
    </row>
    <row r="5" spans="1:4" x14ac:dyDescent="0.45">
      <c r="A5" s="79"/>
      <c r="B5" s="79"/>
      <c r="C5" s="79"/>
      <c r="D5" s="79"/>
    </row>
    <row r="6" spans="1:4" x14ac:dyDescent="0.45">
      <c r="A6" s="79"/>
      <c r="B6" s="79"/>
      <c r="C6" s="79"/>
      <c r="D6" s="79"/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J13"/>
  <sheetViews>
    <sheetView workbookViewId="0"/>
  </sheetViews>
  <sheetFormatPr defaultRowHeight="18" x14ac:dyDescent="0.45"/>
  <cols>
    <col min="3" max="3" width="11.59765625" style="29" customWidth="1"/>
    <col min="4" max="4" width="33.19921875" bestFit="1" customWidth="1"/>
  </cols>
  <sheetData>
    <row r="1" spans="1:10" ht="18.600000000000001" x14ac:dyDescent="0.45">
      <c r="A1" s="87" t="s">
        <v>170</v>
      </c>
    </row>
    <row r="2" spans="1:10" ht="18.600000000000001" thickBot="1" x14ac:dyDescent="0.5">
      <c r="F2" s="133" t="s">
        <v>96</v>
      </c>
      <c r="G2" s="133" t="s">
        <v>95</v>
      </c>
      <c r="I2" s="133" t="s">
        <v>98</v>
      </c>
      <c r="J2" s="133"/>
    </row>
    <row r="3" spans="1:10" ht="18.600000000000001" thickTop="1" x14ac:dyDescent="0.45">
      <c r="B3" s="38" t="s">
        <v>18</v>
      </c>
      <c r="C3" s="132" t="s">
        <v>45</v>
      </c>
      <c r="D3" s="78" t="s">
        <v>173</v>
      </c>
    </row>
    <row r="4" spans="1:10" x14ac:dyDescent="0.45">
      <c r="B4" s="37">
        <v>1</v>
      </c>
      <c r="C4" s="131" t="s">
        <v>96</v>
      </c>
      <c r="D4" s="134" t="s">
        <v>174</v>
      </c>
    </row>
    <row r="5" spans="1:10" x14ac:dyDescent="0.45">
      <c r="B5" s="37">
        <v>2</v>
      </c>
      <c r="C5" s="131" t="s">
        <v>96</v>
      </c>
      <c r="D5" s="134" t="s">
        <v>175</v>
      </c>
    </row>
    <row r="6" spans="1:10" x14ac:dyDescent="0.45">
      <c r="B6" s="37">
        <v>3</v>
      </c>
      <c r="C6" s="131" t="s">
        <v>95</v>
      </c>
      <c r="D6" s="134" t="s">
        <v>174</v>
      </c>
    </row>
    <row r="7" spans="1:10" x14ac:dyDescent="0.45">
      <c r="B7" s="37">
        <v>4</v>
      </c>
      <c r="C7" s="131" t="s">
        <v>95</v>
      </c>
      <c r="D7" s="134" t="s">
        <v>177</v>
      </c>
    </row>
    <row r="8" spans="1:10" ht="18.600000000000001" thickBot="1" x14ac:dyDescent="0.5">
      <c r="B8" s="83">
        <v>5</v>
      </c>
      <c r="C8" s="135" t="s">
        <v>98</v>
      </c>
      <c r="D8" s="136" t="s">
        <v>176</v>
      </c>
    </row>
    <row r="9" spans="1:10" ht="18.600000000000001" thickTop="1" x14ac:dyDescent="0.45">
      <c r="C9"/>
    </row>
    <row r="10" spans="1:10" x14ac:dyDescent="0.45">
      <c r="C10"/>
    </row>
    <row r="11" spans="1:10" x14ac:dyDescent="0.45">
      <c r="C11"/>
    </row>
    <row r="12" spans="1:10" x14ac:dyDescent="0.45">
      <c r="C12"/>
    </row>
    <row r="13" spans="1:10" x14ac:dyDescent="0.45">
      <c r="C13"/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30" zoomScaleNormal="130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46</v>
      </c>
    </row>
    <row r="2" spans="1:1" x14ac:dyDescent="0.45">
      <c r="A2" s="71" t="s">
        <v>36</v>
      </c>
    </row>
    <row r="3" spans="1:1" x14ac:dyDescent="0.45">
      <c r="A3" s="70" t="s">
        <v>37</v>
      </c>
    </row>
    <row r="4" spans="1:1" x14ac:dyDescent="0.45">
      <c r="A4" s="70" t="s">
        <v>40</v>
      </c>
    </row>
    <row r="5" spans="1:1" x14ac:dyDescent="0.45">
      <c r="A5" s="70" t="s">
        <v>38</v>
      </c>
    </row>
    <row r="6" spans="1:1" x14ac:dyDescent="0.45">
      <c r="A6" s="70" t="s">
        <v>39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新規レイアウト</vt:lpstr>
      <vt:lpstr>旧レイアウト</vt:lpstr>
      <vt:lpstr>エラー条件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2024-10-18T06:46:49Z</cp:lastPrinted>
  <dcterms:created xsi:type="dcterms:W3CDTF">2021-04-12T04:47:05Z</dcterms:created>
  <dcterms:modified xsi:type="dcterms:W3CDTF">2025-05-24T05:32:24Z</dcterms:modified>
</cp:coreProperties>
</file>