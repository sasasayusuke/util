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232" windowHeight="8820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テンプレート" sheetId="20" r:id="rId8"/>
    <sheet name="別紙_印刷レイアウト" sheetId="21" r:id="rId9"/>
    <sheet name="参照" sheetId="12" state="hidden" r:id="rId10"/>
  </sheets>
  <definedNames>
    <definedName name="_xlnm.Print_Area" localSheetId="1">概要!$A$1:$BN$31</definedName>
    <definedName name="_xlnm.Print_Area" localSheetId="3">項目一覧!$A$1:$BX$56</definedName>
    <definedName name="_xlnm.Print_Area" localSheetId="4">処理詳細!$A$1:$BR$47</definedName>
    <definedName name="_xlnm.Print_Area" localSheetId="5">処理詳細_書き方!$A$1:$BR$33</definedName>
    <definedName name="_xlnm.Print_Area" localSheetId="2">帳票レイアウト!$A$1:$BN$72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<sst xmlns="http://schemas.openxmlformats.org/spreadsheetml/2006/main" count="354" uniqueCount="229">
  <si>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</si>
  <si>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</si>
  <si>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</si>
  <si>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</si>
  <si>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</si>
  <si>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</si>
  <si>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</si>
  <si>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</si>
  <si>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</si>
  <si>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</si>
  <si>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</si>
  <si>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</si>
  <si>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</si>
  <si>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</si>
  <si>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</si>
  <si>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</si>
  <si>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</si>
  <si>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</si>
  <si>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</si>
  <si>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</si>
  <si>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</si>
  <si>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</si>
  <si>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</si>
  <si>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</si>
  <si>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</si>
  <si>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</si>
  <si>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</si>
  <si>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</si>
  <si>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</si>
  <si>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</si>
  <si>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</si>
  <si>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</si>
  <si>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</si>
  <si>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</si>
  <si>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</si>
  <si>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</si>
  <si>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</si>
  <si>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</si>
  <si>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</si>
  <si>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</si>
  <si>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</si>
  <si>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</si>
  <si>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</si>
  <si>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</si>
  <si>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</si>
  <si>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</si>
  <si>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</si>
  <si>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</si>
  <si>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</si>
  <si>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</si>
  <si>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</si>
  <si>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</si>
  <si>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</si>
  <si>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</si>
  <si>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</si>
  <si>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</si>
  <si>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</si>
  <si>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</si>
  <si>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</si>
  <si>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</si>
  <si>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</si>
  <si>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</si>
  <si>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</si>
  <si>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</si>
  <si>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</si>
  <si>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</si>
  <si>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</si>
  <si>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</si>
  <si>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</si>
  <si>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</si>
  <si>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</si>
  <si>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</si>
  <si>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</si>
  <si>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</si>
  <si>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</si>
  <si>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</si>
  <si>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</si>
  <si>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</si>
  <si>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</si>
  <si>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</si>
  <si>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</si>
  <si>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</si>
  <si>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</si>
  <si>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</si>
  <si>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</si>
  <si>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</si>
  <si>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</si>
  <si>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</si>
  <si>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</si>
  <si>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</si>
  <si>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  <phoneticPr fontId="2"/>
  </si>
  <si>
    <t>PDF</t>
    <phoneticPr fontId="2"/>
  </si>
  <si>
    <t>pdf</t>
    <phoneticPr fontId="2"/>
  </si>
  <si>
    <t>作成日</t>
    <rPh sb="0" eb="3">
      <t>サクセイビ</t>
    </rPh>
    <phoneticPr fontId="1"/>
  </si>
  <si>
    <t>開始日付</t>
    <rPh sb="0" eb="4">
      <t>カイシヒヅケ</t>
    </rPh>
    <phoneticPr fontId="1"/>
  </si>
  <si>
    <t>終了日付</t>
    <rPh sb="0" eb="4">
      <t>シュウリョウヒヅケ</t>
    </rPh>
    <phoneticPr fontId="1"/>
  </si>
  <si>
    <t>手形期日</t>
    <rPh sb="0" eb="4">
      <t>テガタキジツ</t>
    </rPh>
    <phoneticPr fontId="1"/>
  </si>
  <si>
    <t>手形番号</t>
    <rPh sb="0" eb="4">
      <t>テガタバンゴウ</t>
    </rPh>
    <phoneticPr fontId="1"/>
  </si>
  <si>
    <t>摘要名</t>
    <rPh sb="0" eb="3">
      <t>テキヨウメイ</t>
    </rPh>
    <phoneticPr fontId="1"/>
  </si>
  <si>
    <t>合計金額</t>
    <rPh sb="0" eb="4">
      <t>ゴウケイキンガク</t>
    </rPh>
    <phoneticPr fontId="1"/>
  </si>
  <si>
    <t>担当者名</t>
    <rPh sb="0" eb="3">
      <t>タントウシャ</t>
    </rPh>
    <rPh sb="3" eb="4">
      <t>メイ</t>
    </rPh>
    <phoneticPr fontId="1"/>
  </si>
  <si>
    <t>合計区分名</t>
    <rPh sb="0" eb="5">
      <t>ゴウケイクブンメイ</t>
    </rPh>
    <phoneticPr fontId="1"/>
  </si>
  <si>
    <t>日計</t>
    <rPh sb="0" eb="2">
      <t>ニッケイ</t>
    </rPh>
    <phoneticPr fontId="1"/>
  </si>
  <si>
    <t>累計</t>
    <rPh sb="0" eb="2">
      <t>ルイケイ</t>
    </rPh>
    <phoneticPr fontId="1"/>
  </si>
  <si>
    <t>日計合計</t>
    <rPh sb="0" eb="2">
      <t>ニッケイ</t>
    </rPh>
    <rPh sb="2" eb="4">
      <t>ゴウケイ</t>
    </rPh>
    <phoneticPr fontId="1"/>
  </si>
  <si>
    <t>累計合計</t>
    <rPh sb="0" eb="4">
      <t>ルイケイゴウケイ</t>
    </rPh>
    <phoneticPr fontId="1"/>
  </si>
  <si>
    <t>日計現金率</t>
  </si>
  <si>
    <t>累計現金率</t>
    <rPh sb="0" eb="5">
      <t>ルイケイゲンキンリツ</t>
    </rPh>
    <phoneticPr fontId="1"/>
  </si>
  <si>
    <t>数値</t>
    <rPh sb="0" eb="2">
      <t>スウチ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</si>
  <si>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</si>
  <si>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</si>
  <si>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現在日付</t>
    <rPh sb="0" eb="4">
      <t>ゲンザイヒヅケ</t>
    </rPh>
    <phoneticPr fontId="1"/>
  </si>
  <si>
    <t>画面.開始CD</t>
    <rPh sb="0" eb="2">
      <t>ガメン</t>
    </rPh>
    <rPh sb="3" eb="5">
      <t>カイシ</t>
    </rPh>
    <phoneticPr fontId="1"/>
  </si>
  <si>
    <t>画面.終了CD</t>
    <rPh sb="0" eb="2">
      <t>ガメン</t>
    </rPh>
    <rPh sb="3" eb="5">
      <t>シュウリョウ</t>
    </rPh>
    <phoneticPr fontId="1"/>
  </si>
  <si>
    <t>画面.開始日付</t>
    <rPh sb="0" eb="2">
      <t>ガメン</t>
    </rPh>
    <rPh sb="3" eb="5">
      <t>カイシ</t>
    </rPh>
    <rPh sb="5" eb="7">
      <t>ヒヅケ</t>
    </rPh>
    <phoneticPr fontId="1"/>
  </si>
  <si>
    <t>画面.終了日付</t>
    <rPh sb="0" eb="2">
      <t>ガメン</t>
    </rPh>
    <rPh sb="3" eb="5">
      <t>シュウリョウ</t>
    </rPh>
    <rPh sb="5" eb="7">
      <t>ヒヅケ</t>
    </rPh>
    <phoneticPr fontId="1"/>
  </si>
  <si>
    <t>SQL1.手形期日</t>
    <rPh sb="5" eb="9">
      <t>テガタキジツ</t>
    </rPh>
    <phoneticPr fontId="1"/>
  </si>
  <si>
    <t>SQL1.手形番号</t>
    <rPh sb="5" eb="7">
      <t>テガタ</t>
    </rPh>
    <rPh sb="7" eb="9">
      <t>バンゴウ</t>
    </rPh>
    <phoneticPr fontId="1"/>
  </si>
  <si>
    <t>SQL1.摘要名</t>
    <rPh sb="5" eb="8">
      <t>テキヨウメイ</t>
    </rPh>
    <phoneticPr fontId="1"/>
  </si>
  <si>
    <t>SQL1.担当者名</t>
    <rPh sb="5" eb="9">
      <t>タントウシャメイ</t>
    </rPh>
    <phoneticPr fontId="1"/>
  </si>
  <si>
    <t>合計区分ごとの日計</t>
    <rPh sb="0" eb="2">
      <t>ゴウケイ</t>
    </rPh>
    <rPh sb="2" eb="4">
      <t>クブン</t>
    </rPh>
    <rPh sb="7" eb="9">
      <t>ニッケイ</t>
    </rPh>
    <phoneticPr fontId="1"/>
  </si>
  <si>
    <t>合計区分ごとの累計</t>
    <rPh sb="0" eb="2">
      <t>ゴウケイ</t>
    </rPh>
    <rPh sb="2" eb="4">
      <t>クブン</t>
    </rPh>
    <rPh sb="7" eb="9">
      <t>ルイケイ</t>
    </rPh>
    <phoneticPr fontId="1"/>
  </si>
  <si>
    <t>すべての日計区分の合計</t>
    <rPh sb="4" eb="6">
      <t>ニッケイ</t>
    </rPh>
    <rPh sb="6" eb="8">
      <t>クブン</t>
    </rPh>
    <rPh sb="9" eb="11">
      <t>ゴウケイ</t>
    </rPh>
    <phoneticPr fontId="1"/>
  </si>
  <si>
    <t>すべての累計区分の合計</t>
    <rPh sb="4" eb="6">
      <t>ルイケイ</t>
    </rPh>
    <rPh sb="6" eb="8">
      <t>クブン</t>
    </rPh>
    <rPh sb="9" eb="11">
      <t>ゴウケイ</t>
    </rPh>
    <phoneticPr fontId="1"/>
  </si>
  <si>
    <t>(現金日計合計 / 日計合計) * 100 を小数点第2位で切り捨て</t>
    <rPh sb="1" eb="3">
      <t>ゲンキン</t>
    </rPh>
    <rPh sb="3" eb="7">
      <t>ニッケイゴウケイ</t>
    </rPh>
    <rPh sb="10" eb="14">
      <t>ニッケイゴウケイ</t>
    </rPh>
    <rPh sb="23" eb="25">
      <t>ショウスウ</t>
    </rPh>
    <rPh sb="25" eb="26">
      <t>テン</t>
    </rPh>
    <rPh sb="26" eb="27">
      <t>ダイ</t>
    </rPh>
    <rPh sb="28" eb="29">
      <t>イ</t>
    </rPh>
    <rPh sb="30" eb="31">
      <t>キ</t>
    </rPh>
    <rPh sb="32" eb="33">
      <t>ス</t>
    </rPh>
    <phoneticPr fontId="1"/>
  </si>
  <si>
    <t>(現金累計合計 / 累計合計) * 100 を小数点第2位で切り捨て</t>
    <rPh sb="1" eb="3">
      <t>ゲンキン</t>
    </rPh>
    <rPh sb="3" eb="5">
      <t>ルイケイ</t>
    </rPh>
    <rPh sb="5" eb="7">
      <t>ゴウケイ</t>
    </rPh>
    <rPh sb="10" eb="12">
      <t>ルイケイ</t>
    </rPh>
    <rPh sb="12" eb="14">
      <t>ゴウケイ</t>
    </rPh>
    <rPh sb="23" eb="25">
      <t>ショウスウ</t>
    </rPh>
    <rPh sb="25" eb="26">
      <t>テン</t>
    </rPh>
    <rPh sb="26" eb="27">
      <t>ダイ</t>
    </rPh>
    <rPh sb="28" eb="29">
      <t>イ</t>
    </rPh>
    <rPh sb="30" eb="31">
      <t>キ</t>
    </rPh>
    <rPh sb="32" eb="33">
      <t>ス</t>
    </rPh>
    <phoneticPr fontId="1"/>
  </si>
  <si>
    <t>yyyy年mm月dd日</t>
    <rPh sb="4" eb="5">
      <t>ネン</t>
    </rPh>
    <rPh sb="7" eb="8">
      <t>ゲツ</t>
    </rPh>
    <rPh sb="10" eb="11">
      <t>ヒ</t>
    </rPh>
    <phoneticPr fontId="1"/>
  </si>
  <si>
    <t>yyyy/mm/dd</t>
  </si>
  <si>
    <t>SQL1</t>
    <phoneticPr fontId="2"/>
  </si>
  <si>
    <t>FROM TD入金 AS ND</t>
    <phoneticPr fontId="2"/>
  </si>
  <si>
    <t>LEFT JOIN TM得意先 AS TK ON ND.得意先CD = TK.得意先CD</t>
    <phoneticPr fontId="2"/>
  </si>
  <si>
    <t>LEFT JOIN TM担当者 AS TN ON TK.担当者CD = TN.担当者CD</t>
    <phoneticPr fontId="2"/>
  </si>
  <si>
    <t>order by</t>
    <phoneticPr fontId="2"/>
  </si>
  <si>
    <t>ORDER BY ND.得意先CD,ND.入金日付,ND.入金番号,ND.枝番の昇順でソート</t>
    <rPh sb="40" eb="42">
      <t>ショウジュン</t>
    </rPh>
    <phoneticPr fontId="2"/>
  </si>
  <si>
    <t>入金番号</t>
    <phoneticPr fontId="2"/>
  </si>
  <si>
    <t>枝番</t>
    <phoneticPr fontId="2"/>
  </si>
  <si>
    <t>入金日付</t>
    <phoneticPr fontId="2"/>
  </si>
  <si>
    <t>得意先CD</t>
    <phoneticPr fontId="2"/>
  </si>
  <si>
    <t>得意先名1</t>
    <phoneticPr fontId="2"/>
  </si>
  <si>
    <t>得意先名2</t>
    <phoneticPr fontId="2"/>
  </si>
  <si>
    <t>入金区分CD</t>
    <phoneticPr fontId="2"/>
  </si>
  <si>
    <t>入金区分名</t>
    <phoneticPr fontId="2"/>
  </si>
  <si>
    <t>入金種別</t>
    <phoneticPr fontId="2"/>
  </si>
  <si>
    <t>入金金額</t>
    <phoneticPr fontId="2"/>
  </si>
  <si>
    <t>手形期日</t>
    <phoneticPr fontId="2"/>
  </si>
  <si>
    <t>手形番号</t>
    <phoneticPr fontId="2"/>
  </si>
  <si>
    <t>摘要名</t>
    <phoneticPr fontId="2"/>
  </si>
  <si>
    <t>担当者名</t>
    <phoneticPr fontId="2"/>
  </si>
  <si>
    <t>WHERE ND.入金日付 &gt;= 開始日付 and ND.入金日付 &lt; 終了日付</t>
    <rPh sb="9" eb="11">
      <t>ニュウキン</t>
    </rPh>
    <phoneticPr fontId="2"/>
  </si>
  <si>
    <t>AND SD.得意先CD &gt;=  開始CD and SD.得意先CD &lt;=  終了CD</t>
    <rPh sb="7" eb="10">
      <t>トクイサキ</t>
    </rPh>
    <rPh sb="29" eb="32">
      <t>トクイサキ</t>
    </rPh>
    <phoneticPr fontId="2"/>
  </si>
  <si>
    <t>TD入金 .入金番号</t>
    <phoneticPr fontId="2"/>
  </si>
  <si>
    <t>TD入金 .入金日付</t>
  </si>
  <si>
    <t>TD入金 .得意先CD</t>
  </si>
  <si>
    <t>TD入金 .得意先名1</t>
  </si>
  <si>
    <t>TD入金 .得意先名2</t>
  </si>
  <si>
    <t>TD入金 .入金区分CD</t>
  </si>
  <si>
    <t>TD入金 .入金区分名</t>
  </si>
  <si>
    <t>TD入金 .入金種別</t>
  </si>
  <si>
    <t>TD入金 .入金金額</t>
  </si>
  <si>
    <t>TD入金 .手形期日</t>
  </si>
  <si>
    <t>TD入金 .手形番号</t>
  </si>
  <si>
    <t>TD入金 .摘要名</t>
  </si>
  <si>
    <t>TD入金 .枝番</t>
  </si>
  <si>
    <t>TM担当者.担当者名</t>
    <phoneticPr fontId="2"/>
  </si>
  <si>
    <t>得意先CD</t>
    <rPh sb="0" eb="3">
      <t>トクイサキ</t>
    </rPh>
    <phoneticPr fontId="1"/>
  </si>
  <si>
    <t>SQL1.得意先CD</t>
    <rPh sb="5" eb="8">
      <t>トクイサキ</t>
    </rPh>
    <phoneticPr fontId="1"/>
  </si>
  <si>
    <t>得意先名1</t>
    <rPh sb="0" eb="3">
      <t>トクイサキ</t>
    </rPh>
    <rPh sb="3" eb="4">
      <t>メイ</t>
    </rPh>
    <phoneticPr fontId="1"/>
  </si>
  <si>
    <t>得意先名2</t>
    <rPh sb="0" eb="3">
      <t>トクイサキ</t>
    </rPh>
    <rPh sb="3" eb="4">
      <t>メイ</t>
    </rPh>
    <phoneticPr fontId="1"/>
  </si>
  <si>
    <t>SQL1.得意先名1</t>
    <rPh sb="5" eb="8">
      <t>トクイサキ</t>
    </rPh>
    <rPh sb="8" eb="9">
      <t>メイ</t>
    </rPh>
    <phoneticPr fontId="1"/>
  </si>
  <si>
    <t>SQL1.得意先名2</t>
    <rPh sb="5" eb="8">
      <t>トクイサキ</t>
    </rPh>
    <rPh sb="8" eb="9">
      <t>メイ</t>
    </rPh>
    <phoneticPr fontId="1"/>
  </si>
  <si>
    <t>入金日付</t>
    <rPh sb="0" eb="2">
      <t>ニュウキン</t>
    </rPh>
    <rPh sb="2" eb="4">
      <t>ヒヅケ</t>
    </rPh>
    <phoneticPr fontId="1"/>
  </si>
  <si>
    <t>SQL1.入金日付</t>
    <rPh sb="5" eb="7">
      <t>ニュウキン</t>
    </rPh>
    <rPh sb="7" eb="9">
      <t>ヒヅケ</t>
    </rPh>
    <phoneticPr fontId="1"/>
  </si>
  <si>
    <t>入金番号</t>
    <rPh sb="0" eb="2">
      <t>ニュウキン</t>
    </rPh>
    <rPh sb="2" eb="4">
      <t>バンゴウ</t>
    </rPh>
    <phoneticPr fontId="1"/>
  </si>
  <si>
    <t>SQL1.入金番号</t>
    <rPh sb="5" eb="7">
      <t>ニュウキン</t>
    </rPh>
    <rPh sb="7" eb="9">
      <t>バンゴウ</t>
    </rPh>
    <phoneticPr fontId="1"/>
  </si>
  <si>
    <t>入金区分名</t>
    <rPh sb="0" eb="2">
      <t>ニュウキン</t>
    </rPh>
    <rPh sb="2" eb="4">
      <t>クブン</t>
    </rPh>
    <rPh sb="4" eb="5">
      <t>メイ</t>
    </rPh>
    <phoneticPr fontId="1"/>
  </si>
  <si>
    <t>SQL1.入金区分名</t>
    <rPh sb="5" eb="7">
      <t>ニュウキン</t>
    </rPh>
    <rPh sb="7" eb="9">
      <t>クブン</t>
    </rPh>
    <rPh sb="9" eb="10">
      <t>メイ</t>
    </rPh>
    <phoneticPr fontId="1"/>
  </si>
  <si>
    <t>入金金額</t>
    <rPh sb="0" eb="2">
      <t>ニュウキン</t>
    </rPh>
    <rPh sb="2" eb="4">
      <t>キンガク</t>
    </rPh>
    <phoneticPr fontId="1"/>
  </si>
  <si>
    <t>SQL1.入金金額</t>
    <rPh sb="5" eb="7">
      <t>ニュウキン</t>
    </rPh>
    <rPh sb="7" eb="9">
      <t>キンガク</t>
    </rPh>
    <phoneticPr fontId="1"/>
  </si>
  <si>
    <t>SQL1.入金金額</t>
    <rPh sb="5" eb="7">
      <t>ニュウキン</t>
    </rPh>
    <phoneticPr fontId="1"/>
  </si>
  <si>
    <t>SQL2.入金区分名</t>
    <rPh sb="5" eb="7">
      <t>ニュウキン</t>
    </rPh>
    <rPh sb="7" eb="9">
      <t>クブン</t>
    </rPh>
    <rPh sb="9" eb="10">
      <t>メイ</t>
    </rPh>
    <phoneticPr fontId="1"/>
  </si>
  <si>
    <t>入金番号ごとの入金金額合計</t>
    <rPh sb="0" eb="2">
      <t>ニュウキン</t>
    </rPh>
    <rPh sb="2" eb="4">
      <t>バンゴウ</t>
    </rPh>
    <rPh sb="7" eb="9">
      <t>ニュウキン</t>
    </rPh>
    <rPh sb="9" eb="11">
      <t>キンガク</t>
    </rPh>
    <rPh sb="11" eb="13">
      <t>ゴウケイ</t>
    </rPh>
    <phoneticPr fontId="1"/>
  </si>
  <si>
    <t>SQL2.入金日計</t>
    <rPh sb="7" eb="9">
      <t>ニッケイ</t>
    </rPh>
    <phoneticPr fontId="1"/>
  </si>
  <si>
    <t>SQL2.入金累計</t>
    <rPh sb="7" eb="9">
      <t>ルイケイ</t>
    </rPh>
    <phoneticPr fontId="1"/>
  </si>
  <si>
    <t>SQL2</t>
    <phoneticPr fontId="2"/>
  </si>
  <si>
    <t>select</t>
    <phoneticPr fontId="2"/>
  </si>
  <si>
    <t>ISNULL(ND.入金日計,0) AS 入金日計</t>
    <phoneticPr fontId="2"/>
  </si>
  <si>
    <t>ISNULL(NR.入金累計,0) AS 入金累計</t>
    <phoneticPr fontId="2"/>
  </si>
  <si>
    <t>TM入金区分 AS NK</t>
    <phoneticPr fontId="2"/>
  </si>
  <si>
    <t>from</t>
    <phoneticPr fontId="2"/>
  </si>
  <si>
    <t>join</t>
    <phoneticPr fontId="2"/>
  </si>
  <si>
    <t>LEFT JOIN (SELECT 入金区分CD,SUM(入金金額)  AS 入金日計</t>
    <phoneticPr fontId="2"/>
  </si>
  <si>
    <t>FROM TD入金</t>
    <phoneticPr fontId="2"/>
  </si>
  <si>
    <t>GROUP BY 入金区分CD) AS ND ON NK.入金区分CD = ND.入金区分CD</t>
    <phoneticPr fontId="2"/>
  </si>
  <si>
    <t>開始得意先</t>
    <rPh sb="0" eb="2">
      <t>カイシ</t>
    </rPh>
    <rPh sb="2" eb="5">
      <t>トクイサキ</t>
    </rPh>
    <phoneticPr fontId="1"/>
  </si>
  <si>
    <t>終了得意先</t>
    <rPh sb="0" eb="2">
      <t>シュウリョウ</t>
    </rPh>
    <rPh sb="2" eb="5">
      <t>トクイサキ</t>
    </rPh>
    <phoneticPr fontId="1"/>
  </si>
  <si>
    <t>開始得意先がNullの場合は[最初]を表示　nullでない場合は[開始CD]を表示</t>
    <rPh sb="2" eb="4">
      <t>トクイ</t>
    </rPh>
    <phoneticPr fontId="1"/>
  </si>
  <si>
    <t>終了得意先がNullの場合は[最後]を表示　nullでない場合は[終了CD]を表示</t>
    <rPh sb="2" eb="4">
      <t>トクイ</t>
    </rPh>
    <phoneticPr fontId="1"/>
  </si>
  <si>
    <t>LEFT JOIN (SELECT 入金区分CD,SUM(入金金額)  AS 入金累計</t>
    <phoneticPr fontId="2"/>
  </si>
  <si>
    <t>GROUP BY 入金区分CD) AS NR ON NK.入金区分CD = NR.入金区分CD</t>
    <phoneticPr fontId="2"/>
  </si>
  <si>
    <t>order by</t>
    <phoneticPr fontId="2"/>
  </si>
  <si>
    <t>NK.入金区分CD の昇順でソート</t>
    <rPh sb="11" eb="13">
      <t>ショウジュン</t>
    </rPh>
    <phoneticPr fontId="2"/>
  </si>
  <si>
    <t>TM入金区分.入金区分CD</t>
    <phoneticPr fontId="2"/>
  </si>
  <si>
    <t>TM入金区分.入金区分名</t>
    <phoneticPr fontId="2"/>
  </si>
  <si>
    <t>TM入金区分.入金種別</t>
    <phoneticPr fontId="2"/>
  </si>
  <si>
    <t>WHERE 入金日付 &gt;= 開始日付</t>
    <rPh sb="14" eb="18">
      <t>カイシヒヅケ</t>
    </rPh>
    <phoneticPr fontId="2"/>
  </si>
  <si>
    <t>AND 入金日付 &lt; 終了日付</t>
    <rPh sb="11" eb="15">
      <t>シュウリョウヒヅケ</t>
    </rPh>
    <phoneticPr fontId="2"/>
  </si>
  <si>
    <t>AND 得意先CD &gt;= COALESCE(開始得意先,得意先CD)</t>
    <rPh sb="22" eb="24">
      <t>カイシ</t>
    </rPh>
    <rPh sb="24" eb="27">
      <t>トクイサキ</t>
    </rPh>
    <phoneticPr fontId="2"/>
  </si>
  <si>
    <t>AND 得意先CD &lt;= COALESCE(終了得意先,得意先CD)</t>
    <rPh sb="22" eb="24">
      <t>シュウリョウ</t>
    </rPh>
    <rPh sb="24" eb="27">
      <t>トクイサキ</t>
    </rPh>
    <phoneticPr fontId="2"/>
  </si>
  <si>
    <t>AND 得意先CD &gt;= COALESCE(開始得意先,得意先CD)</t>
    <rPh sb="22" eb="27">
      <t>カイシトクイサキ</t>
    </rPh>
    <phoneticPr fontId="2"/>
  </si>
  <si>
    <t>AND 得意先CD &lt;= COALESCE(終了得意先,得意先CD)</t>
    <rPh sb="22" eb="27">
      <t>シュウリョウトクイサキ</t>
    </rPh>
    <phoneticPr fontId="2"/>
  </si>
  <si>
    <t>入金日計</t>
    <phoneticPr fontId="2"/>
  </si>
  <si>
    <t>入金累計</t>
    <phoneticPr fontId="2"/>
  </si>
  <si>
    <t>項目一覧</t>
    <rPh sb="0" eb="4">
      <t>コウモクイチラン</t>
    </rPh>
    <phoneticPr fontId="2"/>
  </si>
  <si>
    <t>手形期日</t>
    <rPh sb="0" eb="2">
      <t>テガタ</t>
    </rPh>
    <rPh sb="2" eb="4">
      <t>キジツ</t>
    </rPh>
    <phoneticPr fontId="2"/>
  </si>
  <si>
    <t>フォーマットがあっているか確認</t>
    <rPh sb="13" eb="15">
      <t>カクニン</t>
    </rPh>
    <phoneticPr fontId="2"/>
  </si>
  <si>
    <t>手形番号</t>
    <rPh sb="0" eb="4">
      <t>テガタバンゴウ</t>
    </rPh>
    <phoneticPr fontId="2"/>
  </si>
  <si>
    <t>'手形番号:' + [SQL1.手形番号]</t>
    <rPh sb="1" eb="5">
      <t>テガタバンゴウ</t>
    </rPh>
    <rPh sb="16" eb="20">
      <t>テガタバンゴウ</t>
    </rPh>
    <phoneticPr fontId="1"/>
  </si>
  <si>
    <t>'手形期日:' + yyyy/mm/dd</t>
    <phoneticPr fontId="1"/>
  </si>
  <si>
    <t>[SQL1.入金種別]が2のときのみ表示</t>
    <rPh sb="6" eb="8">
      <t>ニュウキン</t>
    </rPh>
    <rPh sb="8" eb="10">
      <t>シュベツ</t>
    </rPh>
    <rPh sb="18" eb="20">
      <t>ヒョウジ</t>
    </rPh>
    <phoneticPr fontId="1"/>
  </si>
  <si>
    <t>[SQL1.入金種別]が2のときのみ表示</t>
    <rPh sb="18" eb="20">
      <t>ヒョウジ</t>
    </rPh>
    <phoneticPr fontId="1"/>
  </si>
  <si>
    <t>回答</t>
    <rPh sb="0" eb="2">
      <t>カイトウ</t>
    </rPh>
    <phoneticPr fontId="2"/>
  </si>
  <si>
    <t>合っている。</t>
    <rPh sb="0" eb="1">
      <t>ア</t>
    </rPh>
    <phoneticPr fontId="2"/>
  </si>
  <si>
    <t>〇</t>
    <phoneticPr fontId="2"/>
  </si>
  <si>
    <t>〇</t>
    <phoneticPr fontId="2"/>
  </si>
  <si>
    <t>A3横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</si>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</sst>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.0%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38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" xfId="0" quotePrefix="1" applyFont="1" applyFill="1" applyBorder="1" applyAlignment="1">
      <alignment vertical="center"/>
    </xf>
    <xf numFmtId="0" fontId="3" fillId="2" borderId="3" xfId="0" quotePrefix="1" applyFont="1" applyFill="1" applyBorder="1" applyAlignment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69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6" borderId="62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3" fillId="6" borderId="62" xfId="0" quotePrefix="1" applyFont="1" applyFill="1" applyBorder="1">
      <alignment vertical="center"/>
    </xf>
    <xf numFmtId="0" fontId="3" fillId="6" borderId="63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177" fontId="3" fillId="2" borderId="5" xfId="3" applyNumberFormat="1" applyFont="1" applyFill="1" applyBorder="1" applyAlignment="1">
      <alignment horizontal="center" vertical="center"/>
    </xf>
    <xf numFmtId="177" fontId="3" fillId="2" borderId="6" xfId="3" applyNumberFormat="1" applyFont="1" applyFill="1" applyBorder="1" applyAlignment="1">
      <alignment horizontal="center" vertical="center"/>
    </xf>
    <xf numFmtId="177" fontId="3" fillId="2" borderId="7" xfId="3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38" fontId="3" fillId="2" borderId="5" xfId="2" applyFont="1" applyFill="1" applyBorder="1" applyAlignment="1">
      <alignment horizontal="center" vertical="center"/>
    </xf>
    <xf numFmtId="38" fontId="3" fillId="2" borderId="6" xfId="2" applyFont="1" applyFill="1" applyBorder="1" applyAlignment="1">
      <alignment horizontal="center" vertical="center"/>
    </xf>
    <xf numFmtId="38" fontId="3" fillId="2" borderId="7" xfId="2" applyFont="1" applyFill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2" builtinId="6"/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277905</xdr:colOff>
      <xdr:row>8</xdr:row>
      <xdr:rowOff>0</xdr:rowOff>
    </xdr:from>
    <xdr:to>
      <xdr:col>63</xdr:col>
      <xdr:colOff>125505</xdr:colOff>
      <xdr:row>54</xdr:row>
      <xdr:rowOff>181156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493" y="1631576"/>
          <a:ext cx="16799859" cy="117276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63</xdr:col>
      <xdr:colOff>112645</xdr:colOff>
      <xdr:row>68</xdr:row>
      <xdr:rowOff>224118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494" y="13931153"/>
          <a:ext cx="16786998" cy="2985247"/>
        </a:xfrm>
        <a:prstGeom prst="rect">
          <a:avLst/>
        </a:prstGeom>
      </xdr:spPr>
    </xdr:pic>
    <xdr:clientData/>
  </xdr:twoCellAnchor>
  <xdr:twoCellAnchor>
    <xdr:from>
      <xdr:col>53</xdr:col>
      <xdr:colOff>80683</xdr:colOff>
      <xdr:row>9</xdr:row>
      <xdr:rowOff>233083</xdr:rowOff>
    </xdr:from>
    <xdr:to>
      <xdr:col>54</xdr:col>
      <xdr:colOff>143435</xdr:colOff>
      <xdr:row>11</xdr:row>
      <xdr:rowOff>53789</xdr:rowOff>
    </xdr:to>
    <xdr:sp macro="" textlink="">
      <xdr:nvSpPr>
        <xdr:cNvPr id="6" name="正方形/長方形 5"/>
        <xdr:cNvSpPr/>
      </xdr:nvSpPr>
      <xdr:spPr>
        <a:xfrm>
          <a:off x="14612471" y="21156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134471</xdr:colOff>
      <xdr:row>9</xdr:row>
      <xdr:rowOff>179294</xdr:rowOff>
    </xdr:from>
    <xdr:to>
      <xdr:col>10</xdr:col>
      <xdr:colOff>197223</xdr:colOff>
      <xdr:row>11</xdr:row>
      <xdr:rowOff>0</xdr:rowOff>
    </xdr:to>
    <xdr:sp macro="" textlink="">
      <xdr:nvSpPr>
        <xdr:cNvPr id="7" name="正方形/長方形 6"/>
        <xdr:cNvSpPr/>
      </xdr:nvSpPr>
      <xdr:spPr>
        <a:xfrm>
          <a:off x="2438400" y="206188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35858</xdr:colOff>
      <xdr:row>9</xdr:row>
      <xdr:rowOff>188259</xdr:rowOff>
    </xdr:from>
    <xdr:to>
      <xdr:col>16</xdr:col>
      <xdr:colOff>98610</xdr:colOff>
      <xdr:row>11</xdr:row>
      <xdr:rowOff>8965</xdr:rowOff>
    </xdr:to>
    <xdr:sp macro="" textlink="">
      <xdr:nvSpPr>
        <xdr:cNvPr id="8" name="正方形/長方形 7"/>
        <xdr:cNvSpPr/>
      </xdr:nvSpPr>
      <xdr:spPr>
        <a:xfrm>
          <a:off x="4007223" y="207084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125506</xdr:colOff>
      <xdr:row>11</xdr:row>
      <xdr:rowOff>26895</xdr:rowOff>
    </xdr:from>
    <xdr:to>
      <xdr:col>10</xdr:col>
      <xdr:colOff>188258</xdr:colOff>
      <xdr:row>12</xdr:row>
      <xdr:rowOff>98613</xdr:rowOff>
    </xdr:to>
    <xdr:sp macro="" textlink="">
      <xdr:nvSpPr>
        <xdr:cNvPr id="9" name="正方形/長方形 8"/>
        <xdr:cNvSpPr/>
      </xdr:nvSpPr>
      <xdr:spPr>
        <a:xfrm>
          <a:off x="2429435" y="24115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26893</xdr:colOff>
      <xdr:row>11</xdr:row>
      <xdr:rowOff>53788</xdr:rowOff>
    </xdr:from>
    <xdr:to>
      <xdr:col>16</xdr:col>
      <xdr:colOff>89645</xdr:colOff>
      <xdr:row>12</xdr:row>
      <xdr:rowOff>125506</xdr:rowOff>
    </xdr:to>
    <xdr:sp macro="" textlink="">
      <xdr:nvSpPr>
        <xdr:cNvPr id="10" name="正方形/長方形 9"/>
        <xdr:cNvSpPr/>
      </xdr:nvSpPr>
      <xdr:spPr>
        <a:xfrm>
          <a:off x="3998258" y="243840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143435</xdr:colOff>
      <xdr:row>13</xdr:row>
      <xdr:rowOff>53789</xdr:rowOff>
    </xdr:from>
    <xdr:to>
      <xdr:col>6</xdr:col>
      <xdr:colOff>206187</xdr:colOff>
      <xdr:row>14</xdr:row>
      <xdr:rowOff>125507</xdr:rowOff>
    </xdr:to>
    <xdr:sp macro="" textlink="">
      <xdr:nvSpPr>
        <xdr:cNvPr id="11" name="正方形/長方形 10"/>
        <xdr:cNvSpPr/>
      </xdr:nvSpPr>
      <xdr:spPr>
        <a:xfrm>
          <a:off x="1335741" y="29404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0</xdr:colOff>
      <xdr:row>13</xdr:row>
      <xdr:rowOff>44824</xdr:rowOff>
    </xdr:from>
    <xdr:to>
      <xdr:col>10</xdr:col>
      <xdr:colOff>62752</xdr:colOff>
      <xdr:row>14</xdr:row>
      <xdr:rowOff>116542</xdr:rowOff>
    </xdr:to>
    <xdr:sp macro="" textlink="">
      <xdr:nvSpPr>
        <xdr:cNvPr id="12" name="正方形/長方形 11"/>
        <xdr:cNvSpPr/>
      </xdr:nvSpPr>
      <xdr:spPr>
        <a:xfrm>
          <a:off x="2303929" y="29314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8965</xdr:colOff>
      <xdr:row>14</xdr:row>
      <xdr:rowOff>125506</xdr:rowOff>
    </xdr:from>
    <xdr:to>
      <xdr:col>18</xdr:col>
      <xdr:colOff>71717</xdr:colOff>
      <xdr:row>15</xdr:row>
      <xdr:rowOff>197224</xdr:rowOff>
    </xdr:to>
    <xdr:sp macro="" textlink="">
      <xdr:nvSpPr>
        <xdr:cNvPr id="13" name="正方形/長方形 12"/>
        <xdr:cNvSpPr/>
      </xdr:nvSpPr>
      <xdr:spPr>
        <a:xfrm>
          <a:off x="4536141" y="32631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152401</xdr:colOff>
      <xdr:row>13</xdr:row>
      <xdr:rowOff>53788</xdr:rowOff>
    </xdr:from>
    <xdr:to>
      <xdr:col>27</xdr:col>
      <xdr:colOff>215153</xdr:colOff>
      <xdr:row>14</xdr:row>
      <xdr:rowOff>125506</xdr:rowOff>
    </xdr:to>
    <xdr:sp macro="" textlink="">
      <xdr:nvSpPr>
        <xdr:cNvPr id="14" name="正方形/長方形 13"/>
        <xdr:cNvSpPr/>
      </xdr:nvSpPr>
      <xdr:spPr>
        <a:xfrm>
          <a:off x="7180730" y="294042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179294</xdr:colOff>
      <xdr:row>13</xdr:row>
      <xdr:rowOff>44825</xdr:rowOff>
    </xdr:from>
    <xdr:to>
      <xdr:col>31</xdr:col>
      <xdr:colOff>242046</xdr:colOff>
      <xdr:row>14</xdr:row>
      <xdr:rowOff>116543</xdr:rowOff>
    </xdr:to>
    <xdr:sp macro="" textlink="">
      <xdr:nvSpPr>
        <xdr:cNvPr id="15" name="正方形/長方形 14"/>
        <xdr:cNvSpPr/>
      </xdr:nvSpPr>
      <xdr:spPr>
        <a:xfrm>
          <a:off x="8319247" y="293146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170329</xdr:colOff>
      <xdr:row>13</xdr:row>
      <xdr:rowOff>17930</xdr:rowOff>
    </xdr:from>
    <xdr:to>
      <xdr:col>34</xdr:col>
      <xdr:colOff>233082</xdr:colOff>
      <xdr:row>14</xdr:row>
      <xdr:rowOff>89648</xdr:rowOff>
    </xdr:to>
    <xdr:sp macro="" textlink="">
      <xdr:nvSpPr>
        <xdr:cNvPr id="16" name="正方形/長方形 15"/>
        <xdr:cNvSpPr/>
      </xdr:nvSpPr>
      <xdr:spPr>
        <a:xfrm>
          <a:off x="9144000" y="290456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80682</xdr:colOff>
      <xdr:row>13</xdr:row>
      <xdr:rowOff>17930</xdr:rowOff>
    </xdr:from>
    <xdr:to>
      <xdr:col>40</xdr:col>
      <xdr:colOff>143434</xdr:colOff>
      <xdr:row>14</xdr:row>
      <xdr:rowOff>89648</xdr:rowOff>
    </xdr:to>
    <xdr:sp macro="" textlink="">
      <xdr:nvSpPr>
        <xdr:cNvPr id="17" name="正方形/長方形 16"/>
        <xdr:cNvSpPr/>
      </xdr:nvSpPr>
      <xdr:spPr>
        <a:xfrm>
          <a:off x="10721788" y="290456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251012</xdr:colOff>
      <xdr:row>12</xdr:row>
      <xdr:rowOff>242047</xdr:rowOff>
    </xdr:from>
    <xdr:to>
      <xdr:col>44</xdr:col>
      <xdr:colOff>35859</xdr:colOff>
      <xdr:row>14</xdr:row>
      <xdr:rowOff>62754</xdr:rowOff>
    </xdr:to>
    <xdr:sp macro="" textlink="">
      <xdr:nvSpPr>
        <xdr:cNvPr id="18" name="正方形/長方形 17"/>
        <xdr:cNvSpPr/>
      </xdr:nvSpPr>
      <xdr:spPr>
        <a:xfrm>
          <a:off x="11725836" y="28776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143436</xdr:colOff>
      <xdr:row>12</xdr:row>
      <xdr:rowOff>233083</xdr:rowOff>
    </xdr:from>
    <xdr:to>
      <xdr:col>47</xdr:col>
      <xdr:colOff>206188</xdr:colOff>
      <xdr:row>14</xdr:row>
      <xdr:rowOff>53790</xdr:rowOff>
    </xdr:to>
    <xdr:sp macro="" textlink="">
      <xdr:nvSpPr>
        <xdr:cNvPr id="19" name="正方形/長方形 18"/>
        <xdr:cNvSpPr/>
      </xdr:nvSpPr>
      <xdr:spPr>
        <a:xfrm>
          <a:off x="12729883" y="28687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107576</xdr:colOff>
      <xdr:row>13</xdr:row>
      <xdr:rowOff>8966</xdr:rowOff>
    </xdr:from>
    <xdr:to>
      <xdr:col>54</xdr:col>
      <xdr:colOff>170328</xdr:colOff>
      <xdr:row>14</xdr:row>
      <xdr:rowOff>80684</xdr:rowOff>
    </xdr:to>
    <xdr:sp macro="" textlink="">
      <xdr:nvSpPr>
        <xdr:cNvPr id="20" name="正方形/長方形 19"/>
        <xdr:cNvSpPr/>
      </xdr:nvSpPr>
      <xdr:spPr>
        <a:xfrm>
          <a:off x="14639364" y="28956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80682</xdr:colOff>
      <xdr:row>14</xdr:row>
      <xdr:rowOff>80683</xdr:rowOff>
    </xdr:from>
    <xdr:to>
      <xdr:col>40</xdr:col>
      <xdr:colOff>143434</xdr:colOff>
      <xdr:row>15</xdr:row>
      <xdr:rowOff>152401</xdr:rowOff>
    </xdr:to>
    <xdr:sp macro="" textlink="">
      <xdr:nvSpPr>
        <xdr:cNvPr id="21" name="正方形/長方形 20"/>
        <xdr:cNvSpPr/>
      </xdr:nvSpPr>
      <xdr:spPr>
        <a:xfrm>
          <a:off x="10721788" y="321833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116540</xdr:colOff>
      <xdr:row>14</xdr:row>
      <xdr:rowOff>89647</xdr:rowOff>
    </xdr:from>
    <xdr:to>
      <xdr:col>45</xdr:col>
      <xdr:colOff>179292</xdr:colOff>
      <xdr:row>15</xdr:row>
      <xdr:rowOff>161365</xdr:rowOff>
    </xdr:to>
    <xdr:sp macro="" textlink="">
      <xdr:nvSpPr>
        <xdr:cNvPr id="22" name="正方形/長方形 21"/>
        <xdr:cNvSpPr/>
      </xdr:nvSpPr>
      <xdr:spPr>
        <a:xfrm>
          <a:off x="12147175" y="32272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215152</xdr:colOff>
      <xdr:row>46</xdr:row>
      <xdr:rowOff>62752</xdr:rowOff>
    </xdr:from>
    <xdr:to>
      <xdr:col>9</xdr:col>
      <xdr:colOff>277905</xdr:colOff>
      <xdr:row>47</xdr:row>
      <xdr:rowOff>134471</xdr:rowOff>
    </xdr:to>
    <xdr:sp macro="" textlink="">
      <xdr:nvSpPr>
        <xdr:cNvPr id="23" name="正方形/長方形 22"/>
        <xdr:cNvSpPr/>
      </xdr:nvSpPr>
      <xdr:spPr>
        <a:xfrm>
          <a:off x="2241176" y="1123277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259976</xdr:colOff>
      <xdr:row>46</xdr:row>
      <xdr:rowOff>53788</xdr:rowOff>
    </xdr:from>
    <xdr:to>
      <xdr:col>17</xdr:col>
      <xdr:colOff>44823</xdr:colOff>
      <xdr:row>47</xdr:row>
      <xdr:rowOff>125507</xdr:rowOff>
    </xdr:to>
    <xdr:sp macro="" textlink="">
      <xdr:nvSpPr>
        <xdr:cNvPr id="24" name="正方形/長方形 23"/>
        <xdr:cNvSpPr/>
      </xdr:nvSpPr>
      <xdr:spPr>
        <a:xfrm>
          <a:off x="4231341" y="1122381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125505</xdr:colOff>
      <xdr:row>46</xdr:row>
      <xdr:rowOff>80682</xdr:rowOff>
    </xdr:from>
    <xdr:to>
      <xdr:col>21</xdr:col>
      <xdr:colOff>188257</xdr:colOff>
      <xdr:row>47</xdr:row>
      <xdr:rowOff>152401</xdr:rowOff>
    </xdr:to>
    <xdr:sp macro="" textlink="">
      <xdr:nvSpPr>
        <xdr:cNvPr id="25" name="正方形/長方形 24"/>
        <xdr:cNvSpPr/>
      </xdr:nvSpPr>
      <xdr:spPr>
        <a:xfrm>
          <a:off x="5486399" y="112507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251012</xdr:colOff>
      <xdr:row>64</xdr:row>
      <xdr:rowOff>233082</xdr:rowOff>
    </xdr:from>
    <xdr:to>
      <xdr:col>16</xdr:col>
      <xdr:colOff>35858</xdr:colOff>
      <xdr:row>66</xdr:row>
      <xdr:rowOff>53788</xdr:rowOff>
    </xdr:to>
    <xdr:sp macro="" textlink="">
      <xdr:nvSpPr>
        <xdr:cNvPr id="26" name="正方形/長方形 25"/>
        <xdr:cNvSpPr/>
      </xdr:nvSpPr>
      <xdr:spPr>
        <a:xfrm>
          <a:off x="3944471" y="1592131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268941</xdr:colOff>
      <xdr:row>64</xdr:row>
      <xdr:rowOff>233083</xdr:rowOff>
    </xdr:from>
    <xdr:to>
      <xdr:col>21</xdr:col>
      <xdr:colOff>53787</xdr:colOff>
      <xdr:row>66</xdr:row>
      <xdr:rowOff>53789</xdr:rowOff>
    </xdr:to>
    <xdr:sp macro="" textlink="">
      <xdr:nvSpPr>
        <xdr:cNvPr id="27" name="正方形/長方形 26"/>
        <xdr:cNvSpPr/>
      </xdr:nvSpPr>
      <xdr:spPr>
        <a:xfrm>
          <a:off x="5351929" y="159213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251012</xdr:colOff>
      <xdr:row>66</xdr:row>
      <xdr:rowOff>71717</xdr:rowOff>
    </xdr:from>
    <xdr:to>
      <xdr:col>16</xdr:col>
      <xdr:colOff>35858</xdr:colOff>
      <xdr:row>67</xdr:row>
      <xdr:rowOff>143435</xdr:rowOff>
    </xdr:to>
    <xdr:sp macro="" textlink="">
      <xdr:nvSpPr>
        <xdr:cNvPr id="28" name="正方形/長方形 27"/>
        <xdr:cNvSpPr/>
      </xdr:nvSpPr>
      <xdr:spPr>
        <a:xfrm>
          <a:off x="3944471" y="1626197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259976</xdr:colOff>
      <xdr:row>66</xdr:row>
      <xdr:rowOff>89646</xdr:rowOff>
    </xdr:from>
    <xdr:to>
      <xdr:col>21</xdr:col>
      <xdr:colOff>44822</xdr:colOff>
      <xdr:row>67</xdr:row>
      <xdr:rowOff>161364</xdr:rowOff>
    </xdr:to>
    <xdr:sp macro="" textlink="">
      <xdr:nvSpPr>
        <xdr:cNvPr id="29" name="正方形/長方形 28"/>
        <xdr:cNvSpPr/>
      </xdr:nvSpPr>
      <xdr:spPr>
        <a:xfrm>
          <a:off x="5342964" y="1627990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220980</xdr:rowOff>
    </xdr:from>
    <xdr:to>
      <xdr:col>20</xdr:col>
      <xdr:colOff>243832</xdr:colOff>
      <xdr:row>14</xdr:row>
      <xdr:rowOff>40426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220980"/>
          <a:ext cx="13594072" cy="30198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622708</xdr:colOff>
      <xdr:row>38</xdr:row>
      <xdr:rowOff>20233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2022228" cy="8478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64" t="s">
        <v>0</v>
      </c>
      <c r="C2" s="147"/>
      <c r="D2" s="147"/>
      <c r="E2" s="147"/>
      <c r="F2" s="147"/>
      <c r="G2" s="147"/>
      <c r="H2" s="147" t="s">
        <v>17</v>
      </c>
      <c r="I2" s="147"/>
      <c r="J2" s="147"/>
      <c r="K2" s="147"/>
      <c r="L2" s="147" t="s">
        <v>227</v>
      </c>
      <c r="M2" s="147"/>
      <c r="N2" s="147"/>
      <c r="O2" s="147"/>
      <c r="P2" s="147"/>
      <c r="Q2" s="147"/>
      <c r="R2" s="147" t="s">
        <v>2</v>
      </c>
      <c r="S2" s="147"/>
      <c r="T2" s="147"/>
      <c r="U2" s="147"/>
      <c r="V2" s="147"/>
      <c r="W2" s="147"/>
      <c r="X2" s="159" t="s">
        <v>3</v>
      </c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K2" s="159" t="s">
        <v>31</v>
      </c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1"/>
      <c r="AX2" s="147" t="s">
        <v>5</v>
      </c>
      <c r="AY2" s="147"/>
      <c r="AZ2" s="147"/>
      <c r="BA2" s="147"/>
      <c r="BB2" s="147" t="s">
        <v>4</v>
      </c>
      <c r="BC2" s="147"/>
      <c r="BD2" s="147"/>
      <c r="BE2" s="147"/>
      <c r="BF2" s="147" t="s">
        <v>6</v>
      </c>
      <c r="BG2" s="147"/>
      <c r="BH2" s="147"/>
      <c r="BI2" s="147"/>
      <c r="BJ2" s="147" t="s">
        <v>7</v>
      </c>
      <c r="BK2" s="147"/>
      <c r="BL2" s="147"/>
      <c r="BM2" s="148"/>
      <c r="BN2" s="14"/>
    </row>
    <row r="3" spans="1:66" ht="20.100000000000001" customHeight="1" x14ac:dyDescent="0.45">
      <c r="A3" s="8"/>
      <c r="B3" s="162" t="s">
        <v>225</v>
      </c>
      <c r="C3" s="150"/>
      <c r="D3" s="150"/>
      <c r="E3" s="150"/>
      <c r="F3" s="150"/>
      <c r="G3" s="150"/>
      <c r="H3" s="150" t="str">
        <f ca="1">LEFT($X$3,FIND("_",$X$3)-1)</f>
        <v>UN0400</v>
      </c>
      <c r="I3" s="150"/>
      <c r="J3" s="150"/>
      <c r="K3" s="150"/>
      <c r="L3" s="150" t="s">
        <v>226</v>
      </c>
      <c r="M3" s="150"/>
      <c r="N3" s="150"/>
      <c r="O3" s="150"/>
      <c r="P3" s="150"/>
      <c r="Q3" s="150"/>
      <c r="R3" s="163" t="str">
        <f ca="1">MID($X$3,FIND("_",$X$3,FIND("_",$X$3)+1)+1,LEN($X$3)-FIND("_",$X$3,FIND("_",$X$3)+1))</f>
        <v>帳票設計書</v>
      </c>
      <c r="S3" s="150"/>
      <c r="T3" s="150"/>
      <c r="U3" s="150"/>
      <c r="V3" s="150"/>
      <c r="W3" s="150"/>
      <c r="X3" s="153" t="str">
        <f ca="1">REPLACE(LEFT(CELL("filename",$B$2),FIND(".x",CELL("filename",$B$2))-1),1,FIND("[",CELL("filename",$B$2)),)</f>
        <v>UN0400_入金日計表_帳票設計書</v>
      </c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5"/>
      <c r="AK3" s="153" t="str">
        <f ca="1">MID($X$3,FIND("_",$X$3)+1,FIND("_",$X$3,FIND("_",$X$3)+1)-FIND("_",$X$3)-1)</f>
        <v>入金日計表</v>
      </c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5"/>
      <c r="AX3" s="149">
        <v>45610</v>
      </c>
      <c r="AY3" s="150"/>
      <c r="AZ3" s="150"/>
      <c r="BA3" s="150"/>
      <c r="BB3" s="150" t="s">
        <v>228</v>
      </c>
      <c r="BC3" s="150"/>
      <c r="BD3" s="150"/>
      <c r="BE3" s="150"/>
      <c r="BF3" s="149">
        <v>45610</v>
      </c>
      <c r="BG3" s="150"/>
      <c r="BH3" s="150"/>
      <c r="BI3" s="150"/>
      <c r="BJ3" s="150" t="s">
        <v>228</v>
      </c>
      <c r="BK3" s="150"/>
      <c r="BL3" s="150"/>
      <c r="BM3" s="152"/>
      <c r="BN3" s="14"/>
    </row>
    <row r="4" spans="1:66" ht="20.100000000000001" customHeight="1" thickBot="1" x14ac:dyDescent="0.5">
      <c r="A4" s="8"/>
      <c r="B4" s="155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6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8"/>
      <c r="AK4" s="156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8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6" t="s">
        <v>8</v>
      </c>
      <c r="D8" s="146"/>
      <c r="E8" s="146"/>
      <c r="F8" s="146"/>
      <c r="G8" s="146" t="s">
        <v>9</v>
      </c>
      <c r="H8" s="146"/>
      <c r="I8" s="146"/>
      <c r="J8" s="146"/>
      <c r="K8" s="146" t="s">
        <v>10</v>
      </c>
      <c r="L8" s="146"/>
      <c r="M8" s="146"/>
      <c r="N8" s="146"/>
      <c r="O8" s="146" t="s">
        <v>11</v>
      </c>
      <c r="P8" s="146"/>
      <c r="Q8" s="146"/>
      <c r="R8" s="146"/>
      <c r="S8" s="146"/>
      <c r="T8" s="146"/>
      <c r="U8" s="146"/>
      <c r="V8" s="146"/>
      <c r="W8" s="146"/>
      <c r="X8" s="146"/>
      <c r="Y8" s="146" t="s">
        <v>12</v>
      </c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7"/>
      <c r="BN8" s="14"/>
    </row>
    <row r="9" spans="1:66" ht="20.100000000000001" customHeight="1" x14ac:dyDescent="0.45">
      <c r="A9" s="8"/>
      <c r="B9" s="7"/>
      <c r="C9" s="145">
        <v>45610</v>
      </c>
      <c r="D9" s="143"/>
      <c r="E9" s="143"/>
      <c r="F9" s="144"/>
      <c r="G9" s="139" t="s">
        <v>16</v>
      </c>
      <c r="H9" s="140"/>
      <c r="I9" s="140"/>
      <c r="J9" s="141"/>
      <c r="K9" s="142" t="s">
        <v>228</v>
      </c>
      <c r="L9" s="143"/>
      <c r="M9" s="143"/>
      <c r="N9" s="144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45"/>
      <c r="D10" s="143"/>
      <c r="E10" s="143"/>
      <c r="F10" s="144"/>
      <c r="G10" s="139"/>
      <c r="H10" s="140"/>
      <c r="I10" s="140"/>
      <c r="J10" s="141"/>
      <c r="K10" s="142"/>
      <c r="L10" s="143"/>
      <c r="M10" s="143"/>
      <c r="N10" s="14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45"/>
      <c r="D11" s="143"/>
      <c r="E11" s="143"/>
      <c r="F11" s="144"/>
      <c r="G11" s="139"/>
      <c r="H11" s="140"/>
      <c r="I11" s="140"/>
      <c r="J11" s="141"/>
      <c r="K11" s="142"/>
      <c r="L11" s="143"/>
      <c r="M11" s="143"/>
      <c r="N11" s="14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45"/>
      <c r="D36" s="143"/>
      <c r="E36" s="143"/>
      <c r="F36" s="144"/>
      <c r="G36" s="139"/>
      <c r="H36" s="140"/>
      <c r="I36" s="140"/>
      <c r="J36" s="141"/>
      <c r="K36" s="142"/>
      <c r="L36" s="143"/>
      <c r="M36" s="143"/>
      <c r="N36" s="14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45"/>
      <c r="D37" s="143"/>
      <c r="E37" s="143"/>
      <c r="F37" s="144"/>
      <c r="G37" s="139"/>
      <c r="H37" s="140"/>
      <c r="I37" s="140"/>
      <c r="J37" s="141"/>
      <c r="K37" s="142"/>
      <c r="L37" s="143"/>
      <c r="M37" s="143"/>
      <c r="N37" s="14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45"/>
      <c r="D38" s="143"/>
      <c r="E38" s="143"/>
      <c r="F38" s="144"/>
      <c r="G38" s="139"/>
      <c r="H38" s="140"/>
      <c r="I38" s="140"/>
      <c r="J38" s="141"/>
      <c r="K38" s="142"/>
      <c r="L38" s="143"/>
      <c r="M38" s="143"/>
      <c r="N38" s="14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45"/>
      <c r="D39" s="143"/>
      <c r="E39" s="143"/>
      <c r="F39" s="144"/>
      <c r="G39" s="139"/>
      <c r="H39" s="140"/>
      <c r="I39" s="140"/>
      <c r="J39" s="141"/>
      <c r="K39" s="142"/>
      <c r="L39" s="143"/>
      <c r="M39" s="143"/>
      <c r="N39" s="14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45"/>
      <c r="D40" s="143"/>
      <c r="E40" s="143"/>
      <c r="F40" s="144"/>
      <c r="G40" s="139"/>
      <c r="H40" s="140"/>
      <c r="I40" s="140"/>
      <c r="J40" s="141"/>
      <c r="K40" s="142"/>
      <c r="L40" s="143"/>
      <c r="M40" s="143"/>
      <c r="N40" s="14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45"/>
      <c r="D41" s="143"/>
      <c r="E41" s="143"/>
      <c r="F41" s="144"/>
      <c r="G41" s="139"/>
      <c r="H41" s="140"/>
      <c r="I41" s="140"/>
      <c r="J41" s="141"/>
      <c r="K41" s="142"/>
      <c r="L41" s="143"/>
      <c r="M41" s="143"/>
      <c r="N41" s="14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45"/>
      <c r="D42" s="143"/>
      <c r="E42" s="143"/>
      <c r="F42" s="144"/>
      <c r="G42" s="139"/>
      <c r="H42" s="140"/>
      <c r="I42" s="140"/>
      <c r="J42" s="141"/>
      <c r="K42" s="142"/>
      <c r="L42" s="143"/>
      <c r="M42" s="143"/>
      <c r="N42" s="14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45"/>
      <c r="D43" s="143"/>
      <c r="E43" s="143"/>
      <c r="F43" s="144"/>
      <c r="G43" s="139"/>
      <c r="H43" s="140"/>
      <c r="I43" s="140"/>
      <c r="J43" s="141"/>
      <c r="K43" s="142"/>
      <c r="L43" s="143"/>
      <c r="M43" s="143"/>
      <c r="N43" s="14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45"/>
      <c r="D44" s="143"/>
      <c r="E44" s="143"/>
      <c r="F44" s="144"/>
      <c r="G44" s="139"/>
      <c r="H44" s="140"/>
      <c r="I44" s="140"/>
      <c r="J44" s="141"/>
      <c r="K44" s="142"/>
      <c r="L44" s="143"/>
      <c r="M44" s="143"/>
      <c r="N44" s="14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45"/>
      <c r="D45" s="143"/>
      <c r="E45" s="143"/>
      <c r="F45" s="144"/>
      <c r="G45" s="139"/>
      <c r="H45" s="140"/>
      <c r="I45" s="140"/>
      <c r="J45" s="141"/>
      <c r="K45" s="142"/>
      <c r="L45" s="143"/>
      <c r="M45" s="143"/>
      <c r="N45" s="14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45"/>
      <c r="D46" s="143"/>
      <c r="E46" s="143"/>
      <c r="F46" s="144"/>
      <c r="G46" s="139"/>
      <c r="H46" s="140"/>
      <c r="I46" s="140"/>
      <c r="J46" s="141"/>
      <c r="K46" s="142"/>
      <c r="L46" s="143"/>
      <c r="M46" s="143"/>
      <c r="N46" s="14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45"/>
      <c r="D47" s="143"/>
      <c r="E47" s="143"/>
      <c r="F47" s="144"/>
      <c r="G47" s="139"/>
      <c r="H47" s="140"/>
      <c r="I47" s="140"/>
      <c r="J47" s="141"/>
      <c r="K47" s="142"/>
      <c r="L47" s="143"/>
      <c r="M47" s="143"/>
      <c r="N47" s="14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64" t="s">
        <v>0</v>
      </c>
      <c r="C2" s="147"/>
      <c r="D2" s="147"/>
      <c r="E2" s="147"/>
      <c r="F2" s="147"/>
      <c r="G2" s="147"/>
      <c r="H2" s="147" t="s">
        <v>17</v>
      </c>
      <c r="I2" s="147"/>
      <c r="J2" s="147"/>
      <c r="K2" s="147"/>
      <c r="L2" s="147" t="s">
        <v>227</v>
      </c>
      <c r="M2" s="147"/>
      <c r="N2" s="147"/>
      <c r="O2" s="147"/>
      <c r="P2" s="147"/>
      <c r="Q2" s="147"/>
      <c r="R2" s="147" t="s">
        <v>2</v>
      </c>
      <c r="S2" s="147"/>
      <c r="T2" s="147"/>
      <c r="U2" s="147"/>
      <c r="V2" s="147"/>
      <c r="W2" s="147"/>
      <c r="X2" s="159" t="s">
        <v>3</v>
      </c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K2" s="159" t="s">
        <v>32</v>
      </c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1"/>
      <c r="AX2" s="147" t="s">
        <v>5</v>
      </c>
      <c r="AY2" s="147"/>
      <c r="AZ2" s="147"/>
      <c r="BA2" s="147"/>
      <c r="BB2" s="147" t="s">
        <v>4</v>
      </c>
      <c r="BC2" s="147"/>
      <c r="BD2" s="147"/>
      <c r="BE2" s="147"/>
      <c r="BF2" s="147" t="s">
        <v>6</v>
      </c>
      <c r="BG2" s="147"/>
      <c r="BH2" s="147"/>
      <c r="BI2" s="147"/>
      <c r="BJ2" s="147" t="s">
        <v>7</v>
      </c>
      <c r="BK2" s="147"/>
      <c r="BL2" s="147"/>
      <c r="BM2" s="148"/>
      <c r="BN2" s="35"/>
    </row>
    <row r="3" spans="1:66" ht="20.100000000000001" customHeight="1" x14ac:dyDescent="0.45">
      <c r="A3" s="32"/>
      <c r="B3" s="162" t="str">
        <f>変更履歴!B3</f>
        <v>受発注システム</v>
      </c>
      <c r="C3" s="150"/>
      <c r="D3" s="150"/>
      <c r="E3" s="150"/>
      <c r="F3" s="150"/>
      <c r="G3" s="150"/>
      <c r="H3" s="150" t="str">
        <f ca="1">変更履歴!H3</f>
        <v>UN0400</v>
      </c>
      <c r="I3" s="150"/>
      <c r="J3" s="150"/>
      <c r="K3" s="150"/>
      <c r="L3" s="150" t="str">
        <f>変更履歴!L3</f>
        <v>受発注</v>
      </c>
      <c r="M3" s="150"/>
      <c r="N3" s="150"/>
      <c r="O3" s="150"/>
      <c r="P3" s="150"/>
      <c r="Q3" s="150"/>
      <c r="R3" s="150" t="str">
        <f ca="1">変更履歴!R3</f>
        <v>帳票設計書</v>
      </c>
      <c r="S3" s="150"/>
      <c r="T3" s="150"/>
      <c r="U3" s="150"/>
      <c r="V3" s="150"/>
      <c r="W3" s="150"/>
      <c r="X3" s="153" t="str">
        <f ca="1">変更履歴!X3</f>
        <v>UN0400_入金日計表_帳票設計書</v>
      </c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5"/>
      <c r="AK3" s="153" t="str">
        <f ca="1">変更履歴!AK3</f>
        <v>入金日計表</v>
      </c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5"/>
      <c r="AX3" s="149">
        <f>変更履歴!AX3</f>
        <v>45610</v>
      </c>
      <c r="AY3" s="149"/>
      <c r="AZ3" s="149"/>
      <c r="BA3" s="149"/>
      <c r="BB3" s="150" t="str">
        <f>変更履歴!BB3</f>
        <v>大谷</v>
      </c>
      <c r="BC3" s="150"/>
      <c r="BD3" s="150"/>
      <c r="BE3" s="150"/>
      <c r="BF3" s="149">
        <f>変更履歴!BF3</f>
        <v>45610</v>
      </c>
      <c r="BG3" s="149"/>
      <c r="BH3" s="149"/>
      <c r="BI3" s="149"/>
      <c r="BJ3" s="150" t="str">
        <f>変更履歴!BJ3</f>
        <v>大谷</v>
      </c>
      <c r="BK3" s="150"/>
      <c r="BL3" s="150"/>
      <c r="BM3" s="152"/>
      <c r="BN3" s="35"/>
    </row>
    <row r="4" spans="1:66" ht="20.100000000000001" customHeight="1" thickBot="1" x14ac:dyDescent="0.5">
      <c r="A4" s="32"/>
      <c r="B4" s="155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6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8"/>
      <c r="AK4" s="156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8"/>
      <c r="AX4" s="165"/>
      <c r="AY4" s="165"/>
      <c r="AZ4" s="165"/>
      <c r="BA4" s="165"/>
      <c r="BB4" s="151"/>
      <c r="BC4" s="151"/>
      <c r="BD4" s="151"/>
      <c r="BE4" s="151"/>
      <c r="BF4" s="165"/>
      <c r="BG4" s="165"/>
      <c r="BH4" s="165"/>
      <c r="BI4" s="165"/>
      <c r="BJ4" s="151"/>
      <c r="BK4" s="151"/>
      <c r="BL4" s="151"/>
      <c r="BM4" s="153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入金日計表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128" t="s">
        <v>90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91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92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129" t="s">
        <v>90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129" t="s">
        <v>90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129" t="s">
        <v>90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128" t="s">
        <v>90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224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72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4" t="s">
        <v>0</v>
      </c>
      <c r="C2" s="147"/>
      <c r="D2" s="147"/>
      <c r="E2" s="147"/>
      <c r="F2" s="147"/>
      <c r="G2" s="147"/>
      <c r="H2" s="147" t="s">
        <v>17</v>
      </c>
      <c r="I2" s="147"/>
      <c r="J2" s="147"/>
      <c r="K2" s="147"/>
      <c r="L2" s="147" t="s">
        <v>227</v>
      </c>
      <c r="M2" s="147"/>
      <c r="N2" s="147"/>
      <c r="O2" s="147"/>
      <c r="P2" s="147"/>
      <c r="Q2" s="147"/>
      <c r="R2" s="147" t="s">
        <v>2</v>
      </c>
      <c r="S2" s="147"/>
      <c r="T2" s="147"/>
      <c r="U2" s="147"/>
      <c r="V2" s="147"/>
      <c r="W2" s="147"/>
      <c r="X2" s="159" t="s">
        <v>3</v>
      </c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K2" s="159" t="s">
        <v>32</v>
      </c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1"/>
      <c r="AX2" s="147" t="s">
        <v>5</v>
      </c>
      <c r="AY2" s="147"/>
      <c r="AZ2" s="147"/>
      <c r="BA2" s="147"/>
      <c r="BB2" s="147" t="s">
        <v>4</v>
      </c>
      <c r="BC2" s="147"/>
      <c r="BD2" s="147"/>
      <c r="BE2" s="147"/>
      <c r="BF2" s="147" t="s">
        <v>6</v>
      </c>
      <c r="BG2" s="147"/>
      <c r="BH2" s="147"/>
      <c r="BI2" s="147"/>
      <c r="BJ2" s="147" t="s">
        <v>7</v>
      </c>
      <c r="BK2" s="147"/>
      <c r="BL2" s="147"/>
      <c r="BM2" s="148"/>
      <c r="BN2" s="15"/>
    </row>
    <row r="3" spans="1:66" ht="20.100000000000001" customHeight="1" x14ac:dyDescent="0.45">
      <c r="A3" s="9"/>
      <c r="B3" s="162" t="str">
        <f>変更履歴!B3</f>
        <v>受発注システム</v>
      </c>
      <c r="C3" s="150"/>
      <c r="D3" s="150"/>
      <c r="E3" s="150"/>
      <c r="F3" s="150"/>
      <c r="G3" s="150"/>
      <c r="H3" s="150" t="str">
        <f ca="1">変更履歴!H3</f>
        <v>UN0400</v>
      </c>
      <c r="I3" s="150"/>
      <c r="J3" s="150"/>
      <c r="K3" s="150"/>
      <c r="L3" s="150" t="str">
        <f>変更履歴!L3</f>
        <v>受発注</v>
      </c>
      <c r="M3" s="150"/>
      <c r="N3" s="150"/>
      <c r="O3" s="150"/>
      <c r="P3" s="150"/>
      <c r="Q3" s="150"/>
      <c r="R3" s="150" t="str">
        <f ca="1">変更履歴!R3</f>
        <v>帳票設計書</v>
      </c>
      <c r="S3" s="150"/>
      <c r="T3" s="150"/>
      <c r="U3" s="150"/>
      <c r="V3" s="150"/>
      <c r="W3" s="150"/>
      <c r="X3" s="153" t="str">
        <f ca="1">変更履歴!X3</f>
        <v>UN0400_入金日計表_帳票設計書</v>
      </c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5"/>
      <c r="AK3" s="153" t="str">
        <f ca="1">変更履歴!AK3</f>
        <v>入金日計表</v>
      </c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5"/>
      <c r="AX3" s="149">
        <f>変更履歴!AX3</f>
        <v>45610</v>
      </c>
      <c r="AY3" s="149"/>
      <c r="AZ3" s="149"/>
      <c r="BA3" s="149"/>
      <c r="BB3" s="150" t="str">
        <f>変更履歴!BB3</f>
        <v>大谷</v>
      </c>
      <c r="BC3" s="150"/>
      <c r="BD3" s="150"/>
      <c r="BE3" s="150"/>
      <c r="BF3" s="149">
        <f>変更履歴!BF3</f>
        <v>45610</v>
      </c>
      <c r="BG3" s="149"/>
      <c r="BH3" s="149"/>
      <c r="BI3" s="149"/>
      <c r="BJ3" s="150" t="str">
        <f>変更履歴!BJ3</f>
        <v>大谷</v>
      </c>
      <c r="BK3" s="150"/>
      <c r="BL3" s="150"/>
      <c r="BM3" s="152"/>
      <c r="BN3" s="15"/>
    </row>
    <row r="4" spans="1:66" ht="20.100000000000001" customHeight="1" thickBot="1" x14ac:dyDescent="0.5">
      <c r="A4" s="9"/>
      <c r="B4" s="155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6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8"/>
      <c r="AK4" s="156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8"/>
      <c r="AX4" s="165"/>
      <c r="AY4" s="165"/>
      <c r="AZ4" s="165"/>
      <c r="BA4" s="165"/>
      <c r="BB4" s="151"/>
      <c r="BC4" s="151"/>
      <c r="BD4" s="151"/>
      <c r="BE4" s="151"/>
      <c r="BF4" s="165"/>
      <c r="BG4" s="165"/>
      <c r="BH4" s="165"/>
      <c r="BI4" s="165"/>
      <c r="BJ4" s="151"/>
      <c r="BK4" s="151"/>
      <c r="BL4" s="151"/>
      <c r="BM4" s="153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x14ac:dyDescent="0.45">
      <c r="A47" s="32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29"/>
      <c r="BH47" s="29"/>
      <c r="BI47" s="29"/>
      <c r="BJ47" s="29"/>
      <c r="BK47" s="31"/>
      <c r="BL47" s="31"/>
      <c r="BM47" s="31"/>
      <c r="BN47" s="35"/>
    </row>
    <row r="48" spans="1:66" ht="20.100000000000001" customHeight="1" x14ac:dyDescent="0.45">
      <c r="A48" s="32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29"/>
      <c r="BH48" s="29"/>
      <c r="BI48" s="29"/>
      <c r="BJ48" s="29"/>
      <c r="BK48" s="31"/>
      <c r="BL48" s="31"/>
      <c r="BM48" s="31"/>
      <c r="BN48" s="35"/>
    </row>
    <row r="49" spans="1:66" ht="20.100000000000001" customHeight="1" x14ac:dyDescent="0.45">
      <c r="A49" s="32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5"/>
    </row>
    <row r="50" spans="1:66" ht="20.100000000000001" customHeight="1" x14ac:dyDescent="0.45">
      <c r="A50" s="32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5"/>
    </row>
    <row r="51" spans="1:66" ht="20.100000000000001" customHeight="1" x14ac:dyDescent="0.45">
      <c r="A51" s="32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5"/>
    </row>
    <row r="52" spans="1:66" ht="20.100000000000001" customHeight="1" x14ac:dyDescent="0.45">
      <c r="A52" s="32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5"/>
    </row>
    <row r="53" spans="1:66" ht="20.100000000000001" customHeight="1" x14ac:dyDescent="0.45">
      <c r="A53" s="32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5"/>
    </row>
    <row r="54" spans="1:66" ht="20.100000000000001" customHeight="1" x14ac:dyDescent="0.45">
      <c r="B54" s="35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2"/>
    </row>
    <row r="55" spans="1:66" ht="20.100000000000001" customHeight="1" x14ac:dyDescent="0.45">
      <c r="B55" s="35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2"/>
    </row>
    <row r="56" spans="1:66" ht="20.100000000000001" customHeight="1" x14ac:dyDescent="0.45">
      <c r="B56" s="35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2"/>
    </row>
    <row r="57" spans="1:66" ht="20.100000000000001" customHeight="1" x14ac:dyDescent="0.45">
      <c r="B57" s="35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2"/>
    </row>
    <row r="58" spans="1:66" ht="20.100000000000001" customHeight="1" x14ac:dyDescent="0.45">
      <c r="B58" s="35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2"/>
    </row>
    <row r="59" spans="1:66" ht="20.100000000000001" customHeight="1" x14ac:dyDescent="0.45">
      <c r="B59" s="35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2"/>
    </row>
    <row r="60" spans="1:66" ht="20.100000000000001" customHeight="1" x14ac:dyDescent="0.45">
      <c r="B60" s="35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2"/>
    </row>
    <row r="61" spans="1:66" ht="20.100000000000001" customHeight="1" x14ac:dyDescent="0.45">
      <c r="B61" s="35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2"/>
    </row>
    <row r="62" spans="1:66" ht="20.100000000000001" customHeight="1" x14ac:dyDescent="0.45">
      <c r="B62" s="35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2"/>
    </row>
    <row r="63" spans="1:66" ht="20.100000000000001" customHeight="1" x14ac:dyDescent="0.45">
      <c r="B63" s="35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2"/>
    </row>
    <row r="64" spans="1:66" ht="20.100000000000001" customHeight="1" x14ac:dyDescent="0.45">
      <c r="B64" s="35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2"/>
    </row>
    <row r="65" spans="1:66" ht="20.100000000000001" customHeight="1" x14ac:dyDescent="0.45">
      <c r="B65" s="35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2"/>
    </row>
    <row r="66" spans="1:66" ht="20.100000000000001" customHeight="1" x14ac:dyDescent="0.45">
      <c r="A66" s="32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29"/>
      <c r="BH66" s="29"/>
      <c r="BI66" s="29"/>
      <c r="BJ66" s="29"/>
      <c r="BK66" s="31"/>
      <c r="BL66" s="31"/>
      <c r="BM66" s="31"/>
      <c r="BN66" s="35"/>
    </row>
    <row r="67" spans="1:66" ht="20.100000000000001" customHeight="1" x14ac:dyDescent="0.45">
      <c r="A67" s="3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29"/>
      <c r="BH67" s="29"/>
      <c r="BI67" s="29"/>
      <c r="BJ67" s="29"/>
      <c r="BK67" s="31"/>
      <c r="BL67" s="31"/>
      <c r="BM67" s="31"/>
      <c r="BN67" s="35"/>
    </row>
    <row r="68" spans="1:66" ht="20.100000000000001" customHeight="1" x14ac:dyDescent="0.45">
      <c r="A68" s="3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5"/>
    </row>
    <row r="69" spans="1:66" ht="20.100000000000001" customHeight="1" x14ac:dyDescent="0.45">
      <c r="A69" s="32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5"/>
    </row>
    <row r="70" spans="1:66" ht="20.100000000000001" customHeight="1" x14ac:dyDescent="0.45">
      <c r="A70" s="32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5"/>
    </row>
    <row r="71" spans="1:66" ht="20.100000000000001" customHeight="1" thickBot="1" x14ac:dyDescent="0.5">
      <c r="B71" s="27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28"/>
    </row>
    <row r="72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64" t="s">
        <v>0</v>
      </c>
      <c r="C2" s="147"/>
      <c r="D2" s="147"/>
      <c r="E2" s="147"/>
      <c r="F2" s="147"/>
      <c r="G2" s="147"/>
      <c r="H2" s="147" t="s">
        <v>17</v>
      </c>
      <c r="I2" s="147"/>
      <c r="J2" s="147"/>
      <c r="K2" s="147"/>
      <c r="L2" s="147" t="s">
        <v>227</v>
      </c>
      <c r="M2" s="147"/>
      <c r="N2" s="147"/>
      <c r="O2" s="147"/>
      <c r="P2" s="147"/>
      <c r="Q2" s="147"/>
      <c r="R2" s="147" t="s">
        <v>2</v>
      </c>
      <c r="S2" s="147"/>
      <c r="T2" s="147"/>
      <c r="U2" s="147"/>
      <c r="V2" s="147"/>
      <c r="W2" s="147"/>
      <c r="X2" s="159" t="s">
        <v>3</v>
      </c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K2" s="159" t="s">
        <v>32</v>
      </c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1"/>
      <c r="AX2" s="147" t="s">
        <v>5</v>
      </c>
      <c r="AY2" s="147"/>
      <c r="AZ2" s="147"/>
      <c r="BA2" s="147"/>
      <c r="BB2" s="147" t="s">
        <v>4</v>
      </c>
      <c r="BC2" s="147"/>
      <c r="BD2" s="147"/>
      <c r="BE2" s="147"/>
      <c r="BF2" s="147" t="s">
        <v>6</v>
      </c>
      <c r="BG2" s="147"/>
      <c r="BH2" s="147"/>
      <c r="BI2" s="147"/>
      <c r="BJ2" s="147" t="s">
        <v>7</v>
      </c>
      <c r="BK2" s="147"/>
      <c r="BL2" s="147"/>
      <c r="BM2" s="148"/>
      <c r="BN2" s="15"/>
    </row>
    <row r="3" spans="1:85" ht="20.100000000000001" customHeight="1" x14ac:dyDescent="0.45">
      <c r="A3" s="9"/>
      <c r="B3" s="162" t="str">
        <f>変更履歴!B3</f>
        <v>受発注システム</v>
      </c>
      <c r="C3" s="150"/>
      <c r="D3" s="150"/>
      <c r="E3" s="150"/>
      <c r="F3" s="150"/>
      <c r="G3" s="150"/>
      <c r="H3" s="150" t="str">
        <f ca="1">変更履歴!H3</f>
        <v>UN0400</v>
      </c>
      <c r="I3" s="150"/>
      <c r="J3" s="150"/>
      <c r="K3" s="150"/>
      <c r="L3" s="150" t="str">
        <f>変更履歴!L3</f>
        <v>受発注</v>
      </c>
      <c r="M3" s="150"/>
      <c r="N3" s="150"/>
      <c r="O3" s="150"/>
      <c r="P3" s="150"/>
      <c r="Q3" s="150"/>
      <c r="R3" s="150" t="str">
        <f ca="1">変更履歴!R3</f>
        <v>帳票設計書</v>
      </c>
      <c r="S3" s="150"/>
      <c r="T3" s="150"/>
      <c r="U3" s="150"/>
      <c r="V3" s="150"/>
      <c r="W3" s="150"/>
      <c r="X3" s="153" t="str">
        <f ca="1">変更履歴!X3</f>
        <v>UN0400_入金日計表_帳票設計書</v>
      </c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5"/>
      <c r="AK3" s="153" t="str">
        <f ca="1">変更履歴!AK3</f>
        <v>入金日計表</v>
      </c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5"/>
      <c r="AX3" s="149">
        <f>変更履歴!AX3</f>
        <v>45610</v>
      </c>
      <c r="AY3" s="149"/>
      <c r="AZ3" s="149"/>
      <c r="BA3" s="149"/>
      <c r="BB3" s="150" t="str">
        <f>変更履歴!BB3</f>
        <v>大谷</v>
      </c>
      <c r="BC3" s="150"/>
      <c r="BD3" s="150"/>
      <c r="BE3" s="150"/>
      <c r="BF3" s="149">
        <f>変更履歴!BF3</f>
        <v>45610</v>
      </c>
      <c r="BG3" s="149"/>
      <c r="BH3" s="149"/>
      <c r="BI3" s="149"/>
      <c r="BJ3" s="150" t="str">
        <f>変更履歴!BJ3</f>
        <v>大谷</v>
      </c>
      <c r="BK3" s="150"/>
      <c r="BL3" s="150"/>
      <c r="BM3" s="152"/>
      <c r="BN3" s="15"/>
    </row>
    <row r="4" spans="1:85" ht="20.100000000000001" customHeight="1" thickBot="1" x14ac:dyDescent="0.5">
      <c r="A4" s="9"/>
      <c r="B4" s="155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6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8"/>
      <c r="AK4" s="156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8"/>
      <c r="AX4" s="165"/>
      <c r="AY4" s="165"/>
      <c r="AZ4" s="165"/>
      <c r="BA4" s="165"/>
      <c r="BB4" s="151"/>
      <c r="BC4" s="151"/>
      <c r="BD4" s="151"/>
      <c r="BE4" s="151"/>
      <c r="BF4" s="165"/>
      <c r="BG4" s="165"/>
      <c r="BH4" s="165"/>
      <c r="BI4" s="165"/>
      <c r="BJ4" s="151"/>
      <c r="BK4" s="151"/>
      <c r="BL4" s="151"/>
      <c r="BM4" s="153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88" t="s">
        <v>20</v>
      </c>
      <c r="F10" s="189"/>
      <c r="G10" s="189"/>
      <c r="H10" s="189"/>
      <c r="I10" s="189"/>
      <c r="J10" s="189"/>
      <c r="K10" s="189"/>
      <c r="L10" s="190"/>
      <c r="M10" s="191" t="s">
        <v>24</v>
      </c>
      <c r="N10" s="192"/>
      <c r="O10" s="192"/>
      <c r="P10" s="191" t="s">
        <v>33</v>
      </c>
      <c r="Q10" s="192"/>
      <c r="R10" s="192"/>
      <c r="S10" s="191" t="s">
        <v>34</v>
      </c>
      <c r="T10" s="192"/>
      <c r="U10" s="192"/>
      <c r="V10" s="191" t="s">
        <v>36</v>
      </c>
      <c r="W10" s="192"/>
      <c r="X10" s="192"/>
      <c r="Y10" s="192"/>
      <c r="Z10" s="192"/>
      <c r="AA10" s="194"/>
      <c r="AB10" s="191" t="s">
        <v>35</v>
      </c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4"/>
      <c r="AR10" s="191" t="s">
        <v>42</v>
      </c>
      <c r="AS10" s="192"/>
      <c r="AT10" s="192"/>
      <c r="AU10" s="192"/>
      <c r="AV10" s="192"/>
      <c r="AW10" s="194"/>
      <c r="AX10" s="191" t="s">
        <v>43</v>
      </c>
      <c r="AY10" s="192"/>
      <c r="AZ10" s="192"/>
      <c r="BA10" s="192"/>
      <c r="BB10" s="192"/>
      <c r="BC10" s="192"/>
      <c r="BD10" s="192"/>
      <c r="BE10" s="192"/>
      <c r="BF10" s="192"/>
      <c r="BG10" s="192"/>
      <c r="BH10" s="192"/>
      <c r="BI10" s="192"/>
      <c r="BJ10" s="192"/>
      <c r="BK10" s="192"/>
      <c r="BL10" s="192"/>
      <c r="BM10" s="192"/>
      <c r="BN10" s="192"/>
      <c r="BO10" s="192"/>
      <c r="BP10" s="192"/>
      <c r="BQ10" s="192"/>
      <c r="BR10" s="192"/>
      <c r="BS10" s="192"/>
      <c r="BT10" s="193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66" t="s">
        <v>93</v>
      </c>
      <c r="F11" s="167"/>
      <c r="G11" s="167"/>
      <c r="H11" s="167"/>
      <c r="I11" s="167"/>
      <c r="J11" s="167"/>
      <c r="K11" s="167"/>
      <c r="L11" s="168"/>
      <c r="M11" s="142" t="s">
        <v>8</v>
      </c>
      <c r="N11" s="143"/>
      <c r="O11" s="143"/>
      <c r="P11" s="142" t="s">
        <v>109</v>
      </c>
      <c r="Q11" s="143"/>
      <c r="R11" s="143"/>
      <c r="S11" s="142"/>
      <c r="T11" s="143"/>
      <c r="U11" s="143"/>
      <c r="V11" s="169" t="s">
        <v>111</v>
      </c>
      <c r="W11" s="170"/>
      <c r="X11" s="170"/>
      <c r="Y11" s="170"/>
      <c r="Z11" s="170"/>
      <c r="AA11" s="171"/>
      <c r="AB11" s="172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4"/>
      <c r="AR11" s="142" t="s">
        <v>126</v>
      </c>
      <c r="AS11" s="143"/>
      <c r="AT11" s="143"/>
      <c r="AU11" s="143"/>
      <c r="AV11" s="143"/>
      <c r="AW11" s="144"/>
      <c r="AX11" s="169"/>
      <c r="AY11" s="170"/>
      <c r="AZ11" s="170"/>
      <c r="BA11" s="170"/>
      <c r="BB11" s="170"/>
      <c r="BC11" s="170"/>
      <c r="BD11" s="170"/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  <c r="BO11" s="170"/>
      <c r="BP11" s="170"/>
      <c r="BQ11" s="170"/>
      <c r="BR11" s="170"/>
      <c r="BS11" s="170"/>
      <c r="BT11" s="178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66" t="s">
        <v>193</v>
      </c>
      <c r="F12" s="167"/>
      <c r="G12" s="167"/>
      <c r="H12" s="167"/>
      <c r="I12" s="167"/>
      <c r="J12" s="167"/>
      <c r="K12" s="167"/>
      <c r="L12" s="168"/>
      <c r="M12" s="142" t="s">
        <v>38</v>
      </c>
      <c r="N12" s="143"/>
      <c r="O12" s="143"/>
      <c r="P12" s="142" t="s">
        <v>110</v>
      </c>
      <c r="Q12" s="143"/>
      <c r="R12" s="143"/>
      <c r="S12" s="142"/>
      <c r="T12" s="143"/>
      <c r="U12" s="143"/>
      <c r="V12" s="169" t="s">
        <v>112</v>
      </c>
      <c r="W12" s="170"/>
      <c r="X12" s="170"/>
      <c r="Y12" s="170"/>
      <c r="Z12" s="170"/>
      <c r="AA12" s="171"/>
      <c r="AB12" s="172" t="s">
        <v>195</v>
      </c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4"/>
      <c r="AR12" s="142"/>
      <c r="AS12" s="143"/>
      <c r="AT12" s="143"/>
      <c r="AU12" s="143"/>
      <c r="AV12" s="143"/>
      <c r="AW12" s="144"/>
      <c r="AX12" s="169"/>
      <c r="AY12" s="170"/>
      <c r="AZ12" s="170"/>
      <c r="BA12" s="170"/>
      <c r="BB12" s="170"/>
      <c r="BC12" s="170"/>
      <c r="BD12" s="170"/>
      <c r="BE12" s="170"/>
      <c r="BF12" s="170"/>
      <c r="BG12" s="170"/>
      <c r="BH12" s="170"/>
      <c r="BI12" s="170"/>
      <c r="BJ12" s="170"/>
      <c r="BK12" s="170"/>
      <c r="BL12" s="170"/>
      <c r="BM12" s="170"/>
      <c r="BN12" s="170"/>
      <c r="BO12" s="170"/>
      <c r="BP12" s="170"/>
      <c r="BQ12" s="170"/>
      <c r="BR12" s="170"/>
      <c r="BS12" s="170"/>
      <c r="BT12" s="178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66" t="s">
        <v>194</v>
      </c>
      <c r="F13" s="167"/>
      <c r="G13" s="167"/>
      <c r="H13" s="167"/>
      <c r="I13" s="167"/>
      <c r="J13" s="167"/>
      <c r="K13" s="167"/>
      <c r="L13" s="168"/>
      <c r="M13" s="142" t="s">
        <v>38</v>
      </c>
      <c r="N13" s="143"/>
      <c r="O13" s="143"/>
      <c r="P13" s="142" t="s">
        <v>110</v>
      </c>
      <c r="Q13" s="143"/>
      <c r="R13" s="143"/>
      <c r="S13" s="142"/>
      <c r="T13" s="143"/>
      <c r="U13" s="143"/>
      <c r="V13" s="169" t="s">
        <v>113</v>
      </c>
      <c r="W13" s="170"/>
      <c r="X13" s="170"/>
      <c r="Y13" s="170"/>
      <c r="Z13" s="170"/>
      <c r="AA13" s="171"/>
      <c r="AB13" s="172" t="s">
        <v>196</v>
      </c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4"/>
      <c r="AR13" s="142"/>
      <c r="AS13" s="143"/>
      <c r="AT13" s="143"/>
      <c r="AU13" s="143"/>
      <c r="AV13" s="143"/>
      <c r="AW13" s="144"/>
      <c r="AX13" s="169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R13" s="170"/>
      <c r="BS13" s="170"/>
      <c r="BT13" s="178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66" t="s">
        <v>94</v>
      </c>
      <c r="F14" s="167"/>
      <c r="G14" s="167"/>
      <c r="H14" s="167"/>
      <c r="I14" s="167"/>
      <c r="J14" s="167"/>
      <c r="K14" s="167"/>
      <c r="L14" s="168"/>
      <c r="M14" s="142" t="s">
        <v>8</v>
      </c>
      <c r="N14" s="143"/>
      <c r="O14" s="143"/>
      <c r="P14" s="142" t="s">
        <v>109</v>
      </c>
      <c r="Q14" s="143"/>
      <c r="R14" s="143"/>
      <c r="S14" s="142"/>
      <c r="T14" s="143"/>
      <c r="U14" s="143"/>
      <c r="V14" s="169" t="s">
        <v>114</v>
      </c>
      <c r="W14" s="170"/>
      <c r="X14" s="170"/>
      <c r="Y14" s="170"/>
      <c r="Z14" s="170"/>
      <c r="AA14" s="171"/>
      <c r="AB14" s="172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4"/>
      <c r="AR14" s="142" t="s">
        <v>126</v>
      </c>
      <c r="AS14" s="143"/>
      <c r="AT14" s="143"/>
      <c r="AU14" s="143"/>
      <c r="AV14" s="143"/>
      <c r="AW14" s="144"/>
      <c r="AX14" s="169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8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66" t="s">
        <v>95</v>
      </c>
      <c r="F15" s="167"/>
      <c r="G15" s="167"/>
      <c r="H15" s="167"/>
      <c r="I15" s="167"/>
      <c r="J15" s="167"/>
      <c r="K15" s="167"/>
      <c r="L15" s="168"/>
      <c r="M15" s="142" t="s">
        <v>8</v>
      </c>
      <c r="N15" s="143"/>
      <c r="O15" s="143"/>
      <c r="P15" s="142" t="s">
        <v>109</v>
      </c>
      <c r="Q15" s="143"/>
      <c r="R15" s="143"/>
      <c r="S15" s="142"/>
      <c r="T15" s="143"/>
      <c r="U15" s="143"/>
      <c r="V15" s="169" t="s">
        <v>115</v>
      </c>
      <c r="W15" s="170"/>
      <c r="X15" s="170"/>
      <c r="Y15" s="170"/>
      <c r="Z15" s="170"/>
      <c r="AA15" s="171"/>
      <c r="AB15" s="172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4"/>
      <c r="AR15" s="142" t="s">
        <v>126</v>
      </c>
      <c r="AS15" s="143"/>
      <c r="AT15" s="143"/>
      <c r="AU15" s="143"/>
      <c r="AV15" s="143"/>
      <c r="AW15" s="144"/>
      <c r="AX15" s="169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8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66" t="s">
        <v>164</v>
      </c>
      <c r="F16" s="167"/>
      <c r="G16" s="167"/>
      <c r="H16" s="167"/>
      <c r="I16" s="167"/>
      <c r="J16" s="167"/>
      <c r="K16" s="167"/>
      <c r="L16" s="168"/>
      <c r="M16" s="142" t="s">
        <v>47</v>
      </c>
      <c r="N16" s="143"/>
      <c r="O16" s="143"/>
      <c r="P16" s="142" t="s">
        <v>109</v>
      </c>
      <c r="Q16" s="143"/>
      <c r="R16" s="143"/>
      <c r="S16" s="142"/>
      <c r="T16" s="143"/>
      <c r="U16" s="143"/>
      <c r="V16" s="169" t="s">
        <v>165</v>
      </c>
      <c r="W16" s="170"/>
      <c r="X16" s="170"/>
      <c r="Y16" s="170"/>
      <c r="Z16" s="170"/>
      <c r="AA16" s="171"/>
      <c r="AB16" s="172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4"/>
      <c r="AR16" s="142"/>
      <c r="AS16" s="143"/>
      <c r="AT16" s="143"/>
      <c r="AU16" s="143"/>
      <c r="AV16" s="143"/>
      <c r="AW16" s="144"/>
      <c r="AX16" s="169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8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66" t="s">
        <v>166</v>
      </c>
      <c r="F17" s="167"/>
      <c r="G17" s="167"/>
      <c r="H17" s="167"/>
      <c r="I17" s="167"/>
      <c r="J17" s="167"/>
      <c r="K17" s="167"/>
      <c r="L17" s="168"/>
      <c r="M17" s="142" t="s">
        <v>38</v>
      </c>
      <c r="N17" s="143"/>
      <c r="O17" s="143"/>
      <c r="P17" s="142" t="s">
        <v>110</v>
      </c>
      <c r="Q17" s="143"/>
      <c r="R17" s="143"/>
      <c r="S17" s="142"/>
      <c r="T17" s="143"/>
      <c r="U17" s="143"/>
      <c r="V17" s="169" t="s">
        <v>168</v>
      </c>
      <c r="W17" s="170"/>
      <c r="X17" s="170"/>
      <c r="Y17" s="170"/>
      <c r="Z17" s="170"/>
      <c r="AA17" s="171"/>
      <c r="AB17" s="172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4"/>
      <c r="AR17" s="142"/>
      <c r="AS17" s="143"/>
      <c r="AT17" s="143"/>
      <c r="AU17" s="143"/>
      <c r="AV17" s="143"/>
      <c r="AW17" s="144"/>
      <c r="AX17" s="169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8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66" t="s">
        <v>167</v>
      </c>
      <c r="F18" s="167"/>
      <c r="G18" s="167"/>
      <c r="H18" s="167"/>
      <c r="I18" s="167"/>
      <c r="J18" s="167"/>
      <c r="K18" s="167"/>
      <c r="L18" s="168"/>
      <c r="M18" s="142" t="s">
        <v>38</v>
      </c>
      <c r="N18" s="143"/>
      <c r="O18" s="143"/>
      <c r="P18" s="142" t="s">
        <v>110</v>
      </c>
      <c r="Q18" s="143"/>
      <c r="R18" s="143"/>
      <c r="S18" s="142"/>
      <c r="T18" s="143"/>
      <c r="U18" s="143"/>
      <c r="V18" s="169" t="s">
        <v>169</v>
      </c>
      <c r="W18" s="170"/>
      <c r="X18" s="170"/>
      <c r="Y18" s="170"/>
      <c r="Z18" s="170"/>
      <c r="AA18" s="171"/>
      <c r="AB18" s="172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4"/>
      <c r="AR18" s="142"/>
      <c r="AS18" s="143"/>
      <c r="AT18" s="143"/>
      <c r="AU18" s="143"/>
      <c r="AV18" s="143"/>
      <c r="AW18" s="144"/>
      <c r="AX18" s="169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8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66" t="s">
        <v>170</v>
      </c>
      <c r="F19" s="167"/>
      <c r="G19" s="167"/>
      <c r="H19" s="167"/>
      <c r="I19" s="167"/>
      <c r="J19" s="167"/>
      <c r="K19" s="167"/>
      <c r="L19" s="168"/>
      <c r="M19" s="142" t="s">
        <v>8</v>
      </c>
      <c r="N19" s="143"/>
      <c r="O19" s="143"/>
      <c r="P19" s="142" t="s">
        <v>109</v>
      </c>
      <c r="Q19" s="143"/>
      <c r="R19" s="143"/>
      <c r="S19" s="142"/>
      <c r="T19" s="143"/>
      <c r="U19" s="143"/>
      <c r="V19" s="169" t="s">
        <v>171</v>
      </c>
      <c r="W19" s="170"/>
      <c r="X19" s="170"/>
      <c r="Y19" s="170"/>
      <c r="Z19" s="170"/>
      <c r="AA19" s="171"/>
      <c r="AB19" s="172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4"/>
      <c r="AR19" s="142" t="s">
        <v>127</v>
      </c>
      <c r="AS19" s="143"/>
      <c r="AT19" s="143"/>
      <c r="AU19" s="143"/>
      <c r="AV19" s="143"/>
      <c r="AW19" s="144"/>
      <c r="AX19" s="169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8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66" t="s">
        <v>172</v>
      </c>
      <c r="F20" s="167"/>
      <c r="G20" s="167"/>
      <c r="H20" s="167"/>
      <c r="I20" s="167"/>
      <c r="J20" s="167"/>
      <c r="K20" s="167"/>
      <c r="L20" s="168"/>
      <c r="M20" s="142" t="s">
        <v>38</v>
      </c>
      <c r="N20" s="143"/>
      <c r="O20" s="143"/>
      <c r="P20" s="142" t="s">
        <v>110</v>
      </c>
      <c r="Q20" s="143"/>
      <c r="R20" s="143"/>
      <c r="S20" s="142"/>
      <c r="T20" s="143"/>
      <c r="U20" s="143"/>
      <c r="V20" s="169" t="s">
        <v>173</v>
      </c>
      <c r="W20" s="170"/>
      <c r="X20" s="170"/>
      <c r="Y20" s="170"/>
      <c r="Z20" s="170"/>
      <c r="AA20" s="171"/>
      <c r="AB20" s="172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73"/>
      <c r="AQ20" s="174"/>
      <c r="AR20" s="142"/>
      <c r="AS20" s="143"/>
      <c r="AT20" s="143"/>
      <c r="AU20" s="143"/>
      <c r="AV20" s="143"/>
      <c r="AW20" s="144"/>
      <c r="AX20" s="169"/>
      <c r="AY20" s="170"/>
      <c r="AZ20" s="170"/>
      <c r="BA20" s="170"/>
      <c r="BB20" s="170"/>
      <c r="BC20" s="170"/>
      <c r="BD20" s="170"/>
      <c r="BE20" s="170"/>
      <c r="BF20" s="170"/>
      <c r="BG20" s="170"/>
      <c r="BH20" s="170"/>
      <c r="BI20" s="170"/>
      <c r="BJ20" s="170"/>
      <c r="BK20" s="170"/>
      <c r="BL20" s="170"/>
      <c r="BM20" s="170"/>
      <c r="BN20" s="170"/>
      <c r="BO20" s="170"/>
      <c r="BP20" s="170"/>
      <c r="BQ20" s="170"/>
      <c r="BR20" s="170"/>
      <c r="BS20" s="170"/>
      <c r="BT20" s="178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66" t="s">
        <v>174</v>
      </c>
      <c r="F21" s="167"/>
      <c r="G21" s="167"/>
      <c r="H21" s="167"/>
      <c r="I21" s="167"/>
      <c r="J21" s="167"/>
      <c r="K21" s="167"/>
      <c r="L21" s="168"/>
      <c r="M21" s="142" t="s">
        <v>38</v>
      </c>
      <c r="N21" s="143"/>
      <c r="O21" s="143"/>
      <c r="P21" s="142" t="s">
        <v>110</v>
      </c>
      <c r="Q21" s="143"/>
      <c r="R21" s="143"/>
      <c r="S21" s="142"/>
      <c r="T21" s="143"/>
      <c r="U21" s="143"/>
      <c r="V21" s="169" t="s">
        <v>175</v>
      </c>
      <c r="W21" s="170"/>
      <c r="X21" s="170"/>
      <c r="Y21" s="170"/>
      <c r="Z21" s="170"/>
      <c r="AA21" s="171"/>
      <c r="AB21" s="172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4"/>
      <c r="AR21" s="142"/>
      <c r="AS21" s="143"/>
      <c r="AT21" s="143"/>
      <c r="AU21" s="143"/>
      <c r="AV21" s="143"/>
      <c r="AW21" s="144"/>
      <c r="AX21" s="169"/>
      <c r="AY21" s="170"/>
      <c r="AZ21" s="170"/>
      <c r="BA21" s="170"/>
      <c r="BB21" s="170"/>
      <c r="BC21" s="170"/>
      <c r="BD21" s="170"/>
      <c r="BE21" s="170"/>
      <c r="BF21" s="170"/>
      <c r="BG21" s="170"/>
      <c r="BH21" s="170"/>
      <c r="BI21" s="170"/>
      <c r="BJ21" s="170"/>
      <c r="BK21" s="170"/>
      <c r="BL21" s="170"/>
      <c r="BM21" s="170"/>
      <c r="BN21" s="170"/>
      <c r="BO21" s="170"/>
      <c r="BP21" s="170"/>
      <c r="BQ21" s="170"/>
      <c r="BR21" s="170"/>
      <c r="BS21" s="170"/>
      <c r="BT21" s="178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66" t="s">
        <v>176</v>
      </c>
      <c r="F22" s="167"/>
      <c r="G22" s="167"/>
      <c r="H22" s="167"/>
      <c r="I22" s="167"/>
      <c r="J22" s="167"/>
      <c r="K22" s="167"/>
      <c r="L22" s="168"/>
      <c r="M22" s="142" t="s">
        <v>108</v>
      </c>
      <c r="N22" s="143"/>
      <c r="O22" s="143"/>
      <c r="P22" s="142" t="s">
        <v>109</v>
      </c>
      <c r="Q22" s="143"/>
      <c r="R22" s="143"/>
      <c r="S22" s="142"/>
      <c r="T22" s="143"/>
      <c r="U22" s="143"/>
      <c r="V22" s="169" t="s">
        <v>177</v>
      </c>
      <c r="W22" s="170"/>
      <c r="X22" s="170"/>
      <c r="Y22" s="170"/>
      <c r="Z22" s="170"/>
      <c r="AA22" s="171"/>
      <c r="AB22" s="172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3"/>
      <c r="AQ22" s="174"/>
      <c r="AR22" s="195">
        <v>999999</v>
      </c>
      <c r="AS22" s="196"/>
      <c r="AT22" s="196"/>
      <c r="AU22" s="196"/>
      <c r="AV22" s="196"/>
      <c r="AW22" s="197"/>
      <c r="AX22" s="169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78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66" t="s">
        <v>96</v>
      </c>
      <c r="F23" s="167"/>
      <c r="G23" s="167"/>
      <c r="H23" s="167"/>
      <c r="I23" s="167"/>
      <c r="J23" s="167"/>
      <c r="K23" s="167"/>
      <c r="L23" s="168"/>
      <c r="M23" s="142" t="s">
        <v>38</v>
      </c>
      <c r="N23" s="143"/>
      <c r="O23" s="143"/>
      <c r="P23" s="142" t="s">
        <v>110</v>
      </c>
      <c r="Q23" s="143"/>
      <c r="R23" s="143"/>
      <c r="S23" s="142"/>
      <c r="T23" s="143"/>
      <c r="U23" s="143"/>
      <c r="V23" s="169" t="s">
        <v>116</v>
      </c>
      <c r="W23" s="170"/>
      <c r="X23" s="170"/>
      <c r="Y23" s="170"/>
      <c r="Z23" s="170"/>
      <c r="AA23" s="171"/>
      <c r="AB23" s="172" t="s">
        <v>218</v>
      </c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4"/>
      <c r="AR23" s="198" t="s">
        <v>217</v>
      </c>
      <c r="AS23" s="143"/>
      <c r="AT23" s="143"/>
      <c r="AU23" s="143"/>
      <c r="AV23" s="143"/>
      <c r="AW23" s="144"/>
      <c r="AX23" s="169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8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66" t="s">
        <v>97</v>
      </c>
      <c r="F24" s="167"/>
      <c r="G24" s="167"/>
      <c r="H24" s="167"/>
      <c r="I24" s="167"/>
      <c r="J24" s="167"/>
      <c r="K24" s="167"/>
      <c r="L24" s="168"/>
      <c r="M24" s="142" t="s">
        <v>38</v>
      </c>
      <c r="N24" s="143"/>
      <c r="O24" s="143"/>
      <c r="P24" s="142" t="s">
        <v>110</v>
      </c>
      <c r="Q24" s="143"/>
      <c r="R24" s="143"/>
      <c r="S24" s="142"/>
      <c r="T24" s="143"/>
      <c r="U24" s="143"/>
      <c r="V24" s="169" t="s">
        <v>117</v>
      </c>
      <c r="W24" s="170"/>
      <c r="X24" s="170"/>
      <c r="Y24" s="170"/>
      <c r="Z24" s="170"/>
      <c r="AA24" s="171"/>
      <c r="AB24" s="172" t="s">
        <v>219</v>
      </c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4"/>
      <c r="AR24" s="198" t="s">
        <v>216</v>
      </c>
      <c r="AS24" s="143"/>
      <c r="AT24" s="143"/>
      <c r="AU24" s="143"/>
      <c r="AV24" s="143"/>
      <c r="AW24" s="144"/>
      <c r="AX24" s="169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8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66" t="s">
        <v>98</v>
      </c>
      <c r="F25" s="167"/>
      <c r="G25" s="167"/>
      <c r="H25" s="167"/>
      <c r="I25" s="167"/>
      <c r="J25" s="167"/>
      <c r="K25" s="167"/>
      <c r="L25" s="168"/>
      <c r="M25" s="142" t="s">
        <v>38</v>
      </c>
      <c r="N25" s="143"/>
      <c r="O25" s="143"/>
      <c r="P25" s="142" t="s">
        <v>110</v>
      </c>
      <c r="Q25" s="143"/>
      <c r="R25" s="143"/>
      <c r="S25" s="142"/>
      <c r="T25" s="143"/>
      <c r="U25" s="143"/>
      <c r="V25" s="169" t="s">
        <v>118</v>
      </c>
      <c r="W25" s="170"/>
      <c r="X25" s="170"/>
      <c r="Y25" s="170"/>
      <c r="Z25" s="170"/>
      <c r="AA25" s="171"/>
      <c r="AB25" s="172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4"/>
      <c r="AR25" s="142"/>
      <c r="AS25" s="143"/>
      <c r="AT25" s="143"/>
      <c r="AU25" s="143"/>
      <c r="AV25" s="143"/>
      <c r="AW25" s="144"/>
      <c r="AX25" s="169"/>
      <c r="AY25" s="170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70"/>
      <c r="BS25" s="170"/>
      <c r="BT25" s="178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66" t="s">
        <v>99</v>
      </c>
      <c r="F26" s="167"/>
      <c r="G26" s="167"/>
      <c r="H26" s="167"/>
      <c r="I26" s="167"/>
      <c r="J26" s="167"/>
      <c r="K26" s="167"/>
      <c r="L26" s="168"/>
      <c r="M26" s="142" t="s">
        <v>108</v>
      </c>
      <c r="N26" s="143"/>
      <c r="O26" s="143"/>
      <c r="P26" s="142" t="s">
        <v>109</v>
      </c>
      <c r="Q26" s="143"/>
      <c r="R26" s="143"/>
      <c r="S26" s="142"/>
      <c r="T26" s="143"/>
      <c r="U26" s="143"/>
      <c r="V26" s="169" t="s">
        <v>178</v>
      </c>
      <c r="W26" s="170"/>
      <c r="X26" s="170"/>
      <c r="Y26" s="170"/>
      <c r="Z26" s="170"/>
      <c r="AA26" s="171"/>
      <c r="AB26" s="172" t="s">
        <v>180</v>
      </c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4"/>
      <c r="AR26" s="195">
        <v>999999</v>
      </c>
      <c r="AS26" s="196"/>
      <c r="AT26" s="196"/>
      <c r="AU26" s="196"/>
      <c r="AV26" s="196"/>
      <c r="AW26" s="197"/>
      <c r="AX26" s="169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8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66" t="s">
        <v>100</v>
      </c>
      <c r="F27" s="167"/>
      <c r="G27" s="167"/>
      <c r="H27" s="167"/>
      <c r="I27" s="167"/>
      <c r="J27" s="167"/>
      <c r="K27" s="167"/>
      <c r="L27" s="168"/>
      <c r="M27" s="142" t="s">
        <v>38</v>
      </c>
      <c r="N27" s="143"/>
      <c r="O27" s="143"/>
      <c r="P27" s="142" t="s">
        <v>110</v>
      </c>
      <c r="Q27" s="143"/>
      <c r="R27" s="143"/>
      <c r="S27" s="142"/>
      <c r="T27" s="143"/>
      <c r="U27" s="143"/>
      <c r="V27" s="169" t="s">
        <v>119</v>
      </c>
      <c r="W27" s="170"/>
      <c r="X27" s="170"/>
      <c r="Y27" s="170"/>
      <c r="Z27" s="170"/>
      <c r="AA27" s="171"/>
      <c r="AB27" s="172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4"/>
      <c r="AR27" s="142"/>
      <c r="AS27" s="143"/>
      <c r="AT27" s="143"/>
      <c r="AU27" s="143"/>
      <c r="AV27" s="143"/>
      <c r="AW27" s="144"/>
      <c r="AX27" s="169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8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66" t="s">
        <v>101</v>
      </c>
      <c r="F28" s="167"/>
      <c r="G28" s="167"/>
      <c r="H28" s="167"/>
      <c r="I28" s="167"/>
      <c r="J28" s="167"/>
      <c r="K28" s="167"/>
      <c r="L28" s="168"/>
      <c r="M28" s="142" t="s">
        <v>38</v>
      </c>
      <c r="N28" s="143"/>
      <c r="O28" s="143"/>
      <c r="P28" s="142" t="s">
        <v>110</v>
      </c>
      <c r="Q28" s="143"/>
      <c r="R28" s="143"/>
      <c r="S28" s="142"/>
      <c r="T28" s="143"/>
      <c r="U28" s="143"/>
      <c r="V28" s="169" t="s">
        <v>179</v>
      </c>
      <c r="W28" s="170"/>
      <c r="X28" s="170"/>
      <c r="Y28" s="170"/>
      <c r="Z28" s="170"/>
      <c r="AA28" s="171"/>
      <c r="AB28" s="172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4"/>
      <c r="AR28" s="142"/>
      <c r="AS28" s="143"/>
      <c r="AT28" s="143"/>
      <c r="AU28" s="143"/>
      <c r="AV28" s="143"/>
      <c r="AW28" s="144"/>
      <c r="AX28" s="169"/>
      <c r="AY28" s="170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70"/>
      <c r="BS28" s="170"/>
      <c r="BT28" s="178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66" t="s">
        <v>102</v>
      </c>
      <c r="F29" s="167"/>
      <c r="G29" s="167"/>
      <c r="H29" s="167"/>
      <c r="I29" s="167"/>
      <c r="J29" s="167"/>
      <c r="K29" s="167"/>
      <c r="L29" s="168"/>
      <c r="M29" s="142" t="s">
        <v>47</v>
      </c>
      <c r="N29" s="143"/>
      <c r="O29" s="143"/>
      <c r="P29" s="142" t="s">
        <v>109</v>
      </c>
      <c r="Q29" s="143"/>
      <c r="R29" s="143"/>
      <c r="S29" s="142"/>
      <c r="T29" s="143"/>
      <c r="U29" s="143"/>
      <c r="V29" s="169" t="s">
        <v>181</v>
      </c>
      <c r="W29" s="170"/>
      <c r="X29" s="170"/>
      <c r="Y29" s="170"/>
      <c r="Z29" s="170"/>
      <c r="AA29" s="171"/>
      <c r="AB29" s="172" t="s">
        <v>120</v>
      </c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3"/>
      <c r="AP29" s="173"/>
      <c r="AQ29" s="174"/>
      <c r="AR29" s="142">
        <v>999999</v>
      </c>
      <c r="AS29" s="143"/>
      <c r="AT29" s="143"/>
      <c r="AU29" s="143"/>
      <c r="AV29" s="143"/>
      <c r="AW29" s="144"/>
      <c r="AX29" s="169"/>
      <c r="AY29" s="170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70"/>
      <c r="BS29" s="170"/>
      <c r="BT29" s="178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179" t="s">
        <v>103</v>
      </c>
      <c r="F30" s="180"/>
      <c r="G30" s="180"/>
      <c r="H30" s="180"/>
      <c r="I30" s="180"/>
      <c r="J30" s="180"/>
      <c r="K30" s="180"/>
      <c r="L30" s="181"/>
      <c r="M30" s="182" t="s">
        <v>47</v>
      </c>
      <c r="N30" s="183"/>
      <c r="O30" s="184"/>
      <c r="P30" s="182" t="s">
        <v>109</v>
      </c>
      <c r="Q30" s="183"/>
      <c r="R30" s="183"/>
      <c r="S30" s="182"/>
      <c r="T30" s="183"/>
      <c r="U30" s="183"/>
      <c r="V30" s="169" t="s">
        <v>182</v>
      </c>
      <c r="W30" s="170"/>
      <c r="X30" s="170"/>
      <c r="Y30" s="170"/>
      <c r="Z30" s="170"/>
      <c r="AA30" s="171"/>
      <c r="AB30" s="172" t="s">
        <v>121</v>
      </c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4"/>
      <c r="AR30" s="142">
        <v>999999</v>
      </c>
      <c r="AS30" s="143"/>
      <c r="AT30" s="143"/>
      <c r="AU30" s="143"/>
      <c r="AV30" s="143"/>
      <c r="AW30" s="144"/>
      <c r="AX30" s="185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7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x14ac:dyDescent="0.45">
      <c r="A31" s="29"/>
      <c r="B31" s="44"/>
      <c r="C31" s="29"/>
      <c r="D31" s="37">
        <v>21</v>
      </c>
      <c r="E31" s="166" t="s">
        <v>104</v>
      </c>
      <c r="F31" s="167"/>
      <c r="G31" s="167"/>
      <c r="H31" s="167"/>
      <c r="I31" s="167"/>
      <c r="J31" s="167"/>
      <c r="K31" s="167"/>
      <c r="L31" s="168"/>
      <c r="M31" s="142" t="s">
        <v>47</v>
      </c>
      <c r="N31" s="143"/>
      <c r="O31" s="143"/>
      <c r="P31" s="142" t="s">
        <v>109</v>
      </c>
      <c r="Q31" s="143"/>
      <c r="R31" s="143"/>
      <c r="S31" s="142"/>
      <c r="T31" s="143"/>
      <c r="U31" s="143"/>
      <c r="V31" s="169" t="s">
        <v>181</v>
      </c>
      <c r="W31" s="170"/>
      <c r="X31" s="170"/>
      <c r="Y31" s="170"/>
      <c r="Z31" s="170"/>
      <c r="AA31" s="171"/>
      <c r="AB31" s="172" t="s">
        <v>122</v>
      </c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3"/>
      <c r="AQ31" s="174"/>
      <c r="AR31" s="142">
        <v>999999</v>
      </c>
      <c r="AS31" s="143"/>
      <c r="AT31" s="143"/>
      <c r="AU31" s="143"/>
      <c r="AV31" s="143"/>
      <c r="AW31" s="144"/>
      <c r="AX31" s="169"/>
      <c r="AY31" s="170"/>
      <c r="AZ31" s="170"/>
      <c r="BA31" s="170"/>
      <c r="BB31" s="170"/>
      <c r="BC31" s="170"/>
      <c r="BD31" s="170"/>
      <c r="BE31" s="170"/>
      <c r="BF31" s="170"/>
      <c r="BG31" s="170"/>
      <c r="BH31" s="170"/>
      <c r="BI31" s="170"/>
      <c r="BJ31" s="170"/>
      <c r="BK31" s="170"/>
      <c r="BL31" s="170"/>
      <c r="BM31" s="170"/>
      <c r="BN31" s="170"/>
      <c r="BO31" s="170"/>
      <c r="BP31" s="170"/>
      <c r="BQ31" s="170"/>
      <c r="BR31" s="170"/>
      <c r="BS31" s="170"/>
      <c r="BT31" s="178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19.5" customHeight="1" x14ac:dyDescent="0.45">
      <c r="A32" s="29"/>
      <c r="B32" s="44"/>
      <c r="C32" s="29"/>
      <c r="D32" s="37">
        <v>22</v>
      </c>
      <c r="E32" s="166" t="s">
        <v>105</v>
      </c>
      <c r="F32" s="167"/>
      <c r="G32" s="167"/>
      <c r="H32" s="167"/>
      <c r="I32" s="167"/>
      <c r="J32" s="167"/>
      <c r="K32" s="167"/>
      <c r="L32" s="168"/>
      <c r="M32" s="142" t="s">
        <v>47</v>
      </c>
      <c r="N32" s="143"/>
      <c r="O32" s="143"/>
      <c r="P32" s="142" t="s">
        <v>109</v>
      </c>
      <c r="Q32" s="143"/>
      <c r="R32" s="143"/>
      <c r="S32" s="142"/>
      <c r="T32" s="143"/>
      <c r="U32" s="143"/>
      <c r="V32" s="169" t="s">
        <v>182</v>
      </c>
      <c r="W32" s="170"/>
      <c r="X32" s="170"/>
      <c r="Y32" s="170"/>
      <c r="Z32" s="170"/>
      <c r="AA32" s="171"/>
      <c r="AB32" s="172" t="s">
        <v>123</v>
      </c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  <c r="AM32" s="173"/>
      <c r="AN32" s="173"/>
      <c r="AO32" s="173"/>
      <c r="AP32" s="173"/>
      <c r="AQ32" s="174"/>
      <c r="AR32" s="142">
        <v>999999</v>
      </c>
      <c r="AS32" s="143"/>
      <c r="AT32" s="143"/>
      <c r="AU32" s="143"/>
      <c r="AV32" s="143"/>
      <c r="AW32" s="144"/>
      <c r="AX32" s="169"/>
      <c r="AY32" s="170"/>
      <c r="AZ32" s="170"/>
      <c r="BA32" s="170"/>
      <c r="BB32" s="170"/>
      <c r="BC32" s="170"/>
      <c r="BD32" s="170"/>
      <c r="BE32" s="170"/>
      <c r="BF32" s="170"/>
      <c r="BG32" s="170"/>
      <c r="BH32" s="170"/>
      <c r="BI32" s="170"/>
      <c r="BJ32" s="170"/>
      <c r="BK32" s="170"/>
      <c r="BL32" s="170"/>
      <c r="BM32" s="170"/>
      <c r="BN32" s="170"/>
      <c r="BO32" s="170"/>
      <c r="BP32" s="170"/>
      <c r="BQ32" s="170"/>
      <c r="BR32" s="170"/>
      <c r="BS32" s="170"/>
      <c r="BT32" s="178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166" t="s">
        <v>106</v>
      </c>
      <c r="F33" s="167"/>
      <c r="G33" s="167"/>
      <c r="H33" s="167"/>
      <c r="I33" s="167"/>
      <c r="J33" s="167"/>
      <c r="K33" s="167"/>
      <c r="L33" s="168"/>
      <c r="M33" s="142" t="s">
        <v>47</v>
      </c>
      <c r="N33" s="143"/>
      <c r="O33" s="143"/>
      <c r="P33" s="142" t="s">
        <v>109</v>
      </c>
      <c r="Q33" s="143"/>
      <c r="R33" s="143"/>
      <c r="S33" s="142"/>
      <c r="T33" s="143"/>
      <c r="U33" s="143"/>
      <c r="V33" s="169" t="s">
        <v>181</v>
      </c>
      <c r="W33" s="170"/>
      <c r="X33" s="170"/>
      <c r="Y33" s="170"/>
      <c r="Z33" s="170"/>
      <c r="AA33" s="171"/>
      <c r="AB33" s="172" t="s">
        <v>124</v>
      </c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  <c r="AP33" s="173"/>
      <c r="AQ33" s="174"/>
      <c r="AR33" s="175">
        <v>1</v>
      </c>
      <c r="AS33" s="176"/>
      <c r="AT33" s="176"/>
      <c r="AU33" s="176"/>
      <c r="AV33" s="176"/>
      <c r="AW33" s="177"/>
      <c r="AX33" s="169"/>
      <c r="AY33" s="170"/>
      <c r="AZ33" s="170"/>
      <c r="BA33" s="170"/>
      <c r="BB33" s="170"/>
      <c r="BC33" s="170"/>
      <c r="BD33" s="170"/>
      <c r="BE33" s="170"/>
      <c r="BF33" s="170"/>
      <c r="BG33" s="170"/>
      <c r="BH33" s="170"/>
      <c r="BI33" s="170"/>
      <c r="BJ33" s="170"/>
      <c r="BK33" s="170"/>
      <c r="BL33" s="170"/>
      <c r="BM33" s="170"/>
      <c r="BN33" s="170"/>
      <c r="BO33" s="170"/>
      <c r="BP33" s="170"/>
      <c r="BQ33" s="170"/>
      <c r="BR33" s="170"/>
      <c r="BS33" s="170"/>
      <c r="BT33" s="178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20.100000000000001" customHeight="1" thickBot="1" x14ac:dyDescent="0.5">
      <c r="A34" s="29"/>
      <c r="B34" s="44"/>
      <c r="C34" s="29"/>
      <c r="D34" s="37">
        <v>24</v>
      </c>
      <c r="E34" s="179" t="s">
        <v>107</v>
      </c>
      <c r="F34" s="180"/>
      <c r="G34" s="180"/>
      <c r="H34" s="180"/>
      <c r="I34" s="180"/>
      <c r="J34" s="180"/>
      <c r="K34" s="180"/>
      <c r="L34" s="181"/>
      <c r="M34" s="182" t="s">
        <v>47</v>
      </c>
      <c r="N34" s="183"/>
      <c r="O34" s="184"/>
      <c r="P34" s="182" t="s">
        <v>109</v>
      </c>
      <c r="Q34" s="183"/>
      <c r="R34" s="183"/>
      <c r="S34" s="182"/>
      <c r="T34" s="183"/>
      <c r="U34" s="183"/>
      <c r="V34" s="169" t="s">
        <v>182</v>
      </c>
      <c r="W34" s="170"/>
      <c r="X34" s="170"/>
      <c r="Y34" s="170"/>
      <c r="Z34" s="170"/>
      <c r="AA34" s="171"/>
      <c r="AB34" s="172" t="s">
        <v>125</v>
      </c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  <c r="AM34" s="173"/>
      <c r="AN34" s="173"/>
      <c r="AO34" s="173"/>
      <c r="AP34" s="173"/>
      <c r="AQ34" s="174"/>
      <c r="AR34" s="175">
        <v>1</v>
      </c>
      <c r="AS34" s="176"/>
      <c r="AT34" s="176"/>
      <c r="AU34" s="176"/>
      <c r="AV34" s="176"/>
      <c r="AW34" s="177"/>
      <c r="AX34" s="185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7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thickTop="1" thickBot="1" x14ac:dyDescent="0.5">
      <c r="A35" s="29"/>
      <c r="B35" s="40"/>
      <c r="C3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46"/>
      <c r="BR35" s="46"/>
      <c r="BS35" s="46"/>
      <c r="BT35" s="46"/>
      <c r="BU35" s="28"/>
    </row>
    <row r="36" spans="1:85" ht="20.100000000000001" customHeight="1" thickTop="1" x14ac:dyDescent="0.45">
      <c r="A36" s="29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33"/>
      <c r="BD36" s="33"/>
      <c r="BE36" s="33"/>
      <c r="BF36" s="33"/>
      <c r="BG36" s="33"/>
      <c r="BH36" s="33"/>
      <c r="BI36" s="42"/>
      <c r="BJ36" s="42"/>
      <c r="BK36" s="42"/>
      <c r="BL36" s="42"/>
      <c r="BM36" s="42"/>
      <c r="BN36" s="42"/>
      <c r="BO36" s="42"/>
      <c r="BP36" s="41"/>
    </row>
    <row r="37" spans="1:85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</row>
    <row r="38" spans="1:85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1:85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85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85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3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31"/>
      <c r="BP52" s="31"/>
    </row>
    <row r="53" spans="1:68" ht="20.100000000000001" customHeight="1" x14ac:dyDescent="0.45">
      <c r="A53" s="29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31"/>
      <c r="BP53" s="31"/>
    </row>
    <row r="54" spans="1:68" ht="20.100000000000001" customHeight="1" x14ac:dyDescent="0.45">
      <c r="A54" s="29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31"/>
      <c r="BP54" s="31"/>
    </row>
    <row r="55" spans="1:68" ht="20.100000000000001" customHeight="1" x14ac:dyDescent="0.4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</row>
    <row r="56" spans="1:68" ht="20.100000000000001" customHeight="1" x14ac:dyDescent="0.4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  <row r="57" spans="1:68" ht="20.100000000000001" customHeight="1" x14ac:dyDescent="0.4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</sheetData>
  <mergeCells count="220"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47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2" t="s">
        <v>0</v>
      </c>
      <c r="C2" s="203"/>
      <c r="D2" s="203"/>
      <c r="E2" s="203"/>
      <c r="F2" s="203"/>
      <c r="G2" s="203"/>
      <c r="H2" s="203" t="s">
        <v>17</v>
      </c>
      <c r="I2" s="203"/>
      <c r="J2" s="203"/>
      <c r="K2" s="203"/>
      <c r="L2" s="203" t="s">
        <v>227</v>
      </c>
      <c r="M2" s="203"/>
      <c r="N2" s="203"/>
      <c r="O2" s="203"/>
      <c r="P2" s="203"/>
      <c r="Q2" s="203"/>
      <c r="R2" s="203" t="s">
        <v>2</v>
      </c>
      <c r="S2" s="203"/>
      <c r="T2" s="203"/>
      <c r="U2" s="203"/>
      <c r="V2" s="203"/>
      <c r="W2" s="203"/>
      <c r="X2" s="204" t="s">
        <v>3</v>
      </c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6"/>
      <c r="AK2" s="204" t="s">
        <v>32</v>
      </c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6"/>
      <c r="AX2" s="203" t="s">
        <v>5</v>
      </c>
      <c r="AY2" s="203"/>
      <c r="AZ2" s="203"/>
      <c r="BA2" s="203"/>
      <c r="BB2" s="203" t="s">
        <v>4</v>
      </c>
      <c r="BC2" s="203"/>
      <c r="BD2" s="203"/>
      <c r="BE2" s="203"/>
      <c r="BF2" s="203" t="s">
        <v>6</v>
      </c>
      <c r="BG2" s="203"/>
      <c r="BH2" s="203"/>
      <c r="BI2" s="203"/>
      <c r="BJ2" s="203" t="s">
        <v>7</v>
      </c>
      <c r="BK2" s="203"/>
      <c r="BL2" s="203"/>
      <c r="BM2" s="213"/>
    </row>
    <row r="3" spans="2:65" ht="20.100000000000001" customHeight="1" x14ac:dyDescent="0.45">
      <c r="B3" s="207" t="str">
        <f>変更履歴!B3</f>
        <v>受発注システム</v>
      </c>
      <c r="C3" s="150"/>
      <c r="D3" s="150"/>
      <c r="E3" s="150"/>
      <c r="F3" s="150"/>
      <c r="G3" s="150"/>
      <c r="H3" s="150" t="str">
        <f ca="1">変更履歴!H3</f>
        <v>UN0400</v>
      </c>
      <c r="I3" s="150"/>
      <c r="J3" s="150"/>
      <c r="K3" s="150"/>
      <c r="L3" s="150" t="str">
        <f>変更履歴!L3</f>
        <v>受発注</v>
      </c>
      <c r="M3" s="150"/>
      <c r="N3" s="150"/>
      <c r="O3" s="150"/>
      <c r="P3" s="150"/>
      <c r="Q3" s="150"/>
      <c r="R3" s="150" t="str">
        <f ca="1">変更履歴!R3</f>
        <v>帳票設計書</v>
      </c>
      <c r="S3" s="150"/>
      <c r="T3" s="150"/>
      <c r="U3" s="150"/>
      <c r="V3" s="150"/>
      <c r="W3" s="150"/>
      <c r="X3" s="153" t="str">
        <f ca="1">変更履歴!X3</f>
        <v>UN0400_入金日計表_帳票設計書</v>
      </c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5"/>
      <c r="AK3" s="153" t="str">
        <f ca="1">変更履歴!AK3</f>
        <v>入金日計表</v>
      </c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5"/>
      <c r="AX3" s="149">
        <f>変更履歴!AX3</f>
        <v>45610</v>
      </c>
      <c r="AY3" s="149"/>
      <c r="AZ3" s="149"/>
      <c r="BA3" s="149"/>
      <c r="BB3" s="150" t="str">
        <f>変更履歴!BB3</f>
        <v>大谷</v>
      </c>
      <c r="BC3" s="150"/>
      <c r="BD3" s="150"/>
      <c r="BE3" s="150"/>
      <c r="BF3" s="149">
        <f>変更履歴!BF3</f>
        <v>45610</v>
      </c>
      <c r="BG3" s="149"/>
      <c r="BH3" s="149"/>
      <c r="BI3" s="149"/>
      <c r="BJ3" s="150" t="str">
        <f>変更履歴!BJ3</f>
        <v>大谷</v>
      </c>
      <c r="BK3" s="150"/>
      <c r="BL3" s="150"/>
      <c r="BM3" s="211"/>
    </row>
    <row r="4" spans="2:65" ht="20.100000000000001" customHeight="1" thickBot="1" x14ac:dyDescent="0.5">
      <c r="B4" s="208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210"/>
      <c r="AY4" s="210"/>
      <c r="AZ4" s="210"/>
      <c r="BA4" s="210"/>
      <c r="BB4" s="209"/>
      <c r="BC4" s="209"/>
      <c r="BD4" s="209"/>
      <c r="BE4" s="209"/>
      <c r="BF4" s="210"/>
      <c r="BG4" s="210"/>
      <c r="BH4" s="210"/>
      <c r="BI4" s="210"/>
      <c r="BJ4" s="209"/>
      <c r="BK4" s="209"/>
      <c r="BL4" s="209"/>
      <c r="BM4" s="212"/>
    </row>
    <row r="5" spans="2:65" ht="5.0999999999999996" customHeight="1" thickBot="1" x14ac:dyDescent="0.5"/>
    <row r="6" spans="2:65" ht="20.100000000000001" customHeight="1" x14ac:dyDescent="0.45">
      <c r="B6" s="89" t="s">
        <v>128</v>
      </c>
      <c r="C6" s="90"/>
      <c r="D6" s="90"/>
      <c r="E6" s="90"/>
      <c r="F6" s="90"/>
      <c r="G6" s="91"/>
      <c r="H6" s="92" t="s">
        <v>84</v>
      </c>
      <c r="I6" s="90"/>
      <c r="J6" s="120" t="s">
        <v>134</v>
      </c>
      <c r="K6" s="121"/>
      <c r="L6" s="121"/>
      <c r="M6" s="121"/>
      <c r="N6" s="121"/>
      <c r="O6" s="121"/>
      <c r="P6" s="121"/>
      <c r="Q6" s="122"/>
      <c r="R6" s="121" t="s">
        <v>150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135</v>
      </c>
      <c r="K7" s="52"/>
      <c r="L7" s="52"/>
      <c r="M7" s="52"/>
      <c r="N7" s="52"/>
      <c r="O7" s="52"/>
      <c r="P7" s="52"/>
      <c r="Q7" s="125"/>
      <c r="R7" s="52" t="s">
        <v>162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136</v>
      </c>
      <c r="K8" s="52"/>
      <c r="L8" s="52"/>
      <c r="M8" s="52"/>
      <c r="N8" s="52"/>
      <c r="O8" s="52"/>
      <c r="P8" s="52"/>
      <c r="Q8" s="125"/>
      <c r="R8" s="52" t="s">
        <v>151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137</v>
      </c>
      <c r="K9" s="52"/>
      <c r="L9" s="52"/>
      <c r="M9" s="52"/>
      <c r="N9" s="52"/>
      <c r="O9" s="52"/>
      <c r="P9" s="52"/>
      <c r="Q9" s="125"/>
      <c r="R9" s="52" t="s">
        <v>152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138</v>
      </c>
      <c r="K10" s="52"/>
      <c r="L10" s="52"/>
      <c r="M10" s="52"/>
      <c r="N10" s="52"/>
      <c r="O10" s="52"/>
      <c r="P10" s="52"/>
      <c r="Q10" s="125"/>
      <c r="R10" s="52" t="s">
        <v>153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139</v>
      </c>
      <c r="K11" s="52"/>
      <c r="L11" s="52"/>
      <c r="M11" s="52"/>
      <c r="N11" s="52"/>
      <c r="O11" s="52"/>
      <c r="P11" s="52"/>
      <c r="Q11" s="125"/>
      <c r="R11" s="52" t="s">
        <v>154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140</v>
      </c>
      <c r="K12" s="52"/>
      <c r="L12" s="52"/>
      <c r="M12" s="52"/>
      <c r="N12" s="52"/>
      <c r="O12" s="52"/>
      <c r="P12" s="52"/>
      <c r="Q12" s="125"/>
      <c r="R12" s="52" t="s">
        <v>155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97"/>
      <c r="I13" s="31"/>
      <c r="J13" s="124" t="s">
        <v>141</v>
      </c>
      <c r="K13" s="52"/>
      <c r="L13" s="52"/>
      <c r="M13" s="52"/>
      <c r="N13" s="52"/>
      <c r="O13" s="52"/>
      <c r="P13" s="52"/>
      <c r="Q13" s="125"/>
      <c r="R13" s="52" t="s">
        <v>156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97"/>
      <c r="I14" s="31"/>
      <c r="J14" s="124" t="s">
        <v>142</v>
      </c>
      <c r="K14" s="52"/>
      <c r="L14" s="52"/>
      <c r="M14" s="52"/>
      <c r="N14" s="52"/>
      <c r="O14" s="52"/>
      <c r="P14" s="52"/>
      <c r="Q14" s="125"/>
      <c r="R14" s="52" t="s">
        <v>157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97"/>
      <c r="I15" s="31"/>
      <c r="J15" s="124" t="s">
        <v>143</v>
      </c>
      <c r="K15" s="52"/>
      <c r="L15" s="52"/>
      <c r="M15" s="52"/>
      <c r="N15" s="52"/>
      <c r="O15" s="52"/>
      <c r="P15" s="52"/>
      <c r="Q15" s="125"/>
      <c r="R15" s="52" t="s">
        <v>158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144</v>
      </c>
      <c r="K16" s="52"/>
      <c r="L16" s="52"/>
      <c r="M16" s="52"/>
      <c r="N16" s="52"/>
      <c r="O16" s="52"/>
      <c r="P16" s="52"/>
      <c r="Q16" s="125"/>
      <c r="R16" s="52" t="s">
        <v>159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31"/>
      <c r="I17" s="31"/>
      <c r="J17" s="124" t="s">
        <v>145</v>
      </c>
      <c r="K17" s="52"/>
      <c r="L17" s="52"/>
      <c r="M17" s="52"/>
      <c r="N17" s="52"/>
      <c r="O17" s="52"/>
      <c r="P17" s="52"/>
      <c r="Q17" s="125"/>
      <c r="R17" s="52" t="s">
        <v>160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31"/>
      <c r="I18" s="31"/>
      <c r="J18" s="124" t="s">
        <v>146</v>
      </c>
      <c r="K18" s="52"/>
      <c r="L18" s="52"/>
      <c r="M18" s="52"/>
      <c r="N18" s="52"/>
      <c r="O18" s="52"/>
      <c r="P18" s="52"/>
      <c r="Q18" s="125"/>
      <c r="R18" s="52" t="s">
        <v>161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I19" s="31"/>
      <c r="J19" s="124" t="s">
        <v>147</v>
      </c>
      <c r="K19" s="52"/>
      <c r="L19" s="52"/>
      <c r="M19" s="52"/>
      <c r="N19" s="52"/>
      <c r="O19" s="52"/>
      <c r="P19" s="52"/>
      <c r="Q19" s="125"/>
      <c r="R19" s="52" t="s">
        <v>163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100" t="s">
        <v>53</v>
      </c>
      <c r="I20" s="55"/>
      <c r="J20" s="100" t="s">
        <v>129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101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102"/>
    </row>
    <row r="21" spans="2:61" ht="20.100000000000001" customHeight="1" x14ac:dyDescent="0.45">
      <c r="B21" s="95"/>
      <c r="C21" s="31"/>
      <c r="D21" s="31"/>
      <c r="E21" s="31"/>
      <c r="F21" s="31"/>
      <c r="G21" s="96"/>
      <c r="H21" s="100" t="s">
        <v>54</v>
      </c>
      <c r="I21" s="55"/>
      <c r="J21" s="100" t="s">
        <v>130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101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102"/>
    </row>
    <row r="22" spans="2:61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 t="s">
        <v>131</v>
      </c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1" ht="20.100000000000001" customHeight="1" x14ac:dyDescent="0.45">
      <c r="B23" s="95"/>
      <c r="C23" s="31"/>
      <c r="D23" s="31"/>
      <c r="E23" s="31"/>
      <c r="F23" s="31"/>
      <c r="G23" s="96"/>
      <c r="H23" s="134" t="s">
        <v>55</v>
      </c>
      <c r="I23" s="135"/>
      <c r="J23" s="134" t="s">
        <v>148</v>
      </c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6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7"/>
    </row>
    <row r="24" spans="2:61" ht="20.100000000000001" customHeight="1" x14ac:dyDescent="0.45">
      <c r="B24" s="95"/>
      <c r="C24" s="31"/>
      <c r="D24" s="31"/>
      <c r="E24" s="31"/>
      <c r="F24" s="31"/>
      <c r="G24" s="96"/>
      <c r="H24" s="134"/>
      <c r="I24" s="135"/>
      <c r="J24" s="134"/>
      <c r="K24" s="135" t="s">
        <v>149</v>
      </c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4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7"/>
    </row>
    <row r="25" spans="2:61" ht="20.100000000000001" customHeight="1" thickBot="1" x14ac:dyDescent="0.5">
      <c r="B25" s="95"/>
      <c r="C25" s="31"/>
      <c r="D25" s="31"/>
      <c r="E25" s="31"/>
      <c r="F25" s="31"/>
      <c r="G25" s="96"/>
      <c r="H25" s="130" t="s">
        <v>132</v>
      </c>
      <c r="I25" s="131"/>
      <c r="J25" s="130" t="s">
        <v>133</v>
      </c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2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3"/>
    </row>
    <row r="26" spans="2:61" ht="20.100000000000001" customHeight="1" x14ac:dyDescent="0.45">
      <c r="B26" s="89" t="s">
        <v>183</v>
      </c>
      <c r="C26" s="90"/>
      <c r="D26" s="90"/>
      <c r="E26" s="90"/>
      <c r="F26" s="90"/>
      <c r="G26" s="91"/>
      <c r="H26" s="92" t="s">
        <v>184</v>
      </c>
      <c r="I26" s="90"/>
      <c r="J26" s="120" t="s">
        <v>140</v>
      </c>
      <c r="K26" s="121"/>
      <c r="L26" s="121"/>
      <c r="M26" s="121"/>
      <c r="N26" s="121"/>
      <c r="O26" s="121"/>
      <c r="P26" s="121"/>
      <c r="Q26" s="122"/>
      <c r="R26" s="121" t="s">
        <v>201</v>
      </c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2"/>
      <c r="AK26" s="93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4"/>
    </row>
    <row r="27" spans="2:61" ht="20.100000000000001" customHeight="1" x14ac:dyDescent="0.45">
      <c r="B27" s="123"/>
      <c r="C27" s="31"/>
      <c r="D27" s="31"/>
      <c r="E27" s="31"/>
      <c r="F27" s="31"/>
      <c r="G27" s="96"/>
      <c r="H27" s="97"/>
      <c r="I27" s="31"/>
      <c r="J27" s="124" t="s">
        <v>141</v>
      </c>
      <c r="K27" s="52"/>
      <c r="L27" s="52"/>
      <c r="M27" s="52"/>
      <c r="N27" s="52"/>
      <c r="O27" s="52"/>
      <c r="P27" s="52"/>
      <c r="Q27" s="125"/>
      <c r="R27" s="52" t="s">
        <v>202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25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123"/>
      <c r="C28" s="31"/>
      <c r="D28" s="31"/>
      <c r="E28" s="31"/>
      <c r="F28" s="31"/>
      <c r="G28" s="96"/>
      <c r="H28" s="97"/>
      <c r="I28" s="31"/>
      <c r="J28" s="124" t="s">
        <v>142</v>
      </c>
      <c r="K28" s="52"/>
      <c r="L28" s="52"/>
      <c r="M28" s="52"/>
      <c r="N28" s="52"/>
      <c r="O28" s="52"/>
      <c r="P28" s="52"/>
      <c r="Q28" s="125"/>
      <c r="R28" s="52" t="s">
        <v>203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25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123"/>
      <c r="C29" s="31"/>
      <c r="D29" s="31"/>
      <c r="E29" s="31"/>
      <c r="F29" s="31"/>
      <c r="G29" s="96"/>
      <c r="H29" s="97"/>
      <c r="I29" s="31"/>
      <c r="J29" s="124" t="s">
        <v>210</v>
      </c>
      <c r="K29" s="52"/>
      <c r="L29" s="52"/>
      <c r="M29" s="52"/>
      <c r="N29" s="52"/>
      <c r="O29" s="52"/>
      <c r="P29" s="52"/>
      <c r="Q29" s="125"/>
      <c r="R29" s="52" t="s">
        <v>185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25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123"/>
      <c r="C30" s="31"/>
      <c r="D30" s="31"/>
      <c r="E30" s="31"/>
      <c r="F30" s="31"/>
      <c r="G30" s="96"/>
      <c r="H30" s="31"/>
      <c r="I30" s="31"/>
      <c r="J30" s="124" t="s">
        <v>211</v>
      </c>
      <c r="K30" s="52"/>
      <c r="L30" s="52"/>
      <c r="M30" s="52"/>
      <c r="N30" s="52"/>
      <c r="O30" s="52"/>
      <c r="P30" s="52"/>
      <c r="Q30" s="125"/>
      <c r="R30" s="52" t="s">
        <v>186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25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123"/>
      <c r="C31" s="31"/>
      <c r="D31" s="31"/>
      <c r="E31" s="31"/>
      <c r="F31" s="31"/>
      <c r="G31" s="96"/>
      <c r="H31" s="100" t="s">
        <v>188</v>
      </c>
      <c r="I31" s="55"/>
      <c r="J31" s="100" t="s">
        <v>187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101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102"/>
    </row>
    <row r="32" spans="2:61" ht="20.100000000000001" customHeight="1" x14ac:dyDescent="0.45">
      <c r="B32" s="95"/>
      <c r="C32" s="31"/>
      <c r="D32" s="31"/>
      <c r="E32" s="31"/>
      <c r="F32" s="31"/>
      <c r="G32" s="96"/>
      <c r="H32" s="100" t="s">
        <v>189</v>
      </c>
      <c r="I32" s="55"/>
      <c r="J32" s="100" t="s">
        <v>190</v>
      </c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101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102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97"/>
      <c r="K33" s="31" t="s">
        <v>191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96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95"/>
      <c r="C34" s="31"/>
      <c r="D34" s="31"/>
      <c r="E34" s="31"/>
      <c r="F34" s="31"/>
      <c r="G34" s="96"/>
      <c r="H34" s="97"/>
      <c r="I34" s="31"/>
      <c r="J34" s="97"/>
      <c r="K34" s="31" t="s">
        <v>204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96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95"/>
      <c r="C35" s="31"/>
      <c r="D35" s="31"/>
      <c r="E35" s="31"/>
      <c r="F35" s="31"/>
      <c r="G35" s="96"/>
      <c r="H35" s="97"/>
      <c r="I35" s="31"/>
      <c r="J35" s="97"/>
      <c r="K35" s="31"/>
      <c r="L35" s="31" t="s">
        <v>205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96"/>
      <c r="AK35" s="98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x14ac:dyDescent="0.45">
      <c r="B36" s="95"/>
      <c r="C36" s="31"/>
      <c r="D36" s="31"/>
      <c r="E36" s="31"/>
      <c r="F36" s="31"/>
      <c r="G36" s="96"/>
      <c r="H36" s="97"/>
      <c r="I36" s="31"/>
      <c r="J36" s="97"/>
      <c r="K36" s="31"/>
      <c r="L36" s="31" t="s">
        <v>206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96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x14ac:dyDescent="0.45">
      <c r="B37" s="95"/>
      <c r="C37" s="31"/>
      <c r="D37" s="31"/>
      <c r="E37" s="31"/>
      <c r="F37" s="31"/>
      <c r="G37" s="96"/>
      <c r="H37" s="97"/>
      <c r="I37" s="31"/>
      <c r="J37" s="97"/>
      <c r="K37" s="31"/>
      <c r="L37" s="31" t="s">
        <v>207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96"/>
      <c r="AK37" s="98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9"/>
    </row>
    <row r="38" spans="2:61" ht="20.100000000000001" customHeight="1" x14ac:dyDescent="0.45">
      <c r="B38" s="95"/>
      <c r="C38" s="31"/>
      <c r="D38" s="31"/>
      <c r="E38" s="31"/>
      <c r="F38" s="31"/>
      <c r="G38" s="96"/>
      <c r="H38" s="97"/>
      <c r="I38" s="31"/>
      <c r="J38" s="97"/>
      <c r="K38" s="31" t="s">
        <v>192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96"/>
      <c r="AK38" s="98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9"/>
    </row>
    <row r="39" spans="2:61" ht="20.100000000000001" customHeight="1" x14ac:dyDescent="0.45">
      <c r="B39" s="95"/>
      <c r="C39" s="31"/>
      <c r="D39" s="31"/>
      <c r="E39" s="31"/>
      <c r="F39" s="31"/>
      <c r="G39" s="96"/>
      <c r="H39" s="97"/>
      <c r="I39" s="31"/>
      <c r="J39" s="97" t="s">
        <v>197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96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95"/>
      <c r="C40" s="31"/>
      <c r="D40" s="31"/>
      <c r="E40" s="31"/>
      <c r="F40" s="31"/>
      <c r="G40" s="96"/>
      <c r="H40" s="97"/>
      <c r="I40" s="31"/>
      <c r="J40" s="97"/>
      <c r="K40" s="31" t="s">
        <v>191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96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 x14ac:dyDescent="0.45">
      <c r="B41" s="95"/>
      <c r="C41" s="31"/>
      <c r="D41" s="31"/>
      <c r="E41" s="31"/>
      <c r="F41" s="31"/>
      <c r="G41" s="96"/>
      <c r="H41" s="97"/>
      <c r="I41" s="31"/>
      <c r="J41" s="97"/>
      <c r="K41" s="31" t="s">
        <v>204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96"/>
      <c r="AK41" s="98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9"/>
    </row>
    <row r="42" spans="2:61" ht="20.100000000000001" customHeight="1" x14ac:dyDescent="0.45">
      <c r="B42" s="95"/>
      <c r="C42" s="31"/>
      <c r="D42" s="31"/>
      <c r="E42" s="31"/>
      <c r="F42" s="31"/>
      <c r="G42" s="96"/>
      <c r="H42" s="97"/>
      <c r="I42" s="31"/>
      <c r="J42" s="97"/>
      <c r="K42" s="31"/>
      <c r="L42" s="31" t="s">
        <v>205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96"/>
      <c r="AK42" s="98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 x14ac:dyDescent="0.45">
      <c r="B43" s="95"/>
      <c r="C43" s="31"/>
      <c r="D43" s="31"/>
      <c r="E43" s="31"/>
      <c r="F43" s="31"/>
      <c r="G43" s="96"/>
      <c r="H43" s="97"/>
      <c r="I43" s="31"/>
      <c r="J43" s="97"/>
      <c r="K43" s="31"/>
      <c r="L43" s="31" t="s">
        <v>208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96"/>
      <c r="AK43" s="98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9"/>
    </row>
    <row r="44" spans="2:61" ht="20.100000000000001" customHeight="1" x14ac:dyDescent="0.45">
      <c r="B44" s="95"/>
      <c r="C44" s="31"/>
      <c r="D44" s="31"/>
      <c r="E44" s="31"/>
      <c r="F44" s="31"/>
      <c r="G44" s="96"/>
      <c r="H44" s="97"/>
      <c r="I44" s="31"/>
      <c r="J44" s="97"/>
      <c r="K44" s="31"/>
      <c r="L44" s="31" t="s">
        <v>209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96"/>
      <c r="AK44" s="98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9"/>
    </row>
    <row r="45" spans="2:61" ht="20.100000000000001" customHeight="1" x14ac:dyDescent="0.45">
      <c r="B45" s="95"/>
      <c r="C45" s="31"/>
      <c r="D45" s="31"/>
      <c r="E45" s="31"/>
      <c r="F45" s="31"/>
      <c r="G45" s="96"/>
      <c r="H45" s="97"/>
      <c r="I45" s="31"/>
      <c r="J45" s="97"/>
      <c r="K45" s="31" t="s">
        <v>198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96"/>
      <c r="AK45" s="98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9"/>
    </row>
    <row r="46" spans="2:61" ht="20.100000000000001" customHeight="1" thickBot="1" x14ac:dyDescent="0.5">
      <c r="B46" s="95"/>
      <c r="C46" s="31"/>
      <c r="D46" s="31"/>
      <c r="E46" s="31"/>
      <c r="F46" s="31"/>
      <c r="G46" s="96"/>
      <c r="H46" s="130" t="s">
        <v>199</v>
      </c>
      <c r="I46" s="131"/>
      <c r="J46" s="130" t="s">
        <v>200</v>
      </c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2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3"/>
    </row>
    <row r="47" spans="2:61" ht="5.0999999999999996" customHeight="1" x14ac:dyDescent="0.45"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2" t="s">
        <v>0</v>
      </c>
      <c r="C2" s="203"/>
      <c r="D2" s="203"/>
      <c r="E2" s="203"/>
      <c r="F2" s="203"/>
      <c r="G2" s="203"/>
      <c r="H2" s="203" t="s">
        <v>17</v>
      </c>
      <c r="I2" s="203"/>
      <c r="J2" s="203"/>
      <c r="K2" s="203"/>
      <c r="L2" s="203" t="s">
        <v>1</v>
      </c>
      <c r="M2" s="203"/>
      <c r="N2" s="203"/>
      <c r="O2" s="203"/>
      <c r="P2" s="203"/>
      <c r="Q2" s="203"/>
      <c r="R2" s="203" t="s">
        <v>2</v>
      </c>
      <c r="S2" s="203"/>
      <c r="T2" s="203"/>
      <c r="U2" s="203"/>
      <c r="V2" s="203"/>
      <c r="W2" s="203"/>
      <c r="X2" s="204" t="s">
        <v>3</v>
      </c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6"/>
      <c r="AK2" s="204" t="s">
        <v>32</v>
      </c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6"/>
      <c r="AX2" s="203" t="s">
        <v>5</v>
      </c>
      <c r="AY2" s="203"/>
      <c r="AZ2" s="203"/>
      <c r="BA2" s="203"/>
      <c r="BB2" s="203" t="s">
        <v>4</v>
      </c>
      <c r="BC2" s="203"/>
      <c r="BD2" s="203"/>
      <c r="BE2" s="203"/>
      <c r="BF2" s="203" t="s">
        <v>6</v>
      </c>
      <c r="BG2" s="203"/>
      <c r="BH2" s="203"/>
      <c r="BI2" s="203"/>
      <c r="BJ2" s="203" t="s">
        <v>7</v>
      </c>
      <c r="BK2" s="203"/>
      <c r="BL2" s="203"/>
      <c r="BM2" s="213"/>
    </row>
    <row r="3" spans="2:65" ht="20.100000000000001" customHeight="1" x14ac:dyDescent="0.45">
      <c r="B3" s="207" t="str">
        <f>変更履歴!B3</f>
        <v>受発注システム</v>
      </c>
      <c r="C3" s="150"/>
      <c r="D3" s="150"/>
      <c r="E3" s="150"/>
      <c r="F3" s="150"/>
      <c r="G3" s="150"/>
      <c r="H3" s="150" t="str">
        <f ca="1">変更履歴!H3</f>
        <v>UN0400</v>
      </c>
      <c r="I3" s="150"/>
      <c r="J3" s="150"/>
      <c r="K3" s="150"/>
      <c r="L3" s="150" t="str">
        <f>変更履歴!L3</f>
        <v>受発注</v>
      </c>
      <c r="M3" s="150"/>
      <c r="N3" s="150"/>
      <c r="O3" s="150"/>
      <c r="P3" s="150"/>
      <c r="Q3" s="150"/>
      <c r="R3" s="150" t="str">
        <f ca="1">変更履歴!R3</f>
        <v>帳票設計書</v>
      </c>
      <c r="S3" s="150"/>
      <c r="T3" s="150"/>
      <c r="U3" s="150"/>
      <c r="V3" s="150"/>
      <c r="W3" s="150"/>
      <c r="X3" s="153" t="str">
        <f ca="1">変更履歴!X3</f>
        <v>UN0400_入金日計表_帳票設計書</v>
      </c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5"/>
      <c r="AK3" s="153" t="str">
        <f ca="1">変更履歴!AK3</f>
        <v>入金日計表</v>
      </c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5"/>
      <c r="AX3" s="149">
        <f>変更履歴!AX3</f>
        <v>45610</v>
      </c>
      <c r="AY3" s="149"/>
      <c r="AZ3" s="149"/>
      <c r="BA3" s="149"/>
      <c r="BB3" s="150" t="str">
        <f>変更履歴!BB3</f>
        <v>大谷</v>
      </c>
      <c r="BC3" s="150"/>
      <c r="BD3" s="150"/>
      <c r="BE3" s="150"/>
      <c r="BF3" s="149">
        <f>変更履歴!BF3</f>
        <v>45610</v>
      </c>
      <c r="BG3" s="149"/>
      <c r="BH3" s="149"/>
      <c r="BI3" s="149"/>
      <c r="BJ3" s="150" t="str">
        <f>変更履歴!BJ3</f>
        <v>大谷</v>
      </c>
      <c r="BK3" s="150"/>
      <c r="BL3" s="150"/>
      <c r="BM3" s="211"/>
    </row>
    <row r="4" spans="2:65" ht="20.100000000000001" customHeight="1" thickBot="1" x14ac:dyDescent="0.5">
      <c r="B4" s="208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210"/>
      <c r="AY4" s="210"/>
      <c r="AZ4" s="210"/>
      <c r="BA4" s="210"/>
      <c r="BB4" s="209"/>
      <c r="BC4" s="209"/>
      <c r="BD4" s="209"/>
      <c r="BE4" s="209"/>
      <c r="BF4" s="210"/>
      <c r="BG4" s="210"/>
      <c r="BH4" s="210"/>
      <c r="BI4" s="210"/>
      <c r="BJ4" s="209"/>
      <c r="BK4" s="209"/>
      <c r="BL4" s="209"/>
      <c r="BM4" s="212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>
      <selection activeCell="D18" sqref="D18"/>
    </sheetView>
  </sheetViews>
  <sheetFormatPr defaultColWidth="8.796875"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30" style="29" bestFit="1" customWidth="1"/>
    <col min="6" max="6" width="30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38" t="s">
        <v>220</v>
      </c>
      <c r="G3" s="78" t="s">
        <v>51</v>
      </c>
    </row>
    <row r="4" spans="2:7" x14ac:dyDescent="0.45">
      <c r="B4" s="37">
        <v>1</v>
      </c>
      <c r="C4" s="79" t="s">
        <v>212</v>
      </c>
      <c r="D4" s="79" t="s">
        <v>213</v>
      </c>
      <c r="E4" s="80" t="s">
        <v>214</v>
      </c>
      <c r="F4" s="80" t="s">
        <v>221</v>
      </c>
      <c r="G4" s="81" t="s">
        <v>222</v>
      </c>
    </row>
    <row r="5" spans="2:7" x14ac:dyDescent="0.45">
      <c r="B5" s="37">
        <v>2</v>
      </c>
      <c r="C5" s="79" t="s">
        <v>212</v>
      </c>
      <c r="D5" s="79" t="s">
        <v>215</v>
      </c>
      <c r="E5" s="82" t="s">
        <v>214</v>
      </c>
      <c r="F5" s="80" t="s">
        <v>221</v>
      </c>
      <c r="G5" s="81" t="s">
        <v>223</v>
      </c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"/>
  <sheetViews>
    <sheetView workbookViewId="0">
      <selection activeCell="F17" sqref="F17"/>
    </sheetView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"/>
  <sheetViews>
    <sheetView topLeftCell="A7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12</vt:i4>
      </vt:variant>
    </vt:vector>
  </HeadingPairs>
  <TitlesOfParts>
    <vt:vector size="22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2025-05-24T05:36:30Z</dcterms:modified>
</cp:coreProperties>
</file>