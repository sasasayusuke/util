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16" windowHeight="928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個別集計" sheetId="19" r:id="rId5"/>
    <sheet name="処理詳細_書き方" sheetId="20" state="hidden" r:id="rId6"/>
    <sheet name="処理詳細_物件集計" sheetId="22" r:id="rId7"/>
    <sheet name="確認事項" sheetId="15" r:id="rId8"/>
    <sheet name="別紙_テンプレート" sheetId="16" r:id="rId9"/>
    <sheet name="別紙_印刷レイアウト" sheetId="23" r:id="rId10"/>
    <sheet name="参照" sheetId="12" state="hidden" r:id="rId11"/>
  </sheets>
  <definedNames>
    <definedName name="_xlnm._FilterDatabase" localSheetId="8">別紙_テンプレート!$A$2:$I$2</definedName>
    <definedName name="CoreCells">別紙_テンプレート!$A$4:$I$4</definedName>
    <definedName name="_xlnm.Print_Area" localSheetId="1">概要!$A$1:$BN$31</definedName>
    <definedName name="_xlnm.Print_Area" localSheetId="3">項目一覧!$A$1:$BX$57</definedName>
    <definedName name="_xlnm.Print_Area" localSheetId="4">処理詳細_個別集計!$A$1:$BR$211</definedName>
    <definedName name="_xlnm.Print_Area" localSheetId="5">処理詳細_書き方!$A$1:$BR$33</definedName>
    <definedName name="_xlnm.Print_Area" localSheetId="6">処理詳細_物件集計!$A$1:$BR$203</definedName>
    <definedName name="_xlnm.Print_Area" localSheetId="2">帳票レイアウト!$A$1:$BN$48</definedName>
    <definedName name="_xlnm.Print_Area" localSheetId="8">別紙_テンプレート!$A$1:$K$5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処理詳細_個別集計!$1:$5</definedName>
    <definedName name="_xlnm.Print_Titles" localSheetId="5">処理詳細_書き方!$1:$5</definedName>
    <definedName name="_xlnm.Print_Titles" localSheetId="6">処理詳細_物件集計!$1:$5</definedName>
    <definedName name="_xlnm.Print_Titles" localSheetId="2">帳票レイアウト!$1:$5</definedName>
    <definedName name="_xlnm.Print_Titles" localSheetId="8">別紙_テンプレート!$1:$2</definedName>
    <definedName name="_xlnm.Print_Titles" localSheetId="0">変更履歴!$1:$5</definedName>
    <definedName name="タイトル">別紙_テンプレート!$C$1</definedName>
    <definedName name="チーム名">別紙_テンプレート!$G$1</definedName>
    <definedName name="原価_見出し">別紙_テンプレート!$H$2</definedName>
    <definedName name="作成日">別紙_テンプレート!$H$1</definedName>
    <definedName name="施工仕入金額" localSheetId="6">別紙_テンプレート!#REF!</definedName>
    <definedName name="施工仕入金額">別紙_テンプレート!#REF!</definedName>
    <definedName name="施工売上金額" localSheetId="6">別紙_テンプレート!#REF!</definedName>
    <definedName name="施工売上金額">別紙_テンプレート!#REF!</definedName>
    <definedName name="得意先" localSheetId="6">#REF!</definedName>
    <definedName name="得意先">#REF!</definedName>
    <definedName name="日付範囲" localSheetId="6">#REF!</definedName>
    <definedName name="日付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2" l="1"/>
  <c r="BF3" i="22"/>
  <c r="BB3" i="22"/>
  <c r="AX3" i="22"/>
  <c r="L3" i="22"/>
  <c r="B3" i="22"/>
  <c r="BJ3" i="20" l="1"/>
  <c r="BF3" i="20"/>
  <c r="BB3" i="20"/>
  <c r="AX3" i="20"/>
  <c r="L3" i="20"/>
  <c r="B3" i="20"/>
  <c r="BJ3" i="19"/>
  <c r="BF3" i="19"/>
  <c r="BB3" i="19"/>
  <c r="AX3" i="19"/>
  <c r="L3" i="19"/>
  <c r="B3" i="19"/>
  <c r="H3" i="16" l="1"/>
  <c r="I4" i="16"/>
  <c r="G3" i="16" l="1"/>
  <c r="I3" i="16" s="1"/>
  <c r="I5" i="16" l="1"/>
  <c r="BJ3" i="14" l="1"/>
  <c r="BF3" i="14"/>
  <c r="BB3" i="14"/>
  <c r="AX3" i="14"/>
  <c r="L3" i="14"/>
  <c r="B3" i="14"/>
  <c r="X3" i="1" l="1"/>
  <c r="X3" i="22" s="1"/>
  <c r="X3" i="19" l="1"/>
  <c r="X3" i="20"/>
  <c r="X3" i="14"/>
  <c r="H3" i="1"/>
  <c r="H3" i="22" s="1"/>
  <c r="R3" i="1"/>
  <c r="R3" i="22" s="1"/>
  <c r="AK3" i="1"/>
  <c r="AK3" i="22" s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<sst xmlns="http://schemas.openxmlformats.org/spreadsheetml/2006/main" count="942" uniqueCount="396">
  <si>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</si>
  <si>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</si>
  <si>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</si>
  <si>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</si>
  <si>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</si>
  <si>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</si>
  <si>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</si>
  <si>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</si>
  <si>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</si>
  <si>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</si>
  <si>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</si>
  <si>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</si>
  <si>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</si>
  <si>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</si>
  <si>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</si>
  <si>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</si>
  <si>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</si>
  <si>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</si>
  <si>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</si>
  <si>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</si>
  <si>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</si>
  <si>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</si>
  <si>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</si>
  <si>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</si>
  <si>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</si>
  <si>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</si>
  <si>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</si>
  <si>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</si>
  <si>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</si>
  <si>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</si>
  <si>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</si>
  <si>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</si>
  <si>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</si>
  <si>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</si>
  <si>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</si>
  <si>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</si>
  <si>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</si>
  <si>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</si>
  <si>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</si>
  <si>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</si>
  <si>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</si>
  <si>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</si>
  <si>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</si>
  <si>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</si>
  <si>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</si>
  <si>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</si>
  <si>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</si>
  <si>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</si>
  <si>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</si>
  <si>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</si>
  <si>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</si>
  <si>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</si>
  <si>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</si>
  <si>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</si>
  <si>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</si>
  <si>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</si>
  <si>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-</t>
    <phoneticPr fontId="2"/>
  </si>
  <si>
    <t>原価/売価積上チェック表</t>
    <rPh sb="0" eb="2">
      <t>ゲンカ</t>
    </rPh>
    <rPh sb="3" eb="5">
      <t>バイカ</t>
    </rPh>
    <rPh sb="5" eb="6">
      <t>セキ</t>
    </rPh>
    <rPh sb="6" eb="7">
      <t>ジョウ</t>
    </rPh>
    <rPh sb="11" eb="12">
      <t>オモテ</t>
    </rPh>
    <phoneticPr fontId="10"/>
  </si>
  <si>
    <t>チームY</t>
    <phoneticPr fontId="10"/>
  </si>
  <si>
    <t>見積番号</t>
    <rPh sb="0" eb="2">
      <t>ミツモリ</t>
    </rPh>
    <rPh sb="2" eb="4">
      <t>バンゴウ</t>
    </rPh>
    <phoneticPr fontId="10"/>
  </si>
  <si>
    <t>作業区分</t>
    <rPh sb="0" eb="2">
      <t>サギョウ</t>
    </rPh>
    <rPh sb="2" eb="4">
      <t>クブン</t>
    </rPh>
    <phoneticPr fontId="10"/>
  </si>
  <si>
    <t>見積件名</t>
    <rPh sb="0" eb="2">
      <t>ミツモリ</t>
    </rPh>
    <rPh sb="2" eb="4">
      <t>ケンメイ</t>
    </rPh>
    <phoneticPr fontId="10"/>
  </si>
  <si>
    <t>得意先CD</t>
    <rPh sb="0" eb="3">
      <t>トクイサキ</t>
    </rPh>
    <phoneticPr fontId="10"/>
  </si>
  <si>
    <t>工期</t>
    <rPh sb="0" eb="1">
      <t>コウ</t>
    </rPh>
    <rPh sb="1" eb="2">
      <t>キ</t>
    </rPh>
    <phoneticPr fontId="10"/>
  </si>
  <si>
    <t>物件区分</t>
    <rPh sb="0" eb="2">
      <t>ブッケン</t>
    </rPh>
    <rPh sb="2" eb="4">
      <t>クブン</t>
    </rPh>
    <phoneticPr fontId="10"/>
  </si>
  <si>
    <t>金額</t>
    <rPh sb="0" eb="1">
      <t>キン</t>
    </rPh>
    <rPh sb="1" eb="2">
      <t>ガク</t>
    </rPh>
    <phoneticPr fontId="10"/>
  </si>
  <si>
    <t>原価額</t>
    <rPh sb="0" eb="2">
      <t>ゲンカ</t>
    </rPh>
    <rPh sb="2" eb="3">
      <t>ガク</t>
    </rPh>
    <phoneticPr fontId="10"/>
  </si>
  <si>
    <t>原価率</t>
    <rPh sb="0" eb="2">
      <t>ゲンカ</t>
    </rPh>
    <rPh sb="2" eb="3">
      <t>リツ</t>
    </rPh>
    <phoneticPr fontId="10"/>
  </si>
  <si>
    <t>計</t>
    <rPh sb="0" eb="1">
      <t>ケイ</t>
    </rPh>
    <phoneticPr fontId="10"/>
  </si>
  <si>
    <t>作成日</t>
    <rPh sb="0" eb="3">
      <t>サクセイビ</t>
    </rPh>
    <phoneticPr fontId="1"/>
  </si>
  <si>
    <t>原価額</t>
    <rPh sb="0" eb="2">
      <t>ゲンカ</t>
    </rPh>
    <rPh sb="2" eb="3">
      <t>ガク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</si>
  <si>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</si>
  <si>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</si>
  <si>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半角</t>
    <rPh sb="0" eb="2">
      <t>ハンカク</t>
    </rPh>
    <phoneticPr fontId="1"/>
  </si>
  <si>
    <t>現在の日付</t>
    <rPh sb="0" eb="2">
      <t>ゲンザイ</t>
    </rPh>
    <rPh sb="3" eb="5">
      <t>ヒヅケ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</si>
  <si>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</si>
  <si>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見積番号_1行目</t>
    <rPh sb="0" eb="2">
      <t>ミツモリ</t>
    </rPh>
    <rPh sb="2" eb="4">
      <t>バンゴウ</t>
    </rPh>
    <rPh sb="6" eb="8">
      <t>ギョウメ</t>
    </rPh>
    <phoneticPr fontId="1"/>
  </si>
  <si>
    <t>作業区分_1行目</t>
    <rPh sb="0" eb="4">
      <t>サギョウクブン</t>
    </rPh>
    <rPh sb="6" eb="8">
      <t>ギョウメ</t>
    </rPh>
    <phoneticPr fontId="1"/>
  </si>
  <si>
    <t>見積件名_1行目</t>
    <rPh sb="0" eb="4">
      <t>ミツモリケンメイ</t>
    </rPh>
    <rPh sb="6" eb="8">
      <t>ギョウメ</t>
    </rPh>
    <phoneticPr fontId="1"/>
  </si>
  <si>
    <t>得意先CD_1行目</t>
    <rPh sb="0" eb="3">
      <t>トクイサキ</t>
    </rPh>
    <rPh sb="7" eb="9">
      <t>ギョウメ</t>
    </rPh>
    <phoneticPr fontId="1"/>
  </si>
  <si>
    <t>工期_1行目</t>
    <rPh sb="0" eb="2">
      <t>コウキ</t>
    </rPh>
    <rPh sb="4" eb="6">
      <t>ギョウメ</t>
    </rPh>
    <phoneticPr fontId="1"/>
  </si>
  <si>
    <t>物件区分_1行目</t>
    <rPh sb="0" eb="4">
      <t>ブッケンクブン</t>
    </rPh>
    <rPh sb="6" eb="8">
      <t>ギョウメ</t>
    </rPh>
    <phoneticPr fontId="1"/>
  </si>
  <si>
    <t>金額_1行目</t>
    <rPh sb="0" eb="2">
      <t>キンガク</t>
    </rPh>
    <rPh sb="4" eb="6">
      <t>ギョウメ</t>
    </rPh>
    <phoneticPr fontId="1"/>
  </si>
  <si>
    <t>原価額_1行目</t>
    <rPh sb="0" eb="2">
      <t>ゲンカ</t>
    </rPh>
    <rPh sb="2" eb="3">
      <t>ガク</t>
    </rPh>
    <rPh sb="5" eb="7">
      <t>ギョウメ</t>
    </rPh>
    <phoneticPr fontId="1"/>
  </si>
  <si>
    <t>原価率_1行目</t>
    <rPh sb="0" eb="2">
      <t>ゲンカ</t>
    </rPh>
    <rPh sb="2" eb="3">
      <t>リツ</t>
    </rPh>
    <rPh sb="5" eb="7">
      <t>ギョウメ</t>
    </rPh>
    <phoneticPr fontId="1"/>
  </si>
  <si>
    <t>見積番号</t>
    <rPh sb="0" eb="4">
      <t>ミツモリバンゴウ</t>
    </rPh>
    <phoneticPr fontId="1"/>
  </si>
  <si>
    <t>作業区分</t>
    <rPh sb="0" eb="4">
      <t>サギョウクブン</t>
    </rPh>
    <phoneticPr fontId="1"/>
  </si>
  <si>
    <t>見積件名</t>
    <rPh sb="0" eb="2">
      <t>ミツモリ</t>
    </rPh>
    <rPh sb="2" eb="4">
      <t>ケンメイ</t>
    </rPh>
    <phoneticPr fontId="1"/>
  </si>
  <si>
    <t>得意先CD</t>
    <rPh sb="0" eb="3">
      <t>トクイサキ</t>
    </rPh>
    <phoneticPr fontId="1"/>
  </si>
  <si>
    <t>工期</t>
    <rPh sb="0" eb="2">
      <t>コウキ</t>
    </rPh>
    <phoneticPr fontId="1"/>
  </si>
  <si>
    <t>物件区分</t>
    <rPh sb="0" eb="4">
      <t>ブッケンクブン</t>
    </rPh>
    <phoneticPr fontId="1"/>
  </si>
  <si>
    <t>金額</t>
    <rPh sb="0" eb="2">
      <t>キンガク</t>
    </rPh>
    <phoneticPr fontId="1"/>
  </si>
  <si>
    <t>原価率</t>
    <rPh sb="0" eb="2">
      <t>ゲンカ</t>
    </rPh>
    <rPh sb="2" eb="3">
      <t>リツ</t>
    </rPh>
    <phoneticPr fontId="1"/>
  </si>
  <si>
    <t>「計」</t>
    <rPh sb="1" eb="2">
      <t>ケイ</t>
    </rPh>
    <phoneticPr fontId="1"/>
  </si>
  <si>
    <t>[13.作業区分],[19.原価額]</t>
    <rPh sb="4" eb="8">
      <t>サギョウクブン</t>
    </rPh>
    <rPh sb="14" eb="16">
      <t>ゲンカ</t>
    </rPh>
    <rPh sb="16" eb="17">
      <t>ガク</t>
    </rPh>
    <phoneticPr fontId="1"/>
  </si>
  <si>
    <t>[13.作業区分],[18.金額]</t>
    <rPh sb="4" eb="8">
      <t>サギョウクブン</t>
    </rPh>
    <rPh sb="14" eb="16">
      <t>キンガク</t>
    </rPh>
    <phoneticPr fontId="1"/>
  </si>
  <si>
    <t>[9.金額_1行目],[10.原価額_1行目]</t>
    <phoneticPr fontId="1"/>
  </si>
  <si>
    <t>[18.金額],[19.原価額]</t>
    <rPh sb="4" eb="6">
      <t>キンガク</t>
    </rPh>
    <rPh sb="12" eb="15">
      <t>ゲンカガク</t>
    </rPh>
    <phoneticPr fontId="1"/>
  </si>
  <si>
    <t>[10.原価額_1行目]を[9.金額_1行目]で割った値</t>
    <rPh sb="24" eb="25">
      <t>ワ</t>
    </rPh>
    <rPh sb="27" eb="28">
      <t>アタイ</t>
    </rPh>
    <phoneticPr fontId="1"/>
  </si>
  <si>
    <t>[19.原価額]を[18.金額]で割った値</t>
    <phoneticPr fontId="1"/>
  </si>
  <si>
    <t>[13.作業区分]が"合計"でない[18.金額]の合計</t>
    <rPh sb="11" eb="13">
      <t>ゴウケイ</t>
    </rPh>
    <rPh sb="25" eb="27">
      <t>ゴウケイ</t>
    </rPh>
    <phoneticPr fontId="1"/>
  </si>
  <si>
    <t>[13.作業区分]が"合計"でない[19.原価額]の合計</t>
    <rPh sb="11" eb="13">
      <t>ゴウケイ</t>
    </rPh>
    <rPh sb="26" eb="28">
      <t>ゴウケイ</t>
    </rPh>
    <phoneticPr fontId="1"/>
  </si>
  <si>
    <t>空欄</t>
    <rPh sb="0" eb="2">
      <t>クウラン</t>
    </rPh>
    <phoneticPr fontId="1"/>
  </si>
  <si>
    <t>チーム名</t>
    <rPh sb="3" eb="4">
      <t>メイ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</si>
  <si>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</si>
  <si>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</si>
  <si>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</si>
  <si>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</si>
  <si>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</si>
  <si>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</si>
  <si>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</si>
  <si>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</si>
  <si>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</si>
  <si>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</si>
  <si>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</si>
  <si>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</si>
  <si>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</si>
  <si>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</si>
  <si>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</si>
  <si>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</si>
  <si>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</si>
  <si>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</si>
  <si>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</si>
  <si>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</si>
  <si>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</si>
  <si>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</si>
  <si>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</si>
  <si>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</si>
  <si>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</si>
  <si>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</si>
  <si>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</si>
  <si>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</si>
  <si>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</si>
  <si>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</si>
  <si>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</si>
  <si>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</si>
  <si>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</si>
  <si>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</si>
  <si>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</si>
  <si>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</si>
  <si>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</si>
  <si>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TM統計集計先.統計集計先名</t>
    <rPh sb="2" eb="7">
      <t>トウケイシュウケイサキ</t>
    </rPh>
    <rPh sb="8" eb="14">
      <t>トウケイシュウケイサキメイ</t>
    </rPh>
    <phoneticPr fontId="1"/>
  </si>
  <si>
    <t>請求日付</t>
    <rPh sb="0" eb="4">
      <t>セイキュウヒヅケ</t>
    </rPh>
    <phoneticPr fontId="10"/>
  </si>
  <si>
    <t>請求予定日</t>
    <rPh sb="0" eb="5">
      <t>セイキュウヨテイビ</t>
    </rPh>
    <phoneticPr fontId="10"/>
  </si>
  <si>
    <t>請求日付_1行目</t>
    <rPh sb="0" eb="4">
      <t>セイキュウヒヅケ</t>
    </rPh>
    <rPh sb="6" eb="8">
      <t>ギョウメ</t>
    </rPh>
    <phoneticPr fontId="1"/>
  </si>
  <si>
    <t>請求予定日_1行目</t>
    <rPh sb="0" eb="5">
      <t>セイキュウヨテイビ</t>
    </rPh>
    <rPh sb="7" eb="9">
      <t>ギョウメ</t>
    </rPh>
    <phoneticPr fontId="1"/>
  </si>
  <si>
    <t>請求日付</t>
    <rPh sb="0" eb="4">
      <t>セイキュウヒヅケ</t>
    </rPh>
    <phoneticPr fontId="1"/>
  </si>
  <si>
    <t>請求予定日</t>
    <rPh sb="0" eb="5">
      <t>セイキュウヨテイビ</t>
    </rPh>
    <phoneticPr fontId="1"/>
  </si>
  <si>
    <t>シートを分ける</t>
    <rPh sb="4" eb="5">
      <t>ワ</t>
    </rPh>
    <phoneticPr fontId="2"/>
  </si>
  <si>
    <t>ウエルシア、サンベルクス、ロピア、ベルク、その他</t>
    <rPh sb="23" eb="24">
      <t>タ</t>
    </rPh>
    <phoneticPr fontId="2"/>
  </si>
  <si>
    <t>Temp積上チェック表.xlsx</t>
    <phoneticPr fontId="2"/>
  </si>
  <si>
    <t>統計集計先CD</t>
  </si>
  <si>
    <t>売仕区分</t>
  </si>
  <si>
    <t>見積番号</t>
  </si>
  <si>
    <t>作業区分CD</t>
  </si>
  <si>
    <t>見積件名</t>
  </si>
  <si>
    <t>得意先CD</t>
  </si>
  <si>
    <t>納入得意先CD</t>
  </si>
  <si>
    <t>納入先CD</t>
  </si>
  <si>
    <t>納入先名1</t>
  </si>
  <si>
    <t>納入先名2</t>
  </si>
  <si>
    <t>現場名</t>
  </si>
  <si>
    <t>物件種別</t>
  </si>
  <si>
    <t>日付</t>
  </si>
  <si>
    <t>税抜金額</t>
  </si>
  <si>
    <t>SUM(CASE WHEN UM.売上税区分 = 1 THEN (UM.売上金額 - UM.消費税額) ELSE UM.売上金額 END)</t>
    <phoneticPr fontId="2"/>
  </si>
  <si>
    <t>MAX(UH.売上日付)</t>
    <phoneticPr fontId="2"/>
  </si>
  <si>
    <t>ISNULL(MH.物件種別, 0)</t>
    <phoneticPr fontId="2"/>
  </si>
  <si>
    <t>UH.見積番号</t>
  </si>
  <si>
    <t>MSM.作業区分CD</t>
  </si>
  <si>
    <t>MH.見積件名</t>
  </si>
  <si>
    <t>MH.得意先CD</t>
  </si>
  <si>
    <t>MH.納入得意先CD</t>
  </si>
  <si>
    <t>MH.納入先CD</t>
  </si>
  <si>
    <t>MH.納入先名1</t>
  </si>
  <si>
    <t>MH.納入先名2</t>
  </si>
  <si>
    <t>MH.現場名</t>
  </si>
  <si>
    <t>CASE MH.集計CD
    WHEN @wヤオコー THEN MH.集計CD 
    WHEN @wロピア THEN MH.集計CD 
    WHEN @wサンベルクス THEN MH.集計CD 
    WHEN @wしまむら THEN MH.集計CD 
    WHEN @wベルク THEN MH.集計CD 
    WHEN @wビバ THEN MH.集計CD 
    WHEN @wウエルシア THEN MH.集計CD 
    ELSE 99999 
    END</t>
    <phoneticPr fontId="2"/>
  </si>
  <si>
    <t>@wヤオコー='8001'
@wロピア='9803'
@wサンベルクス='3001'
@wしまむら='3201'
@wベルク='6601'
@wビバ='4801'
@wウエルシア='2401'</t>
    <phoneticPr fontId="2"/>
  </si>
  <si>
    <t>TD売上v2 AS UH</t>
    <phoneticPr fontId="2"/>
  </si>
  <si>
    <t>TD見積シートM AS MSM</t>
    <phoneticPr fontId="2"/>
  </si>
  <si>
    <t>TD見積 AS MH</t>
    <phoneticPr fontId="2"/>
  </si>
  <si>
    <t>TM得意先 AS TM</t>
    <phoneticPr fontId="2"/>
  </si>
  <si>
    <t>TD物件情報 AS BK</t>
    <phoneticPr fontId="2"/>
  </si>
  <si>
    <t>TM得意先 AS TM2</t>
    <phoneticPr fontId="2"/>
  </si>
  <si>
    <t>INNER JOIN</t>
    <phoneticPr fontId="2"/>
  </si>
  <si>
    <t>TD売上明細V2</t>
    <phoneticPr fontId="2"/>
  </si>
  <si>
    <t>UH.売上番号 = UM.売上番号</t>
    <phoneticPr fontId="2"/>
  </si>
  <si>
    <t>LEFT JOIN</t>
    <phoneticPr fontId="2"/>
  </si>
  <si>
    <t>TD売上明細V2 AS UM</t>
    <phoneticPr fontId="2"/>
  </si>
  <si>
    <t>TD見積シートM</t>
    <phoneticPr fontId="2"/>
  </si>
  <si>
    <t>UM.見積明細連番 = MSM.見積明細連番</t>
    <phoneticPr fontId="2"/>
  </si>
  <si>
    <t>TD見積</t>
    <phoneticPr fontId="2"/>
  </si>
  <si>
    <t>UH.見積番号 = MH.見積番号</t>
    <phoneticPr fontId="2"/>
  </si>
  <si>
    <t>TM得意先</t>
    <phoneticPr fontId="2"/>
  </si>
  <si>
    <t>MH.販売先得意先CD = TM.得意先CD</t>
    <phoneticPr fontId="2"/>
  </si>
  <si>
    <t>TD物件情報</t>
    <phoneticPr fontId="2"/>
  </si>
  <si>
    <t>MH.物件番号 = BK.物件番号</t>
    <phoneticPr fontId="2"/>
  </si>
  <si>
    <t>BK.得意先CD = TM2.得意先CD</t>
    <phoneticPr fontId="2"/>
  </si>
  <si>
    <t>AND</t>
    <phoneticPr fontId="2"/>
  </si>
  <si>
    <t>AND NOT</t>
    <phoneticPr fontId="2"/>
  </si>
  <si>
    <t>UM.伝票区分 IN ('A','C','S')</t>
    <phoneticPr fontId="2"/>
  </si>
  <si>
    <t>group by</t>
    <phoneticPr fontId="2"/>
  </si>
  <si>
    <t>UH.売上日付 &gt;= [画面.集計日付from]</t>
    <rPh sb="12" eb="14">
      <t>ガメン</t>
    </rPh>
    <rPh sb="15" eb="19">
      <t>シュウケイヒヅケ</t>
    </rPh>
    <phoneticPr fontId="2"/>
  </si>
  <si>
    <t>UH.売上日付 &lt;= [画面.集計日付to]</t>
    <phoneticPr fontId="2"/>
  </si>
  <si>
    <t>MH.業種区分 = COALESCE([画面.業種区分],MH.業種区分)</t>
    <rPh sb="23" eb="27">
      <t>ギョウシュクブン</t>
    </rPh>
    <phoneticPr fontId="2"/>
  </si>
  <si>
    <t>, MSM.作業区分CD</t>
    <phoneticPr fontId="2"/>
  </si>
  <si>
    <t>, MH.見積件名</t>
    <phoneticPr fontId="2"/>
  </si>
  <si>
    <t>, MH.得意先CD</t>
    <phoneticPr fontId="2"/>
  </si>
  <si>
    <t>, MH.納入得意先CD</t>
    <phoneticPr fontId="2"/>
  </si>
  <si>
    <t>, MH.納入先CD</t>
    <phoneticPr fontId="2"/>
  </si>
  <si>
    <t>, MH.納入先名1</t>
    <phoneticPr fontId="2"/>
  </si>
  <si>
    <t>, MH.納入先名2</t>
    <phoneticPr fontId="2"/>
  </si>
  <si>
    <t>, MH.現場名</t>
    <phoneticPr fontId="2"/>
  </si>
  <si>
    <t>, ISNULL(MH.物件種別, 0)</t>
    <phoneticPr fontId="2"/>
  </si>
  <si>
    <t>, UH.見積番号</t>
    <phoneticPr fontId="2"/>
  </si>
  <si>
    <t>CASE MH.集計CD
            WHEN @wヤオコー  THEN MH.集計CD
            WHEN @wロピア  THEN MH.集計CD
            WHEN @wサンベルクス THEN MH.集計CD
            WHEN @wしまむら  THEN MH.集計CD
            WHEN @wベルク  THEN MH.集計CD
            WHEN @wビバ   THEN MH.集計CD
            WHEN @wウエルシア THEN MH.集計CD
            ELSE 99999 END</t>
    <phoneticPr fontId="2"/>
  </si>
  <si>
    <t>INSERT SQL1
営業分の売上を抽出</t>
    <phoneticPr fontId="2"/>
  </si>
  <si>
    <t>ISNULL(MSM.作業区分CD,0)</t>
    <phoneticPr fontId="2"/>
  </si>
  <si>
    <t>MAX(SM.仕入日付)</t>
    <phoneticPr fontId="2"/>
  </si>
  <si>
    <t>仕入日付</t>
    <phoneticPr fontId="2"/>
  </si>
  <si>
    <t>新規追加項目。見積番号でjoinする</t>
    <rPh sb="0" eb="4">
      <t>シンキツイカ</t>
    </rPh>
    <rPh sb="4" eb="6">
      <t>コウモク</t>
    </rPh>
    <rPh sb="7" eb="11">
      <t>ミツモリバンゴウ</t>
    </rPh>
    <phoneticPr fontId="1"/>
  </si>
  <si>
    <t>仕入金額</t>
    <rPh sb="0" eb="4">
      <t>シイレキンガク</t>
    </rPh>
    <phoneticPr fontId="2"/>
  </si>
  <si>
    <t>null</t>
    <phoneticPr fontId="2"/>
  </si>
  <si>
    <t>SUM(CASE WHEN SMU.仕入税区分 = 1 THEN (SMU.仕入金額-SMU.消費税額) ELSE SMU.仕入金額 END)</t>
    <phoneticPr fontId="2"/>
  </si>
  <si>
    <t>MERGE INTO SQL2</t>
    <phoneticPr fontId="2"/>
  </si>
  <si>
    <t>仕入金額情報を更新</t>
    <phoneticPr fontId="2"/>
  </si>
  <si>
    <t>SQL3
仕入金額情報を更新</t>
    <phoneticPr fontId="2"/>
  </si>
  <si>
    <t xml:space="preserve">merge </t>
    <phoneticPr fontId="2"/>
  </si>
  <si>
    <t>into</t>
    <phoneticPr fontId="2"/>
  </si>
  <si>
    <t>using</t>
    <phoneticPr fontId="2"/>
  </si>
  <si>
    <t>A.統計集計先CD = B.統計集計先CD</t>
    <phoneticPr fontId="2"/>
  </si>
  <si>
    <t>A.見積番号 = B.見積番号</t>
    <phoneticPr fontId="2"/>
  </si>
  <si>
    <t>A.作業区分CD = B.作業区分CD</t>
    <phoneticPr fontId="2"/>
  </si>
  <si>
    <t>SQL3 AS B</t>
    <phoneticPr fontId="2"/>
  </si>
  <si>
    <t>SQL1 AS A</t>
    <phoneticPr fontId="2"/>
  </si>
  <si>
    <t>matched</t>
    <phoneticPr fontId="2"/>
  </si>
  <si>
    <t>WHEN MATCHED THEN</t>
    <phoneticPr fontId="2"/>
  </si>
  <si>
    <t>UPDATE</t>
    <phoneticPr fontId="2"/>
  </si>
  <si>
    <t>SET A.仕入金額 =  B.仕入金額</t>
    <phoneticPr fontId="2"/>
  </si>
  <si>
    <t>WHEN NOT MATCHED THEN</t>
    <phoneticPr fontId="2"/>
  </si>
  <si>
    <t>INSERT</t>
    <phoneticPr fontId="2"/>
  </si>
  <si>
    <t xml:space="preserve">得意先CD </t>
  </si>
  <si>
    <t xml:space="preserve">納入得意先CD </t>
  </si>
  <si>
    <t xml:space="preserve">納入先CD </t>
  </si>
  <si>
    <t xml:space="preserve">納入先名1 </t>
  </si>
  <si>
    <t xml:space="preserve">現場名 </t>
  </si>
  <si>
    <t>仕入金額</t>
  </si>
  <si>
    <t>B.統計集計先CD</t>
  </si>
  <si>
    <t>B.売仕区分</t>
  </si>
  <si>
    <t>B.見積番号</t>
  </si>
  <si>
    <t>B.作業区分CD</t>
  </si>
  <si>
    <t>B.見積件名</t>
  </si>
  <si>
    <t xml:space="preserve">B.得意先CD </t>
  </si>
  <si>
    <t>B.納入得意先CD</t>
  </si>
  <si>
    <t>B.納入先CD</t>
  </si>
  <si>
    <t>B.納入先名1</t>
  </si>
  <si>
    <t>B.納入先名2</t>
  </si>
  <si>
    <t>B.現場名</t>
  </si>
  <si>
    <t>B.物件種別</t>
  </si>
  <si>
    <t>B.仕入日付</t>
  </si>
  <si>
    <t>B.税抜金額</t>
  </si>
  <si>
    <t>B.仕入金額</t>
  </si>
  <si>
    <t>INSERT SQL4</t>
    <phoneticPr fontId="2"/>
  </si>
  <si>
    <t>TMP.統計集計先CD</t>
  </si>
  <si>
    <t>TMP.統計集計先CD</t>
    <phoneticPr fontId="2"/>
  </si>
  <si>
    <t>TMP.見積番号</t>
  </si>
  <si>
    <t>TMP.見積番号</t>
    <phoneticPr fontId="2"/>
  </si>
  <si>
    <t>TMP.見積件名</t>
    <phoneticPr fontId="2"/>
  </si>
  <si>
    <t>TMP.得意先CD</t>
  </si>
  <si>
    <t>TMP.得意先CD</t>
    <phoneticPr fontId="2"/>
  </si>
  <si>
    <t>TMP.納入得意先CD</t>
  </si>
  <si>
    <t>TMP.納入得意先CD</t>
    <phoneticPr fontId="2"/>
  </si>
  <si>
    <t>TMP.納入先CD</t>
  </si>
  <si>
    <t>TMP.納入先CD</t>
    <phoneticPr fontId="2"/>
  </si>
  <si>
    <t>TMP.納入先名1</t>
    <phoneticPr fontId="2"/>
  </si>
  <si>
    <t>TMP.納入先名2</t>
    <phoneticPr fontId="2"/>
  </si>
  <si>
    <t>TMP.現場名</t>
    <phoneticPr fontId="2"/>
  </si>
  <si>
    <t>TMP.物件種別</t>
    <phoneticPr fontId="2"/>
  </si>
  <si>
    <t>SUM(TMP.税抜金額)</t>
    <phoneticPr fontId="2"/>
  </si>
  <si>
    <t>SUM(TMP.仕入金額)</t>
    <phoneticPr fontId="2"/>
  </si>
  <si>
    <t>#TMP_TOTAL AS TMP</t>
    <phoneticPr fontId="2"/>
  </si>
  <si>
    <t>NOT</t>
    <phoneticPr fontId="2"/>
  </si>
  <si>
    <t>(</t>
    <phoneticPr fontId="2"/>
  </si>
  <si>
    <t>TMP.税抜金額=0</t>
    <phoneticPr fontId="2"/>
  </si>
  <si>
    <t>TMP.仕入金額=0</t>
    <phoneticPr fontId="2"/>
  </si>
  <si>
    <t>AND</t>
    <phoneticPr fontId="2"/>
  </si>
  <si>
    <t>)</t>
    <phoneticPr fontId="2"/>
  </si>
  <si>
    <t>having</t>
    <phoneticPr fontId="2"/>
  </si>
  <si>
    <t>SUM(CASE WHEN TMP.作業区分CD = 2 THEN 0 ELSE 1 END) &lt;&gt; 0</t>
    <phoneticPr fontId="2"/>
  </si>
  <si>
    <t>SQL5</t>
    <phoneticPr fontId="2"/>
  </si>
  <si>
    <t>仕入金額</t>
    <phoneticPr fontId="2"/>
  </si>
  <si>
    <t>作業区分名</t>
    <phoneticPr fontId="2"/>
  </si>
  <si>
    <t>Count</t>
    <phoneticPr fontId="2"/>
  </si>
  <si>
    <t>SQL1.統計集計先CD</t>
  </si>
  <si>
    <t>SQL1.売仕区分</t>
  </si>
  <si>
    <t>SQL1.見積番号</t>
  </si>
  <si>
    <t>SQL1.作業区分CD</t>
  </si>
  <si>
    <t>SQL1.見積件名</t>
  </si>
  <si>
    <t>SQL1.得意先CD</t>
  </si>
  <si>
    <t>SQL1.納入得意先CD</t>
  </si>
  <si>
    <t>SQL1.納入先CD</t>
  </si>
  <si>
    <t>SQL1.納入先名1</t>
  </si>
  <si>
    <t>SQL1.納入先名2</t>
  </si>
  <si>
    <t>SQL1.現場名</t>
  </si>
  <si>
    <t>SQL1.物件種別</t>
  </si>
  <si>
    <t>SQL1.日付</t>
  </si>
  <si>
    <t>SQL1.税抜金額</t>
  </si>
  <si>
    <t>SQL1.仕入金額</t>
  </si>
  <si>
    <t>COUNT(SQL1.統計集計先CD) OVER (PARTITION BY SQL1.統計集計先CD)</t>
    <phoneticPr fontId="2"/>
  </si>
  <si>
    <t>CASE SQL1.作業区分CD
    WHEN 0 THEN '営業'
    WHEN 1 THEN '施工'
    WHEN 2 THEN 'CALL'
    WHEN 3 THEN '内装'
    WHEN 4 THEN 'ｸﾚｰﾑ'
    WHEN 99999 THEN '合計'
ELSE '営業'
END</t>
    <phoneticPr fontId="2"/>
  </si>
  <si>
    <t>SQL1 AS TMP</t>
    <phoneticPr fontId="2"/>
  </si>
  <si>
    <t>order by</t>
    <phoneticPr fontId="2"/>
  </si>
  <si>
    <t>TMP.作業区分CD</t>
  </si>
  <si>
    <t>YEAR(TMP.日付)</t>
  </si>
  <si>
    <t>MONTH(TMP.日付)</t>
  </si>
  <si>
    <t>ISNULL(TMP.物件種別,0)</t>
  </si>
  <si>
    <t>物件種類</t>
  </si>
  <si>
    <t>CASE WHEN BK.物件番号 IS NULL THEN 0 ELSE 1 END</t>
    <phoneticPr fontId="2"/>
  </si>
  <si>
    <t>COALESCE(BK.物件番号,UH.見積番号)</t>
    <phoneticPr fontId="2"/>
  </si>
  <si>
    <t>MSM.作業区分CD</t>
    <phoneticPr fontId="2"/>
  </si>
  <si>
    <t>COALESCE(BK.物件名,MH.見積件名)</t>
    <phoneticPr fontId="2"/>
  </si>
  <si>
    <t>COALESCE(BK.得意先CD,MH.得意先CD)</t>
    <phoneticPr fontId="2"/>
  </si>
  <si>
    <t>COALESCE(BK.納入得意先CD,MH.納入得意先CD)</t>
    <phoneticPr fontId="2"/>
  </si>
  <si>
    <t>COALESCE(BK.納入先CD,MH.納入先CD)</t>
    <phoneticPr fontId="2"/>
  </si>
  <si>
    <t>COALESCE(BK.納入先名1,MH.納入先名1)</t>
    <phoneticPr fontId="2"/>
  </si>
  <si>
    <t>COALESCE(BK.納入先名2,MH.納入先名2)</t>
    <phoneticPr fontId="2"/>
  </si>
  <si>
    <t>MAX(MH.現場名)</t>
    <phoneticPr fontId="2"/>
  </si>
  <si>
    <t>MIN(ISNULL(MH.物件種別,0))</t>
    <phoneticPr fontId="2"/>
  </si>
  <si>
    <t>MAX(UH.売上日付)</t>
    <phoneticPr fontId="2"/>
  </si>
  <si>
    <t>SUM(CASE WHEN UM.売上税区分 = 1 THEN (UM.売上金額-UM.消費税額) ELSE UM.売上金額 END)</t>
    <phoneticPr fontId="2"/>
  </si>
  <si>
    <t>, CASE WHEN BK.物件番号 IS NULL THEN 0 ELSE 1 END</t>
    <phoneticPr fontId="2"/>
  </si>
  <si>
    <t>, COALESCE(BK.物件番号,UH.見積番号)</t>
    <phoneticPr fontId="2"/>
  </si>
  <si>
    <t>, COALESCE(BK.物件名,MH.見積件名)</t>
    <phoneticPr fontId="2"/>
  </si>
  <si>
    <t>, COALESCE(BK.得意先CD,MH.得意先CD)</t>
    <phoneticPr fontId="2"/>
  </si>
  <si>
    <t>, COALESCE(BK.納入得意先CD,MH.納入得意先CD)</t>
    <phoneticPr fontId="2"/>
  </si>
  <si>
    <t>, COALESCE(BK.納入先CD,MH.納入先CD)</t>
    <phoneticPr fontId="2"/>
  </si>
  <si>
    <t>, COALESCE(BK.納入先名1,MH.納入先名1)</t>
    <phoneticPr fontId="2"/>
  </si>
  <si>
    <t>, COALESCE(BK.納入先名2,MH.納入先名2)</t>
    <phoneticPr fontId="2"/>
  </si>
  <si>
    <t>A.物件種類 = B.物件種類</t>
    <phoneticPr fontId="2"/>
  </si>
  <si>
    <t>AND</t>
    <phoneticPr fontId="2"/>
  </si>
  <si>
    <t>物件種類</t>
    <rPh sb="2" eb="4">
      <t>シュルイ</t>
    </rPh>
    <phoneticPr fontId="2"/>
  </si>
  <si>
    <t>B.見積番号</t>
    <phoneticPr fontId="2"/>
  </si>
  <si>
    <t>B.物件種類</t>
    <rPh sb="4" eb="6">
      <t>シュルイ</t>
    </rPh>
    <phoneticPr fontId="2"/>
  </si>
  <si>
    <t>SQL3</t>
    <phoneticPr fontId="2"/>
  </si>
  <si>
    <t>合計情報を追加</t>
    <phoneticPr fontId="2"/>
  </si>
  <si>
    <t>コールセンター以外の合計を作成</t>
    <phoneticPr fontId="2"/>
  </si>
  <si>
    <t>CASE WHEN BK.物件番号 IS NULL THEN 0 ELSE 1 END</t>
    <phoneticPr fontId="2"/>
  </si>
  <si>
    <t>COALESCE(BK.物件番号,UH.見積番号)</t>
    <phoneticPr fontId="2"/>
  </si>
  <si>
    <t>MSM.作業区分CD</t>
    <phoneticPr fontId="2"/>
  </si>
  <si>
    <t>COALESCE(BK.物件名,MH.見積件名)</t>
    <phoneticPr fontId="2"/>
  </si>
  <si>
    <t>COALESCE(BK.得意先CD,MH.得意先CD)</t>
    <phoneticPr fontId="2"/>
  </si>
  <si>
    <t>COALESCE(BK.納入得意先CD,MH.納入得意先CD)</t>
    <phoneticPr fontId="2"/>
  </si>
  <si>
    <t>COALESCE(BK.納入先CD,MH.納入先CD)</t>
    <phoneticPr fontId="2"/>
  </si>
  <si>
    <t>COALESCE(BK.納入先名1,MH.納入先名1)</t>
    <phoneticPr fontId="2"/>
  </si>
  <si>
    <t>COALESCE(BK.納入先名2,MH.納入先名2)</t>
    <phoneticPr fontId="2"/>
  </si>
  <si>
    <t>MAX(MH.現場名)</t>
    <phoneticPr fontId="2"/>
  </si>
  <si>
    <t>MIN(ISNULL(MH.物件種別,0))</t>
    <phoneticPr fontId="2"/>
  </si>
  <si>
    <t>MAX(UH.売上日付)</t>
    <phoneticPr fontId="2"/>
  </si>
  <si>
    <t>SUM(CASE WHEN UM.売上税区分 = 1 THEN (UM.売上金額-UM.消費税額) ELSE UM.売上金額 END)</t>
    <phoneticPr fontId="2"/>
  </si>
  <si>
    <t>where</t>
    <phoneticPr fontId="2"/>
  </si>
  <si>
    <t>, COALESCE(BK.物件番号,UH.見積番号)</t>
    <phoneticPr fontId="2"/>
  </si>
  <si>
    <t>物件種類</t>
    <phoneticPr fontId="2"/>
  </si>
  <si>
    <t>TMP.物件種類</t>
    <phoneticPr fontId="2"/>
  </si>
  <si>
    <t>MAX(TMP.見積件名)</t>
    <phoneticPr fontId="2"/>
  </si>
  <si>
    <t>""</t>
    <phoneticPr fontId="2"/>
  </si>
  <si>
    <t>TMP.物件種類</t>
    <rPh sb="4" eb="8">
      <t>ブッケンシュルイ</t>
    </rPh>
    <phoneticPr fontId="2"/>
  </si>
  <si>
    <t>[作業区分CD] = 1 の場合"工事" 
[作業区分CD] = 2 の場合"コール"
[作業区分CD] = 3 の場合"内装"
[作業区分CD] = 4 の場合"ｸﾚｰﾑ"
上記以外の場合は""</t>
    <rPh sb="88" eb="92">
      <t>ジョウキイガイ</t>
    </rPh>
    <rPh sb="93" eb="95">
      <t>バアイ</t>
    </rPh>
    <phoneticPr fontId="1"/>
  </si>
  <si>
    <t>[物件種別] = 0 の場合"新店"
[物件種別] = 1 の場合"改装"
[物件種別] = 2 の場合"メンテナンス"
[物件種別] = 3 の場合"補充（しまむら用）"
[物件種別] = 4 の場合"内装"
[物件種別] = 5 の場合 "その他"
[物件種別] = 0 の場合6 "委託"</t>
    <rPh sb="12" eb="14">
      <t>バアイ</t>
    </rPh>
    <phoneticPr fontId="1"/>
  </si>
  <si>
    <t>SQL5.見積番号</t>
    <rPh sb="5" eb="7">
      <t>ミツモリ</t>
    </rPh>
    <rPh sb="7" eb="9">
      <t>バンゴウ</t>
    </rPh>
    <phoneticPr fontId="1"/>
  </si>
  <si>
    <t>SQL5.作業区分CD</t>
    <phoneticPr fontId="1"/>
  </si>
  <si>
    <t>SQL5.見積件名</t>
    <phoneticPr fontId="1"/>
  </si>
  <si>
    <t>SQL5.得意先CD</t>
    <phoneticPr fontId="1"/>
  </si>
  <si>
    <t>SQL5.日付</t>
    <phoneticPr fontId="1"/>
  </si>
  <si>
    <t>SQL5.物件種別</t>
    <phoneticPr fontId="1"/>
  </si>
  <si>
    <t>SQL5.仕入金額</t>
    <rPh sb="5" eb="7">
      <t>シイレ</t>
    </rPh>
    <rPh sb="7" eb="9">
      <t>キンガク</t>
    </rPh>
    <phoneticPr fontId="1"/>
  </si>
  <si>
    <t>SQL5.税抜金額</t>
    <rPh sb="5" eb="6">
      <t>ゼイ</t>
    </rPh>
    <rPh sb="6" eb="7">
      <t>ヌ</t>
    </rPh>
    <rPh sb="7" eb="9">
      <t>キンガク</t>
    </rPh>
    <phoneticPr fontId="1"/>
  </si>
  <si>
    <t>TD売上請求H</t>
    <phoneticPr fontId="2"/>
  </si>
  <si>
    <t>TD見積_経過</t>
    <phoneticPr fontId="2"/>
  </si>
  <si>
    <t>join</t>
    <phoneticPr fontId="2"/>
  </si>
  <si>
    <t>INNER JOIN</t>
    <phoneticPr fontId="2"/>
  </si>
  <si>
    <t>TD売上請求H AS USH</t>
    <phoneticPr fontId="2"/>
  </si>
  <si>
    <t>TD見積_経過 AS MK</t>
    <phoneticPr fontId="2"/>
  </si>
  <si>
    <t>TMP.見積番号 = USH.見積番号</t>
    <rPh sb="4" eb="8">
      <t>ミツモリバンゴウ</t>
    </rPh>
    <rPh sb="15" eb="19">
      <t>ミツモリバンゴウ</t>
    </rPh>
    <phoneticPr fontId="2"/>
  </si>
  <si>
    <t>TMP.見積番号 = MK.見積番号</t>
    <rPh sb="4" eb="8">
      <t>ミツモリバンゴウ</t>
    </rPh>
    <phoneticPr fontId="2"/>
  </si>
  <si>
    <t>TD売上請求H.請求日付</t>
    <phoneticPr fontId="2"/>
  </si>
  <si>
    <t>TD見積_経過.請求予定日</t>
    <phoneticPr fontId="2"/>
  </si>
  <si>
    <t>請求日付</t>
    <phoneticPr fontId="2"/>
  </si>
  <si>
    <t>請求予定日</t>
    <phoneticPr fontId="2"/>
  </si>
  <si>
    <t>SQL5.請求日付</t>
    <rPh sb="5" eb="9">
      <t>セイキュウヒヅケ</t>
    </rPh>
    <phoneticPr fontId="1"/>
  </si>
  <si>
    <t>SQL5.請求予定日</t>
    <rPh sb="5" eb="10">
      <t>セイキュウヨテイビ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</si>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</sst>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_);_(* \(#,##0\);_(* &quot;-&quot;_);_(@_)"/>
    <numFmt numFmtId="177" formatCode="0.0_ "/>
    <numFmt numFmtId="178" formatCode="[$-F800]dddd\,\ mmmm\ dd\,\ yyyy"/>
    <numFmt numFmtId="179" formatCode="m&quot;月&quot;;@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u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4" fillId="0" borderId="0" xfId="2" applyFont="1" applyFill="1" applyAlignment="1">
      <alignment vertical="center" shrinkToFit="1"/>
    </xf>
    <xf numFmtId="0" fontId="9" fillId="0" borderId="0" xfId="2" applyFont="1" applyFill="1" applyAlignment="1">
      <alignment vertical="center" shrinkToFit="1"/>
    </xf>
    <xf numFmtId="0" fontId="4" fillId="0" borderId="0" xfId="2" applyFont="1" applyFill="1" applyAlignment="1">
      <alignment horizontal="center" vertical="center" shrinkToFit="1"/>
    </xf>
    <xf numFmtId="0" fontId="11" fillId="0" borderId="0" xfId="2" applyFont="1" applyFill="1" applyAlignment="1">
      <alignment horizontal="center" vertical="center" shrinkToFit="1"/>
    </xf>
    <xf numFmtId="0" fontId="12" fillId="0" borderId="0" xfId="2" applyFont="1" applyFill="1" applyAlignment="1">
      <alignment shrinkToFit="1"/>
    </xf>
    <xf numFmtId="178" fontId="14" fillId="0" borderId="0" xfId="2" applyNumberFormat="1" applyFont="1" applyFill="1" applyBorder="1" applyAlignment="1">
      <alignment horizontal="right" shrinkToFit="1"/>
    </xf>
    <xf numFmtId="0" fontId="12" fillId="0" borderId="42" xfId="2" applyFont="1" applyFill="1" applyBorder="1" applyAlignment="1">
      <alignment horizontal="center" vertical="center" shrinkToFit="1"/>
    </xf>
    <xf numFmtId="0" fontId="12" fillId="0" borderId="43" xfId="2" applyFont="1" applyFill="1" applyBorder="1" applyAlignment="1">
      <alignment horizontal="center" vertical="center" shrinkToFit="1"/>
    </xf>
    <xf numFmtId="0" fontId="12" fillId="0" borderId="44" xfId="2" applyFont="1" applyFill="1" applyBorder="1" applyAlignment="1">
      <alignment horizontal="center" vertical="center" shrinkToFit="1"/>
    </xf>
    <xf numFmtId="0" fontId="12" fillId="0" borderId="45" xfId="2" applyFont="1" applyFill="1" applyBorder="1" applyAlignment="1">
      <alignment horizontal="center" vertical="center" shrinkToFit="1"/>
    </xf>
    <xf numFmtId="10" fontId="12" fillId="0" borderId="46" xfId="2" applyNumberFormat="1" applyFont="1" applyFill="1" applyBorder="1" applyAlignment="1">
      <alignment horizontal="center" vertical="center" shrinkToFit="1"/>
    </xf>
    <xf numFmtId="0" fontId="4" fillId="0" borderId="0" xfId="2" applyFont="1" applyFill="1" applyBorder="1" applyAlignment="1">
      <alignment vertical="center" shrinkToFit="1"/>
    </xf>
    <xf numFmtId="0" fontId="4" fillId="0" borderId="47" xfId="2" applyFont="1" applyFill="1" applyBorder="1" applyAlignment="1">
      <alignment horizontal="center" vertical="center" shrinkToFit="1"/>
    </xf>
    <xf numFmtId="0" fontId="4" fillId="0" borderId="48" xfId="2" applyFont="1" applyFill="1" applyBorder="1" applyAlignment="1">
      <alignment horizontal="center" vertical="center" shrinkToFit="1"/>
    </xf>
    <xf numFmtId="0" fontId="4" fillId="0" borderId="49" xfId="2" applyFont="1" applyFill="1" applyBorder="1" applyAlignment="1">
      <alignment horizontal="center" vertical="center" shrinkToFit="1"/>
    </xf>
    <xf numFmtId="176" fontId="4" fillId="0" borderId="49" xfId="2" applyNumberFormat="1" applyFont="1" applyFill="1" applyBorder="1" applyAlignment="1">
      <alignment horizontal="center" vertical="center" shrinkToFit="1"/>
    </xf>
    <xf numFmtId="176" fontId="4" fillId="0" borderId="49" xfId="2" applyNumberFormat="1" applyFont="1" applyFill="1" applyBorder="1" applyAlignment="1">
      <alignment horizontal="right" vertical="center" shrinkToFit="1"/>
    </xf>
    <xf numFmtId="10" fontId="4" fillId="0" borderId="50" xfId="3" applyNumberFormat="1" applyFont="1" applyFill="1" applyBorder="1" applyAlignment="1">
      <alignment vertical="center" shrinkToFit="1"/>
    </xf>
    <xf numFmtId="0" fontId="4" fillId="0" borderId="51" xfId="2" applyFont="1" applyBorder="1" applyAlignment="1">
      <alignment vertical="center" shrinkToFit="1"/>
    </xf>
    <xf numFmtId="0" fontId="4" fillId="0" borderId="8" xfId="2" applyFont="1" applyBorder="1" applyAlignment="1">
      <alignment vertical="center" shrinkToFit="1"/>
    </xf>
    <xf numFmtId="49" fontId="4" fillId="0" borderId="8" xfId="2" applyNumberFormat="1" applyFont="1" applyBorder="1" applyAlignment="1">
      <alignment vertical="center" shrinkToFit="1"/>
    </xf>
    <xf numFmtId="179" fontId="4" fillId="0" borderId="9" xfId="2" applyNumberFormat="1" applyFont="1" applyBorder="1" applyAlignment="1">
      <alignment horizontal="center" vertical="center" shrinkToFit="1"/>
    </xf>
    <xf numFmtId="0" fontId="4" fillId="0" borderId="9" xfId="2" applyFont="1" applyBorder="1" applyAlignment="1">
      <alignment horizontal="center" vertical="center" shrinkToFit="1"/>
    </xf>
    <xf numFmtId="38" fontId="4" fillId="0" borderId="9" xfId="4" applyFont="1" applyBorder="1" applyAlignment="1">
      <alignment vertical="center" shrinkToFit="1"/>
    </xf>
    <xf numFmtId="10" fontId="4" fillId="0" borderId="52" xfId="3" applyNumberFormat="1" applyFont="1" applyFill="1" applyBorder="1" applyAlignment="1">
      <alignment vertical="center" shrinkToFit="1"/>
    </xf>
    <xf numFmtId="0" fontId="4" fillId="0" borderId="53" xfId="2" applyFont="1" applyBorder="1" applyAlignment="1">
      <alignment vertical="center" shrinkToFit="1"/>
    </xf>
    <xf numFmtId="0" fontId="4" fillId="0" borderId="54" xfId="2" applyFont="1" applyBorder="1" applyAlignment="1">
      <alignment vertical="center" shrinkToFit="1"/>
    </xf>
    <xf numFmtId="49" fontId="4" fillId="0" borderId="54" xfId="2" applyNumberFormat="1" applyFont="1" applyBorder="1" applyAlignment="1">
      <alignment vertical="center" shrinkToFit="1"/>
    </xf>
    <xf numFmtId="179" fontId="4" fillId="0" borderId="55" xfId="2" applyNumberFormat="1" applyFont="1" applyBorder="1" applyAlignment="1">
      <alignment horizontal="center" vertical="center" shrinkToFit="1"/>
    </xf>
    <xf numFmtId="0" fontId="4" fillId="0" borderId="55" xfId="2" applyFont="1" applyBorder="1" applyAlignment="1">
      <alignment horizontal="center" vertical="center" shrinkToFit="1"/>
    </xf>
    <xf numFmtId="38" fontId="4" fillId="0" borderId="55" xfId="4" applyFont="1" applyFill="1" applyBorder="1" applyAlignment="1">
      <alignment vertical="center" shrinkToFit="1"/>
    </xf>
    <xf numFmtId="38" fontId="4" fillId="0" borderId="55" xfId="4" applyFont="1" applyBorder="1" applyAlignment="1">
      <alignment vertical="center" shrinkToFit="1"/>
    </xf>
    <xf numFmtId="10" fontId="4" fillId="0" borderId="56" xfId="3" applyNumberFormat="1" applyFont="1" applyFill="1" applyBorder="1" applyAlignment="1">
      <alignment vertical="center" shrinkToFit="1"/>
    </xf>
    <xf numFmtId="10" fontId="4" fillId="0" borderId="0" xfId="2" applyNumberFormat="1" applyFont="1" applyFill="1" applyAlignment="1">
      <alignment horizontal="center" vertical="center" shrinkToFit="1"/>
    </xf>
    <xf numFmtId="0" fontId="4" fillId="0" borderId="0" xfId="2" applyNumberFormat="1" applyFont="1" applyFill="1" applyAlignment="1">
      <alignment vertical="center" shrinkToFit="1"/>
    </xf>
    <xf numFmtId="0" fontId="3" fillId="2" borderId="67" xfId="0" applyFont="1" applyFill="1" applyBorder="1" applyAlignment="1">
      <alignment horizontal="left" vertical="center"/>
    </xf>
    <xf numFmtId="0" fontId="3" fillId="2" borderId="6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0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74" xfId="0" quotePrefix="1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6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7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8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6" fillId="2" borderId="74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74" xfId="0" applyFont="1" applyFill="1" applyBorder="1">
      <alignment vertical="center"/>
    </xf>
    <xf numFmtId="0" fontId="15" fillId="2" borderId="74" xfId="0" quotePrefix="1" applyFont="1" applyFill="1" applyBorder="1">
      <alignment vertical="center"/>
    </xf>
    <xf numFmtId="0" fontId="3" fillId="2" borderId="74" xfId="0" quotePrefix="1" applyFont="1" applyFill="1" applyBorder="1" applyAlignment="1">
      <alignment vertical="center"/>
    </xf>
    <xf numFmtId="0" fontId="3" fillId="2" borderId="79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80" xfId="0" applyFont="1" applyFill="1" applyBorder="1">
      <alignment vertical="center"/>
    </xf>
    <xf numFmtId="0" fontId="15" fillId="2" borderId="0" xfId="0" applyFont="1" applyFill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72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5" fillId="2" borderId="5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0" borderId="0" xfId="2" applyFont="1" applyBorder="1" applyAlignment="1">
      <alignment vertical="center" shrinkToFit="1"/>
    </xf>
    <xf numFmtId="0" fontId="12" fillId="0" borderId="81" xfId="2" applyFont="1" applyFill="1" applyBorder="1" applyAlignment="1">
      <alignment horizontal="center" vertical="center" shrinkToFit="1"/>
    </xf>
    <xf numFmtId="176" fontId="4" fillId="0" borderId="48" xfId="2" applyNumberFormat="1" applyFont="1" applyFill="1" applyBorder="1" applyAlignment="1">
      <alignment horizontal="right" vertical="center" shrinkToFit="1"/>
    </xf>
    <xf numFmtId="38" fontId="4" fillId="0" borderId="8" xfId="4" applyFont="1" applyBorder="1" applyAlignment="1">
      <alignment vertical="center" shrinkToFit="1"/>
    </xf>
    <xf numFmtId="38" fontId="4" fillId="0" borderId="54" xfId="4" applyFont="1" applyBorder="1" applyAlignment="1">
      <alignment vertical="center" shrinkToFit="1"/>
    </xf>
    <xf numFmtId="10" fontId="12" fillId="0" borderId="44" xfId="2" applyNumberFormat="1" applyFont="1" applyFill="1" applyBorder="1" applyAlignment="1">
      <alignment horizontal="center" vertical="center" shrinkToFit="1"/>
    </xf>
    <xf numFmtId="10" fontId="4" fillId="0" borderId="49" xfId="3" applyNumberFormat="1" applyFont="1" applyFill="1" applyBorder="1" applyAlignment="1">
      <alignment vertical="center" shrinkToFit="1"/>
    </xf>
    <xf numFmtId="10" fontId="4" fillId="0" borderId="9" xfId="3" applyNumberFormat="1" applyFont="1" applyFill="1" applyBorder="1" applyAlignment="1">
      <alignment vertical="center" shrinkToFit="1"/>
    </xf>
    <xf numFmtId="10" fontId="4" fillId="0" borderId="55" xfId="3" applyNumberFormat="1" applyFont="1" applyFill="1" applyBorder="1" applyAlignment="1">
      <alignment vertical="center" shrinkToFit="1"/>
    </xf>
    <xf numFmtId="0" fontId="3" fillId="2" borderId="60" xfId="0" applyFont="1" applyFill="1" applyBorder="1" applyAlignment="1">
      <alignment vertical="center"/>
    </xf>
    <xf numFmtId="49" fontId="3" fillId="2" borderId="70" xfId="0" quotePrefix="1" applyNumberFormat="1" applyFont="1" applyFill="1" applyBorder="1" applyAlignment="1">
      <alignment vertical="center"/>
    </xf>
    <xf numFmtId="0" fontId="3" fillId="2" borderId="59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49" fontId="3" fillId="2" borderId="68" xfId="0" quotePrefix="1" applyNumberFormat="1" applyFont="1" applyFill="1" applyBorder="1" applyAlignment="1">
      <alignment vertical="center"/>
    </xf>
    <xf numFmtId="49" fontId="3" fillId="2" borderId="71" xfId="0" quotePrefix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68" xfId="0" applyFont="1" applyFill="1" applyBorder="1" applyAlignment="1">
      <alignment vertical="top" wrapText="1"/>
    </xf>
    <xf numFmtId="0" fontId="3" fillId="2" borderId="69" xfId="0" applyFont="1" applyFill="1" applyBorder="1" applyAlignment="1">
      <alignment vertical="top" wrapText="1"/>
    </xf>
    <xf numFmtId="0" fontId="3" fillId="2" borderId="67" xfId="0" applyFont="1" applyFill="1" applyBorder="1" applyAlignment="1">
      <alignment vertical="top"/>
    </xf>
    <xf numFmtId="0" fontId="3" fillId="2" borderId="68" xfId="0" applyFont="1" applyFill="1" applyBorder="1" applyAlignment="1">
      <alignment vertical="center"/>
    </xf>
    <xf numFmtId="0" fontId="3" fillId="2" borderId="69" xfId="0" applyFont="1" applyFill="1" applyBorder="1" applyAlignment="1">
      <alignment vertical="center"/>
    </xf>
    <xf numFmtId="0" fontId="3" fillId="2" borderId="2" xfId="0" applyFont="1" applyFill="1" applyBorder="1" applyAlignment="1">
      <alignment vertical="top"/>
    </xf>
    <xf numFmtId="0" fontId="3" fillId="2" borderId="4" xfId="0" applyFont="1" applyFill="1" applyBorder="1">
      <alignment vertical="center"/>
    </xf>
    <xf numFmtId="49" fontId="3" fillId="2" borderId="2" xfId="0" quotePrefix="1" applyNumberFormat="1" applyFont="1" applyFill="1" applyBorder="1" applyAlignment="1">
      <alignment vertical="center"/>
    </xf>
    <xf numFmtId="49" fontId="3" fillId="2" borderId="3" xfId="0" quotePrefix="1" applyNumberFormat="1" applyFont="1" applyFill="1" applyBorder="1" applyAlignment="1">
      <alignment vertical="center"/>
    </xf>
    <xf numFmtId="49" fontId="3" fillId="2" borderId="76" xfId="0" quotePrefix="1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7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9" fontId="3" fillId="2" borderId="74" xfId="0" quotePrefix="1" applyNumberFormat="1" applyFont="1" applyFill="1" applyBorder="1" applyAlignment="1">
      <alignment vertical="center"/>
    </xf>
    <xf numFmtId="49" fontId="3" fillId="2" borderId="0" xfId="0" quotePrefix="1" applyNumberFormat="1" applyFont="1" applyFill="1" applyBorder="1" applyAlignment="1">
      <alignment vertical="center"/>
    </xf>
    <xf numFmtId="49" fontId="3" fillId="2" borderId="75" xfId="0" quotePrefix="1" applyNumberFormat="1" applyFont="1" applyFill="1" applyBorder="1" applyAlignment="1">
      <alignment vertical="center"/>
    </xf>
    <xf numFmtId="0" fontId="3" fillId="2" borderId="7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8" fillId="2" borderId="74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8" fillId="2" borderId="77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0" fontId="3" fillId="2" borderId="5" xfId="0" applyNumberFormat="1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66" xfId="0" applyFont="1" applyFill="1" applyBorder="1" applyAlignment="1">
      <alignment horizontal="center" vertical="center" shrinkToFit="1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14" fontId="3" fillId="2" borderId="55" xfId="0" applyNumberFormat="1" applyFont="1" applyFill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6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67" xfId="0" applyFont="1" applyFill="1" applyBorder="1" applyAlignment="1">
      <alignment horizontal="left" vertical="top" wrapText="1"/>
    </xf>
    <xf numFmtId="0" fontId="3" fillId="2" borderId="68" xfId="0" applyFont="1" applyFill="1" applyBorder="1" applyAlignment="1">
      <alignment horizontal="left" vertical="top" wrapText="1"/>
    </xf>
    <xf numFmtId="0" fontId="3" fillId="2" borderId="69" xfId="0" applyFont="1" applyFill="1" applyBorder="1" applyAlignment="1">
      <alignment horizontal="left" vertical="top" wrapText="1"/>
    </xf>
    <xf numFmtId="0" fontId="3" fillId="2" borderId="59" xfId="0" applyFont="1" applyFill="1" applyBorder="1" applyAlignment="1">
      <alignment horizontal="left" vertical="center" wrapText="1"/>
    </xf>
    <xf numFmtId="0" fontId="3" fillId="2" borderId="60" xfId="0" applyFont="1" applyFill="1" applyBorder="1" applyAlignment="1">
      <alignment horizontal="left" vertical="center" wrapText="1"/>
    </xf>
    <xf numFmtId="0" fontId="3" fillId="2" borderId="61" xfId="0" applyFont="1" applyFill="1" applyBorder="1" applyAlignment="1">
      <alignment horizontal="left" vertical="center" wrapText="1"/>
    </xf>
    <xf numFmtId="49" fontId="3" fillId="2" borderId="70" xfId="0" quotePrefix="1" applyNumberFormat="1" applyFont="1" applyFill="1" applyBorder="1" applyAlignment="1">
      <alignment horizontal="left" vertical="center" wrapText="1"/>
    </xf>
    <xf numFmtId="49" fontId="3" fillId="2" borderId="68" xfId="0" quotePrefix="1" applyNumberFormat="1" applyFont="1" applyFill="1" applyBorder="1" applyAlignment="1">
      <alignment horizontal="left" vertical="center" wrapText="1"/>
    </xf>
    <xf numFmtId="49" fontId="3" fillId="2" borderId="71" xfId="0" quotePrefix="1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72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73" xfId="0" applyFont="1" applyFill="1" applyBorder="1" applyAlignment="1">
      <alignment horizontal="left" vertical="top" wrapText="1"/>
    </xf>
    <xf numFmtId="49" fontId="3" fillId="2" borderId="2" xfId="0" quotePrefix="1" applyNumberFormat="1" applyFont="1" applyFill="1" applyBorder="1" applyAlignment="1">
      <alignment horizontal="left" vertical="center" wrapText="1"/>
    </xf>
    <xf numFmtId="49" fontId="3" fillId="2" borderId="3" xfId="0" quotePrefix="1" applyNumberFormat="1" applyFont="1" applyFill="1" applyBorder="1" applyAlignment="1">
      <alignment horizontal="left" vertical="center" wrapText="1"/>
    </xf>
    <xf numFmtId="49" fontId="3" fillId="2" borderId="76" xfId="0" quotePrefix="1" applyNumberFormat="1" applyFont="1" applyFill="1" applyBorder="1" applyAlignment="1">
      <alignment horizontal="left" vertical="center" wrapText="1"/>
    </xf>
    <xf numFmtId="178" fontId="13" fillId="0" borderId="41" xfId="2" applyNumberFormat="1" applyFont="1" applyFill="1" applyBorder="1" applyAlignment="1">
      <alignment horizontal="right" shrinkToFit="1"/>
    </xf>
    <xf numFmtId="0" fontId="4" fillId="0" borderId="41" xfId="2" applyFont="1" applyBorder="1" applyAlignment="1">
      <alignment vertical="center" shrinkToFit="1"/>
    </xf>
  </cellXfs>
  <cellStyles count="5">
    <cellStyle name="パーセント 2" xfId="3"/>
    <cellStyle name="桁区切り 2" xfId="4"/>
    <cellStyle name="標準" xfId="0" builtinId="0"/>
    <cellStyle name="標準 2" xfId="2"/>
    <cellStyle name="標準 2 2" xfId="1"/>
  </cellStyles>
  <dxfs count="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3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7</xdr:row>
      <xdr:rowOff>243840</xdr:rowOff>
    </xdr:from>
    <xdr:to>
      <xdr:col>52</xdr:col>
      <xdr:colOff>278162</xdr:colOff>
      <xdr:row>22</xdr:row>
      <xdr:rowOff>206261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" y="1623060"/>
          <a:ext cx="13879862" cy="3734321"/>
        </a:xfrm>
        <a:prstGeom prst="rect">
          <a:avLst/>
        </a:prstGeom>
      </xdr:spPr>
    </xdr:pic>
    <xdr:clientData/>
  </xdr:twoCellAnchor>
  <xdr:twoCellAnchor>
    <xdr:from>
      <xdr:col>35</xdr:col>
      <xdr:colOff>27438</xdr:colOff>
      <xdr:row>13</xdr:row>
      <xdr:rowOff>181338</xdr:rowOff>
    </xdr:from>
    <xdr:to>
      <xdr:col>36</xdr:col>
      <xdr:colOff>86302</xdr:colOff>
      <xdr:row>15</xdr:row>
      <xdr:rowOff>33493</xdr:rowOff>
    </xdr:to>
    <xdr:sp macro="" textlink="">
      <xdr:nvSpPr>
        <xdr:cNvPr id="3" name="正方形/長方形 2"/>
        <xdr:cNvSpPr/>
      </xdr:nvSpPr>
      <xdr:spPr>
        <a:xfrm>
          <a:off x="9697218" y="3069318"/>
          <a:ext cx="340804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153079</xdr:colOff>
      <xdr:row>13</xdr:row>
      <xdr:rowOff>204728</xdr:rowOff>
    </xdr:from>
    <xdr:to>
      <xdr:col>30</xdr:col>
      <xdr:colOff>213538</xdr:colOff>
      <xdr:row>15</xdr:row>
      <xdr:rowOff>56883</xdr:rowOff>
    </xdr:to>
    <xdr:sp macro="" textlink="">
      <xdr:nvSpPr>
        <xdr:cNvPr id="6" name="正方形/長方形 5"/>
        <xdr:cNvSpPr/>
      </xdr:nvSpPr>
      <xdr:spPr>
        <a:xfrm>
          <a:off x="8131219" y="3092708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113915</xdr:colOff>
      <xdr:row>13</xdr:row>
      <xdr:rowOff>176021</xdr:rowOff>
    </xdr:from>
    <xdr:to>
      <xdr:col>7</xdr:col>
      <xdr:colOff>174375</xdr:colOff>
      <xdr:row>15</xdr:row>
      <xdr:rowOff>28176</xdr:rowOff>
    </xdr:to>
    <xdr:sp macro="" textlink="">
      <xdr:nvSpPr>
        <xdr:cNvPr id="7" name="正方形/長方形 6"/>
        <xdr:cNvSpPr/>
      </xdr:nvSpPr>
      <xdr:spPr>
        <a:xfrm>
          <a:off x="1607435" y="3064001"/>
          <a:ext cx="342400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34703</xdr:colOff>
      <xdr:row>13</xdr:row>
      <xdr:rowOff>193033</xdr:rowOff>
    </xdr:from>
    <xdr:to>
      <xdr:col>41</xdr:col>
      <xdr:colOff>95162</xdr:colOff>
      <xdr:row>15</xdr:row>
      <xdr:rowOff>45188</xdr:rowOff>
    </xdr:to>
    <xdr:sp macro="" textlink="">
      <xdr:nvSpPr>
        <xdr:cNvPr id="8" name="正方形/長方形 7"/>
        <xdr:cNvSpPr/>
      </xdr:nvSpPr>
      <xdr:spPr>
        <a:xfrm>
          <a:off x="11114183" y="3081013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94953</xdr:colOff>
      <xdr:row>10</xdr:row>
      <xdr:rowOff>24862</xdr:rowOff>
    </xdr:from>
    <xdr:to>
      <xdr:col>29</xdr:col>
      <xdr:colOff>155412</xdr:colOff>
      <xdr:row>11</xdr:row>
      <xdr:rowOff>128477</xdr:rowOff>
    </xdr:to>
    <xdr:sp macro="" textlink="">
      <xdr:nvSpPr>
        <xdr:cNvPr id="9" name="正方形/長方形 8"/>
        <xdr:cNvSpPr/>
      </xdr:nvSpPr>
      <xdr:spPr>
        <a:xfrm>
          <a:off x="7791153" y="2158462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</a:p>
      </xdr:txBody>
    </xdr:sp>
    <xdr:clientData/>
  </xdr:twoCellAnchor>
  <xdr:twoCellAnchor>
    <xdr:from>
      <xdr:col>37</xdr:col>
      <xdr:colOff>25310</xdr:colOff>
      <xdr:row>10</xdr:row>
      <xdr:rowOff>25393</xdr:rowOff>
    </xdr:from>
    <xdr:to>
      <xdr:col>38</xdr:col>
      <xdr:colOff>85770</xdr:colOff>
      <xdr:row>11</xdr:row>
      <xdr:rowOff>129008</xdr:rowOff>
    </xdr:to>
    <xdr:sp macro="" textlink="">
      <xdr:nvSpPr>
        <xdr:cNvPr id="10" name="正方形/長方形 9"/>
        <xdr:cNvSpPr/>
      </xdr:nvSpPr>
      <xdr:spPr>
        <a:xfrm>
          <a:off x="10258970" y="2158993"/>
          <a:ext cx="342400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36297</xdr:colOff>
      <xdr:row>13</xdr:row>
      <xdr:rowOff>198349</xdr:rowOff>
    </xdr:from>
    <xdr:to>
      <xdr:col>15</xdr:col>
      <xdr:colOff>96756</xdr:colOff>
      <xdr:row>15</xdr:row>
      <xdr:rowOff>50504</xdr:rowOff>
    </xdr:to>
    <xdr:sp macro="" textlink="">
      <xdr:nvSpPr>
        <xdr:cNvPr id="11" name="正方形/長方形 10"/>
        <xdr:cNvSpPr/>
      </xdr:nvSpPr>
      <xdr:spPr>
        <a:xfrm>
          <a:off x="3785337" y="3086329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65359</xdr:colOff>
      <xdr:row>13</xdr:row>
      <xdr:rowOff>198882</xdr:rowOff>
    </xdr:from>
    <xdr:to>
      <xdr:col>11</xdr:col>
      <xdr:colOff>125818</xdr:colOff>
      <xdr:row>15</xdr:row>
      <xdr:rowOff>51037</xdr:rowOff>
    </xdr:to>
    <xdr:sp macro="" textlink="">
      <xdr:nvSpPr>
        <xdr:cNvPr id="12" name="正方形/長方形 11"/>
        <xdr:cNvSpPr/>
      </xdr:nvSpPr>
      <xdr:spPr>
        <a:xfrm>
          <a:off x="2686639" y="3086862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20349</xdr:colOff>
      <xdr:row>15</xdr:row>
      <xdr:rowOff>227767</xdr:rowOff>
    </xdr:from>
    <xdr:to>
      <xdr:col>36</xdr:col>
      <xdr:colOff>79213</xdr:colOff>
      <xdr:row>17</xdr:row>
      <xdr:rowOff>79922</xdr:rowOff>
    </xdr:to>
    <xdr:sp macro="" textlink="">
      <xdr:nvSpPr>
        <xdr:cNvPr id="13" name="正方形/長方形 12"/>
        <xdr:cNvSpPr/>
      </xdr:nvSpPr>
      <xdr:spPr>
        <a:xfrm>
          <a:off x="9690129" y="3618667"/>
          <a:ext cx="340804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138370</xdr:colOff>
      <xdr:row>15</xdr:row>
      <xdr:rowOff>235917</xdr:rowOff>
    </xdr:from>
    <xdr:to>
      <xdr:col>30</xdr:col>
      <xdr:colOff>198829</xdr:colOff>
      <xdr:row>17</xdr:row>
      <xdr:rowOff>88072</xdr:rowOff>
    </xdr:to>
    <xdr:sp macro="" textlink="">
      <xdr:nvSpPr>
        <xdr:cNvPr id="14" name="正方形/長方形 13"/>
        <xdr:cNvSpPr/>
      </xdr:nvSpPr>
      <xdr:spPr>
        <a:xfrm>
          <a:off x="8116510" y="3626817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122066</xdr:colOff>
      <xdr:row>15</xdr:row>
      <xdr:rowOff>222450</xdr:rowOff>
    </xdr:from>
    <xdr:to>
      <xdr:col>7</xdr:col>
      <xdr:colOff>182526</xdr:colOff>
      <xdr:row>17</xdr:row>
      <xdr:rowOff>74605</xdr:rowOff>
    </xdr:to>
    <xdr:sp macro="" textlink="">
      <xdr:nvSpPr>
        <xdr:cNvPr id="15" name="正方形/長方形 14"/>
        <xdr:cNvSpPr/>
      </xdr:nvSpPr>
      <xdr:spPr>
        <a:xfrm>
          <a:off x="1615586" y="3613350"/>
          <a:ext cx="342400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35234</xdr:colOff>
      <xdr:row>15</xdr:row>
      <xdr:rowOff>239462</xdr:rowOff>
    </xdr:from>
    <xdr:to>
      <xdr:col>41</xdr:col>
      <xdr:colOff>95693</xdr:colOff>
      <xdr:row>17</xdr:row>
      <xdr:rowOff>91617</xdr:rowOff>
    </xdr:to>
    <xdr:sp macro="" textlink="">
      <xdr:nvSpPr>
        <xdr:cNvPr id="16" name="正方形/長方形 15"/>
        <xdr:cNvSpPr/>
      </xdr:nvSpPr>
      <xdr:spPr>
        <a:xfrm>
          <a:off x="11114714" y="3630362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29208</xdr:colOff>
      <xdr:row>15</xdr:row>
      <xdr:rowOff>238246</xdr:rowOff>
    </xdr:from>
    <xdr:to>
      <xdr:col>15</xdr:col>
      <xdr:colOff>89667</xdr:colOff>
      <xdr:row>17</xdr:row>
      <xdr:rowOff>90401</xdr:rowOff>
    </xdr:to>
    <xdr:sp macro="" textlink="">
      <xdr:nvSpPr>
        <xdr:cNvPr id="17" name="正方形/長方形 16"/>
        <xdr:cNvSpPr/>
      </xdr:nvSpPr>
      <xdr:spPr>
        <a:xfrm>
          <a:off x="3778248" y="3629146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65890</xdr:colOff>
      <xdr:row>15</xdr:row>
      <xdr:rowOff>230071</xdr:rowOff>
    </xdr:from>
    <xdr:to>
      <xdr:col>11</xdr:col>
      <xdr:colOff>126349</xdr:colOff>
      <xdr:row>17</xdr:row>
      <xdr:rowOff>82226</xdr:rowOff>
    </xdr:to>
    <xdr:sp macro="" textlink="">
      <xdr:nvSpPr>
        <xdr:cNvPr id="18" name="正方形/長方形 17"/>
        <xdr:cNvSpPr/>
      </xdr:nvSpPr>
      <xdr:spPr>
        <a:xfrm>
          <a:off x="2687170" y="3620971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15240</xdr:colOff>
      <xdr:row>13</xdr:row>
      <xdr:rowOff>205740</xdr:rowOff>
    </xdr:from>
    <xdr:to>
      <xdr:col>45</xdr:col>
      <xdr:colOff>75699</xdr:colOff>
      <xdr:row>15</xdr:row>
      <xdr:rowOff>57895</xdr:rowOff>
    </xdr:to>
    <xdr:sp macro="" textlink="">
      <xdr:nvSpPr>
        <xdr:cNvPr id="19" name="正方形/長方形 18"/>
        <xdr:cNvSpPr/>
      </xdr:nvSpPr>
      <xdr:spPr>
        <a:xfrm>
          <a:off x="12222480" y="3093720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</a:p>
      </xdr:txBody>
    </xdr:sp>
    <xdr:clientData/>
  </xdr:twoCellAnchor>
  <xdr:twoCellAnchor>
    <xdr:from>
      <xdr:col>48</xdr:col>
      <xdr:colOff>7620</xdr:colOff>
      <xdr:row>13</xdr:row>
      <xdr:rowOff>190500</xdr:rowOff>
    </xdr:from>
    <xdr:to>
      <xdr:col>49</xdr:col>
      <xdr:colOff>68079</xdr:colOff>
      <xdr:row>15</xdr:row>
      <xdr:rowOff>42655</xdr:rowOff>
    </xdr:to>
    <xdr:sp macro="" textlink="">
      <xdr:nvSpPr>
        <xdr:cNvPr id="20" name="正方形/長方形 19"/>
        <xdr:cNvSpPr/>
      </xdr:nvSpPr>
      <xdr:spPr>
        <a:xfrm>
          <a:off x="13342620" y="3078480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</a:p>
      </xdr:txBody>
    </xdr:sp>
    <xdr:clientData/>
  </xdr:twoCellAnchor>
  <xdr:twoCellAnchor>
    <xdr:from>
      <xdr:col>44</xdr:col>
      <xdr:colOff>15240</xdr:colOff>
      <xdr:row>15</xdr:row>
      <xdr:rowOff>228600</xdr:rowOff>
    </xdr:from>
    <xdr:to>
      <xdr:col>45</xdr:col>
      <xdr:colOff>75699</xdr:colOff>
      <xdr:row>17</xdr:row>
      <xdr:rowOff>80755</xdr:rowOff>
    </xdr:to>
    <xdr:sp macro="" textlink="">
      <xdr:nvSpPr>
        <xdr:cNvPr id="21" name="正方形/長方形 20"/>
        <xdr:cNvSpPr/>
      </xdr:nvSpPr>
      <xdr:spPr>
        <a:xfrm>
          <a:off x="12222480" y="3619500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</a:p>
      </xdr:txBody>
    </xdr:sp>
    <xdr:clientData/>
  </xdr:twoCellAnchor>
  <xdr:twoCellAnchor>
    <xdr:from>
      <xdr:col>48</xdr:col>
      <xdr:colOff>7620</xdr:colOff>
      <xdr:row>15</xdr:row>
      <xdr:rowOff>228600</xdr:rowOff>
    </xdr:from>
    <xdr:to>
      <xdr:col>49</xdr:col>
      <xdr:colOff>68079</xdr:colOff>
      <xdr:row>17</xdr:row>
      <xdr:rowOff>80755</xdr:rowOff>
    </xdr:to>
    <xdr:sp macro="" textlink="">
      <xdr:nvSpPr>
        <xdr:cNvPr id="22" name="正方形/長方形 21"/>
        <xdr:cNvSpPr/>
      </xdr:nvSpPr>
      <xdr:spPr>
        <a:xfrm>
          <a:off x="13342620" y="3619500"/>
          <a:ext cx="342399" cy="3550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410568</xdr:colOff>
      <xdr:row>45</xdr:row>
      <xdr:rowOff>58562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16168" cy="101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230" t="s">
        <v>0</v>
      </c>
      <c r="C2" s="213"/>
      <c r="D2" s="213"/>
      <c r="E2" s="213"/>
      <c r="F2" s="213"/>
      <c r="G2" s="213"/>
      <c r="H2" s="213" t="s">
        <v>17</v>
      </c>
      <c r="I2" s="213"/>
      <c r="J2" s="213"/>
      <c r="K2" s="213"/>
      <c r="L2" s="213" t="s">
        <v>394</v>
      </c>
      <c r="M2" s="213"/>
      <c r="N2" s="213"/>
      <c r="O2" s="213"/>
      <c r="P2" s="213"/>
      <c r="Q2" s="213"/>
      <c r="R2" s="213" t="s">
        <v>2</v>
      </c>
      <c r="S2" s="213"/>
      <c r="T2" s="213"/>
      <c r="U2" s="213"/>
      <c r="V2" s="213"/>
      <c r="W2" s="213"/>
      <c r="X2" s="225" t="s">
        <v>3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31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5</v>
      </c>
      <c r="AY2" s="213"/>
      <c r="AZ2" s="213"/>
      <c r="BA2" s="213"/>
      <c r="BB2" s="213" t="s">
        <v>4</v>
      </c>
      <c r="BC2" s="213"/>
      <c r="BD2" s="213"/>
      <c r="BE2" s="213"/>
      <c r="BF2" s="213" t="s">
        <v>6</v>
      </c>
      <c r="BG2" s="213"/>
      <c r="BH2" s="213"/>
      <c r="BI2" s="213"/>
      <c r="BJ2" s="213" t="s">
        <v>7</v>
      </c>
      <c r="BK2" s="213"/>
      <c r="BL2" s="213"/>
      <c r="BM2" s="214"/>
      <c r="BN2" s="14"/>
    </row>
    <row r="3" spans="1:66" ht="20.100000000000001" customHeight="1" x14ac:dyDescent="0.45">
      <c r="A3" s="8"/>
      <c r="B3" s="228" t="s">
        <v>392</v>
      </c>
      <c r="C3" s="216"/>
      <c r="D3" s="216"/>
      <c r="E3" s="216"/>
      <c r="F3" s="216"/>
      <c r="G3" s="216"/>
      <c r="H3" s="216" t="str">
        <f ca="1">LEFT($X$3,FIND("_",$X$3)-1)</f>
        <v>TK0500</v>
      </c>
      <c r="I3" s="216"/>
      <c r="J3" s="216"/>
      <c r="K3" s="216"/>
      <c r="L3" s="216" t="s">
        <v>393</v>
      </c>
      <c r="M3" s="216"/>
      <c r="N3" s="216"/>
      <c r="O3" s="216"/>
      <c r="P3" s="216"/>
      <c r="Q3" s="216"/>
      <c r="R3" s="229" t="str">
        <f ca="1">MID($X$3,FIND("_",$X$3,FIND("_",$X$3)+1)+1,LEN($X$3)-FIND("_",$X$3,FIND("_",$X$3)+1))</f>
        <v>帳票設計書</v>
      </c>
      <c r="S3" s="216"/>
      <c r="T3" s="216"/>
      <c r="U3" s="216"/>
      <c r="V3" s="216"/>
      <c r="W3" s="216"/>
      <c r="X3" s="219" t="str">
        <f ca="1">REPLACE(LEFT(CELL("filename",$B$2),FIND(".x",CELL("filename",$B$2))-1),1,FIND("[",CELL("filename",$B$2)),)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MID($X$3,FIND("_",$X$3)+1,FIND("_",$X$3,FIND("_",$X$3)+1)-FIND("_",$X$3)-1)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v>45581</v>
      </c>
      <c r="AY3" s="216"/>
      <c r="AZ3" s="216"/>
      <c r="BA3" s="216"/>
      <c r="BB3" s="216" t="s">
        <v>395</v>
      </c>
      <c r="BC3" s="216"/>
      <c r="BD3" s="216"/>
      <c r="BE3" s="216"/>
      <c r="BF3" s="215">
        <v>45581</v>
      </c>
      <c r="BG3" s="216"/>
      <c r="BH3" s="216"/>
      <c r="BI3" s="216"/>
      <c r="BJ3" s="216" t="s">
        <v>395</v>
      </c>
      <c r="BK3" s="216"/>
      <c r="BL3" s="216"/>
      <c r="BM3" s="218"/>
      <c r="BN3" s="14"/>
    </row>
    <row r="4" spans="1:66" ht="20.100000000000001" customHeight="1" thickBot="1" x14ac:dyDescent="0.5">
      <c r="A4" s="8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12" t="s">
        <v>8</v>
      </c>
      <c r="D8" s="212"/>
      <c r="E8" s="212"/>
      <c r="F8" s="212"/>
      <c r="G8" s="212" t="s">
        <v>9</v>
      </c>
      <c r="H8" s="212"/>
      <c r="I8" s="212"/>
      <c r="J8" s="212"/>
      <c r="K8" s="212" t="s">
        <v>10</v>
      </c>
      <c r="L8" s="212"/>
      <c r="M8" s="212"/>
      <c r="N8" s="212"/>
      <c r="O8" s="212" t="s">
        <v>11</v>
      </c>
      <c r="P8" s="212"/>
      <c r="Q8" s="212"/>
      <c r="R8" s="212"/>
      <c r="S8" s="212"/>
      <c r="T8" s="212"/>
      <c r="U8" s="212"/>
      <c r="V8" s="212"/>
      <c r="W8" s="212"/>
      <c r="X8" s="212"/>
      <c r="Y8" s="212" t="s">
        <v>12</v>
      </c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7"/>
      <c r="BN8" s="14"/>
    </row>
    <row r="9" spans="1:66" ht="20.100000000000001" customHeight="1" x14ac:dyDescent="0.45">
      <c r="A9" s="8"/>
      <c r="B9" s="7"/>
      <c r="C9" s="211">
        <v>45581</v>
      </c>
      <c r="D9" s="209"/>
      <c r="E9" s="209"/>
      <c r="F9" s="210"/>
      <c r="G9" s="205" t="s">
        <v>16</v>
      </c>
      <c r="H9" s="206"/>
      <c r="I9" s="206"/>
      <c r="J9" s="207"/>
      <c r="K9" s="208" t="s">
        <v>395</v>
      </c>
      <c r="L9" s="209"/>
      <c r="M9" s="209"/>
      <c r="N9" s="21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11"/>
      <c r="D10" s="209"/>
      <c r="E10" s="209"/>
      <c r="F10" s="210"/>
      <c r="G10" s="205"/>
      <c r="H10" s="206"/>
      <c r="I10" s="206"/>
      <c r="J10" s="207"/>
      <c r="K10" s="208"/>
      <c r="L10" s="209"/>
      <c r="M10" s="209"/>
      <c r="N10" s="21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11"/>
      <c r="D11" s="209"/>
      <c r="E11" s="209"/>
      <c r="F11" s="210"/>
      <c r="G11" s="205"/>
      <c r="H11" s="206"/>
      <c r="I11" s="206"/>
      <c r="J11" s="207"/>
      <c r="K11" s="208"/>
      <c r="L11" s="209"/>
      <c r="M11" s="209"/>
      <c r="N11" s="21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11"/>
      <c r="D36" s="209"/>
      <c r="E36" s="209"/>
      <c r="F36" s="210"/>
      <c r="G36" s="205"/>
      <c r="H36" s="206"/>
      <c r="I36" s="206"/>
      <c r="J36" s="207"/>
      <c r="K36" s="208"/>
      <c r="L36" s="209"/>
      <c r="M36" s="209"/>
      <c r="N36" s="21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11"/>
      <c r="D37" s="209"/>
      <c r="E37" s="209"/>
      <c r="F37" s="210"/>
      <c r="G37" s="205"/>
      <c r="H37" s="206"/>
      <c r="I37" s="206"/>
      <c r="J37" s="207"/>
      <c r="K37" s="208"/>
      <c r="L37" s="209"/>
      <c r="M37" s="209"/>
      <c r="N37" s="21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11"/>
      <c r="D38" s="209"/>
      <c r="E38" s="209"/>
      <c r="F38" s="210"/>
      <c r="G38" s="205"/>
      <c r="H38" s="206"/>
      <c r="I38" s="206"/>
      <c r="J38" s="207"/>
      <c r="K38" s="208"/>
      <c r="L38" s="209"/>
      <c r="M38" s="209"/>
      <c r="N38" s="21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11"/>
      <c r="D39" s="209"/>
      <c r="E39" s="209"/>
      <c r="F39" s="210"/>
      <c r="G39" s="205"/>
      <c r="H39" s="206"/>
      <c r="I39" s="206"/>
      <c r="J39" s="207"/>
      <c r="K39" s="208"/>
      <c r="L39" s="209"/>
      <c r="M39" s="209"/>
      <c r="N39" s="21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11"/>
      <c r="D40" s="209"/>
      <c r="E40" s="209"/>
      <c r="F40" s="210"/>
      <c r="G40" s="205"/>
      <c r="H40" s="206"/>
      <c r="I40" s="206"/>
      <c r="J40" s="207"/>
      <c r="K40" s="208"/>
      <c r="L40" s="209"/>
      <c r="M40" s="209"/>
      <c r="N40" s="21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11"/>
      <c r="D41" s="209"/>
      <c r="E41" s="209"/>
      <c r="F41" s="210"/>
      <c r="G41" s="205"/>
      <c r="H41" s="206"/>
      <c r="I41" s="206"/>
      <c r="J41" s="207"/>
      <c r="K41" s="208"/>
      <c r="L41" s="209"/>
      <c r="M41" s="209"/>
      <c r="N41" s="21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11"/>
      <c r="D42" s="209"/>
      <c r="E42" s="209"/>
      <c r="F42" s="210"/>
      <c r="G42" s="205"/>
      <c r="H42" s="206"/>
      <c r="I42" s="206"/>
      <c r="J42" s="207"/>
      <c r="K42" s="208"/>
      <c r="L42" s="209"/>
      <c r="M42" s="209"/>
      <c r="N42" s="21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11"/>
      <c r="D43" s="209"/>
      <c r="E43" s="209"/>
      <c r="F43" s="210"/>
      <c r="G43" s="205"/>
      <c r="H43" s="206"/>
      <c r="I43" s="206"/>
      <c r="J43" s="207"/>
      <c r="K43" s="208"/>
      <c r="L43" s="209"/>
      <c r="M43" s="209"/>
      <c r="N43" s="21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11"/>
      <c r="D44" s="209"/>
      <c r="E44" s="209"/>
      <c r="F44" s="210"/>
      <c r="G44" s="205"/>
      <c r="H44" s="206"/>
      <c r="I44" s="206"/>
      <c r="J44" s="207"/>
      <c r="K44" s="208"/>
      <c r="L44" s="209"/>
      <c r="M44" s="209"/>
      <c r="N44" s="21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11"/>
      <c r="D45" s="209"/>
      <c r="E45" s="209"/>
      <c r="F45" s="210"/>
      <c r="G45" s="205"/>
      <c r="H45" s="206"/>
      <c r="I45" s="206"/>
      <c r="J45" s="207"/>
      <c r="K45" s="208"/>
      <c r="L45" s="209"/>
      <c r="M45" s="209"/>
      <c r="N45" s="21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11"/>
      <c r="D46" s="209"/>
      <c r="E46" s="209"/>
      <c r="F46" s="210"/>
      <c r="G46" s="205"/>
      <c r="H46" s="206"/>
      <c r="I46" s="206"/>
      <c r="J46" s="207"/>
      <c r="K46" s="208"/>
      <c r="L46" s="209"/>
      <c r="M46" s="209"/>
      <c r="N46" s="21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11"/>
      <c r="D47" s="209"/>
      <c r="E47" s="209"/>
      <c r="F47" s="210"/>
      <c r="G47" s="205"/>
      <c r="H47" s="206"/>
      <c r="I47" s="206"/>
      <c r="J47" s="207"/>
      <c r="K47" s="208"/>
      <c r="L47" s="209"/>
      <c r="M47" s="209"/>
      <c r="N47" s="21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230" t="s">
        <v>0</v>
      </c>
      <c r="C2" s="213"/>
      <c r="D2" s="213"/>
      <c r="E2" s="213"/>
      <c r="F2" s="213"/>
      <c r="G2" s="213"/>
      <c r="H2" s="213" t="s">
        <v>17</v>
      </c>
      <c r="I2" s="213"/>
      <c r="J2" s="213"/>
      <c r="K2" s="213"/>
      <c r="L2" s="213" t="s">
        <v>394</v>
      </c>
      <c r="M2" s="213"/>
      <c r="N2" s="213"/>
      <c r="O2" s="213"/>
      <c r="P2" s="213"/>
      <c r="Q2" s="213"/>
      <c r="R2" s="213" t="s">
        <v>2</v>
      </c>
      <c r="S2" s="213"/>
      <c r="T2" s="213"/>
      <c r="U2" s="213"/>
      <c r="V2" s="213"/>
      <c r="W2" s="213"/>
      <c r="X2" s="225" t="s">
        <v>3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32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5</v>
      </c>
      <c r="AY2" s="213"/>
      <c r="AZ2" s="213"/>
      <c r="BA2" s="213"/>
      <c r="BB2" s="213" t="s">
        <v>4</v>
      </c>
      <c r="BC2" s="213"/>
      <c r="BD2" s="213"/>
      <c r="BE2" s="213"/>
      <c r="BF2" s="213" t="s">
        <v>6</v>
      </c>
      <c r="BG2" s="213"/>
      <c r="BH2" s="213"/>
      <c r="BI2" s="213"/>
      <c r="BJ2" s="213" t="s">
        <v>7</v>
      </c>
      <c r="BK2" s="213"/>
      <c r="BL2" s="213"/>
      <c r="BM2" s="214"/>
      <c r="BN2" s="35"/>
    </row>
    <row r="3" spans="1:66" ht="20.100000000000001" customHeight="1" x14ac:dyDescent="0.45">
      <c r="A3" s="32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18"/>
      <c r="BN3" s="35"/>
    </row>
    <row r="4" spans="1:66" ht="20.100000000000001" customHeight="1" thickBot="1" x14ac:dyDescent="0.5">
      <c r="A4" s="32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31"/>
      <c r="AY4" s="231"/>
      <c r="AZ4" s="231"/>
      <c r="BA4" s="231"/>
      <c r="BB4" s="217"/>
      <c r="BC4" s="217"/>
      <c r="BD4" s="217"/>
      <c r="BE4" s="217"/>
      <c r="BF4" s="231"/>
      <c r="BG4" s="231"/>
      <c r="BH4" s="231"/>
      <c r="BI4" s="231"/>
      <c r="BJ4" s="217"/>
      <c r="BK4" s="217"/>
      <c r="BL4" s="217"/>
      <c r="BM4" s="21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積上チェック表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150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391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148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 t="s">
        <v>149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0" t="s">
        <v>0</v>
      </c>
      <c r="C2" s="213"/>
      <c r="D2" s="213"/>
      <c r="E2" s="213"/>
      <c r="F2" s="213"/>
      <c r="G2" s="213"/>
      <c r="H2" s="213" t="s">
        <v>17</v>
      </c>
      <c r="I2" s="213"/>
      <c r="J2" s="213"/>
      <c r="K2" s="213"/>
      <c r="L2" s="213" t="s">
        <v>394</v>
      </c>
      <c r="M2" s="213"/>
      <c r="N2" s="213"/>
      <c r="O2" s="213"/>
      <c r="P2" s="213"/>
      <c r="Q2" s="213"/>
      <c r="R2" s="213" t="s">
        <v>2</v>
      </c>
      <c r="S2" s="213"/>
      <c r="T2" s="213"/>
      <c r="U2" s="213"/>
      <c r="V2" s="213"/>
      <c r="W2" s="213"/>
      <c r="X2" s="225" t="s">
        <v>3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32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5</v>
      </c>
      <c r="AY2" s="213"/>
      <c r="AZ2" s="213"/>
      <c r="BA2" s="213"/>
      <c r="BB2" s="213" t="s">
        <v>4</v>
      </c>
      <c r="BC2" s="213"/>
      <c r="BD2" s="213"/>
      <c r="BE2" s="213"/>
      <c r="BF2" s="213" t="s">
        <v>6</v>
      </c>
      <c r="BG2" s="213"/>
      <c r="BH2" s="213"/>
      <c r="BI2" s="213"/>
      <c r="BJ2" s="213" t="s">
        <v>7</v>
      </c>
      <c r="BK2" s="213"/>
      <c r="BL2" s="213"/>
      <c r="BM2" s="214"/>
      <c r="BN2" s="15"/>
    </row>
    <row r="3" spans="1:66" ht="20.100000000000001" customHeight="1" x14ac:dyDescent="0.45">
      <c r="A3" s="9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18"/>
      <c r="BN3" s="15"/>
    </row>
    <row r="4" spans="1:66" ht="20.100000000000001" customHeight="1" thickBot="1" x14ac:dyDescent="0.5">
      <c r="A4" s="9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31"/>
      <c r="AY4" s="231"/>
      <c r="AZ4" s="231"/>
      <c r="BA4" s="231"/>
      <c r="BB4" s="217"/>
      <c r="BC4" s="217"/>
      <c r="BD4" s="217"/>
      <c r="BE4" s="217"/>
      <c r="BF4" s="231"/>
      <c r="BG4" s="231"/>
      <c r="BH4" s="231"/>
      <c r="BI4" s="231"/>
      <c r="BJ4" s="217"/>
      <c r="BK4" s="217"/>
      <c r="BL4" s="217"/>
      <c r="BM4" s="21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9.5" style="6" customWidth="1"/>
    <col min="28" max="43" width="4.3984375" style="6" customWidth="1"/>
    <col min="44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230" t="s">
        <v>0</v>
      </c>
      <c r="C2" s="213"/>
      <c r="D2" s="213"/>
      <c r="E2" s="213"/>
      <c r="F2" s="213"/>
      <c r="G2" s="213"/>
      <c r="H2" s="213" t="s">
        <v>17</v>
      </c>
      <c r="I2" s="213"/>
      <c r="J2" s="213"/>
      <c r="K2" s="213"/>
      <c r="L2" s="213" t="s">
        <v>394</v>
      </c>
      <c r="M2" s="213"/>
      <c r="N2" s="213"/>
      <c r="O2" s="213"/>
      <c r="P2" s="213"/>
      <c r="Q2" s="213"/>
      <c r="R2" s="213" t="s">
        <v>2</v>
      </c>
      <c r="S2" s="213"/>
      <c r="T2" s="213"/>
      <c r="U2" s="213"/>
      <c r="V2" s="213"/>
      <c r="W2" s="213"/>
      <c r="X2" s="225" t="s">
        <v>3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32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5</v>
      </c>
      <c r="AY2" s="213"/>
      <c r="AZ2" s="213"/>
      <c r="BA2" s="213"/>
      <c r="BB2" s="213" t="s">
        <v>4</v>
      </c>
      <c r="BC2" s="213"/>
      <c r="BD2" s="213"/>
      <c r="BE2" s="213"/>
      <c r="BF2" s="213" t="s">
        <v>6</v>
      </c>
      <c r="BG2" s="213"/>
      <c r="BH2" s="213"/>
      <c r="BI2" s="213"/>
      <c r="BJ2" s="213" t="s">
        <v>7</v>
      </c>
      <c r="BK2" s="213"/>
      <c r="BL2" s="213"/>
      <c r="BM2" s="214"/>
      <c r="BN2" s="15"/>
    </row>
    <row r="3" spans="1:85" ht="20.100000000000001" customHeight="1" x14ac:dyDescent="0.45">
      <c r="A3" s="9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18"/>
      <c r="BN3" s="15"/>
    </row>
    <row r="4" spans="1:85" ht="20.100000000000001" customHeight="1" thickBot="1" x14ac:dyDescent="0.5">
      <c r="A4" s="9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31"/>
      <c r="AY4" s="231"/>
      <c r="AZ4" s="231"/>
      <c r="BA4" s="231"/>
      <c r="BB4" s="217"/>
      <c r="BC4" s="217"/>
      <c r="BD4" s="217"/>
      <c r="BE4" s="217"/>
      <c r="BF4" s="231"/>
      <c r="BG4" s="231"/>
      <c r="BH4" s="231"/>
      <c r="BI4" s="231"/>
      <c r="BJ4" s="217"/>
      <c r="BK4" s="217"/>
      <c r="BL4" s="217"/>
      <c r="BM4" s="21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66" t="s">
        <v>20</v>
      </c>
      <c r="F10" s="267"/>
      <c r="G10" s="267"/>
      <c r="H10" s="267"/>
      <c r="I10" s="267"/>
      <c r="J10" s="267"/>
      <c r="K10" s="267"/>
      <c r="L10" s="268"/>
      <c r="M10" s="269" t="s">
        <v>24</v>
      </c>
      <c r="N10" s="270"/>
      <c r="O10" s="270"/>
      <c r="P10" s="269" t="s">
        <v>33</v>
      </c>
      <c r="Q10" s="270"/>
      <c r="R10" s="270"/>
      <c r="S10" s="269" t="s">
        <v>34</v>
      </c>
      <c r="T10" s="270"/>
      <c r="U10" s="270"/>
      <c r="V10" s="269" t="s">
        <v>36</v>
      </c>
      <c r="W10" s="270"/>
      <c r="X10" s="270"/>
      <c r="Y10" s="270"/>
      <c r="Z10" s="270"/>
      <c r="AA10" s="272"/>
      <c r="AB10" s="269" t="s">
        <v>35</v>
      </c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2"/>
      <c r="AR10" s="269" t="s">
        <v>42</v>
      </c>
      <c r="AS10" s="270"/>
      <c r="AT10" s="270"/>
      <c r="AU10" s="270"/>
      <c r="AV10" s="270"/>
      <c r="AW10" s="272"/>
      <c r="AX10" s="269" t="s">
        <v>43</v>
      </c>
      <c r="AY10" s="270"/>
      <c r="AZ10" s="270"/>
      <c r="BA10" s="270"/>
      <c r="BB10" s="270"/>
      <c r="BC10" s="270"/>
      <c r="BD10" s="270"/>
      <c r="BE10" s="270"/>
      <c r="BF10" s="270"/>
      <c r="BG10" s="270"/>
      <c r="BH10" s="270"/>
      <c r="BI10" s="270"/>
      <c r="BJ10" s="270"/>
      <c r="BK10" s="270"/>
      <c r="BL10" s="270"/>
      <c r="BM10" s="270"/>
      <c r="BN10" s="270"/>
      <c r="BO10" s="270"/>
      <c r="BP10" s="270"/>
      <c r="BQ10" s="270"/>
      <c r="BR10" s="270"/>
      <c r="BS10" s="270"/>
      <c r="BT10" s="27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59" t="s">
        <v>103</v>
      </c>
      <c r="F11" s="260"/>
      <c r="G11" s="260"/>
      <c r="H11" s="260"/>
      <c r="I11" s="260"/>
      <c r="J11" s="260"/>
      <c r="K11" s="260"/>
      <c r="L11" s="261"/>
      <c r="M11" s="208" t="s">
        <v>38</v>
      </c>
      <c r="N11" s="209"/>
      <c r="O11" s="209"/>
      <c r="P11" s="208" t="s">
        <v>71</v>
      </c>
      <c r="Q11" s="209"/>
      <c r="R11" s="209"/>
      <c r="S11" s="208" t="s">
        <v>75</v>
      </c>
      <c r="T11" s="209"/>
      <c r="U11" s="209"/>
      <c r="V11" s="254" t="s">
        <v>141</v>
      </c>
      <c r="W11" s="255"/>
      <c r="X11" s="255"/>
      <c r="Y11" s="255"/>
      <c r="Z11" s="255"/>
      <c r="AA11" s="256"/>
      <c r="AB11" s="254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6"/>
      <c r="AR11" s="208"/>
      <c r="AS11" s="209"/>
      <c r="AT11" s="209"/>
      <c r="AU11" s="209"/>
      <c r="AV11" s="209"/>
      <c r="AW11" s="210"/>
      <c r="AX11" s="262"/>
      <c r="AY11" s="263"/>
      <c r="AZ11" s="263"/>
      <c r="BA11" s="263"/>
      <c r="BB11" s="263"/>
      <c r="BC11" s="263"/>
      <c r="BD11" s="263"/>
      <c r="BE11" s="263"/>
      <c r="BF11" s="263"/>
      <c r="BG11" s="263"/>
      <c r="BH11" s="263"/>
      <c r="BI11" s="263"/>
      <c r="BJ11" s="263"/>
      <c r="BK11" s="263"/>
      <c r="BL11" s="263"/>
      <c r="BM11" s="263"/>
      <c r="BN11" s="263"/>
      <c r="BO11" s="263"/>
      <c r="BP11" s="263"/>
      <c r="BQ11" s="263"/>
      <c r="BR11" s="263"/>
      <c r="BS11" s="263"/>
      <c r="BT11" s="26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59" t="s">
        <v>69</v>
      </c>
      <c r="F12" s="260"/>
      <c r="G12" s="260"/>
      <c r="H12" s="260"/>
      <c r="I12" s="260"/>
      <c r="J12" s="260"/>
      <c r="K12" s="260"/>
      <c r="L12" s="261"/>
      <c r="M12" s="208" t="s">
        <v>8</v>
      </c>
      <c r="N12" s="209"/>
      <c r="O12" s="209"/>
      <c r="P12" s="208" t="s">
        <v>72</v>
      </c>
      <c r="Q12" s="209"/>
      <c r="R12" s="209"/>
      <c r="S12" s="208">
        <v>8</v>
      </c>
      <c r="T12" s="209"/>
      <c r="U12" s="209"/>
      <c r="V12" s="262" t="s">
        <v>74</v>
      </c>
      <c r="W12" s="263"/>
      <c r="X12" s="263"/>
      <c r="Y12" s="263"/>
      <c r="Z12" s="263"/>
      <c r="AA12" s="264"/>
      <c r="AB12" s="254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6"/>
      <c r="AR12" s="208"/>
      <c r="AS12" s="209"/>
      <c r="AT12" s="209"/>
      <c r="AU12" s="209"/>
      <c r="AV12" s="209"/>
      <c r="AW12" s="210"/>
      <c r="AX12" s="262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59" t="s">
        <v>76</v>
      </c>
      <c r="F13" s="260"/>
      <c r="G13" s="260"/>
      <c r="H13" s="260"/>
      <c r="I13" s="260"/>
      <c r="J13" s="260"/>
      <c r="K13" s="260"/>
      <c r="L13" s="261"/>
      <c r="M13" s="208" t="s">
        <v>38</v>
      </c>
      <c r="N13" s="209"/>
      <c r="O13" s="209"/>
      <c r="P13" s="208" t="s">
        <v>72</v>
      </c>
      <c r="Q13" s="209"/>
      <c r="R13" s="209"/>
      <c r="S13" s="208"/>
      <c r="T13" s="209"/>
      <c r="U13" s="209"/>
      <c r="V13" s="262" t="s">
        <v>102</v>
      </c>
      <c r="W13" s="263"/>
      <c r="X13" s="263"/>
      <c r="Y13" s="263"/>
      <c r="Z13" s="263"/>
      <c r="AA13" s="264"/>
      <c r="AB13" s="254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6"/>
      <c r="AR13" s="208"/>
      <c r="AS13" s="209"/>
      <c r="AT13" s="209"/>
      <c r="AU13" s="209"/>
      <c r="AV13" s="209"/>
      <c r="AW13" s="210"/>
      <c r="AX13" s="262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  <c r="BS13" s="263"/>
      <c r="BT13" s="26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59" t="s">
        <v>77</v>
      </c>
      <c r="F14" s="260"/>
      <c r="G14" s="260"/>
      <c r="H14" s="260"/>
      <c r="I14" s="260"/>
      <c r="J14" s="260"/>
      <c r="K14" s="260"/>
      <c r="L14" s="261"/>
      <c r="M14" s="208" t="s">
        <v>38</v>
      </c>
      <c r="N14" s="209"/>
      <c r="O14" s="209"/>
      <c r="P14" s="208" t="s">
        <v>72</v>
      </c>
      <c r="Q14" s="209"/>
      <c r="R14" s="209"/>
      <c r="S14" s="208"/>
      <c r="T14" s="209"/>
      <c r="U14" s="209"/>
      <c r="V14" s="262" t="s">
        <v>102</v>
      </c>
      <c r="W14" s="263"/>
      <c r="X14" s="263"/>
      <c r="Y14" s="263"/>
      <c r="Z14" s="263"/>
      <c r="AA14" s="264"/>
      <c r="AB14" s="254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6"/>
      <c r="AR14" s="208"/>
      <c r="AS14" s="209"/>
      <c r="AT14" s="209"/>
      <c r="AU14" s="209"/>
      <c r="AV14" s="209"/>
      <c r="AW14" s="210"/>
      <c r="AX14" s="262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59" t="s">
        <v>78</v>
      </c>
      <c r="F15" s="260"/>
      <c r="G15" s="260"/>
      <c r="H15" s="260"/>
      <c r="I15" s="260"/>
      <c r="J15" s="260"/>
      <c r="K15" s="260"/>
      <c r="L15" s="261"/>
      <c r="M15" s="208" t="s">
        <v>38</v>
      </c>
      <c r="N15" s="209"/>
      <c r="O15" s="209"/>
      <c r="P15" s="208" t="s">
        <v>71</v>
      </c>
      <c r="Q15" s="209"/>
      <c r="R15" s="209"/>
      <c r="S15" s="208">
        <v>1</v>
      </c>
      <c r="T15" s="209"/>
      <c r="U15" s="209"/>
      <c r="V15" s="262" t="s">
        <v>93</v>
      </c>
      <c r="W15" s="263"/>
      <c r="X15" s="263"/>
      <c r="Y15" s="263"/>
      <c r="Z15" s="263"/>
      <c r="AA15" s="264"/>
      <c r="AB15" s="254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6"/>
      <c r="AR15" s="208"/>
      <c r="AS15" s="209"/>
      <c r="AT15" s="209"/>
      <c r="AU15" s="209"/>
      <c r="AV15" s="209"/>
      <c r="AW15" s="210"/>
      <c r="AX15" s="262"/>
      <c r="AY15" s="263"/>
      <c r="AZ15" s="263"/>
      <c r="BA15" s="263"/>
      <c r="BB15" s="263"/>
      <c r="BC15" s="263"/>
      <c r="BD15" s="263"/>
      <c r="BE15" s="263"/>
      <c r="BF15" s="263"/>
      <c r="BG15" s="263"/>
      <c r="BH15" s="263"/>
      <c r="BI15" s="263"/>
      <c r="BJ15" s="263"/>
      <c r="BK15" s="263"/>
      <c r="BL15" s="263"/>
      <c r="BM15" s="263"/>
      <c r="BN15" s="263"/>
      <c r="BO15" s="263"/>
      <c r="BP15" s="263"/>
      <c r="BQ15" s="263"/>
      <c r="BR15" s="263"/>
      <c r="BS15" s="263"/>
      <c r="BT15" s="26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59" t="s">
        <v>79</v>
      </c>
      <c r="F16" s="260"/>
      <c r="G16" s="260"/>
      <c r="H16" s="260"/>
      <c r="I16" s="260"/>
      <c r="J16" s="260"/>
      <c r="K16" s="260"/>
      <c r="L16" s="261"/>
      <c r="M16" s="208" t="s">
        <v>38</v>
      </c>
      <c r="N16" s="209"/>
      <c r="O16" s="209"/>
      <c r="P16" s="208" t="s">
        <v>72</v>
      </c>
      <c r="Q16" s="209"/>
      <c r="R16" s="209"/>
      <c r="S16" s="208"/>
      <c r="T16" s="209"/>
      <c r="U16" s="209"/>
      <c r="V16" s="262" t="s">
        <v>102</v>
      </c>
      <c r="W16" s="263"/>
      <c r="X16" s="263"/>
      <c r="Y16" s="263"/>
      <c r="Z16" s="263"/>
      <c r="AA16" s="264"/>
      <c r="AB16" s="254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6"/>
      <c r="AR16" s="208"/>
      <c r="AS16" s="209"/>
      <c r="AT16" s="209"/>
      <c r="AU16" s="209"/>
      <c r="AV16" s="209"/>
      <c r="AW16" s="210"/>
      <c r="AX16" s="262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59" t="s">
        <v>80</v>
      </c>
      <c r="F17" s="260"/>
      <c r="G17" s="260"/>
      <c r="H17" s="260"/>
      <c r="I17" s="260"/>
      <c r="J17" s="260"/>
      <c r="K17" s="260"/>
      <c r="L17" s="261"/>
      <c r="M17" s="208" t="s">
        <v>38</v>
      </c>
      <c r="N17" s="209"/>
      <c r="O17" s="209"/>
      <c r="P17" s="208" t="s">
        <v>73</v>
      </c>
      <c r="Q17" s="209"/>
      <c r="R17" s="209"/>
      <c r="S17" s="208"/>
      <c r="T17" s="209"/>
      <c r="U17" s="209"/>
      <c r="V17" s="262" t="s">
        <v>102</v>
      </c>
      <c r="W17" s="263"/>
      <c r="X17" s="263"/>
      <c r="Y17" s="263"/>
      <c r="Z17" s="263"/>
      <c r="AA17" s="264"/>
      <c r="AB17" s="254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6"/>
      <c r="AR17" s="208"/>
      <c r="AS17" s="209"/>
      <c r="AT17" s="209"/>
      <c r="AU17" s="209"/>
      <c r="AV17" s="209"/>
      <c r="AW17" s="210"/>
      <c r="AX17" s="262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3"/>
      <c r="BR17" s="263"/>
      <c r="BS17" s="263"/>
      <c r="BT17" s="265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59" t="s">
        <v>81</v>
      </c>
      <c r="F18" s="260"/>
      <c r="G18" s="260"/>
      <c r="H18" s="260"/>
      <c r="I18" s="260"/>
      <c r="J18" s="260"/>
      <c r="K18" s="260"/>
      <c r="L18" s="261"/>
      <c r="M18" s="208" t="s">
        <v>38</v>
      </c>
      <c r="N18" s="209"/>
      <c r="O18" s="209"/>
      <c r="P18" s="208" t="s">
        <v>73</v>
      </c>
      <c r="Q18" s="209"/>
      <c r="R18" s="209"/>
      <c r="S18" s="208"/>
      <c r="T18" s="209"/>
      <c r="U18" s="209"/>
      <c r="V18" s="262" t="s">
        <v>102</v>
      </c>
      <c r="W18" s="263"/>
      <c r="X18" s="263"/>
      <c r="Y18" s="263"/>
      <c r="Z18" s="263"/>
      <c r="AA18" s="264"/>
      <c r="AB18" s="254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6"/>
      <c r="AR18" s="208"/>
      <c r="AS18" s="209"/>
      <c r="AT18" s="209"/>
      <c r="AU18" s="209"/>
      <c r="AV18" s="209"/>
      <c r="AW18" s="210"/>
      <c r="AX18" s="262"/>
      <c r="AY18" s="263"/>
      <c r="AZ18" s="263"/>
      <c r="BA18" s="263"/>
      <c r="BB18" s="263"/>
      <c r="BC18" s="263"/>
      <c r="BD18" s="263"/>
      <c r="BE18" s="263"/>
      <c r="BF18" s="263"/>
      <c r="BG18" s="263"/>
      <c r="BH18" s="263"/>
      <c r="BI18" s="263"/>
      <c r="BJ18" s="263"/>
      <c r="BK18" s="263"/>
      <c r="BL18" s="263"/>
      <c r="BM18" s="263"/>
      <c r="BN18" s="263"/>
      <c r="BO18" s="263"/>
      <c r="BP18" s="263"/>
      <c r="BQ18" s="263"/>
      <c r="BR18" s="263"/>
      <c r="BS18" s="263"/>
      <c r="BT18" s="26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59" t="s">
        <v>82</v>
      </c>
      <c r="F19" s="260"/>
      <c r="G19" s="260"/>
      <c r="H19" s="260"/>
      <c r="I19" s="260"/>
      <c r="J19" s="260"/>
      <c r="K19" s="260"/>
      <c r="L19" s="261"/>
      <c r="M19" s="208" t="s">
        <v>47</v>
      </c>
      <c r="N19" s="209"/>
      <c r="O19" s="209"/>
      <c r="P19" s="208" t="s">
        <v>73</v>
      </c>
      <c r="Q19" s="209"/>
      <c r="R19" s="209"/>
      <c r="S19" s="208" t="s">
        <v>75</v>
      </c>
      <c r="T19" s="209"/>
      <c r="U19" s="209"/>
      <c r="V19" s="262" t="s">
        <v>95</v>
      </c>
      <c r="W19" s="263"/>
      <c r="X19" s="263"/>
      <c r="Y19" s="263"/>
      <c r="Z19" s="263"/>
      <c r="AA19" s="264"/>
      <c r="AB19" s="262" t="s">
        <v>100</v>
      </c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4"/>
      <c r="AR19" s="257">
        <v>9999</v>
      </c>
      <c r="AS19" s="209"/>
      <c r="AT19" s="209"/>
      <c r="AU19" s="209"/>
      <c r="AV19" s="209"/>
      <c r="AW19" s="210"/>
      <c r="AX19" s="262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3"/>
      <c r="BP19" s="263"/>
      <c r="BQ19" s="263"/>
      <c r="BR19" s="263"/>
      <c r="BS19" s="263"/>
      <c r="BT19" s="26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59" t="s">
        <v>83</v>
      </c>
      <c r="F20" s="260"/>
      <c r="G20" s="260"/>
      <c r="H20" s="260"/>
      <c r="I20" s="260"/>
      <c r="J20" s="260"/>
      <c r="K20" s="260"/>
      <c r="L20" s="261"/>
      <c r="M20" s="208" t="s">
        <v>47</v>
      </c>
      <c r="N20" s="209"/>
      <c r="O20" s="209"/>
      <c r="P20" s="208" t="s">
        <v>73</v>
      </c>
      <c r="Q20" s="209"/>
      <c r="R20" s="209"/>
      <c r="S20" s="208" t="s">
        <v>75</v>
      </c>
      <c r="T20" s="209"/>
      <c r="U20" s="209"/>
      <c r="V20" s="262" t="s">
        <v>94</v>
      </c>
      <c r="W20" s="263"/>
      <c r="X20" s="263"/>
      <c r="Y20" s="263"/>
      <c r="Z20" s="263"/>
      <c r="AA20" s="264"/>
      <c r="AB20" s="262" t="s">
        <v>101</v>
      </c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4"/>
      <c r="AR20" s="257">
        <v>9999</v>
      </c>
      <c r="AS20" s="209"/>
      <c r="AT20" s="209"/>
      <c r="AU20" s="209"/>
      <c r="AV20" s="209"/>
      <c r="AW20" s="210"/>
      <c r="AX20" s="262"/>
      <c r="AY20" s="263"/>
      <c r="AZ20" s="263"/>
      <c r="BA20" s="263"/>
      <c r="BB20" s="263"/>
      <c r="BC20" s="263"/>
      <c r="BD20" s="263"/>
      <c r="BE20" s="263"/>
      <c r="BF20" s="263"/>
      <c r="BG20" s="263"/>
      <c r="BH20" s="263"/>
      <c r="BI20" s="263"/>
      <c r="BJ20" s="263"/>
      <c r="BK20" s="263"/>
      <c r="BL20" s="263"/>
      <c r="BM20" s="263"/>
      <c r="BN20" s="263"/>
      <c r="BO20" s="263"/>
      <c r="BP20" s="263"/>
      <c r="BQ20" s="263"/>
      <c r="BR20" s="263"/>
      <c r="BS20" s="263"/>
      <c r="BT20" s="26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59" t="s">
        <v>84</v>
      </c>
      <c r="F21" s="260"/>
      <c r="G21" s="260"/>
      <c r="H21" s="260"/>
      <c r="I21" s="260"/>
      <c r="J21" s="260"/>
      <c r="K21" s="260"/>
      <c r="L21" s="261"/>
      <c r="M21" s="208" t="s">
        <v>47</v>
      </c>
      <c r="N21" s="209"/>
      <c r="O21" s="209"/>
      <c r="P21" s="208" t="s">
        <v>73</v>
      </c>
      <c r="Q21" s="209"/>
      <c r="R21" s="209"/>
      <c r="S21" s="208" t="s">
        <v>75</v>
      </c>
      <c r="T21" s="209"/>
      <c r="U21" s="209"/>
      <c r="V21" s="262" t="s">
        <v>96</v>
      </c>
      <c r="W21" s="263"/>
      <c r="X21" s="263"/>
      <c r="Y21" s="263"/>
      <c r="Z21" s="263"/>
      <c r="AA21" s="264"/>
      <c r="AB21" s="262" t="s">
        <v>98</v>
      </c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4"/>
      <c r="AR21" s="274">
        <v>9.9900000000000003E-2</v>
      </c>
      <c r="AS21" s="209"/>
      <c r="AT21" s="209"/>
      <c r="AU21" s="209"/>
      <c r="AV21" s="209"/>
      <c r="AW21" s="210"/>
      <c r="AX21" s="262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  <c r="BJ21" s="263"/>
      <c r="BK21" s="263"/>
      <c r="BL21" s="263"/>
      <c r="BM21" s="263"/>
      <c r="BN21" s="263"/>
      <c r="BO21" s="263"/>
      <c r="BP21" s="263"/>
      <c r="BQ21" s="263"/>
      <c r="BR21" s="263"/>
      <c r="BS21" s="263"/>
      <c r="BT21" s="26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59" t="s">
        <v>144</v>
      </c>
      <c r="F22" s="260"/>
      <c r="G22" s="260"/>
      <c r="H22" s="260"/>
      <c r="I22" s="260"/>
      <c r="J22" s="260"/>
      <c r="K22" s="260"/>
      <c r="L22" s="261"/>
      <c r="M22" s="208" t="s">
        <v>8</v>
      </c>
      <c r="N22" s="209"/>
      <c r="O22" s="209"/>
      <c r="P22" s="208" t="s">
        <v>72</v>
      </c>
      <c r="Q22" s="209"/>
      <c r="R22" s="209"/>
      <c r="S22" s="208">
        <v>8</v>
      </c>
      <c r="T22" s="209"/>
      <c r="U22" s="209"/>
      <c r="V22" s="262" t="s">
        <v>102</v>
      </c>
      <c r="W22" s="263"/>
      <c r="X22" s="263"/>
      <c r="Y22" s="263"/>
      <c r="Z22" s="263"/>
      <c r="AA22" s="264"/>
      <c r="AB22" s="254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6"/>
      <c r="AR22" s="208"/>
      <c r="AS22" s="209"/>
      <c r="AT22" s="209"/>
      <c r="AU22" s="209"/>
      <c r="AV22" s="209"/>
      <c r="AW22" s="210"/>
      <c r="AX22" s="262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19.8" customHeight="1" x14ac:dyDescent="0.45">
      <c r="A23" s="29"/>
      <c r="B23" s="35"/>
      <c r="C23"/>
      <c r="D23" s="37">
        <v>13</v>
      </c>
      <c r="E23" s="259" t="s">
        <v>145</v>
      </c>
      <c r="F23" s="260"/>
      <c r="G23" s="260"/>
      <c r="H23" s="260"/>
      <c r="I23" s="260"/>
      <c r="J23" s="260"/>
      <c r="K23" s="260"/>
      <c r="L23" s="261"/>
      <c r="M23" s="208" t="s">
        <v>8</v>
      </c>
      <c r="N23" s="209"/>
      <c r="O23" s="209"/>
      <c r="P23" s="208" t="s">
        <v>72</v>
      </c>
      <c r="Q23" s="209"/>
      <c r="R23" s="209"/>
      <c r="S23" s="208">
        <v>8</v>
      </c>
      <c r="T23" s="209"/>
      <c r="U23" s="209"/>
      <c r="V23" s="262" t="s">
        <v>102</v>
      </c>
      <c r="W23" s="263"/>
      <c r="X23" s="263"/>
      <c r="Y23" s="263"/>
      <c r="Z23" s="263"/>
      <c r="AA23" s="264"/>
      <c r="AB23" s="273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6"/>
      <c r="AR23" s="208"/>
      <c r="AS23" s="209"/>
      <c r="AT23" s="209"/>
      <c r="AU23" s="209"/>
      <c r="AV23" s="209"/>
      <c r="AW23" s="210"/>
      <c r="AX23" s="262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3"/>
      <c r="BK23" s="263"/>
      <c r="BL23" s="263"/>
      <c r="BM23" s="263"/>
      <c r="BN23" s="263"/>
      <c r="BO23" s="263"/>
      <c r="BP23" s="263"/>
      <c r="BQ23" s="263"/>
      <c r="BR23" s="263"/>
      <c r="BS23" s="263"/>
      <c r="BT23" s="26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59" t="s">
        <v>85</v>
      </c>
      <c r="F24" s="260"/>
      <c r="G24" s="260"/>
      <c r="H24" s="260"/>
      <c r="I24" s="260"/>
      <c r="J24" s="260"/>
      <c r="K24" s="260"/>
      <c r="L24" s="261"/>
      <c r="M24" s="208" t="s">
        <v>38</v>
      </c>
      <c r="N24" s="209"/>
      <c r="O24" s="209"/>
      <c r="P24" s="208" t="s">
        <v>72</v>
      </c>
      <c r="Q24" s="209"/>
      <c r="R24" s="209"/>
      <c r="S24" s="208" t="s">
        <v>75</v>
      </c>
      <c r="T24" s="209"/>
      <c r="U24" s="209"/>
      <c r="V24" s="254" t="s">
        <v>369</v>
      </c>
      <c r="W24" s="255"/>
      <c r="X24" s="255"/>
      <c r="Y24" s="255"/>
      <c r="Z24" s="255"/>
      <c r="AA24" s="256"/>
      <c r="AB24" s="254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6"/>
      <c r="AR24" s="208"/>
      <c r="AS24" s="209"/>
      <c r="AT24" s="209"/>
      <c r="AU24" s="209"/>
      <c r="AV24" s="209"/>
      <c r="AW24" s="210"/>
      <c r="AX24" s="262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  <c r="BJ24" s="263"/>
      <c r="BK24" s="263"/>
      <c r="BL24" s="263"/>
      <c r="BM24" s="263"/>
      <c r="BN24" s="263"/>
      <c r="BO24" s="263"/>
      <c r="BP24" s="263"/>
      <c r="BQ24" s="263"/>
      <c r="BR24" s="263"/>
      <c r="BS24" s="263"/>
      <c r="BT24" s="26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59" t="s">
        <v>86</v>
      </c>
      <c r="F25" s="260"/>
      <c r="G25" s="260"/>
      <c r="H25" s="260"/>
      <c r="I25" s="260"/>
      <c r="J25" s="260"/>
      <c r="K25" s="260"/>
      <c r="L25" s="261"/>
      <c r="M25" s="208" t="s">
        <v>38</v>
      </c>
      <c r="N25" s="209"/>
      <c r="O25" s="209"/>
      <c r="P25" s="208" t="s">
        <v>72</v>
      </c>
      <c r="Q25" s="209"/>
      <c r="R25" s="209"/>
      <c r="S25" s="208" t="s">
        <v>75</v>
      </c>
      <c r="T25" s="209"/>
      <c r="U25" s="209"/>
      <c r="V25" s="262" t="s">
        <v>370</v>
      </c>
      <c r="W25" s="263"/>
      <c r="X25" s="263"/>
      <c r="Y25" s="263"/>
      <c r="Z25" s="263"/>
      <c r="AA25" s="264"/>
      <c r="AB25" s="273" t="s">
        <v>367</v>
      </c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6"/>
      <c r="AR25" s="208"/>
      <c r="AS25" s="209"/>
      <c r="AT25" s="209"/>
      <c r="AU25" s="209"/>
      <c r="AV25" s="209"/>
      <c r="AW25" s="210"/>
      <c r="AX25" s="262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  <c r="BJ25" s="263"/>
      <c r="BK25" s="263"/>
      <c r="BL25" s="263"/>
      <c r="BM25" s="263"/>
      <c r="BN25" s="263"/>
      <c r="BO25" s="263"/>
      <c r="BP25" s="263"/>
      <c r="BQ25" s="263"/>
      <c r="BR25" s="263"/>
      <c r="BS25" s="263"/>
      <c r="BT25" s="26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59" t="s">
        <v>87</v>
      </c>
      <c r="F26" s="260"/>
      <c r="G26" s="260"/>
      <c r="H26" s="260"/>
      <c r="I26" s="260"/>
      <c r="J26" s="260"/>
      <c r="K26" s="260"/>
      <c r="L26" s="261"/>
      <c r="M26" s="208" t="s">
        <v>38</v>
      </c>
      <c r="N26" s="209"/>
      <c r="O26" s="209"/>
      <c r="P26" s="208" t="s">
        <v>71</v>
      </c>
      <c r="Q26" s="209"/>
      <c r="R26" s="209"/>
      <c r="S26" s="208" t="s">
        <v>75</v>
      </c>
      <c r="T26" s="209"/>
      <c r="U26" s="209"/>
      <c r="V26" s="262" t="s">
        <v>371</v>
      </c>
      <c r="W26" s="263"/>
      <c r="X26" s="263"/>
      <c r="Y26" s="263"/>
      <c r="Z26" s="263"/>
      <c r="AA26" s="264"/>
      <c r="AB26" s="254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6"/>
      <c r="AR26" s="208"/>
      <c r="AS26" s="209"/>
      <c r="AT26" s="209"/>
      <c r="AU26" s="209"/>
      <c r="AV26" s="209"/>
      <c r="AW26" s="210"/>
      <c r="AX26" s="262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3"/>
      <c r="BP26" s="263"/>
      <c r="BQ26" s="263"/>
      <c r="BR26" s="263"/>
      <c r="BS26" s="263"/>
      <c r="BT26" s="26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59" t="s">
        <v>88</v>
      </c>
      <c r="F27" s="260"/>
      <c r="G27" s="260"/>
      <c r="H27" s="260"/>
      <c r="I27" s="260"/>
      <c r="J27" s="260"/>
      <c r="K27" s="260"/>
      <c r="L27" s="261"/>
      <c r="M27" s="208" t="s">
        <v>38</v>
      </c>
      <c r="N27" s="209"/>
      <c r="O27" s="209"/>
      <c r="P27" s="208" t="s">
        <v>72</v>
      </c>
      <c r="Q27" s="209"/>
      <c r="R27" s="209"/>
      <c r="S27" s="208">
        <v>4</v>
      </c>
      <c r="T27" s="209"/>
      <c r="U27" s="209"/>
      <c r="V27" s="262" t="s">
        <v>372</v>
      </c>
      <c r="W27" s="263"/>
      <c r="X27" s="263"/>
      <c r="Y27" s="263"/>
      <c r="Z27" s="263"/>
      <c r="AA27" s="264"/>
      <c r="AB27" s="254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6"/>
      <c r="AR27" s="208"/>
      <c r="AS27" s="209"/>
      <c r="AT27" s="209"/>
      <c r="AU27" s="209"/>
      <c r="AV27" s="209"/>
      <c r="AW27" s="210"/>
      <c r="AX27" s="262"/>
      <c r="AY27" s="263"/>
      <c r="AZ27" s="263"/>
      <c r="BA27" s="263"/>
      <c r="BB27" s="263"/>
      <c r="BC27" s="263"/>
      <c r="BD27" s="263"/>
      <c r="BE27" s="263"/>
      <c r="BF27" s="263"/>
      <c r="BG27" s="263"/>
      <c r="BH27" s="263"/>
      <c r="BI27" s="263"/>
      <c r="BJ27" s="263"/>
      <c r="BK27" s="263"/>
      <c r="BL27" s="263"/>
      <c r="BM27" s="263"/>
      <c r="BN27" s="263"/>
      <c r="BO27" s="263"/>
      <c r="BP27" s="263"/>
      <c r="BQ27" s="263"/>
      <c r="BR27" s="263"/>
      <c r="BS27" s="263"/>
      <c r="BT27" s="26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59" t="s">
        <v>89</v>
      </c>
      <c r="F28" s="260"/>
      <c r="G28" s="260"/>
      <c r="H28" s="260"/>
      <c r="I28" s="260"/>
      <c r="J28" s="260"/>
      <c r="K28" s="260"/>
      <c r="L28" s="261"/>
      <c r="M28" s="208" t="s">
        <v>38</v>
      </c>
      <c r="N28" s="209"/>
      <c r="O28" s="209"/>
      <c r="P28" s="208" t="s">
        <v>72</v>
      </c>
      <c r="Q28" s="209"/>
      <c r="R28" s="209"/>
      <c r="S28" s="208" t="s">
        <v>75</v>
      </c>
      <c r="T28" s="209"/>
      <c r="U28" s="209"/>
      <c r="V28" s="254" t="s">
        <v>373</v>
      </c>
      <c r="W28" s="255"/>
      <c r="X28" s="255"/>
      <c r="Y28" s="255"/>
      <c r="Z28" s="255"/>
      <c r="AA28" s="256"/>
      <c r="AB28" s="254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6"/>
      <c r="AR28" s="208"/>
      <c r="AS28" s="209"/>
      <c r="AT28" s="209"/>
      <c r="AU28" s="209"/>
      <c r="AV28" s="209"/>
      <c r="AW28" s="210"/>
      <c r="AX28" s="262"/>
      <c r="AY28" s="263"/>
      <c r="AZ28" s="263"/>
      <c r="BA28" s="263"/>
      <c r="BB28" s="263"/>
      <c r="BC28" s="263"/>
      <c r="BD28" s="263"/>
      <c r="BE28" s="263"/>
      <c r="BF28" s="263"/>
      <c r="BG28" s="263"/>
      <c r="BH28" s="263"/>
      <c r="BI28" s="263"/>
      <c r="BJ28" s="263"/>
      <c r="BK28" s="263"/>
      <c r="BL28" s="263"/>
      <c r="BM28" s="263"/>
      <c r="BN28" s="263"/>
      <c r="BO28" s="263"/>
      <c r="BP28" s="263"/>
      <c r="BQ28" s="263"/>
      <c r="BR28" s="263"/>
      <c r="BS28" s="263"/>
      <c r="BT28" s="26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59" t="s">
        <v>90</v>
      </c>
      <c r="F29" s="260"/>
      <c r="G29" s="260"/>
      <c r="H29" s="260"/>
      <c r="I29" s="260"/>
      <c r="J29" s="260"/>
      <c r="K29" s="260"/>
      <c r="L29" s="261"/>
      <c r="M29" s="208" t="s">
        <v>38</v>
      </c>
      <c r="N29" s="209"/>
      <c r="O29" s="209"/>
      <c r="P29" s="208" t="s">
        <v>72</v>
      </c>
      <c r="Q29" s="209"/>
      <c r="R29" s="209"/>
      <c r="S29" s="208" t="s">
        <v>75</v>
      </c>
      <c r="T29" s="209"/>
      <c r="U29" s="209"/>
      <c r="V29" s="262" t="s">
        <v>374</v>
      </c>
      <c r="W29" s="263"/>
      <c r="X29" s="263"/>
      <c r="Y29" s="263"/>
      <c r="Z29" s="263"/>
      <c r="AA29" s="264"/>
      <c r="AB29" s="273" t="s">
        <v>368</v>
      </c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6"/>
      <c r="AR29" s="208"/>
      <c r="AS29" s="209"/>
      <c r="AT29" s="209"/>
      <c r="AU29" s="209"/>
      <c r="AV29" s="209"/>
      <c r="AW29" s="210"/>
      <c r="AX29" s="262"/>
      <c r="AY29" s="263"/>
      <c r="AZ29" s="263"/>
      <c r="BA29" s="263"/>
      <c r="BB29" s="263"/>
      <c r="BC29" s="263"/>
      <c r="BD29" s="263"/>
      <c r="BE29" s="263"/>
      <c r="BF29" s="263"/>
      <c r="BG29" s="263"/>
      <c r="BH29" s="263"/>
      <c r="BI29" s="263"/>
      <c r="BJ29" s="263"/>
      <c r="BK29" s="263"/>
      <c r="BL29" s="263"/>
      <c r="BM29" s="263"/>
      <c r="BN29" s="263"/>
      <c r="BO29" s="263"/>
      <c r="BP29" s="263"/>
      <c r="BQ29" s="263"/>
      <c r="BR29" s="263"/>
      <c r="BS29" s="263"/>
      <c r="BT29" s="26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59" t="s">
        <v>91</v>
      </c>
      <c r="F30" s="260"/>
      <c r="G30" s="260"/>
      <c r="H30" s="260"/>
      <c r="I30" s="260"/>
      <c r="J30" s="260"/>
      <c r="K30" s="260"/>
      <c r="L30" s="261"/>
      <c r="M30" s="208" t="s">
        <v>47</v>
      </c>
      <c r="N30" s="209"/>
      <c r="O30" s="209"/>
      <c r="P30" s="208" t="s">
        <v>72</v>
      </c>
      <c r="Q30" s="209"/>
      <c r="R30" s="209"/>
      <c r="S30" s="208" t="s">
        <v>75</v>
      </c>
      <c r="T30" s="209"/>
      <c r="U30" s="209"/>
      <c r="V30" s="262" t="s">
        <v>376</v>
      </c>
      <c r="W30" s="263"/>
      <c r="X30" s="263"/>
      <c r="Y30" s="263"/>
      <c r="Z30" s="263"/>
      <c r="AA30" s="264"/>
      <c r="AB30" s="254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6"/>
      <c r="AR30" s="257">
        <v>9999</v>
      </c>
      <c r="AS30" s="209"/>
      <c r="AT30" s="209"/>
      <c r="AU30" s="209"/>
      <c r="AV30" s="209"/>
      <c r="AW30" s="210"/>
      <c r="AX30" s="237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8"/>
      <c r="BJ30" s="238"/>
      <c r="BK30" s="238"/>
      <c r="BL30" s="238"/>
      <c r="BM30" s="238"/>
      <c r="BN30" s="238"/>
      <c r="BO30" s="238"/>
      <c r="BP30" s="238"/>
      <c r="BQ30" s="238"/>
      <c r="BR30" s="238"/>
      <c r="BS30" s="238"/>
      <c r="BT30" s="24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59" t="s">
        <v>70</v>
      </c>
      <c r="F31" s="260"/>
      <c r="G31" s="260"/>
      <c r="H31" s="260"/>
      <c r="I31" s="260"/>
      <c r="J31" s="260"/>
      <c r="K31" s="260"/>
      <c r="L31" s="261"/>
      <c r="M31" s="208" t="s">
        <v>47</v>
      </c>
      <c r="N31" s="209"/>
      <c r="O31" s="209"/>
      <c r="P31" s="208" t="s">
        <v>72</v>
      </c>
      <c r="Q31" s="209"/>
      <c r="R31" s="209"/>
      <c r="S31" s="208" t="s">
        <v>75</v>
      </c>
      <c r="T31" s="209"/>
      <c r="U31" s="209"/>
      <c r="V31" s="262" t="s">
        <v>375</v>
      </c>
      <c r="W31" s="263"/>
      <c r="X31" s="263"/>
      <c r="Y31" s="263"/>
      <c r="Z31" s="263"/>
      <c r="AA31" s="264"/>
      <c r="AB31" s="254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6"/>
      <c r="AR31" s="257">
        <v>9999</v>
      </c>
      <c r="AS31" s="209"/>
      <c r="AT31" s="209"/>
      <c r="AU31" s="209"/>
      <c r="AV31" s="209"/>
      <c r="AW31" s="210"/>
      <c r="AX31" s="262"/>
      <c r="AY31" s="263"/>
      <c r="AZ31" s="263"/>
      <c r="BA31" s="263"/>
      <c r="BB31" s="263"/>
      <c r="BC31" s="263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3"/>
      <c r="BP31" s="263"/>
      <c r="BQ31" s="263"/>
      <c r="BR31" s="263"/>
      <c r="BS31" s="263"/>
      <c r="BT31" s="26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232" t="s">
        <v>92</v>
      </c>
      <c r="F32" s="233"/>
      <c r="G32" s="233"/>
      <c r="H32" s="233"/>
      <c r="I32" s="233"/>
      <c r="J32" s="233"/>
      <c r="K32" s="233"/>
      <c r="L32" s="234"/>
      <c r="M32" s="208" t="s">
        <v>47</v>
      </c>
      <c r="N32" s="209"/>
      <c r="O32" s="209"/>
      <c r="P32" s="235" t="s">
        <v>72</v>
      </c>
      <c r="Q32" s="236"/>
      <c r="R32" s="236"/>
      <c r="S32" s="235" t="s">
        <v>75</v>
      </c>
      <c r="T32" s="236"/>
      <c r="U32" s="236"/>
      <c r="V32" s="237" t="s">
        <v>97</v>
      </c>
      <c r="W32" s="238"/>
      <c r="X32" s="238"/>
      <c r="Y32" s="238"/>
      <c r="Z32" s="238"/>
      <c r="AA32" s="239"/>
      <c r="AB32" s="240" t="s">
        <v>99</v>
      </c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2"/>
      <c r="AR32" s="243">
        <v>9.9900000000000003E-2</v>
      </c>
      <c r="AS32" s="236"/>
      <c r="AT32" s="236"/>
      <c r="AU32" s="236"/>
      <c r="AV32" s="236"/>
      <c r="AW32" s="244"/>
      <c r="AX32" s="262"/>
      <c r="AY32" s="263"/>
      <c r="AZ32" s="263"/>
      <c r="BA32" s="263"/>
      <c r="BB32" s="263"/>
      <c r="BC32" s="263"/>
      <c r="BD32" s="263"/>
      <c r="BE32" s="263"/>
      <c r="BF32" s="263"/>
      <c r="BG32" s="263"/>
      <c r="BH32" s="263"/>
      <c r="BI32" s="263"/>
      <c r="BJ32" s="263"/>
      <c r="BK32" s="263"/>
      <c r="BL32" s="263"/>
      <c r="BM32" s="263"/>
      <c r="BN32" s="263"/>
      <c r="BO32" s="263"/>
      <c r="BP32" s="263"/>
      <c r="BQ32" s="263"/>
      <c r="BR32" s="263"/>
      <c r="BS32" s="263"/>
      <c r="BT32" s="265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246" t="s">
        <v>146</v>
      </c>
      <c r="F33" s="247"/>
      <c r="G33" s="247"/>
      <c r="H33" s="247"/>
      <c r="I33" s="247"/>
      <c r="J33" s="247"/>
      <c r="K33" s="247"/>
      <c r="L33" s="248"/>
      <c r="M33" s="249" t="s">
        <v>8</v>
      </c>
      <c r="N33" s="250"/>
      <c r="O33" s="250"/>
      <c r="P33" s="249" t="s">
        <v>72</v>
      </c>
      <c r="Q33" s="250"/>
      <c r="R33" s="250"/>
      <c r="S33" s="249">
        <v>8</v>
      </c>
      <c r="T33" s="250"/>
      <c r="U33" s="250"/>
      <c r="V33" s="251" t="s">
        <v>389</v>
      </c>
      <c r="W33" s="252"/>
      <c r="X33" s="252"/>
      <c r="Y33" s="252"/>
      <c r="Z33" s="252"/>
      <c r="AA33" s="253"/>
      <c r="AB33" s="254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6"/>
      <c r="AR33" s="257"/>
      <c r="AS33" s="209"/>
      <c r="AT33" s="209"/>
      <c r="AU33" s="209"/>
      <c r="AV33" s="209"/>
      <c r="AW33" s="210"/>
      <c r="AX33" s="251" t="s">
        <v>221</v>
      </c>
      <c r="AY33" s="252"/>
      <c r="AZ33" s="252"/>
      <c r="BA33" s="252"/>
      <c r="BB33" s="252"/>
      <c r="BC33" s="252"/>
      <c r="BD33" s="252"/>
      <c r="BE33" s="252"/>
      <c r="BF33" s="252"/>
      <c r="BG33" s="252"/>
      <c r="BH33" s="252"/>
      <c r="BI33" s="252"/>
      <c r="BJ33" s="252"/>
      <c r="BK33" s="252"/>
      <c r="BL33" s="252"/>
      <c r="BM33" s="252"/>
      <c r="BN33" s="252"/>
      <c r="BO33" s="252"/>
      <c r="BP33" s="252"/>
      <c r="BQ33" s="252"/>
      <c r="BR33" s="252"/>
      <c r="BS33" s="252"/>
      <c r="BT33" s="258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46" t="s">
        <v>147</v>
      </c>
      <c r="F34" s="247"/>
      <c r="G34" s="247"/>
      <c r="H34" s="247"/>
      <c r="I34" s="247"/>
      <c r="J34" s="247"/>
      <c r="K34" s="247"/>
      <c r="L34" s="248"/>
      <c r="M34" s="249" t="s">
        <v>8</v>
      </c>
      <c r="N34" s="250"/>
      <c r="O34" s="250"/>
      <c r="P34" s="249" t="s">
        <v>72</v>
      </c>
      <c r="Q34" s="250"/>
      <c r="R34" s="250"/>
      <c r="S34" s="249">
        <v>8</v>
      </c>
      <c r="T34" s="250"/>
      <c r="U34" s="250"/>
      <c r="V34" s="251" t="s">
        <v>390</v>
      </c>
      <c r="W34" s="252"/>
      <c r="X34" s="252"/>
      <c r="Y34" s="252"/>
      <c r="Z34" s="252"/>
      <c r="AA34" s="253"/>
      <c r="AB34" s="254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6"/>
      <c r="AR34" s="257"/>
      <c r="AS34" s="209"/>
      <c r="AT34" s="209"/>
      <c r="AU34" s="209"/>
      <c r="AV34" s="209"/>
      <c r="AW34" s="210"/>
      <c r="AX34" s="251" t="s">
        <v>221</v>
      </c>
      <c r="AY34" s="252"/>
      <c r="AZ34" s="252"/>
      <c r="BA34" s="252"/>
      <c r="BB34" s="252"/>
      <c r="BC34" s="252"/>
      <c r="BD34" s="252"/>
      <c r="BE34" s="252"/>
      <c r="BF34" s="252"/>
      <c r="BG34" s="252"/>
      <c r="BH34" s="252"/>
      <c r="BI34" s="252"/>
      <c r="BJ34" s="252"/>
      <c r="BK34" s="252"/>
      <c r="BL34" s="252"/>
      <c r="BM34" s="252"/>
      <c r="BN34" s="252"/>
      <c r="BO34" s="252"/>
      <c r="BP34" s="252"/>
      <c r="BQ34" s="252"/>
      <c r="BR34" s="252"/>
      <c r="BS34" s="252"/>
      <c r="BT34" s="258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 x14ac:dyDescent="0.5">
      <c r="A35" s="29"/>
      <c r="B35" s="44"/>
      <c r="C35" s="29"/>
      <c r="D35" s="37">
        <v>25</v>
      </c>
      <c r="E35" s="232"/>
      <c r="F35" s="233"/>
      <c r="G35" s="233"/>
      <c r="H35" s="233"/>
      <c r="I35" s="233"/>
      <c r="J35" s="233"/>
      <c r="K35" s="233"/>
      <c r="L35" s="234"/>
      <c r="M35" s="208"/>
      <c r="N35" s="209"/>
      <c r="O35" s="209"/>
      <c r="P35" s="235"/>
      <c r="Q35" s="236"/>
      <c r="R35" s="236"/>
      <c r="S35" s="235"/>
      <c r="T35" s="236"/>
      <c r="U35" s="236"/>
      <c r="V35" s="237"/>
      <c r="W35" s="238"/>
      <c r="X35" s="238"/>
      <c r="Y35" s="238"/>
      <c r="Z35" s="238"/>
      <c r="AA35" s="239"/>
      <c r="AB35" s="240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2"/>
      <c r="AR35" s="243"/>
      <c r="AS35" s="236"/>
      <c r="AT35" s="236"/>
      <c r="AU35" s="236"/>
      <c r="AV35" s="236"/>
      <c r="AW35" s="244"/>
      <c r="AX35" s="237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8"/>
      <c r="BJ35" s="238"/>
      <c r="BK35" s="238"/>
      <c r="BL35" s="238"/>
      <c r="BM35" s="238"/>
      <c r="BN35" s="238"/>
      <c r="BO35" s="238"/>
      <c r="BP35" s="238"/>
      <c r="BQ35" s="238"/>
      <c r="BR35" s="238"/>
      <c r="BS35" s="238"/>
      <c r="BT35" s="245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</mergeCells>
  <phoneticPr fontId="1"/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21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5.898437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78" t="s">
        <v>0</v>
      </c>
      <c r="C2" s="279"/>
      <c r="D2" s="279"/>
      <c r="E2" s="279"/>
      <c r="F2" s="279"/>
      <c r="G2" s="279"/>
      <c r="H2" s="279" t="s">
        <v>17</v>
      </c>
      <c r="I2" s="279"/>
      <c r="J2" s="279"/>
      <c r="K2" s="279"/>
      <c r="L2" s="279" t="s">
        <v>394</v>
      </c>
      <c r="M2" s="279"/>
      <c r="N2" s="279"/>
      <c r="O2" s="279"/>
      <c r="P2" s="279"/>
      <c r="Q2" s="279"/>
      <c r="R2" s="279" t="s">
        <v>2</v>
      </c>
      <c r="S2" s="279"/>
      <c r="T2" s="279"/>
      <c r="U2" s="279"/>
      <c r="V2" s="279"/>
      <c r="W2" s="279"/>
      <c r="X2" s="280" t="s">
        <v>3</v>
      </c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2"/>
      <c r="AK2" s="280" t="s">
        <v>32</v>
      </c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2"/>
      <c r="AX2" s="279" t="s">
        <v>5</v>
      </c>
      <c r="AY2" s="279"/>
      <c r="AZ2" s="279"/>
      <c r="BA2" s="279"/>
      <c r="BB2" s="279" t="s">
        <v>4</v>
      </c>
      <c r="BC2" s="279"/>
      <c r="BD2" s="279"/>
      <c r="BE2" s="279"/>
      <c r="BF2" s="279" t="s">
        <v>6</v>
      </c>
      <c r="BG2" s="279"/>
      <c r="BH2" s="279"/>
      <c r="BI2" s="279"/>
      <c r="BJ2" s="279" t="s">
        <v>7</v>
      </c>
      <c r="BK2" s="279"/>
      <c r="BL2" s="279"/>
      <c r="BM2" s="289"/>
    </row>
    <row r="3" spans="2:65" ht="20.100000000000001" customHeight="1" x14ac:dyDescent="0.45">
      <c r="B3" s="283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87"/>
    </row>
    <row r="4" spans="2:65" ht="20.100000000000001" customHeight="1" thickBot="1" x14ac:dyDescent="0.5">
      <c r="B4" s="284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75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7"/>
      <c r="AK4" s="275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7"/>
      <c r="AX4" s="286"/>
      <c r="AY4" s="286"/>
      <c r="AZ4" s="286"/>
      <c r="BA4" s="286"/>
      <c r="BB4" s="285"/>
      <c r="BC4" s="285"/>
      <c r="BD4" s="285"/>
      <c r="BE4" s="285"/>
      <c r="BF4" s="286"/>
      <c r="BG4" s="286"/>
      <c r="BH4" s="286"/>
      <c r="BI4" s="286"/>
      <c r="BJ4" s="285"/>
      <c r="BK4" s="285"/>
      <c r="BL4" s="285"/>
      <c r="BM4" s="288"/>
    </row>
    <row r="5" spans="2:65" ht="5.0999999999999996" customHeight="1" thickBot="1" x14ac:dyDescent="0.5"/>
    <row r="6" spans="2:65" ht="130.19999999999999" customHeight="1" x14ac:dyDescent="0.45">
      <c r="B6" s="293" t="s">
        <v>217</v>
      </c>
      <c r="C6" s="294"/>
      <c r="D6" s="294"/>
      <c r="E6" s="294"/>
      <c r="F6" s="294"/>
      <c r="G6" s="295"/>
      <c r="H6" s="127" t="s">
        <v>135</v>
      </c>
      <c r="I6" s="125"/>
      <c r="J6" s="155" t="s">
        <v>151</v>
      </c>
      <c r="K6" s="156"/>
      <c r="L6" s="156"/>
      <c r="M6" s="156"/>
      <c r="N6" s="156"/>
      <c r="O6" s="156"/>
      <c r="P6" s="156"/>
      <c r="Q6" s="157"/>
      <c r="R6" s="296" t="s">
        <v>177</v>
      </c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/>
      <c r="AJ6" s="298"/>
      <c r="AK6" s="299" t="s">
        <v>178</v>
      </c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1"/>
    </row>
    <row r="7" spans="2:65" ht="20.100000000000001" customHeight="1" x14ac:dyDescent="0.45">
      <c r="B7" s="158"/>
      <c r="C7" s="31"/>
      <c r="D7" s="31"/>
      <c r="E7" s="31"/>
      <c r="F7" s="31"/>
      <c r="G7" s="131"/>
      <c r="H7" s="132"/>
      <c r="I7" s="31"/>
      <c r="J7" s="159" t="s">
        <v>152</v>
      </c>
      <c r="K7" s="52"/>
      <c r="L7" s="52"/>
      <c r="M7" s="52"/>
      <c r="N7" s="52"/>
      <c r="O7" s="52"/>
      <c r="P7" s="52"/>
      <c r="Q7" s="160"/>
      <c r="R7" s="52">
        <v>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0"/>
      <c r="AK7" s="133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4"/>
    </row>
    <row r="8" spans="2:65" ht="20.100000000000001" customHeight="1" x14ac:dyDescent="0.45">
      <c r="B8" s="158"/>
      <c r="C8" s="31"/>
      <c r="D8" s="31"/>
      <c r="E8" s="31"/>
      <c r="F8" s="31"/>
      <c r="G8" s="131"/>
      <c r="H8" s="132"/>
      <c r="I8" s="31"/>
      <c r="J8" s="159" t="s">
        <v>153</v>
      </c>
      <c r="K8" s="52"/>
      <c r="L8" s="52"/>
      <c r="M8" s="52"/>
      <c r="N8" s="52"/>
      <c r="O8" s="52"/>
      <c r="P8" s="52"/>
      <c r="Q8" s="160"/>
      <c r="R8" s="52" t="s">
        <v>168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0"/>
      <c r="AK8" s="133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4"/>
    </row>
    <row r="9" spans="2:65" ht="20.100000000000001" customHeight="1" x14ac:dyDescent="0.45">
      <c r="B9" s="158"/>
      <c r="C9" s="31"/>
      <c r="D9" s="31"/>
      <c r="E9" s="31"/>
      <c r="F9" s="31"/>
      <c r="G9" s="131"/>
      <c r="H9" s="132"/>
      <c r="I9" s="31"/>
      <c r="J9" s="159" t="s">
        <v>154</v>
      </c>
      <c r="K9" s="52"/>
      <c r="L9" s="52"/>
      <c r="M9" s="52"/>
      <c r="N9" s="52"/>
      <c r="O9" s="52"/>
      <c r="P9" s="52"/>
      <c r="Q9" s="160"/>
      <c r="R9" s="52" t="s">
        <v>169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0"/>
      <c r="AK9" s="133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4"/>
    </row>
    <row r="10" spans="2:65" ht="20.100000000000001" customHeight="1" x14ac:dyDescent="0.45">
      <c r="B10" s="158"/>
      <c r="C10" s="31"/>
      <c r="D10" s="31"/>
      <c r="E10" s="31"/>
      <c r="F10" s="31"/>
      <c r="G10" s="131"/>
      <c r="H10" s="31"/>
      <c r="I10" s="31"/>
      <c r="J10" s="159" t="s">
        <v>155</v>
      </c>
      <c r="K10" s="52"/>
      <c r="L10" s="52"/>
      <c r="M10" s="52"/>
      <c r="N10" s="52"/>
      <c r="O10" s="52"/>
      <c r="P10" s="52"/>
      <c r="Q10" s="160"/>
      <c r="R10" s="52" t="s">
        <v>170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0"/>
      <c r="AK10" s="133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4"/>
    </row>
    <row r="11" spans="2:65" ht="20.100000000000001" customHeight="1" x14ac:dyDescent="0.45">
      <c r="B11" s="158"/>
      <c r="C11" s="31"/>
      <c r="D11" s="31"/>
      <c r="E11" s="31"/>
      <c r="F11" s="31"/>
      <c r="G11" s="131"/>
      <c r="H11" s="31"/>
      <c r="I11" s="31"/>
      <c r="J11" s="159" t="s">
        <v>156</v>
      </c>
      <c r="K11" s="52"/>
      <c r="L11" s="52"/>
      <c r="M11" s="52"/>
      <c r="N11" s="52"/>
      <c r="O11" s="52"/>
      <c r="P11" s="52"/>
      <c r="Q11" s="160"/>
      <c r="R11" s="52" t="s">
        <v>171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60"/>
      <c r="AK11" s="133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4"/>
    </row>
    <row r="12" spans="2:65" ht="20.100000000000001" customHeight="1" x14ac:dyDescent="0.45">
      <c r="B12" s="158"/>
      <c r="C12" s="31"/>
      <c r="D12" s="31"/>
      <c r="E12" s="31"/>
      <c r="F12" s="31"/>
      <c r="G12" s="131"/>
      <c r="H12" s="31"/>
      <c r="I12" s="31"/>
      <c r="J12" s="159" t="s">
        <v>157</v>
      </c>
      <c r="K12" s="52"/>
      <c r="L12" s="52"/>
      <c r="M12" s="52"/>
      <c r="N12" s="52"/>
      <c r="O12" s="52"/>
      <c r="P12" s="52"/>
      <c r="Q12" s="160"/>
      <c r="R12" s="52" t="s">
        <v>172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60"/>
      <c r="AK12" s="133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4"/>
    </row>
    <row r="13" spans="2:65" ht="20.100000000000001" customHeight="1" x14ac:dyDescent="0.45">
      <c r="B13" s="158"/>
      <c r="C13" s="31"/>
      <c r="D13" s="31"/>
      <c r="E13" s="31"/>
      <c r="F13" s="31"/>
      <c r="G13" s="131"/>
      <c r="H13" s="31"/>
      <c r="I13" s="31"/>
      <c r="J13" s="159" t="s">
        <v>158</v>
      </c>
      <c r="K13" s="52"/>
      <c r="L13" s="52"/>
      <c r="M13" s="52"/>
      <c r="N13" s="52"/>
      <c r="O13" s="52"/>
      <c r="P13" s="52"/>
      <c r="Q13" s="160"/>
      <c r="R13" s="52" t="s">
        <v>173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60"/>
      <c r="AK13" s="133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4"/>
    </row>
    <row r="14" spans="2:65" ht="20.100000000000001" customHeight="1" x14ac:dyDescent="0.45">
      <c r="B14" s="158"/>
      <c r="C14" s="31"/>
      <c r="D14" s="31"/>
      <c r="E14" s="31"/>
      <c r="F14" s="31"/>
      <c r="G14" s="131"/>
      <c r="H14" s="31"/>
      <c r="I14" s="31"/>
      <c r="J14" s="159" t="s">
        <v>159</v>
      </c>
      <c r="K14" s="52"/>
      <c r="L14" s="52"/>
      <c r="M14" s="52"/>
      <c r="N14" s="52"/>
      <c r="O14" s="52"/>
      <c r="P14" s="52"/>
      <c r="Q14" s="160"/>
      <c r="R14" s="52" t="s">
        <v>174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60"/>
      <c r="AK14" s="133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4"/>
    </row>
    <row r="15" spans="2:65" ht="20.100000000000001" customHeight="1" x14ac:dyDescent="0.45">
      <c r="B15" s="158"/>
      <c r="C15" s="31"/>
      <c r="D15" s="31"/>
      <c r="E15" s="31"/>
      <c r="F15" s="31"/>
      <c r="G15" s="131"/>
      <c r="H15" s="31"/>
      <c r="I15" s="31"/>
      <c r="J15" s="159" t="s">
        <v>160</v>
      </c>
      <c r="K15" s="52"/>
      <c r="L15" s="52"/>
      <c r="M15" s="52"/>
      <c r="N15" s="52"/>
      <c r="O15" s="52"/>
      <c r="P15" s="52"/>
      <c r="Q15" s="160"/>
      <c r="R15" s="52" t="s">
        <v>175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60"/>
      <c r="AK15" s="133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4"/>
    </row>
    <row r="16" spans="2:65" ht="20.100000000000001" customHeight="1" x14ac:dyDescent="0.45">
      <c r="B16" s="158"/>
      <c r="C16" s="31"/>
      <c r="D16" s="31"/>
      <c r="E16" s="31"/>
      <c r="F16" s="31"/>
      <c r="G16" s="131"/>
      <c r="H16" s="31"/>
      <c r="I16" s="31"/>
      <c r="J16" s="159" t="s">
        <v>161</v>
      </c>
      <c r="K16" s="52"/>
      <c r="L16" s="52"/>
      <c r="M16" s="52"/>
      <c r="N16" s="52"/>
      <c r="O16" s="52"/>
      <c r="P16" s="52"/>
      <c r="Q16" s="160"/>
      <c r="R16" s="52" t="s">
        <v>176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60"/>
      <c r="AK16" s="133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4"/>
    </row>
    <row r="17" spans="2:61" ht="20.100000000000001" customHeight="1" x14ac:dyDescent="0.45">
      <c r="B17" s="158"/>
      <c r="C17" s="31"/>
      <c r="D17" s="31"/>
      <c r="E17" s="31"/>
      <c r="F17" s="31"/>
      <c r="G17" s="131"/>
      <c r="H17" s="31"/>
      <c r="I17" s="31"/>
      <c r="J17" s="159" t="s">
        <v>162</v>
      </c>
      <c r="K17" s="52"/>
      <c r="L17" s="52"/>
      <c r="M17" s="52"/>
      <c r="N17" s="52"/>
      <c r="O17" s="52"/>
      <c r="P17" s="52"/>
      <c r="Q17" s="160"/>
      <c r="R17" s="52" t="s">
        <v>167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60"/>
      <c r="AK17" s="133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4"/>
    </row>
    <row r="18" spans="2:61" ht="20.100000000000001" customHeight="1" x14ac:dyDescent="0.45">
      <c r="B18" s="158"/>
      <c r="C18" s="31"/>
      <c r="D18" s="31"/>
      <c r="E18" s="31"/>
      <c r="F18" s="31"/>
      <c r="G18" s="131"/>
      <c r="H18" s="31"/>
      <c r="I18" s="31"/>
      <c r="J18" s="159" t="s">
        <v>163</v>
      </c>
      <c r="K18" s="52"/>
      <c r="L18" s="52"/>
      <c r="M18" s="52"/>
      <c r="N18" s="52"/>
      <c r="O18" s="52"/>
      <c r="P18" s="52"/>
      <c r="Q18" s="160"/>
      <c r="R18" s="52" t="s">
        <v>166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60"/>
      <c r="AK18" s="133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4"/>
    </row>
    <row r="19" spans="2:61" ht="20.100000000000001" customHeight="1" x14ac:dyDescent="0.45">
      <c r="B19" s="158"/>
      <c r="C19" s="31"/>
      <c r="D19" s="31"/>
      <c r="E19" s="31"/>
      <c r="F19" s="31"/>
      <c r="G19" s="131"/>
      <c r="H19" s="31"/>
      <c r="I19" s="31"/>
      <c r="J19" s="159" t="s">
        <v>164</v>
      </c>
      <c r="K19" s="52"/>
      <c r="L19" s="52"/>
      <c r="M19" s="52"/>
      <c r="N19" s="52"/>
      <c r="O19" s="52"/>
      <c r="P19" s="52"/>
      <c r="Q19" s="160"/>
      <c r="R19" s="51" t="s">
        <v>165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60"/>
      <c r="AK19" s="133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4"/>
    </row>
    <row r="20" spans="2:61" ht="20.100000000000001" customHeight="1" x14ac:dyDescent="0.45">
      <c r="B20" s="158"/>
      <c r="C20" s="31"/>
      <c r="D20" s="31"/>
      <c r="E20" s="31"/>
      <c r="F20" s="31"/>
      <c r="G20" s="131"/>
      <c r="H20" s="31"/>
      <c r="I20" s="31"/>
      <c r="J20" s="135" t="s">
        <v>222</v>
      </c>
      <c r="K20" s="55"/>
      <c r="L20" s="55"/>
      <c r="M20" s="55"/>
      <c r="N20" s="55"/>
      <c r="O20" s="55"/>
      <c r="P20" s="55"/>
      <c r="Q20" s="160"/>
      <c r="R20" s="54" t="s">
        <v>223</v>
      </c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33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4"/>
    </row>
    <row r="21" spans="2:61" ht="20.100000000000001" customHeight="1" x14ac:dyDescent="0.45">
      <c r="B21" s="158"/>
      <c r="C21" s="31"/>
      <c r="D21" s="31"/>
      <c r="E21" s="31"/>
      <c r="F21" s="31"/>
      <c r="G21" s="131"/>
      <c r="H21" s="135" t="s">
        <v>104</v>
      </c>
      <c r="I21" s="55"/>
      <c r="J21" s="135" t="s">
        <v>179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36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137"/>
    </row>
    <row r="22" spans="2:61" ht="20.100000000000001" customHeight="1" x14ac:dyDescent="0.45">
      <c r="B22" s="158"/>
      <c r="C22" s="31"/>
      <c r="D22" s="31"/>
      <c r="E22" s="31"/>
      <c r="F22" s="31"/>
      <c r="G22" s="131"/>
      <c r="H22" s="132"/>
      <c r="I22" s="31"/>
      <c r="J22" s="132" t="s">
        <v>189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33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4"/>
    </row>
    <row r="23" spans="2:61" ht="20.100000000000001" customHeight="1" x14ac:dyDescent="0.45">
      <c r="B23" s="158"/>
      <c r="C23" s="31"/>
      <c r="D23" s="31"/>
      <c r="E23" s="31"/>
      <c r="F23" s="31"/>
      <c r="G23" s="131"/>
      <c r="H23" s="132"/>
      <c r="I23" s="31"/>
      <c r="J23" s="132" t="s">
        <v>180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3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4"/>
    </row>
    <row r="24" spans="2:61" ht="20.100000000000001" customHeight="1" x14ac:dyDescent="0.45">
      <c r="B24" s="130"/>
      <c r="C24" s="31"/>
      <c r="D24" s="31"/>
      <c r="E24" s="31"/>
      <c r="F24" s="31"/>
      <c r="G24" s="131"/>
      <c r="I24" s="31"/>
      <c r="J24" s="132" t="s">
        <v>181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3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4"/>
    </row>
    <row r="25" spans="2:61" ht="20.100000000000001" customHeight="1" x14ac:dyDescent="0.45">
      <c r="B25" s="130"/>
      <c r="C25" s="31"/>
      <c r="D25" s="31"/>
      <c r="E25" s="31"/>
      <c r="F25" s="31"/>
      <c r="G25" s="131"/>
      <c r="H25" s="132"/>
      <c r="I25" s="31"/>
      <c r="J25" s="132" t="s">
        <v>182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3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4"/>
    </row>
    <row r="26" spans="2:61" ht="20.100000000000001" customHeight="1" x14ac:dyDescent="0.45">
      <c r="B26" s="130"/>
      <c r="C26" s="31"/>
      <c r="D26" s="31"/>
      <c r="E26" s="31"/>
      <c r="F26" s="31"/>
      <c r="G26" s="131"/>
      <c r="H26" s="132"/>
      <c r="I26" s="31"/>
      <c r="J26" s="132" t="s">
        <v>183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3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4"/>
    </row>
    <row r="27" spans="2:61" ht="20.100000000000001" customHeight="1" x14ac:dyDescent="0.45">
      <c r="B27" s="130"/>
      <c r="C27" s="31"/>
      <c r="D27" s="31"/>
      <c r="E27" s="31"/>
      <c r="F27" s="31"/>
      <c r="G27" s="131"/>
      <c r="H27" s="132"/>
      <c r="I27" s="31"/>
      <c r="J27" s="132" t="s">
        <v>184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3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4"/>
    </row>
    <row r="28" spans="2:61" ht="20.100000000000001" customHeight="1" x14ac:dyDescent="0.45">
      <c r="B28" s="130"/>
      <c r="C28" s="31"/>
      <c r="D28" s="31"/>
      <c r="E28" s="31"/>
      <c r="F28" s="31"/>
      <c r="G28" s="131"/>
      <c r="H28" s="135" t="s">
        <v>105</v>
      </c>
      <c r="I28" s="55"/>
      <c r="J28" s="135" t="s">
        <v>185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136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137"/>
    </row>
    <row r="29" spans="2:61" ht="20.100000000000001" customHeight="1" x14ac:dyDescent="0.45">
      <c r="B29" s="130"/>
      <c r="C29" s="31"/>
      <c r="D29" s="31"/>
      <c r="E29" s="31"/>
      <c r="F29" s="31"/>
      <c r="G29" s="131"/>
      <c r="H29" s="132"/>
      <c r="I29" s="31"/>
      <c r="J29" s="132"/>
      <c r="K29" s="31" t="s">
        <v>186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3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4"/>
    </row>
    <row r="30" spans="2:61" ht="20.100000000000001" customHeight="1" x14ac:dyDescent="0.45">
      <c r="B30" s="130"/>
      <c r="C30" s="31"/>
      <c r="D30" s="31"/>
      <c r="E30" s="31"/>
      <c r="F30" s="31"/>
      <c r="G30" s="131"/>
      <c r="H30" s="132"/>
      <c r="I30" s="31"/>
      <c r="J30" s="132"/>
      <c r="K30" s="31"/>
      <c r="L30" s="31"/>
      <c r="M30" s="31" t="s">
        <v>187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3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4"/>
    </row>
    <row r="31" spans="2:61" ht="20.100000000000001" customHeight="1" x14ac:dyDescent="0.45">
      <c r="B31" s="130"/>
      <c r="C31" s="31"/>
      <c r="D31" s="31"/>
      <c r="E31" s="31"/>
      <c r="F31" s="31"/>
      <c r="G31" s="131"/>
      <c r="H31" s="132"/>
      <c r="I31" s="31"/>
      <c r="J31" s="132" t="s">
        <v>188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33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4"/>
    </row>
    <row r="32" spans="2:61" ht="20.100000000000001" customHeight="1" x14ac:dyDescent="0.45">
      <c r="B32" s="130"/>
      <c r="C32" s="31"/>
      <c r="D32" s="31"/>
      <c r="E32" s="31"/>
      <c r="F32" s="31"/>
      <c r="G32" s="131"/>
      <c r="H32" s="132"/>
      <c r="I32" s="31"/>
      <c r="J32" s="132"/>
      <c r="K32" s="31" t="s">
        <v>190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3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4"/>
    </row>
    <row r="33" spans="2:61" ht="20.100000000000001" customHeight="1" x14ac:dyDescent="0.45">
      <c r="B33" s="130"/>
      <c r="C33" s="31"/>
      <c r="D33" s="31"/>
      <c r="E33" s="31"/>
      <c r="F33" s="31"/>
      <c r="G33" s="131"/>
      <c r="H33" s="132"/>
      <c r="I33" s="31"/>
      <c r="J33" s="132"/>
      <c r="K33" s="31"/>
      <c r="L33" s="31"/>
      <c r="M33" s="31" t="s">
        <v>191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3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4"/>
    </row>
    <row r="34" spans="2:61" ht="20.100000000000001" customHeight="1" x14ac:dyDescent="0.45">
      <c r="B34" s="130"/>
      <c r="C34" s="31"/>
      <c r="D34" s="31"/>
      <c r="E34" s="31"/>
      <c r="F34" s="31"/>
      <c r="G34" s="131"/>
      <c r="H34" s="132"/>
      <c r="I34" s="31"/>
      <c r="J34" s="132" t="s">
        <v>185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33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4"/>
    </row>
    <row r="35" spans="2:61" ht="20.100000000000001" customHeight="1" x14ac:dyDescent="0.45">
      <c r="B35" s="130"/>
      <c r="C35" s="31"/>
      <c r="D35" s="31"/>
      <c r="E35" s="31"/>
      <c r="F35" s="31"/>
      <c r="G35" s="131"/>
      <c r="H35" s="132"/>
      <c r="I35" s="31"/>
      <c r="J35" s="132"/>
      <c r="K35" s="31" t="s">
        <v>192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33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4"/>
    </row>
    <row r="36" spans="2:61" ht="20.100000000000001" customHeight="1" x14ac:dyDescent="0.45">
      <c r="B36" s="130"/>
      <c r="C36" s="31"/>
      <c r="D36" s="31"/>
      <c r="E36" s="31"/>
      <c r="F36" s="31"/>
      <c r="G36" s="131"/>
      <c r="H36" s="132"/>
      <c r="I36" s="31"/>
      <c r="J36" s="132"/>
      <c r="K36" s="31"/>
      <c r="L36" s="31"/>
      <c r="M36" s="31" t="s">
        <v>193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33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4"/>
    </row>
    <row r="37" spans="2:61" ht="20.100000000000001" customHeight="1" x14ac:dyDescent="0.45">
      <c r="B37" s="130"/>
      <c r="C37" s="31"/>
      <c r="D37" s="31"/>
      <c r="E37" s="31"/>
      <c r="F37" s="31"/>
      <c r="G37" s="131"/>
      <c r="H37" s="132"/>
      <c r="I37" s="31"/>
      <c r="J37" s="132" t="s">
        <v>185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33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4"/>
    </row>
    <row r="38" spans="2:61" ht="20.100000000000001" customHeight="1" x14ac:dyDescent="0.45">
      <c r="B38" s="130"/>
      <c r="C38" s="31"/>
      <c r="D38" s="31"/>
      <c r="E38" s="31"/>
      <c r="F38" s="31"/>
      <c r="G38" s="131"/>
      <c r="H38" s="132"/>
      <c r="I38" s="31"/>
      <c r="J38" s="132"/>
      <c r="K38" s="31" t="s">
        <v>194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33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4"/>
    </row>
    <row r="39" spans="2:61" ht="20.100000000000001" customHeight="1" x14ac:dyDescent="0.45">
      <c r="B39" s="130"/>
      <c r="C39" s="31"/>
      <c r="D39" s="31"/>
      <c r="E39" s="31"/>
      <c r="F39" s="31"/>
      <c r="G39" s="131"/>
      <c r="H39" s="132"/>
      <c r="I39" s="31"/>
      <c r="J39" s="132"/>
      <c r="K39" s="31"/>
      <c r="L39" s="31"/>
      <c r="M39" s="31" t="s">
        <v>195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3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4"/>
    </row>
    <row r="40" spans="2:61" ht="20.100000000000001" customHeight="1" x14ac:dyDescent="0.45">
      <c r="B40" s="130"/>
      <c r="C40" s="31"/>
      <c r="D40" s="31"/>
      <c r="E40" s="31"/>
      <c r="F40" s="31"/>
      <c r="G40" s="131"/>
      <c r="H40" s="132"/>
      <c r="I40" s="31"/>
      <c r="J40" s="132" t="s">
        <v>188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3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4"/>
    </row>
    <row r="41" spans="2:61" ht="20.100000000000001" customHeight="1" x14ac:dyDescent="0.45">
      <c r="B41" s="130"/>
      <c r="C41" s="31"/>
      <c r="D41" s="31"/>
      <c r="E41" s="31"/>
      <c r="F41" s="31"/>
      <c r="G41" s="131"/>
      <c r="H41" s="132"/>
      <c r="I41" s="31"/>
      <c r="J41" s="132"/>
      <c r="K41" s="31" t="s">
        <v>196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3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4"/>
    </row>
    <row r="42" spans="2:61" ht="20.100000000000001" customHeight="1" x14ac:dyDescent="0.45">
      <c r="B42" s="130"/>
      <c r="C42" s="31"/>
      <c r="D42" s="31"/>
      <c r="E42" s="31"/>
      <c r="F42" s="31"/>
      <c r="G42" s="131"/>
      <c r="H42" s="132"/>
      <c r="I42" s="31"/>
      <c r="J42" s="132"/>
      <c r="K42" s="31"/>
      <c r="L42" s="31"/>
      <c r="M42" s="31" t="s">
        <v>197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33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4"/>
    </row>
    <row r="43" spans="2:61" ht="20.100000000000001" customHeight="1" x14ac:dyDescent="0.45">
      <c r="B43" s="130"/>
      <c r="C43" s="31"/>
      <c r="D43" s="31"/>
      <c r="E43" s="31"/>
      <c r="F43" s="31"/>
      <c r="G43" s="131"/>
      <c r="H43" s="132"/>
      <c r="I43" s="31"/>
      <c r="J43" s="132" t="s">
        <v>188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33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4"/>
    </row>
    <row r="44" spans="2:61" ht="20.100000000000001" customHeight="1" x14ac:dyDescent="0.45">
      <c r="B44" s="130"/>
      <c r="C44" s="31"/>
      <c r="D44" s="31"/>
      <c r="E44" s="31"/>
      <c r="F44" s="31"/>
      <c r="G44" s="131"/>
      <c r="H44" s="132"/>
      <c r="I44" s="31"/>
      <c r="J44" s="132"/>
      <c r="K44" s="31" t="s">
        <v>194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33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4"/>
    </row>
    <row r="45" spans="2:61" ht="20.100000000000001" customHeight="1" x14ac:dyDescent="0.45">
      <c r="B45" s="130"/>
      <c r="C45" s="31"/>
      <c r="D45" s="31"/>
      <c r="E45" s="31"/>
      <c r="F45" s="31"/>
      <c r="G45" s="131"/>
      <c r="H45" s="138"/>
      <c r="I45" s="139"/>
      <c r="J45" s="138"/>
      <c r="K45" s="139"/>
      <c r="L45" s="139"/>
      <c r="M45" s="139" t="s">
        <v>198</v>
      </c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40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41"/>
    </row>
    <row r="46" spans="2:61" ht="20.100000000000001" customHeight="1" x14ac:dyDescent="0.45">
      <c r="B46" s="130"/>
      <c r="C46" s="31"/>
      <c r="D46" s="31"/>
      <c r="E46" s="31"/>
      <c r="F46" s="31"/>
      <c r="G46" s="131"/>
      <c r="H46" s="132" t="s">
        <v>106</v>
      </c>
      <c r="I46" s="31"/>
      <c r="J46" s="132"/>
      <c r="K46" s="31" t="s">
        <v>203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33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4"/>
    </row>
    <row r="47" spans="2:61" ht="20.100000000000001" customHeight="1" x14ac:dyDescent="0.45">
      <c r="B47" s="130"/>
      <c r="C47" s="31"/>
      <c r="D47" s="31"/>
      <c r="E47" s="31"/>
      <c r="F47" s="31"/>
      <c r="G47" s="131"/>
      <c r="H47" s="132"/>
      <c r="I47" s="31"/>
      <c r="J47" s="132" t="s">
        <v>199</v>
      </c>
      <c r="K47" s="31" t="s">
        <v>204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3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4"/>
    </row>
    <row r="48" spans="2:61" ht="20.100000000000001" customHeight="1" x14ac:dyDescent="0.45">
      <c r="B48" s="130"/>
      <c r="C48" s="31"/>
      <c r="D48" s="31"/>
      <c r="E48" s="31"/>
      <c r="F48" s="31"/>
      <c r="G48" s="131"/>
      <c r="H48" s="132"/>
      <c r="I48" s="31"/>
      <c r="J48" s="132" t="s">
        <v>200</v>
      </c>
      <c r="K48" s="31"/>
      <c r="L48" s="31" t="s">
        <v>201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33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4"/>
    </row>
    <row r="49" spans="2:61" ht="20.100000000000001" customHeight="1" thickBot="1" x14ac:dyDescent="0.5">
      <c r="B49" s="130"/>
      <c r="C49" s="31"/>
      <c r="D49" s="31"/>
      <c r="E49" s="31"/>
      <c r="F49" s="31"/>
      <c r="G49" s="131"/>
      <c r="H49" s="132"/>
      <c r="I49" s="31"/>
      <c r="J49" s="132" t="s">
        <v>199</v>
      </c>
      <c r="K49" s="31" t="s">
        <v>205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33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4"/>
    </row>
    <row r="50" spans="2:61" ht="123.6" customHeight="1" x14ac:dyDescent="0.45">
      <c r="B50" s="130"/>
      <c r="C50" s="31"/>
      <c r="D50" s="31"/>
      <c r="E50" s="31"/>
      <c r="F50" s="31"/>
      <c r="G50" s="131"/>
      <c r="H50" s="185" t="s">
        <v>202</v>
      </c>
      <c r="I50" s="55"/>
      <c r="J50" s="302" t="s">
        <v>216</v>
      </c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Y50" s="303"/>
      <c r="Z50" s="303"/>
      <c r="AA50" s="303"/>
      <c r="AB50" s="303"/>
      <c r="AC50" s="303"/>
      <c r="AD50" s="303"/>
      <c r="AE50" s="303"/>
      <c r="AF50" s="303"/>
      <c r="AG50" s="303"/>
      <c r="AH50" s="303"/>
      <c r="AI50" s="303"/>
      <c r="AJ50" s="304"/>
      <c r="AK50" s="299" t="s">
        <v>178</v>
      </c>
      <c r="AL50" s="300"/>
      <c r="AM50" s="300"/>
      <c r="AN50" s="300"/>
      <c r="AO50" s="300"/>
      <c r="AP50" s="300"/>
      <c r="AQ50" s="300"/>
      <c r="AR50" s="300"/>
      <c r="AS50" s="300"/>
      <c r="AT50" s="300"/>
      <c r="AU50" s="300"/>
      <c r="AV50" s="300"/>
      <c r="AW50" s="300"/>
      <c r="AX50" s="300"/>
      <c r="AY50" s="300"/>
      <c r="AZ50" s="300"/>
      <c r="BA50" s="300"/>
      <c r="BB50" s="300"/>
      <c r="BC50" s="300"/>
      <c r="BD50" s="300"/>
      <c r="BE50" s="300"/>
      <c r="BF50" s="300"/>
      <c r="BG50" s="300"/>
      <c r="BH50" s="300"/>
      <c r="BI50" s="301"/>
    </row>
    <row r="51" spans="2:61" ht="20.100000000000001" customHeight="1" x14ac:dyDescent="0.45">
      <c r="B51" s="130"/>
      <c r="C51" s="31"/>
      <c r="D51" s="31"/>
      <c r="E51" s="31"/>
      <c r="F51" s="31"/>
      <c r="G51" s="131"/>
      <c r="H51" s="132"/>
      <c r="I51" s="31"/>
      <c r="J51" s="132" t="s">
        <v>215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32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4"/>
    </row>
    <row r="52" spans="2:61" ht="20.100000000000001" customHeight="1" x14ac:dyDescent="0.45">
      <c r="B52" s="130"/>
      <c r="C52" s="31"/>
      <c r="D52" s="31"/>
      <c r="E52" s="31"/>
      <c r="F52" s="31"/>
      <c r="G52" s="131"/>
      <c r="H52" s="132"/>
      <c r="I52" s="31"/>
      <c r="J52" s="132" t="s">
        <v>206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32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4"/>
    </row>
    <row r="53" spans="2:61" ht="20.100000000000001" customHeight="1" x14ac:dyDescent="0.45">
      <c r="B53" s="130"/>
      <c r="C53" s="31"/>
      <c r="D53" s="31"/>
      <c r="E53" s="31"/>
      <c r="F53" s="31"/>
      <c r="G53" s="131"/>
      <c r="H53" s="132"/>
      <c r="I53" s="31"/>
      <c r="J53" s="132" t="s">
        <v>207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32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4"/>
    </row>
    <row r="54" spans="2:61" ht="20.100000000000001" customHeight="1" x14ac:dyDescent="0.45">
      <c r="B54" s="130"/>
      <c r="C54" s="31"/>
      <c r="D54" s="31"/>
      <c r="E54" s="31"/>
      <c r="F54" s="31"/>
      <c r="G54" s="131"/>
      <c r="H54" s="132"/>
      <c r="I54" s="31"/>
      <c r="J54" s="132" t="s">
        <v>208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32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4"/>
    </row>
    <row r="55" spans="2:61" ht="20.100000000000001" customHeight="1" x14ac:dyDescent="0.45">
      <c r="B55" s="130"/>
      <c r="C55" s="31"/>
      <c r="D55" s="31"/>
      <c r="E55" s="31"/>
      <c r="F55" s="31"/>
      <c r="G55" s="131"/>
      <c r="H55" s="132"/>
      <c r="I55" s="31"/>
      <c r="J55" s="132" t="s">
        <v>209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32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4"/>
    </row>
    <row r="56" spans="2:61" ht="20.100000000000001" customHeight="1" x14ac:dyDescent="0.45">
      <c r="B56" s="130"/>
      <c r="C56" s="31"/>
      <c r="D56" s="31"/>
      <c r="E56" s="31"/>
      <c r="F56" s="31"/>
      <c r="G56" s="131"/>
      <c r="H56" s="132"/>
      <c r="I56" s="31"/>
      <c r="J56" s="132" t="s">
        <v>210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32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4"/>
    </row>
    <row r="57" spans="2:61" ht="20.100000000000001" customHeight="1" x14ac:dyDescent="0.45">
      <c r="B57" s="130"/>
      <c r="C57" s="31"/>
      <c r="D57" s="31"/>
      <c r="E57" s="31"/>
      <c r="F57" s="31"/>
      <c r="G57" s="131"/>
      <c r="H57" s="132"/>
      <c r="I57" s="31"/>
      <c r="J57" s="132" t="s">
        <v>211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32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4"/>
    </row>
    <row r="58" spans="2:61" ht="20.100000000000001" customHeight="1" x14ac:dyDescent="0.45">
      <c r="B58" s="130"/>
      <c r="C58" s="31"/>
      <c r="D58" s="31"/>
      <c r="E58" s="31"/>
      <c r="F58" s="31"/>
      <c r="G58" s="131"/>
      <c r="H58" s="132"/>
      <c r="I58" s="31"/>
      <c r="J58" s="132" t="s">
        <v>212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2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4"/>
    </row>
    <row r="59" spans="2:61" ht="20.100000000000001" customHeight="1" x14ac:dyDescent="0.45">
      <c r="B59" s="130"/>
      <c r="C59" s="31"/>
      <c r="D59" s="31"/>
      <c r="E59" s="31"/>
      <c r="F59" s="31"/>
      <c r="G59" s="131"/>
      <c r="H59" s="132"/>
      <c r="I59" s="31"/>
      <c r="J59" s="132" t="s">
        <v>213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2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4"/>
    </row>
    <row r="60" spans="2:61" ht="20.100000000000001" customHeight="1" thickBot="1" x14ac:dyDescent="0.5">
      <c r="B60" s="130"/>
      <c r="C60" s="31"/>
      <c r="D60" s="31"/>
      <c r="E60" s="31"/>
      <c r="F60" s="31"/>
      <c r="G60" s="131"/>
      <c r="H60" s="132"/>
      <c r="I60" s="31"/>
      <c r="J60" s="132" t="s">
        <v>214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32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4"/>
    </row>
    <row r="61" spans="2:61" ht="17.399999999999999" customHeight="1" x14ac:dyDescent="0.45">
      <c r="B61" s="182" t="s">
        <v>225</v>
      </c>
      <c r="C61" s="180"/>
      <c r="D61" s="180"/>
      <c r="E61" s="180"/>
      <c r="F61" s="180"/>
      <c r="G61" s="181"/>
      <c r="H61" s="127" t="s">
        <v>228</v>
      </c>
      <c r="I61" s="125"/>
      <c r="J61" s="127" t="s">
        <v>235</v>
      </c>
      <c r="K61" s="125"/>
      <c r="L61" s="125"/>
      <c r="M61" s="125"/>
      <c r="N61" s="125"/>
      <c r="O61" s="125"/>
      <c r="P61" s="125"/>
      <c r="Q61" s="125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4"/>
      <c r="AK61" s="173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7"/>
    </row>
    <row r="62" spans="2:61" ht="20.100000000000001" customHeight="1" x14ac:dyDescent="0.45">
      <c r="B62" s="158" t="s">
        <v>226</v>
      </c>
      <c r="C62" s="31"/>
      <c r="D62" s="31"/>
      <c r="E62" s="31"/>
      <c r="F62" s="31"/>
      <c r="G62" s="131"/>
      <c r="H62" s="132" t="s">
        <v>229</v>
      </c>
      <c r="I62" s="31"/>
      <c r="J62" s="132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131"/>
      <c r="AK62" s="133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4"/>
    </row>
    <row r="63" spans="2:61" ht="20.100000000000001" customHeight="1" x14ac:dyDescent="0.45">
      <c r="B63" s="158"/>
      <c r="C63" s="31"/>
      <c r="D63" s="31"/>
      <c r="E63" s="31"/>
      <c r="F63" s="31"/>
      <c r="G63" s="131"/>
      <c r="H63" s="135" t="s">
        <v>230</v>
      </c>
      <c r="I63" s="55"/>
      <c r="J63" s="135" t="s">
        <v>234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136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137"/>
    </row>
    <row r="64" spans="2:61" ht="20.100000000000001" customHeight="1" x14ac:dyDescent="0.45">
      <c r="B64" s="158"/>
      <c r="C64" s="31"/>
      <c r="D64" s="31"/>
      <c r="E64" s="31"/>
      <c r="F64" s="31"/>
      <c r="G64" s="131"/>
      <c r="H64" s="132"/>
      <c r="I64" s="31"/>
      <c r="J64" s="132"/>
      <c r="K64" s="31"/>
      <c r="L64" s="31" t="s">
        <v>231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3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4"/>
    </row>
    <row r="65" spans="2:61" ht="20.100000000000001" customHeight="1" x14ac:dyDescent="0.45">
      <c r="B65" s="158"/>
      <c r="C65" s="31"/>
      <c r="D65" s="31"/>
      <c r="E65" s="31"/>
      <c r="F65" s="31"/>
      <c r="G65" s="131"/>
      <c r="H65" s="132"/>
      <c r="I65" s="31"/>
      <c r="J65" s="132"/>
      <c r="K65" s="31" t="s">
        <v>340</v>
      </c>
      <c r="L65" s="31" t="s">
        <v>232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3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4"/>
    </row>
    <row r="66" spans="2:61" ht="20.100000000000001" customHeight="1" x14ac:dyDescent="0.45">
      <c r="B66" s="130"/>
      <c r="C66" s="31"/>
      <c r="D66" s="31"/>
      <c r="E66" s="31"/>
      <c r="F66" s="31"/>
      <c r="G66" s="131"/>
      <c r="I66" s="31"/>
      <c r="J66" s="132"/>
      <c r="K66" s="31" t="s">
        <v>340</v>
      </c>
      <c r="L66" s="31" t="s">
        <v>233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3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4"/>
    </row>
    <row r="67" spans="2:61" ht="20.100000000000001" customHeight="1" x14ac:dyDescent="0.45">
      <c r="B67" s="130"/>
      <c r="C67" s="31"/>
      <c r="D67" s="31"/>
      <c r="E67" s="31"/>
      <c r="F67" s="31"/>
      <c r="G67" s="131"/>
      <c r="H67" s="135" t="s">
        <v>236</v>
      </c>
      <c r="I67" s="55"/>
      <c r="J67" s="135" t="s">
        <v>237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136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37"/>
    </row>
    <row r="68" spans="2:61" ht="20.100000000000001" customHeight="1" x14ac:dyDescent="0.45">
      <c r="B68" s="130"/>
      <c r="C68" s="31"/>
      <c r="D68" s="31"/>
      <c r="E68" s="31"/>
      <c r="F68" s="31"/>
      <c r="G68" s="131"/>
      <c r="H68" s="132"/>
      <c r="I68" s="31"/>
      <c r="J68" s="132"/>
      <c r="K68" s="31" t="s">
        <v>238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3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4"/>
    </row>
    <row r="69" spans="2:61" ht="20.100000000000001" customHeight="1" x14ac:dyDescent="0.45">
      <c r="B69" s="130"/>
      <c r="C69" s="31"/>
      <c r="D69" s="31"/>
      <c r="E69" s="31"/>
      <c r="F69" s="31"/>
      <c r="G69" s="131"/>
      <c r="H69" s="132"/>
      <c r="I69" s="31"/>
      <c r="J69" s="132"/>
      <c r="K69" s="31"/>
      <c r="L69" s="31"/>
      <c r="M69" s="31" t="s">
        <v>239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33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4"/>
    </row>
    <row r="70" spans="2:61" ht="20.100000000000001" customHeight="1" x14ac:dyDescent="0.45">
      <c r="B70" s="130"/>
      <c r="C70" s="31"/>
      <c r="D70" s="31"/>
      <c r="E70" s="31"/>
      <c r="F70" s="31"/>
      <c r="G70" s="131"/>
      <c r="H70" s="132"/>
      <c r="I70" s="31"/>
      <c r="J70" s="132" t="s">
        <v>240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3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4"/>
    </row>
    <row r="71" spans="2:61" ht="20.100000000000001" customHeight="1" x14ac:dyDescent="0.45">
      <c r="B71" s="130"/>
      <c r="C71" s="31"/>
      <c r="D71" s="31"/>
      <c r="E71" s="31"/>
      <c r="F71" s="31"/>
      <c r="G71" s="131"/>
      <c r="H71" s="132"/>
      <c r="I71" s="31"/>
      <c r="J71" s="132"/>
      <c r="K71" s="31" t="s">
        <v>241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33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4"/>
    </row>
    <row r="72" spans="2:61" ht="20.100000000000001" customHeight="1" x14ac:dyDescent="0.45">
      <c r="B72" s="130"/>
      <c r="C72" s="31"/>
      <c r="D72" s="31"/>
      <c r="E72" s="31"/>
      <c r="F72" s="31"/>
      <c r="G72" s="131"/>
      <c r="H72" s="132"/>
      <c r="I72" s="31"/>
      <c r="J72" s="159" t="s">
        <v>151</v>
      </c>
      <c r="K72" s="52"/>
      <c r="L72" s="52"/>
      <c r="M72" s="52"/>
      <c r="N72" s="52"/>
      <c r="O72" s="52"/>
      <c r="P72" s="52"/>
      <c r="Q72" s="160"/>
      <c r="R72" s="52" t="s">
        <v>248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60"/>
      <c r="AK72" s="133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4"/>
    </row>
    <row r="73" spans="2:61" ht="20.100000000000001" customHeight="1" x14ac:dyDescent="0.45">
      <c r="B73" s="130"/>
      <c r="C73" s="31"/>
      <c r="D73" s="31"/>
      <c r="E73" s="31"/>
      <c r="F73" s="31"/>
      <c r="G73" s="131"/>
      <c r="H73" s="132"/>
      <c r="I73" s="31"/>
      <c r="J73" s="159" t="s">
        <v>152</v>
      </c>
      <c r="K73" s="52"/>
      <c r="L73" s="52"/>
      <c r="M73" s="52"/>
      <c r="N73" s="52"/>
      <c r="O73" s="52"/>
      <c r="P73" s="52"/>
      <c r="Q73" s="160"/>
      <c r="R73" s="52" t="s">
        <v>249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60"/>
      <c r="AK73" s="133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4"/>
    </row>
    <row r="74" spans="2:61" ht="20.100000000000001" customHeight="1" x14ac:dyDescent="0.45">
      <c r="B74" s="130"/>
      <c r="C74" s="31"/>
      <c r="D74" s="31"/>
      <c r="E74" s="31"/>
      <c r="F74" s="31"/>
      <c r="G74" s="131"/>
      <c r="H74" s="132"/>
      <c r="I74" s="31"/>
      <c r="J74" s="159" t="s">
        <v>153</v>
      </c>
      <c r="K74" s="52"/>
      <c r="L74" s="52"/>
      <c r="M74" s="52"/>
      <c r="N74" s="52"/>
      <c r="O74" s="52"/>
      <c r="P74" s="52"/>
      <c r="Q74" s="160"/>
      <c r="R74" s="52" t="s">
        <v>250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60"/>
      <c r="AK74" s="133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4"/>
    </row>
    <row r="75" spans="2:61" ht="20.100000000000001" customHeight="1" x14ac:dyDescent="0.45">
      <c r="B75" s="130"/>
      <c r="C75" s="31"/>
      <c r="D75" s="31"/>
      <c r="E75" s="31"/>
      <c r="F75" s="31"/>
      <c r="G75" s="131"/>
      <c r="H75" s="132"/>
      <c r="I75" s="31"/>
      <c r="J75" s="159" t="s">
        <v>154</v>
      </c>
      <c r="K75" s="52"/>
      <c r="L75" s="52"/>
      <c r="M75" s="52"/>
      <c r="N75" s="52"/>
      <c r="O75" s="52"/>
      <c r="P75" s="52"/>
      <c r="Q75" s="160"/>
      <c r="R75" s="52" t="s">
        <v>251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60"/>
      <c r="AK75" s="133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4"/>
    </row>
    <row r="76" spans="2:61" ht="20.100000000000001" customHeight="1" x14ac:dyDescent="0.45">
      <c r="B76" s="130"/>
      <c r="C76" s="31"/>
      <c r="D76" s="31"/>
      <c r="E76" s="31"/>
      <c r="F76" s="31"/>
      <c r="G76" s="131"/>
      <c r="H76" s="132"/>
      <c r="I76" s="31"/>
      <c r="J76" s="159" t="s">
        <v>155</v>
      </c>
      <c r="K76" s="52"/>
      <c r="L76" s="52"/>
      <c r="M76" s="52"/>
      <c r="N76" s="52"/>
      <c r="O76" s="52"/>
      <c r="P76" s="52"/>
      <c r="Q76" s="160"/>
      <c r="R76" s="52" t="s">
        <v>252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60"/>
      <c r="AK76" s="133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4"/>
    </row>
    <row r="77" spans="2:61" ht="20.100000000000001" customHeight="1" x14ac:dyDescent="0.45">
      <c r="B77" s="130"/>
      <c r="C77" s="31"/>
      <c r="D77" s="31"/>
      <c r="E77" s="31"/>
      <c r="F77" s="31"/>
      <c r="G77" s="131"/>
      <c r="H77" s="132"/>
      <c r="I77" s="31"/>
      <c r="J77" s="159" t="s">
        <v>242</v>
      </c>
      <c r="K77" s="52"/>
      <c r="L77" s="52"/>
      <c r="M77" s="52"/>
      <c r="N77" s="52"/>
      <c r="O77" s="52"/>
      <c r="P77" s="52"/>
      <c r="Q77" s="160"/>
      <c r="R77" s="52" t="s">
        <v>253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60"/>
      <c r="AK77" s="133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4"/>
    </row>
    <row r="78" spans="2:61" ht="20.100000000000001" customHeight="1" x14ac:dyDescent="0.45">
      <c r="B78" s="130"/>
      <c r="C78" s="31"/>
      <c r="D78" s="31"/>
      <c r="E78" s="31"/>
      <c r="F78" s="31"/>
      <c r="G78" s="131"/>
      <c r="H78" s="132"/>
      <c r="I78" s="31"/>
      <c r="J78" s="159" t="s">
        <v>243</v>
      </c>
      <c r="K78" s="52"/>
      <c r="L78" s="52"/>
      <c r="M78" s="52"/>
      <c r="N78" s="52"/>
      <c r="O78" s="52"/>
      <c r="P78" s="52"/>
      <c r="Q78" s="160"/>
      <c r="R78" s="52" t="s">
        <v>254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60"/>
      <c r="AK78" s="133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4"/>
    </row>
    <row r="79" spans="2:61" ht="20.100000000000001" customHeight="1" x14ac:dyDescent="0.45">
      <c r="B79" s="130"/>
      <c r="C79" s="31"/>
      <c r="D79" s="31"/>
      <c r="E79" s="31"/>
      <c r="F79" s="31"/>
      <c r="G79" s="131"/>
      <c r="H79" s="132"/>
      <c r="I79" s="31"/>
      <c r="J79" s="159" t="s">
        <v>244</v>
      </c>
      <c r="K79" s="52"/>
      <c r="L79" s="52"/>
      <c r="M79" s="52"/>
      <c r="N79" s="52"/>
      <c r="O79" s="52"/>
      <c r="P79" s="52"/>
      <c r="Q79" s="160"/>
      <c r="R79" s="52" t="s">
        <v>255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60"/>
      <c r="AK79" s="133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4"/>
    </row>
    <row r="80" spans="2:61" ht="20.100000000000001" customHeight="1" x14ac:dyDescent="0.45">
      <c r="B80" s="130"/>
      <c r="C80" s="31"/>
      <c r="D80" s="31"/>
      <c r="E80" s="31"/>
      <c r="F80" s="31"/>
      <c r="G80" s="131"/>
      <c r="H80" s="132"/>
      <c r="I80" s="31"/>
      <c r="J80" s="159" t="s">
        <v>245</v>
      </c>
      <c r="K80" s="52"/>
      <c r="L80" s="52"/>
      <c r="M80" s="52"/>
      <c r="N80" s="52"/>
      <c r="O80" s="52"/>
      <c r="P80" s="52"/>
      <c r="Q80" s="160"/>
      <c r="R80" s="52" t="s">
        <v>256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60"/>
      <c r="AK80" s="133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4"/>
    </row>
    <row r="81" spans="2:61" ht="20.100000000000001" customHeight="1" x14ac:dyDescent="0.45">
      <c r="B81" s="130"/>
      <c r="C81" s="31"/>
      <c r="D81" s="31"/>
      <c r="E81" s="31"/>
      <c r="F81" s="31"/>
      <c r="G81" s="131"/>
      <c r="H81" s="132"/>
      <c r="I81" s="31"/>
      <c r="J81" s="159" t="s">
        <v>160</v>
      </c>
      <c r="K81" s="52"/>
      <c r="L81" s="52"/>
      <c r="M81" s="52"/>
      <c r="N81" s="52"/>
      <c r="O81" s="52"/>
      <c r="P81" s="52"/>
      <c r="Q81" s="160"/>
      <c r="R81" s="52" t="s">
        <v>257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60"/>
      <c r="AK81" s="133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4"/>
    </row>
    <row r="82" spans="2:61" ht="20.100000000000001" customHeight="1" x14ac:dyDescent="0.45">
      <c r="B82" s="130"/>
      <c r="C82" s="31"/>
      <c r="D82" s="31"/>
      <c r="E82" s="31"/>
      <c r="F82" s="31"/>
      <c r="G82" s="131"/>
      <c r="H82" s="132"/>
      <c r="I82" s="31"/>
      <c r="J82" s="159" t="s">
        <v>246</v>
      </c>
      <c r="K82" s="52"/>
      <c r="L82" s="52"/>
      <c r="M82" s="52"/>
      <c r="N82" s="52"/>
      <c r="O82" s="52"/>
      <c r="P82" s="52"/>
      <c r="Q82" s="160"/>
      <c r="R82" s="52" t="s">
        <v>258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60"/>
      <c r="AK82" s="133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4"/>
    </row>
    <row r="83" spans="2:61" ht="20.100000000000001" customHeight="1" x14ac:dyDescent="0.45">
      <c r="B83" s="130"/>
      <c r="C83" s="31"/>
      <c r="D83" s="31"/>
      <c r="E83" s="31"/>
      <c r="F83" s="31"/>
      <c r="G83" s="131"/>
      <c r="H83" s="132"/>
      <c r="I83" s="31"/>
      <c r="J83" s="159" t="s">
        <v>162</v>
      </c>
      <c r="K83" s="52"/>
      <c r="L83" s="52"/>
      <c r="M83" s="52"/>
      <c r="N83" s="52"/>
      <c r="O83" s="52"/>
      <c r="P83" s="52"/>
      <c r="Q83" s="160"/>
      <c r="R83" s="52" t="s">
        <v>259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60"/>
      <c r="AK83" s="133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4"/>
    </row>
    <row r="84" spans="2:61" ht="20.100000000000001" customHeight="1" x14ac:dyDescent="0.45">
      <c r="B84" s="130"/>
      <c r="C84" s="31"/>
      <c r="D84" s="31"/>
      <c r="E84" s="31"/>
      <c r="F84" s="31"/>
      <c r="G84" s="131"/>
      <c r="H84" s="132"/>
      <c r="I84" s="31"/>
      <c r="J84" s="159" t="s">
        <v>163</v>
      </c>
      <c r="K84" s="52"/>
      <c r="L84" s="52"/>
      <c r="M84" s="52"/>
      <c r="N84" s="52"/>
      <c r="O84" s="52"/>
      <c r="P84" s="52"/>
      <c r="Q84" s="160"/>
      <c r="R84" s="52" t="s">
        <v>260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60"/>
      <c r="AK84" s="133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4"/>
    </row>
    <row r="85" spans="2:61" ht="20.100000000000001" customHeight="1" x14ac:dyDescent="0.45">
      <c r="B85" s="130"/>
      <c r="C85" s="31"/>
      <c r="D85" s="31"/>
      <c r="E85" s="31"/>
      <c r="F85" s="31"/>
      <c r="G85" s="131"/>
      <c r="H85" s="132"/>
      <c r="I85" s="31"/>
      <c r="J85" s="159" t="s">
        <v>164</v>
      </c>
      <c r="K85" s="52"/>
      <c r="L85" s="52"/>
      <c r="M85" s="52"/>
      <c r="N85" s="52"/>
      <c r="O85" s="52"/>
      <c r="P85" s="52"/>
      <c r="Q85" s="160"/>
      <c r="R85" s="52" t="s">
        <v>261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60"/>
      <c r="AK85" s="133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4"/>
    </row>
    <row r="86" spans="2:61" ht="20.100000000000001" customHeight="1" thickBot="1" x14ac:dyDescent="0.5">
      <c r="B86" s="130"/>
      <c r="C86" s="31"/>
      <c r="D86" s="31"/>
      <c r="E86" s="31"/>
      <c r="F86" s="31"/>
      <c r="G86" s="131"/>
      <c r="H86" s="138"/>
      <c r="I86" s="139"/>
      <c r="J86" s="159" t="s">
        <v>247</v>
      </c>
      <c r="K86" s="52"/>
      <c r="L86" s="52"/>
      <c r="M86" s="52"/>
      <c r="N86" s="52"/>
      <c r="O86" s="52"/>
      <c r="P86" s="52"/>
      <c r="Q86" s="160"/>
      <c r="R86" s="51" t="s">
        <v>262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60"/>
      <c r="AK86" s="140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41"/>
    </row>
    <row r="87" spans="2:61" ht="130.19999999999999" customHeight="1" x14ac:dyDescent="0.45">
      <c r="B87" s="293" t="s">
        <v>227</v>
      </c>
      <c r="C87" s="294"/>
      <c r="D87" s="294"/>
      <c r="E87" s="294"/>
      <c r="F87" s="294"/>
      <c r="G87" s="295"/>
      <c r="H87" s="127" t="s">
        <v>135</v>
      </c>
      <c r="I87" s="125"/>
      <c r="J87" s="155" t="s">
        <v>151</v>
      </c>
      <c r="K87" s="156"/>
      <c r="L87" s="156"/>
      <c r="M87" s="156"/>
      <c r="N87" s="156"/>
      <c r="O87" s="156"/>
      <c r="P87" s="156"/>
      <c r="Q87" s="157"/>
      <c r="R87" s="296" t="s">
        <v>177</v>
      </c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8"/>
      <c r="AK87" s="299" t="s">
        <v>178</v>
      </c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  <c r="BA87" s="300"/>
      <c r="BB87" s="300"/>
      <c r="BC87" s="300"/>
      <c r="BD87" s="300"/>
      <c r="BE87" s="300"/>
      <c r="BF87" s="300"/>
      <c r="BG87" s="300"/>
      <c r="BH87" s="300"/>
      <c r="BI87" s="301"/>
    </row>
    <row r="88" spans="2:61" ht="20.100000000000001" customHeight="1" x14ac:dyDescent="0.45">
      <c r="B88" s="158"/>
      <c r="C88" s="31"/>
      <c r="D88" s="31"/>
      <c r="E88" s="31"/>
      <c r="F88" s="31"/>
      <c r="G88" s="131"/>
      <c r="H88" s="132"/>
      <c r="I88" s="31"/>
      <c r="J88" s="159" t="s">
        <v>152</v>
      </c>
      <c r="K88" s="52"/>
      <c r="L88" s="52"/>
      <c r="M88" s="52"/>
      <c r="N88" s="52"/>
      <c r="O88" s="52"/>
      <c r="P88" s="52"/>
      <c r="Q88" s="160"/>
      <c r="R88" s="52">
        <v>1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60"/>
      <c r="AK88" s="133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4"/>
    </row>
    <row r="89" spans="2:61" ht="20.100000000000001" customHeight="1" x14ac:dyDescent="0.45">
      <c r="B89" s="158"/>
      <c r="C89" s="31"/>
      <c r="D89" s="31"/>
      <c r="E89" s="31"/>
      <c r="F89" s="31"/>
      <c r="G89" s="131"/>
      <c r="H89" s="132"/>
      <c r="I89" s="31"/>
      <c r="J89" s="159" t="s">
        <v>153</v>
      </c>
      <c r="K89" s="52"/>
      <c r="L89" s="52"/>
      <c r="M89" s="52"/>
      <c r="N89" s="52"/>
      <c r="O89" s="52"/>
      <c r="P89" s="52"/>
      <c r="Q89" s="160"/>
      <c r="R89" s="52" t="s">
        <v>168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60"/>
      <c r="AK89" s="133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4"/>
    </row>
    <row r="90" spans="2:61" ht="20.100000000000001" customHeight="1" x14ac:dyDescent="0.45">
      <c r="B90" s="158"/>
      <c r="C90" s="31"/>
      <c r="D90" s="31"/>
      <c r="E90" s="31"/>
      <c r="F90" s="31"/>
      <c r="G90" s="131"/>
      <c r="H90" s="132"/>
      <c r="I90" s="31"/>
      <c r="J90" s="159" t="s">
        <v>154</v>
      </c>
      <c r="K90" s="52"/>
      <c r="L90" s="52"/>
      <c r="M90" s="52"/>
      <c r="N90" s="52"/>
      <c r="O90" s="52"/>
      <c r="P90" s="52"/>
      <c r="Q90" s="160"/>
      <c r="R90" s="52" t="s">
        <v>218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60"/>
      <c r="AK90" s="133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4"/>
    </row>
    <row r="91" spans="2:61" ht="20.100000000000001" customHeight="1" x14ac:dyDescent="0.45">
      <c r="B91" s="158"/>
      <c r="C91" s="31"/>
      <c r="D91" s="31"/>
      <c r="E91" s="31"/>
      <c r="F91" s="31"/>
      <c r="G91" s="131"/>
      <c r="H91" s="31"/>
      <c r="I91" s="31"/>
      <c r="J91" s="159" t="s">
        <v>155</v>
      </c>
      <c r="K91" s="52"/>
      <c r="L91" s="52"/>
      <c r="M91" s="52"/>
      <c r="N91" s="52"/>
      <c r="O91" s="52"/>
      <c r="P91" s="52"/>
      <c r="Q91" s="160"/>
      <c r="R91" s="52" t="s">
        <v>170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60"/>
      <c r="AK91" s="133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4"/>
    </row>
    <row r="92" spans="2:61" ht="20.100000000000001" customHeight="1" x14ac:dyDescent="0.45">
      <c r="B92" s="158"/>
      <c r="C92" s="31"/>
      <c r="D92" s="31"/>
      <c r="E92" s="31"/>
      <c r="F92" s="31"/>
      <c r="G92" s="131"/>
      <c r="H92" s="31"/>
      <c r="I92" s="31"/>
      <c r="J92" s="159" t="s">
        <v>156</v>
      </c>
      <c r="K92" s="52"/>
      <c r="L92" s="52"/>
      <c r="M92" s="52"/>
      <c r="N92" s="52"/>
      <c r="O92" s="52"/>
      <c r="P92" s="52"/>
      <c r="Q92" s="160"/>
      <c r="R92" s="52" t="s">
        <v>171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60"/>
      <c r="AK92" s="133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4"/>
    </row>
    <row r="93" spans="2:61" ht="20.100000000000001" customHeight="1" x14ac:dyDescent="0.45">
      <c r="B93" s="158"/>
      <c r="C93" s="31"/>
      <c r="D93" s="31"/>
      <c r="E93" s="31"/>
      <c r="F93" s="31"/>
      <c r="G93" s="131"/>
      <c r="H93" s="31"/>
      <c r="I93" s="31"/>
      <c r="J93" s="159" t="s">
        <v>157</v>
      </c>
      <c r="K93" s="52"/>
      <c r="L93" s="52"/>
      <c r="M93" s="52"/>
      <c r="N93" s="52"/>
      <c r="O93" s="52"/>
      <c r="P93" s="52"/>
      <c r="Q93" s="160"/>
      <c r="R93" s="52" t="s">
        <v>172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60"/>
      <c r="AK93" s="133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4"/>
    </row>
    <row r="94" spans="2:61" ht="20.100000000000001" customHeight="1" x14ac:dyDescent="0.45">
      <c r="B94" s="158"/>
      <c r="C94" s="31"/>
      <c r="D94" s="31"/>
      <c r="E94" s="31"/>
      <c r="F94" s="31"/>
      <c r="G94" s="131"/>
      <c r="H94" s="31"/>
      <c r="I94" s="31"/>
      <c r="J94" s="159" t="s">
        <v>158</v>
      </c>
      <c r="K94" s="52"/>
      <c r="L94" s="52"/>
      <c r="M94" s="52"/>
      <c r="N94" s="52"/>
      <c r="O94" s="52"/>
      <c r="P94" s="52"/>
      <c r="Q94" s="160"/>
      <c r="R94" s="52" t="s">
        <v>173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60"/>
      <c r="AK94" s="133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4"/>
    </row>
    <row r="95" spans="2:61" ht="20.100000000000001" customHeight="1" x14ac:dyDescent="0.45">
      <c r="B95" s="158"/>
      <c r="C95" s="31"/>
      <c r="D95" s="31"/>
      <c r="E95" s="31"/>
      <c r="F95" s="31"/>
      <c r="G95" s="131"/>
      <c r="H95" s="31"/>
      <c r="I95" s="31"/>
      <c r="J95" s="159" t="s">
        <v>159</v>
      </c>
      <c r="K95" s="52"/>
      <c r="L95" s="52"/>
      <c r="M95" s="52"/>
      <c r="N95" s="52"/>
      <c r="O95" s="52"/>
      <c r="P95" s="52"/>
      <c r="Q95" s="160"/>
      <c r="R95" s="52" t="s">
        <v>174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60"/>
      <c r="AK95" s="133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4"/>
    </row>
    <row r="96" spans="2:61" ht="20.100000000000001" customHeight="1" x14ac:dyDescent="0.45">
      <c r="B96" s="158"/>
      <c r="C96" s="31"/>
      <c r="D96" s="31"/>
      <c r="E96" s="31"/>
      <c r="F96" s="31"/>
      <c r="G96" s="131"/>
      <c r="H96" s="31"/>
      <c r="I96" s="31"/>
      <c r="J96" s="159" t="s">
        <v>160</v>
      </c>
      <c r="K96" s="52"/>
      <c r="L96" s="52"/>
      <c r="M96" s="52"/>
      <c r="N96" s="52"/>
      <c r="O96" s="52"/>
      <c r="P96" s="52"/>
      <c r="Q96" s="160"/>
      <c r="R96" s="52" t="s">
        <v>175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60"/>
      <c r="AK96" s="133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4"/>
    </row>
    <row r="97" spans="2:61" ht="20.100000000000001" customHeight="1" x14ac:dyDescent="0.45">
      <c r="B97" s="158"/>
      <c r="C97" s="31"/>
      <c r="D97" s="31"/>
      <c r="E97" s="31"/>
      <c r="F97" s="31"/>
      <c r="G97" s="131"/>
      <c r="H97" s="31"/>
      <c r="I97" s="31"/>
      <c r="J97" s="159" t="s">
        <v>161</v>
      </c>
      <c r="K97" s="52"/>
      <c r="L97" s="52"/>
      <c r="M97" s="52"/>
      <c r="N97" s="52"/>
      <c r="O97" s="52"/>
      <c r="P97" s="52"/>
      <c r="Q97" s="160"/>
      <c r="R97" s="52" t="s">
        <v>176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60"/>
      <c r="AK97" s="133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4"/>
    </row>
    <row r="98" spans="2:61" ht="20.100000000000001" customHeight="1" x14ac:dyDescent="0.45">
      <c r="B98" s="158"/>
      <c r="C98" s="31"/>
      <c r="D98" s="31"/>
      <c r="E98" s="31"/>
      <c r="F98" s="31"/>
      <c r="G98" s="131"/>
      <c r="H98" s="31"/>
      <c r="I98" s="31"/>
      <c r="J98" s="159" t="s">
        <v>162</v>
      </c>
      <c r="K98" s="52"/>
      <c r="L98" s="52"/>
      <c r="M98" s="52"/>
      <c r="N98" s="52"/>
      <c r="O98" s="52"/>
      <c r="P98" s="52"/>
      <c r="Q98" s="160"/>
      <c r="R98" s="52" t="s">
        <v>167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60"/>
      <c r="AK98" s="133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4"/>
    </row>
    <row r="99" spans="2:61" ht="20.100000000000001" customHeight="1" x14ac:dyDescent="0.45">
      <c r="B99" s="158"/>
      <c r="C99" s="31"/>
      <c r="D99" s="31"/>
      <c r="E99" s="31"/>
      <c r="F99" s="31"/>
      <c r="G99" s="131"/>
      <c r="H99" s="31"/>
      <c r="I99" s="31"/>
      <c r="J99" s="159" t="s">
        <v>220</v>
      </c>
      <c r="K99" s="52"/>
      <c r="L99" s="52"/>
      <c r="M99" s="52"/>
      <c r="N99" s="52"/>
      <c r="O99" s="52"/>
      <c r="P99" s="52"/>
      <c r="Q99" s="160"/>
      <c r="R99" s="52" t="s">
        <v>219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60"/>
      <c r="AK99" s="133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4"/>
    </row>
    <row r="100" spans="2:61" ht="20.100000000000001" customHeight="1" x14ac:dyDescent="0.45">
      <c r="B100" s="158"/>
      <c r="C100" s="31"/>
      <c r="D100" s="31"/>
      <c r="E100" s="31"/>
      <c r="F100" s="31"/>
      <c r="G100" s="131"/>
      <c r="H100" s="31"/>
      <c r="I100" s="31"/>
      <c r="J100" s="159" t="s">
        <v>164</v>
      </c>
      <c r="K100" s="52"/>
      <c r="L100" s="52"/>
      <c r="M100" s="52"/>
      <c r="N100" s="52"/>
      <c r="O100" s="52"/>
      <c r="P100" s="52"/>
      <c r="Q100" s="160"/>
      <c r="R100" s="51">
        <v>0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60"/>
      <c r="AK100" s="133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4"/>
    </row>
    <row r="101" spans="2:61" ht="20.100000000000001" customHeight="1" x14ac:dyDescent="0.45">
      <c r="B101" s="158"/>
      <c r="C101" s="31"/>
      <c r="D101" s="31"/>
      <c r="E101" s="31"/>
      <c r="F101" s="31"/>
      <c r="G101" s="131"/>
      <c r="H101" s="31"/>
      <c r="I101" s="31"/>
      <c r="J101" s="135" t="s">
        <v>222</v>
      </c>
      <c r="K101" s="55"/>
      <c r="L101" s="55"/>
      <c r="M101" s="55"/>
      <c r="N101" s="55"/>
      <c r="O101" s="55"/>
      <c r="P101" s="55"/>
      <c r="Q101" s="160"/>
      <c r="R101" s="54" t="s">
        <v>224</v>
      </c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133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4"/>
    </row>
    <row r="102" spans="2:61" ht="20.100000000000001" customHeight="1" x14ac:dyDescent="0.45">
      <c r="B102" s="158"/>
      <c r="C102" s="31"/>
      <c r="D102" s="31"/>
      <c r="E102" s="31"/>
      <c r="F102" s="31"/>
      <c r="G102" s="131"/>
      <c r="H102" s="135" t="s">
        <v>104</v>
      </c>
      <c r="I102" s="55"/>
      <c r="J102" s="135" t="s">
        <v>179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136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137"/>
    </row>
    <row r="103" spans="2:61" ht="20.100000000000001" customHeight="1" x14ac:dyDescent="0.45">
      <c r="B103" s="158"/>
      <c r="C103" s="31"/>
      <c r="D103" s="31"/>
      <c r="E103" s="31"/>
      <c r="F103" s="31"/>
      <c r="G103" s="131"/>
      <c r="H103" s="132"/>
      <c r="I103" s="31"/>
      <c r="J103" s="132" t="s">
        <v>189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33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4"/>
    </row>
    <row r="104" spans="2:61" ht="20.100000000000001" customHeight="1" x14ac:dyDescent="0.45">
      <c r="B104" s="158"/>
      <c r="C104" s="31"/>
      <c r="D104" s="31"/>
      <c r="E104" s="31"/>
      <c r="F104" s="31"/>
      <c r="G104" s="131"/>
      <c r="H104" s="132"/>
      <c r="I104" s="31"/>
      <c r="J104" s="132" t="s">
        <v>180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33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4"/>
    </row>
    <row r="105" spans="2:61" ht="20.100000000000001" customHeight="1" x14ac:dyDescent="0.45">
      <c r="B105" s="130"/>
      <c r="C105" s="31"/>
      <c r="D105" s="31"/>
      <c r="E105" s="31"/>
      <c r="F105" s="31"/>
      <c r="G105" s="131"/>
      <c r="I105" s="31"/>
      <c r="J105" s="132" t="s">
        <v>181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133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4"/>
    </row>
    <row r="106" spans="2:61" ht="20.100000000000001" customHeight="1" x14ac:dyDescent="0.45">
      <c r="B106" s="130"/>
      <c r="C106" s="31"/>
      <c r="D106" s="31"/>
      <c r="E106" s="31"/>
      <c r="F106" s="31"/>
      <c r="G106" s="131"/>
      <c r="H106" s="132"/>
      <c r="I106" s="31"/>
      <c r="J106" s="132" t="s">
        <v>182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33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4"/>
    </row>
    <row r="107" spans="2:61" ht="20.100000000000001" customHeight="1" x14ac:dyDescent="0.45">
      <c r="B107" s="130"/>
      <c r="C107" s="31"/>
      <c r="D107" s="31"/>
      <c r="E107" s="31"/>
      <c r="F107" s="31"/>
      <c r="G107" s="131"/>
      <c r="H107" s="132"/>
      <c r="I107" s="31"/>
      <c r="J107" s="132" t="s">
        <v>183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33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4"/>
    </row>
    <row r="108" spans="2:61" ht="20.100000000000001" customHeight="1" x14ac:dyDescent="0.45">
      <c r="B108" s="130"/>
      <c r="C108" s="31"/>
      <c r="D108" s="31"/>
      <c r="E108" s="31"/>
      <c r="F108" s="31"/>
      <c r="G108" s="131"/>
      <c r="H108" s="132"/>
      <c r="I108" s="31"/>
      <c r="J108" s="132" t="s">
        <v>184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33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4"/>
    </row>
    <row r="109" spans="2:61" ht="20.100000000000001" customHeight="1" x14ac:dyDescent="0.45">
      <c r="B109" s="130"/>
      <c r="C109" s="31"/>
      <c r="D109" s="31"/>
      <c r="E109" s="31"/>
      <c r="F109" s="31"/>
      <c r="G109" s="131"/>
      <c r="H109" s="135" t="s">
        <v>105</v>
      </c>
      <c r="I109" s="55"/>
      <c r="J109" s="135" t="s">
        <v>185</v>
      </c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136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137"/>
    </row>
    <row r="110" spans="2:61" ht="20.100000000000001" customHeight="1" x14ac:dyDescent="0.45">
      <c r="B110" s="130"/>
      <c r="C110" s="31"/>
      <c r="D110" s="31"/>
      <c r="E110" s="31"/>
      <c r="F110" s="31"/>
      <c r="G110" s="131"/>
      <c r="H110" s="132"/>
      <c r="I110" s="31"/>
      <c r="J110" s="132"/>
      <c r="K110" s="31" t="s">
        <v>186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33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4"/>
    </row>
    <row r="111" spans="2:61" ht="20.100000000000001" customHeight="1" x14ac:dyDescent="0.45">
      <c r="B111" s="130"/>
      <c r="C111" s="31"/>
      <c r="D111" s="31"/>
      <c r="E111" s="31"/>
      <c r="F111" s="31"/>
      <c r="G111" s="131"/>
      <c r="H111" s="132"/>
      <c r="I111" s="31"/>
      <c r="J111" s="132"/>
      <c r="K111" s="31"/>
      <c r="L111" s="31"/>
      <c r="M111" s="31" t="s">
        <v>187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33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4"/>
    </row>
    <row r="112" spans="2:61" ht="20.100000000000001" customHeight="1" x14ac:dyDescent="0.45">
      <c r="B112" s="130"/>
      <c r="C112" s="31"/>
      <c r="D112" s="31"/>
      <c r="E112" s="31"/>
      <c r="F112" s="31"/>
      <c r="G112" s="131"/>
      <c r="H112" s="132"/>
      <c r="I112" s="31"/>
      <c r="J112" s="132" t="s">
        <v>188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33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4"/>
    </row>
    <row r="113" spans="2:61" ht="20.100000000000001" customHeight="1" x14ac:dyDescent="0.45">
      <c r="B113" s="130"/>
      <c r="C113" s="31"/>
      <c r="D113" s="31"/>
      <c r="E113" s="31"/>
      <c r="F113" s="31"/>
      <c r="G113" s="131"/>
      <c r="H113" s="132"/>
      <c r="I113" s="31"/>
      <c r="J113" s="132"/>
      <c r="K113" s="31" t="s">
        <v>190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33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4"/>
    </row>
    <row r="114" spans="2:61" ht="20.100000000000001" customHeight="1" x14ac:dyDescent="0.45">
      <c r="B114" s="130"/>
      <c r="C114" s="31"/>
      <c r="D114" s="31"/>
      <c r="E114" s="31"/>
      <c r="F114" s="31"/>
      <c r="G114" s="131"/>
      <c r="H114" s="132"/>
      <c r="I114" s="31"/>
      <c r="J114" s="132"/>
      <c r="K114" s="31"/>
      <c r="L114" s="31"/>
      <c r="M114" s="31" t="s">
        <v>191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33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4"/>
    </row>
    <row r="115" spans="2:61" ht="20.100000000000001" customHeight="1" x14ac:dyDescent="0.45">
      <c r="B115" s="130"/>
      <c r="C115" s="31"/>
      <c r="D115" s="31"/>
      <c r="E115" s="31"/>
      <c r="F115" s="31"/>
      <c r="G115" s="131"/>
      <c r="H115" s="132"/>
      <c r="I115" s="31"/>
      <c r="J115" s="132" t="s">
        <v>185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33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4"/>
    </row>
    <row r="116" spans="2:61" ht="20.100000000000001" customHeight="1" x14ac:dyDescent="0.45">
      <c r="B116" s="130"/>
      <c r="C116" s="31"/>
      <c r="D116" s="31"/>
      <c r="E116" s="31"/>
      <c r="F116" s="31"/>
      <c r="G116" s="131"/>
      <c r="H116" s="132"/>
      <c r="I116" s="31"/>
      <c r="J116" s="132"/>
      <c r="K116" s="31" t="s">
        <v>192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33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4"/>
    </row>
    <row r="117" spans="2:61" ht="20.100000000000001" customHeight="1" x14ac:dyDescent="0.45">
      <c r="B117" s="130"/>
      <c r="C117" s="31"/>
      <c r="D117" s="31"/>
      <c r="E117" s="31"/>
      <c r="F117" s="31"/>
      <c r="G117" s="131"/>
      <c r="H117" s="132"/>
      <c r="I117" s="31"/>
      <c r="J117" s="132"/>
      <c r="K117" s="31"/>
      <c r="L117" s="31"/>
      <c r="M117" s="31" t="s">
        <v>193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33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4"/>
    </row>
    <row r="118" spans="2:61" ht="20.100000000000001" customHeight="1" x14ac:dyDescent="0.45">
      <c r="B118" s="130"/>
      <c r="C118" s="31"/>
      <c r="D118" s="31"/>
      <c r="E118" s="31"/>
      <c r="F118" s="31"/>
      <c r="G118" s="131"/>
      <c r="H118" s="132"/>
      <c r="I118" s="31"/>
      <c r="J118" s="132" t="s">
        <v>185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33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4"/>
    </row>
    <row r="119" spans="2:61" ht="20.100000000000001" customHeight="1" x14ac:dyDescent="0.45">
      <c r="B119" s="130"/>
      <c r="C119" s="31"/>
      <c r="D119" s="31"/>
      <c r="E119" s="31"/>
      <c r="F119" s="31"/>
      <c r="G119" s="131"/>
      <c r="H119" s="132"/>
      <c r="I119" s="31"/>
      <c r="J119" s="132"/>
      <c r="K119" s="31" t="s">
        <v>194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3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4"/>
    </row>
    <row r="120" spans="2:61" ht="20.100000000000001" customHeight="1" x14ac:dyDescent="0.45">
      <c r="B120" s="130"/>
      <c r="C120" s="31"/>
      <c r="D120" s="31"/>
      <c r="E120" s="31"/>
      <c r="F120" s="31"/>
      <c r="G120" s="131"/>
      <c r="H120" s="132"/>
      <c r="I120" s="31"/>
      <c r="J120" s="132"/>
      <c r="K120" s="31"/>
      <c r="L120" s="31"/>
      <c r="M120" s="31" t="s">
        <v>195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3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4"/>
    </row>
    <row r="121" spans="2:61" ht="20.100000000000001" customHeight="1" x14ac:dyDescent="0.45">
      <c r="B121" s="130"/>
      <c r="C121" s="31"/>
      <c r="D121" s="31"/>
      <c r="E121" s="31"/>
      <c r="F121" s="31"/>
      <c r="G121" s="131"/>
      <c r="H121" s="132"/>
      <c r="I121" s="31"/>
      <c r="J121" s="132" t="s">
        <v>188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33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4"/>
    </row>
    <row r="122" spans="2:61" ht="20.100000000000001" customHeight="1" x14ac:dyDescent="0.45">
      <c r="B122" s="130"/>
      <c r="C122" s="31"/>
      <c r="D122" s="31"/>
      <c r="E122" s="31"/>
      <c r="F122" s="31"/>
      <c r="G122" s="131"/>
      <c r="H122" s="132"/>
      <c r="I122" s="31"/>
      <c r="J122" s="132"/>
      <c r="K122" s="31" t="s">
        <v>196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133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4"/>
    </row>
    <row r="123" spans="2:61" ht="20.100000000000001" customHeight="1" x14ac:dyDescent="0.45">
      <c r="B123" s="130"/>
      <c r="C123" s="31"/>
      <c r="D123" s="31"/>
      <c r="E123" s="31"/>
      <c r="F123" s="31"/>
      <c r="G123" s="131"/>
      <c r="H123" s="132"/>
      <c r="I123" s="31"/>
      <c r="J123" s="132"/>
      <c r="K123" s="31"/>
      <c r="L123" s="31"/>
      <c r="M123" s="31" t="s">
        <v>197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133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4"/>
    </row>
    <row r="124" spans="2:61" ht="20.100000000000001" customHeight="1" x14ac:dyDescent="0.45">
      <c r="B124" s="130"/>
      <c r="C124" s="31"/>
      <c r="D124" s="31"/>
      <c r="E124" s="31"/>
      <c r="F124" s="31"/>
      <c r="G124" s="131"/>
      <c r="H124" s="132"/>
      <c r="I124" s="31"/>
      <c r="J124" s="132" t="s">
        <v>188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33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4"/>
    </row>
    <row r="125" spans="2:61" ht="20.100000000000001" customHeight="1" x14ac:dyDescent="0.45">
      <c r="B125" s="130"/>
      <c r="C125" s="31"/>
      <c r="D125" s="31"/>
      <c r="E125" s="31"/>
      <c r="F125" s="31"/>
      <c r="G125" s="131"/>
      <c r="H125" s="132"/>
      <c r="I125" s="31"/>
      <c r="J125" s="132"/>
      <c r="K125" s="31" t="s">
        <v>194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133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4"/>
    </row>
    <row r="126" spans="2:61" ht="20.100000000000001" customHeight="1" x14ac:dyDescent="0.45">
      <c r="B126" s="130"/>
      <c r="C126" s="31"/>
      <c r="D126" s="31"/>
      <c r="E126" s="31"/>
      <c r="F126" s="31"/>
      <c r="G126" s="131"/>
      <c r="H126" s="138"/>
      <c r="I126" s="139"/>
      <c r="J126" s="138"/>
      <c r="K126" s="139"/>
      <c r="L126" s="139"/>
      <c r="M126" s="139" t="s">
        <v>198</v>
      </c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40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  <c r="BC126" s="139"/>
      <c r="BD126" s="139"/>
      <c r="BE126" s="139"/>
      <c r="BF126" s="139"/>
      <c r="BG126" s="139"/>
      <c r="BH126" s="139"/>
      <c r="BI126" s="141"/>
    </row>
    <row r="127" spans="2:61" ht="20.100000000000001" customHeight="1" x14ac:dyDescent="0.45">
      <c r="B127" s="130"/>
      <c r="C127" s="31"/>
      <c r="D127" s="31"/>
      <c r="E127" s="31"/>
      <c r="F127" s="31"/>
      <c r="G127" s="131"/>
      <c r="H127" s="132" t="s">
        <v>106</v>
      </c>
      <c r="I127" s="31"/>
      <c r="J127" s="132"/>
      <c r="K127" s="31" t="s">
        <v>203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133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4"/>
    </row>
    <row r="128" spans="2:61" ht="20.100000000000001" customHeight="1" x14ac:dyDescent="0.45">
      <c r="B128" s="130"/>
      <c r="C128" s="31"/>
      <c r="D128" s="31"/>
      <c r="E128" s="31"/>
      <c r="F128" s="31"/>
      <c r="G128" s="131"/>
      <c r="H128" s="132"/>
      <c r="I128" s="31"/>
      <c r="J128" s="132" t="s">
        <v>199</v>
      </c>
      <c r="K128" s="31" t="s">
        <v>204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33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4"/>
    </row>
    <row r="129" spans="2:61" ht="20.100000000000001" customHeight="1" x14ac:dyDescent="0.45">
      <c r="B129" s="130"/>
      <c r="C129" s="31"/>
      <c r="D129" s="31"/>
      <c r="E129" s="31"/>
      <c r="F129" s="31"/>
      <c r="G129" s="131"/>
      <c r="H129" s="132"/>
      <c r="I129" s="31"/>
      <c r="J129" s="132" t="s">
        <v>200</v>
      </c>
      <c r="K129" s="31"/>
      <c r="L129" s="31" t="s">
        <v>201</v>
      </c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133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4"/>
    </row>
    <row r="130" spans="2:61" ht="20.100000000000001" customHeight="1" thickBot="1" x14ac:dyDescent="0.5">
      <c r="B130" s="130"/>
      <c r="C130" s="31"/>
      <c r="D130" s="31"/>
      <c r="E130" s="31"/>
      <c r="F130" s="31"/>
      <c r="G130" s="131"/>
      <c r="H130" s="132"/>
      <c r="I130" s="31"/>
      <c r="J130" s="132" t="s">
        <v>199</v>
      </c>
      <c r="K130" s="31" t="s">
        <v>205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133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4"/>
    </row>
    <row r="131" spans="2:61" ht="123.6" customHeight="1" x14ac:dyDescent="0.45">
      <c r="B131" s="130"/>
      <c r="C131" s="31"/>
      <c r="D131" s="31"/>
      <c r="E131" s="31"/>
      <c r="F131" s="31"/>
      <c r="G131" s="131"/>
      <c r="H131" s="135" t="s">
        <v>202</v>
      </c>
      <c r="I131" s="55"/>
      <c r="J131" s="302" t="s">
        <v>216</v>
      </c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4"/>
      <c r="AK131" s="299" t="s">
        <v>178</v>
      </c>
      <c r="AL131" s="300"/>
      <c r="AM131" s="300"/>
      <c r="AN131" s="300"/>
      <c r="AO131" s="300"/>
      <c r="AP131" s="300"/>
      <c r="AQ131" s="300"/>
      <c r="AR131" s="300"/>
      <c r="AS131" s="300"/>
      <c r="AT131" s="300"/>
      <c r="AU131" s="300"/>
      <c r="AV131" s="300"/>
      <c r="AW131" s="300"/>
      <c r="AX131" s="300"/>
      <c r="AY131" s="300"/>
      <c r="AZ131" s="300"/>
      <c r="BA131" s="300"/>
      <c r="BB131" s="300"/>
      <c r="BC131" s="300"/>
      <c r="BD131" s="300"/>
      <c r="BE131" s="300"/>
      <c r="BF131" s="300"/>
      <c r="BG131" s="300"/>
      <c r="BH131" s="300"/>
      <c r="BI131" s="301"/>
    </row>
    <row r="132" spans="2:61" ht="20.100000000000001" customHeight="1" x14ac:dyDescent="0.45">
      <c r="B132" s="130"/>
      <c r="C132" s="31"/>
      <c r="D132" s="31"/>
      <c r="E132" s="31"/>
      <c r="F132" s="31"/>
      <c r="G132" s="131"/>
      <c r="H132" s="132"/>
      <c r="I132" s="31"/>
      <c r="J132" s="132" t="s">
        <v>215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132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4"/>
    </row>
    <row r="133" spans="2:61" ht="20.100000000000001" customHeight="1" x14ac:dyDescent="0.45">
      <c r="B133" s="130"/>
      <c r="C133" s="31"/>
      <c r="D133" s="31"/>
      <c r="E133" s="31"/>
      <c r="F133" s="31"/>
      <c r="G133" s="131"/>
      <c r="H133" s="132"/>
      <c r="I133" s="31"/>
      <c r="J133" s="132" t="s">
        <v>206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132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4"/>
    </row>
    <row r="134" spans="2:61" ht="20.100000000000001" customHeight="1" x14ac:dyDescent="0.45">
      <c r="B134" s="130"/>
      <c r="C134" s="31"/>
      <c r="D134" s="31"/>
      <c r="E134" s="31"/>
      <c r="F134" s="31"/>
      <c r="G134" s="131"/>
      <c r="H134" s="132"/>
      <c r="I134" s="31"/>
      <c r="J134" s="132" t="s">
        <v>207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132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4"/>
    </row>
    <row r="135" spans="2:61" ht="20.100000000000001" customHeight="1" x14ac:dyDescent="0.45">
      <c r="B135" s="130"/>
      <c r="C135" s="31"/>
      <c r="D135" s="31"/>
      <c r="E135" s="31"/>
      <c r="F135" s="31"/>
      <c r="G135" s="131"/>
      <c r="H135" s="132"/>
      <c r="I135" s="31"/>
      <c r="J135" s="132" t="s">
        <v>208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132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4"/>
    </row>
    <row r="136" spans="2:61" ht="20.100000000000001" customHeight="1" x14ac:dyDescent="0.45">
      <c r="B136" s="130"/>
      <c r="C136" s="31"/>
      <c r="D136" s="31"/>
      <c r="E136" s="31"/>
      <c r="F136" s="31"/>
      <c r="G136" s="131"/>
      <c r="H136" s="132"/>
      <c r="I136" s="31"/>
      <c r="J136" s="132" t="s">
        <v>209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132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4"/>
    </row>
    <row r="137" spans="2:61" ht="20.100000000000001" customHeight="1" x14ac:dyDescent="0.45">
      <c r="B137" s="130"/>
      <c r="C137" s="31"/>
      <c r="D137" s="31"/>
      <c r="E137" s="31"/>
      <c r="F137" s="31"/>
      <c r="G137" s="131"/>
      <c r="H137" s="132"/>
      <c r="I137" s="31"/>
      <c r="J137" s="132" t="s">
        <v>210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132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4"/>
    </row>
    <row r="138" spans="2:61" ht="20.100000000000001" customHeight="1" x14ac:dyDescent="0.45">
      <c r="B138" s="130"/>
      <c r="C138" s="31"/>
      <c r="D138" s="31"/>
      <c r="E138" s="31"/>
      <c r="F138" s="31"/>
      <c r="G138" s="131"/>
      <c r="H138" s="132"/>
      <c r="I138" s="31"/>
      <c r="J138" s="132" t="s">
        <v>211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132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4"/>
    </row>
    <row r="139" spans="2:61" ht="20.100000000000001" customHeight="1" thickBot="1" x14ac:dyDescent="0.5">
      <c r="B139" s="130"/>
      <c r="C139" s="31"/>
      <c r="D139" s="31"/>
      <c r="E139" s="31"/>
      <c r="F139" s="31"/>
      <c r="G139" s="131"/>
      <c r="H139" s="132"/>
      <c r="I139" s="31"/>
      <c r="J139" s="132" t="s">
        <v>212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132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4"/>
    </row>
    <row r="140" spans="2:61" ht="20.100000000000001" customHeight="1" x14ac:dyDescent="0.45">
      <c r="B140" s="130"/>
      <c r="C140" s="31"/>
      <c r="D140" s="31"/>
      <c r="E140" s="31"/>
      <c r="F140" s="31"/>
      <c r="G140" s="131"/>
      <c r="H140" s="132"/>
      <c r="I140" s="31"/>
      <c r="J140" s="132" t="s">
        <v>213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132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4"/>
    </row>
    <row r="141" spans="2:61" ht="20.100000000000001" customHeight="1" thickBot="1" x14ac:dyDescent="0.5">
      <c r="B141" s="130"/>
      <c r="C141" s="31"/>
      <c r="D141" s="31"/>
      <c r="E141" s="31"/>
      <c r="F141" s="31"/>
      <c r="G141" s="131"/>
      <c r="H141" s="132"/>
      <c r="I141" s="31"/>
      <c r="J141" s="132" t="s">
        <v>214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132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4"/>
    </row>
    <row r="142" spans="2:61" ht="17.399999999999999" customHeight="1" x14ac:dyDescent="0.45">
      <c r="B142" s="124" t="s">
        <v>263</v>
      </c>
      <c r="C142" s="125"/>
      <c r="D142" s="125"/>
      <c r="E142" s="125"/>
      <c r="F142" s="125"/>
      <c r="G142" s="126"/>
      <c r="H142" s="127" t="s">
        <v>135</v>
      </c>
      <c r="I142" s="125"/>
      <c r="J142" s="155" t="s">
        <v>151</v>
      </c>
      <c r="K142" s="156"/>
      <c r="L142" s="156"/>
      <c r="M142" s="156"/>
      <c r="N142" s="156"/>
      <c r="O142" s="156"/>
      <c r="P142" s="156"/>
      <c r="Q142" s="157"/>
      <c r="R142" s="174" t="s">
        <v>265</v>
      </c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5"/>
      <c r="AK142" s="173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7"/>
    </row>
    <row r="143" spans="2:61" ht="20.100000000000001" customHeight="1" x14ac:dyDescent="0.45">
      <c r="B143" s="158"/>
      <c r="C143" s="31"/>
      <c r="D143" s="31"/>
      <c r="E143" s="31"/>
      <c r="F143" s="31"/>
      <c r="G143" s="131"/>
      <c r="H143" s="132"/>
      <c r="I143" s="31"/>
      <c r="J143" s="159" t="s">
        <v>153</v>
      </c>
      <c r="K143" s="52"/>
      <c r="L143" s="52"/>
      <c r="M143" s="52"/>
      <c r="N143" s="52"/>
      <c r="O143" s="52"/>
      <c r="P143" s="52"/>
      <c r="Q143" s="160"/>
      <c r="R143" s="52" t="s">
        <v>267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60"/>
      <c r="AK143" s="133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4"/>
    </row>
    <row r="144" spans="2:61" ht="20.100000000000001" customHeight="1" x14ac:dyDescent="0.45">
      <c r="B144" s="158"/>
      <c r="C144" s="31"/>
      <c r="D144" s="31"/>
      <c r="E144" s="31"/>
      <c r="F144" s="31"/>
      <c r="G144" s="131"/>
      <c r="H144" s="132"/>
      <c r="I144" s="31"/>
      <c r="J144" s="159" t="s">
        <v>154</v>
      </c>
      <c r="K144" s="52"/>
      <c r="L144" s="52"/>
      <c r="M144" s="52"/>
      <c r="N144" s="52"/>
      <c r="O144" s="52"/>
      <c r="P144" s="52"/>
      <c r="Q144" s="160"/>
      <c r="R144" s="52">
        <v>99999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60"/>
      <c r="AK144" s="133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4"/>
    </row>
    <row r="145" spans="2:61" ht="20.100000000000001" customHeight="1" x14ac:dyDescent="0.45">
      <c r="B145" s="158"/>
      <c r="C145" s="31"/>
      <c r="D145" s="31"/>
      <c r="E145" s="31"/>
      <c r="F145" s="31"/>
      <c r="G145" s="131"/>
      <c r="H145" s="132"/>
      <c r="I145" s="31"/>
      <c r="J145" s="159" t="s">
        <v>155</v>
      </c>
      <c r="K145" s="52"/>
      <c r="L145" s="52"/>
      <c r="M145" s="52"/>
      <c r="N145" s="52"/>
      <c r="O145" s="52"/>
      <c r="P145" s="52"/>
      <c r="Q145" s="160"/>
      <c r="R145" s="52" t="s">
        <v>268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60"/>
      <c r="AK145" s="133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4"/>
    </row>
    <row r="146" spans="2:61" ht="20.100000000000001" customHeight="1" x14ac:dyDescent="0.45">
      <c r="B146" s="158"/>
      <c r="C146" s="31"/>
      <c r="D146" s="31"/>
      <c r="E146" s="31"/>
      <c r="F146" s="31"/>
      <c r="G146" s="131"/>
      <c r="H146" s="31"/>
      <c r="I146" s="31"/>
      <c r="J146" s="159" t="s">
        <v>242</v>
      </c>
      <c r="K146" s="52"/>
      <c r="L146" s="52"/>
      <c r="M146" s="52"/>
      <c r="N146" s="52"/>
      <c r="O146" s="52"/>
      <c r="P146" s="52"/>
      <c r="Q146" s="160"/>
      <c r="R146" s="52" t="s">
        <v>270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60"/>
      <c r="AK146" s="133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4"/>
    </row>
    <row r="147" spans="2:61" ht="20.100000000000001" customHeight="1" x14ac:dyDescent="0.45">
      <c r="B147" s="158"/>
      <c r="C147" s="31"/>
      <c r="D147" s="31"/>
      <c r="E147" s="31"/>
      <c r="F147" s="31"/>
      <c r="G147" s="131"/>
      <c r="H147" s="31"/>
      <c r="I147" s="31"/>
      <c r="J147" s="159" t="s">
        <v>157</v>
      </c>
      <c r="K147" s="52"/>
      <c r="L147" s="52"/>
      <c r="M147" s="52"/>
      <c r="N147" s="52"/>
      <c r="O147" s="52"/>
      <c r="P147" s="52"/>
      <c r="Q147" s="160"/>
      <c r="R147" s="52" t="s">
        <v>272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60"/>
      <c r="AK147" s="133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4"/>
    </row>
    <row r="148" spans="2:61" ht="20.100000000000001" customHeight="1" x14ac:dyDescent="0.45">
      <c r="B148" s="158"/>
      <c r="C148" s="31"/>
      <c r="D148" s="31"/>
      <c r="E148" s="31"/>
      <c r="F148" s="31"/>
      <c r="G148" s="131"/>
      <c r="H148" s="31"/>
      <c r="I148" s="31"/>
      <c r="J148" s="159" t="s">
        <v>158</v>
      </c>
      <c r="K148" s="52"/>
      <c r="L148" s="52"/>
      <c r="M148" s="52"/>
      <c r="N148" s="52"/>
      <c r="O148" s="52"/>
      <c r="P148" s="52"/>
      <c r="Q148" s="160"/>
      <c r="R148" s="52" t="s">
        <v>274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60"/>
      <c r="AK148" s="133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4"/>
    </row>
    <row r="149" spans="2:61" ht="20.100000000000001" customHeight="1" x14ac:dyDescent="0.45">
      <c r="B149" s="158"/>
      <c r="C149" s="31"/>
      <c r="D149" s="31"/>
      <c r="E149" s="31"/>
      <c r="F149" s="31"/>
      <c r="G149" s="131"/>
      <c r="H149" s="31"/>
      <c r="I149" s="31"/>
      <c r="J149" s="159" t="s">
        <v>159</v>
      </c>
      <c r="K149" s="52"/>
      <c r="L149" s="52"/>
      <c r="M149" s="52"/>
      <c r="N149" s="52"/>
      <c r="O149" s="52"/>
      <c r="P149" s="52"/>
      <c r="Q149" s="160"/>
      <c r="R149" s="52" t="s">
        <v>275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60"/>
      <c r="AK149" s="133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4"/>
    </row>
    <row r="150" spans="2:61" ht="20.100000000000001" customHeight="1" x14ac:dyDescent="0.45">
      <c r="B150" s="158"/>
      <c r="C150" s="31"/>
      <c r="D150" s="31"/>
      <c r="E150" s="31"/>
      <c r="F150" s="31"/>
      <c r="G150" s="131"/>
      <c r="H150" s="31"/>
      <c r="I150" s="31"/>
      <c r="J150" s="159" t="s">
        <v>160</v>
      </c>
      <c r="K150" s="52"/>
      <c r="L150" s="52"/>
      <c r="M150" s="52"/>
      <c r="N150" s="52"/>
      <c r="O150" s="52"/>
      <c r="P150" s="52"/>
      <c r="Q150" s="160"/>
      <c r="R150" s="52" t="s">
        <v>276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60"/>
      <c r="AK150" s="133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4"/>
    </row>
    <row r="151" spans="2:61" ht="20.100000000000001" customHeight="1" x14ac:dyDescent="0.45">
      <c r="B151" s="158"/>
      <c r="C151" s="31"/>
      <c r="D151" s="31"/>
      <c r="E151" s="31"/>
      <c r="F151" s="31"/>
      <c r="G151" s="131"/>
      <c r="H151" s="31"/>
      <c r="I151" s="31"/>
      <c r="J151" s="159" t="s">
        <v>161</v>
      </c>
      <c r="K151" s="52"/>
      <c r="L151" s="52"/>
      <c r="M151" s="52"/>
      <c r="N151" s="52"/>
      <c r="O151" s="52"/>
      <c r="P151" s="52"/>
      <c r="Q151" s="160"/>
      <c r="R151" s="52" t="s">
        <v>277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60"/>
      <c r="AK151" s="133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4"/>
    </row>
    <row r="152" spans="2:61" ht="20.100000000000001" customHeight="1" x14ac:dyDescent="0.45">
      <c r="B152" s="158"/>
      <c r="C152" s="31"/>
      <c r="D152" s="31"/>
      <c r="E152" s="31"/>
      <c r="F152" s="31"/>
      <c r="G152" s="131"/>
      <c r="H152" s="31"/>
      <c r="I152" s="31"/>
      <c r="J152" s="159" t="s">
        <v>162</v>
      </c>
      <c r="K152" s="52"/>
      <c r="L152" s="52"/>
      <c r="M152" s="52"/>
      <c r="N152" s="52"/>
      <c r="O152" s="52"/>
      <c r="P152" s="52"/>
      <c r="Q152" s="160"/>
      <c r="R152" s="52" t="s">
        <v>278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60"/>
      <c r="AK152" s="133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4"/>
    </row>
    <row r="153" spans="2:61" ht="20.100000000000001" customHeight="1" x14ac:dyDescent="0.45">
      <c r="B153" s="158"/>
      <c r="C153" s="31"/>
      <c r="D153" s="31"/>
      <c r="E153" s="31"/>
      <c r="F153" s="31"/>
      <c r="G153" s="131"/>
      <c r="H153" s="31"/>
      <c r="I153" s="31"/>
      <c r="J153" s="159" t="s">
        <v>164</v>
      </c>
      <c r="K153" s="52"/>
      <c r="L153" s="52"/>
      <c r="M153" s="52"/>
      <c r="N153" s="52"/>
      <c r="O153" s="52"/>
      <c r="P153" s="52"/>
      <c r="Q153" s="160"/>
      <c r="R153" s="52" t="s">
        <v>279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60"/>
      <c r="AK153" s="133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4"/>
    </row>
    <row r="154" spans="2:61" ht="20.100000000000001" customHeight="1" x14ac:dyDescent="0.45">
      <c r="B154" s="158"/>
      <c r="C154" s="31"/>
      <c r="D154" s="31"/>
      <c r="E154" s="31"/>
      <c r="F154" s="31"/>
      <c r="G154" s="131"/>
      <c r="H154" s="31"/>
      <c r="I154" s="31"/>
      <c r="J154" s="159" t="s">
        <v>247</v>
      </c>
      <c r="K154" s="52"/>
      <c r="L154" s="52"/>
      <c r="M154" s="52"/>
      <c r="N154" s="52"/>
      <c r="O154" s="52"/>
      <c r="P154" s="52"/>
      <c r="Q154" s="160"/>
      <c r="R154" s="52" t="s">
        <v>280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60"/>
      <c r="AK154" s="133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4"/>
    </row>
    <row r="155" spans="2:61" ht="20.100000000000001" customHeight="1" x14ac:dyDescent="0.45">
      <c r="B155" s="158"/>
      <c r="C155" s="31"/>
      <c r="D155" s="31"/>
      <c r="E155" s="31"/>
      <c r="F155" s="31"/>
      <c r="G155" s="131"/>
      <c r="H155" s="135" t="s">
        <v>104</v>
      </c>
      <c r="I155" s="55"/>
      <c r="J155" s="135" t="s">
        <v>281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36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137"/>
    </row>
    <row r="156" spans="2:61" ht="20.100000000000001" customHeight="1" x14ac:dyDescent="0.45">
      <c r="B156" s="130"/>
      <c r="C156" s="31"/>
      <c r="D156" s="31"/>
      <c r="E156" s="31"/>
      <c r="F156" s="31"/>
      <c r="G156" s="131"/>
      <c r="H156" s="135" t="s">
        <v>106</v>
      </c>
      <c r="I156" s="55"/>
      <c r="J156" s="135" t="s">
        <v>282</v>
      </c>
      <c r="K156" s="55" t="s">
        <v>283</v>
      </c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186"/>
      <c r="AK156" s="133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4"/>
    </row>
    <row r="157" spans="2:61" ht="20.100000000000001" customHeight="1" x14ac:dyDescent="0.45">
      <c r="B157" s="130"/>
      <c r="C157" s="31"/>
      <c r="D157" s="31"/>
      <c r="E157" s="31"/>
      <c r="F157" s="31"/>
      <c r="G157" s="131"/>
      <c r="H157" s="132"/>
      <c r="I157" s="31"/>
      <c r="J157" s="132"/>
      <c r="K157" s="31"/>
      <c r="L157" s="31"/>
      <c r="M157" s="31" t="s">
        <v>284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33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4"/>
    </row>
    <row r="158" spans="2:61" ht="20.100000000000001" customHeight="1" x14ac:dyDescent="0.45">
      <c r="B158" s="130"/>
      <c r="C158" s="31"/>
      <c r="D158" s="31"/>
      <c r="E158" s="31"/>
      <c r="F158" s="31"/>
      <c r="G158" s="131"/>
      <c r="H158" s="132"/>
      <c r="I158" s="31"/>
      <c r="J158" s="132"/>
      <c r="K158" s="31"/>
      <c r="L158" s="31" t="s">
        <v>286</v>
      </c>
      <c r="M158" s="31" t="s">
        <v>285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3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4"/>
    </row>
    <row r="159" spans="2:61" ht="20.100000000000001" customHeight="1" x14ac:dyDescent="0.45">
      <c r="B159" s="130"/>
      <c r="C159" s="31"/>
      <c r="D159" s="31"/>
      <c r="E159" s="31"/>
      <c r="F159" s="31"/>
      <c r="G159" s="131"/>
      <c r="H159" s="132"/>
      <c r="I159" s="31"/>
      <c r="J159" s="132"/>
      <c r="K159" s="31" t="s">
        <v>287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3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4"/>
    </row>
    <row r="160" spans="2:61" ht="21" customHeight="1" x14ac:dyDescent="0.45">
      <c r="B160" s="130"/>
      <c r="C160" s="31"/>
      <c r="D160" s="31"/>
      <c r="E160" s="31"/>
      <c r="F160" s="31"/>
      <c r="G160" s="131"/>
      <c r="H160" s="135" t="s">
        <v>202</v>
      </c>
      <c r="I160" s="55"/>
      <c r="J160" s="178" t="s">
        <v>265</v>
      </c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179"/>
      <c r="AK160" s="187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E160" s="188"/>
      <c r="BF160" s="188"/>
      <c r="BG160" s="188"/>
      <c r="BH160" s="188"/>
      <c r="BI160" s="189"/>
    </row>
    <row r="161" spans="2:61" ht="20.100000000000001" customHeight="1" x14ac:dyDescent="0.45">
      <c r="B161" s="130"/>
      <c r="C161" s="31"/>
      <c r="D161" s="31"/>
      <c r="E161" s="31"/>
      <c r="F161" s="31"/>
      <c r="G161" s="131"/>
      <c r="H161" s="132"/>
      <c r="I161" s="31"/>
      <c r="J161" s="132" t="s">
        <v>267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2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4"/>
    </row>
    <row r="162" spans="2:61" ht="20.100000000000001" customHeight="1" x14ac:dyDescent="0.45">
      <c r="B162" s="130"/>
      <c r="C162" s="31"/>
      <c r="D162" s="31"/>
      <c r="E162" s="31"/>
      <c r="F162" s="31"/>
      <c r="G162" s="131"/>
      <c r="H162" s="132"/>
      <c r="I162" s="31"/>
      <c r="J162" s="132" t="s">
        <v>268</v>
      </c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32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4"/>
    </row>
    <row r="163" spans="2:61" ht="20.100000000000001" customHeight="1" x14ac:dyDescent="0.45">
      <c r="B163" s="130"/>
      <c r="C163" s="31"/>
      <c r="D163" s="31"/>
      <c r="E163" s="31"/>
      <c r="F163" s="31"/>
      <c r="G163" s="131"/>
      <c r="H163" s="132"/>
      <c r="I163" s="31"/>
      <c r="J163" s="132" t="s">
        <v>270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2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4"/>
    </row>
    <row r="164" spans="2:61" ht="20.100000000000001" customHeight="1" x14ac:dyDescent="0.45">
      <c r="B164" s="130"/>
      <c r="C164" s="31"/>
      <c r="D164" s="31"/>
      <c r="E164" s="31"/>
      <c r="F164" s="31"/>
      <c r="G164" s="131"/>
      <c r="H164" s="132"/>
      <c r="I164" s="31"/>
      <c r="J164" s="132" t="s">
        <v>272</v>
      </c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2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4"/>
    </row>
    <row r="165" spans="2:61" ht="20.100000000000001" customHeight="1" x14ac:dyDescent="0.45">
      <c r="B165" s="130"/>
      <c r="C165" s="31"/>
      <c r="D165" s="31"/>
      <c r="E165" s="31"/>
      <c r="F165" s="31"/>
      <c r="G165" s="131"/>
      <c r="H165" s="132"/>
      <c r="I165" s="31"/>
      <c r="J165" s="132" t="s">
        <v>274</v>
      </c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32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4"/>
    </row>
    <row r="166" spans="2:61" ht="20.100000000000001" customHeight="1" x14ac:dyDescent="0.45">
      <c r="B166" s="130"/>
      <c r="C166" s="31"/>
      <c r="D166" s="31"/>
      <c r="E166" s="31"/>
      <c r="F166" s="31"/>
      <c r="G166" s="131"/>
      <c r="H166" s="132"/>
      <c r="I166" s="31"/>
      <c r="J166" s="132" t="s">
        <v>275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32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4"/>
    </row>
    <row r="167" spans="2:61" ht="20.100000000000001" customHeight="1" x14ac:dyDescent="0.45">
      <c r="B167" s="130"/>
      <c r="C167" s="31"/>
      <c r="D167" s="31"/>
      <c r="E167" s="31"/>
      <c r="F167" s="31"/>
      <c r="G167" s="131"/>
      <c r="H167" s="132"/>
      <c r="I167" s="31"/>
      <c r="J167" s="132" t="s">
        <v>276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32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4"/>
    </row>
    <row r="168" spans="2:61" ht="20.100000000000001" customHeight="1" x14ac:dyDescent="0.45">
      <c r="B168" s="130"/>
      <c r="C168" s="31"/>
      <c r="D168" s="31"/>
      <c r="E168" s="31"/>
      <c r="F168" s="31"/>
      <c r="G168" s="131"/>
      <c r="H168" s="132"/>
      <c r="I168" s="31"/>
      <c r="J168" s="132" t="s">
        <v>277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32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34"/>
    </row>
    <row r="169" spans="2:61" ht="20.100000000000001" customHeight="1" x14ac:dyDescent="0.45">
      <c r="B169" s="130"/>
      <c r="C169" s="31"/>
      <c r="D169" s="31"/>
      <c r="E169" s="31"/>
      <c r="F169" s="31"/>
      <c r="G169" s="131"/>
      <c r="H169" s="132"/>
      <c r="I169" s="31"/>
      <c r="J169" s="132" t="s">
        <v>278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32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4"/>
    </row>
    <row r="170" spans="2:61" ht="20.100000000000001" customHeight="1" thickBot="1" x14ac:dyDescent="0.5">
      <c r="B170" s="130"/>
      <c r="C170" s="31"/>
      <c r="D170" s="31"/>
      <c r="E170" s="31"/>
      <c r="F170" s="31"/>
      <c r="G170" s="131"/>
      <c r="H170" s="135" t="s">
        <v>288</v>
      </c>
      <c r="I170" s="55"/>
      <c r="J170" s="135" t="s">
        <v>289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3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37"/>
    </row>
    <row r="171" spans="2:61" ht="17.399999999999999" customHeight="1" x14ac:dyDescent="0.45">
      <c r="B171" s="124" t="s">
        <v>290</v>
      </c>
      <c r="C171" s="125"/>
      <c r="D171" s="125"/>
      <c r="E171" s="125"/>
      <c r="F171" s="125"/>
      <c r="G171" s="126"/>
      <c r="H171" s="127" t="s">
        <v>135</v>
      </c>
      <c r="I171" s="125"/>
      <c r="J171" s="155" t="s">
        <v>151</v>
      </c>
      <c r="K171" s="156"/>
      <c r="L171" s="156"/>
      <c r="M171" s="156"/>
      <c r="N171" s="156"/>
      <c r="O171" s="156"/>
      <c r="P171" s="156"/>
      <c r="Q171" s="157"/>
      <c r="R171" s="174" t="s">
        <v>294</v>
      </c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5"/>
      <c r="AK171" s="173"/>
      <c r="AL171" s="176"/>
      <c r="AM171" s="176"/>
      <c r="AN171" s="176"/>
      <c r="AO171" s="176"/>
      <c r="AP171" s="176"/>
      <c r="AQ171" s="176"/>
      <c r="AR171" s="176"/>
      <c r="AS171" s="176"/>
      <c r="AT171" s="176"/>
      <c r="AU171" s="176"/>
      <c r="AV171" s="176"/>
      <c r="AW171" s="176"/>
      <c r="AX171" s="176"/>
      <c r="AY171" s="176"/>
      <c r="AZ171" s="176"/>
      <c r="BA171" s="176"/>
      <c r="BB171" s="176"/>
      <c r="BC171" s="176"/>
      <c r="BD171" s="176"/>
      <c r="BE171" s="176"/>
      <c r="BF171" s="176"/>
      <c r="BG171" s="176"/>
      <c r="BH171" s="176"/>
      <c r="BI171" s="177"/>
    </row>
    <row r="172" spans="2:61" ht="20.100000000000001" customHeight="1" x14ac:dyDescent="0.45">
      <c r="B172" s="158"/>
      <c r="C172" s="31"/>
      <c r="D172" s="31"/>
      <c r="E172" s="31"/>
      <c r="F172" s="31"/>
      <c r="G172" s="131"/>
      <c r="H172" s="132"/>
      <c r="I172" s="31"/>
      <c r="J172" s="159" t="s">
        <v>152</v>
      </c>
      <c r="K172" s="52"/>
      <c r="L172" s="52"/>
      <c r="M172" s="52"/>
      <c r="N172" s="52"/>
      <c r="O172" s="52"/>
      <c r="P172" s="52"/>
      <c r="Q172" s="160"/>
      <c r="R172" s="52" t="s">
        <v>295</v>
      </c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160"/>
      <c r="AK172" s="133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34"/>
    </row>
    <row r="173" spans="2:61" ht="20.100000000000001" customHeight="1" x14ac:dyDescent="0.45">
      <c r="B173" s="158"/>
      <c r="C173" s="31"/>
      <c r="D173" s="31"/>
      <c r="E173" s="31"/>
      <c r="F173" s="31"/>
      <c r="G173" s="131"/>
      <c r="H173" s="132"/>
      <c r="I173" s="31"/>
      <c r="J173" s="159" t="s">
        <v>153</v>
      </c>
      <c r="K173" s="52"/>
      <c r="L173" s="52"/>
      <c r="M173" s="52"/>
      <c r="N173" s="52"/>
      <c r="O173" s="52"/>
      <c r="P173" s="52"/>
      <c r="Q173" s="160"/>
      <c r="R173" s="52" t="s">
        <v>296</v>
      </c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160"/>
      <c r="AK173" s="133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34"/>
    </row>
    <row r="174" spans="2:61" ht="20.100000000000001" customHeight="1" x14ac:dyDescent="0.45">
      <c r="B174" s="158"/>
      <c r="C174" s="31"/>
      <c r="D174" s="31"/>
      <c r="E174" s="31"/>
      <c r="F174" s="31"/>
      <c r="G174" s="131"/>
      <c r="H174" s="132"/>
      <c r="I174" s="31"/>
      <c r="J174" s="159" t="s">
        <v>154</v>
      </c>
      <c r="K174" s="52"/>
      <c r="L174" s="52"/>
      <c r="M174" s="52"/>
      <c r="N174" s="52"/>
      <c r="O174" s="52"/>
      <c r="P174" s="52"/>
      <c r="Q174" s="160"/>
      <c r="R174" s="52" t="s">
        <v>297</v>
      </c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160"/>
      <c r="AK174" s="133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34"/>
    </row>
    <row r="175" spans="2:61" ht="20.100000000000001" customHeight="1" x14ac:dyDescent="0.45">
      <c r="B175" s="158"/>
      <c r="C175" s="31"/>
      <c r="D175" s="31"/>
      <c r="E175" s="31"/>
      <c r="F175" s="31"/>
      <c r="G175" s="131"/>
      <c r="H175" s="31"/>
      <c r="I175" s="31"/>
      <c r="J175" s="159" t="s">
        <v>155</v>
      </c>
      <c r="K175" s="52"/>
      <c r="L175" s="52"/>
      <c r="M175" s="52"/>
      <c r="N175" s="52"/>
      <c r="O175" s="52"/>
      <c r="P175" s="52"/>
      <c r="Q175" s="160"/>
      <c r="R175" s="52" t="s">
        <v>298</v>
      </c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160"/>
      <c r="AK175" s="133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34"/>
    </row>
    <row r="176" spans="2:61" ht="20.100000000000001" customHeight="1" x14ac:dyDescent="0.45">
      <c r="B176" s="158"/>
      <c r="C176" s="31"/>
      <c r="D176" s="31"/>
      <c r="E176" s="31"/>
      <c r="F176" s="31"/>
      <c r="G176" s="131"/>
      <c r="H176" s="31"/>
      <c r="I176" s="31"/>
      <c r="J176" s="159" t="s">
        <v>156</v>
      </c>
      <c r="K176" s="52"/>
      <c r="L176" s="52"/>
      <c r="M176" s="52"/>
      <c r="N176" s="52"/>
      <c r="O176" s="52"/>
      <c r="P176" s="52"/>
      <c r="Q176" s="160"/>
      <c r="R176" s="52" t="s">
        <v>299</v>
      </c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160"/>
      <c r="AK176" s="133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34"/>
    </row>
    <row r="177" spans="2:61" ht="20.100000000000001" customHeight="1" x14ac:dyDescent="0.45">
      <c r="B177" s="158"/>
      <c r="C177" s="31"/>
      <c r="D177" s="31"/>
      <c r="E177" s="31"/>
      <c r="F177" s="31"/>
      <c r="G177" s="131"/>
      <c r="H177" s="31"/>
      <c r="I177" s="31"/>
      <c r="J177" s="159" t="s">
        <v>157</v>
      </c>
      <c r="K177" s="52"/>
      <c r="L177" s="52"/>
      <c r="M177" s="52"/>
      <c r="N177" s="52"/>
      <c r="O177" s="52"/>
      <c r="P177" s="52"/>
      <c r="Q177" s="160"/>
      <c r="R177" s="52" t="s">
        <v>300</v>
      </c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160"/>
      <c r="AK177" s="133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34"/>
    </row>
    <row r="178" spans="2:61" ht="20.100000000000001" customHeight="1" x14ac:dyDescent="0.45">
      <c r="B178" s="158"/>
      <c r="C178" s="31"/>
      <c r="D178" s="31"/>
      <c r="E178" s="31"/>
      <c r="F178" s="31"/>
      <c r="G178" s="131"/>
      <c r="H178" s="31"/>
      <c r="I178" s="31"/>
      <c r="J178" s="159" t="s">
        <v>158</v>
      </c>
      <c r="K178" s="52"/>
      <c r="L178" s="52"/>
      <c r="M178" s="52"/>
      <c r="N178" s="52"/>
      <c r="O178" s="52"/>
      <c r="P178" s="52"/>
      <c r="Q178" s="160"/>
      <c r="R178" s="52" t="s">
        <v>301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60"/>
      <c r="AK178" s="133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4"/>
    </row>
    <row r="179" spans="2:61" ht="20.100000000000001" customHeight="1" x14ac:dyDescent="0.45">
      <c r="B179" s="158"/>
      <c r="C179" s="31"/>
      <c r="D179" s="31"/>
      <c r="E179" s="31"/>
      <c r="F179" s="31"/>
      <c r="G179" s="131"/>
      <c r="H179" s="31"/>
      <c r="I179" s="31"/>
      <c r="J179" s="159" t="s">
        <v>159</v>
      </c>
      <c r="K179" s="52"/>
      <c r="L179" s="52"/>
      <c r="M179" s="52"/>
      <c r="N179" s="52"/>
      <c r="O179" s="52"/>
      <c r="P179" s="52"/>
      <c r="Q179" s="160"/>
      <c r="R179" s="52" t="s">
        <v>302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60"/>
      <c r="AK179" s="133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34"/>
    </row>
    <row r="180" spans="2:61" ht="20.100000000000001" customHeight="1" x14ac:dyDescent="0.45">
      <c r="B180" s="158"/>
      <c r="C180" s="31"/>
      <c r="D180" s="31"/>
      <c r="E180" s="31"/>
      <c r="F180" s="31"/>
      <c r="G180" s="131"/>
      <c r="H180" s="31"/>
      <c r="I180" s="31"/>
      <c r="J180" s="159" t="s">
        <v>160</v>
      </c>
      <c r="K180" s="52"/>
      <c r="L180" s="52"/>
      <c r="M180" s="52"/>
      <c r="N180" s="52"/>
      <c r="O180" s="52"/>
      <c r="P180" s="52"/>
      <c r="Q180" s="160"/>
      <c r="R180" s="52" t="s">
        <v>303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60"/>
      <c r="AK180" s="133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34"/>
    </row>
    <row r="181" spans="2:61" ht="20.100000000000001" customHeight="1" x14ac:dyDescent="0.45">
      <c r="B181" s="158"/>
      <c r="C181" s="31"/>
      <c r="D181" s="31"/>
      <c r="E181" s="31"/>
      <c r="F181" s="31"/>
      <c r="G181" s="131"/>
      <c r="H181" s="31"/>
      <c r="I181" s="31"/>
      <c r="J181" s="159" t="s">
        <v>161</v>
      </c>
      <c r="K181" s="52"/>
      <c r="L181" s="52"/>
      <c r="M181" s="52"/>
      <c r="N181" s="52"/>
      <c r="O181" s="52"/>
      <c r="P181" s="52"/>
      <c r="Q181" s="160"/>
      <c r="R181" s="52" t="s">
        <v>304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60"/>
      <c r="AK181" s="133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34"/>
    </row>
    <row r="182" spans="2:61" ht="20.100000000000001" customHeight="1" x14ac:dyDescent="0.45">
      <c r="B182" s="158"/>
      <c r="C182" s="31"/>
      <c r="D182" s="31"/>
      <c r="E182" s="31"/>
      <c r="F182" s="31"/>
      <c r="G182" s="131"/>
      <c r="H182" s="31"/>
      <c r="I182" s="31"/>
      <c r="J182" s="159" t="s">
        <v>162</v>
      </c>
      <c r="K182" s="52"/>
      <c r="L182" s="52"/>
      <c r="M182" s="52"/>
      <c r="N182" s="52"/>
      <c r="O182" s="52"/>
      <c r="P182" s="52"/>
      <c r="Q182" s="160"/>
      <c r="R182" s="52" t="s">
        <v>305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60"/>
      <c r="AK182" s="133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34"/>
    </row>
    <row r="183" spans="2:61" ht="20.100000000000001" customHeight="1" x14ac:dyDescent="0.45">
      <c r="B183" s="158"/>
      <c r="C183" s="31"/>
      <c r="D183" s="31"/>
      <c r="E183" s="31"/>
      <c r="F183" s="31"/>
      <c r="G183" s="131"/>
      <c r="H183" s="31"/>
      <c r="I183" s="31"/>
      <c r="J183" s="159" t="s">
        <v>163</v>
      </c>
      <c r="K183" s="52"/>
      <c r="L183" s="52"/>
      <c r="M183" s="52"/>
      <c r="N183" s="52"/>
      <c r="O183" s="52"/>
      <c r="P183" s="52"/>
      <c r="Q183" s="160"/>
      <c r="R183" s="52" t="s">
        <v>306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60"/>
      <c r="AK183" s="133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4"/>
    </row>
    <row r="184" spans="2:61" ht="20.100000000000001" customHeight="1" x14ac:dyDescent="0.45">
      <c r="B184" s="158"/>
      <c r="C184" s="31"/>
      <c r="D184" s="31"/>
      <c r="E184" s="31"/>
      <c r="F184" s="31"/>
      <c r="G184" s="131"/>
      <c r="H184" s="31"/>
      <c r="I184" s="31"/>
      <c r="J184" s="159" t="s">
        <v>164</v>
      </c>
      <c r="K184" s="52"/>
      <c r="L184" s="52"/>
      <c r="M184" s="52"/>
      <c r="N184" s="52"/>
      <c r="O184" s="52"/>
      <c r="P184" s="52"/>
      <c r="Q184" s="160"/>
      <c r="R184" s="51" t="s">
        <v>307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60"/>
      <c r="AK184" s="133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34"/>
    </row>
    <row r="185" spans="2:61" ht="20.100000000000001" customHeight="1" x14ac:dyDescent="0.45">
      <c r="B185" s="158"/>
      <c r="C185" s="31"/>
      <c r="D185" s="31"/>
      <c r="E185" s="31"/>
      <c r="F185" s="31"/>
      <c r="G185" s="131"/>
      <c r="H185" s="31"/>
      <c r="I185" s="31"/>
      <c r="J185" s="135" t="s">
        <v>291</v>
      </c>
      <c r="K185" s="55"/>
      <c r="L185" s="55"/>
      <c r="M185" s="55"/>
      <c r="N185" s="55"/>
      <c r="O185" s="55"/>
      <c r="P185" s="55"/>
      <c r="Q185" s="160"/>
      <c r="R185" s="54" t="s">
        <v>308</v>
      </c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133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34"/>
    </row>
    <row r="186" spans="2:61" ht="117.6" customHeight="1" x14ac:dyDescent="0.45">
      <c r="B186" s="158"/>
      <c r="C186" s="31"/>
      <c r="D186" s="31"/>
      <c r="E186" s="31"/>
      <c r="F186" s="31"/>
      <c r="G186" s="131"/>
      <c r="H186" s="31"/>
      <c r="I186" s="31"/>
      <c r="J186" s="135" t="s">
        <v>292</v>
      </c>
      <c r="K186" s="55"/>
      <c r="L186" s="55"/>
      <c r="M186" s="55"/>
      <c r="N186" s="55"/>
      <c r="O186" s="55"/>
      <c r="P186" s="55"/>
      <c r="Q186" s="186"/>
      <c r="R186" s="290" t="s">
        <v>310</v>
      </c>
      <c r="S186" s="291"/>
      <c r="T186" s="291"/>
      <c r="U186" s="291"/>
      <c r="V186" s="291"/>
      <c r="W186" s="291"/>
      <c r="X186" s="291"/>
      <c r="Y186" s="291"/>
      <c r="Z186" s="291"/>
      <c r="AA186" s="291"/>
      <c r="AB186" s="291"/>
      <c r="AC186" s="291"/>
      <c r="AD186" s="291"/>
      <c r="AE186" s="291"/>
      <c r="AF186" s="291"/>
      <c r="AG186" s="291"/>
      <c r="AH186" s="291"/>
      <c r="AI186" s="291"/>
      <c r="AJ186" s="292"/>
      <c r="AK186" s="133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34"/>
    </row>
    <row r="187" spans="2:61" ht="20.100000000000001" customHeight="1" x14ac:dyDescent="0.45">
      <c r="B187" s="158"/>
      <c r="C187" s="31"/>
      <c r="D187" s="31"/>
      <c r="E187" s="31"/>
      <c r="F187" s="31"/>
      <c r="G187" s="131"/>
      <c r="H187" s="31"/>
      <c r="I187" s="31"/>
      <c r="J187" s="201" t="s">
        <v>387</v>
      </c>
      <c r="K187" s="55"/>
      <c r="L187" s="55"/>
      <c r="M187" s="55"/>
      <c r="N187" s="55"/>
      <c r="O187" s="55"/>
      <c r="P187" s="55"/>
      <c r="Q187" s="186"/>
      <c r="R187" s="201" t="s">
        <v>385</v>
      </c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33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34"/>
    </row>
    <row r="188" spans="2:61" ht="20.100000000000001" customHeight="1" x14ac:dyDescent="0.45">
      <c r="B188" s="158"/>
      <c r="C188" s="31"/>
      <c r="D188" s="31"/>
      <c r="E188" s="31"/>
      <c r="F188" s="31"/>
      <c r="G188" s="131"/>
      <c r="H188" s="31"/>
      <c r="I188" s="31"/>
      <c r="J188" s="201" t="s">
        <v>388</v>
      </c>
      <c r="K188" s="55"/>
      <c r="L188" s="55"/>
      <c r="M188" s="55"/>
      <c r="N188" s="55"/>
      <c r="O188" s="55"/>
      <c r="P188" s="55"/>
      <c r="Q188" s="186"/>
      <c r="R188" s="201" t="s">
        <v>386</v>
      </c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33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34"/>
    </row>
    <row r="189" spans="2:61" ht="20.100000000000001" customHeight="1" x14ac:dyDescent="0.45">
      <c r="B189" s="158"/>
      <c r="C189" s="31"/>
      <c r="D189" s="31"/>
      <c r="E189" s="31"/>
      <c r="F189" s="31"/>
      <c r="G189" s="131"/>
      <c r="H189" s="31"/>
      <c r="I189" s="31"/>
      <c r="J189" s="135" t="s">
        <v>293</v>
      </c>
      <c r="K189" s="55"/>
      <c r="L189" s="55"/>
      <c r="M189" s="55"/>
      <c r="N189" s="55"/>
      <c r="O189" s="55"/>
      <c r="P189" s="52"/>
      <c r="Q189" s="160"/>
      <c r="R189" s="54" t="s">
        <v>309</v>
      </c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133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34"/>
    </row>
    <row r="190" spans="2:61" ht="20.100000000000001" customHeight="1" x14ac:dyDescent="0.45">
      <c r="B190" s="158"/>
      <c r="C190" s="31"/>
      <c r="D190" s="31"/>
      <c r="E190" s="31"/>
      <c r="F190" s="31"/>
      <c r="G190" s="131"/>
      <c r="H190" s="135" t="s">
        <v>104</v>
      </c>
      <c r="I190" s="55"/>
      <c r="J190" s="135" t="s">
        <v>311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136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137"/>
    </row>
    <row r="191" spans="2:61" ht="20.100000000000001" customHeight="1" x14ac:dyDescent="0.45">
      <c r="B191" s="158"/>
      <c r="C191" s="31"/>
      <c r="D191" s="31"/>
      <c r="E191" s="31"/>
      <c r="F191" s="31"/>
      <c r="G191" s="131"/>
      <c r="H191" s="132"/>
      <c r="I191" s="31"/>
      <c r="J191" s="199" t="s">
        <v>381</v>
      </c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133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34"/>
    </row>
    <row r="192" spans="2:61" ht="20.100000000000001" customHeight="1" x14ac:dyDescent="0.45">
      <c r="B192" s="158"/>
      <c r="C192" s="31"/>
      <c r="D192" s="31"/>
      <c r="E192" s="31"/>
      <c r="F192" s="31"/>
      <c r="G192" s="131"/>
      <c r="H192" s="138"/>
      <c r="I192" s="139"/>
      <c r="J192" s="200" t="s">
        <v>382</v>
      </c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40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  <c r="BC192" s="139"/>
      <c r="BD192" s="139"/>
      <c r="BE192" s="139"/>
      <c r="BF192" s="139"/>
      <c r="BG192" s="139"/>
      <c r="BH192" s="139"/>
      <c r="BI192" s="141"/>
    </row>
    <row r="193" spans="2:61" ht="20.100000000000001" customHeight="1" x14ac:dyDescent="0.45">
      <c r="B193" s="158"/>
      <c r="C193" s="31"/>
      <c r="D193" s="31"/>
      <c r="E193" s="31"/>
      <c r="F193" s="31"/>
      <c r="G193" s="131"/>
      <c r="H193" s="135" t="s">
        <v>379</v>
      </c>
      <c r="I193" s="55"/>
      <c r="J193" s="201" t="s">
        <v>188</v>
      </c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136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137"/>
    </row>
    <row r="194" spans="2:61" ht="20.100000000000001" customHeight="1" x14ac:dyDescent="0.45">
      <c r="B194" s="158"/>
      <c r="C194" s="31"/>
      <c r="D194" s="31"/>
      <c r="E194" s="31"/>
      <c r="F194" s="31"/>
      <c r="G194" s="131"/>
      <c r="H194" s="132"/>
      <c r="I194" s="31"/>
      <c r="J194" s="199"/>
      <c r="K194" s="203" t="s">
        <v>377</v>
      </c>
      <c r="L194" s="203"/>
      <c r="M194" s="203"/>
      <c r="N194" s="203"/>
      <c r="O194" s="203"/>
      <c r="P194" s="203"/>
      <c r="Q194" s="203"/>
      <c r="R194" s="203"/>
      <c r="S194" s="203"/>
      <c r="T194" s="203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133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34"/>
    </row>
    <row r="195" spans="2:61" ht="20.100000000000001" customHeight="1" x14ac:dyDescent="0.45">
      <c r="B195" s="158"/>
      <c r="C195" s="31"/>
      <c r="D195" s="31"/>
      <c r="E195" s="31"/>
      <c r="F195" s="31"/>
      <c r="G195" s="131"/>
      <c r="H195" s="132"/>
      <c r="I195" s="31"/>
      <c r="J195" s="199"/>
      <c r="K195" s="203"/>
      <c r="L195" s="203"/>
      <c r="M195" s="203" t="s">
        <v>383</v>
      </c>
      <c r="N195" s="203"/>
      <c r="O195" s="203"/>
      <c r="P195" s="203"/>
      <c r="Q195" s="203"/>
      <c r="R195" s="203"/>
      <c r="S195" s="203"/>
      <c r="T195" s="203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133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4"/>
    </row>
    <row r="196" spans="2:61" ht="20.100000000000001" customHeight="1" x14ac:dyDescent="0.45">
      <c r="B196" s="158"/>
      <c r="C196" s="31"/>
      <c r="D196" s="31"/>
      <c r="E196" s="31"/>
      <c r="F196" s="31"/>
      <c r="G196" s="131"/>
      <c r="H196" s="132"/>
      <c r="I196" s="31"/>
      <c r="J196" s="199" t="s">
        <v>380</v>
      </c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133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4"/>
    </row>
    <row r="197" spans="2:61" ht="20.100000000000001" customHeight="1" x14ac:dyDescent="0.45">
      <c r="B197" s="158"/>
      <c r="C197" s="31"/>
      <c r="D197" s="31"/>
      <c r="E197" s="31"/>
      <c r="F197" s="31"/>
      <c r="G197" s="131"/>
      <c r="H197" s="132"/>
      <c r="I197" s="31"/>
      <c r="J197" s="199"/>
      <c r="K197" s="203" t="s">
        <v>378</v>
      </c>
      <c r="L197" s="203"/>
      <c r="M197" s="203"/>
      <c r="N197" s="203"/>
      <c r="O197" s="203"/>
      <c r="P197" s="203"/>
      <c r="Q197" s="203"/>
      <c r="R197" s="203"/>
      <c r="S197" s="203"/>
      <c r="T197" s="203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133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4"/>
    </row>
    <row r="198" spans="2:61" ht="20.100000000000001" customHeight="1" x14ac:dyDescent="0.45">
      <c r="B198" s="158"/>
      <c r="C198" s="31"/>
      <c r="D198" s="31"/>
      <c r="E198" s="31"/>
      <c r="F198" s="31"/>
      <c r="G198" s="131"/>
      <c r="H198" s="138"/>
      <c r="I198" s="139"/>
      <c r="J198" s="200"/>
      <c r="K198" s="204"/>
      <c r="L198" s="204"/>
      <c r="M198" s="204" t="s">
        <v>384</v>
      </c>
      <c r="N198" s="204"/>
      <c r="O198" s="204"/>
      <c r="P198" s="204"/>
      <c r="Q198" s="204"/>
      <c r="R198" s="204"/>
      <c r="S198" s="204"/>
      <c r="T198" s="204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40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  <c r="BC198" s="139"/>
      <c r="BD198" s="139"/>
      <c r="BE198" s="139"/>
      <c r="BF198" s="139"/>
      <c r="BG198" s="139"/>
      <c r="BH198" s="139"/>
      <c r="BI198" s="141"/>
    </row>
    <row r="199" spans="2:61" ht="20.100000000000001" customHeight="1" x14ac:dyDescent="0.45">
      <c r="B199" s="130"/>
      <c r="C199" s="31"/>
      <c r="D199" s="31"/>
      <c r="E199" s="31"/>
      <c r="F199" s="31"/>
      <c r="G199" s="131"/>
      <c r="H199" s="135" t="s">
        <v>106</v>
      </c>
      <c r="I199" s="55"/>
      <c r="J199" s="135" t="s">
        <v>282</v>
      </c>
      <c r="K199" s="55" t="s">
        <v>283</v>
      </c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136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137"/>
    </row>
    <row r="200" spans="2:61" ht="20.100000000000001" customHeight="1" x14ac:dyDescent="0.45">
      <c r="B200" s="130"/>
      <c r="C200" s="31"/>
      <c r="D200" s="31"/>
      <c r="E200" s="31"/>
      <c r="F200" s="31"/>
      <c r="G200" s="131"/>
      <c r="H200" s="132"/>
      <c r="I200" s="31"/>
      <c r="J200" s="132"/>
      <c r="K200" s="31"/>
      <c r="L200" s="31"/>
      <c r="M200" s="31" t="s">
        <v>284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133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4"/>
    </row>
    <row r="201" spans="2:61" ht="20.100000000000001" customHeight="1" thickBot="1" x14ac:dyDescent="0.5">
      <c r="B201" s="130"/>
      <c r="C201" s="31"/>
      <c r="D201" s="31"/>
      <c r="E201" s="31"/>
      <c r="F201" s="31"/>
      <c r="G201" s="131"/>
      <c r="H201" s="132"/>
      <c r="I201" s="31"/>
      <c r="J201" s="132"/>
      <c r="K201" s="31"/>
      <c r="L201" s="31" t="s">
        <v>286</v>
      </c>
      <c r="M201" s="31" t="s">
        <v>285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133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34"/>
    </row>
    <row r="202" spans="2:61" ht="21" customHeight="1" x14ac:dyDescent="0.45">
      <c r="B202" s="130"/>
      <c r="C202" s="31"/>
      <c r="D202" s="31"/>
      <c r="E202" s="31"/>
      <c r="F202" s="31"/>
      <c r="G202" s="131"/>
      <c r="H202" s="135" t="s">
        <v>312</v>
      </c>
      <c r="I202" s="55"/>
      <c r="J202" s="178" t="s">
        <v>264</v>
      </c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179"/>
      <c r="AK202" s="173"/>
      <c r="AL202" s="176"/>
      <c r="AM202" s="176"/>
      <c r="AN202" s="176"/>
      <c r="AO202" s="176"/>
      <c r="AP202" s="176"/>
      <c r="AQ202" s="176"/>
      <c r="AR202" s="176"/>
      <c r="AS202" s="176"/>
      <c r="AT202" s="176"/>
      <c r="AU202" s="176"/>
      <c r="AV202" s="176"/>
      <c r="AW202" s="176"/>
      <c r="AX202" s="176"/>
      <c r="AY202" s="176"/>
      <c r="AZ202" s="176"/>
      <c r="BA202" s="176"/>
      <c r="BB202" s="176"/>
      <c r="BC202" s="176"/>
      <c r="BD202" s="176"/>
      <c r="BE202" s="176"/>
      <c r="BF202" s="176"/>
      <c r="BG202" s="176"/>
      <c r="BH202" s="176"/>
      <c r="BI202" s="177"/>
    </row>
    <row r="203" spans="2:61" ht="20.100000000000001" customHeight="1" x14ac:dyDescent="0.45">
      <c r="B203" s="130"/>
      <c r="C203" s="31"/>
      <c r="D203" s="31"/>
      <c r="E203" s="31"/>
      <c r="F203" s="31"/>
      <c r="G203" s="131"/>
      <c r="H203" s="132"/>
      <c r="I203" s="31"/>
      <c r="J203" s="132" t="s">
        <v>266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132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34"/>
    </row>
    <row r="204" spans="2:61" ht="20.100000000000001" customHeight="1" x14ac:dyDescent="0.45">
      <c r="B204" s="130"/>
      <c r="C204" s="31"/>
      <c r="D204" s="31"/>
      <c r="E204" s="31"/>
      <c r="F204" s="31"/>
      <c r="G204" s="131"/>
      <c r="H204" s="132"/>
      <c r="I204" s="31"/>
      <c r="J204" s="132" t="s">
        <v>313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132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34"/>
    </row>
    <row r="205" spans="2:61" ht="20.100000000000001" customHeight="1" x14ac:dyDescent="0.45">
      <c r="B205" s="130"/>
      <c r="C205" s="31"/>
      <c r="D205" s="31"/>
      <c r="E205" s="31"/>
      <c r="F205" s="31"/>
      <c r="G205" s="131"/>
      <c r="H205" s="132"/>
      <c r="I205" s="31"/>
      <c r="J205" s="132" t="s">
        <v>314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132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34"/>
    </row>
    <row r="206" spans="2:61" ht="20.100000000000001" customHeight="1" x14ac:dyDescent="0.45">
      <c r="B206" s="130"/>
      <c r="C206" s="31"/>
      <c r="D206" s="31"/>
      <c r="E206" s="31"/>
      <c r="F206" s="31"/>
      <c r="G206" s="131"/>
      <c r="H206" s="132"/>
      <c r="I206" s="31"/>
      <c r="J206" s="132" t="s">
        <v>315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132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34"/>
    </row>
    <row r="207" spans="2:61" ht="20.100000000000001" customHeight="1" x14ac:dyDescent="0.45">
      <c r="B207" s="130"/>
      <c r="C207" s="31"/>
      <c r="D207" s="31"/>
      <c r="E207" s="31"/>
      <c r="F207" s="31"/>
      <c r="G207" s="131"/>
      <c r="H207" s="132"/>
      <c r="I207" s="31"/>
      <c r="J207" s="132" t="s">
        <v>271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132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34"/>
    </row>
    <row r="208" spans="2:61" ht="20.100000000000001" customHeight="1" x14ac:dyDescent="0.45">
      <c r="B208" s="130"/>
      <c r="C208" s="31"/>
      <c r="D208" s="31"/>
      <c r="E208" s="31"/>
      <c r="F208" s="31"/>
      <c r="G208" s="131"/>
      <c r="H208" s="132"/>
      <c r="I208" s="31"/>
      <c r="J208" s="132" t="s">
        <v>316</v>
      </c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132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34"/>
    </row>
    <row r="209" spans="2:61" ht="20.100000000000001" customHeight="1" x14ac:dyDescent="0.45">
      <c r="B209" s="130"/>
      <c r="C209" s="31"/>
      <c r="D209" s="31"/>
      <c r="E209" s="31"/>
      <c r="F209" s="31"/>
      <c r="G209" s="131"/>
      <c r="H209" s="132"/>
      <c r="I209" s="31"/>
      <c r="J209" s="132" t="s">
        <v>273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132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34"/>
    </row>
    <row r="210" spans="2:61" ht="20.100000000000001" customHeight="1" thickBot="1" x14ac:dyDescent="0.5">
      <c r="B210" s="130"/>
      <c r="C210" s="31"/>
      <c r="D210" s="31"/>
      <c r="E210" s="31"/>
      <c r="F210" s="31"/>
      <c r="G210" s="131"/>
      <c r="H210" s="132"/>
      <c r="I210" s="31"/>
      <c r="J210" s="132" t="s">
        <v>269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132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34"/>
    </row>
    <row r="211" spans="2:61" ht="5.0999999999999996" customHeight="1" x14ac:dyDescent="0.45"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  <c r="BI211" s="125"/>
    </row>
  </sheetData>
  <mergeCells count="31">
    <mergeCell ref="R186:AJ186"/>
    <mergeCell ref="B6:G6"/>
    <mergeCell ref="R87:AJ87"/>
    <mergeCell ref="AK87:BI87"/>
    <mergeCell ref="J131:AJ131"/>
    <mergeCell ref="AK131:BI131"/>
    <mergeCell ref="B87:G87"/>
    <mergeCell ref="R6:AJ6"/>
    <mergeCell ref="AK6:BI6"/>
    <mergeCell ref="J50:AJ50"/>
    <mergeCell ref="AK50:BI50"/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1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78" t="s">
        <v>0</v>
      </c>
      <c r="C2" s="279"/>
      <c r="D2" s="279"/>
      <c r="E2" s="279"/>
      <c r="F2" s="279"/>
      <c r="G2" s="279"/>
      <c r="H2" s="279" t="s">
        <v>17</v>
      </c>
      <c r="I2" s="279"/>
      <c r="J2" s="279"/>
      <c r="K2" s="279"/>
      <c r="L2" s="279" t="s">
        <v>1</v>
      </c>
      <c r="M2" s="279"/>
      <c r="N2" s="279"/>
      <c r="O2" s="279"/>
      <c r="P2" s="279"/>
      <c r="Q2" s="279"/>
      <c r="R2" s="279" t="s">
        <v>2</v>
      </c>
      <c r="S2" s="279"/>
      <c r="T2" s="279"/>
      <c r="U2" s="279"/>
      <c r="V2" s="279"/>
      <c r="W2" s="279"/>
      <c r="X2" s="280" t="s">
        <v>3</v>
      </c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2"/>
      <c r="AK2" s="280" t="s">
        <v>32</v>
      </c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2"/>
      <c r="AX2" s="279" t="s">
        <v>5</v>
      </c>
      <c r="AY2" s="279"/>
      <c r="AZ2" s="279"/>
      <c r="BA2" s="279"/>
      <c r="BB2" s="279" t="s">
        <v>4</v>
      </c>
      <c r="BC2" s="279"/>
      <c r="BD2" s="279"/>
      <c r="BE2" s="279"/>
      <c r="BF2" s="279" t="s">
        <v>6</v>
      </c>
      <c r="BG2" s="279"/>
      <c r="BH2" s="279"/>
      <c r="BI2" s="279"/>
      <c r="BJ2" s="279" t="s">
        <v>7</v>
      </c>
      <c r="BK2" s="279"/>
      <c r="BL2" s="279"/>
      <c r="BM2" s="289"/>
    </row>
    <row r="3" spans="2:65" ht="20.100000000000001" customHeight="1" x14ac:dyDescent="0.45">
      <c r="B3" s="283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87"/>
    </row>
    <row r="4" spans="2:65" ht="20.100000000000001" customHeight="1" thickBot="1" x14ac:dyDescent="0.5">
      <c r="B4" s="284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75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7"/>
      <c r="AK4" s="275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7"/>
      <c r="AX4" s="286"/>
      <c r="AY4" s="286"/>
      <c r="AZ4" s="286"/>
      <c r="BA4" s="286"/>
      <c r="BB4" s="285"/>
      <c r="BC4" s="285"/>
      <c r="BD4" s="285"/>
      <c r="BE4" s="285"/>
      <c r="BF4" s="286"/>
      <c r="BG4" s="286"/>
      <c r="BH4" s="286"/>
      <c r="BI4" s="286"/>
      <c r="BJ4" s="285"/>
      <c r="BK4" s="285"/>
      <c r="BL4" s="285"/>
      <c r="BM4" s="28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4" t="s">
        <v>107</v>
      </c>
      <c r="C7" s="125"/>
      <c r="D7" s="125"/>
      <c r="E7" s="125"/>
      <c r="F7" s="125"/>
      <c r="G7" s="125"/>
      <c r="H7" s="127" t="s">
        <v>135</v>
      </c>
      <c r="I7" s="126"/>
      <c r="J7" s="161" t="s">
        <v>20</v>
      </c>
      <c r="K7" s="156"/>
      <c r="L7" s="156"/>
      <c r="M7" s="156"/>
      <c r="N7" s="156"/>
      <c r="O7" s="156"/>
      <c r="P7" s="156"/>
      <c r="Q7" s="156"/>
      <c r="R7" s="161" t="s">
        <v>136</v>
      </c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7"/>
      <c r="AK7" s="128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9"/>
      <c r="BJ7" s="29"/>
      <c r="BK7" s="29"/>
      <c r="BL7" s="29"/>
      <c r="BM7" s="29"/>
    </row>
    <row r="8" spans="2:65" ht="20.100000000000001" customHeight="1" x14ac:dyDescent="0.45">
      <c r="B8" s="158"/>
      <c r="C8" s="31"/>
      <c r="D8" s="31"/>
      <c r="E8" s="31"/>
      <c r="F8" s="31"/>
      <c r="G8" s="31"/>
      <c r="H8" s="132"/>
      <c r="I8" s="131"/>
      <c r="J8" s="159" t="s">
        <v>137</v>
      </c>
      <c r="K8" s="52"/>
      <c r="L8" s="52"/>
      <c r="M8" s="52"/>
      <c r="N8" s="52"/>
      <c r="O8" s="52"/>
      <c r="P8" s="52"/>
      <c r="Q8" s="52"/>
      <c r="R8" s="159" t="s">
        <v>138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0"/>
      <c r="AK8" s="133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4"/>
      <c r="BJ8" s="29"/>
      <c r="BK8" s="29"/>
      <c r="BL8" s="29"/>
      <c r="BM8" s="29"/>
    </row>
    <row r="9" spans="2:65" ht="20.100000000000001" customHeight="1" x14ac:dyDescent="0.45">
      <c r="B9" s="158"/>
      <c r="C9" s="31"/>
      <c r="D9" s="31"/>
      <c r="E9" s="31"/>
      <c r="F9" s="31"/>
      <c r="G9" s="31"/>
      <c r="H9" s="138"/>
      <c r="I9" s="162"/>
      <c r="J9" s="159" t="s">
        <v>139</v>
      </c>
      <c r="K9" s="52"/>
      <c r="L9" s="52"/>
      <c r="M9" s="52"/>
      <c r="N9" s="52"/>
      <c r="O9" s="52"/>
      <c r="P9" s="52"/>
      <c r="Q9" s="52"/>
      <c r="R9" s="159" t="s">
        <v>140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0"/>
      <c r="AK9" s="140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41"/>
      <c r="BJ9" s="29"/>
      <c r="BK9" s="29"/>
      <c r="BL9" s="29"/>
      <c r="BM9" s="29"/>
    </row>
    <row r="10" spans="2:65" ht="20.100000000000001" customHeight="1" x14ac:dyDescent="0.45">
      <c r="B10" s="158"/>
      <c r="C10" s="31"/>
      <c r="D10" s="31"/>
      <c r="E10" s="31"/>
      <c r="F10" s="31"/>
      <c r="G10" s="131"/>
      <c r="H10" s="132" t="s">
        <v>108</v>
      </c>
      <c r="I10" s="31"/>
      <c r="J10" s="146" t="s">
        <v>109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3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4"/>
      <c r="BJ10" s="29"/>
      <c r="BK10" s="29"/>
      <c r="BL10" s="29"/>
      <c r="BM10" s="29"/>
    </row>
    <row r="11" spans="2:65" ht="20.100000000000001" customHeight="1" x14ac:dyDescent="0.45">
      <c r="B11" s="130"/>
      <c r="C11" s="31"/>
      <c r="D11" s="31"/>
      <c r="E11" s="31"/>
      <c r="F11" s="31"/>
      <c r="G11" s="131"/>
      <c r="H11" s="132"/>
      <c r="I11" s="31"/>
      <c r="J11" s="132" t="s">
        <v>110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3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4"/>
      <c r="BJ11" s="29"/>
      <c r="BK11" s="29"/>
      <c r="BL11" s="29"/>
      <c r="BM11" s="29"/>
    </row>
    <row r="12" spans="2:65" ht="20.100000000000001" customHeight="1" x14ac:dyDescent="0.45">
      <c r="B12" s="130"/>
      <c r="C12" s="31"/>
      <c r="D12" s="31"/>
      <c r="E12" s="31"/>
      <c r="F12" s="31"/>
      <c r="G12" s="131"/>
      <c r="H12" s="132"/>
      <c r="I12" s="31"/>
      <c r="J12" s="132" t="s">
        <v>111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3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4"/>
      <c r="BJ12" s="29"/>
      <c r="BK12" s="29"/>
      <c r="BL12" s="29"/>
      <c r="BM12" s="29"/>
    </row>
    <row r="13" spans="2:65" ht="20.100000000000001" customHeight="1" x14ac:dyDescent="0.45">
      <c r="B13" s="130"/>
      <c r="C13" s="31"/>
      <c r="D13" s="31"/>
      <c r="E13" s="31"/>
      <c r="F13" s="31"/>
      <c r="G13" s="131"/>
      <c r="H13" s="132"/>
      <c r="I13" s="31"/>
      <c r="J13" s="132" t="s">
        <v>112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3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4"/>
      <c r="BJ13" s="29"/>
      <c r="BK13" s="29"/>
      <c r="BL13" s="29"/>
      <c r="BM13" s="29"/>
    </row>
    <row r="14" spans="2:65" ht="20.100000000000001" customHeight="1" x14ac:dyDescent="0.45">
      <c r="B14" s="130"/>
      <c r="C14" s="31"/>
      <c r="D14" s="31"/>
      <c r="E14" s="31"/>
      <c r="F14" s="31"/>
      <c r="G14" s="131"/>
      <c r="H14" s="135" t="s">
        <v>113</v>
      </c>
      <c r="I14" s="55"/>
      <c r="J14" s="142" t="s">
        <v>114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6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7"/>
      <c r="BJ14" s="29"/>
      <c r="BK14" s="29"/>
      <c r="BL14" s="29"/>
      <c r="BM14" s="29"/>
    </row>
    <row r="15" spans="2:65" ht="20.100000000000001" customHeight="1" x14ac:dyDescent="0.45">
      <c r="B15" s="130"/>
      <c r="C15" s="31"/>
      <c r="D15" s="31"/>
      <c r="E15" s="31"/>
      <c r="F15" s="31"/>
      <c r="G15" s="131"/>
      <c r="H15" s="132"/>
      <c r="I15" s="31"/>
      <c r="J15" s="143"/>
      <c r="K15" s="144" t="s">
        <v>115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3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4"/>
      <c r="BJ15" s="29"/>
      <c r="BK15" s="29"/>
      <c r="BL15" s="29"/>
      <c r="BM15" s="29"/>
    </row>
    <row r="16" spans="2:65" ht="20.100000000000001" customHeight="1" x14ac:dyDescent="0.45">
      <c r="B16" s="130"/>
      <c r="C16" s="31"/>
      <c r="D16" s="31"/>
      <c r="E16" s="31"/>
      <c r="F16" s="31"/>
      <c r="G16" s="131"/>
      <c r="H16" s="132"/>
      <c r="I16" s="31"/>
      <c r="J16" s="132"/>
      <c r="K16" s="29"/>
      <c r="L16" s="145"/>
      <c r="M16" s="144" t="s">
        <v>116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3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4"/>
      <c r="BJ16" s="29"/>
      <c r="BK16" s="29"/>
      <c r="BL16" s="29"/>
      <c r="BM16" s="29"/>
    </row>
    <row r="17" spans="2:65" ht="20.100000000000001" customHeight="1" x14ac:dyDescent="0.45">
      <c r="B17" s="130"/>
      <c r="C17" s="31"/>
      <c r="D17" s="31"/>
      <c r="E17" s="31"/>
      <c r="F17" s="31"/>
      <c r="G17" s="131"/>
      <c r="H17" s="132"/>
      <c r="I17" s="31"/>
      <c r="J17" s="132"/>
      <c r="K17" s="29"/>
      <c r="L17" s="145" t="s">
        <v>117</v>
      </c>
      <c r="M17" s="144" t="s">
        <v>116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3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4"/>
      <c r="BJ17" s="29"/>
      <c r="BK17" s="29"/>
      <c r="BL17" s="29"/>
      <c r="BM17" s="29"/>
    </row>
    <row r="18" spans="2:65" ht="20.100000000000001" customHeight="1" x14ac:dyDescent="0.45">
      <c r="B18" s="130"/>
      <c r="C18" s="31"/>
      <c r="D18" s="31"/>
      <c r="E18" s="31"/>
      <c r="F18" s="31"/>
      <c r="G18" s="131"/>
      <c r="H18" s="132"/>
      <c r="I18" s="31"/>
      <c r="J18" s="132"/>
      <c r="K18" s="29"/>
      <c r="L18" s="145" t="s">
        <v>118</v>
      </c>
      <c r="M18" s="144" t="s">
        <v>116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3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4"/>
      <c r="BJ18" s="29"/>
      <c r="BK18" s="29"/>
      <c r="BL18" s="29"/>
      <c r="BM18" s="29"/>
    </row>
    <row r="19" spans="2:65" ht="20.100000000000001" customHeight="1" x14ac:dyDescent="0.45">
      <c r="B19" s="130"/>
      <c r="C19" s="31"/>
      <c r="D19" s="31"/>
      <c r="E19" s="31"/>
      <c r="F19" s="31"/>
      <c r="G19" s="131"/>
      <c r="H19" s="132"/>
      <c r="I19" s="31"/>
      <c r="J19" s="132" t="s">
        <v>119</v>
      </c>
      <c r="K19" s="145"/>
      <c r="L19" s="144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3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4"/>
      <c r="BJ19" s="29"/>
      <c r="BK19" s="29"/>
      <c r="BL19" s="29"/>
      <c r="BM19" s="29"/>
    </row>
    <row r="20" spans="2:65" ht="20.100000000000001" customHeight="1" x14ac:dyDescent="0.45">
      <c r="B20" s="130"/>
      <c r="C20" s="31"/>
      <c r="D20" s="31"/>
      <c r="E20" s="31"/>
      <c r="F20" s="31"/>
      <c r="G20" s="131"/>
      <c r="H20" s="132"/>
      <c r="I20" s="31"/>
      <c r="J20" s="132"/>
      <c r="K20" s="31" t="s">
        <v>120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3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4"/>
      <c r="BJ20" s="29"/>
      <c r="BK20" s="29"/>
      <c r="BL20" s="29"/>
      <c r="BM20" s="29"/>
    </row>
    <row r="21" spans="2:65" ht="20.100000000000001" customHeight="1" x14ac:dyDescent="0.45">
      <c r="B21" s="130"/>
      <c r="C21" s="31"/>
      <c r="D21" s="31"/>
      <c r="E21" s="31"/>
      <c r="F21" s="31"/>
      <c r="G21" s="131"/>
      <c r="H21" s="132"/>
      <c r="I21" s="31"/>
      <c r="J21" s="132"/>
      <c r="K21" s="29"/>
      <c r="L21" s="31"/>
      <c r="M21" s="31" t="s">
        <v>121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3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4"/>
    </row>
    <row r="22" spans="2:65" ht="20.100000000000001" customHeight="1" x14ac:dyDescent="0.45">
      <c r="B22" s="130"/>
      <c r="C22" s="31"/>
      <c r="D22" s="31"/>
      <c r="E22" s="31"/>
      <c r="F22" s="31"/>
      <c r="G22" s="131"/>
      <c r="H22" s="138"/>
      <c r="I22" s="139"/>
      <c r="J22" s="138"/>
      <c r="K22" s="139"/>
      <c r="L22" s="139" t="s">
        <v>117</v>
      </c>
      <c r="M22" s="139" t="s">
        <v>122</v>
      </c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40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41"/>
    </row>
    <row r="23" spans="2:65" ht="20.100000000000001" customHeight="1" x14ac:dyDescent="0.45">
      <c r="B23" s="130"/>
      <c r="C23" s="31"/>
      <c r="D23" s="31"/>
      <c r="E23" s="31"/>
      <c r="F23" s="31"/>
      <c r="G23" s="131"/>
      <c r="H23" s="132" t="s">
        <v>123</v>
      </c>
      <c r="I23" s="31"/>
      <c r="J23" s="146"/>
      <c r="K23" s="144" t="s">
        <v>124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7" t="s">
        <v>125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4"/>
    </row>
    <row r="24" spans="2:65" ht="20.100000000000001" customHeight="1" x14ac:dyDescent="0.45">
      <c r="B24" s="130"/>
      <c r="C24" s="31"/>
      <c r="D24" s="31"/>
      <c r="E24" s="31"/>
      <c r="F24" s="31"/>
      <c r="G24" s="131"/>
      <c r="H24" s="132"/>
      <c r="I24" s="31"/>
      <c r="J24" s="146" t="s">
        <v>117</v>
      </c>
      <c r="K24" s="144" t="s">
        <v>126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3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4"/>
    </row>
    <row r="25" spans="2:65" ht="20.100000000000001" customHeight="1" x14ac:dyDescent="0.45">
      <c r="B25" s="130"/>
      <c r="C25" s="31"/>
      <c r="D25" s="31"/>
      <c r="E25" s="31"/>
      <c r="F25" s="31"/>
      <c r="G25" s="131"/>
      <c r="H25" s="132"/>
      <c r="I25" s="31"/>
      <c r="J25" s="146" t="s">
        <v>118</v>
      </c>
      <c r="K25" s="144" t="s">
        <v>126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3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4"/>
    </row>
    <row r="26" spans="2:65" ht="20.100000000000001" customHeight="1" x14ac:dyDescent="0.45">
      <c r="B26" s="130"/>
      <c r="C26" s="31"/>
      <c r="D26" s="31"/>
      <c r="E26" s="31"/>
      <c r="F26" s="31"/>
      <c r="G26" s="131"/>
      <c r="H26" s="132"/>
      <c r="I26" s="31"/>
      <c r="J26" s="146" t="s">
        <v>127</v>
      </c>
      <c r="K26" s="144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3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4"/>
    </row>
    <row r="27" spans="2:65" ht="20.100000000000001" customHeight="1" x14ac:dyDescent="0.45">
      <c r="B27" s="130"/>
      <c r="C27" s="31"/>
      <c r="D27" s="31"/>
      <c r="E27" s="31"/>
      <c r="F27" s="31"/>
      <c r="G27" s="131"/>
      <c r="H27" s="132"/>
      <c r="I27" s="31"/>
      <c r="J27" s="132"/>
      <c r="K27" s="31" t="s">
        <v>128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8" t="s">
        <v>129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4"/>
    </row>
    <row r="28" spans="2:65" ht="20.100000000000001" customHeight="1" x14ac:dyDescent="0.45">
      <c r="B28" s="130"/>
      <c r="C28" s="31"/>
      <c r="D28" s="31"/>
      <c r="E28" s="31"/>
      <c r="F28" s="31"/>
      <c r="G28" s="131"/>
      <c r="H28" s="132"/>
      <c r="I28" s="31"/>
      <c r="J28" s="132" t="s">
        <v>117</v>
      </c>
      <c r="K28" s="31" t="s">
        <v>130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2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4"/>
    </row>
    <row r="29" spans="2:65" ht="20.100000000000001" customHeight="1" x14ac:dyDescent="0.45">
      <c r="B29" s="130"/>
      <c r="C29" s="31"/>
      <c r="D29" s="31"/>
      <c r="E29" s="31"/>
      <c r="F29" s="31"/>
      <c r="G29" s="131"/>
      <c r="H29" s="132"/>
      <c r="I29" s="31"/>
      <c r="J29" s="146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2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4"/>
    </row>
    <row r="30" spans="2:65" ht="20.100000000000001" customHeight="1" x14ac:dyDescent="0.45">
      <c r="B30" s="130"/>
      <c r="C30" s="31"/>
      <c r="D30" s="31"/>
      <c r="E30" s="31"/>
      <c r="F30" s="31"/>
      <c r="G30" s="131"/>
      <c r="H30" s="132"/>
      <c r="I30" s="31"/>
      <c r="J30" s="13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2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4"/>
    </row>
    <row r="31" spans="2:65" ht="20.100000000000001" customHeight="1" x14ac:dyDescent="0.45">
      <c r="B31" s="130"/>
      <c r="C31" s="31"/>
      <c r="D31" s="31"/>
      <c r="E31" s="31"/>
      <c r="F31" s="31"/>
      <c r="G31" s="131"/>
      <c r="H31" s="138"/>
      <c r="I31" s="139"/>
      <c r="J31" s="138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8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41"/>
    </row>
    <row r="32" spans="2:65" ht="20.100000000000001" customHeight="1" x14ac:dyDescent="0.45">
      <c r="B32" s="130"/>
      <c r="C32" s="31"/>
      <c r="D32" s="31"/>
      <c r="E32" s="31"/>
      <c r="F32" s="31"/>
      <c r="G32" s="131"/>
      <c r="H32" s="132" t="s">
        <v>131</v>
      </c>
      <c r="I32" s="31"/>
      <c r="J32" s="146" t="s">
        <v>132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2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4"/>
    </row>
    <row r="33" spans="2:61" ht="20.100000000000001" customHeight="1" x14ac:dyDescent="0.45">
      <c r="B33" s="130"/>
      <c r="C33" s="31"/>
      <c r="D33" s="31"/>
      <c r="E33" s="31"/>
      <c r="F33" s="31"/>
      <c r="G33" s="131"/>
      <c r="H33" s="132"/>
      <c r="I33" s="31"/>
      <c r="J33" s="146" t="s">
        <v>133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2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4"/>
    </row>
    <row r="34" spans="2:61" ht="20.100000000000001" customHeight="1" thickBot="1" x14ac:dyDescent="0.5">
      <c r="B34" s="149"/>
      <c r="C34" s="150"/>
      <c r="D34" s="150"/>
      <c r="E34" s="150"/>
      <c r="F34" s="150"/>
      <c r="G34" s="151"/>
      <c r="H34" s="152"/>
      <c r="I34" s="150"/>
      <c r="J34" s="152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2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3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4" t="s">
        <v>134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203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5.898437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78" t="s">
        <v>0</v>
      </c>
      <c r="C2" s="279"/>
      <c r="D2" s="279"/>
      <c r="E2" s="279"/>
      <c r="F2" s="279"/>
      <c r="G2" s="279"/>
      <c r="H2" s="279" t="s">
        <v>17</v>
      </c>
      <c r="I2" s="279"/>
      <c r="J2" s="279"/>
      <c r="K2" s="279"/>
      <c r="L2" s="279" t="s">
        <v>394</v>
      </c>
      <c r="M2" s="279"/>
      <c r="N2" s="279"/>
      <c r="O2" s="279"/>
      <c r="P2" s="279"/>
      <c r="Q2" s="279"/>
      <c r="R2" s="279" t="s">
        <v>2</v>
      </c>
      <c r="S2" s="279"/>
      <c r="T2" s="279"/>
      <c r="U2" s="279"/>
      <c r="V2" s="279"/>
      <c r="W2" s="279"/>
      <c r="X2" s="280" t="s">
        <v>3</v>
      </c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2"/>
      <c r="AK2" s="280" t="s">
        <v>32</v>
      </c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2"/>
      <c r="AX2" s="279" t="s">
        <v>5</v>
      </c>
      <c r="AY2" s="279"/>
      <c r="AZ2" s="279"/>
      <c r="BA2" s="279"/>
      <c r="BB2" s="279" t="s">
        <v>4</v>
      </c>
      <c r="BC2" s="279"/>
      <c r="BD2" s="279"/>
      <c r="BE2" s="279"/>
      <c r="BF2" s="279" t="s">
        <v>6</v>
      </c>
      <c r="BG2" s="279"/>
      <c r="BH2" s="279"/>
      <c r="BI2" s="279"/>
      <c r="BJ2" s="279" t="s">
        <v>7</v>
      </c>
      <c r="BK2" s="279"/>
      <c r="BL2" s="279"/>
      <c r="BM2" s="289"/>
    </row>
    <row r="3" spans="2:65" ht="20.100000000000001" customHeight="1" x14ac:dyDescent="0.45">
      <c r="B3" s="283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TK0500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帳票設計書</v>
      </c>
      <c r="S3" s="216"/>
      <c r="T3" s="216"/>
      <c r="U3" s="216"/>
      <c r="V3" s="216"/>
      <c r="W3" s="216"/>
      <c r="X3" s="219" t="str">
        <f ca="1">変更履歴!X3</f>
        <v>TK0500_積上チェック表_帳票設計書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積上チェック表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45581</v>
      </c>
      <c r="AY3" s="215"/>
      <c r="AZ3" s="215"/>
      <c r="BA3" s="215"/>
      <c r="BB3" s="216" t="str">
        <f>変更履歴!BB3</f>
        <v>大谷</v>
      </c>
      <c r="BC3" s="216"/>
      <c r="BD3" s="216"/>
      <c r="BE3" s="216"/>
      <c r="BF3" s="215">
        <f>変更履歴!BF3</f>
        <v>45581</v>
      </c>
      <c r="BG3" s="215"/>
      <c r="BH3" s="215"/>
      <c r="BI3" s="215"/>
      <c r="BJ3" s="216" t="str">
        <f>変更履歴!BJ3</f>
        <v>大谷</v>
      </c>
      <c r="BK3" s="216"/>
      <c r="BL3" s="216"/>
      <c r="BM3" s="287"/>
    </row>
    <row r="4" spans="2:65" ht="20.100000000000001" customHeight="1" thickBot="1" x14ac:dyDescent="0.5">
      <c r="B4" s="284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75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7"/>
      <c r="AK4" s="275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7"/>
      <c r="AX4" s="286"/>
      <c r="AY4" s="286"/>
      <c r="AZ4" s="286"/>
      <c r="BA4" s="286"/>
      <c r="BB4" s="285"/>
      <c r="BC4" s="285"/>
      <c r="BD4" s="285"/>
      <c r="BE4" s="285"/>
      <c r="BF4" s="286"/>
      <c r="BG4" s="286"/>
      <c r="BH4" s="286"/>
      <c r="BI4" s="286"/>
      <c r="BJ4" s="285"/>
      <c r="BK4" s="285"/>
      <c r="BL4" s="285"/>
      <c r="BM4" s="288"/>
    </row>
    <row r="5" spans="2:65" ht="5.0999999999999996" customHeight="1" thickBot="1" x14ac:dyDescent="0.5"/>
    <row r="6" spans="2:65" ht="130.19999999999999" customHeight="1" x14ac:dyDescent="0.45">
      <c r="B6" s="293" t="s">
        <v>217</v>
      </c>
      <c r="C6" s="294"/>
      <c r="D6" s="294"/>
      <c r="E6" s="294"/>
      <c r="F6" s="294"/>
      <c r="G6" s="295"/>
      <c r="H6" s="127" t="s">
        <v>135</v>
      </c>
      <c r="I6" s="125"/>
      <c r="J6" s="155" t="s">
        <v>151</v>
      </c>
      <c r="K6" s="156"/>
      <c r="L6" s="156"/>
      <c r="M6" s="156"/>
      <c r="N6" s="156"/>
      <c r="O6" s="156"/>
      <c r="P6" s="156"/>
      <c r="Q6" s="157"/>
      <c r="R6" s="296" t="s">
        <v>177</v>
      </c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/>
      <c r="AJ6" s="298"/>
      <c r="AK6" s="299" t="s">
        <v>178</v>
      </c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1"/>
    </row>
    <row r="7" spans="2:65" ht="20.100000000000001" customHeight="1" x14ac:dyDescent="0.45">
      <c r="B7" s="158"/>
      <c r="C7" s="31"/>
      <c r="D7" s="31"/>
      <c r="E7" s="31"/>
      <c r="F7" s="31"/>
      <c r="G7" s="131"/>
      <c r="H7" s="132"/>
      <c r="I7" s="31"/>
      <c r="J7" s="159" t="s">
        <v>152</v>
      </c>
      <c r="K7" s="52"/>
      <c r="L7" s="52"/>
      <c r="M7" s="52"/>
      <c r="N7" s="52"/>
      <c r="O7" s="52"/>
      <c r="P7" s="52"/>
      <c r="Q7" s="160"/>
      <c r="R7" s="52">
        <v>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0"/>
      <c r="AK7" s="133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4"/>
    </row>
    <row r="8" spans="2:65" ht="20.100000000000001" customHeight="1" x14ac:dyDescent="0.45">
      <c r="B8" s="158"/>
      <c r="C8" s="31"/>
      <c r="D8" s="31"/>
      <c r="E8" s="31"/>
      <c r="F8" s="31"/>
      <c r="G8" s="131"/>
      <c r="H8" s="132"/>
      <c r="I8" s="31"/>
      <c r="J8" s="159" t="s">
        <v>317</v>
      </c>
      <c r="K8" s="52"/>
      <c r="L8" s="52"/>
      <c r="M8" s="52"/>
      <c r="N8" s="52"/>
      <c r="O8" s="52"/>
      <c r="P8" s="52"/>
      <c r="Q8" s="160"/>
      <c r="R8" s="52" t="s">
        <v>318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0"/>
      <c r="AK8" s="133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4"/>
    </row>
    <row r="9" spans="2:65" ht="20.100000000000001" customHeight="1" x14ac:dyDescent="0.45">
      <c r="B9" s="158"/>
      <c r="C9" s="31"/>
      <c r="D9" s="31"/>
      <c r="E9" s="31"/>
      <c r="F9" s="31"/>
      <c r="G9" s="131"/>
      <c r="H9" s="132"/>
      <c r="I9" s="31"/>
      <c r="J9" s="159" t="s">
        <v>153</v>
      </c>
      <c r="K9" s="52"/>
      <c r="L9" s="52"/>
      <c r="M9" s="52"/>
      <c r="N9" s="52"/>
      <c r="O9" s="52"/>
      <c r="P9" s="52"/>
      <c r="Q9" s="160"/>
      <c r="R9" s="52" t="s">
        <v>319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0"/>
      <c r="AK9" s="133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4"/>
    </row>
    <row r="10" spans="2:65" ht="20.100000000000001" customHeight="1" x14ac:dyDescent="0.45">
      <c r="B10" s="158"/>
      <c r="C10" s="31"/>
      <c r="D10" s="31"/>
      <c r="E10" s="31"/>
      <c r="F10" s="31"/>
      <c r="G10" s="131"/>
      <c r="H10" s="31"/>
      <c r="I10" s="31"/>
      <c r="J10" s="159" t="s">
        <v>154</v>
      </c>
      <c r="K10" s="52"/>
      <c r="L10" s="52"/>
      <c r="M10" s="52"/>
      <c r="N10" s="52"/>
      <c r="O10" s="52"/>
      <c r="P10" s="52"/>
      <c r="Q10" s="160"/>
      <c r="R10" s="52" t="s">
        <v>320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0"/>
      <c r="AK10" s="133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4"/>
    </row>
    <row r="11" spans="2:65" ht="20.100000000000001" customHeight="1" x14ac:dyDescent="0.45">
      <c r="B11" s="158"/>
      <c r="C11" s="31"/>
      <c r="D11" s="31"/>
      <c r="E11" s="31"/>
      <c r="F11" s="31"/>
      <c r="G11" s="131"/>
      <c r="H11" s="31"/>
      <c r="I11" s="31"/>
      <c r="J11" s="159" t="s">
        <v>155</v>
      </c>
      <c r="K11" s="52"/>
      <c r="L11" s="52"/>
      <c r="M11" s="52"/>
      <c r="N11" s="52"/>
      <c r="O11" s="52"/>
      <c r="P11" s="52"/>
      <c r="Q11" s="160"/>
      <c r="R11" s="52" t="s">
        <v>321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60"/>
      <c r="AK11" s="133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4"/>
    </row>
    <row r="12" spans="2:65" ht="20.100000000000001" customHeight="1" x14ac:dyDescent="0.45">
      <c r="B12" s="158"/>
      <c r="C12" s="31"/>
      <c r="D12" s="31"/>
      <c r="E12" s="31"/>
      <c r="F12" s="31"/>
      <c r="G12" s="131"/>
      <c r="H12" s="31"/>
      <c r="I12" s="31"/>
      <c r="J12" s="159" t="s">
        <v>156</v>
      </c>
      <c r="K12" s="52"/>
      <c r="L12" s="52"/>
      <c r="M12" s="52"/>
      <c r="N12" s="52"/>
      <c r="O12" s="52"/>
      <c r="P12" s="52"/>
      <c r="Q12" s="160"/>
      <c r="R12" s="52" t="s">
        <v>322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60"/>
      <c r="AK12" s="133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4"/>
    </row>
    <row r="13" spans="2:65" ht="20.100000000000001" customHeight="1" x14ac:dyDescent="0.45">
      <c r="B13" s="158"/>
      <c r="C13" s="31"/>
      <c r="D13" s="31"/>
      <c r="E13" s="31"/>
      <c r="F13" s="31"/>
      <c r="G13" s="131"/>
      <c r="H13" s="31"/>
      <c r="I13" s="31"/>
      <c r="J13" s="159" t="s">
        <v>157</v>
      </c>
      <c r="K13" s="52"/>
      <c r="L13" s="52"/>
      <c r="M13" s="52"/>
      <c r="N13" s="52"/>
      <c r="O13" s="52"/>
      <c r="P13" s="52"/>
      <c r="Q13" s="160"/>
      <c r="R13" s="52" t="s">
        <v>323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60"/>
      <c r="AK13" s="133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4"/>
    </row>
    <row r="14" spans="2:65" ht="20.100000000000001" customHeight="1" x14ac:dyDescent="0.45">
      <c r="B14" s="158"/>
      <c r="C14" s="31"/>
      <c r="D14" s="31"/>
      <c r="E14" s="31"/>
      <c r="F14" s="31"/>
      <c r="G14" s="131"/>
      <c r="H14" s="31"/>
      <c r="I14" s="31"/>
      <c r="J14" s="159" t="s">
        <v>158</v>
      </c>
      <c r="K14" s="52"/>
      <c r="L14" s="52"/>
      <c r="M14" s="52"/>
      <c r="N14" s="52"/>
      <c r="O14" s="52"/>
      <c r="P14" s="52"/>
      <c r="Q14" s="160"/>
      <c r="R14" s="52" t="s">
        <v>324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60"/>
      <c r="AK14" s="133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4"/>
    </row>
    <row r="15" spans="2:65" ht="20.100000000000001" customHeight="1" x14ac:dyDescent="0.45">
      <c r="B15" s="158"/>
      <c r="C15" s="31"/>
      <c r="D15" s="31"/>
      <c r="E15" s="31"/>
      <c r="F15" s="31"/>
      <c r="G15" s="131"/>
      <c r="H15" s="31"/>
      <c r="I15" s="31"/>
      <c r="J15" s="159" t="s">
        <v>159</v>
      </c>
      <c r="K15" s="52"/>
      <c r="L15" s="52"/>
      <c r="M15" s="52"/>
      <c r="N15" s="52"/>
      <c r="O15" s="52"/>
      <c r="P15" s="52"/>
      <c r="Q15" s="160"/>
      <c r="R15" s="52" t="s">
        <v>325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60"/>
      <c r="AK15" s="133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4"/>
    </row>
    <row r="16" spans="2:65" ht="20.100000000000001" customHeight="1" x14ac:dyDescent="0.45">
      <c r="B16" s="158"/>
      <c r="C16" s="31"/>
      <c r="D16" s="31"/>
      <c r="E16" s="31"/>
      <c r="F16" s="31"/>
      <c r="G16" s="131"/>
      <c r="H16" s="31"/>
      <c r="I16" s="31"/>
      <c r="J16" s="159" t="s">
        <v>160</v>
      </c>
      <c r="K16" s="52"/>
      <c r="L16" s="52"/>
      <c r="M16" s="52"/>
      <c r="N16" s="52"/>
      <c r="O16" s="52"/>
      <c r="P16" s="52"/>
      <c r="Q16" s="160"/>
      <c r="R16" s="52" t="s">
        <v>326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60"/>
      <c r="AK16" s="133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4"/>
    </row>
    <row r="17" spans="2:61" ht="20.100000000000001" customHeight="1" x14ac:dyDescent="0.45">
      <c r="B17" s="158"/>
      <c r="C17" s="31"/>
      <c r="D17" s="31"/>
      <c r="E17" s="31"/>
      <c r="F17" s="31"/>
      <c r="G17" s="131"/>
      <c r="H17" s="31"/>
      <c r="I17" s="31"/>
      <c r="J17" s="159" t="s">
        <v>161</v>
      </c>
      <c r="K17" s="52"/>
      <c r="L17" s="52"/>
      <c r="M17" s="52"/>
      <c r="N17" s="52"/>
      <c r="O17" s="52"/>
      <c r="P17" s="52"/>
      <c r="Q17" s="160"/>
      <c r="R17" s="52" t="s">
        <v>327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60"/>
      <c r="AK17" s="133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4"/>
    </row>
    <row r="18" spans="2:61" ht="20.100000000000001" customHeight="1" x14ac:dyDescent="0.45">
      <c r="B18" s="158"/>
      <c r="C18" s="31"/>
      <c r="D18" s="31"/>
      <c r="E18" s="31"/>
      <c r="F18" s="31"/>
      <c r="G18" s="131"/>
      <c r="H18" s="31"/>
      <c r="I18" s="31"/>
      <c r="J18" s="159" t="s">
        <v>162</v>
      </c>
      <c r="K18" s="52"/>
      <c r="L18" s="52"/>
      <c r="M18" s="52"/>
      <c r="N18" s="52"/>
      <c r="O18" s="52"/>
      <c r="P18" s="52"/>
      <c r="Q18" s="160"/>
      <c r="R18" s="52" t="s">
        <v>328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60"/>
      <c r="AK18" s="133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4"/>
    </row>
    <row r="19" spans="2:61" ht="20.100000000000001" customHeight="1" x14ac:dyDescent="0.45">
      <c r="B19" s="158"/>
      <c r="C19" s="31"/>
      <c r="D19" s="31"/>
      <c r="E19" s="31"/>
      <c r="F19" s="31"/>
      <c r="G19" s="131"/>
      <c r="H19" s="31"/>
      <c r="I19" s="31"/>
      <c r="J19" s="159" t="s">
        <v>163</v>
      </c>
      <c r="K19" s="52"/>
      <c r="L19" s="52"/>
      <c r="M19" s="52"/>
      <c r="N19" s="52"/>
      <c r="O19" s="52"/>
      <c r="P19" s="52"/>
      <c r="Q19" s="160"/>
      <c r="R19" s="51" t="s">
        <v>329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60"/>
      <c r="AK19" s="133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4"/>
    </row>
    <row r="20" spans="2:61" ht="20.100000000000001" customHeight="1" x14ac:dyDescent="0.45">
      <c r="B20" s="158"/>
      <c r="C20" s="31"/>
      <c r="D20" s="31"/>
      <c r="E20" s="31"/>
      <c r="F20" s="31"/>
      <c r="G20" s="131"/>
      <c r="H20" s="31"/>
      <c r="I20" s="31"/>
      <c r="J20" s="135" t="s">
        <v>164</v>
      </c>
      <c r="K20" s="55"/>
      <c r="L20" s="55"/>
      <c r="M20" s="55"/>
      <c r="N20" s="55"/>
      <c r="O20" s="55"/>
      <c r="P20" s="55"/>
      <c r="Q20" s="160"/>
      <c r="R20" s="54" t="s">
        <v>330</v>
      </c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33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4"/>
    </row>
    <row r="21" spans="2:61" ht="20.100000000000001" customHeight="1" x14ac:dyDescent="0.45">
      <c r="B21" s="158"/>
      <c r="C21" s="31"/>
      <c r="D21" s="31"/>
      <c r="E21" s="31"/>
      <c r="F21" s="31"/>
      <c r="G21" s="131"/>
      <c r="H21" s="135" t="s">
        <v>104</v>
      </c>
      <c r="I21" s="55"/>
      <c r="J21" s="135" t="s">
        <v>179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36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137"/>
    </row>
    <row r="22" spans="2:61" ht="20.100000000000001" customHeight="1" x14ac:dyDescent="0.45">
      <c r="B22" s="158"/>
      <c r="C22" s="31"/>
      <c r="D22" s="31"/>
      <c r="E22" s="31"/>
      <c r="F22" s="31"/>
      <c r="G22" s="131"/>
      <c r="H22" s="132"/>
      <c r="I22" s="31"/>
      <c r="J22" s="132" t="s">
        <v>189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33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4"/>
    </row>
    <row r="23" spans="2:61" ht="20.100000000000001" customHeight="1" x14ac:dyDescent="0.45">
      <c r="B23" s="158"/>
      <c r="C23" s="31"/>
      <c r="D23" s="31"/>
      <c r="E23" s="31"/>
      <c r="F23" s="31"/>
      <c r="G23" s="131"/>
      <c r="H23" s="132"/>
      <c r="I23" s="31"/>
      <c r="J23" s="132" t="s">
        <v>180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3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4"/>
    </row>
    <row r="24" spans="2:61" ht="20.100000000000001" customHeight="1" x14ac:dyDescent="0.45">
      <c r="B24" s="130"/>
      <c r="C24" s="31"/>
      <c r="D24" s="31"/>
      <c r="E24" s="31"/>
      <c r="F24" s="31"/>
      <c r="G24" s="131"/>
      <c r="I24" s="31"/>
      <c r="J24" s="132" t="s">
        <v>181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3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4"/>
    </row>
    <row r="25" spans="2:61" ht="20.100000000000001" customHeight="1" x14ac:dyDescent="0.45">
      <c r="B25" s="130"/>
      <c r="C25" s="31"/>
      <c r="D25" s="31"/>
      <c r="E25" s="31"/>
      <c r="F25" s="31"/>
      <c r="G25" s="131"/>
      <c r="H25" s="132"/>
      <c r="I25" s="31"/>
      <c r="J25" s="132" t="s">
        <v>182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3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4"/>
    </row>
    <row r="26" spans="2:61" ht="20.100000000000001" customHeight="1" x14ac:dyDescent="0.45">
      <c r="B26" s="130"/>
      <c r="C26" s="31"/>
      <c r="D26" s="31"/>
      <c r="E26" s="31"/>
      <c r="F26" s="31"/>
      <c r="G26" s="131"/>
      <c r="H26" s="132"/>
      <c r="I26" s="31"/>
      <c r="J26" s="132" t="s">
        <v>183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3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4"/>
    </row>
    <row r="27" spans="2:61" ht="20.100000000000001" customHeight="1" x14ac:dyDescent="0.45">
      <c r="B27" s="130"/>
      <c r="C27" s="31"/>
      <c r="D27" s="31"/>
      <c r="E27" s="31"/>
      <c r="F27" s="31"/>
      <c r="G27" s="131"/>
      <c r="H27" s="132"/>
      <c r="I27" s="31"/>
      <c r="J27" s="132" t="s">
        <v>184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3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4"/>
    </row>
    <row r="28" spans="2:61" ht="20.100000000000001" customHeight="1" x14ac:dyDescent="0.45">
      <c r="B28" s="130"/>
      <c r="C28" s="31"/>
      <c r="D28" s="31"/>
      <c r="E28" s="31"/>
      <c r="F28" s="31"/>
      <c r="G28" s="131"/>
      <c r="H28" s="135" t="s">
        <v>105</v>
      </c>
      <c r="I28" s="55"/>
      <c r="J28" s="135" t="s">
        <v>185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136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137"/>
    </row>
    <row r="29" spans="2:61" ht="20.100000000000001" customHeight="1" x14ac:dyDescent="0.45">
      <c r="B29" s="130"/>
      <c r="C29" s="31"/>
      <c r="D29" s="31"/>
      <c r="E29" s="31"/>
      <c r="F29" s="31"/>
      <c r="G29" s="131"/>
      <c r="H29" s="132"/>
      <c r="I29" s="31"/>
      <c r="J29" s="132"/>
      <c r="K29" s="31" t="s">
        <v>186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3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4"/>
    </row>
    <row r="30" spans="2:61" ht="20.100000000000001" customHeight="1" x14ac:dyDescent="0.45">
      <c r="B30" s="130"/>
      <c r="C30" s="31"/>
      <c r="D30" s="31"/>
      <c r="E30" s="31"/>
      <c r="F30" s="31"/>
      <c r="G30" s="131"/>
      <c r="H30" s="132"/>
      <c r="I30" s="31"/>
      <c r="J30" s="132"/>
      <c r="K30" s="31"/>
      <c r="L30" s="31"/>
      <c r="M30" s="31" t="s">
        <v>187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3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4"/>
    </row>
    <row r="31" spans="2:61" ht="20.100000000000001" customHeight="1" x14ac:dyDescent="0.45">
      <c r="B31" s="130"/>
      <c r="C31" s="31"/>
      <c r="D31" s="31"/>
      <c r="E31" s="31"/>
      <c r="F31" s="31"/>
      <c r="G31" s="131"/>
      <c r="H31" s="132"/>
      <c r="I31" s="31"/>
      <c r="J31" s="132" t="s">
        <v>188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33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4"/>
    </row>
    <row r="32" spans="2:61" ht="20.100000000000001" customHeight="1" x14ac:dyDescent="0.45">
      <c r="B32" s="130"/>
      <c r="C32" s="31"/>
      <c r="D32" s="31"/>
      <c r="E32" s="31"/>
      <c r="F32" s="31"/>
      <c r="G32" s="131"/>
      <c r="H32" s="132"/>
      <c r="I32" s="31"/>
      <c r="J32" s="132"/>
      <c r="K32" s="31" t="s">
        <v>190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3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4"/>
    </row>
    <row r="33" spans="2:61" ht="20.100000000000001" customHeight="1" x14ac:dyDescent="0.45">
      <c r="B33" s="130"/>
      <c r="C33" s="31"/>
      <c r="D33" s="31"/>
      <c r="E33" s="31"/>
      <c r="F33" s="31"/>
      <c r="G33" s="131"/>
      <c r="H33" s="132"/>
      <c r="I33" s="31"/>
      <c r="J33" s="132"/>
      <c r="K33" s="31"/>
      <c r="L33" s="31"/>
      <c r="M33" s="31" t="s">
        <v>191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3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4"/>
    </row>
    <row r="34" spans="2:61" ht="20.100000000000001" customHeight="1" x14ac:dyDescent="0.45">
      <c r="B34" s="130"/>
      <c r="C34" s="31"/>
      <c r="D34" s="31"/>
      <c r="E34" s="31"/>
      <c r="F34" s="31"/>
      <c r="G34" s="131"/>
      <c r="H34" s="132"/>
      <c r="I34" s="31"/>
      <c r="J34" s="132" t="s">
        <v>185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33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4"/>
    </row>
    <row r="35" spans="2:61" ht="20.100000000000001" customHeight="1" x14ac:dyDescent="0.45">
      <c r="B35" s="130"/>
      <c r="C35" s="31"/>
      <c r="D35" s="31"/>
      <c r="E35" s="31"/>
      <c r="F35" s="31"/>
      <c r="G35" s="131"/>
      <c r="H35" s="132"/>
      <c r="I35" s="31"/>
      <c r="J35" s="132"/>
      <c r="K35" s="31" t="s">
        <v>192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33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4"/>
    </row>
    <row r="36" spans="2:61" ht="20.100000000000001" customHeight="1" x14ac:dyDescent="0.45">
      <c r="B36" s="130"/>
      <c r="C36" s="31"/>
      <c r="D36" s="31"/>
      <c r="E36" s="31"/>
      <c r="F36" s="31"/>
      <c r="G36" s="131"/>
      <c r="H36" s="132"/>
      <c r="I36" s="31"/>
      <c r="J36" s="132"/>
      <c r="K36" s="31"/>
      <c r="L36" s="31"/>
      <c r="M36" s="31" t="s">
        <v>193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33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4"/>
    </row>
    <row r="37" spans="2:61" ht="20.100000000000001" customHeight="1" x14ac:dyDescent="0.45">
      <c r="B37" s="130"/>
      <c r="C37" s="31"/>
      <c r="D37" s="31"/>
      <c r="E37" s="31"/>
      <c r="F37" s="31"/>
      <c r="G37" s="131"/>
      <c r="H37" s="132"/>
      <c r="I37" s="31"/>
      <c r="J37" s="132" t="s">
        <v>185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33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4"/>
    </row>
    <row r="38" spans="2:61" ht="20.100000000000001" customHeight="1" x14ac:dyDescent="0.45">
      <c r="B38" s="130"/>
      <c r="C38" s="31"/>
      <c r="D38" s="31"/>
      <c r="E38" s="31"/>
      <c r="F38" s="31"/>
      <c r="G38" s="131"/>
      <c r="H38" s="132"/>
      <c r="I38" s="31"/>
      <c r="J38" s="132"/>
      <c r="K38" s="31" t="s">
        <v>194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33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4"/>
    </row>
    <row r="39" spans="2:61" ht="20.100000000000001" customHeight="1" x14ac:dyDescent="0.45">
      <c r="B39" s="130"/>
      <c r="C39" s="31"/>
      <c r="D39" s="31"/>
      <c r="E39" s="31"/>
      <c r="F39" s="31"/>
      <c r="G39" s="131"/>
      <c r="H39" s="132"/>
      <c r="I39" s="31"/>
      <c r="J39" s="132"/>
      <c r="K39" s="31"/>
      <c r="L39" s="31"/>
      <c r="M39" s="31" t="s">
        <v>195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3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4"/>
    </row>
    <row r="40" spans="2:61" ht="20.100000000000001" customHeight="1" x14ac:dyDescent="0.45">
      <c r="B40" s="130"/>
      <c r="C40" s="31"/>
      <c r="D40" s="31"/>
      <c r="E40" s="31"/>
      <c r="F40" s="31"/>
      <c r="G40" s="131"/>
      <c r="H40" s="132"/>
      <c r="I40" s="31"/>
      <c r="J40" s="132" t="s">
        <v>188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3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4"/>
    </row>
    <row r="41" spans="2:61" ht="20.100000000000001" customHeight="1" x14ac:dyDescent="0.45">
      <c r="B41" s="130"/>
      <c r="C41" s="31"/>
      <c r="D41" s="31"/>
      <c r="E41" s="31"/>
      <c r="F41" s="31"/>
      <c r="G41" s="131"/>
      <c r="H41" s="132"/>
      <c r="I41" s="31"/>
      <c r="J41" s="132"/>
      <c r="K41" s="31" t="s">
        <v>196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3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4"/>
    </row>
    <row r="42" spans="2:61" ht="20.100000000000001" customHeight="1" x14ac:dyDescent="0.45">
      <c r="B42" s="130"/>
      <c r="C42" s="31"/>
      <c r="D42" s="31"/>
      <c r="E42" s="31"/>
      <c r="F42" s="31"/>
      <c r="G42" s="131"/>
      <c r="H42" s="132"/>
      <c r="I42" s="31"/>
      <c r="J42" s="132"/>
      <c r="K42" s="31"/>
      <c r="L42" s="31"/>
      <c r="M42" s="31" t="s">
        <v>197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33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4"/>
    </row>
    <row r="43" spans="2:61" ht="20.100000000000001" customHeight="1" x14ac:dyDescent="0.45">
      <c r="B43" s="130"/>
      <c r="C43" s="31"/>
      <c r="D43" s="31"/>
      <c r="E43" s="31"/>
      <c r="F43" s="31"/>
      <c r="G43" s="131"/>
      <c r="H43" s="132"/>
      <c r="I43" s="31"/>
      <c r="J43" s="132" t="s">
        <v>188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33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4"/>
    </row>
    <row r="44" spans="2:61" ht="20.100000000000001" customHeight="1" x14ac:dyDescent="0.45">
      <c r="B44" s="130"/>
      <c r="C44" s="31"/>
      <c r="D44" s="31"/>
      <c r="E44" s="31"/>
      <c r="F44" s="31"/>
      <c r="G44" s="131"/>
      <c r="H44" s="132"/>
      <c r="I44" s="31"/>
      <c r="J44" s="132"/>
      <c r="K44" s="31" t="s">
        <v>194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33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4"/>
    </row>
    <row r="45" spans="2:61" ht="20.100000000000001" customHeight="1" x14ac:dyDescent="0.45">
      <c r="B45" s="130"/>
      <c r="C45" s="31"/>
      <c r="D45" s="31"/>
      <c r="E45" s="31"/>
      <c r="F45" s="31"/>
      <c r="G45" s="131"/>
      <c r="H45" s="138"/>
      <c r="I45" s="139"/>
      <c r="J45" s="138"/>
      <c r="K45" s="139"/>
      <c r="L45" s="139"/>
      <c r="M45" s="139" t="s">
        <v>198</v>
      </c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40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41"/>
    </row>
    <row r="46" spans="2:61" ht="20.100000000000001" customHeight="1" x14ac:dyDescent="0.45">
      <c r="B46" s="130"/>
      <c r="C46" s="31"/>
      <c r="D46" s="31"/>
      <c r="E46" s="31"/>
      <c r="F46" s="31"/>
      <c r="G46" s="131"/>
      <c r="H46" s="132" t="s">
        <v>106</v>
      </c>
      <c r="I46" s="31"/>
      <c r="J46" s="132"/>
      <c r="K46" s="31" t="s">
        <v>203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33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4"/>
    </row>
    <row r="47" spans="2:61" ht="20.100000000000001" customHeight="1" x14ac:dyDescent="0.45">
      <c r="B47" s="130"/>
      <c r="C47" s="31"/>
      <c r="D47" s="31"/>
      <c r="E47" s="31"/>
      <c r="F47" s="31"/>
      <c r="G47" s="131"/>
      <c r="H47" s="132"/>
      <c r="I47" s="31"/>
      <c r="J47" s="132" t="s">
        <v>199</v>
      </c>
      <c r="K47" s="31" t="s">
        <v>204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3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4"/>
    </row>
    <row r="48" spans="2:61" ht="20.100000000000001" customHeight="1" thickBot="1" x14ac:dyDescent="0.5">
      <c r="B48" s="130"/>
      <c r="C48" s="31"/>
      <c r="D48" s="31"/>
      <c r="E48" s="31"/>
      <c r="F48" s="31"/>
      <c r="G48" s="131"/>
      <c r="H48" s="132"/>
      <c r="I48" s="31"/>
      <c r="J48" s="132" t="s">
        <v>199</v>
      </c>
      <c r="K48" s="31" t="s">
        <v>205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33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4"/>
    </row>
    <row r="49" spans="2:61" ht="123.6" customHeight="1" x14ac:dyDescent="0.45">
      <c r="B49" s="130"/>
      <c r="C49" s="31"/>
      <c r="D49" s="31"/>
      <c r="E49" s="31"/>
      <c r="F49" s="31"/>
      <c r="G49" s="131"/>
      <c r="H49" s="185" t="s">
        <v>202</v>
      </c>
      <c r="I49" s="55"/>
      <c r="J49" s="302" t="s">
        <v>216</v>
      </c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J49" s="304"/>
      <c r="AK49" s="299" t="s">
        <v>178</v>
      </c>
      <c r="AL49" s="300"/>
      <c r="AM49" s="300"/>
      <c r="AN49" s="300"/>
      <c r="AO49" s="300"/>
      <c r="AP49" s="300"/>
      <c r="AQ49" s="300"/>
      <c r="AR49" s="300"/>
      <c r="AS49" s="300"/>
      <c r="AT49" s="300"/>
      <c r="AU49" s="300"/>
      <c r="AV49" s="300"/>
      <c r="AW49" s="300"/>
      <c r="AX49" s="300"/>
      <c r="AY49" s="300"/>
      <c r="AZ49" s="300"/>
      <c r="BA49" s="300"/>
      <c r="BB49" s="300"/>
      <c r="BC49" s="300"/>
      <c r="BD49" s="300"/>
      <c r="BE49" s="300"/>
      <c r="BF49" s="300"/>
      <c r="BG49" s="300"/>
      <c r="BH49" s="300"/>
      <c r="BI49" s="301"/>
    </row>
    <row r="50" spans="2:61" ht="20.100000000000001" customHeight="1" x14ac:dyDescent="0.45">
      <c r="B50" s="130"/>
      <c r="C50" s="31"/>
      <c r="D50" s="31"/>
      <c r="E50" s="31"/>
      <c r="F50" s="31"/>
      <c r="G50" s="131"/>
      <c r="H50" s="132"/>
      <c r="I50" s="31"/>
      <c r="J50" s="132" t="s">
        <v>331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32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4"/>
    </row>
    <row r="51" spans="2:61" ht="20.100000000000001" customHeight="1" x14ac:dyDescent="0.45">
      <c r="B51" s="130"/>
      <c r="C51" s="31"/>
      <c r="D51" s="31"/>
      <c r="E51" s="31"/>
      <c r="F51" s="31"/>
      <c r="G51" s="131"/>
      <c r="H51" s="132"/>
      <c r="I51" s="31"/>
      <c r="J51" s="132" t="s">
        <v>332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32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4"/>
    </row>
    <row r="52" spans="2:61" ht="20.100000000000001" customHeight="1" x14ac:dyDescent="0.45">
      <c r="B52" s="130"/>
      <c r="C52" s="31"/>
      <c r="D52" s="31"/>
      <c r="E52" s="31"/>
      <c r="F52" s="31"/>
      <c r="G52" s="131"/>
      <c r="H52" s="132"/>
      <c r="I52" s="31"/>
      <c r="J52" s="132" t="s">
        <v>206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32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4"/>
    </row>
    <row r="53" spans="2:61" ht="20.100000000000001" customHeight="1" x14ac:dyDescent="0.45">
      <c r="B53" s="130"/>
      <c r="C53" s="31"/>
      <c r="D53" s="31"/>
      <c r="E53" s="31"/>
      <c r="F53" s="31"/>
      <c r="G53" s="131"/>
      <c r="H53" s="132"/>
      <c r="I53" s="31"/>
      <c r="J53" s="132" t="s">
        <v>333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32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4"/>
    </row>
    <row r="54" spans="2:61" ht="20.100000000000001" customHeight="1" x14ac:dyDescent="0.45">
      <c r="B54" s="130"/>
      <c r="C54" s="31"/>
      <c r="D54" s="31"/>
      <c r="E54" s="31"/>
      <c r="F54" s="31"/>
      <c r="G54" s="131"/>
      <c r="H54" s="132"/>
      <c r="I54" s="31"/>
      <c r="J54" s="132" t="s">
        <v>334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32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4"/>
    </row>
    <row r="55" spans="2:61" ht="20.100000000000001" customHeight="1" x14ac:dyDescent="0.45">
      <c r="B55" s="130"/>
      <c r="C55" s="31"/>
      <c r="D55" s="31"/>
      <c r="E55" s="31"/>
      <c r="F55" s="31"/>
      <c r="G55" s="131"/>
      <c r="H55" s="132"/>
      <c r="I55" s="31"/>
      <c r="J55" s="132" t="s">
        <v>335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32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4"/>
    </row>
    <row r="56" spans="2:61" ht="20.100000000000001" customHeight="1" x14ac:dyDescent="0.45">
      <c r="B56" s="130"/>
      <c r="C56" s="31"/>
      <c r="D56" s="31"/>
      <c r="E56" s="31"/>
      <c r="F56" s="31"/>
      <c r="G56" s="131"/>
      <c r="H56" s="132"/>
      <c r="I56" s="31"/>
      <c r="J56" s="132" t="s">
        <v>336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32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4"/>
    </row>
    <row r="57" spans="2:61" ht="20.100000000000001" customHeight="1" x14ac:dyDescent="0.45">
      <c r="B57" s="130"/>
      <c r="C57" s="31"/>
      <c r="D57" s="31"/>
      <c r="E57" s="31"/>
      <c r="F57" s="31"/>
      <c r="G57" s="131"/>
      <c r="H57" s="132"/>
      <c r="I57" s="31"/>
      <c r="J57" s="132" t="s">
        <v>337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32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4"/>
    </row>
    <row r="58" spans="2:61" ht="20.100000000000001" customHeight="1" thickBot="1" x14ac:dyDescent="0.5">
      <c r="B58" s="130"/>
      <c r="C58" s="31"/>
      <c r="D58" s="31"/>
      <c r="E58" s="31"/>
      <c r="F58" s="31"/>
      <c r="G58" s="131"/>
      <c r="H58" s="132"/>
      <c r="I58" s="31"/>
      <c r="J58" s="132" t="s">
        <v>338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2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4"/>
    </row>
    <row r="59" spans="2:61" ht="17.399999999999999" customHeight="1" x14ac:dyDescent="0.45">
      <c r="B59" s="182" t="s">
        <v>225</v>
      </c>
      <c r="C59" s="180"/>
      <c r="D59" s="180"/>
      <c r="E59" s="180"/>
      <c r="F59" s="180"/>
      <c r="G59" s="181"/>
      <c r="H59" s="127" t="s">
        <v>228</v>
      </c>
      <c r="I59" s="125"/>
      <c r="J59" s="127" t="s">
        <v>235</v>
      </c>
      <c r="K59" s="125"/>
      <c r="L59" s="125"/>
      <c r="M59" s="125"/>
      <c r="N59" s="125"/>
      <c r="O59" s="125"/>
      <c r="P59" s="125"/>
      <c r="Q59" s="125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4"/>
      <c r="AK59" s="173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7"/>
    </row>
    <row r="60" spans="2:61" ht="20.100000000000001" customHeight="1" x14ac:dyDescent="0.45">
      <c r="B60" s="158" t="s">
        <v>226</v>
      </c>
      <c r="C60" s="31"/>
      <c r="D60" s="31"/>
      <c r="E60" s="31"/>
      <c r="F60" s="31"/>
      <c r="G60" s="131"/>
      <c r="H60" s="132" t="s">
        <v>229</v>
      </c>
      <c r="I60" s="31"/>
      <c r="J60" s="132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131"/>
      <c r="AK60" s="133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4"/>
    </row>
    <row r="61" spans="2:61" ht="20.100000000000001" customHeight="1" x14ac:dyDescent="0.45">
      <c r="B61" s="158"/>
      <c r="C61" s="31"/>
      <c r="D61" s="31"/>
      <c r="E61" s="31"/>
      <c r="F61" s="31"/>
      <c r="G61" s="131"/>
      <c r="H61" s="135" t="s">
        <v>230</v>
      </c>
      <c r="I61" s="55"/>
      <c r="J61" s="135" t="s">
        <v>234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136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137"/>
    </row>
    <row r="62" spans="2:61" ht="20.100000000000001" customHeight="1" x14ac:dyDescent="0.45">
      <c r="B62" s="158"/>
      <c r="C62" s="31"/>
      <c r="D62" s="31"/>
      <c r="E62" s="31"/>
      <c r="F62" s="31"/>
      <c r="G62" s="131"/>
      <c r="H62" s="132"/>
      <c r="I62" s="31"/>
      <c r="J62" s="132"/>
      <c r="K62" s="31"/>
      <c r="L62" s="31" t="s">
        <v>231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3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4"/>
    </row>
    <row r="63" spans="2:61" ht="20.100000000000001" customHeight="1" x14ac:dyDescent="0.45">
      <c r="B63" s="158"/>
      <c r="C63" s="31"/>
      <c r="D63" s="31"/>
      <c r="E63" s="31"/>
      <c r="F63" s="31"/>
      <c r="G63" s="131"/>
      <c r="H63" s="132"/>
      <c r="I63" s="31"/>
      <c r="J63" s="132"/>
      <c r="K63" s="31" t="s">
        <v>340</v>
      </c>
      <c r="L63" s="31" t="s">
        <v>339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3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4"/>
    </row>
    <row r="64" spans="2:61" ht="20.100000000000001" customHeight="1" x14ac:dyDescent="0.45">
      <c r="B64" s="158"/>
      <c r="C64" s="31"/>
      <c r="D64" s="31"/>
      <c r="E64" s="31"/>
      <c r="F64" s="31"/>
      <c r="G64" s="131"/>
      <c r="H64" s="132"/>
      <c r="I64" s="31"/>
      <c r="J64" s="132"/>
      <c r="K64" s="31" t="s">
        <v>340</v>
      </c>
      <c r="L64" s="31" t="s">
        <v>232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3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4"/>
    </row>
    <row r="65" spans="2:61" ht="20.100000000000001" customHeight="1" x14ac:dyDescent="0.45">
      <c r="B65" s="130"/>
      <c r="C65" s="31"/>
      <c r="D65" s="31"/>
      <c r="E65" s="31"/>
      <c r="F65" s="31"/>
      <c r="G65" s="131"/>
      <c r="I65" s="31"/>
      <c r="J65" s="132"/>
      <c r="K65" s="31" t="s">
        <v>340</v>
      </c>
      <c r="L65" s="31" t="s">
        <v>233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3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4"/>
    </row>
    <row r="66" spans="2:61" ht="20.100000000000001" customHeight="1" x14ac:dyDescent="0.45">
      <c r="B66" s="130"/>
      <c r="C66" s="31"/>
      <c r="D66" s="31"/>
      <c r="E66" s="31"/>
      <c r="F66" s="31"/>
      <c r="G66" s="131"/>
      <c r="H66" s="135" t="s">
        <v>236</v>
      </c>
      <c r="I66" s="55"/>
      <c r="J66" s="135" t="s">
        <v>237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136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137"/>
    </row>
    <row r="67" spans="2:61" ht="20.100000000000001" customHeight="1" x14ac:dyDescent="0.45">
      <c r="B67" s="130"/>
      <c r="C67" s="31"/>
      <c r="D67" s="31"/>
      <c r="E67" s="31"/>
      <c r="F67" s="31"/>
      <c r="G67" s="131"/>
      <c r="H67" s="132"/>
      <c r="I67" s="31"/>
      <c r="J67" s="132"/>
      <c r="K67" s="31" t="s">
        <v>238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33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4"/>
    </row>
    <row r="68" spans="2:61" ht="20.100000000000001" customHeight="1" x14ac:dyDescent="0.45">
      <c r="B68" s="130"/>
      <c r="C68" s="31"/>
      <c r="D68" s="31"/>
      <c r="E68" s="31"/>
      <c r="F68" s="31"/>
      <c r="G68" s="131"/>
      <c r="H68" s="132"/>
      <c r="I68" s="31"/>
      <c r="J68" s="132"/>
      <c r="K68" s="31"/>
      <c r="L68" s="31"/>
      <c r="M68" s="31" t="s">
        <v>239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3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4"/>
    </row>
    <row r="69" spans="2:61" ht="20.100000000000001" customHeight="1" x14ac:dyDescent="0.45">
      <c r="B69" s="130"/>
      <c r="C69" s="31"/>
      <c r="D69" s="31"/>
      <c r="E69" s="31"/>
      <c r="F69" s="31"/>
      <c r="G69" s="131"/>
      <c r="H69" s="132"/>
      <c r="I69" s="31"/>
      <c r="J69" s="132" t="s">
        <v>240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33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4"/>
    </row>
    <row r="70" spans="2:61" ht="20.100000000000001" customHeight="1" x14ac:dyDescent="0.45">
      <c r="B70" s="130"/>
      <c r="C70" s="31"/>
      <c r="D70" s="31"/>
      <c r="E70" s="31"/>
      <c r="F70" s="31"/>
      <c r="G70" s="131"/>
      <c r="H70" s="132"/>
      <c r="I70" s="31"/>
      <c r="J70" s="132"/>
      <c r="K70" s="31" t="s">
        <v>241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3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4"/>
    </row>
    <row r="71" spans="2:61" ht="20.100000000000001" customHeight="1" x14ac:dyDescent="0.45">
      <c r="B71" s="305"/>
      <c r="C71" s="306"/>
      <c r="D71" s="306"/>
      <c r="E71" s="306"/>
      <c r="F71" s="306"/>
      <c r="G71" s="307"/>
      <c r="H71" s="135"/>
      <c r="I71" s="55"/>
      <c r="J71" s="159" t="s">
        <v>151</v>
      </c>
      <c r="K71" s="52"/>
      <c r="L71" s="52"/>
      <c r="M71" s="52"/>
      <c r="N71" s="52"/>
      <c r="O71" s="52"/>
      <c r="P71" s="52"/>
      <c r="Q71" s="160"/>
      <c r="R71" s="52" t="s">
        <v>248</v>
      </c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190"/>
      <c r="AK71" s="308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09"/>
      <c r="AW71" s="309"/>
      <c r="AX71" s="309"/>
      <c r="AY71" s="309"/>
      <c r="AZ71" s="309"/>
      <c r="BA71" s="309"/>
      <c r="BB71" s="309"/>
      <c r="BC71" s="309"/>
      <c r="BD71" s="309"/>
      <c r="BE71" s="309"/>
      <c r="BF71" s="309"/>
      <c r="BG71" s="309"/>
      <c r="BH71" s="309"/>
      <c r="BI71" s="310"/>
    </row>
    <row r="72" spans="2:61" ht="20.100000000000001" customHeight="1" x14ac:dyDescent="0.45">
      <c r="B72" s="158"/>
      <c r="C72" s="31"/>
      <c r="D72" s="31"/>
      <c r="E72" s="31"/>
      <c r="F72" s="31"/>
      <c r="G72" s="131"/>
      <c r="H72" s="132"/>
      <c r="I72" s="31"/>
      <c r="J72" s="159" t="s">
        <v>152</v>
      </c>
      <c r="K72" s="52"/>
      <c r="L72" s="52"/>
      <c r="M72" s="52"/>
      <c r="N72" s="52"/>
      <c r="O72" s="52"/>
      <c r="P72" s="52"/>
      <c r="Q72" s="160"/>
      <c r="R72" s="52" t="s">
        <v>249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60"/>
      <c r="AK72" s="133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4"/>
    </row>
    <row r="73" spans="2:61" ht="20.100000000000001" customHeight="1" x14ac:dyDescent="0.45">
      <c r="B73" s="158"/>
      <c r="C73" s="31"/>
      <c r="D73" s="31"/>
      <c r="E73" s="31"/>
      <c r="F73" s="31"/>
      <c r="G73" s="131"/>
      <c r="H73" s="132"/>
      <c r="I73" s="31"/>
      <c r="J73" s="159" t="s">
        <v>341</v>
      </c>
      <c r="K73" s="52"/>
      <c r="L73" s="52"/>
      <c r="M73" s="52"/>
      <c r="N73" s="52"/>
      <c r="O73" s="52"/>
      <c r="P73" s="52"/>
      <c r="Q73" s="160"/>
      <c r="R73" s="52" t="s">
        <v>343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60"/>
      <c r="AK73" s="133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4"/>
    </row>
    <row r="74" spans="2:61" ht="20.100000000000001" customHeight="1" x14ac:dyDescent="0.45">
      <c r="B74" s="158"/>
      <c r="C74" s="31"/>
      <c r="D74" s="31"/>
      <c r="E74" s="31"/>
      <c r="F74" s="31"/>
      <c r="G74" s="131"/>
      <c r="H74" s="132"/>
      <c r="I74" s="31"/>
      <c r="J74" s="159" t="s">
        <v>153</v>
      </c>
      <c r="K74" s="52"/>
      <c r="L74" s="52"/>
      <c r="M74" s="52"/>
      <c r="N74" s="52"/>
      <c r="O74" s="52"/>
      <c r="P74" s="52"/>
      <c r="Q74" s="160"/>
      <c r="R74" s="52" t="s">
        <v>342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60"/>
      <c r="AK74" s="133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4"/>
    </row>
    <row r="75" spans="2:61" ht="20.100000000000001" customHeight="1" x14ac:dyDescent="0.45">
      <c r="B75" s="158"/>
      <c r="C75" s="31"/>
      <c r="D75" s="31"/>
      <c r="E75" s="31"/>
      <c r="F75" s="31"/>
      <c r="G75" s="131"/>
      <c r="H75" s="132"/>
      <c r="I75" s="31"/>
      <c r="J75" s="159" t="s">
        <v>154</v>
      </c>
      <c r="K75" s="52"/>
      <c r="L75" s="52"/>
      <c r="M75" s="52"/>
      <c r="N75" s="52"/>
      <c r="O75" s="52"/>
      <c r="P75" s="52"/>
      <c r="Q75" s="160"/>
      <c r="R75" s="52" t="s">
        <v>251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60"/>
      <c r="AK75" s="133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4"/>
    </row>
    <row r="76" spans="2:61" ht="20.100000000000001" customHeight="1" x14ac:dyDescent="0.45">
      <c r="B76" s="158"/>
      <c r="C76" s="31"/>
      <c r="D76" s="31"/>
      <c r="E76" s="31"/>
      <c r="F76" s="31"/>
      <c r="G76" s="131"/>
      <c r="H76" s="31"/>
      <c r="I76" s="31"/>
      <c r="J76" s="159" t="s">
        <v>155</v>
      </c>
      <c r="K76" s="52"/>
      <c r="L76" s="52"/>
      <c r="M76" s="52"/>
      <c r="N76" s="52"/>
      <c r="O76" s="52"/>
      <c r="P76" s="52"/>
      <c r="Q76" s="160"/>
      <c r="R76" s="52" t="s">
        <v>252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60"/>
      <c r="AK76" s="133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4"/>
    </row>
    <row r="77" spans="2:61" ht="20.100000000000001" customHeight="1" x14ac:dyDescent="0.45">
      <c r="B77" s="158"/>
      <c r="C77" s="31"/>
      <c r="D77" s="31"/>
      <c r="E77" s="31"/>
      <c r="F77" s="31"/>
      <c r="G77" s="131"/>
      <c r="H77" s="31"/>
      <c r="I77" s="31"/>
      <c r="J77" s="159" t="s">
        <v>242</v>
      </c>
      <c r="K77" s="52"/>
      <c r="L77" s="52"/>
      <c r="M77" s="52"/>
      <c r="N77" s="52"/>
      <c r="O77" s="52"/>
      <c r="P77" s="52"/>
      <c r="Q77" s="160"/>
      <c r="R77" s="52" t="s">
        <v>253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60"/>
      <c r="AK77" s="133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4"/>
    </row>
    <row r="78" spans="2:61" ht="20.100000000000001" customHeight="1" x14ac:dyDescent="0.45">
      <c r="B78" s="158"/>
      <c r="C78" s="31"/>
      <c r="D78" s="31"/>
      <c r="E78" s="31"/>
      <c r="F78" s="31"/>
      <c r="G78" s="131"/>
      <c r="H78" s="31"/>
      <c r="I78" s="31"/>
      <c r="J78" s="159" t="s">
        <v>243</v>
      </c>
      <c r="K78" s="52"/>
      <c r="L78" s="52"/>
      <c r="M78" s="52"/>
      <c r="N78" s="52"/>
      <c r="O78" s="52"/>
      <c r="P78" s="52"/>
      <c r="Q78" s="160"/>
      <c r="R78" s="52" t="s">
        <v>254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60"/>
      <c r="AK78" s="133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4"/>
    </row>
    <row r="79" spans="2:61" ht="20.100000000000001" customHeight="1" x14ac:dyDescent="0.45">
      <c r="B79" s="158"/>
      <c r="C79" s="31"/>
      <c r="D79" s="31"/>
      <c r="E79" s="31"/>
      <c r="F79" s="31"/>
      <c r="G79" s="131"/>
      <c r="H79" s="31"/>
      <c r="I79" s="31"/>
      <c r="J79" s="159" t="s">
        <v>244</v>
      </c>
      <c r="K79" s="52"/>
      <c r="L79" s="52"/>
      <c r="M79" s="52"/>
      <c r="N79" s="52"/>
      <c r="O79" s="52"/>
      <c r="P79" s="52"/>
      <c r="Q79" s="160"/>
      <c r="R79" s="52" t="s">
        <v>255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60"/>
      <c r="AK79" s="133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4"/>
    </row>
    <row r="80" spans="2:61" ht="20.100000000000001" customHeight="1" x14ac:dyDescent="0.45">
      <c r="B80" s="158"/>
      <c r="C80" s="31"/>
      <c r="D80" s="31"/>
      <c r="E80" s="31"/>
      <c r="F80" s="31"/>
      <c r="G80" s="131"/>
      <c r="H80" s="31"/>
      <c r="I80" s="31"/>
      <c r="J80" s="159" t="s">
        <v>245</v>
      </c>
      <c r="K80" s="52"/>
      <c r="L80" s="52"/>
      <c r="M80" s="52"/>
      <c r="N80" s="52"/>
      <c r="O80" s="52"/>
      <c r="P80" s="52"/>
      <c r="Q80" s="160"/>
      <c r="R80" s="52" t="s">
        <v>256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60"/>
      <c r="AK80" s="133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4"/>
    </row>
    <row r="81" spans="2:61" ht="20.100000000000001" customHeight="1" x14ac:dyDescent="0.45">
      <c r="B81" s="158"/>
      <c r="C81" s="31"/>
      <c r="D81" s="31"/>
      <c r="E81" s="31"/>
      <c r="F81" s="31"/>
      <c r="G81" s="131"/>
      <c r="H81" s="31"/>
      <c r="I81" s="31"/>
      <c r="J81" s="159" t="s">
        <v>160</v>
      </c>
      <c r="K81" s="52"/>
      <c r="L81" s="52"/>
      <c r="M81" s="52"/>
      <c r="N81" s="52"/>
      <c r="O81" s="52"/>
      <c r="P81" s="52"/>
      <c r="Q81" s="160"/>
      <c r="R81" s="52" t="s">
        <v>257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60"/>
      <c r="AK81" s="133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4"/>
    </row>
    <row r="82" spans="2:61" ht="20.100000000000001" customHeight="1" x14ac:dyDescent="0.45">
      <c r="B82" s="158"/>
      <c r="C82" s="31"/>
      <c r="D82" s="31"/>
      <c r="E82" s="31"/>
      <c r="F82" s="31"/>
      <c r="G82" s="131"/>
      <c r="H82" s="31"/>
      <c r="I82" s="31"/>
      <c r="J82" s="159" t="s">
        <v>246</v>
      </c>
      <c r="K82" s="52"/>
      <c r="L82" s="52"/>
      <c r="M82" s="52"/>
      <c r="N82" s="52"/>
      <c r="O82" s="52"/>
      <c r="P82" s="52"/>
      <c r="Q82" s="160"/>
      <c r="R82" s="52" t="s">
        <v>258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60"/>
      <c r="AK82" s="133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4"/>
    </row>
    <row r="83" spans="2:61" ht="20.100000000000001" customHeight="1" x14ac:dyDescent="0.45">
      <c r="B83" s="158"/>
      <c r="C83" s="31"/>
      <c r="D83" s="31"/>
      <c r="E83" s="31"/>
      <c r="F83" s="31"/>
      <c r="G83" s="131"/>
      <c r="H83" s="31"/>
      <c r="I83" s="31"/>
      <c r="J83" s="159" t="s">
        <v>162</v>
      </c>
      <c r="K83" s="52"/>
      <c r="L83" s="52"/>
      <c r="M83" s="52"/>
      <c r="N83" s="52"/>
      <c r="O83" s="52"/>
      <c r="P83" s="52"/>
      <c r="Q83" s="160"/>
      <c r="R83" s="52" t="s">
        <v>259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60"/>
      <c r="AK83" s="133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4"/>
    </row>
    <row r="84" spans="2:61" ht="20.100000000000001" customHeight="1" x14ac:dyDescent="0.45">
      <c r="B84" s="158"/>
      <c r="C84" s="31"/>
      <c r="D84" s="31"/>
      <c r="E84" s="31"/>
      <c r="F84" s="31"/>
      <c r="G84" s="131"/>
      <c r="H84" s="31"/>
      <c r="I84" s="31"/>
      <c r="J84" s="159" t="s">
        <v>163</v>
      </c>
      <c r="K84" s="52"/>
      <c r="L84" s="52"/>
      <c r="M84" s="52"/>
      <c r="N84" s="52"/>
      <c r="O84" s="52"/>
      <c r="P84" s="52"/>
      <c r="Q84" s="160"/>
      <c r="R84" s="52" t="s">
        <v>260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60"/>
      <c r="AK84" s="133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4"/>
    </row>
    <row r="85" spans="2:61" ht="20.100000000000001" customHeight="1" x14ac:dyDescent="0.45">
      <c r="B85" s="158"/>
      <c r="C85" s="31"/>
      <c r="D85" s="31"/>
      <c r="E85" s="31"/>
      <c r="F85" s="31"/>
      <c r="G85" s="131"/>
      <c r="H85" s="31"/>
      <c r="I85" s="31"/>
      <c r="J85" s="159" t="s">
        <v>164</v>
      </c>
      <c r="K85" s="52"/>
      <c r="L85" s="52"/>
      <c r="M85" s="52"/>
      <c r="N85" s="52"/>
      <c r="O85" s="52"/>
      <c r="P85" s="52"/>
      <c r="Q85" s="160"/>
      <c r="R85" s="52" t="s">
        <v>261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60"/>
      <c r="AK85" s="133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4"/>
    </row>
    <row r="86" spans="2:61" ht="20.100000000000001" customHeight="1" thickBot="1" x14ac:dyDescent="0.5">
      <c r="B86" s="158"/>
      <c r="C86" s="31"/>
      <c r="D86" s="31"/>
      <c r="E86" s="31"/>
      <c r="F86" s="31"/>
      <c r="G86" s="131"/>
      <c r="H86" s="31"/>
      <c r="I86" s="31"/>
      <c r="J86" s="159" t="s">
        <v>247</v>
      </c>
      <c r="K86" s="52"/>
      <c r="L86" s="52"/>
      <c r="M86" s="52"/>
      <c r="N86" s="52"/>
      <c r="O86" s="52"/>
      <c r="P86" s="52"/>
      <c r="Q86" s="160"/>
      <c r="R86" s="51" t="s">
        <v>262</v>
      </c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133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4"/>
    </row>
    <row r="87" spans="2:61" ht="130.19999999999999" customHeight="1" x14ac:dyDescent="0.45">
      <c r="B87" s="124" t="s">
        <v>344</v>
      </c>
      <c r="C87" s="125"/>
      <c r="D87" s="125"/>
      <c r="E87" s="125"/>
      <c r="F87" s="125"/>
      <c r="G87" s="126"/>
      <c r="H87" s="127"/>
      <c r="I87" s="125"/>
      <c r="J87" s="155" t="s">
        <v>151</v>
      </c>
      <c r="K87" s="156"/>
      <c r="L87" s="156"/>
      <c r="M87" s="156"/>
      <c r="N87" s="156"/>
      <c r="O87" s="156"/>
      <c r="P87" s="156"/>
      <c r="Q87" s="157"/>
      <c r="R87" s="296" t="s">
        <v>177</v>
      </c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8"/>
      <c r="AK87" s="299" t="s">
        <v>178</v>
      </c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  <c r="BA87" s="300"/>
      <c r="BB87" s="300"/>
      <c r="BC87" s="300"/>
      <c r="BD87" s="300"/>
      <c r="BE87" s="300"/>
      <c r="BF87" s="300"/>
      <c r="BG87" s="300"/>
      <c r="BH87" s="300"/>
      <c r="BI87" s="301"/>
    </row>
    <row r="88" spans="2:61" ht="20.100000000000001" customHeight="1" x14ac:dyDescent="0.45">
      <c r="B88" s="158"/>
      <c r="C88" s="31"/>
      <c r="D88" s="31"/>
      <c r="E88" s="31"/>
      <c r="F88" s="31"/>
      <c r="G88" s="131"/>
      <c r="H88" s="132"/>
      <c r="I88" s="31"/>
      <c r="J88" s="159" t="s">
        <v>152</v>
      </c>
      <c r="K88" s="52"/>
      <c r="L88" s="52"/>
      <c r="M88" s="52"/>
      <c r="N88" s="52"/>
      <c r="O88" s="52"/>
      <c r="P88" s="52"/>
      <c r="Q88" s="160"/>
      <c r="R88" s="52">
        <v>0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60"/>
      <c r="AK88" s="133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4"/>
    </row>
    <row r="89" spans="2:61" ht="20.100000000000001" customHeight="1" x14ac:dyDescent="0.45">
      <c r="B89" s="158"/>
      <c r="C89" s="31"/>
      <c r="D89" s="31"/>
      <c r="E89" s="31"/>
      <c r="F89" s="31"/>
      <c r="G89" s="131"/>
      <c r="H89" s="132"/>
      <c r="I89" s="31"/>
      <c r="J89" s="159" t="s">
        <v>317</v>
      </c>
      <c r="K89" s="52"/>
      <c r="L89" s="52"/>
      <c r="M89" s="52"/>
      <c r="N89" s="52"/>
      <c r="O89" s="52"/>
      <c r="P89" s="52"/>
      <c r="Q89" s="160"/>
      <c r="R89" s="52" t="s">
        <v>347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60"/>
      <c r="AK89" s="133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4"/>
    </row>
    <row r="90" spans="2:61" ht="20.100000000000001" customHeight="1" x14ac:dyDescent="0.45">
      <c r="B90" s="158"/>
      <c r="C90" s="31"/>
      <c r="D90" s="31"/>
      <c r="E90" s="31"/>
      <c r="F90" s="31"/>
      <c r="G90" s="131"/>
      <c r="H90" s="132"/>
      <c r="I90" s="31"/>
      <c r="J90" s="159" t="s">
        <v>153</v>
      </c>
      <c r="K90" s="52"/>
      <c r="L90" s="52"/>
      <c r="M90" s="52"/>
      <c r="N90" s="52"/>
      <c r="O90" s="52"/>
      <c r="P90" s="52"/>
      <c r="Q90" s="160"/>
      <c r="R90" s="52" t="s">
        <v>348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60"/>
      <c r="AK90" s="133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4"/>
    </row>
    <row r="91" spans="2:61" ht="20.100000000000001" customHeight="1" x14ac:dyDescent="0.45">
      <c r="B91" s="158"/>
      <c r="C91" s="31"/>
      <c r="D91" s="31"/>
      <c r="E91" s="31"/>
      <c r="F91" s="31"/>
      <c r="G91" s="131"/>
      <c r="H91" s="31"/>
      <c r="I91" s="31"/>
      <c r="J91" s="159" t="s">
        <v>154</v>
      </c>
      <c r="K91" s="52"/>
      <c r="L91" s="52"/>
      <c r="M91" s="52"/>
      <c r="N91" s="52"/>
      <c r="O91" s="52"/>
      <c r="P91" s="52"/>
      <c r="Q91" s="160"/>
      <c r="R91" s="52" t="s">
        <v>349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60"/>
      <c r="AK91" s="133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4"/>
    </row>
    <row r="92" spans="2:61" ht="20.100000000000001" customHeight="1" x14ac:dyDescent="0.45">
      <c r="B92" s="158"/>
      <c r="C92" s="31"/>
      <c r="D92" s="31"/>
      <c r="E92" s="31"/>
      <c r="F92" s="31"/>
      <c r="G92" s="131"/>
      <c r="H92" s="31"/>
      <c r="I92" s="31"/>
      <c r="J92" s="159" t="s">
        <v>155</v>
      </c>
      <c r="K92" s="52"/>
      <c r="L92" s="52"/>
      <c r="M92" s="52"/>
      <c r="N92" s="52"/>
      <c r="O92" s="52"/>
      <c r="P92" s="52"/>
      <c r="Q92" s="160"/>
      <c r="R92" s="52" t="s">
        <v>350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60"/>
      <c r="AK92" s="133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4"/>
    </row>
    <row r="93" spans="2:61" ht="20.100000000000001" customHeight="1" x14ac:dyDescent="0.45">
      <c r="B93" s="158"/>
      <c r="C93" s="31"/>
      <c r="D93" s="31"/>
      <c r="E93" s="31"/>
      <c r="F93" s="31"/>
      <c r="G93" s="131"/>
      <c r="H93" s="31"/>
      <c r="I93" s="31"/>
      <c r="J93" s="159" t="s">
        <v>156</v>
      </c>
      <c r="K93" s="52"/>
      <c r="L93" s="52"/>
      <c r="M93" s="52"/>
      <c r="N93" s="52"/>
      <c r="O93" s="52"/>
      <c r="P93" s="52"/>
      <c r="Q93" s="160"/>
      <c r="R93" s="52" t="s">
        <v>351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60"/>
      <c r="AK93" s="133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4"/>
    </row>
    <row r="94" spans="2:61" ht="20.100000000000001" customHeight="1" x14ac:dyDescent="0.45">
      <c r="B94" s="158"/>
      <c r="C94" s="31"/>
      <c r="D94" s="31"/>
      <c r="E94" s="31"/>
      <c r="F94" s="31"/>
      <c r="G94" s="131"/>
      <c r="H94" s="31"/>
      <c r="I94" s="31"/>
      <c r="J94" s="159" t="s">
        <v>157</v>
      </c>
      <c r="K94" s="52"/>
      <c r="L94" s="52"/>
      <c r="M94" s="52"/>
      <c r="N94" s="52"/>
      <c r="O94" s="52"/>
      <c r="P94" s="52"/>
      <c r="Q94" s="160"/>
      <c r="R94" s="52" t="s">
        <v>352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60"/>
      <c r="AK94" s="133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4"/>
    </row>
    <row r="95" spans="2:61" ht="20.100000000000001" customHeight="1" x14ac:dyDescent="0.45">
      <c r="B95" s="158"/>
      <c r="C95" s="31"/>
      <c r="D95" s="31"/>
      <c r="E95" s="31"/>
      <c r="F95" s="31"/>
      <c r="G95" s="131"/>
      <c r="H95" s="31"/>
      <c r="I95" s="31"/>
      <c r="J95" s="159" t="s">
        <v>158</v>
      </c>
      <c r="K95" s="52"/>
      <c r="L95" s="52"/>
      <c r="M95" s="52"/>
      <c r="N95" s="52"/>
      <c r="O95" s="52"/>
      <c r="P95" s="52"/>
      <c r="Q95" s="160"/>
      <c r="R95" s="52" t="s">
        <v>353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60"/>
      <c r="AK95" s="133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4"/>
    </row>
    <row r="96" spans="2:61" ht="20.100000000000001" customHeight="1" x14ac:dyDescent="0.45">
      <c r="B96" s="158"/>
      <c r="C96" s="31"/>
      <c r="D96" s="31"/>
      <c r="E96" s="31"/>
      <c r="F96" s="31"/>
      <c r="G96" s="131"/>
      <c r="H96" s="31"/>
      <c r="I96" s="31"/>
      <c r="J96" s="159" t="s">
        <v>159</v>
      </c>
      <c r="K96" s="52"/>
      <c r="L96" s="52"/>
      <c r="M96" s="52"/>
      <c r="N96" s="52"/>
      <c r="O96" s="52"/>
      <c r="P96" s="52"/>
      <c r="Q96" s="160"/>
      <c r="R96" s="52" t="s">
        <v>354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60"/>
      <c r="AK96" s="133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4"/>
    </row>
    <row r="97" spans="2:61" ht="20.100000000000001" customHeight="1" x14ac:dyDescent="0.45">
      <c r="B97" s="158"/>
      <c r="C97" s="31"/>
      <c r="D97" s="31"/>
      <c r="E97" s="31"/>
      <c r="F97" s="31"/>
      <c r="G97" s="131"/>
      <c r="H97" s="31"/>
      <c r="I97" s="31"/>
      <c r="J97" s="159" t="s">
        <v>160</v>
      </c>
      <c r="K97" s="52"/>
      <c r="L97" s="52"/>
      <c r="M97" s="52"/>
      <c r="N97" s="52"/>
      <c r="O97" s="52"/>
      <c r="P97" s="52"/>
      <c r="Q97" s="160"/>
      <c r="R97" s="52" t="s">
        <v>355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60"/>
      <c r="AK97" s="133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4"/>
    </row>
    <row r="98" spans="2:61" ht="20.100000000000001" customHeight="1" x14ac:dyDescent="0.45">
      <c r="B98" s="158"/>
      <c r="C98" s="31"/>
      <c r="D98" s="31"/>
      <c r="E98" s="31"/>
      <c r="F98" s="31"/>
      <c r="G98" s="131"/>
      <c r="H98" s="31"/>
      <c r="I98" s="31"/>
      <c r="J98" s="159" t="s">
        <v>161</v>
      </c>
      <c r="K98" s="52"/>
      <c r="L98" s="52"/>
      <c r="M98" s="52"/>
      <c r="N98" s="52"/>
      <c r="O98" s="52"/>
      <c r="P98" s="52"/>
      <c r="Q98" s="160"/>
      <c r="R98" s="52" t="s">
        <v>356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60"/>
      <c r="AK98" s="133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4"/>
    </row>
    <row r="99" spans="2:61" ht="20.100000000000001" customHeight="1" x14ac:dyDescent="0.45">
      <c r="B99" s="158"/>
      <c r="C99" s="31"/>
      <c r="D99" s="31"/>
      <c r="E99" s="31"/>
      <c r="F99" s="31"/>
      <c r="G99" s="131"/>
      <c r="H99" s="31"/>
      <c r="I99" s="31"/>
      <c r="J99" s="159" t="s">
        <v>162</v>
      </c>
      <c r="K99" s="52"/>
      <c r="L99" s="52"/>
      <c r="M99" s="52"/>
      <c r="N99" s="52"/>
      <c r="O99" s="52"/>
      <c r="P99" s="52"/>
      <c r="Q99" s="160"/>
      <c r="R99" s="52" t="s">
        <v>357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60"/>
      <c r="AK99" s="133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4"/>
    </row>
    <row r="100" spans="2:61" ht="20.100000000000001" customHeight="1" x14ac:dyDescent="0.45">
      <c r="B100" s="158"/>
      <c r="C100" s="31"/>
      <c r="D100" s="31"/>
      <c r="E100" s="31"/>
      <c r="F100" s="31"/>
      <c r="G100" s="131"/>
      <c r="H100" s="31"/>
      <c r="I100" s="31"/>
      <c r="J100" s="159" t="s">
        <v>163</v>
      </c>
      <c r="K100" s="52"/>
      <c r="L100" s="52"/>
      <c r="M100" s="52"/>
      <c r="N100" s="52"/>
      <c r="O100" s="52"/>
      <c r="P100" s="52"/>
      <c r="Q100" s="160"/>
      <c r="R100" s="52" t="s">
        <v>358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60"/>
      <c r="AK100" s="133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4"/>
    </row>
    <row r="101" spans="2:61" ht="20.100000000000001" customHeight="1" x14ac:dyDescent="0.45">
      <c r="B101" s="158"/>
      <c r="C101" s="31"/>
      <c r="D101" s="31"/>
      <c r="E101" s="31"/>
      <c r="F101" s="31"/>
      <c r="G101" s="131"/>
      <c r="H101" s="31"/>
      <c r="I101" s="31"/>
      <c r="J101" s="135" t="s">
        <v>164</v>
      </c>
      <c r="K101" s="52"/>
      <c r="L101" s="52"/>
      <c r="M101" s="52"/>
      <c r="N101" s="52"/>
      <c r="O101" s="52"/>
      <c r="P101" s="52"/>
      <c r="Q101" s="160"/>
      <c r="R101" s="52" t="s">
        <v>359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160"/>
      <c r="AK101" s="133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4"/>
    </row>
    <row r="102" spans="2:61" ht="20.100000000000001" customHeight="1" x14ac:dyDescent="0.45">
      <c r="B102" s="158"/>
      <c r="C102" s="31"/>
      <c r="D102" s="31"/>
      <c r="E102" s="31"/>
      <c r="F102" s="31"/>
      <c r="G102" s="131"/>
      <c r="H102" s="135" t="s">
        <v>104</v>
      </c>
      <c r="I102" s="55"/>
      <c r="J102" s="135" t="s">
        <v>179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136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137"/>
    </row>
    <row r="103" spans="2:61" ht="20.100000000000001" customHeight="1" x14ac:dyDescent="0.45">
      <c r="B103" s="158"/>
      <c r="C103" s="31"/>
      <c r="D103" s="31"/>
      <c r="E103" s="31"/>
      <c r="F103" s="31"/>
      <c r="G103" s="131"/>
      <c r="H103" s="132"/>
      <c r="I103" s="31"/>
      <c r="J103" s="132" t="s">
        <v>189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33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4"/>
    </row>
    <row r="104" spans="2:61" ht="20.100000000000001" customHeight="1" x14ac:dyDescent="0.45">
      <c r="B104" s="158"/>
      <c r="C104" s="31"/>
      <c r="D104" s="31"/>
      <c r="E104" s="31"/>
      <c r="F104" s="31"/>
      <c r="G104" s="131"/>
      <c r="H104" s="132"/>
      <c r="I104" s="31"/>
      <c r="J104" s="132" t="s">
        <v>180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33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4"/>
    </row>
    <row r="105" spans="2:61" ht="20.100000000000001" customHeight="1" x14ac:dyDescent="0.45">
      <c r="B105" s="130"/>
      <c r="C105" s="31"/>
      <c r="D105" s="31"/>
      <c r="E105" s="31"/>
      <c r="F105" s="31"/>
      <c r="G105" s="131"/>
      <c r="I105" s="31"/>
      <c r="J105" s="132" t="s">
        <v>181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133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4"/>
    </row>
    <row r="106" spans="2:61" ht="20.100000000000001" customHeight="1" x14ac:dyDescent="0.45">
      <c r="B106" s="130"/>
      <c r="C106" s="31"/>
      <c r="D106" s="31"/>
      <c r="E106" s="31"/>
      <c r="F106" s="31"/>
      <c r="G106" s="131"/>
      <c r="H106" s="132"/>
      <c r="I106" s="31"/>
      <c r="J106" s="132" t="s">
        <v>182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33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4"/>
    </row>
    <row r="107" spans="2:61" ht="20.100000000000001" customHeight="1" x14ac:dyDescent="0.45">
      <c r="B107" s="130"/>
      <c r="C107" s="31"/>
      <c r="D107" s="31"/>
      <c r="E107" s="31"/>
      <c r="F107" s="31"/>
      <c r="G107" s="131"/>
      <c r="H107" s="132"/>
      <c r="I107" s="31"/>
      <c r="J107" s="132" t="s">
        <v>183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33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4"/>
    </row>
    <row r="108" spans="2:61" ht="20.100000000000001" customHeight="1" x14ac:dyDescent="0.45">
      <c r="B108" s="130"/>
      <c r="C108" s="31"/>
      <c r="D108" s="31"/>
      <c r="E108" s="31"/>
      <c r="F108" s="31"/>
      <c r="G108" s="131"/>
      <c r="H108" s="132"/>
      <c r="I108" s="31"/>
      <c r="J108" s="132" t="s">
        <v>184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33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4"/>
    </row>
    <row r="109" spans="2:61" ht="20.100000000000001" customHeight="1" x14ac:dyDescent="0.45">
      <c r="B109" s="130"/>
      <c r="C109" s="31"/>
      <c r="D109" s="31"/>
      <c r="E109" s="31"/>
      <c r="F109" s="31"/>
      <c r="G109" s="131"/>
      <c r="H109" s="135" t="s">
        <v>105</v>
      </c>
      <c r="I109" s="55"/>
      <c r="J109" s="135" t="s">
        <v>185</v>
      </c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136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137"/>
    </row>
    <row r="110" spans="2:61" ht="20.100000000000001" customHeight="1" x14ac:dyDescent="0.45">
      <c r="B110" s="130"/>
      <c r="C110" s="31"/>
      <c r="D110" s="31"/>
      <c r="E110" s="31"/>
      <c r="F110" s="31"/>
      <c r="G110" s="131"/>
      <c r="H110" s="132"/>
      <c r="I110" s="31"/>
      <c r="J110" s="132"/>
      <c r="K110" s="31" t="s">
        <v>186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33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4"/>
    </row>
    <row r="111" spans="2:61" ht="20.100000000000001" customHeight="1" x14ac:dyDescent="0.45">
      <c r="B111" s="130"/>
      <c r="C111" s="31"/>
      <c r="D111" s="31"/>
      <c r="E111" s="31"/>
      <c r="F111" s="31"/>
      <c r="G111" s="131"/>
      <c r="H111" s="132"/>
      <c r="I111" s="31"/>
      <c r="J111" s="132"/>
      <c r="K111" s="31"/>
      <c r="L111" s="31"/>
      <c r="M111" s="31" t="s">
        <v>187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33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4"/>
    </row>
    <row r="112" spans="2:61" ht="20.100000000000001" customHeight="1" x14ac:dyDescent="0.45">
      <c r="B112" s="130"/>
      <c r="C112" s="31"/>
      <c r="D112" s="31"/>
      <c r="E112" s="31"/>
      <c r="F112" s="31"/>
      <c r="G112" s="131"/>
      <c r="H112" s="132"/>
      <c r="I112" s="31"/>
      <c r="J112" s="132" t="s">
        <v>188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33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4"/>
    </row>
    <row r="113" spans="2:61" ht="20.100000000000001" customHeight="1" x14ac:dyDescent="0.45">
      <c r="B113" s="130"/>
      <c r="C113" s="31"/>
      <c r="D113" s="31"/>
      <c r="E113" s="31"/>
      <c r="F113" s="31"/>
      <c r="G113" s="131"/>
      <c r="H113" s="132"/>
      <c r="I113" s="31"/>
      <c r="J113" s="132"/>
      <c r="K113" s="31" t="s">
        <v>190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33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4"/>
    </row>
    <row r="114" spans="2:61" ht="20.100000000000001" customHeight="1" x14ac:dyDescent="0.45">
      <c r="B114" s="130"/>
      <c r="C114" s="31"/>
      <c r="D114" s="31"/>
      <c r="E114" s="31"/>
      <c r="F114" s="31"/>
      <c r="G114" s="131"/>
      <c r="H114" s="132"/>
      <c r="I114" s="31"/>
      <c r="J114" s="132"/>
      <c r="K114" s="31"/>
      <c r="L114" s="31"/>
      <c r="M114" s="31" t="s">
        <v>191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33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4"/>
    </row>
    <row r="115" spans="2:61" ht="20.100000000000001" customHeight="1" x14ac:dyDescent="0.45">
      <c r="B115" s="130"/>
      <c r="C115" s="31"/>
      <c r="D115" s="31"/>
      <c r="E115" s="31"/>
      <c r="F115" s="31"/>
      <c r="G115" s="131"/>
      <c r="H115" s="132"/>
      <c r="I115" s="31"/>
      <c r="J115" s="132" t="s">
        <v>185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33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4"/>
    </row>
    <row r="116" spans="2:61" ht="20.100000000000001" customHeight="1" x14ac:dyDescent="0.45">
      <c r="B116" s="130"/>
      <c r="C116" s="31"/>
      <c r="D116" s="31"/>
      <c r="E116" s="31"/>
      <c r="F116" s="31"/>
      <c r="G116" s="131"/>
      <c r="H116" s="132"/>
      <c r="I116" s="31"/>
      <c r="J116" s="132"/>
      <c r="K116" s="31" t="s">
        <v>192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33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4"/>
    </row>
    <row r="117" spans="2:61" ht="20.100000000000001" customHeight="1" x14ac:dyDescent="0.45">
      <c r="B117" s="130"/>
      <c r="C117" s="31"/>
      <c r="D117" s="31"/>
      <c r="E117" s="31"/>
      <c r="F117" s="31"/>
      <c r="G117" s="131"/>
      <c r="H117" s="132"/>
      <c r="I117" s="31"/>
      <c r="J117" s="132"/>
      <c r="K117" s="31"/>
      <c r="L117" s="31"/>
      <c r="M117" s="31" t="s">
        <v>193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33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4"/>
    </row>
    <row r="118" spans="2:61" ht="20.100000000000001" customHeight="1" x14ac:dyDescent="0.45">
      <c r="B118" s="130"/>
      <c r="C118" s="31"/>
      <c r="D118" s="31"/>
      <c r="E118" s="31"/>
      <c r="F118" s="31"/>
      <c r="G118" s="131"/>
      <c r="H118" s="132"/>
      <c r="I118" s="31"/>
      <c r="J118" s="132" t="s">
        <v>185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33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4"/>
    </row>
    <row r="119" spans="2:61" ht="20.100000000000001" customHeight="1" x14ac:dyDescent="0.45">
      <c r="B119" s="130"/>
      <c r="C119" s="31"/>
      <c r="D119" s="31"/>
      <c r="E119" s="31"/>
      <c r="F119" s="31"/>
      <c r="G119" s="131"/>
      <c r="H119" s="132"/>
      <c r="I119" s="31"/>
      <c r="J119" s="132"/>
      <c r="K119" s="31" t="s">
        <v>194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3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4"/>
    </row>
    <row r="120" spans="2:61" ht="20.100000000000001" customHeight="1" x14ac:dyDescent="0.45">
      <c r="B120" s="130"/>
      <c r="C120" s="31"/>
      <c r="D120" s="31"/>
      <c r="E120" s="31"/>
      <c r="F120" s="31"/>
      <c r="G120" s="131"/>
      <c r="H120" s="132"/>
      <c r="I120" s="31"/>
      <c r="J120" s="132"/>
      <c r="K120" s="31"/>
      <c r="L120" s="31"/>
      <c r="M120" s="31" t="s">
        <v>195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3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4"/>
    </row>
    <row r="121" spans="2:61" ht="20.100000000000001" customHeight="1" x14ac:dyDescent="0.45">
      <c r="B121" s="130"/>
      <c r="C121" s="31"/>
      <c r="D121" s="31"/>
      <c r="E121" s="31"/>
      <c r="F121" s="31"/>
      <c r="G121" s="131"/>
      <c r="H121" s="132"/>
      <c r="I121" s="31"/>
      <c r="J121" s="132" t="s">
        <v>188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33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4"/>
    </row>
    <row r="122" spans="2:61" ht="20.100000000000001" customHeight="1" x14ac:dyDescent="0.45">
      <c r="B122" s="130"/>
      <c r="C122" s="31"/>
      <c r="D122" s="31"/>
      <c r="E122" s="31"/>
      <c r="F122" s="31"/>
      <c r="G122" s="131"/>
      <c r="H122" s="132"/>
      <c r="I122" s="31"/>
      <c r="J122" s="132"/>
      <c r="K122" s="31" t="s">
        <v>196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133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4"/>
    </row>
    <row r="123" spans="2:61" ht="20.100000000000001" customHeight="1" x14ac:dyDescent="0.45">
      <c r="B123" s="130"/>
      <c r="C123" s="31"/>
      <c r="D123" s="31"/>
      <c r="E123" s="31"/>
      <c r="F123" s="31"/>
      <c r="G123" s="131"/>
      <c r="H123" s="132"/>
      <c r="I123" s="31"/>
      <c r="J123" s="132"/>
      <c r="K123" s="31"/>
      <c r="L123" s="31"/>
      <c r="M123" s="31" t="s">
        <v>197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133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4"/>
    </row>
    <row r="124" spans="2:61" ht="20.100000000000001" customHeight="1" x14ac:dyDescent="0.45">
      <c r="B124" s="130"/>
      <c r="C124" s="31"/>
      <c r="D124" s="31"/>
      <c r="E124" s="31"/>
      <c r="F124" s="31"/>
      <c r="G124" s="131"/>
      <c r="H124" s="132"/>
      <c r="I124" s="31"/>
      <c r="J124" s="132" t="s">
        <v>188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33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4"/>
    </row>
    <row r="125" spans="2:61" ht="20.100000000000001" customHeight="1" x14ac:dyDescent="0.45">
      <c r="B125" s="130"/>
      <c r="C125" s="31"/>
      <c r="D125" s="31"/>
      <c r="E125" s="31"/>
      <c r="F125" s="31"/>
      <c r="G125" s="131"/>
      <c r="H125" s="132"/>
      <c r="I125" s="31"/>
      <c r="J125" s="132"/>
      <c r="K125" s="31" t="s">
        <v>194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133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4"/>
    </row>
    <row r="126" spans="2:61" ht="20.100000000000001" customHeight="1" x14ac:dyDescent="0.45">
      <c r="B126" s="130"/>
      <c r="C126" s="31"/>
      <c r="D126" s="31"/>
      <c r="E126" s="31"/>
      <c r="F126" s="31"/>
      <c r="G126" s="131"/>
      <c r="H126" s="138"/>
      <c r="I126" s="139"/>
      <c r="J126" s="138"/>
      <c r="K126" s="139"/>
      <c r="L126" s="139"/>
      <c r="M126" s="139" t="s">
        <v>198</v>
      </c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40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  <c r="BC126" s="139"/>
      <c r="BD126" s="139"/>
      <c r="BE126" s="139"/>
      <c r="BF126" s="139"/>
      <c r="BG126" s="139"/>
      <c r="BH126" s="139"/>
      <c r="BI126" s="141"/>
    </row>
    <row r="127" spans="2:61" ht="21" customHeight="1" x14ac:dyDescent="0.45">
      <c r="B127" s="130"/>
      <c r="C127" s="31"/>
      <c r="D127" s="31"/>
      <c r="E127" s="31"/>
      <c r="F127" s="31"/>
      <c r="G127" s="131"/>
      <c r="H127" s="135" t="s">
        <v>360</v>
      </c>
      <c r="I127" s="55"/>
      <c r="J127" s="132"/>
      <c r="K127" s="31" t="s">
        <v>203</v>
      </c>
      <c r="L127" s="31"/>
      <c r="M127" s="31"/>
      <c r="N127" s="31"/>
      <c r="O127" s="31"/>
      <c r="P127" s="31"/>
      <c r="Q127" s="31"/>
      <c r="R127" s="31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179"/>
      <c r="AK127" s="187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E127" s="188"/>
      <c r="BF127" s="188"/>
      <c r="BG127" s="188"/>
      <c r="BH127" s="188"/>
      <c r="BI127" s="189"/>
    </row>
    <row r="128" spans="2:61" ht="20.100000000000001" customHeight="1" x14ac:dyDescent="0.45">
      <c r="B128" s="130"/>
      <c r="C128" s="31"/>
      <c r="D128" s="31"/>
      <c r="E128" s="31"/>
      <c r="F128" s="31"/>
      <c r="G128" s="131"/>
      <c r="H128" s="132"/>
      <c r="I128" s="31"/>
      <c r="J128" s="132" t="s">
        <v>199</v>
      </c>
      <c r="K128" s="31" t="s">
        <v>204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32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4"/>
    </row>
    <row r="129" spans="2:61" ht="20.100000000000001" customHeight="1" thickBot="1" x14ac:dyDescent="0.5">
      <c r="B129" s="130"/>
      <c r="C129" s="31"/>
      <c r="D129" s="31"/>
      <c r="E129" s="31"/>
      <c r="F129" s="31"/>
      <c r="G129" s="131"/>
      <c r="H129" s="132"/>
      <c r="I129" s="31"/>
      <c r="J129" s="132" t="s">
        <v>199</v>
      </c>
      <c r="K129" s="31" t="s">
        <v>205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132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4"/>
    </row>
    <row r="130" spans="2:61" ht="123.6" customHeight="1" x14ac:dyDescent="0.45">
      <c r="B130" s="130"/>
      <c r="C130" s="31"/>
      <c r="D130" s="31"/>
      <c r="E130" s="31"/>
      <c r="F130" s="31"/>
      <c r="G130" s="131"/>
      <c r="H130" s="135" t="s">
        <v>202</v>
      </c>
      <c r="I130" s="55"/>
      <c r="J130" s="302" t="s">
        <v>216</v>
      </c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4"/>
      <c r="AK130" s="299" t="s">
        <v>178</v>
      </c>
      <c r="AL130" s="300"/>
      <c r="AM130" s="300"/>
      <c r="AN130" s="300"/>
      <c r="AO130" s="300"/>
      <c r="AP130" s="300"/>
      <c r="AQ130" s="300"/>
      <c r="AR130" s="300"/>
      <c r="AS130" s="300"/>
      <c r="AT130" s="300"/>
      <c r="AU130" s="300"/>
      <c r="AV130" s="300"/>
      <c r="AW130" s="300"/>
      <c r="AX130" s="300"/>
      <c r="AY130" s="300"/>
      <c r="AZ130" s="300"/>
      <c r="BA130" s="300"/>
      <c r="BB130" s="300"/>
      <c r="BC130" s="300"/>
      <c r="BD130" s="300"/>
      <c r="BE130" s="300"/>
      <c r="BF130" s="300"/>
      <c r="BG130" s="300"/>
      <c r="BH130" s="300"/>
      <c r="BI130" s="301"/>
    </row>
    <row r="131" spans="2:61" ht="20.100000000000001" customHeight="1" x14ac:dyDescent="0.45">
      <c r="B131" s="130"/>
      <c r="C131" s="31"/>
      <c r="D131" s="31"/>
      <c r="E131" s="31"/>
      <c r="F131" s="31"/>
      <c r="G131" s="131"/>
      <c r="H131" s="132"/>
      <c r="I131" s="31"/>
      <c r="J131" s="132" t="s">
        <v>331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132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4"/>
    </row>
    <row r="132" spans="2:61" ht="20.100000000000001" customHeight="1" x14ac:dyDescent="0.45">
      <c r="B132" s="130"/>
      <c r="C132" s="31"/>
      <c r="D132" s="31"/>
      <c r="E132" s="31"/>
      <c r="F132" s="31"/>
      <c r="G132" s="131"/>
      <c r="H132" s="132"/>
      <c r="I132" s="31"/>
      <c r="J132" s="132" t="s">
        <v>361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132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4"/>
    </row>
    <row r="133" spans="2:61" ht="20.100000000000001" customHeight="1" x14ac:dyDescent="0.45">
      <c r="B133" s="130"/>
      <c r="C133" s="31"/>
      <c r="D133" s="31"/>
      <c r="E133" s="31"/>
      <c r="F133" s="31"/>
      <c r="G133" s="131"/>
      <c r="H133" s="132"/>
      <c r="I133" s="31"/>
      <c r="J133" s="132" t="s">
        <v>206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132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4"/>
    </row>
    <row r="134" spans="2:61" ht="20.100000000000001" customHeight="1" x14ac:dyDescent="0.45">
      <c r="B134" s="130"/>
      <c r="C134" s="31"/>
      <c r="D134" s="31"/>
      <c r="E134" s="31"/>
      <c r="F134" s="31"/>
      <c r="G134" s="131"/>
      <c r="H134" s="132"/>
      <c r="I134" s="31"/>
      <c r="J134" s="132" t="s">
        <v>333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132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4"/>
    </row>
    <row r="135" spans="2:61" ht="20.100000000000001" customHeight="1" x14ac:dyDescent="0.45">
      <c r="B135" s="130"/>
      <c r="C135" s="31"/>
      <c r="D135" s="31"/>
      <c r="E135" s="31"/>
      <c r="F135" s="31"/>
      <c r="G135" s="131"/>
      <c r="H135" s="132"/>
      <c r="I135" s="31"/>
      <c r="J135" s="132" t="s">
        <v>334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132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4"/>
    </row>
    <row r="136" spans="2:61" ht="20.100000000000001" customHeight="1" x14ac:dyDescent="0.45">
      <c r="B136" s="130"/>
      <c r="C136" s="31"/>
      <c r="D136" s="31"/>
      <c r="E136" s="31"/>
      <c r="F136" s="31"/>
      <c r="G136" s="131"/>
      <c r="H136" s="132"/>
      <c r="I136" s="31"/>
      <c r="J136" s="132" t="s">
        <v>335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132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4"/>
    </row>
    <row r="137" spans="2:61" ht="20.100000000000001" customHeight="1" x14ac:dyDescent="0.45">
      <c r="B137" s="130"/>
      <c r="C137" s="31"/>
      <c r="D137" s="31"/>
      <c r="E137" s="31"/>
      <c r="F137" s="31"/>
      <c r="G137" s="131"/>
      <c r="H137" s="132"/>
      <c r="I137" s="31"/>
      <c r="J137" s="132" t="s">
        <v>336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132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4"/>
    </row>
    <row r="138" spans="2:61" ht="20.100000000000001" customHeight="1" x14ac:dyDescent="0.45">
      <c r="B138" s="130"/>
      <c r="C138" s="31"/>
      <c r="D138" s="31"/>
      <c r="E138" s="31"/>
      <c r="F138" s="31"/>
      <c r="G138" s="131"/>
      <c r="H138" s="132"/>
      <c r="I138" s="31"/>
      <c r="J138" s="132" t="s">
        <v>337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132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4"/>
    </row>
    <row r="139" spans="2:61" ht="20.100000000000001" customHeight="1" thickBot="1" x14ac:dyDescent="0.5">
      <c r="B139" s="130"/>
      <c r="C139" s="31"/>
      <c r="D139" s="31"/>
      <c r="E139" s="31"/>
      <c r="F139" s="31"/>
      <c r="G139" s="131"/>
      <c r="H139" s="132"/>
      <c r="I139" s="31"/>
      <c r="J139" s="132" t="s">
        <v>338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132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4"/>
    </row>
    <row r="140" spans="2:61" ht="17.399999999999999" customHeight="1" x14ac:dyDescent="0.45">
      <c r="B140" s="124" t="s">
        <v>263</v>
      </c>
      <c r="C140" s="125"/>
      <c r="D140" s="125"/>
      <c r="E140" s="125"/>
      <c r="F140" s="125"/>
      <c r="G140" s="126"/>
      <c r="H140" s="127" t="s">
        <v>135</v>
      </c>
      <c r="I140" s="125"/>
      <c r="J140" s="155" t="s">
        <v>151</v>
      </c>
      <c r="K140" s="156"/>
      <c r="L140" s="156"/>
      <c r="M140" s="156"/>
      <c r="N140" s="156"/>
      <c r="O140" s="156"/>
      <c r="P140" s="156"/>
      <c r="Q140" s="157"/>
      <c r="R140" s="174" t="s">
        <v>265</v>
      </c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5"/>
      <c r="AK140" s="173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7"/>
    </row>
    <row r="141" spans="2:61" ht="17.399999999999999" customHeight="1" x14ac:dyDescent="0.45">
      <c r="B141" s="158" t="s">
        <v>345</v>
      </c>
      <c r="C141" s="31"/>
      <c r="D141" s="31"/>
      <c r="E141" s="31"/>
      <c r="F141" s="31"/>
      <c r="G141" s="131"/>
      <c r="H141" s="132"/>
      <c r="I141" s="31"/>
      <c r="J141" s="138" t="s">
        <v>362</v>
      </c>
      <c r="K141" s="139"/>
      <c r="L141" s="139"/>
      <c r="M141" s="139"/>
      <c r="N141" s="139"/>
      <c r="O141" s="139"/>
      <c r="P141" s="139"/>
      <c r="Q141" s="162"/>
      <c r="R141" s="191" t="s">
        <v>363</v>
      </c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2"/>
      <c r="AK141" s="193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5"/>
    </row>
    <row r="142" spans="2:61" ht="20.100000000000001" customHeight="1" x14ac:dyDescent="0.45">
      <c r="B142" s="158" t="s">
        <v>346</v>
      </c>
      <c r="C142" s="31"/>
      <c r="D142" s="31"/>
      <c r="E142" s="31"/>
      <c r="F142" s="31"/>
      <c r="G142" s="131"/>
      <c r="H142" s="132"/>
      <c r="I142" s="31"/>
      <c r="J142" s="159" t="s">
        <v>153</v>
      </c>
      <c r="K142" s="52"/>
      <c r="L142" s="52"/>
      <c r="M142" s="52"/>
      <c r="N142" s="52"/>
      <c r="O142" s="52"/>
      <c r="P142" s="52"/>
      <c r="Q142" s="160"/>
      <c r="R142" s="52" t="s">
        <v>267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60"/>
      <c r="AK142" s="133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4"/>
    </row>
    <row r="143" spans="2:61" ht="20.100000000000001" customHeight="1" x14ac:dyDescent="0.45">
      <c r="B143" s="158"/>
      <c r="C143" s="31"/>
      <c r="D143" s="31"/>
      <c r="E143" s="31"/>
      <c r="F143" s="31"/>
      <c r="G143" s="131"/>
      <c r="H143" s="132"/>
      <c r="I143" s="31"/>
      <c r="J143" s="159" t="s">
        <v>154</v>
      </c>
      <c r="K143" s="52"/>
      <c r="L143" s="52"/>
      <c r="M143" s="52"/>
      <c r="N143" s="52"/>
      <c r="O143" s="52"/>
      <c r="P143" s="52"/>
      <c r="Q143" s="160"/>
      <c r="R143" s="52">
        <v>99999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60"/>
      <c r="AK143" s="133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4"/>
    </row>
    <row r="144" spans="2:61" ht="20.100000000000001" customHeight="1" x14ac:dyDescent="0.45">
      <c r="B144" s="158"/>
      <c r="C144" s="31"/>
      <c r="D144" s="31"/>
      <c r="E144" s="31"/>
      <c r="F144" s="31"/>
      <c r="G144" s="131"/>
      <c r="H144" s="132"/>
      <c r="I144" s="31"/>
      <c r="J144" s="159" t="s">
        <v>155</v>
      </c>
      <c r="K144" s="52"/>
      <c r="L144" s="52"/>
      <c r="M144" s="52"/>
      <c r="N144" s="52"/>
      <c r="O144" s="52"/>
      <c r="P144" s="52"/>
      <c r="Q144" s="160"/>
      <c r="R144" s="52" t="s">
        <v>364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60"/>
      <c r="AK144" s="133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4"/>
    </row>
    <row r="145" spans="2:61" ht="20.100000000000001" customHeight="1" x14ac:dyDescent="0.45">
      <c r="B145" s="158"/>
      <c r="C145" s="31"/>
      <c r="D145" s="31"/>
      <c r="E145" s="31"/>
      <c r="F145" s="31"/>
      <c r="G145" s="131"/>
      <c r="H145" s="31"/>
      <c r="I145" s="31"/>
      <c r="J145" s="159" t="s">
        <v>242</v>
      </c>
      <c r="K145" s="52"/>
      <c r="L145" s="52"/>
      <c r="M145" s="52"/>
      <c r="N145" s="52"/>
      <c r="O145" s="52"/>
      <c r="P145" s="52"/>
      <c r="Q145" s="160"/>
      <c r="R145" s="52" t="s">
        <v>365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60"/>
      <c r="AK145" s="133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4"/>
    </row>
    <row r="146" spans="2:61" ht="20.100000000000001" customHeight="1" x14ac:dyDescent="0.45">
      <c r="B146" s="158"/>
      <c r="C146" s="31"/>
      <c r="D146" s="31"/>
      <c r="E146" s="31"/>
      <c r="F146" s="31"/>
      <c r="G146" s="131"/>
      <c r="H146" s="31"/>
      <c r="I146" s="31"/>
      <c r="J146" s="159" t="s">
        <v>157</v>
      </c>
      <c r="K146" s="52"/>
      <c r="L146" s="52"/>
      <c r="M146" s="52"/>
      <c r="N146" s="52"/>
      <c r="O146" s="52"/>
      <c r="P146" s="52"/>
      <c r="Q146" s="160"/>
      <c r="R146" s="52" t="s">
        <v>365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60"/>
      <c r="AK146" s="133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4"/>
    </row>
    <row r="147" spans="2:61" ht="20.100000000000001" customHeight="1" x14ac:dyDescent="0.45">
      <c r="B147" s="158"/>
      <c r="C147" s="31"/>
      <c r="D147" s="31"/>
      <c r="E147" s="31"/>
      <c r="F147" s="31"/>
      <c r="G147" s="131"/>
      <c r="H147" s="31"/>
      <c r="I147" s="31"/>
      <c r="J147" s="159" t="s">
        <v>158</v>
      </c>
      <c r="K147" s="52"/>
      <c r="L147" s="52"/>
      <c r="M147" s="52"/>
      <c r="N147" s="52"/>
      <c r="O147" s="52"/>
      <c r="P147" s="52"/>
      <c r="Q147" s="160"/>
      <c r="R147" s="52" t="s">
        <v>365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60"/>
      <c r="AK147" s="133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4"/>
    </row>
    <row r="148" spans="2:61" ht="20.100000000000001" customHeight="1" x14ac:dyDescent="0.45">
      <c r="B148" s="158"/>
      <c r="C148" s="31"/>
      <c r="D148" s="31"/>
      <c r="E148" s="31"/>
      <c r="F148" s="31"/>
      <c r="G148" s="131"/>
      <c r="H148" s="31"/>
      <c r="I148" s="31"/>
      <c r="J148" s="159" t="s">
        <v>159</v>
      </c>
      <c r="K148" s="52"/>
      <c r="L148" s="52"/>
      <c r="M148" s="52"/>
      <c r="N148" s="52"/>
      <c r="O148" s="52"/>
      <c r="P148" s="52"/>
      <c r="Q148" s="160"/>
      <c r="R148" s="52" t="s">
        <v>365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60"/>
      <c r="AK148" s="133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4"/>
    </row>
    <row r="149" spans="2:61" ht="20.100000000000001" customHeight="1" x14ac:dyDescent="0.45">
      <c r="B149" s="158"/>
      <c r="C149" s="31"/>
      <c r="D149" s="31"/>
      <c r="E149" s="31"/>
      <c r="F149" s="31"/>
      <c r="G149" s="131"/>
      <c r="H149" s="31"/>
      <c r="I149" s="31"/>
      <c r="J149" s="159" t="s">
        <v>160</v>
      </c>
      <c r="K149" s="52"/>
      <c r="L149" s="52"/>
      <c r="M149" s="52"/>
      <c r="N149" s="52"/>
      <c r="O149" s="52"/>
      <c r="P149" s="52"/>
      <c r="Q149" s="160"/>
      <c r="R149" s="52" t="s">
        <v>365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60"/>
      <c r="AK149" s="133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4"/>
    </row>
    <row r="150" spans="2:61" ht="20.100000000000001" customHeight="1" x14ac:dyDescent="0.45">
      <c r="B150" s="158"/>
      <c r="C150" s="31"/>
      <c r="D150" s="31"/>
      <c r="E150" s="31"/>
      <c r="F150" s="31"/>
      <c r="G150" s="131"/>
      <c r="H150" s="31"/>
      <c r="I150" s="31"/>
      <c r="J150" s="159" t="s">
        <v>161</v>
      </c>
      <c r="K150" s="52"/>
      <c r="L150" s="52"/>
      <c r="M150" s="52"/>
      <c r="N150" s="52"/>
      <c r="O150" s="52"/>
      <c r="P150" s="52"/>
      <c r="Q150" s="160"/>
      <c r="R150" s="52" t="s">
        <v>365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60"/>
      <c r="AK150" s="133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4"/>
    </row>
    <row r="151" spans="2:61" ht="20.100000000000001" customHeight="1" x14ac:dyDescent="0.45">
      <c r="B151" s="158"/>
      <c r="C151" s="31"/>
      <c r="D151" s="31"/>
      <c r="E151" s="31"/>
      <c r="F151" s="31"/>
      <c r="G151" s="131"/>
      <c r="H151" s="31"/>
      <c r="I151" s="31"/>
      <c r="J151" s="159" t="s">
        <v>162</v>
      </c>
      <c r="K151" s="52"/>
      <c r="L151" s="52"/>
      <c r="M151" s="52"/>
      <c r="N151" s="52"/>
      <c r="O151" s="52"/>
      <c r="P151" s="52"/>
      <c r="Q151" s="160"/>
      <c r="R151" s="52" t="s">
        <v>365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60"/>
      <c r="AK151" s="133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4"/>
    </row>
    <row r="152" spans="2:61" ht="20.100000000000001" customHeight="1" x14ac:dyDescent="0.45">
      <c r="B152" s="158"/>
      <c r="C152" s="31"/>
      <c r="D152" s="31"/>
      <c r="E152" s="31"/>
      <c r="F152" s="31"/>
      <c r="G152" s="131"/>
      <c r="H152" s="31"/>
      <c r="I152" s="31"/>
      <c r="J152" s="159" t="s">
        <v>164</v>
      </c>
      <c r="K152" s="52"/>
      <c r="L152" s="52"/>
      <c r="M152" s="52"/>
      <c r="N152" s="52"/>
      <c r="O152" s="52"/>
      <c r="P152" s="52"/>
      <c r="Q152" s="160"/>
      <c r="R152" s="52" t="s">
        <v>279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60"/>
      <c r="AK152" s="133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4"/>
    </row>
    <row r="153" spans="2:61" ht="20.100000000000001" customHeight="1" x14ac:dyDescent="0.45">
      <c r="B153" s="158"/>
      <c r="C153" s="31"/>
      <c r="D153" s="31"/>
      <c r="E153" s="31"/>
      <c r="F153" s="31"/>
      <c r="G153" s="131"/>
      <c r="H153" s="31"/>
      <c r="I153" s="31"/>
      <c r="J153" s="159" t="s">
        <v>247</v>
      </c>
      <c r="K153" s="52"/>
      <c r="L153" s="52"/>
      <c r="M153" s="52"/>
      <c r="N153" s="52"/>
      <c r="O153" s="52"/>
      <c r="P153" s="52"/>
      <c r="Q153" s="160"/>
      <c r="R153" s="52" t="s">
        <v>280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60"/>
      <c r="AK153" s="133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4"/>
    </row>
    <row r="154" spans="2:61" ht="20.100000000000001" customHeight="1" x14ac:dyDescent="0.45">
      <c r="B154" s="158"/>
      <c r="C154" s="31"/>
      <c r="D154" s="31"/>
      <c r="E154" s="31"/>
      <c r="F154" s="31"/>
      <c r="G154" s="131"/>
      <c r="H154" s="135" t="s">
        <v>104</v>
      </c>
      <c r="I154" s="55"/>
      <c r="J154" s="135" t="s">
        <v>281</v>
      </c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136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137"/>
    </row>
    <row r="155" spans="2:61" ht="20.100000000000001" customHeight="1" x14ac:dyDescent="0.45">
      <c r="B155" s="130"/>
      <c r="C155" s="31"/>
      <c r="D155" s="31"/>
      <c r="E155" s="31"/>
      <c r="F155" s="31"/>
      <c r="G155" s="131"/>
      <c r="H155" s="135" t="s">
        <v>106</v>
      </c>
      <c r="I155" s="55"/>
      <c r="J155" s="135" t="s">
        <v>282</v>
      </c>
      <c r="K155" s="55" t="s">
        <v>283</v>
      </c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186"/>
      <c r="AK155" s="133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4"/>
    </row>
    <row r="156" spans="2:61" ht="20.100000000000001" customHeight="1" x14ac:dyDescent="0.45">
      <c r="B156" s="130"/>
      <c r="C156" s="31"/>
      <c r="D156" s="31"/>
      <c r="E156" s="31"/>
      <c r="F156" s="31"/>
      <c r="G156" s="131"/>
      <c r="H156" s="132"/>
      <c r="I156" s="31"/>
      <c r="J156" s="132"/>
      <c r="K156" s="31"/>
      <c r="L156" s="31"/>
      <c r="M156" s="31" t="s">
        <v>284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133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4"/>
    </row>
    <row r="157" spans="2:61" ht="20.100000000000001" customHeight="1" x14ac:dyDescent="0.45">
      <c r="B157" s="130"/>
      <c r="C157" s="31"/>
      <c r="D157" s="31"/>
      <c r="E157" s="31"/>
      <c r="F157" s="31"/>
      <c r="G157" s="131"/>
      <c r="H157" s="132"/>
      <c r="I157" s="31"/>
      <c r="J157" s="132"/>
      <c r="K157" s="31"/>
      <c r="L157" s="31" t="s">
        <v>199</v>
      </c>
      <c r="M157" s="31" t="s">
        <v>285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33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4"/>
    </row>
    <row r="158" spans="2:61" ht="20.100000000000001" customHeight="1" x14ac:dyDescent="0.45">
      <c r="B158" s="130"/>
      <c r="C158" s="31"/>
      <c r="D158" s="31"/>
      <c r="E158" s="31"/>
      <c r="F158" s="31"/>
      <c r="G158" s="131"/>
      <c r="H158" s="132"/>
      <c r="I158" s="31"/>
      <c r="J158" s="132"/>
      <c r="K158" s="31" t="s">
        <v>287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3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4"/>
    </row>
    <row r="159" spans="2:61" ht="21" customHeight="1" x14ac:dyDescent="0.45">
      <c r="B159" s="130"/>
      <c r="C159" s="31"/>
      <c r="D159" s="31"/>
      <c r="E159" s="31"/>
      <c r="F159" s="31"/>
      <c r="G159" s="131"/>
      <c r="H159" s="135" t="s">
        <v>202</v>
      </c>
      <c r="I159" s="55"/>
      <c r="J159" s="178" t="s">
        <v>265</v>
      </c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179"/>
      <c r="AK159" s="187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8"/>
      <c r="BF159" s="188"/>
      <c r="BG159" s="188"/>
      <c r="BH159" s="188"/>
      <c r="BI159" s="189"/>
    </row>
    <row r="160" spans="2:61" ht="21" customHeight="1" x14ac:dyDescent="0.45">
      <c r="B160" s="130"/>
      <c r="C160" s="31"/>
      <c r="D160" s="31"/>
      <c r="E160" s="31"/>
      <c r="F160" s="31"/>
      <c r="G160" s="131"/>
      <c r="H160" s="132"/>
      <c r="I160" s="31"/>
      <c r="J160" s="196" t="s">
        <v>366</v>
      </c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3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5"/>
    </row>
    <row r="161" spans="2:61" ht="20.100000000000001" customHeight="1" x14ac:dyDescent="0.45">
      <c r="B161" s="130"/>
      <c r="C161" s="31"/>
      <c r="D161" s="31"/>
      <c r="E161" s="31"/>
      <c r="F161" s="31"/>
      <c r="G161" s="131"/>
      <c r="H161" s="132"/>
      <c r="I161" s="31"/>
      <c r="J161" s="132" t="s">
        <v>267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2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4"/>
    </row>
    <row r="162" spans="2:61" ht="20.100000000000001" customHeight="1" thickBot="1" x14ac:dyDescent="0.5">
      <c r="B162" s="130"/>
      <c r="C162" s="31"/>
      <c r="D162" s="31"/>
      <c r="E162" s="31"/>
      <c r="F162" s="31"/>
      <c r="G162" s="131"/>
      <c r="H162" s="135" t="s">
        <v>288</v>
      </c>
      <c r="I162" s="55"/>
      <c r="J162" s="135" t="s">
        <v>289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13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137"/>
    </row>
    <row r="163" spans="2:61" ht="17.399999999999999" customHeight="1" x14ac:dyDescent="0.45">
      <c r="B163" s="124" t="s">
        <v>290</v>
      </c>
      <c r="C163" s="125"/>
      <c r="D163" s="125"/>
      <c r="E163" s="125"/>
      <c r="F163" s="125"/>
      <c r="G163" s="126"/>
      <c r="H163" s="127" t="s">
        <v>135</v>
      </c>
      <c r="I163" s="125"/>
      <c r="J163" s="155" t="s">
        <v>151</v>
      </c>
      <c r="K163" s="156"/>
      <c r="L163" s="156"/>
      <c r="M163" s="156"/>
      <c r="N163" s="156"/>
      <c r="O163" s="156"/>
      <c r="P163" s="156"/>
      <c r="Q163" s="157"/>
      <c r="R163" s="174" t="s">
        <v>294</v>
      </c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5"/>
      <c r="AK163" s="173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6"/>
      <c r="AW163" s="176"/>
      <c r="AX163" s="176"/>
      <c r="AY163" s="176"/>
      <c r="AZ163" s="176"/>
      <c r="BA163" s="176"/>
      <c r="BB163" s="176"/>
      <c r="BC163" s="176"/>
      <c r="BD163" s="176"/>
      <c r="BE163" s="176"/>
      <c r="BF163" s="176"/>
      <c r="BG163" s="176"/>
      <c r="BH163" s="176"/>
      <c r="BI163" s="177"/>
    </row>
    <row r="164" spans="2:61" ht="20.100000000000001" customHeight="1" x14ac:dyDescent="0.45">
      <c r="B164" s="158"/>
      <c r="C164" s="31"/>
      <c r="D164" s="31"/>
      <c r="E164" s="31"/>
      <c r="F164" s="31"/>
      <c r="G164" s="131"/>
      <c r="H164" s="132"/>
      <c r="I164" s="31"/>
      <c r="J164" s="159" t="s">
        <v>152</v>
      </c>
      <c r="K164" s="52"/>
      <c r="L164" s="52"/>
      <c r="M164" s="52"/>
      <c r="N164" s="52"/>
      <c r="O164" s="52"/>
      <c r="P164" s="52"/>
      <c r="Q164" s="160"/>
      <c r="R164" s="52" t="s">
        <v>295</v>
      </c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160"/>
      <c r="AK164" s="133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4"/>
    </row>
    <row r="165" spans="2:61" ht="20.100000000000001" customHeight="1" x14ac:dyDescent="0.45">
      <c r="B165" s="158"/>
      <c r="C165" s="31"/>
      <c r="D165" s="31"/>
      <c r="E165" s="31"/>
      <c r="F165" s="31"/>
      <c r="G165" s="131"/>
      <c r="H165" s="132"/>
      <c r="I165" s="31"/>
      <c r="J165" s="159" t="s">
        <v>153</v>
      </c>
      <c r="K165" s="52"/>
      <c r="L165" s="52"/>
      <c r="M165" s="52"/>
      <c r="N165" s="52"/>
      <c r="O165" s="52"/>
      <c r="P165" s="52"/>
      <c r="Q165" s="160"/>
      <c r="R165" s="52" t="s">
        <v>296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160"/>
      <c r="AK165" s="133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4"/>
    </row>
    <row r="166" spans="2:61" ht="20.100000000000001" customHeight="1" x14ac:dyDescent="0.45">
      <c r="B166" s="158"/>
      <c r="C166" s="31"/>
      <c r="D166" s="31"/>
      <c r="E166" s="31"/>
      <c r="F166" s="31"/>
      <c r="G166" s="131"/>
      <c r="H166" s="132"/>
      <c r="I166" s="31"/>
      <c r="J166" s="159" t="s">
        <v>154</v>
      </c>
      <c r="K166" s="52"/>
      <c r="L166" s="52"/>
      <c r="M166" s="52"/>
      <c r="N166" s="52"/>
      <c r="O166" s="52"/>
      <c r="P166" s="52"/>
      <c r="Q166" s="160"/>
      <c r="R166" s="52" t="s">
        <v>297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160"/>
      <c r="AK166" s="133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4"/>
    </row>
    <row r="167" spans="2:61" ht="20.100000000000001" customHeight="1" x14ac:dyDescent="0.45">
      <c r="B167" s="158"/>
      <c r="C167" s="31"/>
      <c r="D167" s="31"/>
      <c r="E167" s="31"/>
      <c r="F167" s="31"/>
      <c r="G167" s="131"/>
      <c r="H167" s="31"/>
      <c r="I167" s="31"/>
      <c r="J167" s="159" t="s">
        <v>155</v>
      </c>
      <c r="K167" s="52"/>
      <c r="L167" s="52"/>
      <c r="M167" s="52"/>
      <c r="N167" s="52"/>
      <c r="O167" s="52"/>
      <c r="P167" s="52"/>
      <c r="Q167" s="160"/>
      <c r="R167" s="52" t="s">
        <v>298</v>
      </c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160"/>
      <c r="AK167" s="133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4"/>
    </row>
    <row r="168" spans="2:61" ht="20.100000000000001" customHeight="1" x14ac:dyDescent="0.45">
      <c r="B168" s="158"/>
      <c r="C168" s="31"/>
      <c r="D168" s="31"/>
      <c r="E168" s="31"/>
      <c r="F168" s="31"/>
      <c r="G168" s="131"/>
      <c r="H168" s="31"/>
      <c r="I168" s="31"/>
      <c r="J168" s="159" t="s">
        <v>156</v>
      </c>
      <c r="K168" s="52"/>
      <c r="L168" s="52"/>
      <c r="M168" s="52"/>
      <c r="N168" s="52"/>
      <c r="O168" s="52"/>
      <c r="P168" s="52"/>
      <c r="Q168" s="160"/>
      <c r="R168" s="52" t="s">
        <v>299</v>
      </c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160"/>
      <c r="AK168" s="133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34"/>
    </row>
    <row r="169" spans="2:61" ht="20.100000000000001" customHeight="1" x14ac:dyDescent="0.45">
      <c r="B169" s="158"/>
      <c r="C169" s="31"/>
      <c r="D169" s="31"/>
      <c r="E169" s="31"/>
      <c r="F169" s="31"/>
      <c r="G169" s="131"/>
      <c r="H169" s="31"/>
      <c r="I169" s="31"/>
      <c r="J169" s="159" t="s">
        <v>157</v>
      </c>
      <c r="K169" s="52"/>
      <c r="L169" s="52"/>
      <c r="M169" s="52"/>
      <c r="N169" s="52"/>
      <c r="O169" s="52"/>
      <c r="P169" s="52"/>
      <c r="Q169" s="160"/>
      <c r="R169" s="52" t="s">
        <v>300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160"/>
      <c r="AK169" s="133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4"/>
    </row>
    <row r="170" spans="2:61" ht="20.100000000000001" customHeight="1" x14ac:dyDescent="0.45">
      <c r="B170" s="158"/>
      <c r="C170" s="31"/>
      <c r="D170" s="31"/>
      <c r="E170" s="31"/>
      <c r="F170" s="31"/>
      <c r="G170" s="131"/>
      <c r="H170" s="31"/>
      <c r="I170" s="31"/>
      <c r="J170" s="159" t="s">
        <v>158</v>
      </c>
      <c r="K170" s="52"/>
      <c r="L170" s="52"/>
      <c r="M170" s="52"/>
      <c r="N170" s="52"/>
      <c r="O170" s="52"/>
      <c r="P170" s="52"/>
      <c r="Q170" s="160"/>
      <c r="R170" s="52" t="s">
        <v>301</v>
      </c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160"/>
      <c r="AK170" s="133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34"/>
    </row>
    <row r="171" spans="2:61" ht="20.100000000000001" customHeight="1" x14ac:dyDescent="0.45">
      <c r="B171" s="158"/>
      <c r="C171" s="31"/>
      <c r="D171" s="31"/>
      <c r="E171" s="31"/>
      <c r="F171" s="31"/>
      <c r="G171" s="131"/>
      <c r="H171" s="31"/>
      <c r="I171" s="31"/>
      <c r="J171" s="159" t="s">
        <v>159</v>
      </c>
      <c r="K171" s="52"/>
      <c r="L171" s="52"/>
      <c r="M171" s="52"/>
      <c r="N171" s="52"/>
      <c r="O171" s="52"/>
      <c r="P171" s="52"/>
      <c r="Q171" s="160"/>
      <c r="R171" s="52" t="s">
        <v>302</v>
      </c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160"/>
      <c r="AK171" s="133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4"/>
    </row>
    <row r="172" spans="2:61" ht="20.100000000000001" customHeight="1" x14ac:dyDescent="0.45">
      <c r="B172" s="158"/>
      <c r="C172" s="31"/>
      <c r="D172" s="31"/>
      <c r="E172" s="31"/>
      <c r="F172" s="31"/>
      <c r="G172" s="131"/>
      <c r="H172" s="31"/>
      <c r="I172" s="31"/>
      <c r="J172" s="159" t="s">
        <v>160</v>
      </c>
      <c r="K172" s="52"/>
      <c r="L172" s="52"/>
      <c r="M172" s="52"/>
      <c r="N172" s="52"/>
      <c r="O172" s="52"/>
      <c r="P172" s="52"/>
      <c r="Q172" s="160"/>
      <c r="R172" s="52" t="s">
        <v>303</v>
      </c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160"/>
      <c r="AK172" s="133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34"/>
    </row>
    <row r="173" spans="2:61" ht="20.100000000000001" customHeight="1" x14ac:dyDescent="0.45">
      <c r="B173" s="158"/>
      <c r="C173" s="31"/>
      <c r="D173" s="31"/>
      <c r="E173" s="31"/>
      <c r="F173" s="31"/>
      <c r="G173" s="131"/>
      <c r="H173" s="31"/>
      <c r="I173" s="31"/>
      <c r="J173" s="159" t="s">
        <v>161</v>
      </c>
      <c r="K173" s="52"/>
      <c r="L173" s="52"/>
      <c r="M173" s="52"/>
      <c r="N173" s="52"/>
      <c r="O173" s="52"/>
      <c r="P173" s="52"/>
      <c r="Q173" s="160"/>
      <c r="R173" s="52" t="s">
        <v>304</v>
      </c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160"/>
      <c r="AK173" s="133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34"/>
    </row>
    <row r="174" spans="2:61" ht="20.100000000000001" customHeight="1" x14ac:dyDescent="0.45">
      <c r="B174" s="158"/>
      <c r="C174" s="31"/>
      <c r="D174" s="31"/>
      <c r="E174" s="31"/>
      <c r="F174" s="31"/>
      <c r="G174" s="131"/>
      <c r="H174" s="31"/>
      <c r="I174" s="31"/>
      <c r="J174" s="159" t="s">
        <v>162</v>
      </c>
      <c r="K174" s="52"/>
      <c r="L174" s="52"/>
      <c r="M174" s="52"/>
      <c r="N174" s="52"/>
      <c r="O174" s="52"/>
      <c r="P174" s="52"/>
      <c r="Q174" s="160"/>
      <c r="R174" s="52" t="s">
        <v>305</v>
      </c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160"/>
      <c r="AK174" s="133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34"/>
    </row>
    <row r="175" spans="2:61" ht="20.100000000000001" customHeight="1" x14ac:dyDescent="0.45">
      <c r="B175" s="158"/>
      <c r="C175" s="31"/>
      <c r="D175" s="31"/>
      <c r="E175" s="31"/>
      <c r="F175" s="31"/>
      <c r="G175" s="131"/>
      <c r="H175" s="31"/>
      <c r="I175" s="31"/>
      <c r="J175" s="159" t="s">
        <v>163</v>
      </c>
      <c r="K175" s="52"/>
      <c r="L175" s="52"/>
      <c r="M175" s="52"/>
      <c r="N175" s="52"/>
      <c r="O175" s="52"/>
      <c r="P175" s="52"/>
      <c r="Q175" s="160"/>
      <c r="R175" s="52" t="s">
        <v>306</v>
      </c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160"/>
      <c r="AK175" s="133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34"/>
    </row>
    <row r="176" spans="2:61" ht="20.100000000000001" customHeight="1" x14ac:dyDescent="0.45">
      <c r="B176" s="158"/>
      <c r="C176" s="31"/>
      <c r="D176" s="31"/>
      <c r="E176" s="31"/>
      <c r="F176" s="31"/>
      <c r="G176" s="131"/>
      <c r="H176" s="31"/>
      <c r="I176" s="31"/>
      <c r="J176" s="159" t="s">
        <v>164</v>
      </c>
      <c r="K176" s="52"/>
      <c r="L176" s="52"/>
      <c r="M176" s="52"/>
      <c r="N176" s="52"/>
      <c r="O176" s="52"/>
      <c r="P176" s="52"/>
      <c r="Q176" s="160"/>
      <c r="R176" s="51" t="s">
        <v>307</v>
      </c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160"/>
      <c r="AK176" s="133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34"/>
    </row>
    <row r="177" spans="2:61" ht="20.100000000000001" customHeight="1" x14ac:dyDescent="0.45">
      <c r="B177" s="158"/>
      <c r="C177" s="31"/>
      <c r="D177" s="31"/>
      <c r="E177" s="31"/>
      <c r="F177" s="31"/>
      <c r="G177" s="131"/>
      <c r="H177" s="31"/>
      <c r="I177" s="31"/>
      <c r="J177" s="135" t="s">
        <v>291</v>
      </c>
      <c r="K177" s="55"/>
      <c r="L177" s="55"/>
      <c r="M177" s="55"/>
      <c r="N177" s="55"/>
      <c r="O177" s="55"/>
      <c r="P177" s="55"/>
      <c r="Q177" s="160"/>
      <c r="R177" s="54" t="s">
        <v>308</v>
      </c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133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34"/>
    </row>
    <row r="178" spans="2:61" ht="117.6" customHeight="1" x14ac:dyDescent="0.45">
      <c r="B178" s="158"/>
      <c r="C178" s="31"/>
      <c r="D178" s="31"/>
      <c r="E178" s="31"/>
      <c r="F178" s="31"/>
      <c r="G178" s="131"/>
      <c r="H178" s="31"/>
      <c r="I178" s="31"/>
      <c r="J178" s="135" t="s">
        <v>292</v>
      </c>
      <c r="K178" s="55"/>
      <c r="L178" s="55"/>
      <c r="M178" s="55"/>
      <c r="N178" s="55"/>
      <c r="O178" s="55"/>
      <c r="P178" s="55"/>
      <c r="Q178" s="186"/>
      <c r="R178" s="290" t="s">
        <v>310</v>
      </c>
      <c r="S178" s="291"/>
      <c r="T178" s="291"/>
      <c r="U178" s="291"/>
      <c r="V178" s="291"/>
      <c r="W178" s="291"/>
      <c r="X178" s="291"/>
      <c r="Y178" s="291"/>
      <c r="Z178" s="291"/>
      <c r="AA178" s="291"/>
      <c r="AB178" s="291"/>
      <c r="AC178" s="291"/>
      <c r="AD178" s="291"/>
      <c r="AE178" s="291"/>
      <c r="AF178" s="291"/>
      <c r="AG178" s="291"/>
      <c r="AH178" s="291"/>
      <c r="AI178" s="291"/>
      <c r="AJ178" s="292"/>
      <c r="AK178" s="133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4"/>
    </row>
    <row r="179" spans="2:61" ht="20.100000000000001" customHeight="1" x14ac:dyDescent="0.45">
      <c r="B179" s="158"/>
      <c r="C179" s="31"/>
      <c r="D179" s="31"/>
      <c r="E179" s="31"/>
      <c r="F179" s="31"/>
      <c r="G179" s="131"/>
      <c r="H179" s="31"/>
      <c r="I179" s="31"/>
      <c r="J179" s="201" t="s">
        <v>387</v>
      </c>
      <c r="K179" s="55"/>
      <c r="L179" s="55"/>
      <c r="M179" s="55"/>
      <c r="N179" s="55"/>
      <c r="O179" s="55"/>
      <c r="P179" s="55"/>
      <c r="Q179" s="186"/>
      <c r="R179" s="201" t="s">
        <v>385</v>
      </c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33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34"/>
    </row>
    <row r="180" spans="2:61" ht="20.100000000000001" customHeight="1" x14ac:dyDescent="0.45">
      <c r="B180" s="158"/>
      <c r="C180" s="31"/>
      <c r="D180" s="31"/>
      <c r="E180" s="31"/>
      <c r="F180" s="31"/>
      <c r="G180" s="131"/>
      <c r="H180" s="31"/>
      <c r="I180" s="31"/>
      <c r="J180" s="201" t="s">
        <v>388</v>
      </c>
      <c r="K180" s="55"/>
      <c r="L180" s="55"/>
      <c r="M180" s="55"/>
      <c r="N180" s="55"/>
      <c r="O180" s="55"/>
      <c r="P180" s="55"/>
      <c r="Q180" s="186"/>
      <c r="R180" s="201" t="s">
        <v>386</v>
      </c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33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34"/>
    </row>
    <row r="181" spans="2:61" ht="20.100000000000001" customHeight="1" x14ac:dyDescent="0.45">
      <c r="B181" s="158"/>
      <c r="C181" s="31"/>
      <c r="D181" s="31"/>
      <c r="E181" s="31"/>
      <c r="F181" s="31"/>
      <c r="G181" s="131"/>
      <c r="H181" s="31"/>
      <c r="I181" s="31"/>
      <c r="J181" s="135" t="s">
        <v>293</v>
      </c>
      <c r="K181" s="55"/>
      <c r="L181" s="55"/>
      <c r="M181" s="55"/>
      <c r="N181" s="55"/>
      <c r="O181" s="55"/>
      <c r="P181" s="52"/>
      <c r="Q181" s="160"/>
      <c r="R181" s="54" t="s">
        <v>309</v>
      </c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133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34"/>
    </row>
    <row r="182" spans="2:61" ht="20.100000000000001" customHeight="1" x14ac:dyDescent="0.45">
      <c r="B182" s="158"/>
      <c r="C182" s="31"/>
      <c r="D182" s="31"/>
      <c r="E182" s="31"/>
      <c r="F182" s="31"/>
      <c r="G182" s="131"/>
      <c r="H182" s="135" t="s">
        <v>104</v>
      </c>
      <c r="I182" s="55"/>
      <c r="J182" s="135" t="s">
        <v>311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36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37"/>
    </row>
    <row r="183" spans="2:61" ht="20.100000000000001" customHeight="1" x14ac:dyDescent="0.45">
      <c r="B183" s="158"/>
      <c r="C183" s="31"/>
      <c r="D183" s="31"/>
      <c r="E183" s="31"/>
      <c r="F183" s="31"/>
      <c r="G183" s="131"/>
      <c r="H183" s="132"/>
      <c r="I183" s="31"/>
      <c r="J183" s="199" t="s">
        <v>381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133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4"/>
    </row>
    <row r="184" spans="2:61" ht="20.100000000000001" customHeight="1" x14ac:dyDescent="0.45">
      <c r="B184" s="158"/>
      <c r="C184" s="31"/>
      <c r="D184" s="31"/>
      <c r="E184" s="31"/>
      <c r="F184" s="31"/>
      <c r="G184" s="131"/>
      <c r="H184" s="138"/>
      <c r="I184" s="139"/>
      <c r="J184" s="200" t="s">
        <v>382</v>
      </c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40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  <c r="BC184" s="139"/>
      <c r="BD184" s="139"/>
      <c r="BE184" s="139"/>
      <c r="BF184" s="139"/>
      <c r="BG184" s="139"/>
      <c r="BH184" s="139"/>
      <c r="BI184" s="141"/>
    </row>
    <row r="185" spans="2:61" ht="20.100000000000001" customHeight="1" x14ac:dyDescent="0.45">
      <c r="B185" s="158"/>
      <c r="C185" s="31"/>
      <c r="D185" s="31"/>
      <c r="E185" s="31"/>
      <c r="F185" s="31"/>
      <c r="G185" s="131"/>
      <c r="H185" s="135" t="s">
        <v>379</v>
      </c>
      <c r="I185" s="55"/>
      <c r="J185" s="201" t="s">
        <v>188</v>
      </c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136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137"/>
    </row>
    <row r="186" spans="2:61" ht="20.100000000000001" customHeight="1" x14ac:dyDescent="0.45">
      <c r="B186" s="158"/>
      <c r="C186" s="31"/>
      <c r="D186" s="31"/>
      <c r="E186" s="31"/>
      <c r="F186" s="31"/>
      <c r="G186" s="131"/>
      <c r="H186" s="132"/>
      <c r="I186" s="31"/>
      <c r="J186" s="199"/>
      <c r="K186" s="203" t="s">
        <v>377</v>
      </c>
      <c r="L186" s="203"/>
      <c r="M186" s="203"/>
      <c r="N186" s="203"/>
      <c r="O186" s="203"/>
      <c r="P186" s="203"/>
      <c r="Q186" s="203"/>
      <c r="R186" s="203"/>
      <c r="S186" s="203"/>
      <c r="T186" s="203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133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34"/>
    </row>
    <row r="187" spans="2:61" ht="20.100000000000001" customHeight="1" x14ac:dyDescent="0.45">
      <c r="B187" s="158"/>
      <c r="C187" s="31"/>
      <c r="D187" s="31"/>
      <c r="E187" s="31"/>
      <c r="F187" s="31"/>
      <c r="G187" s="131"/>
      <c r="H187" s="132"/>
      <c r="I187" s="31"/>
      <c r="J187" s="199"/>
      <c r="K187" s="203"/>
      <c r="L187" s="203"/>
      <c r="M187" s="203" t="s">
        <v>383</v>
      </c>
      <c r="N187" s="203"/>
      <c r="O187" s="203"/>
      <c r="P187" s="203"/>
      <c r="Q187" s="203"/>
      <c r="R187" s="203"/>
      <c r="S187" s="203"/>
      <c r="T187" s="203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133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34"/>
    </row>
    <row r="188" spans="2:61" ht="20.100000000000001" customHeight="1" x14ac:dyDescent="0.45">
      <c r="B188" s="158"/>
      <c r="C188" s="31"/>
      <c r="D188" s="31"/>
      <c r="E188" s="31"/>
      <c r="F188" s="31"/>
      <c r="G188" s="131"/>
      <c r="H188" s="132"/>
      <c r="I188" s="31"/>
      <c r="J188" s="199" t="s">
        <v>380</v>
      </c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133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34"/>
    </row>
    <row r="189" spans="2:61" ht="20.100000000000001" customHeight="1" x14ac:dyDescent="0.45">
      <c r="B189" s="158"/>
      <c r="C189" s="31"/>
      <c r="D189" s="31"/>
      <c r="E189" s="31"/>
      <c r="F189" s="31"/>
      <c r="G189" s="131"/>
      <c r="H189" s="132"/>
      <c r="I189" s="31"/>
      <c r="J189" s="199"/>
      <c r="K189" s="203" t="s">
        <v>378</v>
      </c>
      <c r="L189" s="203"/>
      <c r="M189" s="203"/>
      <c r="N189" s="203"/>
      <c r="O189" s="203"/>
      <c r="P189" s="203"/>
      <c r="Q189" s="203"/>
      <c r="R189" s="203"/>
      <c r="S189" s="203"/>
      <c r="T189" s="203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133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34"/>
    </row>
    <row r="190" spans="2:61" ht="20.100000000000001" customHeight="1" x14ac:dyDescent="0.45">
      <c r="B190" s="158"/>
      <c r="C190" s="31"/>
      <c r="D190" s="31"/>
      <c r="E190" s="31"/>
      <c r="F190" s="31"/>
      <c r="G190" s="131"/>
      <c r="H190" s="138"/>
      <c r="I190" s="139"/>
      <c r="J190" s="200"/>
      <c r="K190" s="204"/>
      <c r="L190" s="204"/>
      <c r="M190" s="204" t="s">
        <v>384</v>
      </c>
      <c r="N190" s="204"/>
      <c r="O190" s="204"/>
      <c r="P190" s="204"/>
      <c r="Q190" s="204"/>
      <c r="R190" s="204"/>
      <c r="S190" s="204"/>
      <c r="T190" s="204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40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  <c r="BC190" s="139"/>
      <c r="BD190" s="139"/>
      <c r="BE190" s="139"/>
      <c r="BF190" s="139"/>
      <c r="BG190" s="139"/>
      <c r="BH190" s="139"/>
      <c r="BI190" s="141"/>
    </row>
    <row r="191" spans="2:61" ht="20.100000000000001" customHeight="1" x14ac:dyDescent="0.45">
      <c r="B191" s="130"/>
      <c r="C191" s="31"/>
      <c r="D191" s="31"/>
      <c r="E191" s="31"/>
      <c r="F191" s="31"/>
      <c r="G191" s="131"/>
      <c r="H191" s="135" t="s">
        <v>106</v>
      </c>
      <c r="I191" s="55"/>
      <c r="J191" s="135" t="s">
        <v>282</v>
      </c>
      <c r="K191" s="55" t="s">
        <v>283</v>
      </c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36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137"/>
    </row>
    <row r="192" spans="2:61" ht="20.100000000000001" customHeight="1" x14ac:dyDescent="0.45">
      <c r="B192" s="130"/>
      <c r="C192" s="31"/>
      <c r="D192" s="31"/>
      <c r="E192" s="31"/>
      <c r="F192" s="31"/>
      <c r="G192" s="131"/>
      <c r="H192" s="132"/>
      <c r="I192" s="31"/>
      <c r="J192" s="132"/>
      <c r="K192" s="31"/>
      <c r="L192" s="31"/>
      <c r="M192" s="31" t="s">
        <v>284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133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34"/>
    </row>
    <row r="193" spans="2:61" ht="20.100000000000001" customHeight="1" thickBot="1" x14ac:dyDescent="0.5">
      <c r="B193" s="130"/>
      <c r="C193" s="31"/>
      <c r="D193" s="31"/>
      <c r="E193" s="31"/>
      <c r="F193" s="31"/>
      <c r="G193" s="131"/>
      <c r="H193" s="132"/>
      <c r="I193" s="31"/>
      <c r="J193" s="132"/>
      <c r="K193" s="31"/>
      <c r="L193" s="31" t="s">
        <v>199</v>
      </c>
      <c r="M193" s="31" t="s">
        <v>285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133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34"/>
    </row>
    <row r="194" spans="2:61" ht="21" customHeight="1" x14ac:dyDescent="0.45">
      <c r="B194" s="130"/>
      <c r="C194" s="31"/>
      <c r="D194" s="31"/>
      <c r="E194" s="31"/>
      <c r="F194" s="31"/>
      <c r="G194" s="131"/>
      <c r="H194" s="135" t="s">
        <v>312</v>
      </c>
      <c r="I194" s="55"/>
      <c r="J194" s="178" t="s">
        <v>264</v>
      </c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179"/>
      <c r="AK194" s="173"/>
      <c r="AL194" s="176"/>
      <c r="AM194" s="176"/>
      <c r="AN194" s="176"/>
      <c r="AO194" s="176"/>
      <c r="AP194" s="176"/>
      <c r="AQ194" s="176"/>
      <c r="AR194" s="176"/>
      <c r="AS194" s="176"/>
      <c r="AT194" s="176"/>
      <c r="AU194" s="176"/>
      <c r="AV194" s="176"/>
      <c r="AW194" s="176"/>
      <c r="AX194" s="176"/>
      <c r="AY194" s="176"/>
      <c r="AZ194" s="176"/>
      <c r="BA194" s="176"/>
      <c r="BB194" s="176"/>
      <c r="BC194" s="176"/>
      <c r="BD194" s="176"/>
      <c r="BE194" s="176"/>
      <c r="BF194" s="176"/>
      <c r="BG194" s="176"/>
      <c r="BH194" s="176"/>
      <c r="BI194" s="177"/>
    </row>
    <row r="195" spans="2:61" ht="20.100000000000001" customHeight="1" x14ac:dyDescent="0.45">
      <c r="B195" s="130"/>
      <c r="C195" s="31"/>
      <c r="D195" s="31"/>
      <c r="E195" s="31"/>
      <c r="F195" s="31"/>
      <c r="G195" s="131"/>
      <c r="H195" s="132"/>
      <c r="I195" s="31"/>
      <c r="J195" s="132" t="s">
        <v>266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132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4"/>
    </row>
    <row r="196" spans="2:61" ht="20.100000000000001" customHeight="1" x14ac:dyDescent="0.45">
      <c r="B196" s="130"/>
      <c r="C196" s="31"/>
      <c r="D196" s="31"/>
      <c r="E196" s="31"/>
      <c r="F196" s="31"/>
      <c r="G196" s="131"/>
      <c r="H196" s="132"/>
      <c r="I196" s="31"/>
      <c r="J196" s="132" t="s">
        <v>313</v>
      </c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132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4"/>
    </row>
    <row r="197" spans="2:61" ht="20.100000000000001" customHeight="1" x14ac:dyDescent="0.45">
      <c r="B197" s="130"/>
      <c r="C197" s="31"/>
      <c r="D197" s="31"/>
      <c r="E197" s="31"/>
      <c r="F197" s="31"/>
      <c r="G197" s="131"/>
      <c r="H197" s="132"/>
      <c r="I197" s="31"/>
      <c r="J197" s="132" t="s">
        <v>314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132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4"/>
    </row>
    <row r="198" spans="2:61" ht="20.100000000000001" customHeight="1" x14ac:dyDescent="0.45">
      <c r="B198" s="130"/>
      <c r="C198" s="31"/>
      <c r="D198" s="31"/>
      <c r="E198" s="31"/>
      <c r="F198" s="31"/>
      <c r="G198" s="131"/>
      <c r="H198" s="132"/>
      <c r="I198" s="31"/>
      <c r="J198" s="132" t="s">
        <v>315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132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34"/>
    </row>
    <row r="199" spans="2:61" ht="20.100000000000001" customHeight="1" x14ac:dyDescent="0.45">
      <c r="B199" s="130"/>
      <c r="C199" s="31"/>
      <c r="D199" s="31"/>
      <c r="E199" s="31"/>
      <c r="F199" s="31"/>
      <c r="G199" s="131"/>
      <c r="H199" s="132"/>
      <c r="I199" s="31"/>
      <c r="J199" s="132" t="s">
        <v>271</v>
      </c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132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34"/>
    </row>
    <row r="200" spans="2:61" ht="20.100000000000001" customHeight="1" x14ac:dyDescent="0.45">
      <c r="B200" s="130"/>
      <c r="C200" s="31"/>
      <c r="D200" s="31"/>
      <c r="E200" s="31"/>
      <c r="F200" s="31"/>
      <c r="G200" s="131"/>
      <c r="H200" s="132"/>
      <c r="I200" s="31"/>
      <c r="J200" s="132" t="s">
        <v>316</v>
      </c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132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4"/>
    </row>
    <row r="201" spans="2:61" ht="20.100000000000001" customHeight="1" x14ac:dyDescent="0.45">
      <c r="B201" s="130"/>
      <c r="C201" s="31"/>
      <c r="D201" s="31"/>
      <c r="E201" s="31"/>
      <c r="F201" s="31"/>
      <c r="G201" s="131"/>
      <c r="H201" s="132"/>
      <c r="I201" s="31"/>
      <c r="J201" s="132" t="s">
        <v>273</v>
      </c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132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34"/>
    </row>
    <row r="202" spans="2:61" ht="20.100000000000001" customHeight="1" thickBot="1" x14ac:dyDescent="0.5">
      <c r="B202" s="130"/>
      <c r="C202" s="31"/>
      <c r="D202" s="31"/>
      <c r="E202" s="31"/>
      <c r="F202" s="31"/>
      <c r="G202" s="131"/>
      <c r="H202" s="132"/>
      <c r="I202" s="31"/>
      <c r="J202" s="132" t="s">
        <v>269</v>
      </c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132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34"/>
    </row>
    <row r="203" spans="2:61" ht="5.0999999999999996" customHeight="1" x14ac:dyDescent="0.45"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  <c r="BI203" s="125"/>
    </row>
  </sheetData>
  <mergeCells count="32"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6:G6"/>
    <mergeCell ref="R6:AJ6"/>
    <mergeCell ref="AK6:BI6"/>
    <mergeCell ref="R178:AJ178"/>
    <mergeCell ref="J49:AJ49"/>
    <mergeCell ref="AK49:BI49"/>
    <mergeCell ref="B71:G71"/>
    <mergeCell ref="AK71:BI71"/>
    <mergeCell ref="R87:AJ87"/>
    <mergeCell ref="AK87:BI87"/>
    <mergeCell ref="J130:AJ130"/>
    <mergeCell ref="AK130:BI130"/>
  </mergeCells>
  <phoneticPr fontId="2"/>
  <pageMargins left="0.70866141732283472" right="0.70866141732283472" top="0.74803149606299213" bottom="0.74803149606299213" header="0.31496062992125984" footer="0.31496062992125984"/>
  <pageSetup paperSize="8" scale="71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6"/>
  <sheetViews>
    <sheetView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09765625" defaultRowHeight="13.2" x14ac:dyDescent="0.45"/>
  <cols>
    <col min="1" max="2" width="8.19921875" style="89" customWidth="1"/>
    <col min="3" max="3" width="32.59765625" style="89" customWidth="1"/>
    <col min="4" max="4" width="11.19921875" style="89" hidden="1" customWidth="1"/>
    <col min="5" max="5" width="6.09765625" style="91" hidden="1" customWidth="1"/>
    <col min="6" max="6" width="7.09765625" style="92" hidden="1" customWidth="1"/>
    <col min="7" max="7" width="11.796875" style="91" customWidth="1"/>
    <col min="8" max="8" width="10.69921875" style="91" customWidth="1"/>
    <col min="9" max="11" width="8.3984375" style="122" customWidth="1"/>
    <col min="12" max="12" width="1.09765625" style="89" customWidth="1"/>
    <col min="13" max="258" width="8.09765625" style="89"/>
    <col min="259" max="260" width="8.19921875" style="89" customWidth="1"/>
    <col min="261" max="261" width="32.59765625" style="89" customWidth="1"/>
    <col min="262" max="264" width="0" style="89" hidden="1" customWidth="1"/>
    <col min="265" max="265" width="11.796875" style="89" customWidth="1"/>
    <col min="266" max="266" width="10.69921875" style="89" customWidth="1"/>
    <col min="267" max="267" width="8.3984375" style="89" customWidth="1"/>
    <col min="268" max="268" width="1.09765625" style="89" customWidth="1"/>
    <col min="269" max="514" width="8.09765625" style="89"/>
    <col min="515" max="516" width="8.19921875" style="89" customWidth="1"/>
    <col min="517" max="517" width="32.59765625" style="89" customWidth="1"/>
    <col min="518" max="520" width="0" style="89" hidden="1" customWidth="1"/>
    <col min="521" max="521" width="11.796875" style="89" customWidth="1"/>
    <col min="522" max="522" width="10.69921875" style="89" customWidth="1"/>
    <col min="523" max="523" width="8.3984375" style="89" customWidth="1"/>
    <col min="524" max="524" width="1.09765625" style="89" customWidth="1"/>
    <col min="525" max="770" width="8.09765625" style="89"/>
    <col min="771" max="772" width="8.19921875" style="89" customWidth="1"/>
    <col min="773" max="773" width="32.59765625" style="89" customWidth="1"/>
    <col min="774" max="776" width="0" style="89" hidden="1" customWidth="1"/>
    <col min="777" max="777" width="11.796875" style="89" customWidth="1"/>
    <col min="778" max="778" width="10.69921875" style="89" customWidth="1"/>
    <col min="779" max="779" width="8.3984375" style="89" customWidth="1"/>
    <col min="780" max="780" width="1.09765625" style="89" customWidth="1"/>
    <col min="781" max="1026" width="8.09765625" style="89"/>
    <col min="1027" max="1028" width="8.19921875" style="89" customWidth="1"/>
    <col min="1029" max="1029" width="32.59765625" style="89" customWidth="1"/>
    <col min="1030" max="1032" width="0" style="89" hidden="1" customWidth="1"/>
    <col min="1033" max="1033" width="11.796875" style="89" customWidth="1"/>
    <col min="1034" max="1034" width="10.69921875" style="89" customWidth="1"/>
    <col min="1035" max="1035" width="8.3984375" style="89" customWidth="1"/>
    <col min="1036" max="1036" width="1.09765625" style="89" customWidth="1"/>
    <col min="1037" max="1282" width="8.09765625" style="89"/>
    <col min="1283" max="1284" width="8.19921875" style="89" customWidth="1"/>
    <col min="1285" max="1285" width="32.59765625" style="89" customWidth="1"/>
    <col min="1286" max="1288" width="0" style="89" hidden="1" customWidth="1"/>
    <col min="1289" max="1289" width="11.796875" style="89" customWidth="1"/>
    <col min="1290" max="1290" width="10.69921875" style="89" customWidth="1"/>
    <col min="1291" max="1291" width="8.3984375" style="89" customWidth="1"/>
    <col min="1292" max="1292" width="1.09765625" style="89" customWidth="1"/>
    <col min="1293" max="1538" width="8.09765625" style="89"/>
    <col min="1539" max="1540" width="8.19921875" style="89" customWidth="1"/>
    <col min="1541" max="1541" width="32.59765625" style="89" customWidth="1"/>
    <col min="1542" max="1544" width="0" style="89" hidden="1" customWidth="1"/>
    <col min="1545" max="1545" width="11.796875" style="89" customWidth="1"/>
    <col min="1546" max="1546" width="10.69921875" style="89" customWidth="1"/>
    <col min="1547" max="1547" width="8.3984375" style="89" customWidth="1"/>
    <col min="1548" max="1548" width="1.09765625" style="89" customWidth="1"/>
    <col min="1549" max="1794" width="8.09765625" style="89"/>
    <col min="1795" max="1796" width="8.19921875" style="89" customWidth="1"/>
    <col min="1797" max="1797" width="32.59765625" style="89" customWidth="1"/>
    <col min="1798" max="1800" width="0" style="89" hidden="1" customWidth="1"/>
    <col min="1801" max="1801" width="11.796875" style="89" customWidth="1"/>
    <col min="1802" max="1802" width="10.69921875" style="89" customWidth="1"/>
    <col min="1803" max="1803" width="8.3984375" style="89" customWidth="1"/>
    <col min="1804" max="1804" width="1.09765625" style="89" customWidth="1"/>
    <col min="1805" max="2050" width="8.09765625" style="89"/>
    <col min="2051" max="2052" width="8.19921875" style="89" customWidth="1"/>
    <col min="2053" max="2053" width="32.59765625" style="89" customWidth="1"/>
    <col min="2054" max="2056" width="0" style="89" hidden="1" customWidth="1"/>
    <col min="2057" max="2057" width="11.796875" style="89" customWidth="1"/>
    <col min="2058" max="2058" width="10.69921875" style="89" customWidth="1"/>
    <col min="2059" max="2059" width="8.3984375" style="89" customWidth="1"/>
    <col min="2060" max="2060" width="1.09765625" style="89" customWidth="1"/>
    <col min="2061" max="2306" width="8.09765625" style="89"/>
    <col min="2307" max="2308" width="8.19921875" style="89" customWidth="1"/>
    <col min="2309" max="2309" width="32.59765625" style="89" customWidth="1"/>
    <col min="2310" max="2312" width="0" style="89" hidden="1" customWidth="1"/>
    <col min="2313" max="2313" width="11.796875" style="89" customWidth="1"/>
    <col min="2314" max="2314" width="10.69921875" style="89" customWidth="1"/>
    <col min="2315" max="2315" width="8.3984375" style="89" customWidth="1"/>
    <col min="2316" max="2316" width="1.09765625" style="89" customWidth="1"/>
    <col min="2317" max="2562" width="8.09765625" style="89"/>
    <col min="2563" max="2564" width="8.19921875" style="89" customWidth="1"/>
    <col min="2565" max="2565" width="32.59765625" style="89" customWidth="1"/>
    <col min="2566" max="2568" width="0" style="89" hidden="1" customWidth="1"/>
    <col min="2569" max="2569" width="11.796875" style="89" customWidth="1"/>
    <col min="2570" max="2570" width="10.69921875" style="89" customWidth="1"/>
    <col min="2571" max="2571" width="8.3984375" style="89" customWidth="1"/>
    <col min="2572" max="2572" width="1.09765625" style="89" customWidth="1"/>
    <col min="2573" max="2818" width="8.09765625" style="89"/>
    <col min="2819" max="2820" width="8.19921875" style="89" customWidth="1"/>
    <col min="2821" max="2821" width="32.59765625" style="89" customWidth="1"/>
    <col min="2822" max="2824" width="0" style="89" hidden="1" customWidth="1"/>
    <col min="2825" max="2825" width="11.796875" style="89" customWidth="1"/>
    <col min="2826" max="2826" width="10.69921875" style="89" customWidth="1"/>
    <col min="2827" max="2827" width="8.3984375" style="89" customWidth="1"/>
    <col min="2828" max="2828" width="1.09765625" style="89" customWidth="1"/>
    <col min="2829" max="3074" width="8.09765625" style="89"/>
    <col min="3075" max="3076" width="8.19921875" style="89" customWidth="1"/>
    <col min="3077" max="3077" width="32.59765625" style="89" customWidth="1"/>
    <col min="3078" max="3080" width="0" style="89" hidden="1" customWidth="1"/>
    <col min="3081" max="3081" width="11.796875" style="89" customWidth="1"/>
    <col min="3082" max="3082" width="10.69921875" style="89" customWidth="1"/>
    <col min="3083" max="3083" width="8.3984375" style="89" customWidth="1"/>
    <col min="3084" max="3084" width="1.09765625" style="89" customWidth="1"/>
    <col min="3085" max="3330" width="8.09765625" style="89"/>
    <col min="3331" max="3332" width="8.19921875" style="89" customWidth="1"/>
    <col min="3333" max="3333" width="32.59765625" style="89" customWidth="1"/>
    <col min="3334" max="3336" width="0" style="89" hidden="1" customWidth="1"/>
    <col min="3337" max="3337" width="11.796875" style="89" customWidth="1"/>
    <col min="3338" max="3338" width="10.69921875" style="89" customWidth="1"/>
    <col min="3339" max="3339" width="8.3984375" style="89" customWidth="1"/>
    <col min="3340" max="3340" width="1.09765625" style="89" customWidth="1"/>
    <col min="3341" max="3586" width="8.09765625" style="89"/>
    <col min="3587" max="3588" width="8.19921875" style="89" customWidth="1"/>
    <col min="3589" max="3589" width="32.59765625" style="89" customWidth="1"/>
    <col min="3590" max="3592" width="0" style="89" hidden="1" customWidth="1"/>
    <col min="3593" max="3593" width="11.796875" style="89" customWidth="1"/>
    <col min="3594" max="3594" width="10.69921875" style="89" customWidth="1"/>
    <col min="3595" max="3595" width="8.3984375" style="89" customWidth="1"/>
    <col min="3596" max="3596" width="1.09765625" style="89" customWidth="1"/>
    <col min="3597" max="3842" width="8.09765625" style="89"/>
    <col min="3843" max="3844" width="8.19921875" style="89" customWidth="1"/>
    <col min="3845" max="3845" width="32.59765625" style="89" customWidth="1"/>
    <col min="3846" max="3848" width="0" style="89" hidden="1" customWidth="1"/>
    <col min="3849" max="3849" width="11.796875" style="89" customWidth="1"/>
    <col min="3850" max="3850" width="10.69921875" style="89" customWidth="1"/>
    <col min="3851" max="3851" width="8.3984375" style="89" customWidth="1"/>
    <col min="3852" max="3852" width="1.09765625" style="89" customWidth="1"/>
    <col min="3853" max="4098" width="8.09765625" style="89"/>
    <col min="4099" max="4100" width="8.19921875" style="89" customWidth="1"/>
    <col min="4101" max="4101" width="32.59765625" style="89" customWidth="1"/>
    <col min="4102" max="4104" width="0" style="89" hidden="1" customWidth="1"/>
    <col min="4105" max="4105" width="11.796875" style="89" customWidth="1"/>
    <col min="4106" max="4106" width="10.69921875" style="89" customWidth="1"/>
    <col min="4107" max="4107" width="8.3984375" style="89" customWidth="1"/>
    <col min="4108" max="4108" width="1.09765625" style="89" customWidth="1"/>
    <col min="4109" max="4354" width="8.09765625" style="89"/>
    <col min="4355" max="4356" width="8.19921875" style="89" customWidth="1"/>
    <col min="4357" max="4357" width="32.59765625" style="89" customWidth="1"/>
    <col min="4358" max="4360" width="0" style="89" hidden="1" customWidth="1"/>
    <col min="4361" max="4361" width="11.796875" style="89" customWidth="1"/>
    <col min="4362" max="4362" width="10.69921875" style="89" customWidth="1"/>
    <col min="4363" max="4363" width="8.3984375" style="89" customWidth="1"/>
    <col min="4364" max="4364" width="1.09765625" style="89" customWidth="1"/>
    <col min="4365" max="4610" width="8.09765625" style="89"/>
    <col min="4611" max="4612" width="8.19921875" style="89" customWidth="1"/>
    <col min="4613" max="4613" width="32.59765625" style="89" customWidth="1"/>
    <col min="4614" max="4616" width="0" style="89" hidden="1" customWidth="1"/>
    <col min="4617" max="4617" width="11.796875" style="89" customWidth="1"/>
    <col min="4618" max="4618" width="10.69921875" style="89" customWidth="1"/>
    <col min="4619" max="4619" width="8.3984375" style="89" customWidth="1"/>
    <col min="4620" max="4620" width="1.09765625" style="89" customWidth="1"/>
    <col min="4621" max="4866" width="8.09765625" style="89"/>
    <col min="4867" max="4868" width="8.19921875" style="89" customWidth="1"/>
    <col min="4869" max="4869" width="32.59765625" style="89" customWidth="1"/>
    <col min="4870" max="4872" width="0" style="89" hidden="1" customWidth="1"/>
    <col min="4873" max="4873" width="11.796875" style="89" customWidth="1"/>
    <col min="4874" max="4874" width="10.69921875" style="89" customWidth="1"/>
    <col min="4875" max="4875" width="8.3984375" style="89" customWidth="1"/>
    <col min="4876" max="4876" width="1.09765625" style="89" customWidth="1"/>
    <col min="4877" max="5122" width="8.09765625" style="89"/>
    <col min="5123" max="5124" width="8.19921875" style="89" customWidth="1"/>
    <col min="5125" max="5125" width="32.59765625" style="89" customWidth="1"/>
    <col min="5126" max="5128" width="0" style="89" hidden="1" customWidth="1"/>
    <col min="5129" max="5129" width="11.796875" style="89" customWidth="1"/>
    <col min="5130" max="5130" width="10.69921875" style="89" customWidth="1"/>
    <col min="5131" max="5131" width="8.3984375" style="89" customWidth="1"/>
    <col min="5132" max="5132" width="1.09765625" style="89" customWidth="1"/>
    <col min="5133" max="5378" width="8.09765625" style="89"/>
    <col min="5379" max="5380" width="8.19921875" style="89" customWidth="1"/>
    <col min="5381" max="5381" width="32.59765625" style="89" customWidth="1"/>
    <col min="5382" max="5384" width="0" style="89" hidden="1" customWidth="1"/>
    <col min="5385" max="5385" width="11.796875" style="89" customWidth="1"/>
    <col min="5386" max="5386" width="10.69921875" style="89" customWidth="1"/>
    <col min="5387" max="5387" width="8.3984375" style="89" customWidth="1"/>
    <col min="5388" max="5388" width="1.09765625" style="89" customWidth="1"/>
    <col min="5389" max="5634" width="8.09765625" style="89"/>
    <col min="5635" max="5636" width="8.19921875" style="89" customWidth="1"/>
    <col min="5637" max="5637" width="32.59765625" style="89" customWidth="1"/>
    <col min="5638" max="5640" width="0" style="89" hidden="1" customWidth="1"/>
    <col min="5641" max="5641" width="11.796875" style="89" customWidth="1"/>
    <col min="5642" max="5642" width="10.69921875" style="89" customWidth="1"/>
    <col min="5643" max="5643" width="8.3984375" style="89" customWidth="1"/>
    <col min="5644" max="5644" width="1.09765625" style="89" customWidth="1"/>
    <col min="5645" max="5890" width="8.09765625" style="89"/>
    <col min="5891" max="5892" width="8.19921875" style="89" customWidth="1"/>
    <col min="5893" max="5893" width="32.59765625" style="89" customWidth="1"/>
    <col min="5894" max="5896" width="0" style="89" hidden="1" customWidth="1"/>
    <col min="5897" max="5897" width="11.796875" style="89" customWidth="1"/>
    <col min="5898" max="5898" width="10.69921875" style="89" customWidth="1"/>
    <col min="5899" max="5899" width="8.3984375" style="89" customWidth="1"/>
    <col min="5900" max="5900" width="1.09765625" style="89" customWidth="1"/>
    <col min="5901" max="6146" width="8.09765625" style="89"/>
    <col min="6147" max="6148" width="8.19921875" style="89" customWidth="1"/>
    <col min="6149" max="6149" width="32.59765625" style="89" customWidth="1"/>
    <col min="6150" max="6152" width="0" style="89" hidden="1" customWidth="1"/>
    <col min="6153" max="6153" width="11.796875" style="89" customWidth="1"/>
    <col min="6154" max="6154" width="10.69921875" style="89" customWidth="1"/>
    <col min="6155" max="6155" width="8.3984375" style="89" customWidth="1"/>
    <col min="6156" max="6156" width="1.09765625" style="89" customWidth="1"/>
    <col min="6157" max="6402" width="8.09765625" style="89"/>
    <col min="6403" max="6404" width="8.19921875" style="89" customWidth="1"/>
    <col min="6405" max="6405" width="32.59765625" style="89" customWidth="1"/>
    <col min="6406" max="6408" width="0" style="89" hidden="1" customWidth="1"/>
    <col min="6409" max="6409" width="11.796875" style="89" customWidth="1"/>
    <col min="6410" max="6410" width="10.69921875" style="89" customWidth="1"/>
    <col min="6411" max="6411" width="8.3984375" style="89" customWidth="1"/>
    <col min="6412" max="6412" width="1.09765625" style="89" customWidth="1"/>
    <col min="6413" max="6658" width="8.09765625" style="89"/>
    <col min="6659" max="6660" width="8.19921875" style="89" customWidth="1"/>
    <col min="6661" max="6661" width="32.59765625" style="89" customWidth="1"/>
    <col min="6662" max="6664" width="0" style="89" hidden="1" customWidth="1"/>
    <col min="6665" max="6665" width="11.796875" style="89" customWidth="1"/>
    <col min="6666" max="6666" width="10.69921875" style="89" customWidth="1"/>
    <col min="6667" max="6667" width="8.3984375" style="89" customWidth="1"/>
    <col min="6668" max="6668" width="1.09765625" style="89" customWidth="1"/>
    <col min="6669" max="6914" width="8.09765625" style="89"/>
    <col min="6915" max="6916" width="8.19921875" style="89" customWidth="1"/>
    <col min="6917" max="6917" width="32.59765625" style="89" customWidth="1"/>
    <col min="6918" max="6920" width="0" style="89" hidden="1" customWidth="1"/>
    <col min="6921" max="6921" width="11.796875" style="89" customWidth="1"/>
    <col min="6922" max="6922" width="10.69921875" style="89" customWidth="1"/>
    <col min="6923" max="6923" width="8.3984375" style="89" customWidth="1"/>
    <col min="6924" max="6924" width="1.09765625" style="89" customWidth="1"/>
    <col min="6925" max="7170" width="8.09765625" style="89"/>
    <col min="7171" max="7172" width="8.19921875" style="89" customWidth="1"/>
    <col min="7173" max="7173" width="32.59765625" style="89" customWidth="1"/>
    <col min="7174" max="7176" width="0" style="89" hidden="1" customWidth="1"/>
    <col min="7177" max="7177" width="11.796875" style="89" customWidth="1"/>
    <col min="7178" max="7178" width="10.69921875" style="89" customWidth="1"/>
    <col min="7179" max="7179" width="8.3984375" style="89" customWidth="1"/>
    <col min="7180" max="7180" width="1.09765625" style="89" customWidth="1"/>
    <col min="7181" max="7426" width="8.09765625" style="89"/>
    <col min="7427" max="7428" width="8.19921875" style="89" customWidth="1"/>
    <col min="7429" max="7429" width="32.59765625" style="89" customWidth="1"/>
    <col min="7430" max="7432" width="0" style="89" hidden="1" customWidth="1"/>
    <col min="7433" max="7433" width="11.796875" style="89" customWidth="1"/>
    <col min="7434" max="7434" width="10.69921875" style="89" customWidth="1"/>
    <col min="7435" max="7435" width="8.3984375" style="89" customWidth="1"/>
    <col min="7436" max="7436" width="1.09765625" style="89" customWidth="1"/>
    <col min="7437" max="7682" width="8.09765625" style="89"/>
    <col min="7683" max="7684" width="8.19921875" style="89" customWidth="1"/>
    <col min="7685" max="7685" width="32.59765625" style="89" customWidth="1"/>
    <col min="7686" max="7688" width="0" style="89" hidden="1" customWidth="1"/>
    <col min="7689" max="7689" width="11.796875" style="89" customWidth="1"/>
    <col min="7690" max="7690" width="10.69921875" style="89" customWidth="1"/>
    <col min="7691" max="7691" width="8.3984375" style="89" customWidth="1"/>
    <col min="7692" max="7692" width="1.09765625" style="89" customWidth="1"/>
    <col min="7693" max="7938" width="8.09765625" style="89"/>
    <col min="7939" max="7940" width="8.19921875" style="89" customWidth="1"/>
    <col min="7941" max="7941" width="32.59765625" style="89" customWidth="1"/>
    <col min="7942" max="7944" width="0" style="89" hidden="1" customWidth="1"/>
    <col min="7945" max="7945" width="11.796875" style="89" customWidth="1"/>
    <col min="7946" max="7946" width="10.69921875" style="89" customWidth="1"/>
    <col min="7947" max="7947" width="8.3984375" style="89" customWidth="1"/>
    <col min="7948" max="7948" width="1.09765625" style="89" customWidth="1"/>
    <col min="7949" max="8194" width="8.09765625" style="89"/>
    <col min="8195" max="8196" width="8.19921875" style="89" customWidth="1"/>
    <col min="8197" max="8197" width="32.59765625" style="89" customWidth="1"/>
    <col min="8198" max="8200" width="0" style="89" hidden="1" customWidth="1"/>
    <col min="8201" max="8201" width="11.796875" style="89" customWidth="1"/>
    <col min="8202" max="8202" width="10.69921875" style="89" customWidth="1"/>
    <col min="8203" max="8203" width="8.3984375" style="89" customWidth="1"/>
    <col min="8204" max="8204" width="1.09765625" style="89" customWidth="1"/>
    <col min="8205" max="8450" width="8.09765625" style="89"/>
    <col min="8451" max="8452" width="8.19921875" style="89" customWidth="1"/>
    <col min="8453" max="8453" width="32.59765625" style="89" customWidth="1"/>
    <col min="8454" max="8456" width="0" style="89" hidden="1" customWidth="1"/>
    <col min="8457" max="8457" width="11.796875" style="89" customWidth="1"/>
    <col min="8458" max="8458" width="10.69921875" style="89" customWidth="1"/>
    <col min="8459" max="8459" width="8.3984375" style="89" customWidth="1"/>
    <col min="8460" max="8460" width="1.09765625" style="89" customWidth="1"/>
    <col min="8461" max="8706" width="8.09765625" style="89"/>
    <col min="8707" max="8708" width="8.19921875" style="89" customWidth="1"/>
    <col min="8709" max="8709" width="32.59765625" style="89" customWidth="1"/>
    <col min="8710" max="8712" width="0" style="89" hidden="1" customWidth="1"/>
    <col min="8713" max="8713" width="11.796875" style="89" customWidth="1"/>
    <col min="8714" max="8714" width="10.69921875" style="89" customWidth="1"/>
    <col min="8715" max="8715" width="8.3984375" style="89" customWidth="1"/>
    <col min="8716" max="8716" width="1.09765625" style="89" customWidth="1"/>
    <col min="8717" max="8962" width="8.09765625" style="89"/>
    <col min="8963" max="8964" width="8.19921875" style="89" customWidth="1"/>
    <col min="8965" max="8965" width="32.59765625" style="89" customWidth="1"/>
    <col min="8966" max="8968" width="0" style="89" hidden="1" customWidth="1"/>
    <col min="8969" max="8969" width="11.796875" style="89" customWidth="1"/>
    <col min="8970" max="8970" width="10.69921875" style="89" customWidth="1"/>
    <col min="8971" max="8971" width="8.3984375" style="89" customWidth="1"/>
    <col min="8972" max="8972" width="1.09765625" style="89" customWidth="1"/>
    <col min="8973" max="9218" width="8.09765625" style="89"/>
    <col min="9219" max="9220" width="8.19921875" style="89" customWidth="1"/>
    <col min="9221" max="9221" width="32.59765625" style="89" customWidth="1"/>
    <col min="9222" max="9224" width="0" style="89" hidden="1" customWidth="1"/>
    <col min="9225" max="9225" width="11.796875" style="89" customWidth="1"/>
    <col min="9226" max="9226" width="10.69921875" style="89" customWidth="1"/>
    <col min="9227" max="9227" width="8.3984375" style="89" customWidth="1"/>
    <col min="9228" max="9228" width="1.09765625" style="89" customWidth="1"/>
    <col min="9229" max="9474" width="8.09765625" style="89"/>
    <col min="9475" max="9476" width="8.19921875" style="89" customWidth="1"/>
    <col min="9477" max="9477" width="32.59765625" style="89" customWidth="1"/>
    <col min="9478" max="9480" width="0" style="89" hidden="1" customWidth="1"/>
    <col min="9481" max="9481" width="11.796875" style="89" customWidth="1"/>
    <col min="9482" max="9482" width="10.69921875" style="89" customWidth="1"/>
    <col min="9483" max="9483" width="8.3984375" style="89" customWidth="1"/>
    <col min="9484" max="9484" width="1.09765625" style="89" customWidth="1"/>
    <col min="9485" max="9730" width="8.09765625" style="89"/>
    <col min="9731" max="9732" width="8.19921875" style="89" customWidth="1"/>
    <col min="9733" max="9733" width="32.59765625" style="89" customWidth="1"/>
    <col min="9734" max="9736" width="0" style="89" hidden="1" customWidth="1"/>
    <col min="9737" max="9737" width="11.796875" style="89" customWidth="1"/>
    <col min="9738" max="9738" width="10.69921875" style="89" customWidth="1"/>
    <col min="9739" max="9739" width="8.3984375" style="89" customWidth="1"/>
    <col min="9740" max="9740" width="1.09765625" style="89" customWidth="1"/>
    <col min="9741" max="9986" width="8.09765625" style="89"/>
    <col min="9987" max="9988" width="8.19921875" style="89" customWidth="1"/>
    <col min="9989" max="9989" width="32.59765625" style="89" customWidth="1"/>
    <col min="9990" max="9992" width="0" style="89" hidden="1" customWidth="1"/>
    <col min="9993" max="9993" width="11.796875" style="89" customWidth="1"/>
    <col min="9994" max="9994" width="10.69921875" style="89" customWidth="1"/>
    <col min="9995" max="9995" width="8.3984375" style="89" customWidth="1"/>
    <col min="9996" max="9996" width="1.09765625" style="89" customWidth="1"/>
    <col min="9997" max="10242" width="8.09765625" style="89"/>
    <col min="10243" max="10244" width="8.19921875" style="89" customWidth="1"/>
    <col min="10245" max="10245" width="32.59765625" style="89" customWidth="1"/>
    <col min="10246" max="10248" width="0" style="89" hidden="1" customWidth="1"/>
    <col min="10249" max="10249" width="11.796875" style="89" customWidth="1"/>
    <col min="10250" max="10250" width="10.69921875" style="89" customWidth="1"/>
    <col min="10251" max="10251" width="8.3984375" style="89" customWidth="1"/>
    <col min="10252" max="10252" width="1.09765625" style="89" customWidth="1"/>
    <col min="10253" max="10498" width="8.09765625" style="89"/>
    <col min="10499" max="10500" width="8.19921875" style="89" customWidth="1"/>
    <col min="10501" max="10501" width="32.59765625" style="89" customWidth="1"/>
    <col min="10502" max="10504" width="0" style="89" hidden="1" customWidth="1"/>
    <col min="10505" max="10505" width="11.796875" style="89" customWidth="1"/>
    <col min="10506" max="10506" width="10.69921875" style="89" customWidth="1"/>
    <col min="10507" max="10507" width="8.3984375" style="89" customWidth="1"/>
    <col min="10508" max="10508" width="1.09765625" style="89" customWidth="1"/>
    <col min="10509" max="10754" width="8.09765625" style="89"/>
    <col min="10755" max="10756" width="8.19921875" style="89" customWidth="1"/>
    <col min="10757" max="10757" width="32.59765625" style="89" customWidth="1"/>
    <col min="10758" max="10760" width="0" style="89" hidden="1" customWidth="1"/>
    <col min="10761" max="10761" width="11.796875" style="89" customWidth="1"/>
    <col min="10762" max="10762" width="10.69921875" style="89" customWidth="1"/>
    <col min="10763" max="10763" width="8.3984375" style="89" customWidth="1"/>
    <col min="10764" max="10764" width="1.09765625" style="89" customWidth="1"/>
    <col min="10765" max="11010" width="8.09765625" style="89"/>
    <col min="11011" max="11012" width="8.19921875" style="89" customWidth="1"/>
    <col min="11013" max="11013" width="32.59765625" style="89" customWidth="1"/>
    <col min="11014" max="11016" width="0" style="89" hidden="1" customWidth="1"/>
    <col min="11017" max="11017" width="11.796875" style="89" customWidth="1"/>
    <col min="11018" max="11018" width="10.69921875" style="89" customWidth="1"/>
    <col min="11019" max="11019" width="8.3984375" style="89" customWidth="1"/>
    <col min="11020" max="11020" width="1.09765625" style="89" customWidth="1"/>
    <col min="11021" max="11266" width="8.09765625" style="89"/>
    <col min="11267" max="11268" width="8.19921875" style="89" customWidth="1"/>
    <col min="11269" max="11269" width="32.59765625" style="89" customWidth="1"/>
    <col min="11270" max="11272" width="0" style="89" hidden="1" customWidth="1"/>
    <col min="11273" max="11273" width="11.796875" style="89" customWidth="1"/>
    <col min="11274" max="11274" width="10.69921875" style="89" customWidth="1"/>
    <col min="11275" max="11275" width="8.3984375" style="89" customWidth="1"/>
    <col min="11276" max="11276" width="1.09765625" style="89" customWidth="1"/>
    <col min="11277" max="11522" width="8.09765625" style="89"/>
    <col min="11523" max="11524" width="8.19921875" style="89" customWidth="1"/>
    <col min="11525" max="11525" width="32.59765625" style="89" customWidth="1"/>
    <col min="11526" max="11528" width="0" style="89" hidden="1" customWidth="1"/>
    <col min="11529" max="11529" width="11.796875" style="89" customWidth="1"/>
    <col min="11530" max="11530" width="10.69921875" style="89" customWidth="1"/>
    <col min="11531" max="11531" width="8.3984375" style="89" customWidth="1"/>
    <col min="11532" max="11532" width="1.09765625" style="89" customWidth="1"/>
    <col min="11533" max="11778" width="8.09765625" style="89"/>
    <col min="11779" max="11780" width="8.19921875" style="89" customWidth="1"/>
    <col min="11781" max="11781" width="32.59765625" style="89" customWidth="1"/>
    <col min="11782" max="11784" width="0" style="89" hidden="1" customWidth="1"/>
    <col min="11785" max="11785" width="11.796875" style="89" customWidth="1"/>
    <col min="11786" max="11786" width="10.69921875" style="89" customWidth="1"/>
    <col min="11787" max="11787" width="8.3984375" style="89" customWidth="1"/>
    <col min="11788" max="11788" width="1.09765625" style="89" customWidth="1"/>
    <col min="11789" max="12034" width="8.09765625" style="89"/>
    <col min="12035" max="12036" width="8.19921875" style="89" customWidth="1"/>
    <col min="12037" max="12037" width="32.59765625" style="89" customWidth="1"/>
    <col min="12038" max="12040" width="0" style="89" hidden="1" customWidth="1"/>
    <col min="12041" max="12041" width="11.796875" style="89" customWidth="1"/>
    <col min="12042" max="12042" width="10.69921875" style="89" customWidth="1"/>
    <col min="12043" max="12043" width="8.3984375" style="89" customWidth="1"/>
    <col min="12044" max="12044" width="1.09765625" style="89" customWidth="1"/>
    <col min="12045" max="12290" width="8.09765625" style="89"/>
    <col min="12291" max="12292" width="8.19921875" style="89" customWidth="1"/>
    <col min="12293" max="12293" width="32.59765625" style="89" customWidth="1"/>
    <col min="12294" max="12296" width="0" style="89" hidden="1" customWidth="1"/>
    <col min="12297" max="12297" width="11.796875" style="89" customWidth="1"/>
    <col min="12298" max="12298" width="10.69921875" style="89" customWidth="1"/>
    <col min="12299" max="12299" width="8.3984375" style="89" customWidth="1"/>
    <col min="12300" max="12300" width="1.09765625" style="89" customWidth="1"/>
    <col min="12301" max="12546" width="8.09765625" style="89"/>
    <col min="12547" max="12548" width="8.19921875" style="89" customWidth="1"/>
    <col min="12549" max="12549" width="32.59765625" style="89" customWidth="1"/>
    <col min="12550" max="12552" width="0" style="89" hidden="1" customWidth="1"/>
    <col min="12553" max="12553" width="11.796875" style="89" customWidth="1"/>
    <col min="12554" max="12554" width="10.69921875" style="89" customWidth="1"/>
    <col min="12555" max="12555" width="8.3984375" style="89" customWidth="1"/>
    <col min="12556" max="12556" width="1.09765625" style="89" customWidth="1"/>
    <col min="12557" max="12802" width="8.09765625" style="89"/>
    <col min="12803" max="12804" width="8.19921875" style="89" customWidth="1"/>
    <col min="12805" max="12805" width="32.59765625" style="89" customWidth="1"/>
    <col min="12806" max="12808" width="0" style="89" hidden="1" customWidth="1"/>
    <col min="12809" max="12809" width="11.796875" style="89" customWidth="1"/>
    <col min="12810" max="12810" width="10.69921875" style="89" customWidth="1"/>
    <col min="12811" max="12811" width="8.3984375" style="89" customWidth="1"/>
    <col min="12812" max="12812" width="1.09765625" style="89" customWidth="1"/>
    <col min="12813" max="13058" width="8.09765625" style="89"/>
    <col min="13059" max="13060" width="8.19921875" style="89" customWidth="1"/>
    <col min="13061" max="13061" width="32.59765625" style="89" customWidth="1"/>
    <col min="13062" max="13064" width="0" style="89" hidden="1" customWidth="1"/>
    <col min="13065" max="13065" width="11.796875" style="89" customWidth="1"/>
    <col min="13066" max="13066" width="10.69921875" style="89" customWidth="1"/>
    <col min="13067" max="13067" width="8.3984375" style="89" customWidth="1"/>
    <col min="13068" max="13068" width="1.09765625" style="89" customWidth="1"/>
    <col min="13069" max="13314" width="8.09765625" style="89"/>
    <col min="13315" max="13316" width="8.19921875" style="89" customWidth="1"/>
    <col min="13317" max="13317" width="32.59765625" style="89" customWidth="1"/>
    <col min="13318" max="13320" width="0" style="89" hidden="1" customWidth="1"/>
    <col min="13321" max="13321" width="11.796875" style="89" customWidth="1"/>
    <col min="13322" max="13322" width="10.69921875" style="89" customWidth="1"/>
    <col min="13323" max="13323" width="8.3984375" style="89" customWidth="1"/>
    <col min="13324" max="13324" width="1.09765625" style="89" customWidth="1"/>
    <col min="13325" max="13570" width="8.09765625" style="89"/>
    <col min="13571" max="13572" width="8.19921875" style="89" customWidth="1"/>
    <col min="13573" max="13573" width="32.59765625" style="89" customWidth="1"/>
    <col min="13574" max="13576" width="0" style="89" hidden="1" customWidth="1"/>
    <col min="13577" max="13577" width="11.796875" style="89" customWidth="1"/>
    <col min="13578" max="13578" width="10.69921875" style="89" customWidth="1"/>
    <col min="13579" max="13579" width="8.3984375" style="89" customWidth="1"/>
    <col min="13580" max="13580" width="1.09765625" style="89" customWidth="1"/>
    <col min="13581" max="13826" width="8.09765625" style="89"/>
    <col min="13827" max="13828" width="8.19921875" style="89" customWidth="1"/>
    <col min="13829" max="13829" width="32.59765625" style="89" customWidth="1"/>
    <col min="13830" max="13832" width="0" style="89" hidden="1" customWidth="1"/>
    <col min="13833" max="13833" width="11.796875" style="89" customWidth="1"/>
    <col min="13834" max="13834" width="10.69921875" style="89" customWidth="1"/>
    <col min="13835" max="13835" width="8.3984375" style="89" customWidth="1"/>
    <col min="13836" max="13836" width="1.09765625" style="89" customWidth="1"/>
    <col min="13837" max="14082" width="8.09765625" style="89"/>
    <col min="14083" max="14084" width="8.19921875" style="89" customWidth="1"/>
    <col min="14085" max="14085" width="32.59765625" style="89" customWidth="1"/>
    <col min="14086" max="14088" width="0" style="89" hidden="1" customWidth="1"/>
    <col min="14089" max="14089" width="11.796875" style="89" customWidth="1"/>
    <col min="14090" max="14090" width="10.69921875" style="89" customWidth="1"/>
    <col min="14091" max="14091" width="8.3984375" style="89" customWidth="1"/>
    <col min="14092" max="14092" width="1.09765625" style="89" customWidth="1"/>
    <col min="14093" max="14338" width="8.09765625" style="89"/>
    <col min="14339" max="14340" width="8.19921875" style="89" customWidth="1"/>
    <col min="14341" max="14341" width="32.59765625" style="89" customWidth="1"/>
    <col min="14342" max="14344" width="0" style="89" hidden="1" customWidth="1"/>
    <col min="14345" max="14345" width="11.796875" style="89" customWidth="1"/>
    <col min="14346" max="14346" width="10.69921875" style="89" customWidth="1"/>
    <col min="14347" max="14347" width="8.3984375" style="89" customWidth="1"/>
    <col min="14348" max="14348" width="1.09765625" style="89" customWidth="1"/>
    <col min="14349" max="14594" width="8.09765625" style="89"/>
    <col min="14595" max="14596" width="8.19921875" style="89" customWidth="1"/>
    <col min="14597" max="14597" width="32.59765625" style="89" customWidth="1"/>
    <col min="14598" max="14600" width="0" style="89" hidden="1" customWidth="1"/>
    <col min="14601" max="14601" width="11.796875" style="89" customWidth="1"/>
    <col min="14602" max="14602" width="10.69921875" style="89" customWidth="1"/>
    <col min="14603" max="14603" width="8.3984375" style="89" customWidth="1"/>
    <col min="14604" max="14604" width="1.09765625" style="89" customWidth="1"/>
    <col min="14605" max="14850" width="8.09765625" style="89"/>
    <col min="14851" max="14852" width="8.19921875" style="89" customWidth="1"/>
    <col min="14853" max="14853" width="32.59765625" style="89" customWidth="1"/>
    <col min="14854" max="14856" width="0" style="89" hidden="1" customWidth="1"/>
    <col min="14857" max="14857" width="11.796875" style="89" customWidth="1"/>
    <col min="14858" max="14858" width="10.69921875" style="89" customWidth="1"/>
    <col min="14859" max="14859" width="8.3984375" style="89" customWidth="1"/>
    <col min="14860" max="14860" width="1.09765625" style="89" customWidth="1"/>
    <col min="14861" max="15106" width="8.09765625" style="89"/>
    <col min="15107" max="15108" width="8.19921875" style="89" customWidth="1"/>
    <col min="15109" max="15109" width="32.59765625" style="89" customWidth="1"/>
    <col min="15110" max="15112" width="0" style="89" hidden="1" customWidth="1"/>
    <col min="15113" max="15113" width="11.796875" style="89" customWidth="1"/>
    <col min="15114" max="15114" width="10.69921875" style="89" customWidth="1"/>
    <col min="15115" max="15115" width="8.3984375" style="89" customWidth="1"/>
    <col min="15116" max="15116" width="1.09765625" style="89" customWidth="1"/>
    <col min="15117" max="15362" width="8.09765625" style="89"/>
    <col min="15363" max="15364" width="8.19921875" style="89" customWidth="1"/>
    <col min="15365" max="15365" width="32.59765625" style="89" customWidth="1"/>
    <col min="15366" max="15368" width="0" style="89" hidden="1" customWidth="1"/>
    <col min="15369" max="15369" width="11.796875" style="89" customWidth="1"/>
    <col min="15370" max="15370" width="10.69921875" style="89" customWidth="1"/>
    <col min="15371" max="15371" width="8.3984375" style="89" customWidth="1"/>
    <col min="15372" max="15372" width="1.09765625" style="89" customWidth="1"/>
    <col min="15373" max="15618" width="8.09765625" style="89"/>
    <col min="15619" max="15620" width="8.19921875" style="89" customWidth="1"/>
    <col min="15621" max="15621" width="32.59765625" style="89" customWidth="1"/>
    <col min="15622" max="15624" width="0" style="89" hidden="1" customWidth="1"/>
    <col min="15625" max="15625" width="11.796875" style="89" customWidth="1"/>
    <col min="15626" max="15626" width="10.69921875" style="89" customWidth="1"/>
    <col min="15627" max="15627" width="8.3984375" style="89" customWidth="1"/>
    <col min="15628" max="15628" width="1.09765625" style="89" customWidth="1"/>
    <col min="15629" max="15874" width="8.09765625" style="89"/>
    <col min="15875" max="15876" width="8.19921875" style="89" customWidth="1"/>
    <col min="15877" max="15877" width="32.59765625" style="89" customWidth="1"/>
    <col min="15878" max="15880" width="0" style="89" hidden="1" customWidth="1"/>
    <col min="15881" max="15881" width="11.796875" style="89" customWidth="1"/>
    <col min="15882" max="15882" width="10.69921875" style="89" customWidth="1"/>
    <col min="15883" max="15883" width="8.3984375" style="89" customWidth="1"/>
    <col min="15884" max="15884" width="1.09765625" style="89" customWidth="1"/>
    <col min="15885" max="16130" width="8.09765625" style="89"/>
    <col min="16131" max="16132" width="8.19921875" style="89" customWidth="1"/>
    <col min="16133" max="16133" width="32.59765625" style="89" customWidth="1"/>
    <col min="16134" max="16136" width="0" style="89" hidden="1" customWidth="1"/>
    <col min="16137" max="16137" width="11.796875" style="89" customWidth="1"/>
    <col min="16138" max="16138" width="10.69921875" style="89" customWidth="1"/>
    <col min="16139" max="16139" width="8.3984375" style="89" customWidth="1"/>
    <col min="16140" max="16140" width="1.09765625" style="89" customWidth="1"/>
    <col min="16141" max="16384" width="8.09765625" style="89"/>
  </cols>
  <sheetData>
    <row r="1" spans="1:15" ht="39.9" customHeight="1" thickBot="1" x14ac:dyDescent="0.25">
      <c r="C1" s="90" t="s">
        <v>57</v>
      </c>
      <c r="D1" s="90"/>
      <c r="G1" s="93" t="s">
        <v>58</v>
      </c>
      <c r="H1" s="311">
        <v>41366</v>
      </c>
      <c r="I1" s="312"/>
      <c r="J1" s="163"/>
      <c r="K1" s="163"/>
      <c r="L1" s="94"/>
    </row>
    <row r="2" spans="1:15" ht="24.75" customHeight="1" thickBot="1" x14ac:dyDescent="0.5">
      <c r="A2" s="95" t="s">
        <v>59</v>
      </c>
      <c r="B2" s="96" t="s">
        <v>60</v>
      </c>
      <c r="C2" s="96" t="s">
        <v>61</v>
      </c>
      <c r="D2" s="96" t="s">
        <v>62</v>
      </c>
      <c r="E2" s="97" t="s">
        <v>63</v>
      </c>
      <c r="F2" s="97" t="s">
        <v>64</v>
      </c>
      <c r="G2" s="97" t="s">
        <v>65</v>
      </c>
      <c r="H2" s="98" t="s">
        <v>66</v>
      </c>
      <c r="I2" s="168" t="s">
        <v>67</v>
      </c>
      <c r="J2" s="164" t="s">
        <v>142</v>
      </c>
      <c r="K2" s="99" t="s">
        <v>143</v>
      </c>
      <c r="L2" s="100"/>
      <c r="M2" s="100"/>
      <c r="N2" s="100"/>
      <c r="O2" s="123"/>
    </row>
    <row r="3" spans="1:15" ht="24.75" customHeight="1" thickBot="1" x14ac:dyDescent="0.5">
      <c r="A3" s="101"/>
      <c r="B3" s="102"/>
      <c r="C3" s="102" t="s">
        <v>68</v>
      </c>
      <c r="D3" s="102"/>
      <c r="E3" s="103"/>
      <c r="F3" s="103"/>
      <c r="G3" s="104">
        <f>SUMIF(B4:B5,"&lt;&gt;合計",G4:G5)</f>
        <v>0</v>
      </c>
      <c r="H3" s="105">
        <f>SUMIF(B4:B5,"&lt;&gt;合計",H4:H5)</f>
        <v>0</v>
      </c>
      <c r="I3" s="169" t="str">
        <f>IF(ISERROR(H3/G3),"",H3/G3)</f>
        <v/>
      </c>
      <c r="J3" s="165"/>
      <c r="K3" s="106"/>
    </row>
    <row r="4" spans="1:15" ht="24.75" customHeight="1" thickTop="1" x14ac:dyDescent="0.45">
      <c r="A4" s="107"/>
      <c r="B4" s="108"/>
      <c r="C4" s="108"/>
      <c r="D4" s="109"/>
      <c r="E4" s="110"/>
      <c r="F4" s="111"/>
      <c r="G4" s="112"/>
      <c r="H4" s="112"/>
      <c r="I4" s="170" t="str">
        <f>IF(ISERROR(H4/G4),"",H4/G4)</f>
        <v/>
      </c>
      <c r="J4" s="166"/>
      <c r="K4" s="113"/>
      <c r="L4" s="100"/>
      <c r="M4" s="100"/>
      <c r="N4" s="100"/>
    </row>
    <row r="5" spans="1:15" ht="24.75" customHeight="1" thickBot="1" x14ac:dyDescent="0.5">
      <c r="A5" s="114"/>
      <c r="B5" s="115"/>
      <c r="C5" s="115"/>
      <c r="D5" s="116"/>
      <c r="E5" s="117"/>
      <c r="F5" s="118"/>
      <c r="G5" s="119"/>
      <c r="H5" s="120"/>
      <c r="I5" s="171" t="str">
        <f>IF(ISERROR(H5/G5),"",H5/G5)</f>
        <v/>
      </c>
      <c r="J5" s="167"/>
      <c r="K5" s="121"/>
    </row>
    <row r="6" spans="1:15" ht="12.75" customHeight="1" x14ac:dyDescent="0.45"/>
  </sheetData>
  <mergeCells count="1">
    <mergeCell ref="H1:I1"/>
  </mergeCells>
  <phoneticPr fontId="2"/>
  <conditionalFormatting sqref="H4:H5">
    <cfRule type="expression" dxfId="5" priority="5" stopIfTrue="1">
      <formula>#REF! = "原価"</formula>
    </cfRule>
  </conditionalFormatting>
  <conditionalFormatting sqref="I4:I5">
    <cfRule type="cellIs" dxfId="4" priority="6" stopIfTrue="1" operator="greaterThanOrEqual">
      <formula>0.83</formula>
    </cfRule>
  </conditionalFormatting>
  <conditionalFormatting sqref="I3">
    <cfRule type="cellIs" dxfId="3" priority="4" stopIfTrue="1" operator="greaterThanOrEqual">
      <formula>0.9</formula>
    </cfRule>
  </conditionalFormatting>
  <conditionalFormatting sqref="J4:J5">
    <cfRule type="expression" dxfId="2" priority="2" stopIfTrue="1">
      <formula>#REF! = "原価"</formula>
    </cfRule>
  </conditionalFormatting>
  <conditionalFormatting sqref="K4:K5">
    <cfRule type="cellIs" dxfId="1" priority="3" stopIfTrue="1" operator="greaterThanOrEqual">
      <formula>0.83</formula>
    </cfRule>
  </conditionalFormatting>
  <conditionalFormatting sqref="K3">
    <cfRule type="cellIs" dxfId="0" priority="1" stopIfTrue="1" operator="greaterThanOrEqual">
      <formula>0.9</formula>
    </cfRule>
  </conditionalFormatting>
  <pageMargins left="0.78740157480314998" right="0" top="0.23622047244094499" bottom="0.43307086614173201" header="0.23622047244094499" footer="0"/>
  <pageSetup paperSize="9" scale="86" orientation="portrait" horizontalDpi="300" verticalDpi="300" r:id="rId1"/>
  <headerFooter alignWithMargins="0">
    <oddHeader>&amp;R&amp;F</oddHeader>
    <oddFooter>&amp;L&amp;A&amp;C㈱三和商研　&amp;P/&amp;N&amp;R©2024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22</vt:i4>
      </vt:variant>
    </vt:vector>
  </HeadingPairs>
  <TitlesOfParts>
    <vt:vector size="33" baseType="lpstr">
      <vt:lpstr>変更履歴</vt:lpstr>
      <vt:lpstr>概要</vt:lpstr>
      <vt:lpstr>帳票レイアウト</vt:lpstr>
      <vt:lpstr>項目一覧</vt:lpstr>
      <vt:lpstr>処理詳細_個別集計</vt:lpstr>
      <vt:lpstr>処理詳細_書き方</vt:lpstr>
      <vt:lpstr>処理詳細_物件集計</vt:lpstr>
      <vt:lpstr>確認事項</vt:lpstr>
      <vt:lpstr>別紙_テンプレート</vt:lpstr>
      <vt:lpstr>別紙_印刷レイアウト</vt:lpstr>
      <vt:lpstr>参照</vt:lpstr>
      <vt:lpstr>別紙_テンプレート!_FilterDatabase</vt:lpstr>
      <vt:lpstr>CoreCells</vt:lpstr>
      <vt:lpstr>概要!Print_Area</vt:lpstr>
      <vt:lpstr>項目一覧!Print_Area</vt:lpstr>
      <vt:lpstr>処理詳細_個別集計!Print_Area</vt:lpstr>
      <vt:lpstr>処理詳細_書き方!Print_Area</vt:lpstr>
      <vt:lpstr>処理詳細_物件集計!Print_Area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処理詳細_個別集計!Print_Titles</vt:lpstr>
      <vt:lpstr>処理詳細_書き方!Print_Titles</vt:lpstr>
      <vt:lpstr>処理詳細_物件集計!Print_Titles</vt:lpstr>
      <vt:lpstr>帳票レイアウト!Print_Titles</vt:lpstr>
      <vt:lpstr>別紙_テンプレート!Print_Titles</vt:lpstr>
      <vt:lpstr>変更履歴!Print_Titles</vt:lpstr>
      <vt:lpstr>タイトル</vt:lpstr>
      <vt:lpstr>チーム名</vt:lpstr>
      <vt:lpstr>原価_見出し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2024-10-16T06:44:43Z</cp:lastPrinted>
  <dcterms:created xsi:type="dcterms:W3CDTF">2021-04-12T04:47:05Z</dcterms:created>
  <dcterms:modified xsi:type="dcterms:W3CDTF">2025-05-24T05:35:51Z</dcterms:modified>
</cp:coreProperties>
</file>