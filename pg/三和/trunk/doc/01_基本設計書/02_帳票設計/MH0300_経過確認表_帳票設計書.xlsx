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処理詳細_書き方" sheetId="20" state="hidden" r:id="rId4"/>
    <sheet name="項目一覧" sheetId="3" r:id="rId5"/>
    <sheet name="処理詳細" sheetId="19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_xlnm._FilterDatabase" localSheetId="7">別紙_テンプレート!$A$2:$M$2</definedName>
    <definedName name="CoreCells">別紙_テンプレート!$A$3:$M$3</definedName>
    <definedName name="_xlnm.Print_Area" localSheetId="1">概要!$A$1:$BN$31</definedName>
    <definedName name="_xlnm.Print_Area" localSheetId="4">項目一覧!$A$1:$BX$52</definedName>
    <definedName name="_xlnm.Print_Area" localSheetId="5">処理詳細!$A$1:$BR$77</definedName>
    <definedName name="_xlnm.Print_Area" localSheetId="3">処理詳細_書き方!$A$1:$BR$33</definedName>
    <definedName name="_xlnm.Print_Area" localSheetId="2">帳票レイアウト!$A$1:$BN$48</definedName>
    <definedName name="_xlnm.Print_Area" localSheetId="7">別紙_テンプレート!$A$1:$M$4</definedName>
    <definedName name="_xlnm.Print_Area" localSheetId="0">変更履歴!$A$1:$BN$49</definedName>
    <definedName name="_xlnm.Print_Titles" localSheetId="1">概要!$1:$5</definedName>
    <definedName name="_xlnm.Print_Titles" localSheetId="4">項目一覧!$1:$5</definedName>
    <definedName name="_xlnm.Print_Titles" localSheetId="5">処理詳細!$1:$5</definedName>
    <definedName name="_xlnm.Print_Titles" localSheetId="3">処理詳細_書き方!$1:$5</definedName>
    <definedName name="_xlnm.Print_Titles" localSheetId="2">帳票レイアウト!$1:$5</definedName>
    <definedName name="_xlnm.Print_Titles" localSheetId="7">別紙_テンプレート!$1:$2</definedName>
    <definedName name="_xlnm.Print_Titles" localSheetId="0">変更履歴!$1:$5</definedName>
    <definedName name="タイトル">別紙_テンプレート!$E$1</definedName>
    <definedName name="チーム名">別紙_テンプレート!$F$1</definedName>
    <definedName name="原価_見出し">別紙_テンプレート!#REF!</definedName>
    <definedName name="作成日">別紙_テンプレート!$L$1</definedName>
    <definedName name="施工仕入金額">別紙_テンプレート!#REF!</definedName>
    <definedName name="施工売上金額">別紙_テンプレート!#REF!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<sst xmlns="http://schemas.openxmlformats.org/spreadsheetml/2006/main" count="425" uniqueCount="302">
  <si>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</si>
  <si>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</si>
  <si>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</si>
  <si>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</si>
  <si>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</si>
  <si>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</si>
  <si>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</si>
  <si>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</si>
  <si>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</si>
  <si>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</si>
  <si>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</si>
  <si>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</si>
  <si>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</si>
  <si>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</si>
  <si>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</si>
  <si>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</si>
  <si>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</si>
  <si>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</si>
  <si>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</si>
  <si>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</si>
  <si>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</si>
  <si>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</si>
  <si>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</si>
  <si>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</si>
  <si>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</si>
  <si>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</si>
  <si>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</si>
  <si>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</si>
  <si>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</si>
  <si>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</si>
  <si>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</si>
  <si>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</si>
  <si>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</si>
  <si>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</si>
  <si>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</si>
  <si>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</si>
  <si>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</si>
  <si>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</si>
  <si>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</si>
  <si>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</si>
  <si>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</si>
  <si>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</si>
  <si>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</si>
  <si>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</si>
  <si>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</si>
  <si>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</si>
  <si>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</si>
  <si>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</si>
  <si>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</si>
  <si>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</si>
  <si>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</si>
  <si>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</si>
  <si>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</si>
  <si>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経過確認表</t>
    <rPh sb="0" eb="2">
      <t>ケイカ</t>
    </rPh>
    <rPh sb="2" eb="4">
      <t>カクニン</t>
    </rPh>
    <rPh sb="4" eb="5">
      <t>オモテ</t>
    </rPh>
    <phoneticPr fontId="11"/>
  </si>
  <si>
    <t>見積番号</t>
    <rPh sb="0" eb="2">
      <t>ミツモリ</t>
    </rPh>
    <rPh sb="2" eb="4">
      <t>バンゴウ</t>
    </rPh>
    <phoneticPr fontId="11"/>
  </si>
  <si>
    <t>物件種別</t>
    <rPh sb="0" eb="2">
      <t>ブッケン</t>
    </rPh>
    <rPh sb="2" eb="4">
      <t>シュベツ</t>
    </rPh>
    <phoneticPr fontId="11"/>
  </si>
  <si>
    <t>得意先CD</t>
    <phoneticPr fontId="11"/>
  </si>
  <si>
    <t>納入先CD</t>
    <phoneticPr fontId="11"/>
  </si>
  <si>
    <t>見積件名</t>
    <rPh sb="0" eb="2">
      <t>ミツモリ</t>
    </rPh>
    <rPh sb="2" eb="4">
      <t>ケンメイ</t>
    </rPh>
    <phoneticPr fontId="11"/>
  </si>
  <si>
    <t>見積金額</t>
    <rPh sb="0" eb="2">
      <t>ミツモリ</t>
    </rPh>
    <rPh sb="2" eb="3">
      <t>キン</t>
    </rPh>
    <rPh sb="3" eb="4">
      <t>ガク</t>
    </rPh>
    <phoneticPr fontId="11"/>
  </si>
  <si>
    <t>Wリース区分</t>
    <rPh sb="4" eb="6">
      <t>クブン</t>
    </rPh>
    <phoneticPr fontId="11"/>
  </si>
  <si>
    <t>W物件区分</t>
    <phoneticPr fontId="11"/>
  </si>
  <si>
    <t>完了日</t>
    <rPh sb="0" eb="3">
      <t>カンリョウビ</t>
    </rPh>
    <phoneticPr fontId="11"/>
  </si>
  <si>
    <t>請求発行日</t>
    <rPh sb="0" eb="2">
      <t>セイキュウ</t>
    </rPh>
    <rPh sb="2" eb="5">
      <t>ハッコウビ</t>
    </rPh>
    <phoneticPr fontId="11"/>
  </si>
  <si>
    <t>請求予定月</t>
    <rPh sb="0" eb="2">
      <t>セイキュウ</t>
    </rPh>
    <rPh sb="2" eb="4">
      <t>ヨテイ</t>
    </rPh>
    <rPh sb="4" eb="5">
      <t>ヅキ</t>
    </rPh>
    <phoneticPr fontId="11"/>
  </si>
  <si>
    <t>備考１</t>
    <rPh sb="0" eb="2">
      <t>ビコウ</t>
    </rPh>
    <phoneticPr fontId="11"/>
  </si>
  <si>
    <t>備考２</t>
    <phoneticPr fontId="11"/>
  </si>
  <si>
    <t>Temp経過確認表.xlsx</t>
    <rPh sb="4" eb="9">
      <t>ケイカカクニンヒョウ</t>
    </rPh>
    <phoneticPr fontId="2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</si>
  <si>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</si>
  <si>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</si>
  <si>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</si>
  <si>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</si>
  <si>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</si>
  <si>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-</t>
    <phoneticPr fontId="2"/>
  </si>
  <si>
    <t>作成日</t>
    <rPh sb="0" eb="3">
      <t>サクセイビ</t>
    </rPh>
    <phoneticPr fontId="1"/>
  </si>
  <si>
    <t>半角</t>
    <rPh sb="0" eb="2">
      <t>ハンカク</t>
    </rPh>
    <phoneticPr fontId="1"/>
  </si>
  <si>
    <t>現在日付</t>
    <rPh sb="0" eb="4">
      <t>ゲンザイヒヅケ</t>
    </rPh>
    <phoneticPr fontId="1"/>
  </si>
  <si>
    <t>"作成日：　" + 現在日付</t>
    <rPh sb="1" eb="4">
      <t>サクセイビ</t>
    </rPh>
    <rPh sb="10" eb="14">
      <t>ゲンザイヒヅケ</t>
    </rPh>
    <phoneticPr fontId="1"/>
  </si>
  <si>
    <t>見積番号</t>
    <rPh sb="0" eb="4">
      <t>ミツモリバンゴウ</t>
    </rPh>
    <phoneticPr fontId="1"/>
  </si>
  <si>
    <t>物件種別</t>
    <rPh sb="0" eb="4">
      <t>ブッケンシュベツ</t>
    </rPh>
    <phoneticPr fontId="1"/>
  </si>
  <si>
    <t>得意先CD</t>
    <rPh sb="0" eb="3">
      <t>トクイサキ</t>
    </rPh>
    <phoneticPr fontId="1"/>
  </si>
  <si>
    <t>納入先CD</t>
    <rPh sb="0" eb="3">
      <t>ノウニュウサキ</t>
    </rPh>
    <phoneticPr fontId="1"/>
  </si>
  <si>
    <t>見積件名</t>
    <rPh sb="0" eb="4">
      <t>ミツモリケンメイ</t>
    </rPh>
    <phoneticPr fontId="1"/>
  </si>
  <si>
    <t>見積金額</t>
    <rPh sb="0" eb="4">
      <t>ミツモリキンガク</t>
    </rPh>
    <phoneticPr fontId="1"/>
  </si>
  <si>
    <t>Wリース区分</t>
    <rPh sb="4" eb="6">
      <t>クブン</t>
    </rPh>
    <phoneticPr fontId="1"/>
  </si>
  <si>
    <t>W物件区分</t>
    <rPh sb="1" eb="5">
      <t>ブッケンクブン</t>
    </rPh>
    <phoneticPr fontId="1"/>
  </si>
  <si>
    <t>完了日</t>
    <rPh sb="0" eb="3">
      <t>カンリョウビ</t>
    </rPh>
    <phoneticPr fontId="1"/>
  </si>
  <si>
    <t>請求発行日</t>
    <rPh sb="0" eb="5">
      <t>セイキュウハッコウビ</t>
    </rPh>
    <phoneticPr fontId="1"/>
  </si>
  <si>
    <t>備考1</t>
    <rPh sb="0" eb="2">
      <t>ビコウ</t>
    </rPh>
    <phoneticPr fontId="1"/>
  </si>
  <si>
    <t>備考2</t>
    <rPh sb="0" eb="2">
      <t>ビコウ</t>
    </rPh>
    <phoneticPr fontId="1"/>
  </si>
  <si>
    <t>項目一覧</t>
    <rPh sb="0" eb="4">
      <t>コウモクイチラン</t>
    </rPh>
    <phoneticPr fontId="2"/>
  </si>
  <si>
    <t>項目2について</t>
    <rPh sb="0" eb="2">
      <t>コウモク</t>
    </rPh>
    <phoneticPr fontId="2"/>
  </si>
  <si>
    <t>請求予定月</t>
    <rPh sb="0" eb="2">
      <t>セイキュウ</t>
    </rPh>
    <rPh sb="2" eb="4">
      <t>ヨテイ</t>
    </rPh>
    <rPh sb="4" eb="5">
      <t>ツキ</t>
    </rPh>
    <phoneticPr fontId="1"/>
  </si>
  <si>
    <t>全角</t>
    <rPh sb="0" eb="2">
      <t>ゼンカク</t>
    </rPh>
    <phoneticPr fontId="1"/>
  </si>
  <si>
    <t>yy/mm</t>
    <phoneticPr fontId="1"/>
  </si>
  <si>
    <t>縮小して全体表示</t>
    <rPh sb="0" eb="2">
      <t>シュクショウ</t>
    </rPh>
    <rPh sb="4" eb="8">
      <t>ゼンタイヒョウジ</t>
    </rPh>
    <phoneticPr fontId="1"/>
  </si>
  <si>
    <t>yy/mm/dd</t>
    <phoneticPr fontId="1"/>
  </si>
  <si>
    <t>項目12について</t>
    <rPh sb="0" eb="2">
      <t>コウモク</t>
    </rPh>
    <phoneticPr fontId="2"/>
  </si>
  <si>
    <t>[TD見積_経過.請求予定月]を指定してデータを持ってきているが、DBに"請求予定月"のカラムがない</t>
    <rPh sb="3" eb="5">
      <t>ミツモリ</t>
    </rPh>
    <rPh sb="6" eb="8">
      <t>ケイカ</t>
    </rPh>
    <rPh sb="9" eb="14">
      <t>セイキュウヨテイヅキ</t>
    </rPh>
    <rPh sb="16" eb="18">
      <t>シテイ</t>
    </rPh>
    <rPh sb="24" eb="25">
      <t>モ</t>
    </rPh>
    <rPh sb="37" eb="42">
      <t>セイキュウヨテイツキ</t>
    </rPh>
    <phoneticPr fontId="2"/>
  </si>
  <si>
    <t>マイナスの値の場合は-9,999で赤字</t>
    <rPh sb="5" eb="6">
      <t>アタイ</t>
    </rPh>
    <rPh sb="7" eb="9">
      <t>バアイ</t>
    </rPh>
    <rPh sb="17" eb="19">
      <t>アカジ</t>
    </rPh>
    <phoneticPr fontId="1"/>
  </si>
  <si>
    <t>タイトル</t>
    <phoneticPr fontId="1"/>
  </si>
  <si>
    <t>チーム名</t>
    <rPh sb="3" eb="4">
      <t>メイ</t>
    </rPh>
    <phoneticPr fontId="1"/>
  </si>
  <si>
    <t>「経過確認表」</t>
    <rPh sb="1" eb="6">
      <t>ケイカカクニンヒョウ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</si>
  <si>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</si>
  <si>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</si>
  <si>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</si>
  <si>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</si>
  <si>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</si>
  <si>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</si>
  <si>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</si>
  <si>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</si>
  <si>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</si>
  <si>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</si>
  <si>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</si>
  <si>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</si>
  <si>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</si>
  <si>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</si>
  <si>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</si>
  <si>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</si>
  <si>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</si>
  <si>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</si>
  <si>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</si>
  <si>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</si>
  <si>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</si>
  <si>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</si>
  <si>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</si>
  <si>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</si>
  <si>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</si>
  <si>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</si>
  <si>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</si>
  <si>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</si>
  <si>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</si>
  <si>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</si>
  <si>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</si>
  <si>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</si>
  <si>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</si>
  <si>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</si>
  <si>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</si>
  <si>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</si>
  <si>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</si>
  <si>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〇</t>
    <phoneticPr fontId="2"/>
  </si>
  <si>
    <t>yyyy/mm/dd</t>
    <phoneticPr fontId="1"/>
  </si>
  <si>
    <t>帳票レイアウト</t>
    <rPh sb="0" eb="2">
      <t>チョウヒョウ</t>
    </rPh>
    <phoneticPr fontId="2"/>
  </si>
  <si>
    <t>セルA1について</t>
    <phoneticPr fontId="2"/>
  </si>
  <si>
    <t>"チーム名"という名前のセルは利用していないか</t>
    <rPh sb="4" eb="5">
      <t>メイ</t>
    </rPh>
    <rPh sb="9" eb="11">
      <t>ナマエ</t>
    </rPh>
    <rPh sb="15" eb="17">
      <t>リヨウ</t>
    </rPh>
    <phoneticPr fontId="2"/>
  </si>
  <si>
    <t>コメントを入力しているが利用しているか</t>
    <rPh sb="5" eb="7">
      <t>ニュウリョク</t>
    </rPh>
    <rPh sb="12" eb="14">
      <t>リヨウ</t>
    </rPh>
    <phoneticPr fontId="2"/>
  </si>
  <si>
    <t>対応</t>
    <rPh sb="0" eb="2">
      <t>タイオウ</t>
    </rPh>
    <phoneticPr fontId="2"/>
  </si>
  <si>
    <t>新規ソースにて確認済</t>
    <rPh sb="0" eb="2">
      <t>シンキ</t>
    </rPh>
    <rPh sb="7" eb="9">
      <t>カクニン</t>
    </rPh>
    <rPh sb="9" eb="10">
      <t>スミ</t>
    </rPh>
    <phoneticPr fontId="2"/>
  </si>
  <si>
    <t>指摘反映</t>
    <rPh sb="0" eb="2">
      <t>シテキ</t>
    </rPh>
    <rPh sb="2" eb="4">
      <t>ハンエイ</t>
    </rPh>
    <phoneticPr fontId="2"/>
  </si>
  <si>
    <t>請求発行日を表示する</t>
    <rPh sb="0" eb="5">
      <t>セイキュウハッコウビ</t>
    </rPh>
    <rPh sb="6" eb="8">
      <t>ヒョウジ</t>
    </rPh>
    <phoneticPr fontId="2"/>
  </si>
  <si>
    <t>帳票レイアウト修正</t>
    <rPh sb="0" eb="2">
      <t>チョウヒョウ</t>
    </rPh>
    <rPh sb="7" eb="9">
      <t>シュウセイ</t>
    </rPh>
    <phoneticPr fontId="2"/>
  </si>
  <si>
    <t>利用していない</t>
    <rPh sb="0" eb="2">
      <t>リヨウ</t>
    </rPh>
    <phoneticPr fontId="2"/>
  </si>
  <si>
    <t>必要。現行と同じ(検索条件をコメントで入れる)
→実装可能かは別途検証が必要</t>
    <rPh sb="0" eb="2">
      <t>ヒツヨウ</t>
    </rPh>
    <rPh sb="25" eb="29">
      <t>ジッソウカノウ</t>
    </rPh>
    <rPh sb="31" eb="35">
      <t>ベットケンショウ</t>
    </rPh>
    <rPh sb="36" eb="38">
      <t>ヒツヨウ</t>
    </rPh>
    <phoneticPr fontId="2"/>
  </si>
  <si>
    <t>SQL1</t>
    <phoneticPr fontId="2"/>
  </si>
  <si>
    <t>WB.ウエルシア物件区分名</t>
    <phoneticPr fontId="2"/>
  </si>
  <si>
    <t>未仕入件数 = ISNULL(CNT.件数,0)</t>
    <phoneticPr fontId="2"/>
  </si>
  <si>
    <t>物件番号</t>
    <phoneticPr fontId="2"/>
  </si>
  <si>
    <t>FROM TD見積 AS MT</t>
    <phoneticPr fontId="2"/>
  </si>
  <si>
    <t>LEFT JOIN TD売上請求H AS USH</t>
    <phoneticPr fontId="2"/>
  </si>
  <si>
    <t>ON MT.見積番号 = USH.見積番号</t>
    <phoneticPr fontId="2"/>
  </si>
  <si>
    <t>LEFT JOIN TD見積_経過 AS MHK</t>
    <phoneticPr fontId="2"/>
  </si>
  <si>
    <t>ON MT.見積番号 = MHK.見積番号</t>
    <phoneticPr fontId="2"/>
  </si>
  <si>
    <t>LEFT JOIN TMウエルシア物件区分 AS WB</t>
    <phoneticPr fontId="2"/>
  </si>
  <si>
    <t>ON MT.ウエルシア物件区分CD = WB.ウエルシア物件区分CD</t>
    <phoneticPr fontId="2"/>
  </si>
  <si>
    <t>LEFT JOIN (</t>
    <phoneticPr fontId="2"/>
  </si>
  <si>
    <t>) AS CNT</t>
    <phoneticPr fontId="2"/>
  </si>
  <si>
    <t>ON MT.見積番号 = CNT.見積番号</t>
    <phoneticPr fontId="2"/>
  </si>
  <si>
    <t>SQL2</t>
    <phoneticPr fontId="2"/>
  </si>
  <si>
    <t>見積番号</t>
    <phoneticPr fontId="2"/>
  </si>
  <si>
    <t>FROM ("</t>
    <phoneticPr fontId="2"/>
  </si>
  <si>
    <t>) AS DATA_A</t>
    <phoneticPr fontId="2"/>
  </si>
  <si>
    <t>SQL3</t>
    <phoneticPr fontId="2"/>
  </si>
  <si>
    <t>group by</t>
    <phoneticPr fontId="2"/>
  </si>
  <si>
    <t>GROUP BY 見積番号 の昇順でソート</t>
    <rPh sb="15" eb="17">
      <t>ショウジュン</t>
    </rPh>
    <phoneticPr fontId="2"/>
  </si>
  <si>
    <t>join</t>
    <phoneticPr fontId="2"/>
  </si>
  <si>
    <t>LEFT JOIN</t>
    <phoneticPr fontId="2"/>
  </si>
  <si>
    <t>SQL4</t>
    <phoneticPr fontId="2"/>
  </si>
  <si>
    <t>) AS SRU</t>
    <phoneticPr fontId="2"/>
  </si>
  <si>
    <t>(SQL4</t>
    <phoneticPr fontId="2"/>
  </si>
  <si>
    <t>ON MT.見積明細連番 = SRU.見積明細連番</t>
    <phoneticPr fontId="2"/>
  </si>
  <si>
    <t>where</t>
    <phoneticPr fontId="2"/>
  </si>
  <si>
    <t>WHERE (MT.発注数 - IsNull(SRU.仕入数量, 0) &lt;&gt; 0)</t>
    <phoneticPr fontId="2"/>
  </si>
  <si>
    <t>From TD仕入明細内訳</t>
    <phoneticPr fontId="2"/>
  </si>
  <si>
    <t>group by</t>
    <phoneticPr fontId="2"/>
  </si>
  <si>
    <t>GROUP BY    見積明細連番 の昇順でソート</t>
    <rPh sb="20" eb="22">
      <t>ショウジュン</t>
    </rPh>
    <phoneticPr fontId="2"/>
  </si>
  <si>
    <t>見積日付</t>
    <phoneticPr fontId="2"/>
  </si>
  <si>
    <t>物件種別</t>
    <phoneticPr fontId="2"/>
  </si>
  <si>
    <t>得意先CD</t>
    <phoneticPr fontId="2"/>
  </si>
  <si>
    <t>納入先CD</t>
    <phoneticPr fontId="2"/>
  </si>
  <si>
    <t>見積件名</t>
    <phoneticPr fontId="2"/>
  </si>
  <si>
    <t>合計金額</t>
    <phoneticPr fontId="2"/>
  </si>
  <si>
    <t>ウエルシアリース区分</t>
    <phoneticPr fontId="2"/>
  </si>
  <si>
    <t>ウエルシア物件区分CD</t>
    <phoneticPr fontId="2"/>
  </si>
  <si>
    <t>ウエルシア物件区分名</t>
    <phoneticPr fontId="2"/>
  </si>
  <si>
    <t>納期S</t>
    <phoneticPr fontId="2"/>
  </si>
  <si>
    <t>仕入日付</t>
    <phoneticPr fontId="2"/>
  </si>
  <si>
    <t>未仕入件数</t>
    <phoneticPr fontId="2"/>
  </si>
  <si>
    <t>売上日付</t>
    <phoneticPr fontId="2"/>
  </si>
  <si>
    <t>完了日付</t>
    <phoneticPr fontId="2"/>
  </si>
  <si>
    <t>請求予定月</t>
    <phoneticPr fontId="2"/>
  </si>
  <si>
    <t>経過備考1</t>
    <phoneticPr fontId="2"/>
  </si>
  <si>
    <t>経過備考2</t>
    <phoneticPr fontId="2"/>
  </si>
  <si>
    <t>請求書発行日付</t>
    <phoneticPr fontId="2"/>
  </si>
  <si>
    <t>原価率</t>
    <phoneticPr fontId="2"/>
  </si>
  <si>
    <t>登録変更日</t>
    <phoneticPr fontId="2"/>
  </si>
  <si>
    <t>見積番号</t>
    <phoneticPr fontId="2"/>
  </si>
  <si>
    <t>件数</t>
    <phoneticPr fontId="2"/>
  </si>
  <si>
    <t>見積明細連番</t>
    <phoneticPr fontId="2"/>
  </si>
  <si>
    <t>仕入数量</t>
    <phoneticPr fontId="2"/>
  </si>
  <si>
    <t>SUM(TD仕入明細内訳.仕入数量)</t>
    <phoneticPr fontId="2"/>
  </si>
  <si>
    <t>TD仕入明細内訳.見積明細連番</t>
    <phoneticPr fontId="2"/>
  </si>
  <si>
    <t>FROM    TD見積シートM AS MT</t>
    <phoneticPr fontId="2"/>
  </si>
  <si>
    <t>TD見積シートM.見積番号</t>
    <phoneticPr fontId="2"/>
  </si>
  <si>
    <t>TD見積シートM.見積明細連番</t>
    <phoneticPr fontId="2"/>
  </si>
  <si>
    <t>COUNT(TD見積シートM.見積明細連番)</t>
    <phoneticPr fontId="2"/>
  </si>
  <si>
    <t>TD見積.見積番号</t>
  </si>
  <si>
    <t>TD見積.見積日付</t>
  </si>
  <si>
    <t>TD見積.物件種別</t>
  </si>
  <si>
    <t>TD見積.得意先CD</t>
  </si>
  <si>
    <t>TD見積.納入先CD</t>
  </si>
  <si>
    <t>TD見積.見積件名</t>
  </si>
  <si>
    <t>TD見積.合計金額 + TD見積.出精値引 AS 合計金額</t>
  </si>
  <si>
    <t>TD見積.ウエルシアリース区分</t>
  </si>
  <si>
    <t>TD見積.ウエルシア物件区分CD</t>
  </si>
  <si>
    <t>TD見積.納期S</t>
  </si>
  <si>
    <t>TD見積.仕入日付</t>
  </si>
  <si>
    <t>TD見積.売上日付</t>
  </si>
  <si>
    <t>TD見積.原価率</t>
  </si>
  <si>
    <t>TD見積.登録変更日</t>
  </si>
  <si>
    <t>TD見積_経過.完了日付</t>
  </si>
  <si>
    <t>TD見積_経過.請求予定月</t>
  </si>
  <si>
    <t>TD見積_経過.経過備考1</t>
  </si>
  <si>
    <t>TD見積_経過.経過備考2</t>
  </si>
  <si>
    <t>TD売上請求H.請求書発行日付</t>
  </si>
  <si>
    <t>TD見積.物件番号</t>
    <phoneticPr fontId="2"/>
  </si>
  <si>
    <t>画面.処理種別が1の場合</t>
    <rPh sb="0" eb="1">
      <t>ガメン</t>
    </rPh>
    <rPh sb="2" eb="6">
      <t>ショリシュベツ</t>
    </rPh>
    <rPh sb="10" eb="12">
      <t>バアイ</t>
    </rPh>
    <phoneticPr fontId="2"/>
  </si>
  <si>
    <t>画面.処理種別が2の場合</t>
    <rPh sb="0" eb="1">
      <t>ガメン</t>
    </rPh>
    <rPh sb="2" eb="6">
      <t>ショリシュベツ</t>
    </rPh>
    <rPh sb="10" eb="12">
      <t>バアイ</t>
    </rPh>
    <phoneticPr fontId="2"/>
  </si>
  <si>
    <t>画面.得意先CDが入力されている場合</t>
    <rPh sb="0" eb="2">
      <t>ガメン</t>
    </rPh>
    <rPh sb="3" eb="6">
      <t>トクイサキ</t>
    </rPh>
    <rPh sb="9" eb="11">
      <t>ニュウリョク</t>
    </rPh>
    <rPh sb="16" eb="18">
      <t>バアイ</t>
    </rPh>
    <phoneticPr fontId="2"/>
  </si>
  <si>
    <t>画面.納入先CDが入力されている場合</t>
    <rPh sb="0" eb="2">
      <t>ガメン</t>
    </rPh>
    <rPh sb="3" eb="5">
      <t>ノウニュウ</t>
    </rPh>
    <rPh sb="5" eb="6">
      <t>サキ</t>
    </rPh>
    <rPh sb="9" eb="11">
      <t>ニュウリョク</t>
    </rPh>
    <rPh sb="16" eb="18">
      <t>バアイ</t>
    </rPh>
    <phoneticPr fontId="2"/>
  </si>
  <si>
    <t>and 得意先CD LIKE '画面.得意先CD%'</t>
    <rPh sb="16" eb="18">
      <t>ガメン</t>
    </rPh>
    <rPh sb="19" eb="22">
      <t>トクイサキ</t>
    </rPh>
    <phoneticPr fontId="2"/>
  </si>
  <si>
    <t>and 納入先CD Like '画面.納入先CD%'</t>
    <rPh sb="16" eb="18">
      <t>ガメン</t>
    </rPh>
    <rPh sb="19" eb="22">
      <t>ノウニュウサキ</t>
    </rPh>
    <phoneticPr fontId="2"/>
  </si>
  <si>
    <t>and 担当者CD Like '%画面.担当者CD%'</t>
    <rPh sb="17" eb="19">
      <t>ガメン</t>
    </rPh>
    <phoneticPr fontId="2"/>
  </si>
  <si>
    <t>画面.担当者CDが入力されている場合</t>
    <rPh sb="0" eb="2">
      <t>ガメン</t>
    </rPh>
    <rPh sb="3" eb="6">
      <t>タントウシャ</t>
    </rPh>
    <rPh sb="9" eb="11">
      <t>ニュウリョク</t>
    </rPh>
    <rPh sb="16" eb="18">
      <t>バアイ</t>
    </rPh>
    <phoneticPr fontId="2"/>
  </si>
  <si>
    <t>AND 物件種別 = 画面.物件種別</t>
    <rPh sb="11" eb="13">
      <t>ガメン</t>
    </rPh>
    <rPh sb="14" eb="18">
      <t>ブッケンシュベツ</t>
    </rPh>
    <phoneticPr fontId="2"/>
  </si>
  <si>
    <t>画面.物件種別が入力されている場合</t>
    <rPh sb="0" eb="2">
      <t>ガメン</t>
    </rPh>
    <rPh sb="3" eb="7">
      <t>ブッケンシュベツ</t>
    </rPh>
    <rPh sb="8" eb="10">
      <t>ニュウリョク</t>
    </rPh>
    <rPh sb="15" eb="17">
      <t>バアイ</t>
    </rPh>
    <phoneticPr fontId="2"/>
  </si>
  <si>
    <t>and 見積件名 Like '%画面.見積件名%'</t>
    <rPh sb="16" eb="18">
      <t>ガメン</t>
    </rPh>
    <phoneticPr fontId="2"/>
  </si>
  <si>
    <t>画面.見積件名が入力されている場合</t>
    <rPh sb="3" eb="7">
      <t>ミツモリケンメイ</t>
    </rPh>
    <rPh sb="8" eb="10">
      <t>ニュウリョク</t>
    </rPh>
    <rPh sb="15" eb="17">
      <t>バアイ</t>
    </rPh>
    <phoneticPr fontId="2"/>
  </si>
  <si>
    <t>画面.開始見積Noまたは画面.終了見積Noが入力されている場合</t>
    <rPh sb="0" eb="2">
      <t>ガメン</t>
    </rPh>
    <rPh sb="3" eb="5">
      <t>カイシ</t>
    </rPh>
    <rPh sb="5" eb="7">
      <t>ミツモリ</t>
    </rPh>
    <rPh sb="15" eb="17">
      <t>シュウリョウ</t>
    </rPh>
    <rPh sb="17" eb="19">
      <t>ミツモリ</t>
    </rPh>
    <rPh sb="22" eb="24">
      <t>ニュウリョク</t>
    </rPh>
    <rPh sb="29" eb="31">
      <t>バアイ</t>
    </rPh>
    <phoneticPr fontId="2"/>
  </si>
  <si>
    <t>画面.開始見積金額または画面.終了見積金額が入力されている場合</t>
    <rPh sb="0" eb="2">
      <t>ガメン</t>
    </rPh>
    <rPh sb="3" eb="5">
      <t>カイシ</t>
    </rPh>
    <rPh sb="5" eb="7">
      <t>ミツモリ</t>
    </rPh>
    <rPh sb="7" eb="9">
      <t>キンガク</t>
    </rPh>
    <rPh sb="15" eb="17">
      <t>シュウリョウ</t>
    </rPh>
    <rPh sb="17" eb="19">
      <t>ミツモリ</t>
    </rPh>
    <rPh sb="19" eb="21">
      <t>キンガク</t>
    </rPh>
    <rPh sb="22" eb="24">
      <t>ニュウリョク</t>
    </rPh>
    <rPh sb="29" eb="31">
      <t>バアイ</t>
    </rPh>
    <phoneticPr fontId="2"/>
  </si>
  <si>
    <t>画面.開始物件番号または画面.終了物件番号が入力されている場合</t>
    <rPh sb="0" eb="2">
      <t>ガメン</t>
    </rPh>
    <rPh sb="3" eb="5">
      <t>カイシ</t>
    </rPh>
    <rPh sb="5" eb="9">
      <t>ブッケンバンゴウ</t>
    </rPh>
    <rPh sb="15" eb="17">
      <t>シュウリョウ</t>
    </rPh>
    <rPh sb="17" eb="21">
      <t>ブッケンバンゴウ</t>
    </rPh>
    <rPh sb="22" eb="24">
      <t>ニュウリョク</t>
    </rPh>
    <rPh sb="29" eb="31">
      <t>バアイ</t>
    </rPh>
    <phoneticPr fontId="2"/>
  </si>
  <si>
    <t>画面.ウエルシアリース区分が入力されている場合</t>
    <rPh sb="11" eb="13">
      <t>クブン</t>
    </rPh>
    <rPh sb="14" eb="16">
      <t>ニュウリョク</t>
    </rPh>
    <rPh sb="21" eb="23">
      <t>バアイ</t>
    </rPh>
    <phoneticPr fontId="2"/>
  </si>
  <si>
    <t>AND MT.ウエルシアリース区分 = 画面.ウエルシアリース区分</t>
    <rPh sb="20" eb="22">
      <t>ガメン</t>
    </rPh>
    <phoneticPr fontId="2"/>
  </si>
  <si>
    <t>画面.ウエルシア物件区分が入力されている場合</t>
    <rPh sb="8" eb="10">
      <t>ブッケン</t>
    </rPh>
    <rPh sb="10" eb="12">
      <t>クブン</t>
    </rPh>
    <rPh sb="13" eb="15">
      <t>ニュウリョク</t>
    </rPh>
    <rPh sb="20" eb="22">
      <t>バアイ</t>
    </rPh>
    <phoneticPr fontId="2"/>
  </si>
  <si>
    <t>画面.開始見積日または画面.終了見積日が入力されている場合</t>
    <rPh sb="5" eb="8">
      <t>ミツモリビ</t>
    </rPh>
    <phoneticPr fontId="2"/>
  </si>
  <si>
    <t>画面.開始納期日または画面.終了納期日が入力されている場合</t>
    <rPh sb="5" eb="7">
      <t>ノウキ</t>
    </rPh>
    <rPh sb="7" eb="8">
      <t>ビ</t>
    </rPh>
    <rPh sb="16" eb="18">
      <t>ノウキ</t>
    </rPh>
    <phoneticPr fontId="2"/>
  </si>
  <si>
    <t>画面.開始完了日または画面.終了完了日が入力されている場合</t>
    <rPh sb="5" eb="7">
      <t>カンリョウ</t>
    </rPh>
    <rPh sb="7" eb="8">
      <t>ビ</t>
    </rPh>
    <rPh sb="16" eb="18">
      <t>カンリョウ</t>
    </rPh>
    <phoneticPr fontId="2"/>
  </si>
  <si>
    <t>画面.開始請求予定月または画面.終了請求予定月が入力されている場合</t>
    <rPh sb="5" eb="7">
      <t>セイキュウ</t>
    </rPh>
    <rPh sb="7" eb="9">
      <t>ヨテイ</t>
    </rPh>
    <rPh sb="9" eb="10">
      <t>ツキ</t>
    </rPh>
    <rPh sb="16" eb="18">
      <t>シュウリョウ</t>
    </rPh>
    <phoneticPr fontId="2"/>
  </si>
  <si>
    <t>画面.開始仕入日または画面.終了仕入日が入力されている場合</t>
    <rPh sb="3" eb="5">
      <t>カイシ</t>
    </rPh>
    <rPh sb="5" eb="7">
      <t>シイレ</t>
    </rPh>
    <rPh sb="7" eb="8">
      <t>ビ</t>
    </rPh>
    <rPh sb="14" eb="16">
      <t>シュウリョウ</t>
    </rPh>
    <rPh sb="16" eb="18">
      <t>シイレ</t>
    </rPh>
    <rPh sb="18" eb="19">
      <t>ビ</t>
    </rPh>
    <phoneticPr fontId="2"/>
  </si>
  <si>
    <t>order by</t>
    <phoneticPr fontId="2"/>
  </si>
  <si>
    <t>ORDER BY MT.得意先CD,MT.見積日付 DESC, MT.見積番号 DESC の降順でソート</t>
    <rPh sb="46" eb="48">
      <t>コウジュン</t>
    </rPh>
    <phoneticPr fontId="2"/>
  </si>
  <si>
    <t>ANDMT.ウエルシア物件区分CD =画面.ウエルシア物件区分</t>
    <rPh sb="19" eb="21">
      <t>ガメン</t>
    </rPh>
    <phoneticPr fontId="2"/>
  </si>
  <si>
    <t>[SQL1.見積番号]</t>
    <rPh sb="6" eb="8">
      <t>ミツモリ</t>
    </rPh>
    <rPh sb="8" eb="10">
      <t>バンゴウ</t>
    </rPh>
    <phoneticPr fontId="1"/>
  </si>
  <si>
    <t>[SQL1.物件種別]</t>
    <rPh sb="6" eb="10">
      <t>ブッケンシュベツ</t>
    </rPh>
    <phoneticPr fontId="1"/>
  </si>
  <si>
    <t>[SQL1.得意先CD]</t>
    <rPh sb="6" eb="9">
      <t>トクイサキ</t>
    </rPh>
    <phoneticPr fontId="1"/>
  </si>
  <si>
    <t>[SQL1.納入先CD]</t>
    <rPh sb="6" eb="9">
      <t>ノウニュウサキ</t>
    </rPh>
    <phoneticPr fontId="1"/>
  </si>
  <si>
    <t>[SQL1.見積件名]</t>
    <rPh sb="6" eb="10">
      <t>ミツモリケンメイ</t>
    </rPh>
    <phoneticPr fontId="1"/>
  </si>
  <si>
    <t>[SQL1.ウエルシアリース区分]</t>
    <rPh sb="14" eb="16">
      <t>クブン</t>
    </rPh>
    <phoneticPr fontId="1"/>
  </si>
  <si>
    <t>[SQL1.ウエルシア物件区分.SQL1.ウエルシア物件区分名]</t>
    <rPh sb="11" eb="13">
      <t>ブッケン</t>
    </rPh>
    <rPh sb="13" eb="15">
      <t>クブン</t>
    </rPh>
    <rPh sb="26" eb="28">
      <t>ブッケン</t>
    </rPh>
    <rPh sb="28" eb="31">
      <t>クブンメイ</t>
    </rPh>
    <phoneticPr fontId="1"/>
  </si>
  <si>
    <t>[SQL1.完了日付]</t>
    <rPh sb="6" eb="10">
      <t>カンリョウヒヅケ</t>
    </rPh>
    <phoneticPr fontId="1"/>
  </si>
  <si>
    <t>[SQL1.請求書発行日付]</t>
    <phoneticPr fontId="1"/>
  </si>
  <si>
    <t>[SQL1.請求予定日]</t>
    <rPh sb="8" eb="10">
      <t>ヨテイ</t>
    </rPh>
    <phoneticPr fontId="1"/>
  </si>
  <si>
    <t>[SQL1.経過備考1]</t>
    <rPh sb="6" eb="8">
      <t>ケイカ</t>
    </rPh>
    <rPh sb="8" eb="10">
      <t>ビコウ</t>
    </rPh>
    <phoneticPr fontId="1"/>
  </si>
  <si>
    <t>[SQL1.経過備考2]</t>
    <rPh sb="6" eb="8">
      <t>ケイカ</t>
    </rPh>
    <rPh sb="8" eb="10">
      <t>ビコウ</t>
    </rPh>
    <phoneticPr fontId="1"/>
  </si>
  <si>
    <t>[SQL1.物件種別]が空値の場合は0にして[SQL1.物件種別]が0の場合は"新店"、1の場合は"改装"、2の場合は"メンテ"、3の場合は"補充"、4の場合は"内装"、5の場合は"その他"、6の場合は"委託"</t>
    <rPh sb="6" eb="10">
      <t>ブッケンシュベツ</t>
    </rPh>
    <rPh sb="12" eb="13">
      <t>カラ</t>
    </rPh>
    <rPh sb="13" eb="14">
      <t>アタイ</t>
    </rPh>
    <rPh sb="15" eb="17">
      <t>バアイ</t>
    </rPh>
    <rPh sb="36" eb="38">
      <t>バアイ</t>
    </rPh>
    <rPh sb="40" eb="41">
      <t>シン</t>
    </rPh>
    <rPh sb="41" eb="42">
      <t>テン</t>
    </rPh>
    <rPh sb="46" eb="48">
      <t>バアイ</t>
    </rPh>
    <rPh sb="50" eb="52">
      <t>カイソウ</t>
    </rPh>
    <rPh sb="56" eb="58">
      <t>バアイ</t>
    </rPh>
    <rPh sb="67" eb="69">
      <t>バアイ</t>
    </rPh>
    <rPh sb="71" eb="73">
      <t>ホジュウ</t>
    </rPh>
    <rPh sb="77" eb="79">
      <t>バアイ</t>
    </rPh>
    <rPh sb="81" eb="83">
      <t>ナイソウ</t>
    </rPh>
    <rPh sb="87" eb="89">
      <t>バアイ</t>
    </rPh>
    <rPh sb="93" eb="94">
      <t>タ</t>
    </rPh>
    <rPh sb="98" eb="100">
      <t>バアイ</t>
    </rPh>
    <rPh sb="102" eb="104">
      <t>イタク</t>
    </rPh>
    <phoneticPr fontId="1"/>
  </si>
  <si>
    <t>[SQL1.ウエルシアリース区分]が空値の場合は0にして[SQL1.ウエルシアリース区分]が1の場合は"通常"、2の場合は"リース"、そうでない場合は空の文字列</t>
    <rPh sb="14" eb="16">
      <t>クブン</t>
    </rPh>
    <rPh sb="18" eb="19">
      <t>カラ</t>
    </rPh>
    <rPh sb="19" eb="20">
      <t>アタイ</t>
    </rPh>
    <rPh sb="21" eb="23">
      <t>バアイ</t>
    </rPh>
    <rPh sb="42" eb="44">
      <t>クブン</t>
    </rPh>
    <rPh sb="48" eb="50">
      <t>バアイ</t>
    </rPh>
    <rPh sb="52" eb="54">
      <t>ツウジョウ</t>
    </rPh>
    <rPh sb="58" eb="60">
      <t>バアイ</t>
    </rPh>
    <rPh sb="72" eb="74">
      <t>バアイ</t>
    </rPh>
    <rPh sb="75" eb="76">
      <t>カラ</t>
    </rPh>
    <rPh sb="77" eb="80">
      <t>モジレツ</t>
    </rPh>
    <phoneticPr fontId="1"/>
  </si>
  <si>
    <t>[SQL1.ウエルシア物件区分.SQL1.ウエルシア物件区分名]が空値の場合は""を表示</t>
    <rPh sb="11" eb="13">
      <t>ブッケン</t>
    </rPh>
    <rPh sb="13" eb="15">
      <t>クブン</t>
    </rPh>
    <rPh sb="26" eb="28">
      <t>ブッケン</t>
    </rPh>
    <rPh sb="28" eb="31">
      <t>クブンメイ</t>
    </rPh>
    <rPh sb="33" eb="34">
      <t>カラ</t>
    </rPh>
    <rPh sb="34" eb="35">
      <t>アタイ</t>
    </rPh>
    <rPh sb="36" eb="38">
      <t>バアイ</t>
    </rPh>
    <rPh sb="42" eb="44">
      <t>ヒョウジ</t>
    </rPh>
    <phoneticPr fontId="1"/>
  </si>
  <si>
    <t>[SQL1.請求書発行日付]が空値の場合は""を表示</t>
    <rPh sb="6" eb="11">
      <t>セイキュウショハッコウ</t>
    </rPh>
    <rPh sb="11" eb="13">
      <t>ヒヅケ</t>
    </rPh>
    <rPh sb="15" eb="16">
      <t>カラ</t>
    </rPh>
    <rPh sb="16" eb="17">
      <t>アタイ</t>
    </rPh>
    <rPh sb="18" eb="20">
      <t>バアイ</t>
    </rPh>
    <rPh sb="24" eb="26">
      <t>ヒョウジ</t>
    </rPh>
    <phoneticPr fontId="1"/>
  </si>
  <si>
    <t>[SQL1.請求予定日]が空値の場合は""を表示</t>
    <rPh sb="6" eb="8">
      <t>セイキュウ</t>
    </rPh>
    <rPh sb="8" eb="10">
      <t>ヨテイ</t>
    </rPh>
    <rPh sb="10" eb="11">
      <t>ビ</t>
    </rPh>
    <rPh sb="13" eb="14">
      <t>カラ</t>
    </rPh>
    <rPh sb="14" eb="15">
      <t>アタイ</t>
    </rPh>
    <rPh sb="16" eb="18">
      <t>バアイ</t>
    </rPh>
    <rPh sb="22" eb="24">
      <t>ヒョウジ</t>
    </rPh>
    <phoneticPr fontId="1"/>
  </si>
  <si>
    <t>[SQL1.経過備考1]が空値の場合は""を表示</t>
    <rPh sb="6" eb="10">
      <t>ケイカビコウ</t>
    </rPh>
    <rPh sb="13" eb="15">
      <t>カラアタイ</t>
    </rPh>
    <rPh sb="16" eb="18">
      <t>バアイ</t>
    </rPh>
    <rPh sb="22" eb="24">
      <t>ヒョウジ</t>
    </rPh>
    <phoneticPr fontId="1"/>
  </si>
  <si>
    <t>[SQL1.経過備考2]が空値の場合は""を表示</t>
    <rPh sb="6" eb="10">
      <t>ケイカビコウ</t>
    </rPh>
    <rPh sb="13" eb="15">
      <t>カラアタイ</t>
    </rPh>
    <rPh sb="16" eb="18">
      <t>バアイ</t>
    </rPh>
    <rPh sb="22" eb="24">
      <t>ヒョウジ</t>
    </rPh>
    <phoneticPr fontId="1"/>
  </si>
  <si>
    <t>画面.処理種別が0の場合</t>
    <phoneticPr fontId="2"/>
  </si>
  <si>
    <t>WHERE</t>
    <phoneticPr fontId="2"/>
  </si>
  <si>
    <t>MT.売上日付 IS NOT NULL</t>
    <phoneticPr fontId="2"/>
  </si>
  <si>
    <t>MHK.発注書発行日付 IS NOT NULL</t>
    <phoneticPr fontId="2"/>
  </si>
  <si>
    <t>(MHK.発注書発行日付 IS NULL AND MT.仕入日付 IS NULL)</t>
    <phoneticPr fontId="2"/>
  </si>
  <si>
    <t>WHERE句が存在する場合のみ</t>
    <rPh sb="4" eb="5">
      <t>ク</t>
    </rPh>
    <rPh sb="6" eb="8">
      <t>ソンザイ</t>
    </rPh>
    <rPh sb="10" eb="12">
      <t>バアイ</t>
    </rPh>
    <phoneticPr fontId="2"/>
  </si>
  <si>
    <t>and MT.物件番号 &gt;= 画面.開始見積番号 And MT.物件番号 &lt;= 画面.終了見積番号</t>
    <rPh sb="43" eb="45">
      <t>シュウリョウ</t>
    </rPh>
    <rPh sb="45" eb="47">
      <t>ミツモリ</t>
    </rPh>
    <rPh sb="47" eb="49">
      <t>バンゴウ</t>
    </rPh>
    <phoneticPr fontId="2"/>
  </si>
  <si>
    <t>and MT.合計金額 +  MT.出精値引 &gt;= 画面.開始見積金額 And MT.合計金額 +  MT.出精値引 &lt;= 画面.終了見積金額</t>
    <rPh sb="69" eb="71">
      <t>キンガク</t>
    </rPh>
    <phoneticPr fontId="2"/>
  </si>
  <si>
    <t>and MT.物件番号 &gt;= 画面.開始物件番号 And MT.物件番号 &lt;= 画面.終了物件番号</t>
    <rPh sb="45" eb="49">
      <t>ブッケンバンゴウ</t>
    </rPh>
    <phoneticPr fontId="2"/>
  </si>
  <si>
    <t>and MT.見積日付 &gt;= 画面.開始見積日 And MT.見積日付 &lt;= 画面.終了見積日</t>
    <rPh sb="44" eb="47">
      <t>ミツモリビ</t>
    </rPh>
    <phoneticPr fontId="2"/>
  </si>
  <si>
    <t>and  MT.納期S &gt;= 画面.開始納期日 And MT.納期S &lt;= 画面.終了納期日</t>
    <rPh sb="43" eb="46">
      <t>ノウキビ</t>
    </rPh>
    <phoneticPr fontId="2"/>
  </si>
  <si>
    <t>and  MHK.完了日付 &gt;= 画面.開始完了日 And MHK.完了日付 &lt;= 画面.終了完了日</t>
    <rPh sb="47" eb="49">
      <t>カンリョウ</t>
    </rPh>
    <rPh sb="49" eb="50">
      <t>ヒ</t>
    </rPh>
    <phoneticPr fontId="2"/>
  </si>
  <si>
    <t>and  MHK.請求予定月 &gt;= 画面.開始請求予定月 And MHK.請求予定月 &lt;= 画面.終了請求予定月</t>
    <rPh sb="49" eb="51">
      <t>シュウリョウ</t>
    </rPh>
    <rPh sb="51" eb="53">
      <t>セイキュウ</t>
    </rPh>
    <rPh sb="53" eb="55">
      <t>ヨテイ</t>
    </rPh>
    <rPh sb="55" eb="56">
      <t>ツキ</t>
    </rPh>
    <phoneticPr fontId="2"/>
  </si>
  <si>
    <t>and MT.仕入日付 &gt;= 画面.開始仕入日 And MT.仕入日付 &lt;= 画面.終了仕入日</t>
    <rPh sb="42" eb="44">
      <t>シュウリョウ</t>
    </rPh>
    <rPh sb="44" eb="47">
      <t>シイレビ</t>
    </rPh>
    <phoneticPr fontId="2"/>
  </si>
  <si>
    <t>A1セルに検索条件の内容をコメントで入力する</t>
    <rPh sb="5" eb="9">
      <t>ケンサクジョウケン</t>
    </rPh>
    <rPh sb="10" eb="12">
      <t>ナイヨウ</t>
    </rPh>
    <rPh sb="18" eb="20">
      <t>ニュウリョク</t>
    </rPh>
    <phoneticPr fontId="2"/>
  </si>
  <si>
    <t>A4横</t>
    <rPh sb="2" eb="3">
      <t>ヨコ</t>
    </rPh>
    <phoneticPr fontId="2"/>
  </si>
  <si>
    <t>[SQL1.合計金額],[SQL1.出精値引]</t>
    <rPh sb="6" eb="10">
      <t>ゴウケイキンガク</t>
    </rPh>
    <rPh sb="18" eb="20">
      <t>シュッセイ</t>
    </rPh>
    <rPh sb="20" eb="22">
      <t>ネビ</t>
    </rPh>
    <phoneticPr fontId="1"/>
  </si>
  <si>
    <t>[SQL1.合計金額]と[SQL1.出精値引]の合計で、空値の場合は""を表示。</t>
    <rPh sb="24" eb="26">
      <t>ゴウケイ</t>
    </rPh>
    <rPh sb="28" eb="29">
      <t>カラ</t>
    </rPh>
    <rPh sb="29" eb="30">
      <t>アタイ</t>
    </rPh>
    <rPh sb="31" eb="33">
      <t>バアイ</t>
    </rPh>
    <rPh sb="37" eb="39">
      <t>ヒョウジ</t>
    </rPh>
    <phoneticPr fontId="1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</si>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</sst>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[$-F800]dddd\,\ mmmm\ dd\,\ yyyy"/>
    <numFmt numFmtId="178" formatCode="yy/m/d;@"/>
    <numFmt numFmtId="179" formatCode="yy/m;@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i/>
      <sz val="11"/>
      <name val="ＭＳ Ｐゴシック"/>
      <family val="3"/>
      <charset val="128"/>
    </font>
    <font>
      <b/>
      <u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i/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Fill="1" applyAlignment="1">
      <alignment vertical="center" shrinkToFit="1"/>
    </xf>
    <xf numFmtId="0" fontId="10" fillId="0" borderId="0" xfId="2" applyFont="1" applyFill="1" applyAlignment="1">
      <alignment vertical="center" shrinkToFit="1"/>
    </xf>
    <xf numFmtId="0" fontId="12" fillId="0" borderId="0" xfId="2" applyFont="1" applyFill="1" applyAlignment="1">
      <alignment shrinkToFit="1"/>
    </xf>
    <xf numFmtId="0" fontId="9" fillId="0" borderId="0" xfId="2" applyFont="1" applyFill="1" applyAlignment="1">
      <alignment horizontal="center" vertical="center" shrinkToFit="1"/>
    </xf>
    <xf numFmtId="0" fontId="13" fillId="0" borderId="0" xfId="2" applyFont="1" applyFill="1" applyAlignment="1">
      <alignment horizontal="center" vertical="center" shrinkToFit="1"/>
    </xf>
    <xf numFmtId="177" fontId="15" fillId="0" borderId="0" xfId="2" applyNumberFormat="1" applyFont="1" applyFill="1" applyBorder="1" applyAlignment="1">
      <alignment horizontal="right" shrinkToFit="1"/>
    </xf>
    <xf numFmtId="0" fontId="12" fillId="0" borderId="42" xfId="2" applyFont="1" applyFill="1" applyBorder="1" applyAlignment="1">
      <alignment horizontal="center" vertical="center" shrinkToFit="1"/>
    </xf>
    <xf numFmtId="0" fontId="12" fillId="0" borderId="43" xfId="2" applyFont="1" applyFill="1" applyBorder="1" applyAlignment="1">
      <alignment horizontal="center" vertical="center" shrinkToFit="1"/>
    </xf>
    <xf numFmtId="0" fontId="12" fillId="0" borderId="44" xfId="2" applyFont="1" applyFill="1" applyBorder="1" applyAlignment="1">
      <alignment horizontal="center" vertical="center" shrinkToFit="1"/>
    </xf>
    <xf numFmtId="0" fontId="12" fillId="0" borderId="45" xfId="2" applyFont="1" applyFill="1" applyBorder="1" applyAlignment="1">
      <alignment horizontal="center" vertical="center" shrinkToFit="1"/>
    </xf>
    <xf numFmtId="10" fontId="12" fillId="0" borderId="46" xfId="2" applyNumberFormat="1" applyFont="1" applyFill="1" applyBorder="1" applyAlignment="1">
      <alignment horizontal="center" vertical="center" shrinkToFit="1"/>
    </xf>
    <xf numFmtId="0" fontId="9" fillId="0" borderId="0" xfId="2" applyFont="1" applyFill="1" applyBorder="1" applyAlignment="1">
      <alignment vertical="center" shrinkToFit="1"/>
    </xf>
    <xf numFmtId="0" fontId="4" fillId="0" borderId="47" xfId="2" applyBorder="1" applyAlignment="1">
      <alignment vertical="center" shrinkToFit="1"/>
    </xf>
    <xf numFmtId="49" fontId="4" fillId="0" borderId="8" xfId="2" applyNumberFormat="1" applyBorder="1" applyAlignment="1">
      <alignment vertical="center" shrinkToFit="1"/>
    </xf>
    <xf numFmtId="38" fontId="0" fillId="0" borderId="9" xfId="3" applyFont="1" applyBorder="1" applyAlignment="1">
      <alignment vertical="center" shrinkToFit="1"/>
    </xf>
    <xf numFmtId="49" fontId="0" fillId="0" borderId="9" xfId="3" applyNumberFormat="1" applyFont="1" applyBorder="1" applyAlignment="1">
      <alignment vertical="center" shrinkToFit="1"/>
    </xf>
    <xf numFmtId="178" fontId="4" fillId="0" borderId="9" xfId="2" applyNumberFormat="1" applyFont="1" applyBorder="1" applyAlignment="1">
      <alignment horizontal="center" vertical="center" shrinkToFit="1"/>
    </xf>
    <xf numFmtId="178" fontId="4" fillId="0" borderId="9" xfId="2" applyNumberFormat="1" applyBorder="1" applyAlignment="1">
      <alignment horizontal="center" vertical="center" shrinkToFit="1"/>
    </xf>
    <xf numFmtId="179" fontId="4" fillId="0" borderId="9" xfId="2" applyNumberFormat="1" applyBorder="1" applyAlignment="1">
      <alignment horizontal="center" vertical="center" shrinkToFit="1"/>
    </xf>
    <xf numFmtId="49" fontId="4" fillId="0" borderId="48" xfId="4" applyNumberFormat="1" applyFont="1" applyFill="1" applyBorder="1" applyAlignment="1">
      <alignment vertical="center" shrinkToFit="1"/>
    </xf>
    <xf numFmtId="0" fontId="4" fillId="0" borderId="49" xfId="2" applyBorder="1" applyAlignment="1">
      <alignment vertical="center" shrinkToFit="1"/>
    </xf>
    <xf numFmtId="49" fontId="4" fillId="0" borderId="50" xfId="2" applyNumberFormat="1" applyBorder="1" applyAlignment="1">
      <alignment vertical="center" shrinkToFit="1"/>
    </xf>
    <xf numFmtId="38" fontId="4" fillId="0" borderId="51" xfId="3" applyFont="1" applyFill="1" applyBorder="1" applyAlignment="1">
      <alignment vertical="center" shrinkToFit="1"/>
    </xf>
    <xf numFmtId="49" fontId="4" fillId="0" borderId="51" xfId="3" applyNumberFormat="1" applyFont="1" applyFill="1" applyBorder="1" applyAlignment="1">
      <alignment vertical="center" shrinkToFit="1"/>
    </xf>
    <xf numFmtId="178" fontId="4" fillId="0" borderId="51" xfId="2" applyNumberFormat="1" applyFont="1" applyBorder="1" applyAlignment="1">
      <alignment horizontal="center" vertical="center" shrinkToFit="1"/>
    </xf>
    <xf numFmtId="178" fontId="4" fillId="0" borderId="51" xfId="2" applyNumberFormat="1" applyBorder="1" applyAlignment="1">
      <alignment horizontal="center" vertical="center" shrinkToFit="1"/>
    </xf>
    <xf numFmtId="179" fontId="4" fillId="0" borderId="51" xfId="2" applyNumberFormat="1" applyBorder="1" applyAlignment="1">
      <alignment horizontal="center" vertical="center" shrinkToFit="1"/>
    </xf>
    <xf numFmtId="49" fontId="0" fillId="0" borderId="51" xfId="3" applyNumberFormat="1" applyFont="1" applyBorder="1" applyAlignment="1">
      <alignment vertical="center" shrinkToFit="1"/>
    </xf>
    <xf numFmtId="49" fontId="0" fillId="0" borderId="52" xfId="4" applyNumberFormat="1" applyFont="1" applyFill="1" applyBorder="1" applyAlignment="1">
      <alignment vertical="center" shrinkToFit="1"/>
    </xf>
    <xf numFmtId="10" fontId="9" fillId="0" borderId="0" xfId="2" applyNumberFormat="1" applyFont="1" applyFill="1" applyAlignment="1">
      <alignment horizontal="center" vertical="center" shrinkToFit="1"/>
    </xf>
    <xf numFmtId="0" fontId="3" fillId="2" borderId="63" xfId="0" applyFont="1" applyFill="1" applyBorder="1" applyAlignment="1">
      <alignment horizontal="left"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6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0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17" fillId="2" borderId="2" xfId="0" applyFont="1" applyFill="1" applyBorder="1">
      <alignment vertical="center"/>
    </xf>
    <xf numFmtId="0" fontId="17" fillId="2" borderId="70" xfId="0" applyFont="1" applyFill="1" applyBorder="1">
      <alignment vertical="center"/>
    </xf>
    <xf numFmtId="0" fontId="16" fillId="2" borderId="0" xfId="0" applyFont="1" applyFill="1" applyBorder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70" xfId="0" applyFont="1" applyFill="1" applyBorder="1">
      <alignment vertical="center"/>
    </xf>
    <xf numFmtId="0" fontId="16" fillId="2" borderId="70" xfId="0" quotePrefix="1" applyFont="1" applyFill="1" applyBorder="1">
      <alignment vertical="center"/>
    </xf>
    <xf numFmtId="0" fontId="3" fillId="2" borderId="70" xfId="0" quotePrefix="1" applyFont="1" applyFill="1" applyBorder="1" applyAlignment="1">
      <alignment vertical="center"/>
    </xf>
    <xf numFmtId="0" fontId="3" fillId="2" borderId="75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76" xfId="0" applyFont="1" applyFill="1" applyBorder="1">
      <alignment vertical="center"/>
    </xf>
    <xf numFmtId="0" fontId="16" fillId="2" borderId="0" xfId="0" applyFont="1" applyFill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68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6" fillId="2" borderId="55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5" xfId="0" applyBorder="1" applyAlignment="1">
      <alignment vertical="center" wrapText="1"/>
    </xf>
    <xf numFmtId="0" fontId="3" fillId="6" borderId="20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0" fontId="3" fillId="2" borderId="41" xfId="0" applyFont="1" applyFill="1" applyBorder="1" applyAlignment="1">
      <alignment horizontal="center" vertical="center" shrinkToFit="1"/>
    </xf>
    <xf numFmtId="0" fontId="3" fillId="2" borderId="62" xfId="0" applyFont="1" applyFill="1" applyBorder="1" applyAlignment="1">
      <alignment horizontal="center" vertical="center" shrinkToFit="1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3" borderId="5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177" fontId="14" fillId="0" borderId="41" xfId="2" applyNumberFormat="1" applyFont="1" applyFill="1" applyBorder="1" applyAlignment="1">
      <alignment horizontal="right" shrinkToFit="1"/>
    </xf>
    <xf numFmtId="0" fontId="4" fillId="0" borderId="41" xfId="2" applyBorder="1" applyAlignment="1">
      <alignment vertical="center" shrinkToFit="1"/>
    </xf>
  </cellXfs>
  <cellStyles count="5">
    <cellStyle name="パーセント 2" xfId="4"/>
    <cellStyle name="桁区切り 2" xfId="3"/>
    <cellStyle name="標準" xfId="0" builtinId="0"/>
    <cellStyle name="標準 2" xfId="2"/>
    <cellStyle name="標準 2 2" xfId="1"/>
  </cellStyles>
  <dxfs count="2">
    <dxf>
      <fill>
        <patternFill>
          <bgColor indexed="13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146125</xdr:colOff>
      <xdr:row>17</xdr:row>
      <xdr:rowOff>97267</xdr:rowOff>
    </xdr:from>
    <xdr:to>
      <xdr:col>59</xdr:col>
      <xdr:colOff>258755</xdr:colOff>
      <xdr:row>27</xdr:row>
      <xdr:rowOff>97618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431" y="3987949"/>
          <a:ext cx="15119548" cy="2510469"/>
        </a:xfrm>
        <a:prstGeom prst="rect">
          <a:avLst/>
        </a:prstGeom>
      </xdr:spPr>
    </xdr:pic>
    <xdr:clientData/>
  </xdr:twoCellAnchor>
  <xdr:twoCellAnchor>
    <xdr:from>
      <xdr:col>53</xdr:col>
      <xdr:colOff>134470</xdr:colOff>
      <xdr:row>19</xdr:row>
      <xdr:rowOff>26894</xdr:rowOff>
    </xdr:from>
    <xdr:to>
      <xdr:col>54</xdr:col>
      <xdr:colOff>197222</xdr:colOff>
      <xdr:row>20</xdr:row>
      <xdr:rowOff>98612</xdr:rowOff>
    </xdr:to>
    <xdr:sp macro="" textlink="">
      <xdr:nvSpPr>
        <xdr:cNvPr id="3" name="正方形/長方形 2"/>
        <xdr:cNvSpPr/>
      </xdr:nvSpPr>
      <xdr:spPr>
        <a:xfrm>
          <a:off x="14666258" y="441960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53787</xdr:colOff>
      <xdr:row>21</xdr:row>
      <xdr:rowOff>188259</xdr:rowOff>
    </xdr:from>
    <xdr:to>
      <xdr:col>7</xdr:col>
      <xdr:colOff>116539</xdr:colOff>
      <xdr:row>23</xdr:row>
      <xdr:rowOff>8965</xdr:rowOff>
    </xdr:to>
    <xdr:sp macro="" textlink="">
      <xdr:nvSpPr>
        <xdr:cNvPr id="5" name="正方形/長方形 4"/>
        <xdr:cNvSpPr/>
      </xdr:nvSpPr>
      <xdr:spPr>
        <a:xfrm>
          <a:off x="1523999" y="50829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89646</xdr:colOff>
      <xdr:row>21</xdr:row>
      <xdr:rowOff>197223</xdr:rowOff>
    </xdr:from>
    <xdr:to>
      <xdr:col>10</xdr:col>
      <xdr:colOff>152398</xdr:colOff>
      <xdr:row>23</xdr:row>
      <xdr:rowOff>17929</xdr:rowOff>
    </xdr:to>
    <xdr:sp macro="" textlink="">
      <xdr:nvSpPr>
        <xdr:cNvPr id="6" name="正方形/長方形 5"/>
        <xdr:cNvSpPr/>
      </xdr:nvSpPr>
      <xdr:spPr>
        <a:xfrm>
          <a:off x="2393575" y="509195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116540</xdr:colOff>
      <xdr:row>21</xdr:row>
      <xdr:rowOff>197224</xdr:rowOff>
    </xdr:from>
    <xdr:to>
      <xdr:col>13</xdr:col>
      <xdr:colOff>179292</xdr:colOff>
      <xdr:row>23</xdr:row>
      <xdr:rowOff>17930</xdr:rowOff>
    </xdr:to>
    <xdr:sp macro="" textlink="">
      <xdr:nvSpPr>
        <xdr:cNvPr id="7" name="正方形/長方形 6"/>
        <xdr:cNvSpPr/>
      </xdr:nvSpPr>
      <xdr:spPr>
        <a:xfrm>
          <a:off x="3254187" y="50919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98611</xdr:colOff>
      <xdr:row>21</xdr:row>
      <xdr:rowOff>197223</xdr:rowOff>
    </xdr:from>
    <xdr:to>
      <xdr:col>15</xdr:col>
      <xdr:colOff>161363</xdr:colOff>
      <xdr:row>23</xdr:row>
      <xdr:rowOff>17929</xdr:rowOff>
    </xdr:to>
    <xdr:sp macro="" textlink="">
      <xdr:nvSpPr>
        <xdr:cNvPr id="8" name="正方形/長方形 7"/>
        <xdr:cNvSpPr/>
      </xdr:nvSpPr>
      <xdr:spPr>
        <a:xfrm>
          <a:off x="3792070" y="509195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89646</xdr:colOff>
      <xdr:row>21</xdr:row>
      <xdr:rowOff>188258</xdr:rowOff>
    </xdr:from>
    <xdr:to>
      <xdr:col>17</xdr:col>
      <xdr:colOff>152399</xdr:colOff>
      <xdr:row>23</xdr:row>
      <xdr:rowOff>8964</xdr:rowOff>
    </xdr:to>
    <xdr:sp macro="" textlink="">
      <xdr:nvSpPr>
        <xdr:cNvPr id="9" name="正方形/長方形 8"/>
        <xdr:cNvSpPr/>
      </xdr:nvSpPr>
      <xdr:spPr>
        <a:xfrm>
          <a:off x="4338917" y="508298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197223</xdr:colOff>
      <xdr:row>21</xdr:row>
      <xdr:rowOff>206189</xdr:rowOff>
    </xdr:from>
    <xdr:to>
      <xdr:col>29</xdr:col>
      <xdr:colOff>259975</xdr:colOff>
      <xdr:row>23</xdr:row>
      <xdr:rowOff>26895</xdr:rowOff>
    </xdr:to>
    <xdr:sp macro="" textlink="">
      <xdr:nvSpPr>
        <xdr:cNvPr id="10" name="正方形/長方形 9"/>
        <xdr:cNvSpPr/>
      </xdr:nvSpPr>
      <xdr:spPr>
        <a:xfrm>
          <a:off x="7781364" y="5100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44822</xdr:colOff>
      <xdr:row>21</xdr:row>
      <xdr:rowOff>206189</xdr:rowOff>
    </xdr:from>
    <xdr:to>
      <xdr:col>34</xdr:col>
      <xdr:colOff>107575</xdr:colOff>
      <xdr:row>23</xdr:row>
      <xdr:rowOff>26895</xdr:rowOff>
    </xdr:to>
    <xdr:sp macro="" textlink="">
      <xdr:nvSpPr>
        <xdr:cNvPr id="11" name="正方形/長方形 10"/>
        <xdr:cNvSpPr/>
      </xdr:nvSpPr>
      <xdr:spPr>
        <a:xfrm>
          <a:off x="9018493" y="5100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44822</xdr:colOff>
      <xdr:row>21</xdr:row>
      <xdr:rowOff>188261</xdr:rowOff>
    </xdr:from>
    <xdr:to>
      <xdr:col>37</xdr:col>
      <xdr:colOff>107574</xdr:colOff>
      <xdr:row>23</xdr:row>
      <xdr:rowOff>8967</xdr:rowOff>
    </xdr:to>
    <xdr:sp macro="" textlink="">
      <xdr:nvSpPr>
        <xdr:cNvPr id="12" name="正方形/長方形 11"/>
        <xdr:cNvSpPr/>
      </xdr:nvSpPr>
      <xdr:spPr>
        <a:xfrm>
          <a:off x="9852210" y="5082990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62751</xdr:colOff>
      <xdr:row>21</xdr:row>
      <xdr:rowOff>188259</xdr:rowOff>
    </xdr:from>
    <xdr:to>
      <xdr:col>40</xdr:col>
      <xdr:colOff>125503</xdr:colOff>
      <xdr:row>23</xdr:row>
      <xdr:rowOff>8965</xdr:rowOff>
    </xdr:to>
    <xdr:sp macro="" textlink="">
      <xdr:nvSpPr>
        <xdr:cNvPr id="13" name="正方形/長方形 12"/>
        <xdr:cNvSpPr/>
      </xdr:nvSpPr>
      <xdr:spPr>
        <a:xfrm>
          <a:off x="10703857" y="508298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268941</xdr:colOff>
      <xdr:row>21</xdr:row>
      <xdr:rowOff>206189</xdr:rowOff>
    </xdr:from>
    <xdr:to>
      <xdr:col>45</xdr:col>
      <xdr:colOff>53787</xdr:colOff>
      <xdr:row>23</xdr:row>
      <xdr:rowOff>26895</xdr:rowOff>
    </xdr:to>
    <xdr:sp macro="" textlink="">
      <xdr:nvSpPr>
        <xdr:cNvPr id="14" name="正方形/長方形 13"/>
        <xdr:cNvSpPr/>
      </xdr:nvSpPr>
      <xdr:spPr>
        <a:xfrm>
          <a:off x="12021670" y="51009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98610</xdr:colOff>
      <xdr:row>21</xdr:row>
      <xdr:rowOff>197224</xdr:rowOff>
    </xdr:from>
    <xdr:to>
      <xdr:col>48</xdr:col>
      <xdr:colOff>161362</xdr:colOff>
      <xdr:row>23</xdr:row>
      <xdr:rowOff>17930</xdr:rowOff>
    </xdr:to>
    <xdr:sp macro="" textlink="">
      <xdr:nvSpPr>
        <xdr:cNvPr id="15" name="正方形/長方形 14"/>
        <xdr:cNvSpPr/>
      </xdr:nvSpPr>
      <xdr:spPr>
        <a:xfrm>
          <a:off x="12962963" y="50919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143434</xdr:colOff>
      <xdr:row>21</xdr:row>
      <xdr:rowOff>188260</xdr:rowOff>
    </xdr:from>
    <xdr:to>
      <xdr:col>51</xdr:col>
      <xdr:colOff>206187</xdr:colOff>
      <xdr:row>23</xdr:row>
      <xdr:rowOff>8966</xdr:rowOff>
    </xdr:to>
    <xdr:sp macro="" textlink="">
      <xdr:nvSpPr>
        <xdr:cNvPr id="16" name="正方形/長方形 15"/>
        <xdr:cNvSpPr/>
      </xdr:nvSpPr>
      <xdr:spPr>
        <a:xfrm>
          <a:off x="13841505" y="50829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17929</xdr:colOff>
      <xdr:row>19</xdr:row>
      <xdr:rowOff>53789</xdr:rowOff>
    </xdr:from>
    <xdr:to>
      <xdr:col>23</xdr:col>
      <xdr:colOff>80681</xdr:colOff>
      <xdr:row>20</xdr:row>
      <xdr:rowOff>125507</xdr:rowOff>
    </xdr:to>
    <xdr:sp macro="" textlink="">
      <xdr:nvSpPr>
        <xdr:cNvPr id="17" name="正方形/長方形 16"/>
        <xdr:cNvSpPr/>
      </xdr:nvSpPr>
      <xdr:spPr>
        <a:xfrm>
          <a:off x="5934635" y="44464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8963</xdr:colOff>
      <xdr:row>18</xdr:row>
      <xdr:rowOff>116541</xdr:rowOff>
    </xdr:from>
    <xdr:to>
      <xdr:col>16</xdr:col>
      <xdr:colOff>71715</xdr:colOff>
      <xdr:row>19</xdr:row>
      <xdr:rowOff>188259</xdr:rowOff>
    </xdr:to>
    <xdr:sp macro="" textlink="">
      <xdr:nvSpPr>
        <xdr:cNvPr id="18" name="正方形/長方形 17"/>
        <xdr:cNvSpPr/>
      </xdr:nvSpPr>
      <xdr:spPr>
        <a:xfrm>
          <a:off x="3980328" y="42582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3</xdr:col>
      <xdr:colOff>44824</xdr:colOff>
      <xdr:row>7</xdr:row>
      <xdr:rowOff>179293</xdr:rowOff>
    </xdr:from>
    <xdr:to>
      <xdr:col>11</xdr:col>
      <xdr:colOff>126949</xdr:colOff>
      <xdr:row>18</xdr:row>
      <xdr:rowOff>152221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318" y="1559858"/>
          <a:ext cx="2305372" cy="2734057"/>
        </a:xfrm>
        <a:prstGeom prst="rect">
          <a:avLst/>
        </a:prstGeom>
      </xdr:spPr>
    </xdr:pic>
    <xdr:clientData/>
  </xdr:twoCellAnchor>
  <xdr:twoCellAnchor>
    <xdr:from>
      <xdr:col>54</xdr:col>
      <xdr:colOff>268940</xdr:colOff>
      <xdr:row>21</xdr:row>
      <xdr:rowOff>197225</xdr:rowOff>
    </xdr:from>
    <xdr:to>
      <xdr:col>56</xdr:col>
      <xdr:colOff>53786</xdr:colOff>
      <xdr:row>23</xdr:row>
      <xdr:rowOff>17931</xdr:rowOff>
    </xdr:to>
    <xdr:sp macro="" textlink="">
      <xdr:nvSpPr>
        <xdr:cNvPr id="20" name="正方形/長方形 19"/>
        <xdr:cNvSpPr/>
      </xdr:nvSpPr>
      <xdr:spPr>
        <a:xfrm>
          <a:off x="15078634" y="50919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</xdr:row>
      <xdr:rowOff>15240</xdr:rowOff>
    </xdr:from>
    <xdr:to>
      <xdr:col>22</xdr:col>
      <xdr:colOff>158196</xdr:colOff>
      <xdr:row>45</xdr:row>
      <xdr:rowOff>26170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243840"/>
          <a:ext cx="14232336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300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31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4"/>
    </row>
    <row r="3" spans="1:66" ht="20.100000000000001" customHeight="1" x14ac:dyDescent="0.45">
      <c r="A3" s="8"/>
      <c r="B3" s="184" t="s">
        <v>298</v>
      </c>
      <c r="C3" s="172"/>
      <c r="D3" s="172"/>
      <c r="E3" s="172"/>
      <c r="F3" s="172"/>
      <c r="G3" s="172"/>
      <c r="H3" s="172" t="str">
        <f ca="1">LEFT($X$3,FIND("_",$X$3)-1)</f>
        <v>MH0300</v>
      </c>
      <c r="I3" s="172"/>
      <c r="J3" s="172"/>
      <c r="K3" s="172"/>
      <c r="L3" s="172" t="s">
        <v>299</v>
      </c>
      <c r="M3" s="172"/>
      <c r="N3" s="172"/>
      <c r="O3" s="172"/>
      <c r="P3" s="172"/>
      <c r="Q3" s="172"/>
      <c r="R3" s="185" t="str">
        <f ca="1">MID($X$3,FIND("_",$X$3,FIND("_",$X$3)+1)+1,LEN($X$3)-FIND("_",$X$3,FIND("_",$X$3)+1))</f>
        <v>帳票設計書</v>
      </c>
      <c r="S3" s="172"/>
      <c r="T3" s="172"/>
      <c r="U3" s="172"/>
      <c r="V3" s="172"/>
      <c r="W3" s="172"/>
      <c r="X3" s="175" t="str">
        <f ca="1">REPLACE(LEFT(CELL("filename",$B$2),FIND(".x",CELL("filename",$B$2))-1),1,FIND("[",CELL("filename",$B$2)),)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MID($X$3,FIND("_",$X$3)+1,FIND("_",$X$3,FIND("_",$X$3)+1)-FIND("_",$X$3)-1)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v>45582</v>
      </c>
      <c r="AY3" s="172"/>
      <c r="AZ3" s="172"/>
      <c r="BA3" s="172"/>
      <c r="BB3" s="172" t="s">
        <v>301</v>
      </c>
      <c r="BC3" s="172"/>
      <c r="BD3" s="172"/>
      <c r="BE3" s="172"/>
      <c r="BF3" s="171">
        <v>45582</v>
      </c>
      <c r="BG3" s="172"/>
      <c r="BH3" s="172"/>
      <c r="BI3" s="172"/>
      <c r="BJ3" s="172" t="s">
        <v>301</v>
      </c>
      <c r="BK3" s="172"/>
      <c r="BL3" s="172"/>
      <c r="BM3" s="174"/>
      <c r="BN3" s="14"/>
    </row>
    <row r="4" spans="1:66" ht="20.100000000000001" customHeight="1" thickBot="1" x14ac:dyDescent="0.5">
      <c r="A4" s="8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8" t="s">
        <v>8</v>
      </c>
      <c r="D8" s="168"/>
      <c r="E8" s="168"/>
      <c r="F8" s="168"/>
      <c r="G8" s="168" t="s">
        <v>9</v>
      </c>
      <c r="H8" s="168"/>
      <c r="I8" s="168"/>
      <c r="J8" s="168"/>
      <c r="K8" s="168" t="s">
        <v>10</v>
      </c>
      <c r="L8" s="168"/>
      <c r="M8" s="168"/>
      <c r="N8" s="168"/>
      <c r="O8" s="168" t="s">
        <v>11</v>
      </c>
      <c r="P8" s="168"/>
      <c r="Q8" s="168"/>
      <c r="R8" s="168"/>
      <c r="S8" s="168"/>
      <c r="T8" s="168"/>
      <c r="U8" s="168"/>
      <c r="V8" s="168"/>
      <c r="W8" s="168"/>
      <c r="X8" s="168"/>
      <c r="Y8" s="168" t="s">
        <v>12</v>
      </c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7"/>
      <c r="BN8" s="14"/>
    </row>
    <row r="9" spans="1:66" ht="20.100000000000001" customHeight="1" x14ac:dyDescent="0.45">
      <c r="A9" s="8"/>
      <c r="B9" s="7"/>
      <c r="C9" s="167">
        <v>45582</v>
      </c>
      <c r="D9" s="165"/>
      <c r="E9" s="165"/>
      <c r="F9" s="166"/>
      <c r="G9" s="161" t="s">
        <v>16</v>
      </c>
      <c r="H9" s="162"/>
      <c r="I9" s="162"/>
      <c r="J9" s="163"/>
      <c r="K9" s="164" t="s">
        <v>301</v>
      </c>
      <c r="L9" s="165"/>
      <c r="M9" s="165"/>
      <c r="N9" s="16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7"/>
      <c r="D10" s="165"/>
      <c r="E10" s="165"/>
      <c r="F10" s="166"/>
      <c r="G10" s="161"/>
      <c r="H10" s="162"/>
      <c r="I10" s="162"/>
      <c r="J10" s="163"/>
      <c r="K10" s="164"/>
      <c r="L10" s="165"/>
      <c r="M10" s="165"/>
      <c r="N10" s="16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7"/>
      <c r="D11" s="165"/>
      <c r="E11" s="165"/>
      <c r="F11" s="166"/>
      <c r="G11" s="161"/>
      <c r="H11" s="162"/>
      <c r="I11" s="162"/>
      <c r="J11" s="163"/>
      <c r="K11" s="164"/>
      <c r="L11" s="165"/>
      <c r="M11" s="165"/>
      <c r="N11" s="16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7"/>
      <c r="D36" s="165"/>
      <c r="E36" s="165"/>
      <c r="F36" s="166"/>
      <c r="G36" s="161"/>
      <c r="H36" s="162"/>
      <c r="I36" s="162"/>
      <c r="J36" s="163"/>
      <c r="K36" s="164"/>
      <c r="L36" s="165"/>
      <c r="M36" s="165"/>
      <c r="N36" s="16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7"/>
      <c r="D37" s="165"/>
      <c r="E37" s="165"/>
      <c r="F37" s="166"/>
      <c r="G37" s="161"/>
      <c r="H37" s="162"/>
      <c r="I37" s="162"/>
      <c r="J37" s="163"/>
      <c r="K37" s="164"/>
      <c r="L37" s="165"/>
      <c r="M37" s="165"/>
      <c r="N37" s="16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7"/>
      <c r="D38" s="165"/>
      <c r="E38" s="165"/>
      <c r="F38" s="166"/>
      <c r="G38" s="161"/>
      <c r="H38" s="162"/>
      <c r="I38" s="162"/>
      <c r="J38" s="163"/>
      <c r="K38" s="164"/>
      <c r="L38" s="165"/>
      <c r="M38" s="165"/>
      <c r="N38" s="16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7"/>
      <c r="D39" s="165"/>
      <c r="E39" s="165"/>
      <c r="F39" s="166"/>
      <c r="G39" s="161"/>
      <c r="H39" s="162"/>
      <c r="I39" s="162"/>
      <c r="J39" s="163"/>
      <c r="K39" s="164"/>
      <c r="L39" s="165"/>
      <c r="M39" s="165"/>
      <c r="N39" s="16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7"/>
      <c r="D40" s="165"/>
      <c r="E40" s="165"/>
      <c r="F40" s="166"/>
      <c r="G40" s="161"/>
      <c r="H40" s="162"/>
      <c r="I40" s="162"/>
      <c r="J40" s="163"/>
      <c r="K40" s="164"/>
      <c r="L40" s="165"/>
      <c r="M40" s="165"/>
      <c r="N40" s="16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7"/>
      <c r="D41" s="165"/>
      <c r="E41" s="165"/>
      <c r="F41" s="166"/>
      <c r="G41" s="161"/>
      <c r="H41" s="162"/>
      <c r="I41" s="162"/>
      <c r="J41" s="163"/>
      <c r="K41" s="164"/>
      <c r="L41" s="165"/>
      <c r="M41" s="165"/>
      <c r="N41" s="16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7"/>
      <c r="D42" s="165"/>
      <c r="E42" s="165"/>
      <c r="F42" s="166"/>
      <c r="G42" s="161"/>
      <c r="H42" s="162"/>
      <c r="I42" s="162"/>
      <c r="J42" s="163"/>
      <c r="K42" s="164"/>
      <c r="L42" s="165"/>
      <c r="M42" s="165"/>
      <c r="N42" s="16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7"/>
      <c r="D43" s="165"/>
      <c r="E43" s="165"/>
      <c r="F43" s="166"/>
      <c r="G43" s="161"/>
      <c r="H43" s="162"/>
      <c r="I43" s="162"/>
      <c r="J43" s="163"/>
      <c r="K43" s="164"/>
      <c r="L43" s="165"/>
      <c r="M43" s="165"/>
      <c r="N43" s="16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7"/>
      <c r="D44" s="165"/>
      <c r="E44" s="165"/>
      <c r="F44" s="166"/>
      <c r="G44" s="161"/>
      <c r="H44" s="162"/>
      <c r="I44" s="162"/>
      <c r="J44" s="163"/>
      <c r="K44" s="164"/>
      <c r="L44" s="165"/>
      <c r="M44" s="165"/>
      <c r="N44" s="16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7"/>
      <c r="D45" s="165"/>
      <c r="E45" s="165"/>
      <c r="F45" s="166"/>
      <c r="G45" s="161"/>
      <c r="H45" s="162"/>
      <c r="I45" s="162"/>
      <c r="J45" s="163"/>
      <c r="K45" s="164"/>
      <c r="L45" s="165"/>
      <c r="M45" s="165"/>
      <c r="N45" s="16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7"/>
      <c r="D46" s="165"/>
      <c r="E46" s="165"/>
      <c r="F46" s="166"/>
      <c r="G46" s="161"/>
      <c r="H46" s="162"/>
      <c r="I46" s="162"/>
      <c r="J46" s="163"/>
      <c r="K46" s="164"/>
      <c r="L46" s="165"/>
      <c r="M46" s="165"/>
      <c r="N46" s="16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7"/>
      <c r="D47" s="165"/>
      <c r="E47" s="165"/>
      <c r="F47" s="166"/>
      <c r="G47" s="161"/>
      <c r="H47" s="162"/>
      <c r="I47" s="162"/>
      <c r="J47" s="163"/>
      <c r="K47" s="164"/>
      <c r="L47" s="165"/>
      <c r="M47" s="165"/>
      <c r="N47" s="16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300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35"/>
    </row>
    <row r="3" spans="1:66" ht="20.100000000000001" customHeight="1" x14ac:dyDescent="0.45">
      <c r="A3" s="32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MH0300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45582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45582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35"/>
    </row>
    <row r="4" spans="1:66" ht="20.100000000000001" customHeight="1" thickBot="1" x14ac:dyDescent="0.5">
      <c r="A4" s="32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経過確認表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67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68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69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70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71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72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73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295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294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300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66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MH0300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45582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45582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66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1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MH0300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45582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45582</v>
      </c>
      <c r="BG3" s="171"/>
      <c r="BH3" s="171"/>
      <c r="BI3" s="171"/>
      <c r="BJ3" s="172" t="str">
        <f>変更履歴!BJ3</f>
        <v>大谷</v>
      </c>
      <c r="BK3" s="172"/>
      <c r="BL3" s="172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18" t="s">
        <v>106</v>
      </c>
      <c r="C7" s="119"/>
      <c r="D7" s="119"/>
      <c r="E7" s="119"/>
      <c r="F7" s="119"/>
      <c r="G7" s="119"/>
      <c r="H7" s="121" t="s">
        <v>134</v>
      </c>
      <c r="I7" s="120"/>
      <c r="J7" s="155" t="s">
        <v>20</v>
      </c>
      <c r="K7" s="150"/>
      <c r="L7" s="150"/>
      <c r="M7" s="150"/>
      <c r="N7" s="150"/>
      <c r="O7" s="150"/>
      <c r="P7" s="150"/>
      <c r="Q7" s="150"/>
      <c r="R7" s="155" t="s">
        <v>135</v>
      </c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1"/>
      <c r="AK7" s="122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23"/>
      <c r="BJ7" s="29"/>
      <c r="BK7" s="29"/>
      <c r="BL7" s="29"/>
      <c r="BM7" s="29"/>
    </row>
    <row r="8" spans="2:65" ht="20.100000000000001" customHeight="1" x14ac:dyDescent="0.45">
      <c r="B8" s="152"/>
      <c r="C8" s="31"/>
      <c r="D8" s="31"/>
      <c r="E8" s="31"/>
      <c r="F8" s="31"/>
      <c r="G8" s="31"/>
      <c r="H8" s="126"/>
      <c r="I8" s="125"/>
      <c r="J8" s="153" t="s">
        <v>136</v>
      </c>
      <c r="K8" s="52"/>
      <c r="L8" s="52"/>
      <c r="M8" s="52"/>
      <c r="N8" s="52"/>
      <c r="O8" s="52"/>
      <c r="P8" s="52"/>
      <c r="Q8" s="52"/>
      <c r="R8" s="153" t="s">
        <v>137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4"/>
      <c r="AK8" s="12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8"/>
      <c r="BJ8" s="29"/>
      <c r="BK8" s="29"/>
      <c r="BL8" s="29"/>
      <c r="BM8" s="29"/>
    </row>
    <row r="9" spans="2:65" ht="20.100000000000001" customHeight="1" x14ac:dyDescent="0.45">
      <c r="B9" s="152"/>
      <c r="C9" s="31"/>
      <c r="D9" s="31"/>
      <c r="E9" s="31"/>
      <c r="F9" s="31"/>
      <c r="G9" s="31"/>
      <c r="H9" s="132"/>
      <c r="I9" s="156"/>
      <c r="J9" s="153" t="s">
        <v>138</v>
      </c>
      <c r="K9" s="52"/>
      <c r="L9" s="52"/>
      <c r="M9" s="52"/>
      <c r="N9" s="52"/>
      <c r="O9" s="52"/>
      <c r="P9" s="52"/>
      <c r="Q9" s="52"/>
      <c r="R9" s="153" t="s">
        <v>139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4"/>
      <c r="AK9" s="134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5"/>
      <c r="BJ9" s="29"/>
      <c r="BK9" s="29"/>
      <c r="BL9" s="29"/>
      <c r="BM9" s="29"/>
    </row>
    <row r="10" spans="2:65" ht="20.100000000000001" customHeight="1" x14ac:dyDescent="0.45">
      <c r="B10" s="152"/>
      <c r="C10" s="31"/>
      <c r="D10" s="31"/>
      <c r="E10" s="31"/>
      <c r="F10" s="31"/>
      <c r="G10" s="125"/>
      <c r="H10" s="126" t="s">
        <v>107</v>
      </c>
      <c r="I10" s="31"/>
      <c r="J10" s="140" t="s">
        <v>108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2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8"/>
      <c r="BJ10" s="29"/>
      <c r="BK10" s="29"/>
      <c r="BL10" s="29"/>
      <c r="BM10" s="29"/>
    </row>
    <row r="11" spans="2:65" ht="20.100000000000001" customHeight="1" x14ac:dyDescent="0.45">
      <c r="B11" s="124"/>
      <c r="C11" s="31"/>
      <c r="D11" s="31"/>
      <c r="E11" s="31"/>
      <c r="F11" s="31"/>
      <c r="G11" s="125"/>
      <c r="H11" s="126"/>
      <c r="I11" s="31"/>
      <c r="J11" s="126" t="s">
        <v>109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2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8"/>
      <c r="BJ11" s="29"/>
      <c r="BK11" s="29"/>
      <c r="BL11" s="29"/>
      <c r="BM11" s="29"/>
    </row>
    <row r="12" spans="2:65" ht="20.100000000000001" customHeight="1" x14ac:dyDescent="0.45">
      <c r="B12" s="124"/>
      <c r="C12" s="31"/>
      <c r="D12" s="31"/>
      <c r="E12" s="31"/>
      <c r="F12" s="31"/>
      <c r="G12" s="125"/>
      <c r="H12" s="126"/>
      <c r="I12" s="31"/>
      <c r="J12" s="126" t="s">
        <v>110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2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8"/>
      <c r="BJ12" s="29"/>
      <c r="BK12" s="29"/>
      <c r="BL12" s="29"/>
      <c r="BM12" s="29"/>
    </row>
    <row r="13" spans="2:65" ht="20.100000000000001" customHeight="1" x14ac:dyDescent="0.45">
      <c r="B13" s="124"/>
      <c r="C13" s="31"/>
      <c r="D13" s="31"/>
      <c r="E13" s="31"/>
      <c r="F13" s="31"/>
      <c r="G13" s="125"/>
      <c r="H13" s="126"/>
      <c r="I13" s="31"/>
      <c r="J13" s="126" t="s">
        <v>111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2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8"/>
      <c r="BJ13" s="29"/>
      <c r="BK13" s="29"/>
      <c r="BL13" s="29"/>
      <c r="BM13" s="29"/>
    </row>
    <row r="14" spans="2:65" ht="20.100000000000001" customHeight="1" x14ac:dyDescent="0.45">
      <c r="B14" s="124"/>
      <c r="C14" s="31"/>
      <c r="D14" s="31"/>
      <c r="E14" s="31"/>
      <c r="F14" s="31"/>
      <c r="G14" s="125"/>
      <c r="H14" s="129" t="s">
        <v>112</v>
      </c>
      <c r="I14" s="55"/>
      <c r="J14" s="136" t="s">
        <v>113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1"/>
      <c r="BJ14" s="29"/>
      <c r="BK14" s="29"/>
      <c r="BL14" s="29"/>
      <c r="BM14" s="29"/>
    </row>
    <row r="15" spans="2:65" ht="20.100000000000001" customHeight="1" x14ac:dyDescent="0.45">
      <c r="B15" s="124"/>
      <c r="C15" s="31"/>
      <c r="D15" s="31"/>
      <c r="E15" s="31"/>
      <c r="F15" s="31"/>
      <c r="G15" s="125"/>
      <c r="H15" s="126"/>
      <c r="I15" s="31"/>
      <c r="J15" s="137"/>
      <c r="K15" s="138" t="s">
        <v>114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2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8"/>
      <c r="BJ15" s="29"/>
      <c r="BK15" s="29"/>
      <c r="BL15" s="29"/>
      <c r="BM15" s="29"/>
    </row>
    <row r="16" spans="2:65" ht="20.100000000000001" customHeight="1" x14ac:dyDescent="0.45">
      <c r="B16" s="124"/>
      <c r="C16" s="31"/>
      <c r="D16" s="31"/>
      <c r="E16" s="31"/>
      <c r="F16" s="31"/>
      <c r="G16" s="125"/>
      <c r="H16" s="126"/>
      <c r="I16" s="31"/>
      <c r="J16" s="126"/>
      <c r="K16" s="29"/>
      <c r="L16" s="139"/>
      <c r="M16" s="138" t="s">
        <v>115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2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8"/>
      <c r="BJ16" s="29"/>
      <c r="BK16" s="29"/>
      <c r="BL16" s="29"/>
      <c r="BM16" s="29"/>
    </row>
    <row r="17" spans="2:65" ht="20.100000000000001" customHeight="1" x14ac:dyDescent="0.45">
      <c r="B17" s="124"/>
      <c r="C17" s="31"/>
      <c r="D17" s="31"/>
      <c r="E17" s="31"/>
      <c r="F17" s="31"/>
      <c r="G17" s="125"/>
      <c r="H17" s="126"/>
      <c r="I17" s="31"/>
      <c r="J17" s="126"/>
      <c r="K17" s="29"/>
      <c r="L17" s="139" t="s">
        <v>116</v>
      </c>
      <c r="M17" s="138" t="s">
        <v>115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2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8"/>
      <c r="BJ17" s="29"/>
      <c r="BK17" s="29"/>
      <c r="BL17" s="29"/>
      <c r="BM17" s="29"/>
    </row>
    <row r="18" spans="2:65" ht="20.100000000000001" customHeight="1" x14ac:dyDescent="0.45">
      <c r="B18" s="124"/>
      <c r="C18" s="31"/>
      <c r="D18" s="31"/>
      <c r="E18" s="31"/>
      <c r="F18" s="31"/>
      <c r="G18" s="125"/>
      <c r="H18" s="126"/>
      <c r="I18" s="31"/>
      <c r="J18" s="126"/>
      <c r="K18" s="29"/>
      <c r="L18" s="139" t="s">
        <v>117</v>
      </c>
      <c r="M18" s="138" t="s">
        <v>115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2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8"/>
      <c r="BJ18" s="29"/>
      <c r="BK18" s="29"/>
      <c r="BL18" s="29"/>
      <c r="BM18" s="29"/>
    </row>
    <row r="19" spans="2:65" ht="20.100000000000001" customHeight="1" x14ac:dyDescent="0.45">
      <c r="B19" s="124"/>
      <c r="C19" s="31"/>
      <c r="D19" s="31"/>
      <c r="E19" s="31"/>
      <c r="F19" s="31"/>
      <c r="G19" s="125"/>
      <c r="H19" s="126"/>
      <c r="I19" s="31"/>
      <c r="J19" s="126" t="s">
        <v>118</v>
      </c>
      <c r="K19" s="139"/>
      <c r="L19" s="13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2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8"/>
      <c r="BJ19" s="29"/>
      <c r="BK19" s="29"/>
      <c r="BL19" s="29"/>
      <c r="BM19" s="29"/>
    </row>
    <row r="20" spans="2:65" ht="20.100000000000001" customHeight="1" x14ac:dyDescent="0.45">
      <c r="B20" s="124"/>
      <c r="C20" s="31"/>
      <c r="D20" s="31"/>
      <c r="E20" s="31"/>
      <c r="F20" s="31"/>
      <c r="G20" s="125"/>
      <c r="H20" s="126"/>
      <c r="I20" s="31"/>
      <c r="J20" s="126"/>
      <c r="K20" s="31" t="s">
        <v>119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2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8"/>
      <c r="BJ20" s="29"/>
      <c r="BK20" s="29"/>
      <c r="BL20" s="29"/>
      <c r="BM20" s="29"/>
    </row>
    <row r="21" spans="2:65" ht="20.100000000000001" customHeight="1" x14ac:dyDescent="0.45">
      <c r="B21" s="124"/>
      <c r="C21" s="31"/>
      <c r="D21" s="31"/>
      <c r="E21" s="31"/>
      <c r="F21" s="31"/>
      <c r="G21" s="125"/>
      <c r="H21" s="126"/>
      <c r="I21" s="31"/>
      <c r="J21" s="126"/>
      <c r="K21" s="29"/>
      <c r="L21" s="31"/>
      <c r="M21" s="31" t="s">
        <v>120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2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8"/>
    </row>
    <row r="22" spans="2:65" ht="20.100000000000001" customHeight="1" x14ac:dyDescent="0.45">
      <c r="B22" s="124"/>
      <c r="C22" s="31"/>
      <c r="D22" s="31"/>
      <c r="E22" s="31"/>
      <c r="F22" s="31"/>
      <c r="G22" s="125"/>
      <c r="H22" s="132"/>
      <c r="I22" s="133"/>
      <c r="J22" s="132"/>
      <c r="K22" s="133"/>
      <c r="L22" s="133" t="s">
        <v>116</v>
      </c>
      <c r="M22" s="133" t="s">
        <v>121</v>
      </c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4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5"/>
    </row>
    <row r="23" spans="2:65" ht="20.100000000000001" customHeight="1" x14ac:dyDescent="0.45">
      <c r="B23" s="124"/>
      <c r="C23" s="31"/>
      <c r="D23" s="31"/>
      <c r="E23" s="31"/>
      <c r="F23" s="31"/>
      <c r="G23" s="125"/>
      <c r="H23" s="126" t="s">
        <v>122</v>
      </c>
      <c r="I23" s="31"/>
      <c r="J23" s="140"/>
      <c r="K23" s="138" t="s">
        <v>123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1" t="s">
        <v>124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8"/>
    </row>
    <row r="24" spans="2:65" ht="20.100000000000001" customHeight="1" x14ac:dyDescent="0.45">
      <c r="B24" s="124"/>
      <c r="C24" s="31"/>
      <c r="D24" s="31"/>
      <c r="E24" s="31"/>
      <c r="F24" s="31"/>
      <c r="G24" s="125"/>
      <c r="H24" s="126"/>
      <c r="I24" s="31"/>
      <c r="J24" s="140" t="s">
        <v>116</v>
      </c>
      <c r="K24" s="138" t="s">
        <v>125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2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8"/>
    </row>
    <row r="25" spans="2:65" ht="20.100000000000001" customHeight="1" x14ac:dyDescent="0.45">
      <c r="B25" s="124"/>
      <c r="C25" s="31"/>
      <c r="D25" s="31"/>
      <c r="E25" s="31"/>
      <c r="F25" s="31"/>
      <c r="G25" s="125"/>
      <c r="H25" s="126"/>
      <c r="I25" s="31"/>
      <c r="J25" s="140" t="s">
        <v>117</v>
      </c>
      <c r="K25" s="138" t="s">
        <v>125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2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8"/>
    </row>
    <row r="26" spans="2:65" ht="20.100000000000001" customHeight="1" x14ac:dyDescent="0.45">
      <c r="B26" s="124"/>
      <c r="C26" s="31"/>
      <c r="D26" s="31"/>
      <c r="E26" s="31"/>
      <c r="F26" s="31"/>
      <c r="G26" s="125"/>
      <c r="H26" s="126"/>
      <c r="I26" s="31"/>
      <c r="J26" s="140" t="s">
        <v>126</v>
      </c>
      <c r="K26" s="13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2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8"/>
    </row>
    <row r="27" spans="2:65" ht="20.100000000000001" customHeight="1" x14ac:dyDescent="0.45">
      <c r="B27" s="124"/>
      <c r="C27" s="31"/>
      <c r="D27" s="31"/>
      <c r="E27" s="31"/>
      <c r="F27" s="31"/>
      <c r="G27" s="125"/>
      <c r="H27" s="126"/>
      <c r="I27" s="31"/>
      <c r="J27" s="126"/>
      <c r="K27" s="31" t="s">
        <v>127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2" t="s">
        <v>128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8"/>
    </row>
    <row r="28" spans="2:65" ht="20.100000000000001" customHeight="1" x14ac:dyDescent="0.45">
      <c r="B28" s="124"/>
      <c r="C28" s="31"/>
      <c r="D28" s="31"/>
      <c r="E28" s="31"/>
      <c r="F28" s="31"/>
      <c r="G28" s="125"/>
      <c r="H28" s="126"/>
      <c r="I28" s="31"/>
      <c r="J28" s="126" t="s">
        <v>116</v>
      </c>
      <c r="K28" s="31" t="s">
        <v>129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28"/>
    </row>
    <row r="29" spans="2:65" ht="20.100000000000001" customHeight="1" x14ac:dyDescent="0.45">
      <c r="B29" s="124"/>
      <c r="C29" s="31"/>
      <c r="D29" s="31"/>
      <c r="E29" s="31"/>
      <c r="F29" s="31"/>
      <c r="G29" s="125"/>
      <c r="H29" s="126"/>
      <c r="I29" s="31"/>
      <c r="J29" s="14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28"/>
    </row>
    <row r="30" spans="2:65" ht="20.100000000000001" customHeight="1" x14ac:dyDescent="0.45">
      <c r="B30" s="124"/>
      <c r="C30" s="31"/>
      <c r="D30" s="31"/>
      <c r="E30" s="31"/>
      <c r="F30" s="31"/>
      <c r="G30" s="125"/>
      <c r="H30" s="126"/>
      <c r="I30" s="31"/>
      <c r="J30" s="12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8"/>
    </row>
    <row r="31" spans="2:65" ht="20.100000000000001" customHeight="1" x14ac:dyDescent="0.45">
      <c r="B31" s="124"/>
      <c r="C31" s="31"/>
      <c r="D31" s="31"/>
      <c r="E31" s="31"/>
      <c r="F31" s="31"/>
      <c r="G31" s="125"/>
      <c r="H31" s="132"/>
      <c r="I31" s="133"/>
      <c r="J31" s="132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2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5"/>
    </row>
    <row r="32" spans="2:65" ht="20.100000000000001" customHeight="1" x14ac:dyDescent="0.45">
      <c r="B32" s="124"/>
      <c r="C32" s="31"/>
      <c r="D32" s="31"/>
      <c r="E32" s="31"/>
      <c r="F32" s="31"/>
      <c r="G32" s="125"/>
      <c r="H32" s="126" t="s">
        <v>130</v>
      </c>
      <c r="I32" s="31"/>
      <c r="J32" s="140" t="s">
        <v>131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8"/>
    </row>
    <row r="33" spans="2:61" ht="20.100000000000001" customHeight="1" x14ac:dyDescent="0.45">
      <c r="B33" s="124"/>
      <c r="C33" s="31"/>
      <c r="D33" s="31"/>
      <c r="E33" s="31"/>
      <c r="F33" s="31"/>
      <c r="G33" s="125"/>
      <c r="H33" s="126"/>
      <c r="I33" s="31"/>
      <c r="J33" s="140" t="s">
        <v>132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8"/>
    </row>
    <row r="34" spans="2:61" ht="20.100000000000001" customHeight="1" thickBot="1" x14ac:dyDescent="0.5">
      <c r="B34" s="143"/>
      <c r="C34" s="144"/>
      <c r="D34" s="144"/>
      <c r="E34" s="144"/>
      <c r="F34" s="144"/>
      <c r="G34" s="145"/>
      <c r="H34" s="146"/>
      <c r="I34" s="144"/>
      <c r="J34" s="146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6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48" t="s">
        <v>133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7" style="6" customWidth="1"/>
    <col min="28" max="43" width="7.8984375" style="6" customWidth="1"/>
    <col min="44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300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85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MH0300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45582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45582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85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7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15" t="s">
        <v>20</v>
      </c>
      <c r="F10" s="216"/>
      <c r="G10" s="216"/>
      <c r="H10" s="216"/>
      <c r="I10" s="216"/>
      <c r="J10" s="216"/>
      <c r="K10" s="216"/>
      <c r="L10" s="217"/>
      <c r="M10" s="218" t="s">
        <v>24</v>
      </c>
      <c r="N10" s="219"/>
      <c r="O10" s="219"/>
      <c r="P10" s="218" t="s">
        <v>33</v>
      </c>
      <c r="Q10" s="219"/>
      <c r="R10" s="219"/>
      <c r="S10" s="218" t="s">
        <v>34</v>
      </c>
      <c r="T10" s="219"/>
      <c r="U10" s="219"/>
      <c r="V10" s="218" t="s">
        <v>36</v>
      </c>
      <c r="W10" s="219"/>
      <c r="X10" s="219"/>
      <c r="Y10" s="219"/>
      <c r="Z10" s="219"/>
      <c r="AA10" s="233"/>
      <c r="AB10" s="218" t="s">
        <v>35</v>
      </c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33"/>
      <c r="AR10" s="218" t="s">
        <v>42</v>
      </c>
      <c r="AS10" s="219"/>
      <c r="AT10" s="219"/>
      <c r="AU10" s="219"/>
      <c r="AV10" s="219"/>
      <c r="AW10" s="233"/>
      <c r="AX10" s="218" t="s">
        <v>43</v>
      </c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  <c r="BO10" s="219"/>
      <c r="BP10" s="219"/>
      <c r="BQ10" s="219"/>
      <c r="BR10" s="219"/>
      <c r="BS10" s="219"/>
      <c r="BT10" s="225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09" t="s">
        <v>100</v>
      </c>
      <c r="F11" s="210"/>
      <c r="G11" s="210"/>
      <c r="H11" s="210"/>
      <c r="I11" s="210"/>
      <c r="J11" s="210"/>
      <c r="K11" s="210"/>
      <c r="L11" s="211"/>
      <c r="M11" s="164" t="s">
        <v>38</v>
      </c>
      <c r="N11" s="165"/>
      <c r="O11" s="165"/>
      <c r="P11" s="164" t="s">
        <v>93</v>
      </c>
      <c r="Q11" s="165"/>
      <c r="R11" s="165"/>
      <c r="S11" s="164" t="s">
        <v>95</v>
      </c>
      <c r="T11" s="165"/>
      <c r="U11" s="165"/>
      <c r="V11" s="222" t="s">
        <v>102</v>
      </c>
      <c r="W11" s="223"/>
      <c r="X11" s="223"/>
      <c r="Y11" s="223"/>
      <c r="Z11" s="223"/>
      <c r="AA11" s="224"/>
      <c r="AB11" s="235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7"/>
      <c r="AR11" s="164"/>
      <c r="AS11" s="165"/>
      <c r="AT11" s="165"/>
      <c r="AU11" s="165"/>
      <c r="AV11" s="165"/>
      <c r="AW11" s="166"/>
      <c r="AX11" s="222"/>
      <c r="AY11" s="223"/>
      <c r="AZ11" s="223"/>
      <c r="BA11" s="223"/>
      <c r="BB11" s="223"/>
      <c r="BC11" s="223"/>
      <c r="BD11" s="223"/>
      <c r="BE11" s="223"/>
      <c r="BF11" s="223"/>
      <c r="BG11" s="223"/>
      <c r="BH11" s="223"/>
      <c r="BI11" s="223"/>
      <c r="BJ11" s="223"/>
      <c r="BK11" s="223"/>
      <c r="BL11" s="223"/>
      <c r="BM11" s="223"/>
      <c r="BN11" s="223"/>
      <c r="BO11" s="223"/>
      <c r="BP11" s="223"/>
      <c r="BQ11" s="223"/>
      <c r="BR11" s="223"/>
      <c r="BS11" s="223"/>
      <c r="BT11" s="226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160">
        <v>2</v>
      </c>
      <c r="E12" s="212" t="s">
        <v>101</v>
      </c>
      <c r="F12" s="213"/>
      <c r="G12" s="213"/>
      <c r="H12" s="213"/>
      <c r="I12" s="213"/>
      <c r="J12" s="213"/>
      <c r="K12" s="213"/>
      <c r="L12" s="214"/>
      <c r="M12" s="220" t="s">
        <v>38</v>
      </c>
      <c r="N12" s="221"/>
      <c r="O12" s="221"/>
      <c r="P12" s="220" t="s">
        <v>93</v>
      </c>
      <c r="Q12" s="221"/>
      <c r="R12" s="221"/>
      <c r="S12" s="220" t="s">
        <v>95</v>
      </c>
      <c r="T12" s="221"/>
      <c r="U12" s="221"/>
      <c r="V12" s="227"/>
      <c r="W12" s="228"/>
      <c r="X12" s="228"/>
      <c r="Y12" s="228"/>
      <c r="Z12" s="228"/>
      <c r="AA12" s="234"/>
      <c r="AB12" s="227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/>
      <c r="AP12" s="228"/>
      <c r="AQ12" s="234"/>
      <c r="AR12" s="220"/>
      <c r="AS12" s="221"/>
      <c r="AT12" s="221"/>
      <c r="AU12" s="221"/>
      <c r="AV12" s="221"/>
      <c r="AW12" s="242"/>
      <c r="AX12" s="227"/>
      <c r="AY12" s="228"/>
      <c r="AZ12" s="228"/>
      <c r="BA12" s="228"/>
      <c r="BB12" s="228"/>
      <c r="BC12" s="228"/>
      <c r="BD12" s="228"/>
      <c r="BE12" s="228"/>
      <c r="BF12" s="228"/>
      <c r="BG12" s="228"/>
      <c r="BH12" s="228"/>
      <c r="BI12" s="228"/>
      <c r="BJ12" s="228"/>
      <c r="BK12" s="228"/>
      <c r="BL12" s="228"/>
      <c r="BM12" s="228"/>
      <c r="BN12" s="228"/>
      <c r="BO12" s="228"/>
      <c r="BP12" s="228"/>
      <c r="BQ12" s="228"/>
      <c r="BR12" s="228"/>
      <c r="BS12" s="228"/>
      <c r="BT12" s="229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09" t="s">
        <v>74</v>
      </c>
      <c r="F13" s="210"/>
      <c r="G13" s="210"/>
      <c r="H13" s="210"/>
      <c r="I13" s="210"/>
      <c r="J13" s="210"/>
      <c r="K13" s="210"/>
      <c r="L13" s="211"/>
      <c r="M13" s="164" t="s">
        <v>8</v>
      </c>
      <c r="N13" s="165"/>
      <c r="O13" s="165"/>
      <c r="P13" s="164" t="s">
        <v>75</v>
      </c>
      <c r="Q13" s="165"/>
      <c r="R13" s="165"/>
      <c r="S13" s="164" t="s">
        <v>95</v>
      </c>
      <c r="T13" s="165"/>
      <c r="U13" s="165"/>
      <c r="V13" s="222" t="s">
        <v>76</v>
      </c>
      <c r="W13" s="223"/>
      <c r="X13" s="223"/>
      <c r="Y13" s="223"/>
      <c r="Z13" s="223"/>
      <c r="AA13" s="224"/>
      <c r="AB13" s="235" t="s">
        <v>77</v>
      </c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7"/>
      <c r="AR13" s="164" t="s">
        <v>141</v>
      </c>
      <c r="AS13" s="165"/>
      <c r="AT13" s="165"/>
      <c r="AU13" s="165"/>
      <c r="AV13" s="165"/>
      <c r="AW13" s="166"/>
      <c r="AX13" s="222"/>
      <c r="AY13" s="223"/>
      <c r="AZ13" s="223"/>
      <c r="BA13" s="223"/>
      <c r="BB13" s="223"/>
      <c r="BC13" s="223"/>
      <c r="BD13" s="223"/>
      <c r="BE13" s="223"/>
      <c r="BF13" s="223"/>
      <c r="BG13" s="223"/>
      <c r="BH13" s="223"/>
      <c r="BI13" s="223"/>
      <c r="BJ13" s="223"/>
      <c r="BK13" s="223"/>
      <c r="BL13" s="223"/>
      <c r="BM13" s="223"/>
      <c r="BN13" s="223"/>
      <c r="BO13" s="223"/>
      <c r="BP13" s="223"/>
      <c r="BQ13" s="223"/>
      <c r="BR13" s="223"/>
      <c r="BS13" s="223"/>
      <c r="BT13" s="226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09" t="s">
        <v>78</v>
      </c>
      <c r="F14" s="210"/>
      <c r="G14" s="210"/>
      <c r="H14" s="210"/>
      <c r="I14" s="210"/>
      <c r="J14" s="210"/>
      <c r="K14" s="210"/>
      <c r="L14" s="211"/>
      <c r="M14" s="164" t="s">
        <v>38</v>
      </c>
      <c r="N14" s="165"/>
      <c r="O14" s="165"/>
      <c r="P14" s="164" t="s">
        <v>75</v>
      </c>
      <c r="Q14" s="165"/>
      <c r="R14" s="165"/>
      <c r="S14" s="164" t="s">
        <v>95</v>
      </c>
      <c r="T14" s="165"/>
      <c r="U14" s="165"/>
      <c r="V14" s="222" t="s">
        <v>261</v>
      </c>
      <c r="W14" s="223"/>
      <c r="X14" s="223"/>
      <c r="Y14" s="223"/>
      <c r="Z14" s="223"/>
      <c r="AA14" s="224"/>
      <c r="AB14" s="235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7"/>
      <c r="AR14" s="164"/>
      <c r="AS14" s="165"/>
      <c r="AT14" s="165"/>
      <c r="AU14" s="165"/>
      <c r="AV14" s="165"/>
      <c r="AW14" s="166"/>
      <c r="AX14" s="222"/>
      <c r="AY14" s="223"/>
      <c r="AZ14" s="223"/>
      <c r="BA14" s="223"/>
      <c r="BB14" s="223"/>
      <c r="BC14" s="223"/>
      <c r="BD14" s="223"/>
      <c r="BE14" s="223"/>
      <c r="BF14" s="223"/>
      <c r="BG14" s="223"/>
      <c r="BH14" s="223"/>
      <c r="BI14" s="223"/>
      <c r="BJ14" s="223"/>
      <c r="BK14" s="223"/>
      <c r="BL14" s="223"/>
      <c r="BM14" s="223"/>
      <c r="BN14" s="223"/>
      <c r="BO14" s="223"/>
      <c r="BP14" s="223"/>
      <c r="BQ14" s="223"/>
      <c r="BR14" s="223"/>
      <c r="BS14" s="223"/>
      <c r="BT14" s="226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09" t="s">
        <v>79</v>
      </c>
      <c r="F15" s="210"/>
      <c r="G15" s="210"/>
      <c r="H15" s="210"/>
      <c r="I15" s="210"/>
      <c r="J15" s="210"/>
      <c r="K15" s="210"/>
      <c r="L15" s="211"/>
      <c r="M15" s="164" t="s">
        <v>38</v>
      </c>
      <c r="N15" s="165"/>
      <c r="O15" s="165"/>
      <c r="P15" s="164" t="s">
        <v>75</v>
      </c>
      <c r="Q15" s="165"/>
      <c r="R15" s="165"/>
      <c r="S15" s="164" t="s">
        <v>95</v>
      </c>
      <c r="T15" s="165"/>
      <c r="U15" s="165"/>
      <c r="V15" s="222" t="s">
        <v>262</v>
      </c>
      <c r="W15" s="223"/>
      <c r="X15" s="223"/>
      <c r="Y15" s="223"/>
      <c r="Z15" s="223"/>
      <c r="AA15" s="224"/>
      <c r="AB15" s="235" t="s">
        <v>273</v>
      </c>
      <c r="AC15" s="236"/>
      <c r="AD15" s="236"/>
      <c r="AE15" s="236"/>
      <c r="AF15" s="236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7"/>
      <c r="AR15" s="164"/>
      <c r="AS15" s="165"/>
      <c r="AT15" s="165"/>
      <c r="AU15" s="165"/>
      <c r="AV15" s="165"/>
      <c r="AW15" s="166"/>
      <c r="AX15" s="222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6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09" t="s">
        <v>80</v>
      </c>
      <c r="F16" s="210"/>
      <c r="G16" s="210"/>
      <c r="H16" s="210"/>
      <c r="I16" s="210"/>
      <c r="J16" s="210"/>
      <c r="K16" s="210"/>
      <c r="L16" s="211"/>
      <c r="M16" s="164" t="s">
        <v>38</v>
      </c>
      <c r="N16" s="165"/>
      <c r="O16" s="165"/>
      <c r="P16" s="164" t="s">
        <v>75</v>
      </c>
      <c r="Q16" s="165"/>
      <c r="R16" s="165"/>
      <c r="S16" s="164" t="s">
        <v>95</v>
      </c>
      <c r="T16" s="165"/>
      <c r="U16" s="165"/>
      <c r="V16" s="222" t="s">
        <v>263</v>
      </c>
      <c r="W16" s="223"/>
      <c r="X16" s="223"/>
      <c r="Y16" s="223"/>
      <c r="Z16" s="223"/>
      <c r="AA16" s="224"/>
      <c r="AB16" s="235"/>
      <c r="AC16" s="236"/>
      <c r="AD16" s="236"/>
      <c r="AE16" s="236"/>
      <c r="AF16" s="236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7"/>
      <c r="AR16" s="164"/>
      <c r="AS16" s="165"/>
      <c r="AT16" s="165"/>
      <c r="AU16" s="165"/>
      <c r="AV16" s="165"/>
      <c r="AW16" s="166"/>
      <c r="AX16" s="222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6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09" t="s">
        <v>81</v>
      </c>
      <c r="F17" s="210"/>
      <c r="G17" s="210"/>
      <c r="H17" s="210"/>
      <c r="I17" s="210"/>
      <c r="J17" s="210"/>
      <c r="K17" s="210"/>
      <c r="L17" s="211"/>
      <c r="M17" s="164" t="s">
        <v>38</v>
      </c>
      <c r="N17" s="165"/>
      <c r="O17" s="165"/>
      <c r="P17" s="164" t="s">
        <v>75</v>
      </c>
      <c r="Q17" s="165"/>
      <c r="R17" s="165"/>
      <c r="S17" s="164" t="s">
        <v>95</v>
      </c>
      <c r="T17" s="165"/>
      <c r="U17" s="165"/>
      <c r="V17" s="222" t="s">
        <v>264</v>
      </c>
      <c r="W17" s="223"/>
      <c r="X17" s="223"/>
      <c r="Y17" s="223"/>
      <c r="Z17" s="223"/>
      <c r="AA17" s="224"/>
      <c r="AB17" s="235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7"/>
      <c r="AR17" s="164"/>
      <c r="AS17" s="165"/>
      <c r="AT17" s="165"/>
      <c r="AU17" s="165"/>
      <c r="AV17" s="165"/>
      <c r="AW17" s="166"/>
      <c r="AX17" s="222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6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09" t="s">
        <v>82</v>
      </c>
      <c r="F18" s="210"/>
      <c r="G18" s="210"/>
      <c r="H18" s="210"/>
      <c r="I18" s="210"/>
      <c r="J18" s="210"/>
      <c r="K18" s="210"/>
      <c r="L18" s="211"/>
      <c r="M18" s="164" t="s">
        <v>38</v>
      </c>
      <c r="N18" s="165"/>
      <c r="O18" s="165"/>
      <c r="P18" s="164" t="s">
        <v>93</v>
      </c>
      <c r="Q18" s="165"/>
      <c r="R18" s="165"/>
      <c r="S18" s="164" t="s">
        <v>95</v>
      </c>
      <c r="T18" s="165"/>
      <c r="U18" s="165"/>
      <c r="V18" s="222" t="s">
        <v>265</v>
      </c>
      <c r="W18" s="223"/>
      <c r="X18" s="223"/>
      <c r="Y18" s="223"/>
      <c r="Z18" s="223"/>
      <c r="AA18" s="224"/>
      <c r="AB18" s="235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7"/>
      <c r="AR18" s="164"/>
      <c r="AS18" s="165"/>
      <c r="AT18" s="165"/>
      <c r="AU18" s="165"/>
      <c r="AV18" s="165"/>
      <c r="AW18" s="166"/>
      <c r="AX18" s="222"/>
      <c r="AY18" s="223"/>
      <c r="AZ18" s="223"/>
      <c r="BA18" s="223"/>
      <c r="BB18" s="223"/>
      <c r="BC18" s="223"/>
      <c r="BD18" s="223"/>
      <c r="BE18" s="223"/>
      <c r="BF18" s="223"/>
      <c r="BG18" s="223"/>
      <c r="BH18" s="223"/>
      <c r="BI18" s="223"/>
      <c r="BJ18" s="223"/>
      <c r="BK18" s="223"/>
      <c r="BL18" s="223"/>
      <c r="BM18" s="223"/>
      <c r="BN18" s="223"/>
      <c r="BO18" s="223"/>
      <c r="BP18" s="223"/>
      <c r="BQ18" s="223"/>
      <c r="BR18" s="223"/>
      <c r="BS18" s="223"/>
      <c r="BT18" s="226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09" t="s">
        <v>83</v>
      </c>
      <c r="F19" s="210"/>
      <c r="G19" s="210"/>
      <c r="H19" s="210"/>
      <c r="I19" s="210"/>
      <c r="J19" s="210"/>
      <c r="K19" s="210"/>
      <c r="L19" s="211"/>
      <c r="M19" s="164" t="s">
        <v>47</v>
      </c>
      <c r="N19" s="165"/>
      <c r="O19" s="165"/>
      <c r="P19" s="164" t="s">
        <v>75</v>
      </c>
      <c r="Q19" s="165"/>
      <c r="R19" s="165"/>
      <c r="S19" s="164" t="s">
        <v>95</v>
      </c>
      <c r="T19" s="165"/>
      <c r="U19" s="165"/>
      <c r="V19" s="222" t="s">
        <v>296</v>
      </c>
      <c r="W19" s="223"/>
      <c r="X19" s="223"/>
      <c r="Y19" s="223"/>
      <c r="Z19" s="223"/>
      <c r="AA19" s="224"/>
      <c r="AB19" s="235" t="s">
        <v>297</v>
      </c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7"/>
      <c r="AR19" s="164">
        <v>9999</v>
      </c>
      <c r="AS19" s="165"/>
      <c r="AT19" s="165"/>
      <c r="AU19" s="165"/>
      <c r="AV19" s="165"/>
      <c r="AW19" s="166"/>
      <c r="AX19" s="222" t="s">
        <v>99</v>
      </c>
      <c r="AY19" s="223"/>
      <c r="AZ19" s="223"/>
      <c r="BA19" s="223"/>
      <c r="BB19" s="223"/>
      <c r="BC19" s="223"/>
      <c r="BD19" s="223"/>
      <c r="BE19" s="223"/>
      <c r="BF19" s="223"/>
      <c r="BG19" s="223"/>
      <c r="BH19" s="223"/>
      <c r="BI19" s="223"/>
      <c r="BJ19" s="223"/>
      <c r="BK19" s="223"/>
      <c r="BL19" s="223"/>
      <c r="BM19" s="223"/>
      <c r="BN19" s="223"/>
      <c r="BO19" s="223"/>
      <c r="BP19" s="223"/>
      <c r="BQ19" s="223"/>
      <c r="BR19" s="223"/>
      <c r="BS19" s="223"/>
      <c r="BT19" s="226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09" t="s">
        <v>84</v>
      </c>
      <c r="F20" s="210"/>
      <c r="G20" s="210"/>
      <c r="H20" s="210"/>
      <c r="I20" s="210"/>
      <c r="J20" s="210"/>
      <c r="K20" s="210"/>
      <c r="L20" s="211"/>
      <c r="M20" s="164" t="s">
        <v>38</v>
      </c>
      <c r="N20" s="165"/>
      <c r="O20" s="165"/>
      <c r="P20" s="164" t="s">
        <v>75</v>
      </c>
      <c r="Q20" s="165"/>
      <c r="R20" s="165"/>
      <c r="S20" s="164" t="s">
        <v>95</v>
      </c>
      <c r="T20" s="165"/>
      <c r="U20" s="165"/>
      <c r="V20" s="222" t="s">
        <v>266</v>
      </c>
      <c r="W20" s="223"/>
      <c r="X20" s="223"/>
      <c r="Y20" s="223"/>
      <c r="Z20" s="223"/>
      <c r="AA20" s="224"/>
      <c r="AB20" s="235" t="s">
        <v>274</v>
      </c>
      <c r="AC20" s="236"/>
      <c r="AD20" s="236"/>
      <c r="AE20" s="236"/>
      <c r="AF20" s="236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7"/>
      <c r="AR20" s="164"/>
      <c r="AS20" s="165"/>
      <c r="AT20" s="165"/>
      <c r="AU20" s="165"/>
      <c r="AV20" s="165"/>
      <c r="AW20" s="166"/>
      <c r="AX20" s="222"/>
      <c r="AY20" s="223"/>
      <c r="AZ20" s="223"/>
      <c r="BA20" s="223"/>
      <c r="BB20" s="223"/>
      <c r="BC20" s="223"/>
      <c r="BD20" s="223"/>
      <c r="BE20" s="223"/>
      <c r="BF20" s="223"/>
      <c r="BG20" s="223"/>
      <c r="BH20" s="223"/>
      <c r="BI20" s="223"/>
      <c r="BJ20" s="223"/>
      <c r="BK20" s="223"/>
      <c r="BL20" s="223"/>
      <c r="BM20" s="223"/>
      <c r="BN20" s="223"/>
      <c r="BO20" s="223"/>
      <c r="BP20" s="223"/>
      <c r="BQ20" s="223"/>
      <c r="BR20" s="223"/>
      <c r="BS20" s="223"/>
      <c r="BT20" s="226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09" t="s">
        <v>85</v>
      </c>
      <c r="F21" s="210"/>
      <c r="G21" s="210"/>
      <c r="H21" s="210"/>
      <c r="I21" s="210"/>
      <c r="J21" s="210"/>
      <c r="K21" s="210"/>
      <c r="L21" s="211"/>
      <c r="M21" s="164" t="s">
        <v>38</v>
      </c>
      <c r="N21" s="165"/>
      <c r="O21" s="165"/>
      <c r="P21" s="164" t="s">
        <v>93</v>
      </c>
      <c r="Q21" s="165"/>
      <c r="R21" s="165"/>
      <c r="S21" s="164" t="s">
        <v>95</v>
      </c>
      <c r="T21" s="165"/>
      <c r="U21" s="165"/>
      <c r="V21" s="222" t="s">
        <v>267</v>
      </c>
      <c r="W21" s="223"/>
      <c r="X21" s="223"/>
      <c r="Y21" s="223"/>
      <c r="Z21" s="223"/>
      <c r="AA21" s="224"/>
      <c r="AB21" s="235" t="s">
        <v>275</v>
      </c>
      <c r="AC21" s="236"/>
      <c r="AD21" s="236"/>
      <c r="AE21" s="236"/>
      <c r="AF21" s="236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7"/>
      <c r="AR21" s="164"/>
      <c r="AS21" s="165"/>
      <c r="AT21" s="165"/>
      <c r="AU21" s="165"/>
      <c r="AV21" s="165"/>
      <c r="AW21" s="166"/>
      <c r="AX21" s="222"/>
      <c r="AY21" s="223"/>
      <c r="AZ21" s="223"/>
      <c r="BA21" s="223"/>
      <c r="BB21" s="223"/>
      <c r="BC21" s="223"/>
      <c r="BD21" s="223"/>
      <c r="BE21" s="223"/>
      <c r="BF21" s="223"/>
      <c r="BG21" s="223"/>
      <c r="BH21" s="223"/>
      <c r="BI21" s="223"/>
      <c r="BJ21" s="223"/>
      <c r="BK21" s="223"/>
      <c r="BL21" s="223"/>
      <c r="BM21" s="223"/>
      <c r="BN21" s="223"/>
      <c r="BO21" s="223"/>
      <c r="BP21" s="223"/>
      <c r="BQ21" s="223"/>
      <c r="BR21" s="223"/>
      <c r="BS21" s="223"/>
      <c r="BT21" s="226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09" t="s">
        <v>86</v>
      </c>
      <c r="F22" s="210"/>
      <c r="G22" s="210"/>
      <c r="H22" s="210"/>
      <c r="I22" s="210"/>
      <c r="J22" s="210"/>
      <c r="K22" s="210"/>
      <c r="L22" s="211"/>
      <c r="M22" s="164" t="s">
        <v>8</v>
      </c>
      <c r="N22" s="165"/>
      <c r="O22" s="165"/>
      <c r="P22" s="164" t="s">
        <v>75</v>
      </c>
      <c r="Q22" s="165"/>
      <c r="R22" s="165"/>
      <c r="S22" s="164" t="s">
        <v>95</v>
      </c>
      <c r="T22" s="165"/>
      <c r="U22" s="165"/>
      <c r="V22" s="222" t="s">
        <v>268</v>
      </c>
      <c r="W22" s="223"/>
      <c r="X22" s="223"/>
      <c r="Y22" s="223"/>
      <c r="Z22" s="223"/>
      <c r="AA22" s="224"/>
      <c r="AB22" s="235"/>
      <c r="AC22" s="236"/>
      <c r="AD22" s="236"/>
      <c r="AE22" s="236"/>
      <c r="AF22" s="236"/>
      <c r="AG22" s="236"/>
      <c r="AH22" s="236"/>
      <c r="AI22" s="236"/>
      <c r="AJ22" s="236"/>
      <c r="AK22" s="236"/>
      <c r="AL22" s="236"/>
      <c r="AM22" s="236"/>
      <c r="AN22" s="236"/>
      <c r="AO22" s="236"/>
      <c r="AP22" s="236"/>
      <c r="AQ22" s="237"/>
      <c r="AR22" s="164" t="s">
        <v>96</v>
      </c>
      <c r="AS22" s="165"/>
      <c r="AT22" s="165"/>
      <c r="AU22" s="165"/>
      <c r="AV22" s="165"/>
      <c r="AW22" s="166"/>
      <c r="AX22" s="222"/>
      <c r="AY22" s="223"/>
      <c r="AZ22" s="223"/>
      <c r="BA22" s="223"/>
      <c r="BB22" s="223"/>
      <c r="BC22" s="223"/>
      <c r="BD22" s="223"/>
      <c r="BE22" s="223"/>
      <c r="BF22" s="223"/>
      <c r="BG22" s="223"/>
      <c r="BH22" s="223"/>
      <c r="BI22" s="223"/>
      <c r="BJ22" s="223"/>
      <c r="BK22" s="223"/>
      <c r="BL22" s="223"/>
      <c r="BM22" s="223"/>
      <c r="BN22" s="223"/>
      <c r="BO22" s="223"/>
      <c r="BP22" s="223"/>
      <c r="BQ22" s="223"/>
      <c r="BR22" s="223"/>
      <c r="BS22" s="223"/>
      <c r="BT22" s="226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09" t="s">
        <v>87</v>
      </c>
      <c r="F23" s="210"/>
      <c r="G23" s="210"/>
      <c r="H23" s="210"/>
      <c r="I23" s="210"/>
      <c r="J23" s="210"/>
      <c r="K23" s="210"/>
      <c r="L23" s="211"/>
      <c r="M23" s="164" t="s">
        <v>8</v>
      </c>
      <c r="N23" s="165"/>
      <c r="O23" s="165"/>
      <c r="P23" s="164" t="s">
        <v>75</v>
      </c>
      <c r="Q23" s="165"/>
      <c r="R23" s="165"/>
      <c r="S23" s="164" t="s">
        <v>95</v>
      </c>
      <c r="T23" s="165"/>
      <c r="U23" s="165"/>
      <c r="V23" s="222" t="s">
        <v>269</v>
      </c>
      <c r="W23" s="223"/>
      <c r="X23" s="223"/>
      <c r="Y23" s="223"/>
      <c r="Z23" s="223"/>
      <c r="AA23" s="224"/>
      <c r="AB23" s="235" t="s">
        <v>276</v>
      </c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7"/>
      <c r="AR23" s="164" t="s">
        <v>96</v>
      </c>
      <c r="AS23" s="165"/>
      <c r="AT23" s="165"/>
      <c r="AU23" s="165"/>
      <c r="AV23" s="165"/>
      <c r="AW23" s="166"/>
      <c r="AX23" s="222"/>
      <c r="AY23" s="223"/>
      <c r="AZ23" s="223"/>
      <c r="BA23" s="223"/>
      <c r="BB23" s="223"/>
      <c r="BC23" s="223"/>
      <c r="BD23" s="223"/>
      <c r="BE23" s="223"/>
      <c r="BF23" s="223"/>
      <c r="BG23" s="223"/>
      <c r="BH23" s="223"/>
      <c r="BI23" s="223"/>
      <c r="BJ23" s="223"/>
      <c r="BK23" s="223"/>
      <c r="BL23" s="223"/>
      <c r="BM23" s="223"/>
      <c r="BN23" s="223"/>
      <c r="BO23" s="223"/>
      <c r="BP23" s="223"/>
      <c r="BQ23" s="223"/>
      <c r="BR23" s="223"/>
      <c r="BS23" s="223"/>
      <c r="BT23" s="226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09" t="s">
        <v>92</v>
      </c>
      <c r="F24" s="210"/>
      <c r="G24" s="210"/>
      <c r="H24" s="210"/>
      <c r="I24" s="210"/>
      <c r="J24" s="210"/>
      <c r="K24" s="210"/>
      <c r="L24" s="211"/>
      <c r="M24" s="164" t="s">
        <v>8</v>
      </c>
      <c r="N24" s="165"/>
      <c r="O24" s="165"/>
      <c r="P24" s="164" t="s">
        <v>75</v>
      </c>
      <c r="Q24" s="165"/>
      <c r="R24" s="165"/>
      <c r="S24" s="164" t="s">
        <v>95</v>
      </c>
      <c r="T24" s="165"/>
      <c r="U24" s="165"/>
      <c r="V24" s="222" t="s">
        <v>270</v>
      </c>
      <c r="W24" s="223"/>
      <c r="X24" s="223"/>
      <c r="Y24" s="223"/>
      <c r="Z24" s="223"/>
      <c r="AA24" s="224"/>
      <c r="AB24" s="235" t="s">
        <v>277</v>
      </c>
      <c r="AC24" s="236"/>
      <c r="AD24" s="236"/>
      <c r="AE24" s="236"/>
      <c r="AF24" s="236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7"/>
      <c r="AR24" s="164" t="s">
        <v>94</v>
      </c>
      <c r="AS24" s="165"/>
      <c r="AT24" s="165"/>
      <c r="AU24" s="165"/>
      <c r="AV24" s="165"/>
      <c r="AW24" s="166"/>
      <c r="AX24" s="222"/>
      <c r="AY24" s="223"/>
      <c r="AZ24" s="223"/>
      <c r="BA24" s="223"/>
      <c r="BB24" s="223"/>
      <c r="BC24" s="223"/>
      <c r="BD24" s="223"/>
      <c r="BE24" s="223"/>
      <c r="BF24" s="223"/>
      <c r="BG24" s="223"/>
      <c r="BH24" s="223"/>
      <c r="BI24" s="223"/>
      <c r="BJ24" s="223"/>
      <c r="BK24" s="223"/>
      <c r="BL24" s="223"/>
      <c r="BM24" s="223"/>
      <c r="BN24" s="223"/>
      <c r="BO24" s="223"/>
      <c r="BP24" s="223"/>
      <c r="BQ24" s="223"/>
      <c r="BR24" s="223"/>
      <c r="BS24" s="223"/>
      <c r="BT24" s="226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09" t="s">
        <v>88</v>
      </c>
      <c r="F25" s="210"/>
      <c r="G25" s="210"/>
      <c r="H25" s="210"/>
      <c r="I25" s="210"/>
      <c r="J25" s="210"/>
      <c r="K25" s="210"/>
      <c r="L25" s="211"/>
      <c r="M25" s="164" t="s">
        <v>38</v>
      </c>
      <c r="N25" s="165"/>
      <c r="O25" s="165"/>
      <c r="P25" s="164" t="s">
        <v>93</v>
      </c>
      <c r="Q25" s="165"/>
      <c r="R25" s="165"/>
      <c r="S25" s="164" t="s">
        <v>95</v>
      </c>
      <c r="T25" s="165"/>
      <c r="U25" s="165"/>
      <c r="V25" s="222" t="s">
        <v>271</v>
      </c>
      <c r="W25" s="223"/>
      <c r="X25" s="223"/>
      <c r="Y25" s="223"/>
      <c r="Z25" s="223"/>
      <c r="AA25" s="224"/>
      <c r="AB25" s="235" t="s">
        <v>278</v>
      </c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7"/>
      <c r="AR25" s="164"/>
      <c r="AS25" s="165"/>
      <c r="AT25" s="165"/>
      <c r="AU25" s="165"/>
      <c r="AV25" s="165"/>
      <c r="AW25" s="166"/>
      <c r="AX25" s="222"/>
      <c r="AY25" s="223"/>
      <c r="AZ25" s="223"/>
      <c r="BA25" s="223"/>
      <c r="BB25" s="223"/>
      <c r="BC25" s="223"/>
      <c r="BD25" s="223"/>
      <c r="BE25" s="223"/>
      <c r="BF25" s="223"/>
      <c r="BG25" s="223"/>
      <c r="BH25" s="223"/>
      <c r="BI25" s="223"/>
      <c r="BJ25" s="223"/>
      <c r="BK25" s="223"/>
      <c r="BL25" s="223"/>
      <c r="BM25" s="223"/>
      <c r="BN25" s="223"/>
      <c r="BO25" s="223"/>
      <c r="BP25" s="223"/>
      <c r="BQ25" s="223"/>
      <c r="BR25" s="223"/>
      <c r="BS25" s="223"/>
      <c r="BT25" s="226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209" t="s">
        <v>89</v>
      </c>
      <c r="F26" s="210"/>
      <c r="G26" s="210"/>
      <c r="H26" s="210"/>
      <c r="I26" s="210"/>
      <c r="J26" s="210"/>
      <c r="K26" s="210"/>
      <c r="L26" s="211"/>
      <c r="M26" s="164" t="s">
        <v>38</v>
      </c>
      <c r="N26" s="165"/>
      <c r="O26" s="165"/>
      <c r="P26" s="164" t="s">
        <v>93</v>
      </c>
      <c r="Q26" s="165"/>
      <c r="R26" s="165"/>
      <c r="S26" s="164" t="s">
        <v>95</v>
      </c>
      <c r="T26" s="165"/>
      <c r="U26" s="165"/>
      <c r="V26" s="222" t="s">
        <v>272</v>
      </c>
      <c r="W26" s="223"/>
      <c r="X26" s="223"/>
      <c r="Y26" s="223"/>
      <c r="Z26" s="223"/>
      <c r="AA26" s="224"/>
      <c r="AB26" s="235" t="s">
        <v>279</v>
      </c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7"/>
      <c r="AR26" s="164"/>
      <c r="AS26" s="165"/>
      <c r="AT26" s="165"/>
      <c r="AU26" s="165"/>
      <c r="AV26" s="165"/>
      <c r="AW26" s="166"/>
      <c r="AX26" s="222"/>
      <c r="AY26" s="223"/>
      <c r="AZ26" s="223"/>
      <c r="BA26" s="223"/>
      <c r="BB26" s="223"/>
      <c r="BC26" s="223"/>
      <c r="BD26" s="223"/>
      <c r="BE26" s="223"/>
      <c r="BF26" s="223"/>
      <c r="BG26" s="223"/>
      <c r="BH26" s="223"/>
      <c r="BI26" s="223"/>
      <c r="BJ26" s="223"/>
      <c r="BK26" s="223"/>
      <c r="BL26" s="223"/>
      <c r="BM26" s="223"/>
      <c r="BN26" s="223"/>
      <c r="BO26" s="223"/>
      <c r="BP26" s="223"/>
      <c r="BQ26" s="223"/>
      <c r="BR26" s="223"/>
      <c r="BS26" s="223"/>
      <c r="BT26" s="226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09"/>
      <c r="F27" s="210"/>
      <c r="G27" s="210"/>
      <c r="H27" s="210"/>
      <c r="I27" s="210"/>
      <c r="J27" s="210"/>
      <c r="K27" s="210"/>
      <c r="L27" s="211"/>
      <c r="M27" s="164"/>
      <c r="N27" s="165"/>
      <c r="O27" s="165"/>
      <c r="P27" s="164"/>
      <c r="Q27" s="165"/>
      <c r="R27" s="165"/>
      <c r="S27" s="164"/>
      <c r="T27" s="165"/>
      <c r="U27" s="165"/>
      <c r="V27" s="222"/>
      <c r="W27" s="223"/>
      <c r="X27" s="223"/>
      <c r="Y27" s="223"/>
      <c r="Z27" s="223"/>
      <c r="AA27" s="224"/>
      <c r="AB27" s="235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7"/>
      <c r="AR27" s="164"/>
      <c r="AS27" s="165"/>
      <c r="AT27" s="165"/>
      <c r="AU27" s="165"/>
      <c r="AV27" s="165"/>
      <c r="AW27" s="166"/>
      <c r="AX27" s="222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3"/>
      <c r="BT27" s="226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09"/>
      <c r="F28" s="210"/>
      <c r="G28" s="210"/>
      <c r="H28" s="210"/>
      <c r="I28" s="210"/>
      <c r="J28" s="210"/>
      <c r="K28" s="210"/>
      <c r="L28" s="211"/>
      <c r="M28" s="164"/>
      <c r="N28" s="165"/>
      <c r="O28" s="165"/>
      <c r="P28" s="164"/>
      <c r="Q28" s="165"/>
      <c r="R28" s="165"/>
      <c r="S28" s="164"/>
      <c r="T28" s="165"/>
      <c r="U28" s="165"/>
      <c r="V28" s="222"/>
      <c r="W28" s="223"/>
      <c r="X28" s="223"/>
      <c r="Y28" s="223"/>
      <c r="Z28" s="223"/>
      <c r="AA28" s="224"/>
      <c r="AB28" s="235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7"/>
      <c r="AR28" s="164"/>
      <c r="AS28" s="165"/>
      <c r="AT28" s="165"/>
      <c r="AU28" s="165"/>
      <c r="AV28" s="165"/>
      <c r="AW28" s="166"/>
      <c r="AX28" s="222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3"/>
      <c r="BT28" s="226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09"/>
      <c r="F29" s="210"/>
      <c r="G29" s="210"/>
      <c r="H29" s="210"/>
      <c r="I29" s="210"/>
      <c r="J29" s="210"/>
      <c r="K29" s="210"/>
      <c r="L29" s="211"/>
      <c r="M29" s="164"/>
      <c r="N29" s="165"/>
      <c r="O29" s="165"/>
      <c r="P29" s="164"/>
      <c r="Q29" s="165"/>
      <c r="R29" s="165"/>
      <c r="S29" s="164"/>
      <c r="T29" s="165"/>
      <c r="U29" s="165"/>
      <c r="V29" s="222"/>
      <c r="W29" s="223"/>
      <c r="X29" s="223"/>
      <c r="Y29" s="223"/>
      <c r="Z29" s="223"/>
      <c r="AA29" s="224"/>
      <c r="AB29" s="235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7"/>
      <c r="AR29" s="164"/>
      <c r="AS29" s="165"/>
      <c r="AT29" s="165"/>
      <c r="AU29" s="165"/>
      <c r="AV29" s="165"/>
      <c r="AW29" s="166"/>
      <c r="AX29" s="222"/>
      <c r="AY29" s="223"/>
      <c r="AZ29" s="223"/>
      <c r="BA29" s="223"/>
      <c r="BB29" s="223"/>
      <c r="BC29" s="223"/>
      <c r="BD29" s="223"/>
      <c r="BE29" s="223"/>
      <c r="BF29" s="223"/>
      <c r="BG29" s="223"/>
      <c r="BH29" s="223"/>
      <c r="BI29" s="223"/>
      <c r="BJ29" s="223"/>
      <c r="BK29" s="223"/>
      <c r="BL29" s="223"/>
      <c r="BM29" s="223"/>
      <c r="BN29" s="223"/>
      <c r="BO29" s="223"/>
      <c r="BP29" s="223"/>
      <c r="BQ29" s="223"/>
      <c r="BR29" s="223"/>
      <c r="BS29" s="223"/>
      <c r="BT29" s="226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03"/>
      <c r="F30" s="204"/>
      <c r="G30" s="204"/>
      <c r="H30" s="204"/>
      <c r="I30" s="204"/>
      <c r="J30" s="204"/>
      <c r="K30" s="204"/>
      <c r="L30" s="205"/>
      <c r="M30" s="206"/>
      <c r="N30" s="207"/>
      <c r="O30" s="208"/>
      <c r="P30" s="206"/>
      <c r="Q30" s="207"/>
      <c r="R30" s="207"/>
      <c r="S30" s="206"/>
      <c r="T30" s="207"/>
      <c r="U30" s="207"/>
      <c r="V30" s="230"/>
      <c r="W30" s="231"/>
      <c r="X30" s="231"/>
      <c r="Y30" s="231"/>
      <c r="Z30" s="231"/>
      <c r="AA30" s="232"/>
      <c r="AB30" s="238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40"/>
      <c r="AR30" s="206"/>
      <c r="AS30" s="207"/>
      <c r="AT30" s="207"/>
      <c r="AU30" s="207"/>
      <c r="AV30" s="207"/>
      <c r="AW30" s="208"/>
      <c r="AX30" s="230"/>
      <c r="AY30" s="231"/>
      <c r="AZ30" s="231"/>
      <c r="BA30" s="231"/>
      <c r="BB30" s="231"/>
      <c r="BC30" s="231"/>
      <c r="BD30" s="231"/>
      <c r="BE30" s="231"/>
      <c r="BF30" s="231"/>
      <c r="BG30" s="231"/>
      <c r="BH30" s="231"/>
      <c r="BI30" s="231"/>
      <c r="BJ30" s="231"/>
      <c r="BK30" s="231"/>
      <c r="BL30" s="231"/>
      <c r="BM30" s="231"/>
      <c r="BN30" s="231"/>
      <c r="BO30" s="231"/>
      <c r="BP30" s="231"/>
      <c r="BQ30" s="231"/>
      <c r="BR30" s="231"/>
      <c r="BS30" s="231"/>
      <c r="BT30" s="241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3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7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1" t="s">
        <v>0</v>
      </c>
      <c r="C2" s="192"/>
      <c r="D2" s="192"/>
      <c r="E2" s="192"/>
      <c r="F2" s="192"/>
      <c r="G2" s="192"/>
      <c r="H2" s="192" t="s">
        <v>17</v>
      </c>
      <c r="I2" s="192"/>
      <c r="J2" s="192"/>
      <c r="K2" s="192"/>
      <c r="L2" s="192" t="s">
        <v>300</v>
      </c>
      <c r="M2" s="192"/>
      <c r="N2" s="192"/>
      <c r="O2" s="192"/>
      <c r="P2" s="192"/>
      <c r="Q2" s="192"/>
      <c r="R2" s="192" t="s">
        <v>2</v>
      </c>
      <c r="S2" s="192"/>
      <c r="T2" s="192"/>
      <c r="U2" s="192"/>
      <c r="V2" s="192"/>
      <c r="W2" s="192"/>
      <c r="X2" s="193" t="s">
        <v>3</v>
      </c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5"/>
      <c r="AK2" s="193" t="s">
        <v>32</v>
      </c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5"/>
      <c r="AX2" s="192" t="s">
        <v>5</v>
      </c>
      <c r="AY2" s="192"/>
      <c r="AZ2" s="192"/>
      <c r="BA2" s="192"/>
      <c r="BB2" s="192" t="s">
        <v>4</v>
      </c>
      <c r="BC2" s="192"/>
      <c r="BD2" s="192"/>
      <c r="BE2" s="192"/>
      <c r="BF2" s="192" t="s">
        <v>6</v>
      </c>
      <c r="BG2" s="192"/>
      <c r="BH2" s="192"/>
      <c r="BI2" s="192"/>
      <c r="BJ2" s="192" t="s">
        <v>7</v>
      </c>
      <c r="BK2" s="192"/>
      <c r="BL2" s="192"/>
      <c r="BM2" s="202"/>
    </row>
    <row r="3" spans="2:65" ht="20.100000000000001" customHeight="1" x14ac:dyDescent="0.45">
      <c r="B3" s="196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MH0300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MH0300_経過確認表_帳票設計書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経過確認表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45582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45582</v>
      </c>
      <c r="BG3" s="171"/>
      <c r="BH3" s="171"/>
      <c r="BI3" s="171"/>
      <c r="BJ3" s="172" t="str">
        <f>変更履歴!BJ3</f>
        <v>大谷</v>
      </c>
      <c r="BK3" s="172"/>
      <c r="BL3" s="172"/>
      <c r="BM3" s="200"/>
    </row>
    <row r="4" spans="2:65" ht="20.100000000000001" customHeight="1" thickBot="1" x14ac:dyDescent="0.5">
      <c r="B4" s="197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88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90"/>
      <c r="AK4" s="188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90"/>
      <c r="AX4" s="199"/>
      <c r="AY4" s="199"/>
      <c r="AZ4" s="199"/>
      <c r="BA4" s="199"/>
      <c r="BB4" s="198"/>
      <c r="BC4" s="198"/>
      <c r="BD4" s="198"/>
      <c r="BE4" s="198"/>
      <c r="BF4" s="199"/>
      <c r="BG4" s="199"/>
      <c r="BH4" s="199"/>
      <c r="BI4" s="199"/>
      <c r="BJ4" s="198"/>
      <c r="BK4" s="198"/>
      <c r="BL4" s="198"/>
      <c r="BM4" s="201"/>
    </row>
    <row r="5" spans="2:65" ht="5.0999999999999996" customHeight="1" thickBot="1" x14ac:dyDescent="0.5"/>
    <row r="6" spans="2:65" ht="20.100000000000001" customHeight="1" x14ac:dyDescent="0.45">
      <c r="B6" s="118" t="s">
        <v>153</v>
      </c>
      <c r="C6" s="119"/>
      <c r="D6" s="119"/>
      <c r="E6" s="119"/>
      <c r="F6" s="119"/>
      <c r="G6" s="120"/>
      <c r="H6" s="121" t="s">
        <v>134</v>
      </c>
      <c r="I6" s="119"/>
      <c r="J6" s="149" t="s">
        <v>168</v>
      </c>
      <c r="K6" s="150"/>
      <c r="L6" s="150"/>
      <c r="M6" s="150"/>
      <c r="N6" s="150"/>
      <c r="O6" s="150"/>
      <c r="P6" s="150"/>
      <c r="Q6" s="151"/>
      <c r="R6" s="150" t="s">
        <v>215</v>
      </c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1"/>
      <c r="AK6" s="122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119"/>
      <c r="BI6" s="123"/>
    </row>
    <row r="7" spans="2:65" ht="20.100000000000001" customHeight="1" x14ac:dyDescent="0.45">
      <c r="B7" s="152"/>
      <c r="C7" s="31"/>
      <c r="D7" s="31"/>
      <c r="E7" s="31"/>
      <c r="F7" s="31"/>
      <c r="G7" s="125"/>
      <c r="H7" s="126"/>
      <c r="I7" s="31"/>
      <c r="J7" s="153" t="s">
        <v>185</v>
      </c>
      <c r="K7" s="52"/>
      <c r="L7" s="52"/>
      <c r="M7" s="52"/>
      <c r="N7" s="52"/>
      <c r="O7" s="52"/>
      <c r="P7" s="52"/>
      <c r="Q7" s="154"/>
      <c r="R7" s="52" t="s">
        <v>216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54"/>
      <c r="AK7" s="12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28"/>
    </row>
    <row r="8" spans="2:65" ht="20.100000000000001" customHeight="1" x14ac:dyDescent="0.45">
      <c r="B8" s="152"/>
      <c r="C8" s="31"/>
      <c r="D8" s="31"/>
      <c r="E8" s="31"/>
      <c r="F8" s="31"/>
      <c r="G8" s="125"/>
      <c r="H8" s="126"/>
      <c r="I8" s="31"/>
      <c r="J8" s="153" t="s">
        <v>186</v>
      </c>
      <c r="K8" s="52"/>
      <c r="L8" s="52"/>
      <c r="M8" s="52"/>
      <c r="N8" s="52"/>
      <c r="O8" s="52"/>
      <c r="P8" s="52"/>
      <c r="Q8" s="154"/>
      <c r="R8" s="52" t="s">
        <v>217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4"/>
      <c r="AK8" s="12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28"/>
    </row>
    <row r="9" spans="2:65" ht="20.100000000000001" customHeight="1" x14ac:dyDescent="0.45">
      <c r="B9" s="152"/>
      <c r="C9" s="31"/>
      <c r="D9" s="31"/>
      <c r="E9" s="31"/>
      <c r="F9" s="31"/>
      <c r="G9" s="125"/>
      <c r="H9" s="126"/>
      <c r="I9" s="31"/>
      <c r="J9" s="153" t="s">
        <v>187</v>
      </c>
      <c r="K9" s="52"/>
      <c r="L9" s="52"/>
      <c r="M9" s="52"/>
      <c r="N9" s="52"/>
      <c r="O9" s="52"/>
      <c r="P9" s="52"/>
      <c r="Q9" s="154"/>
      <c r="R9" s="52" t="s">
        <v>218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4"/>
      <c r="AK9" s="12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28"/>
    </row>
    <row r="10" spans="2:65" ht="20.100000000000001" customHeight="1" x14ac:dyDescent="0.45">
      <c r="B10" s="152"/>
      <c r="C10" s="31"/>
      <c r="D10" s="31"/>
      <c r="E10" s="31"/>
      <c r="F10" s="31"/>
      <c r="G10" s="125"/>
      <c r="H10" s="31"/>
      <c r="I10" s="31"/>
      <c r="J10" s="153" t="s">
        <v>188</v>
      </c>
      <c r="K10" s="52"/>
      <c r="L10" s="52"/>
      <c r="M10" s="52"/>
      <c r="N10" s="52"/>
      <c r="O10" s="52"/>
      <c r="P10" s="52"/>
      <c r="Q10" s="154"/>
      <c r="R10" s="52" t="s">
        <v>219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4"/>
      <c r="AK10" s="12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28"/>
    </row>
    <row r="11" spans="2:65" ht="20.100000000000001" customHeight="1" x14ac:dyDescent="0.45">
      <c r="B11" s="152"/>
      <c r="C11" s="31"/>
      <c r="D11" s="31"/>
      <c r="E11" s="31"/>
      <c r="F11" s="31"/>
      <c r="G11" s="125"/>
      <c r="H11" s="31"/>
      <c r="I11" s="31"/>
      <c r="J11" s="153" t="s">
        <v>189</v>
      </c>
      <c r="K11" s="52"/>
      <c r="L11" s="52"/>
      <c r="M11" s="52"/>
      <c r="N11" s="52"/>
      <c r="O11" s="52"/>
      <c r="P11" s="52"/>
      <c r="Q11" s="154"/>
      <c r="R11" s="52" t="s">
        <v>220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4"/>
      <c r="AK11" s="12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28"/>
    </row>
    <row r="12" spans="2:65" ht="20.100000000000001" customHeight="1" x14ac:dyDescent="0.45">
      <c r="B12" s="152"/>
      <c r="C12" s="31"/>
      <c r="D12" s="31"/>
      <c r="E12" s="31"/>
      <c r="F12" s="31"/>
      <c r="G12" s="125"/>
      <c r="H12" s="31"/>
      <c r="I12" s="31"/>
      <c r="J12" s="153" t="s">
        <v>190</v>
      </c>
      <c r="K12" s="52"/>
      <c r="L12" s="52"/>
      <c r="M12" s="52"/>
      <c r="N12" s="52"/>
      <c r="O12" s="52"/>
      <c r="P12" s="52"/>
      <c r="Q12" s="154"/>
      <c r="R12" s="52" t="s">
        <v>221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4"/>
      <c r="AK12" s="12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28"/>
    </row>
    <row r="13" spans="2:65" ht="20.100000000000001" customHeight="1" x14ac:dyDescent="0.45">
      <c r="B13" s="152"/>
      <c r="C13" s="31"/>
      <c r="D13" s="31"/>
      <c r="E13" s="31"/>
      <c r="F13" s="31"/>
      <c r="G13" s="125"/>
      <c r="H13" s="31"/>
      <c r="I13" s="31"/>
      <c r="J13" s="153" t="s">
        <v>191</v>
      </c>
      <c r="K13" s="52"/>
      <c r="L13" s="52"/>
      <c r="M13" s="52"/>
      <c r="N13" s="52"/>
      <c r="O13" s="52"/>
      <c r="P13" s="52"/>
      <c r="Q13" s="154"/>
      <c r="R13" s="52" t="s">
        <v>222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54"/>
      <c r="AK13" s="12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28"/>
    </row>
    <row r="14" spans="2:65" ht="20.100000000000001" customHeight="1" x14ac:dyDescent="0.45">
      <c r="B14" s="152"/>
      <c r="C14" s="31"/>
      <c r="D14" s="31"/>
      <c r="E14" s="31"/>
      <c r="F14" s="31"/>
      <c r="G14" s="125"/>
      <c r="H14" s="31"/>
      <c r="I14" s="31"/>
      <c r="J14" s="153" t="s">
        <v>192</v>
      </c>
      <c r="K14" s="52"/>
      <c r="L14" s="52"/>
      <c r="M14" s="52"/>
      <c r="N14" s="52"/>
      <c r="O14" s="52"/>
      <c r="P14" s="52"/>
      <c r="Q14" s="154"/>
      <c r="R14" s="52" t="s">
        <v>223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54"/>
      <c r="AK14" s="127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28"/>
    </row>
    <row r="15" spans="2:65" ht="20.100000000000001" customHeight="1" x14ac:dyDescent="0.45">
      <c r="B15" s="152"/>
      <c r="C15" s="31"/>
      <c r="D15" s="31"/>
      <c r="E15" s="31"/>
      <c r="F15" s="31"/>
      <c r="G15" s="125"/>
      <c r="H15" s="31"/>
      <c r="I15" s="31"/>
      <c r="J15" s="153" t="s">
        <v>193</v>
      </c>
      <c r="K15" s="52"/>
      <c r="L15" s="52"/>
      <c r="M15" s="52"/>
      <c r="N15" s="52"/>
      <c r="O15" s="52"/>
      <c r="P15" s="52"/>
      <c r="Q15" s="154"/>
      <c r="R15" s="52" t="s">
        <v>154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54"/>
      <c r="AK15" s="12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28"/>
    </row>
    <row r="16" spans="2:65" ht="20.100000000000001" customHeight="1" x14ac:dyDescent="0.45">
      <c r="B16" s="152"/>
      <c r="C16" s="31"/>
      <c r="D16" s="31"/>
      <c r="E16" s="31"/>
      <c r="F16" s="31"/>
      <c r="G16" s="125"/>
      <c r="H16" s="31"/>
      <c r="I16" s="31"/>
      <c r="J16" s="153" t="s">
        <v>194</v>
      </c>
      <c r="K16" s="52"/>
      <c r="L16" s="52"/>
      <c r="M16" s="52"/>
      <c r="N16" s="52"/>
      <c r="O16" s="52"/>
      <c r="P16" s="52"/>
      <c r="Q16" s="154"/>
      <c r="R16" s="52" t="s">
        <v>224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54"/>
      <c r="AK16" s="12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28"/>
    </row>
    <row r="17" spans="2:61" ht="20.100000000000001" customHeight="1" x14ac:dyDescent="0.45">
      <c r="B17" s="152"/>
      <c r="C17" s="31"/>
      <c r="D17" s="31"/>
      <c r="E17" s="31"/>
      <c r="F17" s="31"/>
      <c r="G17" s="125"/>
      <c r="H17" s="31"/>
      <c r="I17" s="31"/>
      <c r="J17" s="153" t="s">
        <v>195</v>
      </c>
      <c r="K17" s="52"/>
      <c r="L17" s="52"/>
      <c r="M17" s="52"/>
      <c r="N17" s="52"/>
      <c r="O17" s="52"/>
      <c r="P17" s="52"/>
      <c r="Q17" s="154"/>
      <c r="R17" s="52" t="s">
        <v>225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54"/>
      <c r="AK17" s="12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28"/>
    </row>
    <row r="18" spans="2:61" ht="20.100000000000001" customHeight="1" x14ac:dyDescent="0.45">
      <c r="B18" s="152"/>
      <c r="C18" s="31"/>
      <c r="D18" s="31"/>
      <c r="E18" s="31"/>
      <c r="F18" s="31"/>
      <c r="G18" s="125"/>
      <c r="H18" s="31"/>
      <c r="I18" s="31"/>
      <c r="J18" s="153" t="s">
        <v>196</v>
      </c>
      <c r="K18" s="52"/>
      <c r="L18" s="52"/>
      <c r="M18" s="52"/>
      <c r="N18" s="52"/>
      <c r="O18" s="52"/>
      <c r="P18" s="52"/>
      <c r="Q18" s="154"/>
      <c r="R18" s="52" t="s">
        <v>155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54"/>
      <c r="AK18" s="12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28"/>
    </row>
    <row r="19" spans="2:61" ht="20.100000000000001" customHeight="1" x14ac:dyDescent="0.45">
      <c r="B19" s="152"/>
      <c r="C19" s="31"/>
      <c r="D19" s="31"/>
      <c r="E19" s="31"/>
      <c r="F19" s="31"/>
      <c r="G19" s="125"/>
      <c r="H19" s="31"/>
      <c r="I19" s="31"/>
      <c r="J19" s="153" t="s">
        <v>197</v>
      </c>
      <c r="K19" s="52"/>
      <c r="L19" s="52"/>
      <c r="M19" s="52"/>
      <c r="N19" s="52"/>
      <c r="O19" s="52"/>
      <c r="P19" s="52"/>
      <c r="Q19" s="154"/>
      <c r="R19" s="52" t="s">
        <v>226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54"/>
      <c r="AK19" s="12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28"/>
    </row>
    <row r="20" spans="2:61" ht="20.100000000000001" customHeight="1" x14ac:dyDescent="0.45">
      <c r="B20" s="152"/>
      <c r="C20" s="31"/>
      <c r="D20" s="31"/>
      <c r="E20" s="31"/>
      <c r="F20" s="31"/>
      <c r="G20" s="125"/>
      <c r="H20" s="31"/>
      <c r="I20" s="31"/>
      <c r="J20" s="153" t="s">
        <v>198</v>
      </c>
      <c r="K20" s="52"/>
      <c r="L20" s="52"/>
      <c r="M20" s="52"/>
      <c r="N20" s="52"/>
      <c r="O20" s="52"/>
      <c r="P20" s="52"/>
      <c r="Q20" s="154"/>
      <c r="R20" s="52" t="s">
        <v>229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54"/>
      <c r="AK20" s="12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28"/>
    </row>
    <row r="21" spans="2:61" ht="20.100000000000001" customHeight="1" x14ac:dyDescent="0.45">
      <c r="B21" s="152"/>
      <c r="C21" s="31"/>
      <c r="D21" s="31"/>
      <c r="E21" s="31"/>
      <c r="F21" s="31"/>
      <c r="G21" s="125"/>
      <c r="H21" s="31"/>
      <c r="I21" s="31"/>
      <c r="J21" s="153" t="s">
        <v>199</v>
      </c>
      <c r="K21" s="52"/>
      <c r="L21" s="52"/>
      <c r="M21" s="52"/>
      <c r="N21" s="52"/>
      <c r="O21" s="52"/>
      <c r="P21" s="52"/>
      <c r="Q21" s="154"/>
      <c r="R21" s="52" t="s">
        <v>230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54"/>
      <c r="AK21" s="12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28"/>
    </row>
    <row r="22" spans="2:61" ht="20.100000000000001" customHeight="1" x14ac:dyDescent="0.45">
      <c r="B22" s="152"/>
      <c r="C22" s="31"/>
      <c r="D22" s="31"/>
      <c r="E22" s="31"/>
      <c r="F22" s="31"/>
      <c r="G22" s="125"/>
      <c r="H22" s="31"/>
      <c r="I22" s="31"/>
      <c r="J22" s="153" t="s">
        <v>200</v>
      </c>
      <c r="K22" s="52"/>
      <c r="L22" s="52"/>
      <c r="M22" s="52"/>
      <c r="N22" s="52"/>
      <c r="O22" s="52"/>
      <c r="P22" s="52"/>
      <c r="Q22" s="154"/>
      <c r="R22" s="52" t="s">
        <v>231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54"/>
      <c r="AK22" s="127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28"/>
    </row>
    <row r="23" spans="2:61" ht="20.100000000000001" customHeight="1" x14ac:dyDescent="0.45">
      <c r="B23" s="152"/>
      <c r="C23" s="31"/>
      <c r="D23" s="31"/>
      <c r="E23" s="31"/>
      <c r="F23" s="31"/>
      <c r="G23" s="125"/>
      <c r="H23" s="31"/>
      <c r="I23" s="31"/>
      <c r="J23" s="153" t="s">
        <v>201</v>
      </c>
      <c r="K23" s="52"/>
      <c r="L23" s="52"/>
      <c r="M23" s="52"/>
      <c r="N23" s="52"/>
      <c r="O23" s="52"/>
      <c r="P23" s="52"/>
      <c r="Q23" s="154"/>
      <c r="R23" s="52" t="s">
        <v>232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54"/>
      <c r="AK23" s="12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28"/>
    </row>
    <row r="24" spans="2:61" ht="20.100000000000001" customHeight="1" x14ac:dyDescent="0.45">
      <c r="B24" s="152"/>
      <c r="C24" s="31"/>
      <c r="D24" s="31"/>
      <c r="E24" s="31"/>
      <c r="F24" s="31"/>
      <c r="G24" s="125"/>
      <c r="H24" s="31"/>
      <c r="I24" s="31"/>
      <c r="J24" s="153" t="s">
        <v>202</v>
      </c>
      <c r="K24" s="52"/>
      <c r="L24" s="52"/>
      <c r="M24" s="52"/>
      <c r="N24" s="52"/>
      <c r="O24" s="52"/>
      <c r="P24" s="52"/>
      <c r="Q24" s="154"/>
      <c r="R24" s="52" t="s">
        <v>233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54"/>
      <c r="AK24" s="12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28"/>
    </row>
    <row r="25" spans="2:61" ht="20.100000000000001" customHeight="1" x14ac:dyDescent="0.45">
      <c r="B25" s="152"/>
      <c r="C25" s="31"/>
      <c r="D25" s="31"/>
      <c r="E25" s="31"/>
      <c r="F25" s="31"/>
      <c r="G25" s="125"/>
      <c r="H25" s="31"/>
      <c r="I25" s="31"/>
      <c r="J25" s="153" t="s">
        <v>203</v>
      </c>
      <c r="K25" s="52"/>
      <c r="L25" s="52"/>
      <c r="M25" s="52"/>
      <c r="N25" s="52"/>
      <c r="O25" s="52"/>
      <c r="P25" s="52"/>
      <c r="Q25" s="154"/>
      <c r="R25" s="52" t="s">
        <v>227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54"/>
      <c r="AK25" s="12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28"/>
    </row>
    <row r="26" spans="2:61" ht="20.100000000000001" customHeight="1" x14ac:dyDescent="0.45">
      <c r="B26" s="152"/>
      <c r="C26" s="31"/>
      <c r="D26" s="31"/>
      <c r="E26" s="31"/>
      <c r="F26" s="31"/>
      <c r="G26" s="125"/>
      <c r="H26" s="31"/>
      <c r="I26" s="31"/>
      <c r="J26" s="153" t="s">
        <v>204</v>
      </c>
      <c r="K26" s="52"/>
      <c r="L26" s="52"/>
      <c r="M26" s="52"/>
      <c r="N26" s="52"/>
      <c r="O26" s="52"/>
      <c r="P26" s="52"/>
      <c r="Q26" s="154"/>
      <c r="R26" s="52" t="s">
        <v>228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54"/>
      <c r="AK26" s="12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28"/>
    </row>
    <row r="27" spans="2:61" ht="20.100000000000001" customHeight="1" x14ac:dyDescent="0.45">
      <c r="B27" s="152"/>
      <c r="C27" s="31"/>
      <c r="D27" s="31"/>
      <c r="E27" s="31"/>
      <c r="F27" s="31"/>
      <c r="G27" s="125"/>
      <c r="H27" s="31"/>
      <c r="I27" s="31"/>
      <c r="J27" s="153" t="s">
        <v>156</v>
      </c>
      <c r="K27" s="52"/>
      <c r="L27" s="52"/>
      <c r="M27" s="52"/>
      <c r="N27" s="52"/>
      <c r="O27" s="52"/>
      <c r="P27" s="52"/>
      <c r="Q27" s="154"/>
      <c r="R27" s="52" t="s">
        <v>234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54"/>
      <c r="AK27" s="12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28"/>
    </row>
    <row r="28" spans="2:61" ht="20.100000000000001" customHeight="1" x14ac:dyDescent="0.45">
      <c r="B28" s="152"/>
      <c r="C28" s="31"/>
      <c r="D28" s="31"/>
      <c r="E28" s="31"/>
      <c r="F28" s="31"/>
      <c r="G28" s="125"/>
      <c r="H28" s="129" t="s">
        <v>103</v>
      </c>
      <c r="I28" s="55"/>
      <c r="J28" s="129" t="s">
        <v>157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130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131"/>
    </row>
    <row r="29" spans="2:61" ht="20.100000000000001" customHeight="1" x14ac:dyDescent="0.45">
      <c r="B29" s="124"/>
      <c r="C29" s="31"/>
      <c r="D29" s="31"/>
      <c r="E29" s="31"/>
      <c r="F29" s="31"/>
      <c r="G29" s="125"/>
      <c r="H29" s="129" t="s">
        <v>104</v>
      </c>
      <c r="I29" s="55"/>
      <c r="J29" s="129" t="s">
        <v>158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130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131"/>
    </row>
    <row r="30" spans="2:61" ht="20.100000000000001" customHeight="1" x14ac:dyDescent="0.45">
      <c r="B30" s="124"/>
      <c r="C30" s="31"/>
      <c r="D30" s="31"/>
      <c r="E30" s="31"/>
      <c r="F30" s="31"/>
      <c r="G30" s="125"/>
      <c r="H30" s="126"/>
      <c r="I30" s="31"/>
      <c r="J30" s="126"/>
      <c r="K30" s="31" t="s">
        <v>159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28"/>
    </row>
    <row r="31" spans="2:61" ht="20.100000000000001" customHeight="1" x14ac:dyDescent="0.45">
      <c r="B31" s="124"/>
      <c r="C31" s="31"/>
      <c r="D31" s="31"/>
      <c r="E31" s="31"/>
      <c r="F31" s="31"/>
      <c r="G31" s="125"/>
      <c r="H31" s="126"/>
      <c r="I31" s="31"/>
      <c r="J31" s="126" t="s">
        <v>160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2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28"/>
    </row>
    <row r="32" spans="2:61" ht="20.100000000000001" customHeight="1" x14ac:dyDescent="0.45">
      <c r="B32" s="124"/>
      <c r="C32" s="31"/>
      <c r="D32" s="31"/>
      <c r="E32" s="31"/>
      <c r="F32" s="31"/>
      <c r="G32" s="125"/>
      <c r="H32" s="126"/>
      <c r="I32" s="31"/>
      <c r="J32" s="126"/>
      <c r="K32" s="31" t="s">
        <v>161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28"/>
    </row>
    <row r="33" spans="2:61" ht="20.100000000000001" customHeight="1" x14ac:dyDescent="0.45">
      <c r="B33" s="124"/>
      <c r="C33" s="31"/>
      <c r="D33" s="31"/>
      <c r="E33" s="31"/>
      <c r="F33" s="31"/>
      <c r="G33" s="125"/>
      <c r="H33" s="126"/>
      <c r="I33" s="31"/>
      <c r="J33" s="126" t="s">
        <v>162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28"/>
    </row>
    <row r="34" spans="2:61" ht="20.100000000000001" customHeight="1" x14ac:dyDescent="0.45">
      <c r="B34" s="124"/>
      <c r="C34" s="31"/>
      <c r="D34" s="31"/>
      <c r="E34" s="31"/>
      <c r="F34" s="31"/>
      <c r="G34" s="125"/>
      <c r="H34" s="126"/>
      <c r="I34" s="31"/>
      <c r="J34" s="126"/>
      <c r="K34" s="31" t="s">
        <v>163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2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28"/>
    </row>
    <row r="35" spans="2:61" ht="20.100000000000001" customHeight="1" x14ac:dyDescent="0.45">
      <c r="B35" s="124"/>
      <c r="C35" s="31"/>
      <c r="D35" s="31"/>
      <c r="E35" s="31"/>
      <c r="F35" s="31"/>
      <c r="G35" s="125"/>
      <c r="H35" s="126"/>
      <c r="I35" s="31"/>
      <c r="J35" s="126" t="s">
        <v>164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2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28"/>
    </row>
    <row r="36" spans="2:61" ht="20.100000000000001" customHeight="1" x14ac:dyDescent="0.45">
      <c r="B36" s="124"/>
      <c r="C36" s="31"/>
      <c r="D36" s="31"/>
      <c r="E36" s="31"/>
      <c r="F36" s="31"/>
      <c r="G36" s="125"/>
      <c r="H36" s="126"/>
      <c r="I36" s="31"/>
      <c r="J36" s="126"/>
      <c r="K36" s="31" t="s">
        <v>167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2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28"/>
    </row>
    <row r="37" spans="2:61" ht="20.100000000000001" customHeight="1" x14ac:dyDescent="0.45">
      <c r="B37" s="124"/>
      <c r="C37" s="31"/>
      <c r="D37" s="31"/>
      <c r="E37" s="31"/>
      <c r="F37" s="31"/>
      <c r="G37" s="125"/>
      <c r="H37" s="126"/>
      <c r="I37" s="31"/>
      <c r="J37" s="126" t="s">
        <v>165</v>
      </c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2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28"/>
    </row>
    <row r="38" spans="2:61" ht="20.100000000000001" customHeight="1" x14ac:dyDescent="0.45">
      <c r="B38" s="124"/>
      <c r="C38" s="31"/>
      <c r="D38" s="31"/>
      <c r="E38" s="31"/>
      <c r="F38" s="31"/>
      <c r="G38" s="125"/>
      <c r="H38" s="126"/>
      <c r="I38" s="31"/>
      <c r="J38" s="126" t="s">
        <v>166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2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28"/>
    </row>
    <row r="39" spans="2:61" ht="20.100000000000001" customHeight="1" x14ac:dyDescent="0.45">
      <c r="B39" s="124"/>
      <c r="C39" s="31"/>
      <c r="D39" s="31"/>
      <c r="E39" s="31"/>
      <c r="F39" s="31"/>
      <c r="G39" s="125"/>
      <c r="H39" s="129" t="s">
        <v>105</v>
      </c>
      <c r="I39" s="55"/>
      <c r="J39" s="129" t="s">
        <v>281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130" t="s">
        <v>285</v>
      </c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131"/>
    </row>
    <row r="40" spans="2:61" ht="20.100000000000001" customHeight="1" x14ac:dyDescent="0.45">
      <c r="B40" s="124"/>
      <c r="C40" s="31"/>
      <c r="D40" s="31"/>
      <c r="E40" s="31"/>
      <c r="F40" s="31"/>
      <c r="G40" s="125"/>
      <c r="H40" s="126"/>
      <c r="I40" s="31"/>
      <c r="J40" s="126"/>
      <c r="K40" s="31" t="s">
        <v>284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27" t="s">
        <v>280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28"/>
    </row>
    <row r="41" spans="2:61" ht="20.100000000000001" customHeight="1" x14ac:dyDescent="0.45">
      <c r="B41" s="124"/>
      <c r="C41" s="31"/>
      <c r="D41" s="31"/>
      <c r="E41" s="31"/>
      <c r="F41" s="31"/>
      <c r="G41" s="125"/>
      <c r="H41" s="126"/>
      <c r="I41" s="31"/>
      <c r="J41" s="126"/>
      <c r="K41" s="31" t="s">
        <v>283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27" t="s">
        <v>235</v>
      </c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28"/>
    </row>
    <row r="42" spans="2:61" ht="20.100000000000001" customHeight="1" x14ac:dyDescent="0.45">
      <c r="B42" s="124"/>
      <c r="C42" s="31"/>
      <c r="D42" s="31"/>
      <c r="E42" s="31"/>
      <c r="F42" s="31"/>
      <c r="G42" s="125"/>
      <c r="H42" s="126"/>
      <c r="I42" s="31"/>
      <c r="J42" s="126"/>
      <c r="K42" s="31" t="s">
        <v>282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27" t="s">
        <v>236</v>
      </c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28"/>
    </row>
    <row r="43" spans="2:61" ht="20.100000000000001" customHeight="1" x14ac:dyDescent="0.45">
      <c r="B43" s="124"/>
      <c r="C43" s="31"/>
      <c r="D43" s="31"/>
      <c r="E43" s="31"/>
      <c r="F43" s="31"/>
      <c r="G43" s="125"/>
      <c r="H43" s="126"/>
      <c r="I43" s="31"/>
      <c r="J43" s="126"/>
      <c r="K43" s="31" t="s">
        <v>239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26" t="s">
        <v>237</v>
      </c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28"/>
    </row>
    <row r="44" spans="2:61" ht="20.100000000000001" customHeight="1" x14ac:dyDescent="0.45">
      <c r="B44" s="124"/>
      <c r="C44" s="31"/>
      <c r="D44" s="31"/>
      <c r="E44" s="31"/>
      <c r="F44" s="31"/>
      <c r="G44" s="125"/>
      <c r="H44" s="126"/>
      <c r="I44" s="31"/>
      <c r="J44" s="126"/>
      <c r="K44" s="31" t="s">
        <v>240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26" t="s">
        <v>238</v>
      </c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28"/>
    </row>
    <row r="45" spans="2:61" ht="20.100000000000001" customHeight="1" x14ac:dyDescent="0.45">
      <c r="B45" s="124"/>
      <c r="C45" s="31"/>
      <c r="D45" s="31"/>
      <c r="E45" s="31"/>
      <c r="F45" s="31"/>
      <c r="G45" s="125"/>
      <c r="H45" s="126"/>
      <c r="I45" s="31"/>
      <c r="J45" s="126"/>
      <c r="K45" s="31" t="s">
        <v>241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26" t="s">
        <v>242</v>
      </c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28"/>
    </row>
    <row r="46" spans="2:61" ht="20.100000000000001" customHeight="1" x14ac:dyDescent="0.45">
      <c r="B46" s="124"/>
      <c r="C46" s="31"/>
      <c r="D46" s="31"/>
      <c r="E46" s="31"/>
      <c r="F46" s="31"/>
      <c r="G46" s="125"/>
      <c r="H46" s="126"/>
      <c r="I46" s="31"/>
      <c r="J46" s="126"/>
      <c r="K46" s="31" t="s">
        <v>243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26" t="s">
        <v>244</v>
      </c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28"/>
    </row>
    <row r="47" spans="2:61" ht="20.100000000000001" customHeight="1" x14ac:dyDescent="0.45">
      <c r="B47" s="124"/>
      <c r="C47" s="31"/>
      <c r="D47" s="31"/>
      <c r="E47" s="31"/>
      <c r="F47" s="31"/>
      <c r="G47" s="125"/>
      <c r="H47" s="126"/>
      <c r="I47" s="31"/>
      <c r="J47" s="126"/>
      <c r="K47" s="31" t="s">
        <v>286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26" t="s">
        <v>247</v>
      </c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28"/>
    </row>
    <row r="48" spans="2:61" ht="20.100000000000001" customHeight="1" x14ac:dyDescent="0.45">
      <c r="B48" s="124"/>
      <c r="C48" s="31"/>
      <c r="D48" s="31"/>
      <c r="E48" s="31"/>
      <c r="F48" s="31"/>
      <c r="G48" s="125"/>
      <c r="H48" s="126"/>
      <c r="I48" s="31"/>
      <c r="J48" s="126"/>
      <c r="K48" s="31" t="s">
        <v>245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26" t="s">
        <v>246</v>
      </c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28"/>
    </row>
    <row r="49" spans="2:61" ht="20.100000000000001" customHeight="1" x14ac:dyDescent="0.45">
      <c r="B49" s="124"/>
      <c r="C49" s="31"/>
      <c r="D49" s="31"/>
      <c r="E49" s="31"/>
      <c r="F49" s="31"/>
      <c r="G49" s="125"/>
      <c r="H49" s="126"/>
      <c r="I49" s="31"/>
      <c r="J49" s="126"/>
      <c r="K49" s="31" t="s">
        <v>287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26" t="s">
        <v>248</v>
      </c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28"/>
    </row>
    <row r="50" spans="2:61" ht="20.100000000000001" customHeight="1" x14ac:dyDescent="0.45">
      <c r="B50" s="124"/>
      <c r="C50" s="31"/>
      <c r="D50" s="31"/>
      <c r="E50" s="31"/>
      <c r="F50" s="31"/>
      <c r="G50" s="125"/>
      <c r="H50" s="126"/>
      <c r="I50" s="31"/>
      <c r="J50" s="126"/>
      <c r="K50" s="31" t="s">
        <v>288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26" t="s">
        <v>249</v>
      </c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28"/>
    </row>
    <row r="51" spans="2:61" ht="20.100000000000001" customHeight="1" x14ac:dyDescent="0.45">
      <c r="B51" s="124"/>
      <c r="C51" s="31"/>
      <c r="D51" s="31"/>
      <c r="E51" s="31"/>
      <c r="F51" s="31"/>
      <c r="G51" s="125"/>
      <c r="H51" s="126"/>
      <c r="I51" s="31"/>
      <c r="J51" s="126"/>
      <c r="K51" s="31" t="s">
        <v>251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26" t="s">
        <v>250</v>
      </c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28"/>
    </row>
    <row r="52" spans="2:61" ht="20.100000000000001" customHeight="1" x14ac:dyDescent="0.45">
      <c r="B52" s="124"/>
      <c r="C52" s="31"/>
      <c r="D52" s="31"/>
      <c r="E52" s="31"/>
      <c r="F52" s="31"/>
      <c r="G52" s="125"/>
      <c r="H52" s="126"/>
      <c r="I52" s="31"/>
      <c r="J52" s="126"/>
      <c r="K52" s="31" t="s">
        <v>260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26" t="s">
        <v>252</v>
      </c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28"/>
    </row>
    <row r="53" spans="2:61" ht="20.100000000000001" customHeight="1" x14ac:dyDescent="0.45">
      <c r="B53" s="124"/>
      <c r="C53" s="31"/>
      <c r="D53" s="31"/>
      <c r="E53" s="31"/>
      <c r="F53" s="31"/>
      <c r="G53" s="125"/>
      <c r="H53" s="126"/>
      <c r="I53" s="31"/>
      <c r="J53" s="126"/>
      <c r="K53" s="31" t="s">
        <v>289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26" t="s">
        <v>253</v>
      </c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28"/>
    </row>
    <row r="54" spans="2:61" ht="20.100000000000001" customHeight="1" x14ac:dyDescent="0.45">
      <c r="B54" s="124"/>
      <c r="C54" s="31"/>
      <c r="D54" s="31"/>
      <c r="E54" s="31"/>
      <c r="F54" s="31"/>
      <c r="G54" s="125"/>
      <c r="H54" s="126"/>
      <c r="I54" s="31"/>
      <c r="J54" s="126"/>
      <c r="K54" s="31" t="s">
        <v>290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26" t="s">
        <v>254</v>
      </c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28"/>
    </row>
    <row r="55" spans="2:61" ht="20.100000000000001" customHeight="1" x14ac:dyDescent="0.45">
      <c r="B55" s="124"/>
      <c r="C55" s="31"/>
      <c r="D55" s="31"/>
      <c r="E55" s="31"/>
      <c r="F55" s="31"/>
      <c r="G55" s="125"/>
      <c r="H55" s="126"/>
      <c r="I55" s="31"/>
      <c r="J55" s="126"/>
      <c r="K55" s="31" t="s">
        <v>291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26" t="s">
        <v>255</v>
      </c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28"/>
    </row>
    <row r="56" spans="2:61" ht="20.100000000000001" customHeight="1" x14ac:dyDescent="0.45">
      <c r="B56" s="124"/>
      <c r="C56" s="31"/>
      <c r="D56" s="31"/>
      <c r="E56" s="31"/>
      <c r="F56" s="31"/>
      <c r="G56" s="125"/>
      <c r="H56" s="126"/>
      <c r="I56" s="31"/>
      <c r="J56" s="126"/>
      <c r="K56" s="31" t="s">
        <v>292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26" t="s">
        <v>256</v>
      </c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28"/>
    </row>
    <row r="57" spans="2:61" ht="20.100000000000001" customHeight="1" x14ac:dyDescent="0.45">
      <c r="B57" s="124"/>
      <c r="C57" s="31"/>
      <c r="D57" s="31"/>
      <c r="E57" s="31"/>
      <c r="F57" s="31"/>
      <c r="G57" s="125"/>
      <c r="H57" s="126"/>
      <c r="I57" s="31"/>
      <c r="J57" s="126"/>
      <c r="K57" s="31" t="s">
        <v>293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26" t="s">
        <v>257</v>
      </c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28"/>
    </row>
    <row r="58" spans="2:61" ht="20.100000000000001" customHeight="1" thickBot="1" x14ac:dyDescent="0.5">
      <c r="B58" s="152"/>
      <c r="C58" s="31"/>
      <c r="D58" s="31"/>
      <c r="E58" s="31"/>
      <c r="F58" s="31"/>
      <c r="G58" s="125"/>
      <c r="H58" s="129" t="s">
        <v>258</v>
      </c>
      <c r="I58" s="55"/>
      <c r="J58" s="129" t="s">
        <v>259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130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131"/>
    </row>
    <row r="59" spans="2:61" ht="20.100000000000001" customHeight="1" x14ac:dyDescent="0.45">
      <c r="B59" s="118" t="s">
        <v>167</v>
      </c>
      <c r="C59" s="119"/>
      <c r="D59" s="119"/>
      <c r="E59" s="119"/>
      <c r="F59" s="119"/>
      <c r="G59" s="120"/>
      <c r="H59" s="121" t="s">
        <v>134</v>
      </c>
      <c r="I59" s="119"/>
      <c r="J59" s="149" t="s">
        <v>205</v>
      </c>
      <c r="K59" s="150"/>
      <c r="L59" s="150"/>
      <c r="M59" s="150"/>
      <c r="N59" s="150"/>
      <c r="O59" s="150"/>
      <c r="P59" s="150"/>
      <c r="Q59" s="151"/>
      <c r="R59" s="150" t="s">
        <v>212</v>
      </c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 s="150"/>
      <c r="AJ59" s="151"/>
      <c r="AK59" s="122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23"/>
    </row>
    <row r="60" spans="2:61" ht="20.100000000000001" customHeight="1" x14ac:dyDescent="0.45">
      <c r="B60" s="152"/>
      <c r="C60" s="31"/>
      <c r="D60" s="31"/>
      <c r="E60" s="31"/>
      <c r="F60" s="31"/>
      <c r="G60" s="125"/>
      <c r="H60" s="126"/>
      <c r="I60" s="31"/>
      <c r="J60" s="153" t="s">
        <v>206</v>
      </c>
      <c r="K60" s="52"/>
      <c r="L60" s="52"/>
      <c r="M60" s="52"/>
      <c r="N60" s="52"/>
      <c r="O60" s="52"/>
      <c r="P60" s="52"/>
      <c r="Q60" s="154"/>
      <c r="R60" s="52" t="s">
        <v>214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54"/>
      <c r="AK60" s="127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28"/>
    </row>
    <row r="61" spans="2:61" ht="20.100000000000001" customHeight="1" x14ac:dyDescent="0.45">
      <c r="B61" s="152"/>
      <c r="C61" s="31"/>
      <c r="D61" s="31"/>
      <c r="E61" s="31"/>
      <c r="F61" s="31"/>
      <c r="G61" s="125"/>
      <c r="H61" s="129" t="s">
        <v>103</v>
      </c>
      <c r="I61" s="55"/>
      <c r="J61" s="129" t="s">
        <v>169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130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131"/>
    </row>
    <row r="62" spans="2:61" ht="20.100000000000001" customHeight="1" x14ac:dyDescent="0.45">
      <c r="B62" s="152"/>
      <c r="C62" s="31"/>
      <c r="D62" s="31"/>
      <c r="E62" s="31"/>
      <c r="F62" s="31"/>
      <c r="G62" s="125"/>
      <c r="H62" s="126"/>
      <c r="I62" s="31"/>
      <c r="J62" s="126"/>
      <c r="K62" s="31" t="s">
        <v>171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27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28"/>
    </row>
    <row r="63" spans="2:61" ht="20.100000000000001" customHeight="1" x14ac:dyDescent="0.45">
      <c r="B63" s="124"/>
      <c r="C63" s="31"/>
      <c r="D63" s="31"/>
      <c r="E63" s="31"/>
      <c r="F63" s="31"/>
      <c r="G63" s="125"/>
      <c r="I63" s="31"/>
      <c r="J63" s="126" t="s">
        <v>170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27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28"/>
    </row>
    <row r="64" spans="2:61" ht="20.100000000000001" customHeight="1" thickBot="1" x14ac:dyDescent="0.5">
      <c r="B64" s="124"/>
      <c r="C64" s="31"/>
      <c r="D64" s="31"/>
      <c r="E64" s="31"/>
      <c r="F64" s="31"/>
      <c r="G64" s="125"/>
      <c r="H64" s="129" t="s">
        <v>172</v>
      </c>
      <c r="I64" s="55"/>
      <c r="J64" s="129" t="s">
        <v>173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130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131"/>
    </row>
    <row r="65" spans="2:61" ht="20.100000000000001" customHeight="1" x14ac:dyDescent="0.45">
      <c r="B65" s="118" t="s">
        <v>171</v>
      </c>
      <c r="C65" s="119"/>
      <c r="D65" s="119"/>
      <c r="E65" s="119"/>
      <c r="F65" s="119"/>
      <c r="G65" s="120"/>
      <c r="H65" s="121" t="s">
        <v>134</v>
      </c>
      <c r="I65" s="119"/>
      <c r="J65" s="149" t="s">
        <v>205</v>
      </c>
      <c r="K65" s="150"/>
      <c r="L65" s="150"/>
      <c r="M65" s="150"/>
      <c r="N65" s="150"/>
      <c r="O65" s="150"/>
      <c r="P65" s="150"/>
      <c r="Q65" s="151"/>
      <c r="R65" s="150" t="s">
        <v>212</v>
      </c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1"/>
      <c r="AK65" s="122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23"/>
    </row>
    <row r="66" spans="2:61" ht="20.100000000000001" customHeight="1" x14ac:dyDescent="0.45">
      <c r="B66" s="152"/>
      <c r="C66" s="31"/>
      <c r="D66" s="31"/>
      <c r="E66" s="31"/>
      <c r="F66" s="31"/>
      <c r="G66" s="125"/>
      <c r="H66" s="126"/>
      <c r="I66" s="31"/>
      <c r="J66" s="153" t="s">
        <v>207</v>
      </c>
      <c r="K66" s="52"/>
      <c r="L66" s="52"/>
      <c r="M66" s="52"/>
      <c r="N66" s="52"/>
      <c r="O66" s="52"/>
      <c r="P66" s="52"/>
      <c r="Q66" s="154"/>
      <c r="R66" s="52" t="s">
        <v>213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54"/>
      <c r="AK66" s="127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28"/>
    </row>
    <row r="67" spans="2:61" ht="20.100000000000001" customHeight="1" x14ac:dyDescent="0.45">
      <c r="B67" s="152"/>
      <c r="C67" s="31"/>
      <c r="D67" s="31"/>
      <c r="E67" s="31"/>
      <c r="F67" s="31"/>
      <c r="G67" s="125"/>
      <c r="H67" s="129" t="s">
        <v>103</v>
      </c>
      <c r="I67" s="55"/>
      <c r="J67" s="129" t="s">
        <v>211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130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31"/>
    </row>
    <row r="68" spans="2:61" ht="20.100000000000001" customHeight="1" x14ac:dyDescent="0.45">
      <c r="B68" s="124"/>
      <c r="C68" s="31"/>
      <c r="D68" s="31"/>
      <c r="E68" s="31"/>
      <c r="F68" s="31"/>
      <c r="G68" s="125"/>
      <c r="H68" s="129" t="s">
        <v>174</v>
      </c>
      <c r="I68" s="55"/>
      <c r="J68" s="129" t="s">
        <v>175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130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131"/>
    </row>
    <row r="69" spans="2:61" ht="20.100000000000001" customHeight="1" x14ac:dyDescent="0.45">
      <c r="B69" s="124"/>
      <c r="C69" s="31"/>
      <c r="D69" s="31"/>
      <c r="E69" s="31"/>
      <c r="F69" s="31"/>
      <c r="G69" s="125"/>
      <c r="H69" s="126"/>
      <c r="I69" s="31"/>
      <c r="J69" s="126"/>
      <c r="K69" s="31" t="s">
        <v>178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126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28"/>
    </row>
    <row r="70" spans="2:61" ht="20.100000000000001" customHeight="1" x14ac:dyDescent="0.45">
      <c r="B70" s="124"/>
      <c r="C70" s="31"/>
      <c r="D70" s="31"/>
      <c r="E70" s="31"/>
      <c r="F70" s="31"/>
      <c r="G70" s="125"/>
      <c r="H70" s="126"/>
      <c r="I70" s="31"/>
      <c r="J70" s="126"/>
      <c r="K70" s="31" t="s">
        <v>177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26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28"/>
    </row>
    <row r="71" spans="2:61" ht="20.100000000000001" customHeight="1" x14ac:dyDescent="0.45">
      <c r="B71" s="124"/>
      <c r="C71" s="31"/>
      <c r="D71" s="31"/>
      <c r="E71" s="31"/>
      <c r="F71" s="31"/>
      <c r="G71" s="125"/>
      <c r="H71" s="126"/>
      <c r="I71" s="31"/>
      <c r="J71" s="126" t="s">
        <v>179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26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28"/>
    </row>
    <row r="72" spans="2:61" ht="20.100000000000001" customHeight="1" thickBot="1" x14ac:dyDescent="0.5">
      <c r="B72" s="124"/>
      <c r="C72" s="31"/>
      <c r="D72" s="31"/>
      <c r="E72" s="31"/>
      <c r="F72" s="31"/>
      <c r="G72" s="125"/>
      <c r="H72" s="129" t="s">
        <v>180</v>
      </c>
      <c r="I72" s="55"/>
      <c r="J72" s="129" t="s">
        <v>181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130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131"/>
    </row>
    <row r="73" spans="2:61" ht="20.100000000000001" customHeight="1" x14ac:dyDescent="0.45">
      <c r="B73" s="118" t="s">
        <v>176</v>
      </c>
      <c r="C73" s="119"/>
      <c r="D73" s="119"/>
      <c r="E73" s="119"/>
      <c r="F73" s="119"/>
      <c r="G73" s="120"/>
      <c r="H73" s="121" t="s">
        <v>134</v>
      </c>
      <c r="I73" s="119"/>
      <c r="J73" s="149" t="s">
        <v>207</v>
      </c>
      <c r="K73" s="150"/>
      <c r="L73" s="150"/>
      <c r="M73" s="150"/>
      <c r="N73" s="150"/>
      <c r="O73" s="150"/>
      <c r="P73" s="150"/>
      <c r="Q73" s="151"/>
      <c r="R73" s="150" t="s">
        <v>210</v>
      </c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1"/>
      <c r="AK73" s="122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23"/>
    </row>
    <row r="74" spans="2:61" ht="20.100000000000001" customHeight="1" x14ac:dyDescent="0.45">
      <c r="B74" s="152"/>
      <c r="C74" s="31"/>
      <c r="D74" s="31"/>
      <c r="E74" s="31"/>
      <c r="F74" s="31"/>
      <c r="G74" s="125"/>
      <c r="H74" s="126"/>
      <c r="I74" s="31"/>
      <c r="J74" s="153" t="s">
        <v>208</v>
      </c>
      <c r="K74" s="52"/>
      <c r="L74" s="52"/>
      <c r="M74" s="52"/>
      <c r="N74" s="52"/>
      <c r="O74" s="52"/>
      <c r="P74" s="52"/>
      <c r="Q74" s="154"/>
      <c r="R74" s="52" t="s">
        <v>209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54"/>
      <c r="AK74" s="127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28"/>
    </row>
    <row r="75" spans="2:61" ht="20.100000000000001" customHeight="1" x14ac:dyDescent="0.45">
      <c r="B75" s="152"/>
      <c r="C75" s="31"/>
      <c r="D75" s="31"/>
      <c r="E75" s="31"/>
      <c r="F75" s="31"/>
      <c r="G75" s="125"/>
      <c r="H75" s="129" t="s">
        <v>103</v>
      </c>
      <c r="I75" s="55"/>
      <c r="J75" s="129" t="s">
        <v>182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130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131"/>
    </row>
    <row r="76" spans="2:61" ht="20.100000000000001" customHeight="1" thickBot="1" x14ac:dyDescent="0.5">
      <c r="B76" s="124"/>
      <c r="C76" s="31"/>
      <c r="D76" s="31"/>
      <c r="E76" s="31"/>
      <c r="F76" s="31"/>
      <c r="G76" s="125"/>
      <c r="H76" s="129" t="s">
        <v>183</v>
      </c>
      <c r="I76" s="55"/>
      <c r="J76" s="129" t="s">
        <v>184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130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131"/>
    </row>
    <row r="77" spans="2:61" ht="5.0999999999999996" customHeight="1" x14ac:dyDescent="0.45"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H55"/>
  <sheetViews>
    <sheetView zoomScaleNormal="100" workbookViewId="0"/>
  </sheetViews>
  <sheetFormatPr defaultRowHeight="18" x14ac:dyDescent="0.45"/>
  <cols>
    <col min="1" max="2" width="8.796875" style="29"/>
    <col min="3" max="3" width="14.3984375" style="29" bestFit="1" customWidth="1"/>
    <col min="4" max="4" width="14.796875" style="29" bestFit="1" customWidth="1"/>
    <col min="5" max="5" width="82.19921875" style="29" customWidth="1"/>
    <col min="6" max="6" width="43.296875" style="29" bestFit="1" customWidth="1"/>
    <col min="7" max="16384" width="8.796875" style="29"/>
  </cols>
  <sheetData>
    <row r="2" spans="2:8" ht="19.2" thickBot="1" x14ac:dyDescent="0.5">
      <c r="B2" s="86" t="s">
        <v>48</v>
      </c>
    </row>
    <row r="3" spans="2:8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57" t="s">
        <v>146</v>
      </c>
      <c r="G3" s="78" t="s">
        <v>51</v>
      </c>
    </row>
    <row r="4" spans="2:8" x14ac:dyDescent="0.45">
      <c r="B4" s="37">
        <v>1</v>
      </c>
      <c r="C4" s="79" t="s">
        <v>90</v>
      </c>
      <c r="D4" s="79" t="s">
        <v>97</v>
      </c>
      <c r="E4" s="81" t="s">
        <v>98</v>
      </c>
      <c r="F4" s="81" t="s">
        <v>147</v>
      </c>
      <c r="G4" s="80" t="s">
        <v>140</v>
      </c>
    </row>
    <row r="5" spans="2:8" x14ac:dyDescent="0.45">
      <c r="B5" s="37">
        <v>2</v>
      </c>
      <c r="C5" s="79" t="s">
        <v>90</v>
      </c>
      <c r="D5" s="79" t="s">
        <v>91</v>
      </c>
      <c r="E5" s="81" t="s">
        <v>144</v>
      </c>
      <c r="F5" s="81" t="s">
        <v>151</v>
      </c>
      <c r="G5" s="80" t="s">
        <v>140</v>
      </c>
      <c r="H5" s="158"/>
    </row>
    <row r="6" spans="2:8" ht="36" x14ac:dyDescent="0.45">
      <c r="B6" s="37">
        <v>3</v>
      </c>
      <c r="C6" s="79" t="s">
        <v>142</v>
      </c>
      <c r="D6" s="79" t="s">
        <v>143</v>
      </c>
      <c r="E6" s="81" t="s">
        <v>145</v>
      </c>
      <c r="F6" s="159" t="s">
        <v>152</v>
      </c>
      <c r="G6" s="80" t="s">
        <v>140</v>
      </c>
      <c r="H6" s="158"/>
    </row>
    <row r="7" spans="2:8" x14ac:dyDescent="0.45">
      <c r="B7" s="37">
        <v>4</v>
      </c>
      <c r="C7" s="79" t="s">
        <v>142</v>
      </c>
      <c r="D7" s="79" t="s">
        <v>148</v>
      </c>
      <c r="E7" s="81" t="s">
        <v>149</v>
      </c>
      <c r="F7" s="81" t="s">
        <v>150</v>
      </c>
      <c r="G7" s="80" t="s">
        <v>140</v>
      </c>
    </row>
    <row r="8" spans="2:8" x14ac:dyDescent="0.45">
      <c r="B8" s="37">
        <v>5</v>
      </c>
      <c r="C8" s="79"/>
      <c r="D8" s="79"/>
      <c r="E8" s="81"/>
      <c r="F8" s="81"/>
      <c r="G8" s="80"/>
    </row>
    <row r="9" spans="2:8" x14ac:dyDescent="0.45">
      <c r="B9" s="37">
        <v>6</v>
      </c>
      <c r="C9" s="79"/>
      <c r="D9" s="79"/>
      <c r="E9" s="81"/>
      <c r="F9" s="81"/>
      <c r="G9" s="80"/>
    </row>
    <row r="10" spans="2:8" x14ac:dyDescent="0.45">
      <c r="B10" s="37">
        <v>7</v>
      </c>
      <c r="C10" s="79"/>
      <c r="D10" s="79"/>
      <c r="E10" s="81"/>
      <c r="F10" s="81"/>
      <c r="G10" s="80"/>
    </row>
    <row r="11" spans="2:8" x14ac:dyDescent="0.45">
      <c r="B11" s="37">
        <v>8</v>
      </c>
      <c r="C11" s="79"/>
      <c r="D11" s="79"/>
      <c r="E11" s="81"/>
      <c r="F11" s="81"/>
      <c r="G11" s="80"/>
    </row>
    <row r="12" spans="2:8" x14ac:dyDescent="0.45">
      <c r="B12" s="37">
        <v>9</v>
      </c>
      <c r="C12" s="79"/>
      <c r="D12" s="79"/>
      <c r="E12" s="81"/>
      <c r="F12" s="81"/>
      <c r="G12" s="80"/>
    </row>
    <row r="13" spans="2:8" x14ac:dyDescent="0.45">
      <c r="B13" s="37">
        <v>10</v>
      </c>
      <c r="C13" s="79"/>
      <c r="D13" s="79"/>
      <c r="E13" s="81"/>
      <c r="F13" s="81"/>
      <c r="G13" s="80"/>
    </row>
    <row r="14" spans="2:8" x14ac:dyDescent="0.45">
      <c r="B14" s="37">
        <v>11</v>
      </c>
      <c r="C14" s="79"/>
      <c r="D14" s="79"/>
      <c r="E14" s="81"/>
      <c r="F14" s="81"/>
      <c r="G14" s="80"/>
    </row>
    <row r="15" spans="2:8" x14ac:dyDescent="0.45">
      <c r="B15" s="37">
        <v>12</v>
      </c>
      <c r="C15" s="79"/>
      <c r="D15" s="79"/>
      <c r="E15" s="81"/>
      <c r="F15" s="81"/>
      <c r="G15" s="80"/>
    </row>
    <row r="16" spans="2:8" x14ac:dyDescent="0.45">
      <c r="B16" s="37">
        <v>13</v>
      </c>
      <c r="C16" s="79"/>
      <c r="D16" s="79"/>
      <c r="E16" s="81"/>
      <c r="F16" s="81"/>
      <c r="G16" s="80"/>
    </row>
    <row r="17" spans="2:7" x14ac:dyDescent="0.45">
      <c r="B17" s="37">
        <v>14</v>
      </c>
      <c r="C17" s="79"/>
      <c r="D17" s="79"/>
      <c r="E17" s="81"/>
      <c r="F17" s="81"/>
      <c r="G17" s="80"/>
    </row>
    <row r="18" spans="2:7" x14ac:dyDescent="0.45">
      <c r="B18" s="37">
        <v>15</v>
      </c>
      <c r="C18" s="79"/>
      <c r="D18" s="79"/>
      <c r="E18" s="81"/>
      <c r="F18" s="81"/>
      <c r="G18" s="80"/>
    </row>
    <row r="19" spans="2:7" x14ac:dyDescent="0.45">
      <c r="B19" s="37">
        <v>16</v>
      </c>
      <c r="C19" s="79"/>
      <c r="D19" s="79"/>
      <c r="E19" s="81"/>
      <c r="F19" s="81"/>
      <c r="G19" s="80"/>
    </row>
    <row r="20" spans="2:7" x14ac:dyDescent="0.45">
      <c r="B20" s="37">
        <v>17</v>
      </c>
      <c r="C20" s="79"/>
      <c r="D20" s="79"/>
      <c r="E20" s="81"/>
      <c r="F20" s="81"/>
      <c r="G20" s="80"/>
    </row>
    <row r="21" spans="2:7" x14ac:dyDescent="0.45">
      <c r="B21" s="37">
        <v>18</v>
      </c>
      <c r="C21" s="79"/>
      <c r="D21" s="79"/>
      <c r="E21" s="81"/>
      <c r="F21" s="81"/>
      <c r="G21" s="80"/>
    </row>
    <row r="22" spans="2:7" x14ac:dyDescent="0.45">
      <c r="B22" s="37">
        <v>19</v>
      </c>
      <c r="C22" s="79"/>
      <c r="D22" s="79"/>
      <c r="E22" s="81"/>
      <c r="F22" s="81"/>
      <c r="G22" s="80"/>
    </row>
    <row r="23" spans="2:7" x14ac:dyDescent="0.45">
      <c r="B23" s="37">
        <v>20</v>
      </c>
      <c r="C23" s="79"/>
      <c r="D23" s="79"/>
      <c r="E23" s="81"/>
      <c r="F23" s="81"/>
      <c r="G23" s="80"/>
    </row>
    <row r="24" spans="2:7" x14ac:dyDescent="0.45">
      <c r="B24" s="37">
        <v>21</v>
      </c>
      <c r="C24" s="79"/>
      <c r="D24" s="79"/>
      <c r="E24" s="81"/>
      <c r="F24" s="81"/>
      <c r="G24" s="80"/>
    </row>
    <row r="25" spans="2:7" x14ac:dyDescent="0.45">
      <c r="B25" s="37">
        <v>22</v>
      </c>
      <c r="C25" s="79"/>
      <c r="D25" s="79"/>
      <c r="E25" s="81"/>
      <c r="F25" s="81"/>
      <c r="G25" s="80"/>
    </row>
    <row r="26" spans="2:7" x14ac:dyDescent="0.45">
      <c r="B26" s="37">
        <v>23</v>
      </c>
      <c r="C26" s="79"/>
      <c r="D26" s="79"/>
      <c r="E26" s="81"/>
      <c r="F26" s="81"/>
      <c r="G26" s="80"/>
    </row>
    <row r="27" spans="2:7" x14ac:dyDescent="0.45">
      <c r="B27" s="37">
        <v>24</v>
      </c>
      <c r="C27" s="79"/>
      <c r="D27" s="79"/>
      <c r="E27" s="81"/>
      <c r="F27" s="81"/>
      <c r="G27" s="80"/>
    </row>
    <row r="28" spans="2:7" x14ac:dyDescent="0.45">
      <c r="B28" s="37">
        <v>25</v>
      </c>
      <c r="C28" s="79"/>
      <c r="D28" s="79"/>
      <c r="E28" s="81"/>
      <c r="F28" s="81"/>
      <c r="G28" s="80"/>
    </row>
    <row r="29" spans="2:7" x14ac:dyDescent="0.45">
      <c r="B29" s="37">
        <v>26</v>
      </c>
      <c r="C29" s="79"/>
      <c r="D29" s="79"/>
      <c r="E29" s="81"/>
      <c r="F29" s="81"/>
      <c r="G29" s="80"/>
    </row>
    <row r="30" spans="2:7" x14ac:dyDescent="0.45">
      <c r="B30" s="37">
        <v>27</v>
      </c>
      <c r="C30" s="79"/>
      <c r="D30" s="79"/>
      <c r="E30" s="81"/>
      <c r="F30" s="81"/>
      <c r="G30" s="80"/>
    </row>
    <row r="31" spans="2:7" x14ac:dyDescent="0.45">
      <c r="B31" s="37">
        <v>28</v>
      </c>
      <c r="C31" s="79"/>
      <c r="D31" s="79"/>
      <c r="E31" s="81"/>
      <c r="F31" s="81"/>
      <c r="G31" s="80"/>
    </row>
    <row r="32" spans="2:7" x14ac:dyDescent="0.45">
      <c r="B32" s="37">
        <v>29</v>
      </c>
      <c r="C32" s="79"/>
      <c r="D32" s="79"/>
      <c r="E32" s="81"/>
      <c r="F32" s="81"/>
      <c r="G32" s="80"/>
    </row>
    <row r="33" spans="2:7" x14ac:dyDescent="0.45">
      <c r="B33" s="37">
        <v>30</v>
      </c>
      <c r="C33" s="79"/>
      <c r="D33" s="79"/>
      <c r="E33" s="81"/>
      <c r="F33" s="81"/>
      <c r="G33" s="80"/>
    </row>
    <row r="34" spans="2:7" x14ac:dyDescent="0.45">
      <c r="B34" s="37">
        <v>31</v>
      </c>
      <c r="C34" s="79"/>
      <c r="D34" s="79"/>
      <c r="E34" s="81"/>
      <c r="F34" s="81"/>
      <c r="G34" s="80"/>
    </row>
    <row r="35" spans="2:7" x14ac:dyDescent="0.45">
      <c r="B35" s="37">
        <v>32</v>
      </c>
      <c r="C35" s="79"/>
      <c r="D35" s="79"/>
      <c r="E35" s="81"/>
      <c r="F35" s="81"/>
      <c r="G35" s="80"/>
    </row>
    <row r="36" spans="2:7" x14ac:dyDescent="0.45">
      <c r="B36" s="37">
        <v>33</v>
      </c>
      <c r="C36" s="79"/>
      <c r="D36" s="79"/>
      <c r="E36" s="81"/>
      <c r="F36" s="81"/>
      <c r="G36" s="80"/>
    </row>
    <row r="37" spans="2:7" x14ac:dyDescent="0.45">
      <c r="B37" s="37">
        <v>34</v>
      </c>
      <c r="C37" s="79"/>
      <c r="D37" s="79"/>
      <c r="E37" s="81"/>
      <c r="F37" s="81"/>
      <c r="G37" s="80"/>
    </row>
    <row r="38" spans="2:7" x14ac:dyDescent="0.45">
      <c r="B38" s="37">
        <v>35</v>
      </c>
      <c r="C38" s="79"/>
      <c r="D38" s="79"/>
      <c r="E38" s="81"/>
      <c r="F38" s="81"/>
      <c r="G38" s="80"/>
    </row>
    <row r="39" spans="2:7" x14ac:dyDescent="0.45">
      <c r="B39" s="37">
        <v>36</v>
      </c>
      <c r="C39" s="79"/>
      <c r="D39" s="79"/>
      <c r="E39" s="81"/>
      <c r="F39" s="81"/>
      <c r="G39" s="80"/>
    </row>
    <row r="40" spans="2:7" x14ac:dyDescent="0.45">
      <c r="B40" s="37">
        <v>37</v>
      </c>
      <c r="C40" s="79"/>
      <c r="D40" s="79"/>
      <c r="E40" s="81"/>
      <c r="F40" s="81"/>
      <c r="G40" s="80"/>
    </row>
    <row r="41" spans="2:7" x14ac:dyDescent="0.45">
      <c r="B41" s="37">
        <v>38</v>
      </c>
      <c r="C41" s="79"/>
      <c r="D41" s="79"/>
      <c r="E41" s="81"/>
      <c r="F41" s="81"/>
      <c r="G41" s="80"/>
    </row>
    <row r="42" spans="2:7" x14ac:dyDescent="0.45">
      <c r="B42" s="37">
        <v>39</v>
      </c>
      <c r="C42" s="79"/>
      <c r="D42" s="79"/>
      <c r="E42" s="81"/>
      <c r="F42" s="81"/>
      <c r="G42" s="80"/>
    </row>
    <row r="43" spans="2:7" x14ac:dyDescent="0.45">
      <c r="B43" s="37">
        <v>40</v>
      </c>
      <c r="C43" s="79"/>
      <c r="D43" s="79"/>
      <c r="E43" s="81"/>
      <c r="F43" s="81"/>
      <c r="G43" s="80"/>
    </row>
    <row r="44" spans="2:7" x14ac:dyDescent="0.45">
      <c r="B44" s="37">
        <v>41</v>
      </c>
      <c r="C44" s="79"/>
      <c r="D44" s="79"/>
      <c r="E44" s="81"/>
      <c r="F44" s="81"/>
      <c r="G44" s="80"/>
    </row>
    <row r="45" spans="2:7" x14ac:dyDescent="0.45">
      <c r="B45" s="37">
        <v>42</v>
      </c>
      <c r="C45" s="79"/>
      <c r="D45" s="79"/>
      <c r="E45" s="81"/>
      <c r="F45" s="81"/>
      <c r="G45" s="80"/>
    </row>
    <row r="46" spans="2:7" x14ac:dyDescent="0.45">
      <c r="B46" s="37">
        <v>43</v>
      </c>
      <c r="C46" s="79"/>
      <c r="D46" s="79"/>
      <c r="E46" s="81"/>
      <c r="F46" s="81"/>
      <c r="G46" s="80"/>
    </row>
    <row r="47" spans="2:7" x14ac:dyDescent="0.45">
      <c r="B47" s="37">
        <v>44</v>
      </c>
      <c r="C47" s="79"/>
      <c r="D47" s="79"/>
      <c r="E47" s="81"/>
      <c r="F47" s="81"/>
      <c r="G47" s="80"/>
    </row>
    <row r="48" spans="2:7" x14ac:dyDescent="0.45">
      <c r="B48" s="37">
        <v>45</v>
      </c>
      <c r="C48" s="79"/>
      <c r="D48" s="79"/>
      <c r="E48" s="81"/>
      <c r="F48" s="81"/>
      <c r="G48" s="80"/>
    </row>
    <row r="49" spans="2:7" x14ac:dyDescent="0.45">
      <c r="B49" s="37">
        <v>46</v>
      </c>
      <c r="C49" s="79"/>
      <c r="D49" s="79"/>
      <c r="E49" s="81"/>
      <c r="F49" s="81"/>
      <c r="G49" s="80"/>
    </row>
    <row r="50" spans="2:7" x14ac:dyDescent="0.45">
      <c r="B50" s="37">
        <v>47</v>
      </c>
      <c r="C50" s="79"/>
      <c r="D50" s="79"/>
      <c r="E50" s="81"/>
      <c r="F50" s="81"/>
      <c r="G50" s="80"/>
    </row>
    <row r="51" spans="2:7" x14ac:dyDescent="0.45">
      <c r="B51" s="37">
        <v>48</v>
      </c>
      <c r="C51" s="79"/>
      <c r="D51" s="79"/>
      <c r="E51" s="81"/>
      <c r="F51" s="81"/>
      <c r="G51" s="80"/>
    </row>
    <row r="52" spans="2:7" x14ac:dyDescent="0.45">
      <c r="B52" s="37">
        <v>49</v>
      </c>
      <c r="C52" s="79"/>
      <c r="D52" s="79"/>
      <c r="E52" s="81"/>
      <c r="F52" s="81"/>
      <c r="G52" s="80"/>
    </row>
    <row r="53" spans="2:7" x14ac:dyDescent="0.45">
      <c r="B53" s="37">
        <v>50</v>
      </c>
      <c r="C53" s="79"/>
      <c r="D53" s="79"/>
      <c r="E53" s="81"/>
      <c r="F53" s="81"/>
      <c r="G53" s="80"/>
    </row>
    <row r="54" spans="2:7" ht="18.600000000000001" thickBot="1" x14ac:dyDescent="0.5">
      <c r="B54" s="82">
        <v>51</v>
      </c>
      <c r="C54" s="83"/>
      <c r="D54" s="83"/>
      <c r="E54" s="84"/>
      <c r="F54" s="84"/>
      <c r="G54" s="8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09765625" defaultRowHeight="13.2" x14ac:dyDescent="0.45"/>
  <cols>
    <col min="1" max="2" width="8.19921875" style="88" customWidth="1"/>
    <col min="3" max="4" width="5.19921875" style="88" customWidth="1"/>
    <col min="5" max="5" width="32.59765625" style="88" customWidth="1"/>
    <col min="6" max="6" width="11.796875" style="91" customWidth="1"/>
    <col min="7" max="8" width="8" style="91" customWidth="1"/>
    <col min="9" max="9" width="12.5" style="91" customWidth="1"/>
    <col min="10" max="10" width="9" style="92" customWidth="1"/>
    <col min="11" max="11" width="8.3984375" style="92" customWidth="1"/>
    <col min="12" max="12" width="11.59765625" style="91" customWidth="1"/>
    <col min="13" max="13" width="11.59765625" style="117" customWidth="1"/>
    <col min="14" max="14" width="1.09765625" style="88" customWidth="1"/>
    <col min="15" max="256" width="8.09765625" style="88"/>
    <col min="257" max="258" width="8.19921875" style="88" customWidth="1"/>
    <col min="259" max="260" width="5.19921875" style="88" customWidth="1"/>
    <col min="261" max="261" width="32.59765625" style="88" customWidth="1"/>
    <col min="262" max="262" width="11.796875" style="88" customWidth="1"/>
    <col min="263" max="264" width="8" style="88" customWidth="1"/>
    <col min="265" max="265" width="12.5" style="88" customWidth="1"/>
    <col min="266" max="266" width="0" style="88" hidden="1" customWidth="1"/>
    <col min="267" max="267" width="8.3984375" style="88" customWidth="1"/>
    <col min="268" max="269" width="11.59765625" style="88" customWidth="1"/>
    <col min="270" max="270" width="1.09765625" style="88" customWidth="1"/>
    <col min="271" max="512" width="8.09765625" style="88"/>
    <col min="513" max="514" width="8.19921875" style="88" customWidth="1"/>
    <col min="515" max="516" width="5.19921875" style="88" customWidth="1"/>
    <col min="517" max="517" width="32.59765625" style="88" customWidth="1"/>
    <col min="518" max="518" width="11.796875" style="88" customWidth="1"/>
    <col min="519" max="520" width="8" style="88" customWidth="1"/>
    <col min="521" max="521" width="12.5" style="88" customWidth="1"/>
    <col min="522" max="522" width="0" style="88" hidden="1" customWidth="1"/>
    <col min="523" max="523" width="8.3984375" style="88" customWidth="1"/>
    <col min="524" max="525" width="11.59765625" style="88" customWidth="1"/>
    <col min="526" max="526" width="1.09765625" style="88" customWidth="1"/>
    <col min="527" max="768" width="8.09765625" style="88"/>
    <col min="769" max="770" width="8.19921875" style="88" customWidth="1"/>
    <col min="771" max="772" width="5.19921875" style="88" customWidth="1"/>
    <col min="773" max="773" width="32.59765625" style="88" customWidth="1"/>
    <col min="774" max="774" width="11.796875" style="88" customWidth="1"/>
    <col min="775" max="776" width="8" style="88" customWidth="1"/>
    <col min="777" max="777" width="12.5" style="88" customWidth="1"/>
    <col min="778" max="778" width="0" style="88" hidden="1" customWidth="1"/>
    <col min="779" max="779" width="8.3984375" style="88" customWidth="1"/>
    <col min="780" max="781" width="11.59765625" style="88" customWidth="1"/>
    <col min="782" max="782" width="1.09765625" style="88" customWidth="1"/>
    <col min="783" max="1024" width="8.09765625" style="88"/>
    <col min="1025" max="1026" width="8.19921875" style="88" customWidth="1"/>
    <col min="1027" max="1028" width="5.19921875" style="88" customWidth="1"/>
    <col min="1029" max="1029" width="32.59765625" style="88" customWidth="1"/>
    <col min="1030" max="1030" width="11.796875" style="88" customWidth="1"/>
    <col min="1031" max="1032" width="8" style="88" customWidth="1"/>
    <col min="1033" max="1033" width="12.5" style="88" customWidth="1"/>
    <col min="1034" max="1034" width="0" style="88" hidden="1" customWidth="1"/>
    <col min="1035" max="1035" width="8.3984375" style="88" customWidth="1"/>
    <col min="1036" max="1037" width="11.59765625" style="88" customWidth="1"/>
    <col min="1038" max="1038" width="1.09765625" style="88" customWidth="1"/>
    <col min="1039" max="1280" width="8.09765625" style="88"/>
    <col min="1281" max="1282" width="8.19921875" style="88" customWidth="1"/>
    <col min="1283" max="1284" width="5.19921875" style="88" customWidth="1"/>
    <col min="1285" max="1285" width="32.59765625" style="88" customWidth="1"/>
    <col min="1286" max="1286" width="11.796875" style="88" customWidth="1"/>
    <col min="1287" max="1288" width="8" style="88" customWidth="1"/>
    <col min="1289" max="1289" width="12.5" style="88" customWidth="1"/>
    <col min="1290" max="1290" width="0" style="88" hidden="1" customWidth="1"/>
    <col min="1291" max="1291" width="8.3984375" style="88" customWidth="1"/>
    <col min="1292" max="1293" width="11.59765625" style="88" customWidth="1"/>
    <col min="1294" max="1294" width="1.09765625" style="88" customWidth="1"/>
    <col min="1295" max="1536" width="8.09765625" style="88"/>
    <col min="1537" max="1538" width="8.19921875" style="88" customWidth="1"/>
    <col min="1539" max="1540" width="5.19921875" style="88" customWidth="1"/>
    <col min="1541" max="1541" width="32.59765625" style="88" customWidth="1"/>
    <col min="1542" max="1542" width="11.796875" style="88" customWidth="1"/>
    <col min="1543" max="1544" width="8" style="88" customWidth="1"/>
    <col min="1545" max="1545" width="12.5" style="88" customWidth="1"/>
    <col min="1546" max="1546" width="0" style="88" hidden="1" customWidth="1"/>
    <col min="1547" max="1547" width="8.3984375" style="88" customWidth="1"/>
    <col min="1548" max="1549" width="11.59765625" style="88" customWidth="1"/>
    <col min="1550" max="1550" width="1.09765625" style="88" customWidth="1"/>
    <col min="1551" max="1792" width="8.09765625" style="88"/>
    <col min="1793" max="1794" width="8.19921875" style="88" customWidth="1"/>
    <col min="1795" max="1796" width="5.19921875" style="88" customWidth="1"/>
    <col min="1797" max="1797" width="32.59765625" style="88" customWidth="1"/>
    <col min="1798" max="1798" width="11.796875" style="88" customWidth="1"/>
    <col min="1799" max="1800" width="8" style="88" customWidth="1"/>
    <col min="1801" max="1801" width="12.5" style="88" customWidth="1"/>
    <col min="1802" max="1802" width="0" style="88" hidden="1" customWidth="1"/>
    <col min="1803" max="1803" width="8.3984375" style="88" customWidth="1"/>
    <col min="1804" max="1805" width="11.59765625" style="88" customWidth="1"/>
    <col min="1806" max="1806" width="1.09765625" style="88" customWidth="1"/>
    <col min="1807" max="2048" width="8.09765625" style="88"/>
    <col min="2049" max="2050" width="8.19921875" style="88" customWidth="1"/>
    <col min="2051" max="2052" width="5.19921875" style="88" customWidth="1"/>
    <col min="2053" max="2053" width="32.59765625" style="88" customWidth="1"/>
    <col min="2054" max="2054" width="11.796875" style="88" customWidth="1"/>
    <col min="2055" max="2056" width="8" style="88" customWidth="1"/>
    <col min="2057" max="2057" width="12.5" style="88" customWidth="1"/>
    <col min="2058" max="2058" width="0" style="88" hidden="1" customWidth="1"/>
    <col min="2059" max="2059" width="8.3984375" style="88" customWidth="1"/>
    <col min="2060" max="2061" width="11.59765625" style="88" customWidth="1"/>
    <col min="2062" max="2062" width="1.09765625" style="88" customWidth="1"/>
    <col min="2063" max="2304" width="8.09765625" style="88"/>
    <col min="2305" max="2306" width="8.19921875" style="88" customWidth="1"/>
    <col min="2307" max="2308" width="5.19921875" style="88" customWidth="1"/>
    <col min="2309" max="2309" width="32.59765625" style="88" customWidth="1"/>
    <col min="2310" max="2310" width="11.796875" style="88" customWidth="1"/>
    <col min="2311" max="2312" width="8" style="88" customWidth="1"/>
    <col min="2313" max="2313" width="12.5" style="88" customWidth="1"/>
    <col min="2314" max="2314" width="0" style="88" hidden="1" customWidth="1"/>
    <col min="2315" max="2315" width="8.3984375" style="88" customWidth="1"/>
    <col min="2316" max="2317" width="11.59765625" style="88" customWidth="1"/>
    <col min="2318" max="2318" width="1.09765625" style="88" customWidth="1"/>
    <col min="2319" max="2560" width="8.09765625" style="88"/>
    <col min="2561" max="2562" width="8.19921875" style="88" customWidth="1"/>
    <col min="2563" max="2564" width="5.19921875" style="88" customWidth="1"/>
    <col min="2565" max="2565" width="32.59765625" style="88" customWidth="1"/>
    <col min="2566" max="2566" width="11.796875" style="88" customWidth="1"/>
    <col min="2567" max="2568" width="8" style="88" customWidth="1"/>
    <col min="2569" max="2569" width="12.5" style="88" customWidth="1"/>
    <col min="2570" max="2570" width="0" style="88" hidden="1" customWidth="1"/>
    <col min="2571" max="2571" width="8.3984375" style="88" customWidth="1"/>
    <col min="2572" max="2573" width="11.59765625" style="88" customWidth="1"/>
    <col min="2574" max="2574" width="1.09765625" style="88" customWidth="1"/>
    <col min="2575" max="2816" width="8.09765625" style="88"/>
    <col min="2817" max="2818" width="8.19921875" style="88" customWidth="1"/>
    <col min="2819" max="2820" width="5.19921875" style="88" customWidth="1"/>
    <col min="2821" max="2821" width="32.59765625" style="88" customWidth="1"/>
    <col min="2822" max="2822" width="11.796875" style="88" customWidth="1"/>
    <col min="2823" max="2824" width="8" style="88" customWidth="1"/>
    <col min="2825" max="2825" width="12.5" style="88" customWidth="1"/>
    <col min="2826" max="2826" width="0" style="88" hidden="1" customWidth="1"/>
    <col min="2827" max="2827" width="8.3984375" style="88" customWidth="1"/>
    <col min="2828" max="2829" width="11.59765625" style="88" customWidth="1"/>
    <col min="2830" max="2830" width="1.09765625" style="88" customWidth="1"/>
    <col min="2831" max="3072" width="8.09765625" style="88"/>
    <col min="3073" max="3074" width="8.19921875" style="88" customWidth="1"/>
    <col min="3075" max="3076" width="5.19921875" style="88" customWidth="1"/>
    <col min="3077" max="3077" width="32.59765625" style="88" customWidth="1"/>
    <col min="3078" max="3078" width="11.796875" style="88" customWidth="1"/>
    <col min="3079" max="3080" width="8" style="88" customWidth="1"/>
    <col min="3081" max="3081" width="12.5" style="88" customWidth="1"/>
    <col min="3082" max="3082" width="0" style="88" hidden="1" customWidth="1"/>
    <col min="3083" max="3083" width="8.3984375" style="88" customWidth="1"/>
    <col min="3084" max="3085" width="11.59765625" style="88" customWidth="1"/>
    <col min="3086" max="3086" width="1.09765625" style="88" customWidth="1"/>
    <col min="3087" max="3328" width="8.09765625" style="88"/>
    <col min="3329" max="3330" width="8.19921875" style="88" customWidth="1"/>
    <col min="3331" max="3332" width="5.19921875" style="88" customWidth="1"/>
    <col min="3333" max="3333" width="32.59765625" style="88" customWidth="1"/>
    <col min="3334" max="3334" width="11.796875" style="88" customWidth="1"/>
    <col min="3335" max="3336" width="8" style="88" customWidth="1"/>
    <col min="3337" max="3337" width="12.5" style="88" customWidth="1"/>
    <col min="3338" max="3338" width="0" style="88" hidden="1" customWidth="1"/>
    <col min="3339" max="3339" width="8.3984375" style="88" customWidth="1"/>
    <col min="3340" max="3341" width="11.59765625" style="88" customWidth="1"/>
    <col min="3342" max="3342" width="1.09765625" style="88" customWidth="1"/>
    <col min="3343" max="3584" width="8.09765625" style="88"/>
    <col min="3585" max="3586" width="8.19921875" style="88" customWidth="1"/>
    <col min="3587" max="3588" width="5.19921875" style="88" customWidth="1"/>
    <col min="3589" max="3589" width="32.59765625" style="88" customWidth="1"/>
    <col min="3590" max="3590" width="11.796875" style="88" customWidth="1"/>
    <col min="3591" max="3592" width="8" style="88" customWidth="1"/>
    <col min="3593" max="3593" width="12.5" style="88" customWidth="1"/>
    <col min="3594" max="3594" width="0" style="88" hidden="1" customWidth="1"/>
    <col min="3595" max="3595" width="8.3984375" style="88" customWidth="1"/>
    <col min="3596" max="3597" width="11.59765625" style="88" customWidth="1"/>
    <col min="3598" max="3598" width="1.09765625" style="88" customWidth="1"/>
    <col min="3599" max="3840" width="8.09765625" style="88"/>
    <col min="3841" max="3842" width="8.19921875" style="88" customWidth="1"/>
    <col min="3843" max="3844" width="5.19921875" style="88" customWidth="1"/>
    <col min="3845" max="3845" width="32.59765625" style="88" customWidth="1"/>
    <col min="3846" max="3846" width="11.796875" style="88" customWidth="1"/>
    <col min="3847" max="3848" width="8" style="88" customWidth="1"/>
    <col min="3849" max="3849" width="12.5" style="88" customWidth="1"/>
    <col min="3850" max="3850" width="0" style="88" hidden="1" customWidth="1"/>
    <col min="3851" max="3851" width="8.3984375" style="88" customWidth="1"/>
    <col min="3852" max="3853" width="11.59765625" style="88" customWidth="1"/>
    <col min="3854" max="3854" width="1.09765625" style="88" customWidth="1"/>
    <col min="3855" max="4096" width="8.09765625" style="88"/>
    <col min="4097" max="4098" width="8.19921875" style="88" customWidth="1"/>
    <col min="4099" max="4100" width="5.19921875" style="88" customWidth="1"/>
    <col min="4101" max="4101" width="32.59765625" style="88" customWidth="1"/>
    <col min="4102" max="4102" width="11.796875" style="88" customWidth="1"/>
    <col min="4103" max="4104" width="8" style="88" customWidth="1"/>
    <col min="4105" max="4105" width="12.5" style="88" customWidth="1"/>
    <col min="4106" max="4106" width="0" style="88" hidden="1" customWidth="1"/>
    <col min="4107" max="4107" width="8.3984375" style="88" customWidth="1"/>
    <col min="4108" max="4109" width="11.59765625" style="88" customWidth="1"/>
    <col min="4110" max="4110" width="1.09765625" style="88" customWidth="1"/>
    <col min="4111" max="4352" width="8.09765625" style="88"/>
    <col min="4353" max="4354" width="8.19921875" style="88" customWidth="1"/>
    <col min="4355" max="4356" width="5.19921875" style="88" customWidth="1"/>
    <col min="4357" max="4357" width="32.59765625" style="88" customWidth="1"/>
    <col min="4358" max="4358" width="11.796875" style="88" customWidth="1"/>
    <col min="4359" max="4360" width="8" style="88" customWidth="1"/>
    <col min="4361" max="4361" width="12.5" style="88" customWidth="1"/>
    <col min="4362" max="4362" width="0" style="88" hidden="1" customWidth="1"/>
    <col min="4363" max="4363" width="8.3984375" style="88" customWidth="1"/>
    <col min="4364" max="4365" width="11.59765625" style="88" customWidth="1"/>
    <col min="4366" max="4366" width="1.09765625" style="88" customWidth="1"/>
    <col min="4367" max="4608" width="8.09765625" style="88"/>
    <col min="4609" max="4610" width="8.19921875" style="88" customWidth="1"/>
    <col min="4611" max="4612" width="5.19921875" style="88" customWidth="1"/>
    <col min="4613" max="4613" width="32.59765625" style="88" customWidth="1"/>
    <col min="4614" max="4614" width="11.796875" style="88" customWidth="1"/>
    <col min="4615" max="4616" width="8" style="88" customWidth="1"/>
    <col min="4617" max="4617" width="12.5" style="88" customWidth="1"/>
    <col min="4618" max="4618" width="0" style="88" hidden="1" customWidth="1"/>
    <col min="4619" max="4619" width="8.3984375" style="88" customWidth="1"/>
    <col min="4620" max="4621" width="11.59765625" style="88" customWidth="1"/>
    <col min="4622" max="4622" width="1.09765625" style="88" customWidth="1"/>
    <col min="4623" max="4864" width="8.09765625" style="88"/>
    <col min="4865" max="4866" width="8.19921875" style="88" customWidth="1"/>
    <col min="4867" max="4868" width="5.19921875" style="88" customWidth="1"/>
    <col min="4869" max="4869" width="32.59765625" style="88" customWidth="1"/>
    <col min="4870" max="4870" width="11.796875" style="88" customWidth="1"/>
    <col min="4871" max="4872" width="8" style="88" customWidth="1"/>
    <col min="4873" max="4873" width="12.5" style="88" customWidth="1"/>
    <col min="4874" max="4874" width="0" style="88" hidden="1" customWidth="1"/>
    <col min="4875" max="4875" width="8.3984375" style="88" customWidth="1"/>
    <col min="4876" max="4877" width="11.59765625" style="88" customWidth="1"/>
    <col min="4878" max="4878" width="1.09765625" style="88" customWidth="1"/>
    <col min="4879" max="5120" width="8.09765625" style="88"/>
    <col min="5121" max="5122" width="8.19921875" style="88" customWidth="1"/>
    <col min="5123" max="5124" width="5.19921875" style="88" customWidth="1"/>
    <col min="5125" max="5125" width="32.59765625" style="88" customWidth="1"/>
    <col min="5126" max="5126" width="11.796875" style="88" customWidth="1"/>
    <col min="5127" max="5128" width="8" style="88" customWidth="1"/>
    <col min="5129" max="5129" width="12.5" style="88" customWidth="1"/>
    <col min="5130" max="5130" width="0" style="88" hidden="1" customWidth="1"/>
    <col min="5131" max="5131" width="8.3984375" style="88" customWidth="1"/>
    <col min="5132" max="5133" width="11.59765625" style="88" customWidth="1"/>
    <col min="5134" max="5134" width="1.09765625" style="88" customWidth="1"/>
    <col min="5135" max="5376" width="8.09765625" style="88"/>
    <col min="5377" max="5378" width="8.19921875" style="88" customWidth="1"/>
    <col min="5379" max="5380" width="5.19921875" style="88" customWidth="1"/>
    <col min="5381" max="5381" width="32.59765625" style="88" customWidth="1"/>
    <col min="5382" max="5382" width="11.796875" style="88" customWidth="1"/>
    <col min="5383" max="5384" width="8" style="88" customWidth="1"/>
    <col min="5385" max="5385" width="12.5" style="88" customWidth="1"/>
    <col min="5386" max="5386" width="0" style="88" hidden="1" customWidth="1"/>
    <col min="5387" max="5387" width="8.3984375" style="88" customWidth="1"/>
    <col min="5388" max="5389" width="11.59765625" style="88" customWidth="1"/>
    <col min="5390" max="5390" width="1.09765625" style="88" customWidth="1"/>
    <col min="5391" max="5632" width="8.09765625" style="88"/>
    <col min="5633" max="5634" width="8.19921875" style="88" customWidth="1"/>
    <col min="5635" max="5636" width="5.19921875" style="88" customWidth="1"/>
    <col min="5637" max="5637" width="32.59765625" style="88" customWidth="1"/>
    <col min="5638" max="5638" width="11.796875" style="88" customWidth="1"/>
    <col min="5639" max="5640" width="8" style="88" customWidth="1"/>
    <col min="5641" max="5641" width="12.5" style="88" customWidth="1"/>
    <col min="5642" max="5642" width="0" style="88" hidden="1" customWidth="1"/>
    <col min="5643" max="5643" width="8.3984375" style="88" customWidth="1"/>
    <col min="5644" max="5645" width="11.59765625" style="88" customWidth="1"/>
    <col min="5646" max="5646" width="1.09765625" style="88" customWidth="1"/>
    <col min="5647" max="5888" width="8.09765625" style="88"/>
    <col min="5889" max="5890" width="8.19921875" style="88" customWidth="1"/>
    <col min="5891" max="5892" width="5.19921875" style="88" customWidth="1"/>
    <col min="5893" max="5893" width="32.59765625" style="88" customWidth="1"/>
    <col min="5894" max="5894" width="11.796875" style="88" customWidth="1"/>
    <col min="5895" max="5896" width="8" style="88" customWidth="1"/>
    <col min="5897" max="5897" width="12.5" style="88" customWidth="1"/>
    <col min="5898" max="5898" width="0" style="88" hidden="1" customWidth="1"/>
    <col min="5899" max="5899" width="8.3984375" style="88" customWidth="1"/>
    <col min="5900" max="5901" width="11.59765625" style="88" customWidth="1"/>
    <col min="5902" max="5902" width="1.09765625" style="88" customWidth="1"/>
    <col min="5903" max="6144" width="8.09765625" style="88"/>
    <col min="6145" max="6146" width="8.19921875" style="88" customWidth="1"/>
    <col min="6147" max="6148" width="5.19921875" style="88" customWidth="1"/>
    <col min="6149" max="6149" width="32.59765625" style="88" customWidth="1"/>
    <col min="6150" max="6150" width="11.796875" style="88" customWidth="1"/>
    <col min="6151" max="6152" width="8" style="88" customWidth="1"/>
    <col min="6153" max="6153" width="12.5" style="88" customWidth="1"/>
    <col min="6154" max="6154" width="0" style="88" hidden="1" customWidth="1"/>
    <col min="6155" max="6155" width="8.3984375" style="88" customWidth="1"/>
    <col min="6156" max="6157" width="11.59765625" style="88" customWidth="1"/>
    <col min="6158" max="6158" width="1.09765625" style="88" customWidth="1"/>
    <col min="6159" max="6400" width="8.09765625" style="88"/>
    <col min="6401" max="6402" width="8.19921875" style="88" customWidth="1"/>
    <col min="6403" max="6404" width="5.19921875" style="88" customWidth="1"/>
    <col min="6405" max="6405" width="32.59765625" style="88" customWidth="1"/>
    <col min="6406" max="6406" width="11.796875" style="88" customWidth="1"/>
    <col min="6407" max="6408" width="8" style="88" customWidth="1"/>
    <col min="6409" max="6409" width="12.5" style="88" customWidth="1"/>
    <col min="6410" max="6410" width="0" style="88" hidden="1" customWidth="1"/>
    <col min="6411" max="6411" width="8.3984375" style="88" customWidth="1"/>
    <col min="6412" max="6413" width="11.59765625" style="88" customWidth="1"/>
    <col min="6414" max="6414" width="1.09765625" style="88" customWidth="1"/>
    <col min="6415" max="6656" width="8.09765625" style="88"/>
    <col min="6657" max="6658" width="8.19921875" style="88" customWidth="1"/>
    <col min="6659" max="6660" width="5.19921875" style="88" customWidth="1"/>
    <col min="6661" max="6661" width="32.59765625" style="88" customWidth="1"/>
    <col min="6662" max="6662" width="11.796875" style="88" customWidth="1"/>
    <col min="6663" max="6664" width="8" style="88" customWidth="1"/>
    <col min="6665" max="6665" width="12.5" style="88" customWidth="1"/>
    <col min="6666" max="6666" width="0" style="88" hidden="1" customWidth="1"/>
    <col min="6667" max="6667" width="8.3984375" style="88" customWidth="1"/>
    <col min="6668" max="6669" width="11.59765625" style="88" customWidth="1"/>
    <col min="6670" max="6670" width="1.09765625" style="88" customWidth="1"/>
    <col min="6671" max="6912" width="8.09765625" style="88"/>
    <col min="6913" max="6914" width="8.19921875" style="88" customWidth="1"/>
    <col min="6915" max="6916" width="5.19921875" style="88" customWidth="1"/>
    <col min="6917" max="6917" width="32.59765625" style="88" customWidth="1"/>
    <col min="6918" max="6918" width="11.796875" style="88" customWidth="1"/>
    <col min="6919" max="6920" width="8" style="88" customWidth="1"/>
    <col min="6921" max="6921" width="12.5" style="88" customWidth="1"/>
    <col min="6922" max="6922" width="0" style="88" hidden="1" customWidth="1"/>
    <col min="6923" max="6923" width="8.3984375" style="88" customWidth="1"/>
    <col min="6924" max="6925" width="11.59765625" style="88" customWidth="1"/>
    <col min="6926" max="6926" width="1.09765625" style="88" customWidth="1"/>
    <col min="6927" max="7168" width="8.09765625" style="88"/>
    <col min="7169" max="7170" width="8.19921875" style="88" customWidth="1"/>
    <col min="7171" max="7172" width="5.19921875" style="88" customWidth="1"/>
    <col min="7173" max="7173" width="32.59765625" style="88" customWidth="1"/>
    <col min="7174" max="7174" width="11.796875" style="88" customWidth="1"/>
    <col min="7175" max="7176" width="8" style="88" customWidth="1"/>
    <col min="7177" max="7177" width="12.5" style="88" customWidth="1"/>
    <col min="7178" max="7178" width="0" style="88" hidden="1" customWidth="1"/>
    <col min="7179" max="7179" width="8.3984375" style="88" customWidth="1"/>
    <col min="7180" max="7181" width="11.59765625" style="88" customWidth="1"/>
    <col min="7182" max="7182" width="1.09765625" style="88" customWidth="1"/>
    <col min="7183" max="7424" width="8.09765625" style="88"/>
    <col min="7425" max="7426" width="8.19921875" style="88" customWidth="1"/>
    <col min="7427" max="7428" width="5.19921875" style="88" customWidth="1"/>
    <col min="7429" max="7429" width="32.59765625" style="88" customWidth="1"/>
    <col min="7430" max="7430" width="11.796875" style="88" customWidth="1"/>
    <col min="7431" max="7432" width="8" style="88" customWidth="1"/>
    <col min="7433" max="7433" width="12.5" style="88" customWidth="1"/>
    <col min="7434" max="7434" width="0" style="88" hidden="1" customWidth="1"/>
    <col min="7435" max="7435" width="8.3984375" style="88" customWidth="1"/>
    <col min="7436" max="7437" width="11.59765625" style="88" customWidth="1"/>
    <col min="7438" max="7438" width="1.09765625" style="88" customWidth="1"/>
    <col min="7439" max="7680" width="8.09765625" style="88"/>
    <col min="7681" max="7682" width="8.19921875" style="88" customWidth="1"/>
    <col min="7683" max="7684" width="5.19921875" style="88" customWidth="1"/>
    <col min="7685" max="7685" width="32.59765625" style="88" customWidth="1"/>
    <col min="7686" max="7686" width="11.796875" style="88" customWidth="1"/>
    <col min="7687" max="7688" width="8" style="88" customWidth="1"/>
    <col min="7689" max="7689" width="12.5" style="88" customWidth="1"/>
    <col min="7690" max="7690" width="0" style="88" hidden="1" customWidth="1"/>
    <col min="7691" max="7691" width="8.3984375" style="88" customWidth="1"/>
    <col min="7692" max="7693" width="11.59765625" style="88" customWidth="1"/>
    <col min="7694" max="7694" width="1.09765625" style="88" customWidth="1"/>
    <col min="7695" max="7936" width="8.09765625" style="88"/>
    <col min="7937" max="7938" width="8.19921875" style="88" customWidth="1"/>
    <col min="7939" max="7940" width="5.19921875" style="88" customWidth="1"/>
    <col min="7941" max="7941" width="32.59765625" style="88" customWidth="1"/>
    <col min="7942" max="7942" width="11.796875" style="88" customWidth="1"/>
    <col min="7943" max="7944" width="8" style="88" customWidth="1"/>
    <col min="7945" max="7945" width="12.5" style="88" customWidth="1"/>
    <col min="7946" max="7946" width="0" style="88" hidden="1" customWidth="1"/>
    <col min="7947" max="7947" width="8.3984375" style="88" customWidth="1"/>
    <col min="7948" max="7949" width="11.59765625" style="88" customWidth="1"/>
    <col min="7950" max="7950" width="1.09765625" style="88" customWidth="1"/>
    <col min="7951" max="8192" width="8.09765625" style="88"/>
    <col min="8193" max="8194" width="8.19921875" style="88" customWidth="1"/>
    <col min="8195" max="8196" width="5.19921875" style="88" customWidth="1"/>
    <col min="8197" max="8197" width="32.59765625" style="88" customWidth="1"/>
    <col min="8198" max="8198" width="11.796875" style="88" customWidth="1"/>
    <col min="8199" max="8200" width="8" style="88" customWidth="1"/>
    <col min="8201" max="8201" width="12.5" style="88" customWidth="1"/>
    <col min="8202" max="8202" width="0" style="88" hidden="1" customWidth="1"/>
    <col min="8203" max="8203" width="8.3984375" style="88" customWidth="1"/>
    <col min="8204" max="8205" width="11.59765625" style="88" customWidth="1"/>
    <col min="8206" max="8206" width="1.09765625" style="88" customWidth="1"/>
    <col min="8207" max="8448" width="8.09765625" style="88"/>
    <col min="8449" max="8450" width="8.19921875" style="88" customWidth="1"/>
    <col min="8451" max="8452" width="5.19921875" style="88" customWidth="1"/>
    <col min="8453" max="8453" width="32.59765625" style="88" customWidth="1"/>
    <col min="8454" max="8454" width="11.796875" style="88" customWidth="1"/>
    <col min="8455" max="8456" width="8" style="88" customWidth="1"/>
    <col min="8457" max="8457" width="12.5" style="88" customWidth="1"/>
    <col min="8458" max="8458" width="0" style="88" hidden="1" customWidth="1"/>
    <col min="8459" max="8459" width="8.3984375" style="88" customWidth="1"/>
    <col min="8460" max="8461" width="11.59765625" style="88" customWidth="1"/>
    <col min="8462" max="8462" width="1.09765625" style="88" customWidth="1"/>
    <col min="8463" max="8704" width="8.09765625" style="88"/>
    <col min="8705" max="8706" width="8.19921875" style="88" customWidth="1"/>
    <col min="8707" max="8708" width="5.19921875" style="88" customWidth="1"/>
    <col min="8709" max="8709" width="32.59765625" style="88" customWidth="1"/>
    <col min="8710" max="8710" width="11.796875" style="88" customWidth="1"/>
    <col min="8711" max="8712" width="8" style="88" customWidth="1"/>
    <col min="8713" max="8713" width="12.5" style="88" customWidth="1"/>
    <col min="8714" max="8714" width="0" style="88" hidden="1" customWidth="1"/>
    <col min="8715" max="8715" width="8.3984375" style="88" customWidth="1"/>
    <col min="8716" max="8717" width="11.59765625" style="88" customWidth="1"/>
    <col min="8718" max="8718" width="1.09765625" style="88" customWidth="1"/>
    <col min="8719" max="8960" width="8.09765625" style="88"/>
    <col min="8961" max="8962" width="8.19921875" style="88" customWidth="1"/>
    <col min="8963" max="8964" width="5.19921875" style="88" customWidth="1"/>
    <col min="8965" max="8965" width="32.59765625" style="88" customWidth="1"/>
    <col min="8966" max="8966" width="11.796875" style="88" customWidth="1"/>
    <col min="8967" max="8968" width="8" style="88" customWidth="1"/>
    <col min="8969" max="8969" width="12.5" style="88" customWidth="1"/>
    <col min="8970" max="8970" width="0" style="88" hidden="1" customWidth="1"/>
    <col min="8971" max="8971" width="8.3984375" style="88" customWidth="1"/>
    <col min="8972" max="8973" width="11.59765625" style="88" customWidth="1"/>
    <col min="8974" max="8974" width="1.09765625" style="88" customWidth="1"/>
    <col min="8975" max="9216" width="8.09765625" style="88"/>
    <col min="9217" max="9218" width="8.19921875" style="88" customWidth="1"/>
    <col min="9219" max="9220" width="5.19921875" style="88" customWidth="1"/>
    <col min="9221" max="9221" width="32.59765625" style="88" customWidth="1"/>
    <col min="9222" max="9222" width="11.796875" style="88" customWidth="1"/>
    <col min="9223" max="9224" width="8" style="88" customWidth="1"/>
    <col min="9225" max="9225" width="12.5" style="88" customWidth="1"/>
    <col min="9226" max="9226" width="0" style="88" hidden="1" customWidth="1"/>
    <col min="9227" max="9227" width="8.3984375" style="88" customWidth="1"/>
    <col min="9228" max="9229" width="11.59765625" style="88" customWidth="1"/>
    <col min="9230" max="9230" width="1.09765625" style="88" customWidth="1"/>
    <col min="9231" max="9472" width="8.09765625" style="88"/>
    <col min="9473" max="9474" width="8.19921875" style="88" customWidth="1"/>
    <col min="9475" max="9476" width="5.19921875" style="88" customWidth="1"/>
    <col min="9477" max="9477" width="32.59765625" style="88" customWidth="1"/>
    <col min="9478" max="9478" width="11.796875" style="88" customWidth="1"/>
    <col min="9479" max="9480" width="8" style="88" customWidth="1"/>
    <col min="9481" max="9481" width="12.5" style="88" customWidth="1"/>
    <col min="9482" max="9482" width="0" style="88" hidden="1" customWidth="1"/>
    <col min="9483" max="9483" width="8.3984375" style="88" customWidth="1"/>
    <col min="9484" max="9485" width="11.59765625" style="88" customWidth="1"/>
    <col min="9486" max="9486" width="1.09765625" style="88" customWidth="1"/>
    <col min="9487" max="9728" width="8.09765625" style="88"/>
    <col min="9729" max="9730" width="8.19921875" style="88" customWidth="1"/>
    <col min="9731" max="9732" width="5.19921875" style="88" customWidth="1"/>
    <col min="9733" max="9733" width="32.59765625" style="88" customWidth="1"/>
    <col min="9734" max="9734" width="11.796875" style="88" customWidth="1"/>
    <col min="9735" max="9736" width="8" style="88" customWidth="1"/>
    <col min="9737" max="9737" width="12.5" style="88" customWidth="1"/>
    <col min="9738" max="9738" width="0" style="88" hidden="1" customWidth="1"/>
    <col min="9739" max="9739" width="8.3984375" style="88" customWidth="1"/>
    <col min="9740" max="9741" width="11.59765625" style="88" customWidth="1"/>
    <col min="9742" max="9742" width="1.09765625" style="88" customWidth="1"/>
    <col min="9743" max="9984" width="8.09765625" style="88"/>
    <col min="9985" max="9986" width="8.19921875" style="88" customWidth="1"/>
    <col min="9987" max="9988" width="5.19921875" style="88" customWidth="1"/>
    <col min="9989" max="9989" width="32.59765625" style="88" customWidth="1"/>
    <col min="9990" max="9990" width="11.796875" style="88" customWidth="1"/>
    <col min="9991" max="9992" width="8" style="88" customWidth="1"/>
    <col min="9993" max="9993" width="12.5" style="88" customWidth="1"/>
    <col min="9994" max="9994" width="0" style="88" hidden="1" customWidth="1"/>
    <col min="9995" max="9995" width="8.3984375" style="88" customWidth="1"/>
    <col min="9996" max="9997" width="11.59765625" style="88" customWidth="1"/>
    <col min="9998" max="9998" width="1.09765625" style="88" customWidth="1"/>
    <col min="9999" max="10240" width="8.09765625" style="88"/>
    <col min="10241" max="10242" width="8.19921875" style="88" customWidth="1"/>
    <col min="10243" max="10244" width="5.19921875" style="88" customWidth="1"/>
    <col min="10245" max="10245" width="32.59765625" style="88" customWidth="1"/>
    <col min="10246" max="10246" width="11.796875" style="88" customWidth="1"/>
    <col min="10247" max="10248" width="8" style="88" customWidth="1"/>
    <col min="10249" max="10249" width="12.5" style="88" customWidth="1"/>
    <col min="10250" max="10250" width="0" style="88" hidden="1" customWidth="1"/>
    <col min="10251" max="10251" width="8.3984375" style="88" customWidth="1"/>
    <col min="10252" max="10253" width="11.59765625" style="88" customWidth="1"/>
    <col min="10254" max="10254" width="1.09765625" style="88" customWidth="1"/>
    <col min="10255" max="10496" width="8.09765625" style="88"/>
    <col min="10497" max="10498" width="8.19921875" style="88" customWidth="1"/>
    <col min="10499" max="10500" width="5.19921875" style="88" customWidth="1"/>
    <col min="10501" max="10501" width="32.59765625" style="88" customWidth="1"/>
    <col min="10502" max="10502" width="11.796875" style="88" customWidth="1"/>
    <col min="10503" max="10504" width="8" style="88" customWidth="1"/>
    <col min="10505" max="10505" width="12.5" style="88" customWidth="1"/>
    <col min="10506" max="10506" width="0" style="88" hidden="1" customWidth="1"/>
    <col min="10507" max="10507" width="8.3984375" style="88" customWidth="1"/>
    <col min="10508" max="10509" width="11.59765625" style="88" customWidth="1"/>
    <col min="10510" max="10510" width="1.09765625" style="88" customWidth="1"/>
    <col min="10511" max="10752" width="8.09765625" style="88"/>
    <col min="10753" max="10754" width="8.19921875" style="88" customWidth="1"/>
    <col min="10755" max="10756" width="5.19921875" style="88" customWidth="1"/>
    <col min="10757" max="10757" width="32.59765625" style="88" customWidth="1"/>
    <col min="10758" max="10758" width="11.796875" style="88" customWidth="1"/>
    <col min="10759" max="10760" width="8" style="88" customWidth="1"/>
    <col min="10761" max="10761" width="12.5" style="88" customWidth="1"/>
    <col min="10762" max="10762" width="0" style="88" hidden="1" customWidth="1"/>
    <col min="10763" max="10763" width="8.3984375" style="88" customWidth="1"/>
    <col min="10764" max="10765" width="11.59765625" style="88" customWidth="1"/>
    <col min="10766" max="10766" width="1.09765625" style="88" customWidth="1"/>
    <col min="10767" max="11008" width="8.09765625" style="88"/>
    <col min="11009" max="11010" width="8.19921875" style="88" customWidth="1"/>
    <col min="11011" max="11012" width="5.19921875" style="88" customWidth="1"/>
    <col min="11013" max="11013" width="32.59765625" style="88" customWidth="1"/>
    <col min="11014" max="11014" width="11.796875" style="88" customWidth="1"/>
    <col min="11015" max="11016" width="8" style="88" customWidth="1"/>
    <col min="11017" max="11017" width="12.5" style="88" customWidth="1"/>
    <col min="11018" max="11018" width="0" style="88" hidden="1" customWidth="1"/>
    <col min="11019" max="11019" width="8.3984375" style="88" customWidth="1"/>
    <col min="11020" max="11021" width="11.59765625" style="88" customWidth="1"/>
    <col min="11022" max="11022" width="1.09765625" style="88" customWidth="1"/>
    <col min="11023" max="11264" width="8.09765625" style="88"/>
    <col min="11265" max="11266" width="8.19921875" style="88" customWidth="1"/>
    <col min="11267" max="11268" width="5.19921875" style="88" customWidth="1"/>
    <col min="11269" max="11269" width="32.59765625" style="88" customWidth="1"/>
    <col min="11270" max="11270" width="11.796875" style="88" customWidth="1"/>
    <col min="11271" max="11272" width="8" style="88" customWidth="1"/>
    <col min="11273" max="11273" width="12.5" style="88" customWidth="1"/>
    <col min="11274" max="11274" width="0" style="88" hidden="1" customWidth="1"/>
    <col min="11275" max="11275" width="8.3984375" style="88" customWidth="1"/>
    <col min="11276" max="11277" width="11.59765625" style="88" customWidth="1"/>
    <col min="11278" max="11278" width="1.09765625" style="88" customWidth="1"/>
    <col min="11279" max="11520" width="8.09765625" style="88"/>
    <col min="11521" max="11522" width="8.19921875" style="88" customWidth="1"/>
    <col min="11523" max="11524" width="5.19921875" style="88" customWidth="1"/>
    <col min="11525" max="11525" width="32.59765625" style="88" customWidth="1"/>
    <col min="11526" max="11526" width="11.796875" style="88" customWidth="1"/>
    <col min="11527" max="11528" width="8" style="88" customWidth="1"/>
    <col min="11529" max="11529" width="12.5" style="88" customWidth="1"/>
    <col min="11530" max="11530" width="0" style="88" hidden="1" customWidth="1"/>
    <col min="11531" max="11531" width="8.3984375" style="88" customWidth="1"/>
    <col min="11532" max="11533" width="11.59765625" style="88" customWidth="1"/>
    <col min="11534" max="11534" width="1.09765625" style="88" customWidth="1"/>
    <col min="11535" max="11776" width="8.09765625" style="88"/>
    <col min="11777" max="11778" width="8.19921875" style="88" customWidth="1"/>
    <col min="11779" max="11780" width="5.19921875" style="88" customWidth="1"/>
    <col min="11781" max="11781" width="32.59765625" style="88" customWidth="1"/>
    <col min="11782" max="11782" width="11.796875" style="88" customWidth="1"/>
    <col min="11783" max="11784" width="8" style="88" customWidth="1"/>
    <col min="11785" max="11785" width="12.5" style="88" customWidth="1"/>
    <col min="11786" max="11786" width="0" style="88" hidden="1" customWidth="1"/>
    <col min="11787" max="11787" width="8.3984375" style="88" customWidth="1"/>
    <col min="11788" max="11789" width="11.59765625" style="88" customWidth="1"/>
    <col min="11790" max="11790" width="1.09765625" style="88" customWidth="1"/>
    <col min="11791" max="12032" width="8.09765625" style="88"/>
    <col min="12033" max="12034" width="8.19921875" style="88" customWidth="1"/>
    <col min="12035" max="12036" width="5.19921875" style="88" customWidth="1"/>
    <col min="12037" max="12037" width="32.59765625" style="88" customWidth="1"/>
    <col min="12038" max="12038" width="11.796875" style="88" customWidth="1"/>
    <col min="12039" max="12040" width="8" style="88" customWidth="1"/>
    <col min="12041" max="12041" width="12.5" style="88" customWidth="1"/>
    <col min="12042" max="12042" width="0" style="88" hidden="1" customWidth="1"/>
    <col min="12043" max="12043" width="8.3984375" style="88" customWidth="1"/>
    <col min="12044" max="12045" width="11.59765625" style="88" customWidth="1"/>
    <col min="12046" max="12046" width="1.09765625" style="88" customWidth="1"/>
    <col min="12047" max="12288" width="8.09765625" style="88"/>
    <col min="12289" max="12290" width="8.19921875" style="88" customWidth="1"/>
    <col min="12291" max="12292" width="5.19921875" style="88" customWidth="1"/>
    <col min="12293" max="12293" width="32.59765625" style="88" customWidth="1"/>
    <col min="12294" max="12294" width="11.796875" style="88" customWidth="1"/>
    <col min="12295" max="12296" width="8" style="88" customWidth="1"/>
    <col min="12297" max="12297" width="12.5" style="88" customWidth="1"/>
    <col min="12298" max="12298" width="0" style="88" hidden="1" customWidth="1"/>
    <col min="12299" max="12299" width="8.3984375" style="88" customWidth="1"/>
    <col min="12300" max="12301" width="11.59765625" style="88" customWidth="1"/>
    <col min="12302" max="12302" width="1.09765625" style="88" customWidth="1"/>
    <col min="12303" max="12544" width="8.09765625" style="88"/>
    <col min="12545" max="12546" width="8.19921875" style="88" customWidth="1"/>
    <col min="12547" max="12548" width="5.19921875" style="88" customWidth="1"/>
    <col min="12549" max="12549" width="32.59765625" style="88" customWidth="1"/>
    <col min="12550" max="12550" width="11.796875" style="88" customWidth="1"/>
    <col min="12551" max="12552" width="8" style="88" customWidth="1"/>
    <col min="12553" max="12553" width="12.5" style="88" customWidth="1"/>
    <col min="12554" max="12554" width="0" style="88" hidden="1" customWidth="1"/>
    <col min="12555" max="12555" width="8.3984375" style="88" customWidth="1"/>
    <col min="12556" max="12557" width="11.59765625" style="88" customWidth="1"/>
    <col min="12558" max="12558" width="1.09765625" style="88" customWidth="1"/>
    <col min="12559" max="12800" width="8.09765625" style="88"/>
    <col min="12801" max="12802" width="8.19921875" style="88" customWidth="1"/>
    <col min="12803" max="12804" width="5.19921875" style="88" customWidth="1"/>
    <col min="12805" max="12805" width="32.59765625" style="88" customWidth="1"/>
    <col min="12806" max="12806" width="11.796875" style="88" customWidth="1"/>
    <col min="12807" max="12808" width="8" style="88" customWidth="1"/>
    <col min="12809" max="12809" width="12.5" style="88" customWidth="1"/>
    <col min="12810" max="12810" width="0" style="88" hidden="1" customWidth="1"/>
    <col min="12811" max="12811" width="8.3984375" style="88" customWidth="1"/>
    <col min="12812" max="12813" width="11.59765625" style="88" customWidth="1"/>
    <col min="12814" max="12814" width="1.09765625" style="88" customWidth="1"/>
    <col min="12815" max="13056" width="8.09765625" style="88"/>
    <col min="13057" max="13058" width="8.19921875" style="88" customWidth="1"/>
    <col min="13059" max="13060" width="5.19921875" style="88" customWidth="1"/>
    <col min="13061" max="13061" width="32.59765625" style="88" customWidth="1"/>
    <col min="13062" max="13062" width="11.796875" style="88" customWidth="1"/>
    <col min="13063" max="13064" width="8" style="88" customWidth="1"/>
    <col min="13065" max="13065" width="12.5" style="88" customWidth="1"/>
    <col min="13066" max="13066" width="0" style="88" hidden="1" customWidth="1"/>
    <col min="13067" max="13067" width="8.3984375" style="88" customWidth="1"/>
    <col min="13068" max="13069" width="11.59765625" style="88" customWidth="1"/>
    <col min="13070" max="13070" width="1.09765625" style="88" customWidth="1"/>
    <col min="13071" max="13312" width="8.09765625" style="88"/>
    <col min="13313" max="13314" width="8.19921875" style="88" customWidth="1"/>
    <col min="13315" max="13316" width="5.19921875" style="88" customWidth="1"/>
    <col min="13317" max="13317" width="32.59765625" style="88" customWidth="1"/>
    <col min="13318" max="13318" width="11.796875" style="88" customWidth="1"/>
    <col min="13319" max="13320" width="8" style="88" customWidth="1"/>
    <col min="13321" max="13321" width="12.5" style="88" customWidth="1"/>
    <col min="13322" max="13322" width="0" style="88" hidden="1" customWidth="1"/>
    <col min="13323" max="13323" width="8.3984375" style="88" customWidth="1"/>
    <col min="13324" max="13325" width="11.59765625" style="88" customWidth="1"/>
    <col min="13326" max="13326" width="1.09765625" style="88" customWidth="1"/>
    <col min="13327" max="13568" width="8.09765625" style="88"/>
    <col min="13569" max="13570" width="8.19921875" style="88" customWidth="1"/>
    <col min="13571" max="13572" width="5.19921875" style="88" customWidth="1"/>
    <col min="13573" max="13573" width="32.59765625" style="88" customWidth="1"/>
    <col min="13574" max="13574" width="11.796875" style="88" customWidth="1"/>
    <col min="13575" max="13576" width="8" style="88" customWidth="1"/>
    <col min="13577" max="13577" width="12.5" style="88" customWidth="1"/>
    <col min="13578" max="13578" width="0" style="88" hidden="1" customWidth="1"/>
    <col min="13579" max="13579" width="8.3984375" style="88" customWidth="1"/>
    <col min="13580" max="13581" width="11.59765625" style="88" customWidth="1"/>
    <col min="13582" max="13582" width="1.09765625" style="88" customWidth="1"/>
    <col min="13583" max="13824" width="8.09765625" style="88"/>
    <col min="13825" max="13826" width="8.19921875" style="88" customWidth="1"/>
    <col min="13827" max="13828" width="5.19921875" style="88" customWidth="1"/>
    <col min="13829" max="13829" width="32.59765625" style="88" customWidth="1"/>
    <col min="13830" max="13830" width="11.796875" style="88" customWidth="1"/>
    <col min="13831" max="13832" width="8" style="88" customWidth="1"/>
    <col min="13833" max="13833" width="12.5" style="88" customWidth="1"/>
    <col min="13834" max="13834" width="0" style="88" hidden="1" customWidth="1"/>
    <col min="13835" max="13835" width="8.3984375" style="88" customWidth="1"/>
    <col min="13836" max="13837" width="11.59765625" style="88" customWidth="1"/>
    <col min="13838" max="13838" width="1.09765625" style="88" customWidth="1"/>
    <col min="13839" max="14080" width="8.09765625" style="88"/>
    <col min="14081" max="14082" width="8.19921875" style="88" customWidth="1"/>
    <col min="14083" max="14084" width="5.19921875" style="88" customWidth="1"/>
    <col min="14085" max="14085" width="32.59765625" style="88" customWidth="1"/>
    <col min="14086" max="14086" width="11.796875" style="88" customWidth="1"/>
    <col min="14087" max="14088" width="8" style="88" customWidth="1"/>
    <col min="14089" max="14089" width="12.5" style="88" customWidth="1"/>
    <col min="14090" max="14090" width="0" style="88" hidden="1" customWidth="1"/>
    <col min="14091" max="14091" width="8.3984375" style="88" customWidth="1"/>
    <col min="14092" max="14093" width="11.59765625" style="88" customWidth="1"/>
    <col min="14094" max="14094" width="1.09765625" style="88" customWidth="1"/>
    <col min="14095" max="14336" width="8.09765625" style="88"/>
    <col min="14337" max="14338" width="8.19921875" style="88" customWidth="1"/>
    <col min="14339" max="14340" width="5.19921875" style="88" customWidth="1"/>
    <col min="14341" max="14341" width="32.59765625" style="88" customWidth="1"/>
    <col min="14342" max="14342" width="11.796875" style="88" customWidth="1"/>
    <col min="14343" max="14344" width="8" style="88" customWidth="1"/>
    <col min="14345" max="14345" width="12.5" style="88" customWidth="1"/>
    <col min="14346" max="14346" width="0" style="88" hidden="1" customWidth="1"/>
    <col min="14347" max="14347" width="8.3984375" style="88" customWidth="1"/>
    <col min="14348" max="14349" width="11.59765625" style="88" customWidth="1"/>
    <col min="14350" max="14350" width="1.09765625" style="88" customWidth="1"/>
    <col min="14351" max="14592" width="8.09765625" style="88"/>
    <col min="14593" max="14594" width="8.19921875" style="88" customWidth="1"/>
    <col min="14595" max="14596" width="5.19921875" style="88" customWidth="1"/>
    <col min="14597" max="14597" width="32.59765625" style="88" customWidth="1"/>
    <col min="14598" max="14598" width="11.796875" style="88" customWidth="1"/>
    <col min="14599" max="14600" width="8" style="88" customWidth="1"/>
    <col min="14601" max="14601" width="12.5" style="88" customWidth="1"/>
    <col min="14602" max="14602" width="0" style="88" hidden="1" customWidth="1"/>
    <col min="14603" max="14603" width="8.3984375" style="88" customWidth="1"/>
    <col min="14604" max="14605" width="11.59765625" style="88" customWidth="1"/>
    <col min="14606" max="14606" width="1.09765625" style="88" customWidth="1"/>
    <col min="14607" max="14848" width="8.09765625" style="88"/>
    <col min="14849" max="14850" width="8.19921875" style="88" customWidth="1"/>
    <col min="14851" max="14852" width="5.19921875" style="88" customWidth="1"/>
    <col min="14853" max="14853" width="32.59765625" style="88" customWidth="1"/>
    <col min="14854" max="14854" width="11.796875" style="88" customWidth="1"/>
    <col min="14855" max="14856" width="8" style="88" customWidth="1"/>
    <col min="14857" max="14857" width="12.5" style="88" customWidth="1"/>
    <col min="14858" max="14858" width="0" style="88" hidden="1" customWidth="1"/>
    <col min="14859" max="14859" width="8.3984375" style="88" customWidth="1"/>
    <col min="14860" max="14861" width="11.59765625" style="88" customWidth="1"/>
    <col min="14862" max="14862" width="1.09765625" style="88" customWidth="1"/>
    <col min="14863" max="15104" width="8.09765625" style="88"/>
    <col min="15105" max="15106" width="8.19921875" style="88" customWidth="1"/>
    <col min="15107" max="15108" width="5.19921875" style="88" customWidth="1"/>
    <col min="15109" max="15109" width="32.59765625" style="88" customWidth="1"/>
    <col min="15110" max="15110" width="11.796875" style="88" customWidth="1"/>
    <col min="15111" max="15112" width="8" style="88" customWidth="1"/>
    <col min="15113" max="15113" width="12.5" style="88" customWidth="1"/>
    <col min="15114" max="15114" width="0" style="88" hidden="1" customWidth="1"/>
    <col min="15115" max="15115" width="8.3984375" style="88" customWidth="1"/>
    <col min="15116" max="15117" width="11.59765625" style="88" customWidth="1"/>
    <col min="15118" max="15118" width="1.09765625" style="88" customWidth="1"/>
    <col min="15119" max="15360" width="8.09765625" style="88"/>
    <col min="15361" max="15362" width="8.19921875" style="88" customWidth="1"/>
    <col min="15363" max="15364" width="5.19921875" style="88" customWidth="1"/>
    <col min="15365" max="15365" width="32.59765625" style="88" customWidth="1"/>
    <col min="15366" max="15366" width="11.796875" style="88" customWidth="1"/>
    <col min="15367" max="15368" width="8" style="88" customWidth="1"/>
    <col min="15369" max="15369" width="12.5" style="88" customWidth="1"/>
    <col min="15370" max="15370" width="0" style="88" hidden="1" customWidth="1"/>
    <col min="15371" max="15371" width="8.3984375" style="88" customWidth="1"/>
    <col min="15372" max="15373" width="11.59765625" style="88" customWidth="1"/>
    <col min="15374" max="15374" width="1.09765625" style="88" customWidth="1"/>
    <col min="15375" max="15616" width="8.09765625" style="88"/>
    <col min="15617" max="15618" width="8.19921875" style="88" customWidth="1"/>
    <col min="15619" max="15620" width="5.19921875" style="88" customWidth="1"/>
    <col min="15621" max="15621" width="32.59765625" style="88" customWidth="1"/>
    <col min="15622" max="15622" width="11.796875" style="88" customWidth="1"/>
    <col min="15623" max="15624" width="8" style="88" customWidth="1"/>
    <col min="15625" max="15625" width="12.5" style="88" customWidth="1"/>
    <col min="15626" max="15626" width="0" style="88" hidden="1" customWidth="1"/>
    <col min="15627" max="15627" width="8.3984375" style="88" customWidth="1"/>
    <col min="15628" max="15629" width="11.59765625" style="88" customWidth="1"/>
    <col min="15630" max="15630" width="1.09765625" style="88" customWidth="1"/>
    <col min="15631" max="15872" width="8.09765625" style="88"/>
    <col min="15873" max="15874" width="8.19921875" style="88" customWidth="1"/>
    <col min="15875" max="15876" width="5.19921875" style="88" customWidth="1"/>
    <col min="15877" max="15877" width="32.59765625" style="88" customWidth="1"/>
    <col min="15878" max="15878" width="11.796875" style="88" customWidth="1"/>
    <col min="15879" max="15880" width="8" style="88" customWidth="1"/>
    <col min="15881" max="15881" width="12.5" style="88" customWidth="1"/>
    <col min="15882" max="15882" width="0" style="88" hidden="1" customWidth="1"/>
    <col min="15883" max="15883" width="8.3984375" style="88" customWidth="1"/>
    <col min="15884" max="15885" width="11.59765625" style="88" customWidth="1"/>
    <col min="15886" max="15886" width="1.09765625" style="88" customWidth="1"/>
    <col min="15887" max="16128" width="8.09765625" style="88"/>
    <col min="16129" max="16130" width="8.19921875" style="88" customWidth="1"/>
    <col min="16131" max="16132" width="5.19921875" style="88" customWidth="1"/>
    <col min="16133" max="16133" width="32.59765625" style="88" customWidth="1"/>
    <col min="16134" max="16134" width="11.796875" style="88" customWidth="1"/>
    <col min="16135" max="16136" width="8" style="88" customWidth="1"/>
    <col min="16137" max="16137" width="12.5" style="88" customWidth="1"/>
    <col min="16138" max="16138" width="0" style="88" hidden="1" customWidth="1"/>
    <col min="16139" max="16139" width="8.3984375" style="88" customWidth="1"/>
    <col min="16140" max="16141" width="11.59765625" style="88" customWidth="1"/>
    <col min="16142" max="16142" width="1.09765625" style="88" customWidth="1"/>
    <col min="16143" max="16384" width="8.09765625" style="88"/>
  </cols>
  <sheetData>
    <row r="1" spans="1:16" ht="39.9" customHeight="1" thickBot="1" x14ac:dyDescent="0.25">
      <c r="E1" s="89" t="s">
        <v>53</v>
      </c>
      <c r="F1" s="90"/>
      <c r="G1" s="90"/>
      <c r="H1" s="90"/>
      <c r="L1" s="243">
        <v>41366</v>
      </c>
      <c r="M1" s="244"/>
      <c r="N1" s="93"/>
    </row>
    <row r="2" spans="1:16" ht="19.5" customHeight="1" thickBot="1" x14ac:dyDescent="0.5">
      <c r="A2" s="94" t="s">
        <v>54</v>
      </c>
      <c r="B2" s="95" t="s">
        <v>55</v>
      </c>
      <c r="C2" s="95" t="s">
        <v>56</v>
      </c>
      <c r="D2" s="95" t="s">
        <v>57</v>
      </c>
      <c r="E2" s="95" t="s">
        <v>58</v>
      </c>
      <c r="F2" s="96" t="s">
        <v>59</v>
      </c>
      <c r="G2" s="96" t="s">
        <v>60</v>
      </c>
      <c r="H2" s="96" t="s">
        <v>61</v>
      </c>
      <c r="I2" s="96" t="s">
        <v>62</v>
      </c>
      <c r="J2" s="96" t="s">
        <v>63</v>
      </c>
      <c r="K2" s="97" t="s">
        <v>64</v>
      </c>
      <c r="L2" s="97" t="s">
        <v>65</v>
      </c>
      <c r="M2" s="98" t="s">
        <v>66</v>
      </c>
      <c r="N2" s="99"/>
      <c r="O2" s="99"/>
      <c r="P2" s="99"/>
    </row>
    <row r="3" spans="1:16" ht="19.5" customHeight="1" x14ac:dyDescent="0.45">
      <c r="A3" s="100"/>
      <c r="B3" s="101"/>
      <c r="C3" s="101"/>
      <c r="D3" s="101"/>
      <c r="E3" s="101"/>
      <c r="F3" s="102"/>
      <c r="G3" s="103"/>
      <c r="H3" s="103"/>
      <c r="I3" s="104"/>
      <c r="J3" s="105"/>
      <c r="K3" s="106"/>
      <c r="L3" s="103"/>
      <c r="M3" s="107"/>
      <c r="N3" s="99"/>
      <c r="O3" s="99"/>
      <c r="P3" s="99"/>
    </row>
    <row r="4" spans="1:16" ht="19.5" customHeight="1" thickBot="1" x14ac:dyDescent="0.5">
      <c r="A4" s="108"/>
      <c r="B4" s="109"/>
      <c r="C4" s="109"/>
      <c r="D4" s="109"/>
      <c r="E4" s="109"/>
      <c r="F4" s="110"/>
      <c r="G4" s="111"/>
      <c r="H4" s="111"/>
      <c r="I4" s="112"/>
      <c r="J4" s="113"/>
      <c r="K4" s="114"/>
      <c r="L4" s="115"/>
      <c r="M4" s="116"/>
    </row>
    <row r="5" spans="1:16" ht="12.75" customHeight="1" x14ac:dyDescent="0.45"/>
  </sheetData>
  <mergeCells count="1">
    <mergeCell ref="L1:M1"/>
  </mergeCells>
  <phoneticPr fontId="2"/>
  <conditionalFormatting sqref="M4">
    <cfRule type="cellIs" dxfId="1" priority="1" stopIfTrue="1" operator="greaterThanOrEqual">
      <formula>0.83</formula>
    </cfRule>
  </conditionalFormatting>
  <conditionalFormatting sqref="L3:L4">
    <cfRule type="expression" dxfId="0" priority="2" stopIfTrue="1">
      <formula>#REF! = "原価"</formula>
    </cfRule>
  </conditionalFormatting>
  <pageMargins left="0.25" right="0" top="0.25" bottom="0.25" header="0.25" footer="0"/>
  <pageSetup paperSize="9" scale="92" orientation="landscape" horizontalDpi="300" verticalDpi="300" r:id="rId1"/>
  <headerFooter alignWithMargins="0">
    <oddHeader>&amp;R&amp;F</oddHeader>
    <oddFooter>&amp;C㈱三和商研　&amp;P/&amp;N&amp;R©2024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19</vt:i4>
      </vt:variant>
    </vt:vector>
  </HeadingPairs>
  <TitlesOfParts>
    <vt:vector size="29" baseType="lpstr">
      <vt:lpstr>変更履歴</vt:lpstr>
      <vt:lpstr>概要</vt:lpstr>
      <vt:lpstr>帳票レイアウト</vt:lpstr>
      <vt:lpstr>処理詳細_書き方</vt:lpstr>
      <vt:lpstr>項目一覧</vt:lpstr>
      <vt:lpstr>処理詳細</vt:lpstr>
      <vt:lpstr>確認事項</vt:lpstr>
      <vt:lpstr>別紙_テンプレート</vt:lpstr>
      <vt:lpstr>別紙_印刷レイアウト</vt:lpstr>
      <vt:lpstr>参照</vt:lpstr>
      <vt:lpstr>別紙_テンプレート!_FilterDatabase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別紙_テンプレート!Print_Area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タイトル</vt:lpstr>
      <vt:lpstr>チーム名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2025-05-24T05:29:29Z</dcterms:modified>
</cp:coreProperties>
</file>