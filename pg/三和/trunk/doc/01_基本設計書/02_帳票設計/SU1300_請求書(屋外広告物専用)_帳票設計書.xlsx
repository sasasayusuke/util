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_書き方" sheetId="20" state="hidden" r:id="rId5"/>
    <sheet name="処理詳細" sheetId="21" r:id="rId6"/>
    <sheet name="確認事項" sheetId="15" r:id="rId7"/>
    <sheet name="別紙_テンプレート" sheetId="16" r:id="rId8"/>
    <sheet name="別紙_印刷レイアウト" sheetId="22" r:id="rId9"/>
    <sheet name="参照" sheetId="12" state="hidden" r:id="rId10"/>
  </sheets>
  <externalReferences>
    <externalReference r:id="rId11"/>
    <externalReference r:id="rId12"/>
    <externalReference r:id="rId13"/>
  </externalReferences>
  <definedNames>
    <definedName name="CoreCells">別紙_テンプレート!$A$43:$P$43</definedName>
    <definedName name="CoreCellsRow">別紙_テンプレート!$39:$73</definedName>
    <definedName name="_xlnm.Print_Area" localSheetId="1">概要!$A$1:$BN$31</definedName>
    <definedName name="_xlnm.Print_Area" localSheetId="3">項目一覧!$A$1:$BX$82</definedName>
    <definedName name="_xlnm.Print_Area" localSheetId="5">処理詳細!$A$1:$BR$641</definedName>
    <definedName name="_xlnm.Print_Area" localSheetId="4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5">処理詳細!$1:$5</definedName>
    <definedName name="_xlnm.Print_Titles" localSheetId="4">処理詳細_書き方!$1:$5</definedName>
    <definedName name="_xlnm.Print_Titles" localSheetId="2">帳票レイアウト!$1:$5</definedName>
    <definedName name="_xlnm.Print_Titles" localSheetId="7">別紙_テンプレート!$1:$2</definedName>
    <definedName name="_xlnm.Print_Titles" localSheetId="0">変更履歴!$1:$5</definedName>
    <definedName name="インボイス登録番号">別紙_テンプレート!$K$9</definedName>
    <definedName name="会社担当者">別紙_テンプレート!$K$16</definedName>
    <definedName name="会社担当者E_mail">別紙_テンプレート!$K$17</definedName>
    <definedName name="見積金額">別紙_テンプレート!$D$8</definedName>
    <definedName name="見積件名">別紙_テンプレート!$D$13</definedName>
    <definedName name="見積日" localSheetId="5">[1]別紙_テンプレート!#REF!</definedName>
    <definedName name="見積日">別紙_テンプレート!#REF!</definedName>
    <definedName name="見積番号">別紙_テンプレート!$A$1</definedName>
    <definedName name="見積有効期限" localSheetId="5">[1]別紙_テンプレート!#REF!</definedName>
    <definedName name="見積有効期限">別紙_テンプレート!#REF!</definedName>
    <definedName name="現場名" localSheetId="5">[1]別紙_テンプレート!#REF!</definedName>
    <definedName name="現場名">別紙_テンプレート!#REF!</definedName>
    <definedName name="合計金額">別紙_テンプレート!$D$11</definedName>
    <definedName name="作成日">別紙_テンプレート!$O$1</definedName>
    <definedName name="支払条件">別紙_テンプレート!$D$17</definedName>
    <definedName name="受注区分" localSheetId="5">[1]別紙_テンプレート!#REF!</definedName>
    <definedName name="受注区分">別紙_テンプレート!#REF!</definedName>
    <definedName name="受注先1" localSheetId="5">[1]別紙_テンプレート!#REF!</definedName>
    <definedName name="受注先1">別紙_テンプレート!#REF!</definedName>
    <definedName name="受渡地">別紙_テンプレート!$D$16</definedName>
    <definedName name="消費税額">別紙_テンプレート!$D$10</definedName>
    <definedName name="消費税見出し">別紙_テンプレート!$A$10</definedName>
    <definedName name="担当者" localSheetId="5">[1]別紙_テンプレート!#REF!</definedName>
    <definedName name="担当者">別紙_テンプレート!#REF!</definedName>
    <definedName name="担当者名">別紙_テンプレート!$K$16</definedName>
    <definedName name="店番">別紙_テンプレート!$F$16</definedName>
    <definedName name="得意先名1">別紙_テンプレート!$A$3</definedName>
    <definedName name="得意先名2">別紙_テンプレート!$A$4</definedName>
    <definedName name="納期">別紙_テンプレート!$D$15</definedName>
    <definedName name="納入先1" localSheetId="5">[1]別紙_テンプレート!#REF!</definedName>
    <definedName name="納入先1">別紙_テンプレート!#REF!</definedName>
    <definedName name="納入先住所1" localSheetId="5">[1]別紙_テンプレート!#REF!</definedName>
    <definedName name="納入先住所1">別紙_テンプレート!#REF!</definedName>
    <definedName name="非課税金額">別紙_テンプレート!$D$9</definedName>
    <definedName name="備考">別紙_テンプレート!$D$18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1" l="1"/>
  <c r="BJ3" i="21" l="1"/>
  <c r="BF3" i="21"/>
  <c r="BB3" i="21"/>
  <c r="AX3" i="21"/>
  <c r="AK3" i="21"/>
  <c r="X3" i="21"/>
  <c r="R3" i="21"/>
  <c r="L3" i="21"/>
  <c r="H3" i="21"/>
  <c r="BJ3" i="20" l="1"/>
  <c r="BF3" i="20"/>
  <c r="BB3" i="20"/>
  <c r="AX3" i="20"/>
  <c r="L3" i="20"/>
  <c r="B3" i="20"/>
  <c r="N73" i="16" l="1"/>
  <c r="K73" i="16"/>
  <c r="N72" i="16"/>
  <c r="K72" i="16"/>
  <c r="N71" i="16"/>
  <c r="K71" i="16"/>
  <c r="N70" i="16"/>
  <c r="K70" i="16"/>
  <c r="N69" i="16"/>
  <c r="K69" i="16"/>
  <c r="N68" i="16"/>
  <c r="K68" i="16"/>
  <c r="N67" i="16"/>
  <c r="K67" i="16"/>
  <c r="N66" i="16"/>
  <c r="K66" i="16"/>
  <c r="N65" i="16"/>
  <c r="K65" i="16"/>
  <c r="N64" i="16"/>
  <c r="K64" i="16"/>
  <c r="N63" i="16"/>
  <c r="K63" i="16"/>
  <c r="N62" i="16"/>
  <c r="K62" i="16"/>
  <c r="N61" i="16"/>
  <c r="K61" i="16"/>
  <c r="N60" i="16"/>
  <c r="K60" i="16"/>
  <c r="N59" i="16"/>
  <c r="K59" i="16"/>
  <c r="N58" i="16"/>
  <c r="K58" i="16"/>
  <c r="N57" i="16"/>
  <c r="K57" i="16"/>
  <c r="N56" i="16"/>
  <c r="K56" i="16"/>
  <c r="N55" i="16"/>
  <c r="K55" i="16"/>
  <c r="N54" i="16"/>
  <c r="K54" i="16"/>
  <c r="N53" i="16"/>
  <c r="K53" i="16"/>
  <c r="N52" i="16"/>
  <c r="K52" i="16"/>
  <c r="N51" i="16"/>
  <c r="K51" i="16"/>
  <c r="N50" i="16"/>
  <c r="K50" i="16"/>
  <c r="N49" i="16"/>
  <c r="K49" i="16"/>
  <c r="N48" i="16"/>
  <c r="K48" i="16"/>
  <c r="N47" i="16"/>
  <c r="K47" i="16"/>
  <c r="N46" i="16"/>
  <c r="K46" i="16"/>
  <c r="N45" i="16"/>
  <c r="K45" i="16"/>
  <c r="N44" i="16"/>
  <c r="K44" i="16"/>
  <c r="N43" i="16"/>
  <c r="K43" i="16"/>
  <c r="N42" i="16"/>
  <c r="K42" i="16"/>
  <c r="N38" i="16"/>
  <c r="K38" i="16"/>
  <c r="N37" i="16"/>
  <c r="K37" i="16"/>
  <c r="N36" i="16"/>
  <c r="K36" i="16"/>
  <c r="N35" i="16"/>
  <c r="K35" i="16"/>
  <c r="N34" i="16"/>
  <c r="K34" i="16"/>
  <c r="N33" i="16"/>
  <c r="K33" i="16"/>
  <c r="N32" i="16"/>
  <c r="K32" i="16"/>
  <c r="N31" i="16"/>
  <c r="K31" i="16"/>
  <c r="N30" i="16"/>
  <c r="K30" i="16"/>
  <c r="N29" i="16"/>
  <c r="K29" i="16"/>
  <c r="N28" i="16"/>
  <c r="K28" i="16"/>
  <c r="N27" i="16"/>
  <c r="K27" i="16"/>
  <c r="N26" i="16"/>
  <c r="K26" i="16"/>
  <c r="N25" i="16"/>
  <c r="K25" i="16"/>
  <c r="N24" i="16"/>
  <c r="K24" i="16"/>
  <c r="N23" i="16"/>
  <c r="K23" i="16"/>
  <c r="N22" i="16"/>
  <c r="K22" i="16"/>
  <c r="D11" i="16"/>
  <c r="BJ3" i="14" l="1"/>
  <c r="BF3" i="14"/>
  <c r="BB3" i="14"/>
  <c r="AX3" i="14"/>
  <c r="L3" i="14"/>
  <c r="B3" i="14"/>
  <c r="X3" i="1" l="1"/>
  <c r="X3" i="20" l="1"/>
  <c r="X3" i="14"/>
  <c r="H3" i="1"/>
  <c r="R3" i="1"/>
  <c r="AK3" i="1"/>
  <c r="AK3" i="20" l="1"/>
  <c r="R3" i="20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<sst xmlns="http://schemas.openxmlformats.org/spreadsheetml/2006/main" count="1572" uniqueCount="609">
  <si>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</si>
  <si>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</si>
  <si>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</si>
  <si>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</si>
  <si>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</si>
  <si>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</si>
  <si>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</si>
  <si>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</si>
  <si>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</si>
  <si>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</si>
  <si>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</si>
  <si>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</si>
  <si>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</si>
  <si>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</si>
  <si>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</si>
  <si>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</si>
  <si>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</si>
  <si>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</si>
  <si>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</si>
  <si>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</si>
  <si>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</si>
  <si>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</si>
  <si>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</si>
  <si>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</si>
  <si>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</si>
  <si>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</si>
  <si>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</si>
  <si>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</si>
  <si>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</si>
  <si>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</si>
  <si>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</si>
  <si>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</si>
  <si>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</si>
  <si>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</si>
  <si>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</si>
  <si>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</si>
  <si>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</si>
  <si>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</si>
  <si>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</si>
  <si>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</si>
  <si>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</si>
  <si>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</si>
  <si>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</si>
  <si>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</si>
  <si>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</si>
  <si>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</si>
  <si>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</si>
  <si>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</si>
  <si>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</si>
  <si>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</si>
  <si>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</si>
  <si>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</si>
  <si>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</si>
  <si>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Temp_請求書_屋外広告物.xlsx</t>
    <phoneticPr fontId="2"/>
  </si>
  <si>
    <t>-</t>
    <phoneticPr fontId="2"/>
  </si>
  <si>
    <t>-</t>
    <phoneticPr fontId="2"/>
  </si>
  <si>
    <t>　御　　請　　求　　書</t>
    <rPh sb="4" eb="5">
      <t>ショウ</t>
    </rPh>
    <rPh sb="7" eb="8">
      <t>モトム</t>
    </rPh>
    <phoneticPr fontId="12"/>
  </si>
  <si>
    <t>下記の通り御請求申し上げます。</t>
    <rPh sb="5" eb="8">
      <t>ゴセイキュウ</t>
    </rPh>
    <phoneticPr fontId="12"/>
  </si>
  <si>
    <t>御請求金額</t>
    <rPh sb="1" eb="3">
      <t>セイキュウ</t>
    </rPh>
    <phoneticPr fontId="12"/>
  </si>
  <si>
    <t>消費税等(10%)</t>
    <phoneticPr fontId="12"/>
  </si>
  <si>
    <t>合計</t>
  </si>
  <si>
    <t>〒360-0012</t>
  </si>
  <si>
    <t>埼玉県熊谷市上之2919-5</t>
  </si>
  <si>
    <t>件　　　名　：</t>
  </si>
  <si>
    <t>TEL 048-525-1171㈹</t>
    <phoneticPr fontId="12"/>
  </si>
  <si>
    <t>FAX 048-525-0008</t>
  </si>
  <si>
    <t>納　　　期　：</t>
  </si>
  <si>
    <t>受　渡　地　：</t>
  </si>
  <si>
    <t>担当：蓮見　明</t>
    <rPh sb="3" eb="5">
      <t>ハスミ</t>
    </rPh>
    <rPh sb="6" eb="7">
      <t>アキラ</t>
    </rPh>
    <phoneticPr fontId="12"/>
  </si>
  <si>
    <t>御支払条件　：</t>
  </si>
  <si>
    <t>E-mail：xxx@sanwashouken.co.jp</t>
    <phoneticPr fontId="12"/>
  </si>
  <si>
    <t>備　　　考　：</t>
  </si>
  <si>
    <t>　振込先</t>
    <rPh sb="1" eb="3">
      <t>フリコミ</t>
    </rPh>
    <rPh sb="3" eb="4">
      <t>サキ</t>
    </rPh>
    <phoneticPr fontId="12"/>
  </si>
  <si>
    <t>埼玉りそな銀行　熊谷支店</t>
    <phoneticPr fontId="12"/>
  </si>
  <si>
    <t>当座№0113747　㈱三和商研</t>
    <phoneticPr fontId="12"/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</si>
  <si>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</si>
  <si>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</si>
  <si>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</si>
  <si>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</si>
  <si>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</si>
  <si>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</si>
  <si>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</si>
  <si>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</si>
  <si>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</si>
  <si>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</si>
  <si>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</si>
  <si>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</si>
  <si>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</si>
  <si>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見積番号</t>
    <rPh sb="0" eb="4">
      <t>ミツモリバンゴウ</t>
    </rPh>
    <phoneticPr fontId="1"/>
  </si>
  <si>
    <t>半角</t>
    <rPh sb="0" eb="2">
      <t>ハンカク</t>
    </rPh>
    <phoneticPr fontId="1"/>
  </si>
  <si>
    <t>作成日</t>
    <rPh sb="0" eb="3">
      <t>サクセイビ</t>
    </rPh>
    <phoneticPr fontId="1"/>
  </si>
  <si>
    <t>得意先名1</t>
    <rPh sb="0" eb="4">
      <t>トクイサキメイ</t>
    </rPh>
    <phoneticPr fontId="1"/>
  </si>
  <si>
    <t>全角</t>
    <rPh sb="0" eb="2">
      <t>ゼンカク</t>
    </rPh>
    <phoneticPr fontId="1"/>
  </si>
  <si>
    <t>得意先名2</t>
    <rPh sb="0" eb="4">
      <t>トクイサキメイ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</si>
  <si>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</si>
  <si>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TD見積.得意先名1,TD見積.得意先名2</t>
    <rPh sb="5" eb="9">
      <t>トクイサキメイ</t>
    </rPh>
    <rPh sb="16" eb="20">
      <t>トクイサキメイ</t>
    </rPh>
    <phoneticPr fontId="1"/>
  </si>
  <si>
    <t>御請求金額</t>
    <rPh sb="0" eb="5">
      <t>ゴセイキュウキンガク</t>
    </rPh>
    <phoneticPr fontId="1"/>
  </si>
  <si>
    <t>\999,999-</t>
    <phoneticPr fontId="1"/>
  </si>
  <si>
    <t>御見積金額(非課税)</t>
    <rPh sb="0" eb="1">
      <t>オ</t>
    </rPh>
    <rPh sb="1" eb="5">
      <t>ミツモリキンガク</t>
    </rPh>
    <rPh sb="6" eb="9">
      <t>ヒカゼイ</t>
    </rPh>
    <phoneticPr fontId="1"/>
  </si>
  <si>
    <t>消費税見出し</t>
    <phoneticPr fontId="1"/>
  </si>
  <si>
    <t>消費税等</t>
    <rPh sb="0" eb="4">
      <t>ショウヒゼイトウ</t>
    </rPh>
    <phoneticPr fontId="1"/>
  </si>
  <si>
    <t>合計</t>
    <rPh sb="0" eb="2">
      <t>ゴウケイ</t>
    </rPh>
    <phoneticPr fontId="1"/>
  </si>
  <si>
    <t>件名</t>
    <rPh sb="0" eb="2">
      <t>ケンメイ</t>
    </rPh>
    <phoneticPr fontId="1"/>
  </si>
  <si>
    <t>納期</t>
    <rPh sb="0" eb="2">
      <t>ノウキ</t>
    </rPh>
    <phoneticPr fontId="1"/>
  </si>
  <si>
    <t>受渡地</t>
    <rPh sb="0" eb="1">
      <t>ウ</t>
    </rPh>
    <rPh sb="1" eb="2">
      <t>ワタ</t>
    </rPh>
    <rPh sb="2" eb="3">
      <t>チ</t>
    </rPh>
    <phoneticPr fontId="1"/>
  </si>
  <si>
    <t>御支払条件</t>
    <rPh sb="0" eb="5">
      <t>オシハライジョウケン</t>
    </rPh>
    <phoneticPr fontId="1"/>
  </si>
  <si>
    <t>売場面積</t>
    <rPh sb="0" eb="1">
      <t>ウ</t>
    </rPh>
    <rPh sb="1" eb="4">
      <t>バメンセキ</t>
    </rPh>
    <phoneticPr fontId="1"/>
  </si>
  <si>
    <t>インボイス登録番号</t>
    <rPh sb="5" eb="9">
      <t>トウロクバンゴウ</t>
    </rPh>
    <phoneticPr fontId="1"/>
  </si>
  <si>
    <t>TM会社.インボイス登録番号</t>
    <rPh sb="2" eb="4">
      <t>カイシャ</t>
    </rPh>
    <rPh sb="10" eb="14">
      <t>トウロクバンゴウ</t>
    </rPh>
    <phoneticPr fontId="1"/>
  </si>
  <si>
    <t xml:space="preserve"> [TM会社.インボイス登録番号]が空の場合は何も表示しない</t>
    <rPh sb="18" eb="19">
      <t>カラ</t>
    </rPh>
    <rPh sb="20" eb="22">
      <t>バアイ</t>
    </rPh>
    <rPh sb="23" eb="24">
      <t>ナニ</t>
    </rPh>
    <rPh sb="25" eb="27">
      <t>ヒョウジ</t>
    </rPh>
    <phoneticPr fontId="1"/>
  </si>
  <si>
    <t>clsKaisya.cls</t>
    <phoneticPr fontId="1"/>
  </si>
  <si>
    <t>会社郵便番号</t>
    <rPh sb="0" eb="6">
      <t>カイシャユウビンバンゴウ</t>
    </rPh>
    <phoneticPr fontId="1"/>
  </si>
  <si>
    <t>会社住所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</si>
  <si>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</si>
  <si>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会社FAX番号</t>
    <rPh sb="0" eb="2">
      <t>カイシャ</t>
    </rPh>
    <rPh sb="5" eb="7">
      <t>バンゴウ</t>
    </rPh>
    <phoneticPr fontId="1"/>
  </si>
  <si>
    <t>銀行名</t>
    <rPh sb="0" eb="3">
      <t>ギンコウメイ</t>
    </rPh>
    <phoneticPr fontId="1"/>
  </si>
  <si>
    <t>会社担当者</t>
    <rPh sb="0" eb="5">
      <t>カイシャタントウシャ</t>
    </rPh>
    <phoneticPr fontId="1"/>
  </si>
  <si>
    <t>担当：[TM担当者.問い合わせ先]</t>
    <rPh sb="6" eb="9">
      <t>タントウシャ</t>
    </rPh>
    <rPh sb="10" eb="11">
      <t>ト</t>
    </rPh>
    <rPh sb="12" eb="13">
      <t>ア</t>
    </rPh>
    <rPh sb="15" eb="16">
      <t>サキ</t>
    </rPh>
    <phoneticPr fontId="1"/>
  </si>
  <si>
    <t>空</t>
    <rPh sb="0" eb="1">
      <t>カラ</t>
    </rPh>
    <phoneticPr fontId="1"/>
  </si>
  <si>
    <t>品名</t>
    <rPh sb="0" eb="2">
      <t>ヒンメイ</t>
    </rPh>
    <phoneticPr fontId="1"/>
  </si>
  <si>
    <t>製品</t>
    <rPh sb="0" eb="2">
      <t>セイヒン</t>
    </rPh>
    <phoneticPr fontId="1"/>
  </si>
  <si>
    <t>仕様</t>
    <rPh sb="0" eb="2">
      <t>シヨウ</t>
    </rPh>
    <phoneticPr fontId="1"/>
  </si>
  <si>
    <t>H</t>
    <phoneticPr fontId="1"/>
  </si>
  <si>
    <t>売上数量</t>
    <rPh sb="0" eb="4">
      <t>ウリアゲスウリョウ</t>
    </rPh>
    <phoneticPr fontId="1"/>
  </si>
  <si>
    <t>数量</t>
    <rPh sb="0" eb="2">
      <t>スウリョウ</t>
    </rPh>
    <phoneticPr fontId="1"/>
  </si>
  <si>
    <t>整数の場合１の位まで表示、少数の場合小数点第２位まで表示</t>
    <rPh sb="0" eb="2">
      <t>セイスウ</t>
    </rPh>
    <rPh sb="3" eb="5">
      <t>バアイ</t>
    </rPh>
    <rPh sb="7" eb="8">
      <t>クライ</t>
    </rPh>
    <rPh sb="10" eb="12">
      <t>ヒョウジ</t>
    </rPh>
    <rPh sb="13" eb="15">
      <t>ショウスウ</t>
    </rPh>
    <rPh sb="16" eb="18">
      <t>バアイ</t>
    </rPh>
    <rPh sb="18" eb="21">
      <t>ショウスウテン</t>
    </rPh>
    <rPh sb="21" eb="22">
      <t>ダイ</t>
    </rPh>
    <rPh sb="23" eb="24">
      <t>イ</t>
    </rPh>
    <rPh sb="26" eb="28">
      <t>ヒョウジ</t>
    </rPh>
    <phoneticPr fontId="1"/>
  </si>
  <si>
    <t>単位</t>
    <rPh sb="0" eb="2">
      <t>タンイ</t>
    </rPh>
    <phoneticPr fontId="1"/>
  </si>
  <si>
    <t>売上単価</t>
    <rPh sb="0" eb="4">
      <t>ウリアゲタンカ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</si>
  <si>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</si>
  <si>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</si>
  <si>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金額合計</t>
    <rPh sb="0" eb="4">
      <t>キンガクゴウケイ</t>
    </rPh>
    <phoneticPr fontId="1"/>
  </si>
  <si>
    <t>店番</t>
    <phoneticPr fontId="1"/>
  </si>
  <si>
    <t>ウエルシア売場面積</t>
    <phoneticPr fontId="1"/>
  </si>
  <si>
    <t>[TD見積.ウエルシア売場面積] &amp; "坪"</t>
    <phoneticPr fontId="1"/>
  </si>
  <si>
    <t>"登録番号 " &amp; [TM会社.インボイス登録番号]</t>
    <phoneticPr fontId="1"/>
  </si>
  <si>
    <t>会社担当者E_mail</t>
    <phoneticPr fontId="1"/>
  </si>
  <si>
    <t>通貨名</t>
    <phoneticPr fontId="1"/>
  </si>
  <si>
    <t>SEQ</t>
    <phoneticPr fontId="1"/>
  </si>
  <si>
    <t>W</t>
    <phoneticPr fontId="1"/>
  </si>
  <si>
    <t>D</t>
    <phoneticPr fontId="1"/>
  </si>
  <si>
    <t>999,999 or 999,999.99</t>
    <phoneticPr fontId="1"/>
  </si>
  <si>
    <t>36.売上単価</t>
    <phoneticPr fontId="1"/>
  </si>
  <si>
    <t>項目一覧</t>
    <rPh sb="0" eb="4">
      <t>コウモクイチラン</t>
    </rPh>
    <phoneticPr fontId="2"/>
  </si>
  <si>
    <t>中国用の判定を行っている[COUNTRY_CODE]の設定元が不明。</t>
    <rPh sb="0" eb="3">
      <t>チュウゴクヨウ</t>
    </rPh>
    <rPh sb="4" eb="6">
      <t>ハンテイ</t>
    </rPh>
    <rPh sb="7" eb="8">
      <t>オコナ</t>
    </rPh>
    <rPh sb="27" eb="30">
      <t>セッテイモト</t>
    </rPh>
    <rPh sb="31" eb="33">
      <t>フメイ</t>
    </rPh>
    <phoneticPr fontId="2"/>
  </si>
  <si>
    <t>中国用のテキストの設定欄がK7～K12となっているが最新のテンプレートに合わせてK10~K15変更する必要あるか</t>
    <rPh sb="0" eb="3">
      <t>チュウゴクヨウ</t>
    </rPh>
    <rPh sb="9" eb="12">
      <t>セッテイラン</t>
    </rPh>
    <rPh sb="26" eb="28">
      <t>サイシン</t>
    </rPh>
    <rPh sb="36" eb="37">
      <t>ア</t>
    </rPh>
    <rPh sb="47" eb="49">
      <t>ヘンコウ</t>
    </rPh>
    <rPh sb="51" eb="53">
      <t>ヒツヨウ</t>
    </rPh>
    <phoneticPr fontId="2"/>
  </si>
  <si>
    <t>No18~25</t>
    <phoneticPr fontId="2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</si>
  <si>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</si>
  <si>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</si>
  <si>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</si>
  <si>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</si>
  <si>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</si>
  <si>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</si>
  <si>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</si>
  <si>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</si>
  <si>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</si>
  <si>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</si>
  <si>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</si>
  <si>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</si>
  <si>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</si>
  <si>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</si>
  <si>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</si>
  <si>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</si>
  <si>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</si>
  <si>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</si>
  <si>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</si>
  <si>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</si>
  <si>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</si>
  <si>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</si>
  <si>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</si>
  <si>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</si>
  <si>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</si>
  <si>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</si>
  <si>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</si>
  <si>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</si>
  <si>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</si>
  <si>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</si>
  <si>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</si>
  <si>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</si>
  <si>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</si>
  <si>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</si>
  <si>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</si>
  <si>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</si>
  <si>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</si>
  <si>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Excel,PDF</t>
    <phoneticPr fontId="2"/>
  </si>
  <si>
    <t>xlsx,pdf</t>
    <phoneticPr fontId="2"/>
  </si>
  <si>
    <t>御請求金額(非課税)</t>
    <rPh sb="1" eb="3">
      <t>セイキュウ</t>
    </rPh>
    <phoneticPr fontId="2"/>
  </si>
  <si>
    <t>〇</t>
    <phoneticPr fontId="2"/>
  </si>
  <si>
    <t>INSERT SQL</t>
    <phoneticPr fontId="2"/>
  </si>
  <si>
    <t>into</t>
    <phoneticPr fontId="2"/>
  </si>
  <si>
    <t>#WK見積明細</t>
    <phoneticPr fontId="2"/>
  </si>
  <si>
    <t>SQL1 AS  AS 見積明細</t>
    <phoneticPr fontId="2"/>
  </si>
  <si>
    <t>SQL1.見積出力用データ作成</t>
    <phoneticPr fontId="2"/>
  </si>
  <si>
    <t>見積番号</t>
    <phoneticPr fontId="2"/>
  </si>
  <si>
    <t>UNION_SQL.見積番号</t>
  </si>
  <si>
    <t>仕分番号</t>
    <phoneticPr fontId="2"/>
  </si>
  <si>
    <t>UNION_SQL.仕分番号</t>
  </si>
  <si>
    <t>仕分名称</t>
    <phoneticPr fontId="2"/>
  </si>
  <si>
    <t>UNION_SQL.仕分名称</t>
  </si>
  <si>
    <t>行番号</t>
  </si>
  <si>
    <t>UNION_SQL.行番号</t>
  </si>
  <si>
    <t>SP区分</t>
  </si>
  <si>
    <t>UNION_SQL.SP区分</t>
  </si>
  <si>
    <t>PC区分</t>
  </si>
  <si>
    <t>UNION_SQL.PC区分</t>
  </si>
  <si>
    <t>製品NO</t>
  </si>
  <si>
    <t>UNION_SQL.製品NO</t>
  </si>
  <si>
    <t>仕様NO</t>
  </si>
  <si>
    <t>UNION_SQL.仕様NO</t>
  </si>
  <si>
    <t>漢字名称</t>
  </si>
  <si>
    <t>UNION_SQL.漢字名称</t>
  </si>
  <si>
    <t>W</t>
  </si>
  <si>
    <t>UNION_SQL.W</t>
  </si>
  <si>
    <t>D</t>
  </si>
  <si>
    <t>UNION_SQL.D</t>
  </si>
  <si>
    <t>H</t>
  </si>
  <si>
    <t>UNION_SQL.H</t>
  </si>
  <si>
    <t>D1</t>
  </si>
  <si>
    <t>UNION_SQL.D1</t>
  </si>
  <si>
    <t>D2</t>
  </si>
  <si>
    <t>UNION_SQL.D2</t>
  </si>
  <si>
    <t>H1</t>
  </si>
  <si>
    <t>UNION_SQL.H1</t>
  </si>
  <si>
    <t>H2</t>
  </si>
  <si>
    <t>UNION_SQL.H2</t>
  </si>
  <si>
    <t>売上数量</t>
    <phoneticPr fontId="2"/>
  </si>
  <si>
    <t>UNION_SQL.売上数量</t>
  </si>
  <si>
    <t>単位名</t>
  </si>
  <si>
    <t>UNION_SQL.単位名</t>
  </si>
  <si>
    <t>売上単価</t>
  </si>
  <si>
    <t>UNION_SQL.売上単価</t>
  </si>
  <si>
    <t>売上金額</t>
    <phoneticPr fontId="2"/>
  </si>
  <si>
    <t>UNION_SQL.売上金額</t>
  </si>
  <si>
    <t>仕入先CD</t>
    <phoneticPr fontId="2"/>
  </si>
  <si>
    <t>UNION_SQL.仕入先CD</t>
  </si>
  <si>
    <t>仕入先略称</t>
    <phoneticPr fontId="2"/>
  </si>
  <si>
    <t>UNION_SQL.仕入先略称</t>
  </si>
  <si>
    <t>仕入単価</t>
    <phoneticPr fontId="2"/>
  </si>
  <si>
    <t>UNION_SQL.仕入単価</t>
  </si>
  <si>
    <t>仕入金額</t>
    <phoneticPr fontId="2"/>
  </si>
  <si>
    <t>UNION_SQL.仕入金額</t>
  </si>
  <si>
    <t>原価率</t>
    <phoneticPr fontId="2"/>
  </si>
  <si>
    <t>UNION_SQL.原価率</t>
  </si>
  <si>
    <t>粗利益</t>
    <phoneticPr fontId="2"/>
  </si>
  <si>
    <t>UNION_SQL.粗利益</t>
  </si>
  <si>
    <t>配送先CD</t>
    <phoneticPr fontId="2"/>
  </si>
  <si>
    <t>UNION_SQL.配送先CD</t>
  </si>
  <si>
    <t>配送先略称</t>
    <phoneticPr fontId="2"/>
  </si>
  <si>
    <t>UNION_SQL.配送先略称</t>
  </si>
  <si>
    <t>社内在庫数</t>
  </si>
  <si>
    <t>UNION_SQL.社内在庫数</t>
  </si>
  <si>
    <t>客先在庫数</t>
  </si>
  <si>
    <t>UNION_SQL.客先在庫数</t>
  </si>
  <si>
    <t>転用数</t>
  </si>
  <si>
    <t>UNION_SQL.転用数</t>
  </si>
  <si>
    <t>発注数</t>
  </si>
  <si>
    <t>UNION_SQL.発注数</t>
  </si>
  <si>
    <t>製品区分</t>
  </si>
  <si>
    <t>UNION_SQL.製品区分</t>
  </si>
  <si>
    <t>見積区分</t>
  </si>
  <si>
    <t>UNION_SQL.見積区分</t>
  </si>
  <si>
    <t>伝票区分</t>
  </si>
  <si>
    <t>UNION_SQL.伝票区分</t>
  </si>
  <si>
    <t>2.コメントでないもの</t>
    <phoneticPr fontId="2"/>
  </si>
  <si>
    <t>3.コメントAのもの</t>
    <phoneticPr fontId="2"/>
  </si>
  <si>
    <t>4.コメントCのもの</t>
    <phoneticPr fontId="2"/>
  </si>
  <si>
    <t>5.附属部材でコメントでないもの</t>
    <phoneticPr fontId="2"/>
  </si>
  <si>
    <t>6.附属部材でコメントAのもの</t>
    <phoneticPr fontId="2"/>
  </si>
  <si>
    <t>7.附属部材でコメントCのもの</t>
    <phoneticPr fontId="2"/>
  </si>
  <si>
    <t>8.出精値引</t>
    <phoneticPr fontId="2"/>
  </si>
  <si>
    <t>union</t>
    <phoneticPr fontId="2"/>
  </si>
  <si>
    <t>(</t>
    <phoneticPr fontId="2"/>
  </si>
  <si>
    <t>union all</t>
    <phoneticPr fontId="2"/>
  </si>
  <si>
    <t>5.客先在庫・転用数があるもの</t>
    <phoneticPr fontId="2"/>
  </si>
  <si>
    <t>6.客先在庫・転用数があるものでコメントAのもの</t>
    <phoneticPr fontId="2"/>
  </si>
  <si>
    <t>7.客先在庫・転用数があるものでコメントCのもの</t>
    <phoneticPr fontId="2"/>
  </si>
  <si>
    <t>) AS UNION_SQL</t>
    <phoneticPr fontId="2"/>
  </si>
  <si>
    <t>SQL2.コメントでないもの</t>
    <phoneticPr fontId="2"/>
  </si>
  <si>
    <t>MH.見積番号</t>
  </si>
  <si>
    <t>RIGHT ('0' + CONVERT(VARCHAR (2), MSU.仕分番号), 2)</t>
  </si>
  <si>
    <t>ISNULL(MSUN.名称, '')</t>
  </si>
  <si>
    <t>MSM.行番号</t>
  </si>
  <si>
    <t>MSM.SP区分</t>
  </si>
  <si>
    <t>MSM.PC区分</t>
  </si>
  <si>
    <t>MSM.製品NO</t>
  </si>
  <si>
    <t>MSM.仕様NO</t>
  </si>
  <si>
    <t>MSM.漢字名称</t>
  </si>
  <si>
    <t>MSM.W</t>
  </si>
  <si>
    <t>MSM.D</t>
  </si>
  <si>
    <t>MSM.H</t>
  </si>
  <si>
    <t>MSM.D1</t>
  </si>
  <si>
    <t>MSM.D2</t>
  </si>
  <si>
    <t>MSM.H1</t>
  </si>
  <si>
    <t>MSM.H2</t>
  </si>
  <si>
    <t>MSU.数量</t>
  </si>
  <si>
    <t>MSM.単位名</t>
  </si>
  <si>
    <t>MSM.売上単価</t>
  </si>
  <si>
    <t>dbo.fn_CutFraction(MH.売上端数, MSU.数量 * MSM.売上単価, @decimalPoint) AS 売上金額</t>
  </si>
  <si>
    <t>MSM.仕入先CD</t>
  </si>
  <si>
    <t>MSM.仕入先名</t>
  </si>
  <si>
    <t>MSM.仕入単価</t>
  </si>
  <si>
    <t>dbo.fn_CutFraction(MH.売上端数, MSU.数量 * MSM.仕入単価, @decimalPoint) AS 仕入金額</t>
  </si>
  <si>
    <t>MSM.配送先CD</t>
  </si>
  <si>
    <t>配送先名</t>
  </si>
  <si>
    <t>MSM.社内在庫数</t>
  </si>
  <si>
    <t>MSM.客先在庫数</t>
  </si>
  <si>
    <t>MSM.転用数</t>
  </si>
  <si>
    <t>MSM.発注数</t>
  </si>
  <si>
    <t>MSM.製品区分</t>
  </si>
  <si>
    <t>MSM.見積区分</t>
  </si>
  <si>
    <t>UM.伝票区分</t>
  </si>
  <si>
    <t>TD見積 AS MH</t>
    <phoneticPr fontId="2"/>
  </si>
  <si>
    <t>TD見積シートM AS MSM</t>
    <phoneticPr fontId="2"/>
  </si>
  <si>
    <t>9.売上明細  AS UM</t>
    <phoneticPr fontId="2"/>
  </si>
  <si>
    <t>TD見積シート内訳 AS MSU</t>
    <phoneticPr fontId="2"/>
  </si>
  <si>
    <t>TD見積シート内訳名称 AS MSUN</t>
    <phoneticPr fontId="2"/>
  </si>
  <si>
    <t>INNER JOIN</t>
    <phoneticPr fontId="2"/>
  </si>
  <si>
    <t>TD見積シートM</t>
    <phoneticPr fontId="2"/>
  </si>
  <si>
    <t>TD見積.見積番号 = TD見積シートM.見積番号</t>
  </si>
  <si>
    <t>9.売上明細</t>
  </si>
  <si>
    <t>TD見積シートM.見積明細連番 = 9.売上明細.見積明細連番</t>
  </si>
  <si>
    <t>TD見積シート内訳</t>
    <phoneticPr fontId="2"/>
  </si>
  <si>
    <t>9.売上明細.見積明細連番 = TD見積シート内訳.見積明細連番</t>
  </si>
  <si>
    <t>LEFT JOIN</t>
    <phoneticPr fontId="2"/>
  </si>
  <si>
    <t>TD見積シート内訳名称</t>
    <phoneticPr fontId="2"/>
  </si>
  <si>
    <t>TD見積シート内訳.見積番号 = TD見積シート内訳名称.見積番号</t>
  </si>
  <si>
    <t>AND</t>
    <phoneticPr fontId="2"/>
  </si>
  <si>
    <t>TD見積シート内訳.仕分番号 = TD見積シート内訳名称.仕分番号</t>
  </si>
  <si>
    <t>TD見積.見積番号 = [画面.見積番号]</t>
  </si>
  <si>
    <t>TD見積シートM.見積区分 NOT IN ('A','C','S')</t>
  </si>
  <si>
    <t>TD見積シート内訳.数量 &lt;&gt; 0</t>
  </si>
  <si>
    <t>9.売上明細.特別区分 &lt;&gt; 'ZA'</t>
  </si>
  <si>
    <t>出精値引は除外</t>
    <rPh sb="4" eb="6">
      <t>ジョガイ</t>
    </rPh>
    <phoneticPr fontId="2"/>
  </si>
  <si>
    <t>SQL3.コメントAのもの</t>
    <phoneticPr fontId="2"/>
  </si>
  <si>
    <t>TD見積.見積番号 = [画面.見積番号]</t>
    <rPh sb="13" eb="15">
      <t>ガメン</t>
    </rPh>
    <phoneticPr fontId="2"/>
  </si>
  <si>
    <t>TD見積シートM.見積区分 = 'A'</t>
  </si>
  <si>
    <t>[10.数量] &lt;&gt; 0</t>
  </si>
  <si>
    <t>SQL4.コメントCのもの</t>
    <phoneticPr fontId="2"/>
  </si>
  <si>
    <t xml:space="preserve"> ('0' + CONVERT(VARCHAR (2), MSU.仕分番号), 2)</t>
  </si>
  <si>
    <t>TD見積シートM.見積区分 = 'C'</t>
  </si>
  <si>
    <t>OR</t>
    <phoneticPr fontId="2"/>
  </si>
  <si>
    <t>TD見積シートM.見積区分 = 'S'</t>
  </si>
  <si>
    <t>)</t>
    <phoneticPr fontId="2"/>
  </si>
  <si>
    <t>SQL5.客先在庫・転用数があるもの</t>
    <phoneticPr fontId="2"/>
  </si>
  <si>
    <t>'Z0'</t>
  </si>
  <si>
    <t>'客先在庫'</t>
  </si>
  <si>
    <t>(MSM.客先在庫数 + MSM.転用数) * - 1</t>
  </si>
  <si>
    <t>dbo.fn_CutFraction(MH.売上端数, (MSM.客先在庫数 + MSM.転用数) * MSM.売上単価 * - 1, @decimalPoint)</t>
  </si>
  <si>
    <t>仕入先名 AS 仕入先略称</t>
  </si>
  <si>
    <t>dbo.fn_CutFraction(MH.売上端数, (MSM.客先在庫数 + MSM.転用数) * MSM.仕入単価 * - 1, @decimalPoint)</t>
  </si>
  <si>
    <t>TD見積シートM.客先在庫数 &gt; 0</t>
    <phoneticPr fontId="2"/>
  </si>
  <si>
    <t>TD見積シートM.転用数 &gt; 0</t>
    <phoneticPr fontId="2"/>
  </si>
  <si>
    <t>SQL6.附属部材でコメントAのもの</t>
    <phoneticPr fontId="2"/>
  </si>
  <si>
    <t>仕入先名</t>
  </si>
  <si>
    <t>[11.客先在庫数_昇順] &gt; 0</t>
  </si>
  <si>
    <t>[12.転用数_昇順] &gt; 0</t>
    <phoneticPr fontId="2"/>
  </si>
  <si>
    <t>SQL7.附属部材でコメントCのもの</t>
    <phoneticPr fontId="2"/>
  </si>
  <si>
    <t>MSM.見積数量</t>
  </si>
  <si>
    <t>MSM.売上金額</t>
  </si>
  <si>
    <t>MSM.仕入金額</t>
  </si>
  <si>
    <t>0 AS 原価率</t>
  </si>
  <si>
    <t>0 AS 粗利益</t>
  </si>
  <si>
    <t>[13.客先在庫数_降順] &gt; 0</t>
  </si>
  <si>
    <t>[14.転用数_降順] &gt; 0</t>
    <phoneticPr fontId="2"/>
  </si>
  <si>
    <t>SQL8.出精値引</t>
    <rPh sb="5" eb="9">
      <t>シュッセイネビ</t>
    </rPh>
    <phoneticPr fontId="2"/>
  </si>
  <si>
    <t>見積番号</t>
  </si>
  <si>
    <t>'ZA'</t>
  </si>
  <si>
    <t>'出精値引'</t>
  </si>
  <si>
    <t>''</t>
  </si>
  <si>
    <t>売上金額</t>
  </si>
  <si>
    <t>NULL</t>
  </si>
  <si>
    <t>TD売上v2 AS UH</t>
    <phoneticPr fontId="2"/>
  </si>
  <si>
    <t>TD売上明細V2 AS UM</t>
    <phoneticPr fontId="2"/>
  </si>
  <si>
    <t>TD売上明細V2</t>
    <phoneticPr fontId="2"/>
  </si>
  <si>
    <t>TD売上v2.売上番号 = TD売上明細V2.売上番号</t>
    <phoneticPr fontId="2"/>
  </si>
  <si>
    <t>TD売上v2.見積番号 = [画面.見積番号]</t>
    <rPh sb="15" eb="17">
      <t>ガメン</t>
    </rPh>
    <phoneticPr fontId="2"/>
  </si>
  <si>
    <t>TD売上明細V2.特別区分 = 'ZA'</t>
    <phoneticPr fontId="2"/>
  </si>
  <si>
    <t>SQL9.売上明細</t>
    <phoneticPr fontId="2"/>
  </si>
  <si>
    <t>見積明細連番</t>
    <phoneticPr fontId="2"/>
  </si>
  <si>
    <t>TD売上明細V2.見積明細連番</t>
    <phoneticPr fontId="2"/>
  </si>
  <si>
    <t>伝票区分</t>
    <phoneticPr fontId="2"/>
  </si>
  <si>
    <t>MAX(TD売上明細V2.伝票区分)</t>
    <phoneticPr fontId="2"/>
  </si>
  <si>
    <t>特別区分</t>
    <phoneticPr fontId="2"/>
  </si>
  <si>
    <t>MAX(TD売上明細V2.特別区分)</t>
    <phoneticPr fontId="2"/>
  </si>
  <si>
    <t>group by</t>
    <phoneticPr fontId="2"/>
  </si>
  <si>
    <t>SQL10.数量</t>
    <phoneticPr fontId="2"/>
  </si>
  <si>
    <t>数量</t>
    <rPh sb="0" eb="2">
      <t>スウリョウ</t>
    </rPh>
    <phoneticPr fontId="2"/>
  </si>
  <si>
    <t>TOP 1 TD見積シート内訳.数量</t>
    <phoneticPr fontId="2"/>
  </si>
  <si>
    <t>TD見積シートM.見積明細連番 = TD見積シート内訳.見積明細連番</t>
    <phoneticPr fontId="2"/>
  </si>
  <si>
    <t>TD見積シートM.見積番号 = TD見積シートM.見積番号</t>
  </si>
  <si>
    <t>TD見積シート内訳.仕分番号 = TD見積シート内訳.仕分番号</t>
    <phoneticPr fontId="2"/>
  </si>
  <si>
    <t>TD見積シートM.行番号 &gt;= TD見積シートM.行番号</t>
  </si>
  <si>
    <t>order by</t>
    <phoneticPr fontId="2"/>
  </si>
  <si>
    <t>TD見積シートM.行番号 ASC</t>
  </si>
  <si>
    <t>SQL11.客先在庫数_昇順</t>
    <phoneticPr fontId="2"/>
  </si>
  <si>
    <t>客先在庫数</t>
    <rPh sb="0" eb="2">
      <t>キャクサキ</t>
    </rPh>
    <rPh sb="2" eb="4">
      <t>ザイコ</t>
    </rPh>
    <rPh sb="4" eb="5">
      <t>スウ</t>
    </rPh>
    <phoneticPr fontId="2"/>
  </si>
  <si>
    <t>TOP 1 TD見積シートM.客先在庫数</t>
    <phoneticPr fontId="2"/>
  </si>
  <si>
    <t>SQL12.転用数_昇順</t>
    <phoneticPr fontId="2"/>
  </si>
  <si>
    <t>転用数</t>
    <rPh sb="0" eb="2">
      <t>テンヨウ</t>
    </rPh>
    <rPh sb="2" eb="3">
      <t>スウ</t>
    </rPh>
    <phoneticPr fontId="2"/>
  </si>
  <si>
    <t>TOP 1 TD見積シートM.転用数</t>
    <phoneticPr fontId="2"/>
  </si>
  <si>
    <t>TD見積シートM.見積番号 =TD見積シートM.見積番号</t>
    <phoneticPr fontId="2"/>
  </si>
  <si>
    <t>SQL13.客先在庫数_降順</t>
    <phoneticPr fontId="2"/>
  </si>
  <si>
    <t>TD見積シートM.行番号 &lt;= TD見積シートM.行番号</t>
  </si>
  <si>
    <t>TD見積シートM.行番号 DESC</t>
  </si>
  <si>
    <t>SQL14.転用数_降順</t>
    <phoneticPr fontId="2"/>
  </si>
  <si>
    <t>SQL15.INSERT SQL</t>
    <phoneticPr fontId="2"/>
  </si>
  <si>
    <t>#WK見積明細集計</t>
    <phoneticPr fontId="2"/>
  </si>
  <si>
    <t>SQL16  AS A</t>
    <phoneticPr fontId="2"/>
  </si>
  <si>
    <t>SQL16.見積出力用データ作成</t>
    <phoneticPr fontId="2"/>
  </si>
  <si>
    <t>A.見積番号</t>
  </si>
  <si>
    <t>A.仕分番号</t>
  </si>
  <si>
    <t>B.仕分名称</t>
  </si>
  <si>
    <t>A.行番号</t>
  </si>
  <si>
    <t>B.SP区分</t>
  </si>
  <si>
    <t>B.PC区分</t>
  </si>
  <si>
    <t>B.製品NO</t>
  </si>
  <si>
    <t>B.仕様NO</t>
  </si>
  <si>
    <t>B.漢字名称</t>
  </si>
  <si>
    <t>B.W</t>
  </si>
  <si>
    <t>B.D</t>
  </si>
  <si>
    <t>B.H</t>
  </si>
  <si>
    <t>B.D1</t>
  </si>
  <si>
    <t>B.D2</t>
  </si>
  <si>
    <t>B.H1</t>
  </si>
  <si>
    <t>B.H2</t>
  </si>
  <si>
    <t>A.数量</t>
  </si>
  <si>
    <t>B.単位名</t>
  </si>
  <si>
    <t>A.売上金額</t>
  </si>
  <si>
    <t>B.仕入先CD</t>
  </si>
  <si>
    <t>仕入先略称</t>
  </si>
  <si>
    <t>A.仕入金額</t>
  </si>
  <si>
    <t>原価率</t>
  </si>
  <si>
    <t>粗利益</t>
  </si>
  <si>
    <t>配送先CD</t>
  </si>
  <si>
    <t>配送先略称</t>
  </si>
  <si>
    <t>A.見積区分</t>
  </si>
  <si>
    <t>SQL17 AS A</t>
    <phoneticPr fontId="2"/>
  </si>
  <si>
    <t>SQL18 AS B</t>
    <phoneticPr fontId="2"/>
  </si>
  <si>
    <t>SQL18</t>
    <phoneticPr fontId="2"/>
  </si>
  <si>
    <t>A.見積番号 = B.見積番号</t>
    <phoneticPr fontId="2"/>
  </si>
  <si>
    <t>A.仕分番号 = B.仕分番号</t>
    <phoneticPr fontId="2"/>
  </si>
  <si>
    <t>A.見積区分 = B.見積区分</t>
    <phoneticPr fontId="2"/>
  </si>
  <si>
    <t>A.行番号 = B.行番号</t>
    <phoneticPr fontId="2"/>
  </si>
  <si>
    <t>SQL17</t>
    <phoneticPr fontId="2"/>
  </si>
  <si>
    <t>見積区分</t>
    <phoneticPr fontId="2"/>
  </si>
  <si>
    <t>MIN(行番号)</t>
    <phoneticPr fontId="2"/>
  </si>
  <si>
    <t>SUM(仕入金額)</t>
    <phoneticPr fontId="2"/>
  </si>
  <si>
    <t>SUM(売上金額)</t>
    <phoneticPr fontId="2"/>
  </si>
  <si>
    <t>NOT</t>
    <phoneticPr fontId="2"/>
  </si>
  <si>
    <t>見積区分 IN ('','A', 'C', 'S')</t>
    <phoneticPr fontId="2"/>
  </si>
  <si>
    <t>#WK見積明細.見積番号</t>
  </si>
  <si>
    <t>#WK見積明細.仕分番号</t>
  </si>
  <si>
    <t>#WK見積明細.仕分名称</t>
  </si>
  <si>
    <t>#WK見積明細.行番号</t>
  </si>
  <si>
    <t>#WK見積明細.SP区分</t>
  </si>
  <si>
    <t>#WK見積明細.PC区分</t>
  </si>
  <si>
    <t>#WK見積明細.製品NO</t>
  </si>
  <si>
    <t>#WK見積明細.仕様NO</t>
  </si>
  <si>
    <t>#WK見積明細.漢字名称</t>
  </si>
  <si>
    <t>#WK見積明細.W</t>
  </si>
  <si>
    <t>#WK見積明細.D</t>
  </si>
  <si>
    <t>#WK見積明細.H</t>
  </si>
  <si>
    <t>#WK見積明細.D1</t>
  </si>
  <si>
    <t>#WK見積明細.D2</t>
  </si>
  <si>
    <t>#WK見積明細.H1</t>
  </si>
  <si>
    <t>#WK見積明細.H2</t>
  </si>
  <si>
    <t>#WK見積明細.単位名</t>
  </si>
  <si>
    <t>' '</t>
  </si>
  <si>
    <t>#WK見積明細.原価率</t>
  </si>
  <si>
    <t>#WK見積明細.粗利益</t>
  </si>
  <si>
    <t>#WK見積明細.社内在庫数</t>
  </si>
  <si>
    <t>#WK見積明細.客先在庫数</t>
  </si>
  <si>
    <t>#WK見積明細.転用数</t>
  </si>
  <si>
    <t>#WK見積明細.発注数</t>
  </si>
  <si>
    <t>#WK見積明細.製品区分</t>
  </si>
  <si>
    <t>#WK見積明細.見積区分</t>
  </si>
  <si>
    <t>SQL19.見積ヘッダー部出力</t>
    <phoneticPr fontId="2"/>
  </si>
  <si>
    <t>USH.見積番号</t>
  </si>
  <si>
    <t>請求日付</t>
  </si>
  <si>
    <t>USH.請求日付</t>
  </si>
  <si>
    <t>合計金額</t>
  </si>
  <si>
    <t>USH.合計金額</t>
  </si>
  <si>
    <t>税抜金額</t>
  </si>
  <si>
    <t>USH.税抜金額</t>
  </si>
  <si>
    <t>外税対象額</t>
  </si>
  <si>
    <t>USH.外税対象額</t>
  </si>
  <si>
    <t>外税額</t>
  </si>
  <si>
    <t>USH.外税額</t>
  </si>
  <si>
    <t>担当者CD</t>
  </si>
  <si>
    <t>MT.担当者CD</t>
  </si>
  <si>
    <t>見積件名</t>
  </si>
  <si>
    <t>MT.見積件名</t>
  </si>
  <si>
    <t>得意先CD</t>
  </si>
  <si>
    <t>MT.得意先CD</t>
  </si>
  <si>
    <t>得意先名1</t>
  </si>
  <si>
    <t>MT.得意先名1</t>
  </si>
  <si>
    <t>得意先名2</t>
  </si>
  <si>
    <t>MT.得意先名2</t>
  </si>
  <si>
    <t>納期S</t>
  </si>
  <si>
    <t>MT.納期S</t>
  </si>
  <si>
    <t>納期E</t>
  </si>
  <si>
    <t>MT.納期E</t>
  </si>
  <si>
    <t>現場名</t>
  </si>
  <si>
    <t>MT.現場名</t>
  </si>
  <si>
    <t>備考</t>
  </si>
  <si>
    <t>MT.備考</t>
  </si>
  <si>
    <t>納期表示</t>
  </si>
  <si>
    <t>MT.納期表示</t>
  </si>
  <si>
    <t>支払条件</t>
  </si>
  <si>
    <t>MT.支払条件</t>
  </si>
  <si>
    <t>支払条件その他</t>
  </si>
  <si>
    <t>MT.支払条件その他</t>
  </si>
  <si>
    <t>納期その他</t>
  </si>
  <si>
    <t>MT.納期その他</t>
  </si>
  <si>
    <t>ウエルシア売場面積</t>
  </si>
  <si>
    <t>MT.ウエルシア売場面積</t>
  </si>
  <si>
    <t>納入得意先CD</t>
  </si>
  <si>
    <t>MT.納入得意先CD</t>
  </si>
  <si>
    <t>納入先CD</t>
  </si>
  <si>
    <t>MT.納入先CD</t>
  </si>
  <si>
    <t>TD売上請求H AS USH</t>
    <phoneticPr fontId="2"/>
  </si>
  <si>
    <t>TD見積 AS MT</t>
    <phoneticPr fontId="2"/>
  </si>
  <si>
    <t>TM担当者 AS TT</t>
    <phoneticPr fontId="2"/>
  </si>
  <si>
    <t>TD見積</t>
    <phoneticPr fontId="2"/>
  </si>
  <si>
    <t>USH.見積番号 = MT.見積番号</t>
    <phoneticPr fontId="2"/>
  </si>
  <si>
    <t>TM担当者</t>
    <phoneticPr fontId="2"/>
  </si>
  <si>
    <t>MT.担当者CD = TT.担当者CD</t>
    <phoneticPr fontId="2"/>
  </si>
  <si>
    <t>USH.見積番号 = [画面.見積番号]</t>
    <rPh sb="12" eb="14">
      <t>ガメン</t>
    </rPh>
    <phoneticPr fontId="2"/>
  </si>
  <si>
    <t>SQL20.見積仕分部出力</t>
    <rPh sb="8" eb="10">
      <t>シワケ</t>
    </rPh>
    <rPh sb="10" eb="11">
      <t>ブ</t>
    </rPh>
    <rPh sb="11" eb="13">
      <t>シュツリョク</t>
    </rPh>
    <phoneticPr fontId="2"/>
  </si>
  <si>
    <t>#WK見積明細.見積番号</t>
    <phoneticPr fontId="2"/>
  </si>
  <si>
    <t>仕分番号</t>
  </si>
  <si>
    <t>#WK見積明細.仕分番号</t>
    <phoneticPr fontId="2"/>
  </si>
  <si>
    <t>仕分名称</t>
  </si>
  <si>
    <t>#WK見積明細.仕分名称</t>
    <phoneticPr fontId="2"/>
  </si>
  <si>
    <t>SUM(#WK見積明細.売上金額)</t>
    <phoneticPr fontId="2"/>
  </si>
  <si>
    <t>SUM(#WK見積明細.仕入金額)</t>
    <phoneticPr fontId="2"/>
  </si>
  <si>
    <t>SQL21.見積明細部出力</t>
    <phoneticPr fontId="2"/>
  </si>
  <si>
    <t>仕分行数</t>
  </si>
  <si>
    <t>COUNT(#WK見積明細.行番号)</t>
    <phoneticPr fontId="2"/>
  </si>
  <si>
    <t>CN.仕分行数</t>
  </si>
  <si>
    <t>#WK見積明細 AS MW</t>
    <phoneticPr fontId="2"/>
  </si>
  <si>
    <t>SQL22 AS CN</t>
    <phoneticPr fontId="2"/>
  </si>
  <si>
    <t>SQL22</t>
    <phoneticPr fontId="2"/>
  </si>
  <si>
    <t>MW.見積番号 = CN.見積番号</t>
    <phoneticPr fontId="2"/>
  </si>
  <si>
    <t>MW.仕分番号 = CN.仕分番号</t>
    <phoneticPr fontId="2"/>
  </si>
  <si>
    <t>MW.仕分名称 = CN.仕分名称</t>
    <phoneticPr fontId="2"/>
  </si>
  <si>
    <t>MW.仕分番号</t>
    <phoneticPr fontId="2"/>
  </si>
  <si>
    <t>MW.行番号</t>
    <phoneticPr fontId="2"/>
  </si>
  <si>
    <t>SQL19.見積番号</t>
    <rPh sb="6" eb="8">
      <t>ミツモリ</t>
    </rPh>
    <rPh sb="8" eb="10">
      <t>バンゴウ</t>
    </rPh>
    <phoneticPr fontId="1"/>
  </si>
  <si>
    <t>"No." + [SQL19.見積番号]</t>
    <phoneticPr fontId="1"/>
  </si>
  <si>
    <t>画面.請求書発行日付</t>
    <rPh sb="0" eb="2">
      <t>ガメン</t>
    </rPh>
    <rPh sb="3" eb="6">
      <t>セイキュウショ</t>
    </rPh>
    <rPh sb="6" eb="8">
      <t>ハッコウ</t>
    </rPh>
    <rPh sb="8" eb="10">
      <t>ヒヅケ</t>
    </rPh>
    <phoneticPr fontId="1"/>
  </si>
  <si>
    <t>yyyy年mm月dd日</t>
    <phoneticPr fontId="1"/>
  </si>
  <si>
    <t>SQL19.得意先名1</t>
    <rPh sb="6" eb="10">
      <t>トクイサキメイ</t>
    </rPh>
    <phoneticPr fontId="1"/>
  </si>
  <si>
    <t>[SQL19.得意先名2]が空出ない場合は[SQL19.得意先名1]、からの場合は""を表示</t>
    <phoneticPr fontId="1"/>
  </si>
  <si>
    <t>[SQL19.得意先名2]が空出ない場合は[SQL19.得意先名2]、からの場合は[SQL19.得意先名1]を表示</t>
    <rPh sb="14" eb="15">
      <t>カラ</t>
    </rPh>
    <rPh sb="15" eb="16">
      <t>デ</t>
    </rPh>
    <rPh sb="18" eb="20">
      <t>バアイ</t>
    </rPh>
    <rPh sb="38" eb="40">
      <t>バアイ</t>
    </rPh>
    <rPh sb="55" eb="57">
      <t>ヒョウジ</t>
    </rPh>
    <phoneticPr fontId="1"/>
  </si>
  <si>
    <t>SQL19.合計金額</t>
    <rPh sb="6" eb="10">
      <t>ゴウケイキンガク</t>
    </rPh>
    <phoneticPr fontId="1"/>
  </si>
  <si>
    <t>SQL19.請求日付,SQL19.切替日付,SQL19.税率,SQL19.旧税率</t>
    <rPh sb="17" eb="19">
      <t>キリカエ</t>
    </rPh>
    <rPh sb="19" eb="21">
      <t>ヒヅケ</t>
    </rPh>
    <rPh sb="28" eb="30">
      <t>ゼイリツ</t>
    </rPh>
    <rPh sb="37" eb="38">
      <t>キュウ</t>
    </rPh>
    <phoneticPr fontId="1"/>
  </si>
  <si>
    <t>[SQL19.請求日付]&gt;=[SQL19.切替日付]の場合は[SQL19.税率]、
[SQL19.請求日付]&lt;[SQL19.切替日付]の場合は[SQL19.旧税率]を[税率]とする。
"消費税等(" &amp; [税率] &amp; "%)"を表示する</t>
    <rPh sb="27" eb="29">
      <t>バアイ</t>
    </rPh>
    <rPh sb="78" eb="79">
      <t>キュウ</t>
    </rPh>
    <rPh sb="84" eb="86">
      <t>ゼイリツ</t>
    </rPh>
    <rPh sb="114" eb="116">
      <t>ヒョウジ</t>
    </rPh>
    <phoneticPr fontId="1"/>
  </si>
  <si>
    <t>SQL19.外税額</t>
    <phoneticPr fontId="1"/>
  </si>
  <si>
    <t>5.御請求金額,6.消費税等</t>
    <phoneticPr fontId="1"/>
  </si>
  <si>
    <t>[5.御請求金額]と[6.消費税等]の合計。</t>
    <rPh sb="19" eb="21">
      <t>ゴウケイ</t>
    </rPh>
    <phoneticPr fontId="1"/>
  </si>
  <si>
    <t>SQL19.見積件名</t>
    <phoneticPr fontId="1"/>
  </si>
  <si>
    <t>SQL19.納期S,SQL19.納期E</t>
    <rPh sb="6" eb="8">
      <t>ノウキ</t>
    </rPh>
    <rPh sb="16" eb="18">
      <t>ノウキ</t>
    </rPh>
    <phoneticPr fontId="1"/>
  </si>
  <si>
    <t>[SQL19.納期S]と[SQL19.納期E]のどちらもnullでない場合、[SQL19.納期S]~[SQL19.納期E]を表示する。
[SQL19.納期S]がnullの場合、[SQL19.納期E]を表示する。
それ以外の場合、[SQL19.納期S]を表示する。</t>
    <rPh sb="35" eb="37">
      <t>バアイ</t>
    </rPh>
    <rPh sb="62" eb="64">
      <t>ヒョウジ</t>
    </rPh>
    <rPh sb="85" eb="87">
      <t>バアイ</t>
    </rPh>
    <rPh sb="108" eb="110">
      <t>イガイ</t>
    </rPh>
    <rPh sb="111" eb="113">
      <t>バアイ</t>
    </rPh>
    <phoneticPr fontId="1"/>
  </si>
  <si>
    <t>SQL19.現場名,SQL19.納入先CD,SQL19.納入得意先CD</t>
    <phoneticPr fontId="1"/>
  </si>
  <si>
    <t>[SQL19.納入得意先CD]が"2401", "8001"の場合は[SQL19.現場名]に対して[SQL19.納入先CD]文字を””に置き換えた値</t>
    <rPh sb="31" eb="33">
      <t>バアイ</t>
    </rPh>
    <rPh sb="46" eb="47">
      <t>タイ</t>
    </rPh>
    <rPh sb="62" eb="64">
      <t>モジ</t>
    </rPh>
    <rPh sb="68" eb="69">
      <t>オ</t>
    </rPh>
    <rPh sb="70" eb="71">
      <t>カ</t>
    </rPh>
    <rPh sb="73" eb="74">
      <t>アタイ</t>
    </rPh>
    <phoneticPr fontId="1"/>
  </si>
  <si>
    <t>SQL19.納入先CD,SQL19.納入得意先CD</t>
    <phoneticPr fontId="1"/>
  </si>
  <si>
    <t>[SQL19.納入得意先CD]が"2401", "8001"の場合は[SQL19.納入先CD]、それ以外の場合は""を表示</t>
    <rPh sb="50" eb="52">
      <t>イガイ</t>
    </rPh>
    <rPh sb="53" eb="55">
      <t>バアイ</t>
    </rPh>
    <rPh sb="59" eb="61">
      <t>ヒョウジ</t>
    </rPh>
    <phoneticPr fontId="1"/>
  </si>
  <si>
    <t>SQL19.支払条件,SQL19.支払条件その他</t>
    <phoneticPr fontId="1"/>
  </si>
  <si>
    <t>[SQL19.支払条件]が0の場合は"別途御打ち合せによる"、[SQL19.支払条件]が1の場合は[SQL19.支払条件その他]を表示</t>
    <rPh sb="15" eb="17">
      <t>バアイ</t>
    </rPh>
    <rPh sb="65" eb="67">
      <t>ヒョウジ</t>
    </rPh>
    <phoneticPr fontId="1"/>
  </si>
  <si>
    <t>SQL19.備考</t>
    <rPh sb="6" eb="8">
      <t>ビコウ</t>
    </rPh>
    <phoneticPr fontId="1"/>
  </si>
  <si>
    <t>SQL19.ウエルシア売場面積</t>
    <phoneticPr fontId="1"/>
  </si>
  <si>
    <t>[SQL19.ウエルシア売場面積]が0出ない場合、"売 場 面 積 ："を表示</t>
    <rPh sb="19" eb="20">
      <t>デ</t>
    </rPh>
    <rPh sb="22" eb="24">
      <t>バアイ</t>
    </rPh>
    <rPh sb="37" eb="39">
      <t>ヒョウジ</t>
    </rPh>
    <phoneticPr fontId="1"/>
  </si>
  <si>
    <t>[SQL19.ウエルシア売場面積]が0出ない場合、[SQL19.ウエルシア売場面積]を表示</t>
    <phoneticPr fontId="1"/>
  </si>
  <si>
    <t>[TM会社.郵便番号]</t>
    <rPh sb="3" eb="5">
      <t>カイシャ</t>
    </rPh>
    <rPh sb="6" eb="10">
      <t>ユウビンバンゴウ</t>
    </rPh>
    <phoneticPr fontId="1"/>
  </si>
  <si>
    <t>[TM会社.住所1]</t>
    <rPh sb="3" eb="5">
      <t>カイシャ</t>
    </rPh>
    <rPh sb="6" eb="8">
      <t>ジュウショ</t>
    </rPh>
    <phoneticPr fontId="1"/>
  </si>
  <si>
    <t>[TM会社.電話番号]</t>
    <rPh sb="3" eb="5">
      <t>カイシャ</t>
    </rPh>
    <rPh sb="6" eb="8">
      <t>デンワ</t>
    </rPh>
    <rPh sb="8" eb="10">
      <t>バンゴウ</t>
    </rPh>
    <phoneticPr fontId="1"/>
  </si>
  <si>
    <t>[TM会社.FAX番号]</t>
    <rPh sb="3" eb="5">
      <t>カイシャ</t>
    </rPh>
    <rPh sb="9" eb="11">
      <t>バンゴウ</t>
    </rPh>
    <phoneticPr fontId="1"/>
  </si>
  <si>
    <t>TM担当者.問い合わせ先</t>
    <rPh sb="6" eb="7">
      <t>ト</t>
    </rPh>
    <rPh sb="8" eb="9">
      <t>ア</t>
    </rPh>
    <rPh sb="11" eb="12">
      <t>サキ</t>
    </rPh>
    <phoneticPr fontId="1"/>
  </si>
  <si>
    <t xml:space="preserve"> [TM担当者.問い合わせ先]が空の場合は何も表示しない</t>
    <phoneticPr fontId="1"/>
  </si>
  <si>
    <t>"(単位：円)"</t>
    <phoneticPr fontId="1"/>
  </si>
  <si>
    <t>SQL21.仕分番号</t>
    <phoneticPr fontId="1"/>
  </si>
  <si>
    <t>[SQL21.仕分番号]のゼロ埋め2桁</t>
    <rPh sb="15" eb="16">
      <t>ウ</t>
    </rPh>
    <rPh sb="18" eb="19">
      <t>ケタ</t>
    </rPh>
    <phoneticPr fontId="1"/>
  </si>
  <si>
    <t>SQL21.伝票区分,SQL21.行番号</t>
    <phoneticPr fontId="1"/>
  </si>
  <si>
    <t>[SQL21.伝票区分]が"C"か"A"か"S"の場合””、それ以外の場合[TD見積シートM.行番号]を表示</t>
    <rPh sb="25" eb="27">
      <t>バアイ</t>
    </rPh>
    <rPh sb="32" eb="34">
      <t>イガイ</t>
    </rPh>
    <rPh sb="35" eb="37">
      <t>バアイ</t>
    </rPh>
    <rPh sb="52" eb="54">
      <t>ヒョウジ</t>
    </rPh>
    <phoneticPr fontId="1"/>
  </si>
  <si>
    <t>SQL21.伝票区分,SQL21.漢字名称</t>
  </si>
  <si>
    <t>[SQL21.伝票区分]が"C"か"A"か"S"の場合"  "&amp;[SQL21.漢字名称]、それ以外の場合[SQL21.漢字名称]を表示</t>
    <rPh sb="25" eb="27">
      <t>バアイ</t>
    </rPh>
    <rPh sb="47" eb="49">
      <t>イガイ</t>
    </rPh>
    <rPh sb="50" eb="52">
      <t>バアイ</t>
    </rPh>
    <rPh sb="65" eb="67">
      <t>ヒョウジ</t>
    </rPh>
    <phoneticPr fontId="1"/>
  </si>
  <si>
    <t>SQL21.PC区分,SQL21.製品NO</t>
  </si>
  <si>
    <t>[SQL21.PC区分]&amp;[SQL21.製品NO]</t>
  </si>
  <si>
    <t>SQL21.仕様NO</t>
  </si>
  <si>
    <t>SQL21.W</t>
  </si>
  <si>
    <t>SQL21.D,SQL21.D1,SQL21.D2</t>
  </si>
  <si>
    <t>[SQL21.D]が0でない場合は[SQL21.D]を表示
[SQL21.D]が0の場合、
[SQL21.D1],[SQL21.D2]どちらも0の場合は””を表示
[SQL21.D1],[SQL21.D2]どちらかが0でない場合は[SQL21.D1]&amp;”/”&amp;[SQL21.D2]を表示</t>
    <rPh sb="14" eb="16">
      <t>バアイ</t>
    </rPh>
    <rPh sb="27" eb="29">
      <t>ヒョウジ</t>
    </rPh>
    <rPh sb="73" eb="75">
      <t>バアイ</t>
    </rPh>
    <rPh sb="79" eb="81">
      <t>ヒョウジ</t>
    </rPh>
    <phoneticPr fontId="1"/>
  </si>
  <si>
    <t>SQL21.H,SQL21.H1,SQL21.H2</t>
  </si>
  <si>
    <t>[SQL21.H]が0でない場合は[SQL21.H]を表示
[SQL21.H]が0の場合、
[SQL21.H1],[SQL21.H2]どちらも0の場合は””を表示
[SQL21.H1],[SQL21.H2]どちらかが0でない場合は[SQL21.H1]&amp;”/”&amp;[SQL21.H2]を表示</t>
    <rPh sb="14" eb="16">
      <t>バアイ</t>
    </rPh>
    <rPh sb="27" eb="29">
      <t>ヒョウジ</t>
    </rPh>
    <rPh sb="73" eb="75">
      <t>バアイ</t>
    </rPh>
    <rPh sb="79" eb="81">
      <t>ヒョウジ</t>
    </rPh>
    <phoneticPr fontId="1"/>
  </si>
  <si>
    <t>SQL21.数量</t>
    <rPh sb="6" eb="8">
      <t>スウリョウ</t>
    </rPh>
    <phoneticPr fontId="1"/>
  </si>
  <si>
    <t>33.売上数量</t>
    <rPh sb="3" eb="7">
      <t>ウリアゲスウリョウ</t>
    </rPh>
    <phoneticPr fontId="1"/>
  </si>
  <si>
    <t>SQL21.単位名</t>
    <rPh sb="6" eb="8">
      <t>タンイ</t>
    </rPh>
    <rPh sb="8" eb="9">
      <t>メイ</t>
    </rPh>
    <phoneticPr fontId="1"/>
  </si>
  <si>
    <t>SQL21.売上単価</t>
  </si>
  <si>
    <t>SQL21.伝票区分,SQL21.売上端数,SQL21.数量,SQL21.売上単価</t>
    <phoneticPr fontId="1"/>
  </si>
  <si>
    <t>[SQL21.数量]と[SQL21.売上単価]をかけ、[SQL21.売上端数]が0の場合は四捨五入、１の場合は切り上げ、２の場合は切り捨てを行ったものを[売上金額]とする
[SQL21.伝票区分]が"A","C","S"ではなく[売上金額]が０の場合は""を表示する
上記以外の場合は[売上金額]を表示する</t>
    <rPh sb="42" eb="44">
      <t>バアイ</t>
    </rPh>
    <rPh sb="45" eb="49">
      <t>シシャゴニュウ</t>
    </rPh>
    <rPh sb="52" eb="54">
      <t>バアイ</t>
    </rPh>
    <rPh sb="55" eb="56">
      <t>キ</t>
    </rPh>
    <rPh sb="57" eb="58">
      <t>ア</t>
    </rPh>
    <rPh sb="62" eb="64">
      <t>バアイ</t>
    </rPh>
    <rPh sb="65" eb="66">
      <t>キ</t>
    </rPh>
    <rPh sb="67" eb="68">
      <t>ス</t>
    </rPh>
    <rPh sb="70" eb="71">
      <t>オコナ</t>
    </rPh>
    <rPh sb="77" eb="81">
      <t>ウリアゲキンガク</t>
    </rPh>
    <rPh sb="115" eb="119">
      <t>ウリアゲキンガク</t>
    </rPh>
    <rPh sb="123" eb="125">
      <t>バアイ</t>
    </rPh>
    <rPh sb="129" eb="131">
      <t>ヒョウジ</t>
    </rPh>
    <rPh sb="134" eb="138">
      <t>ジョウキイガイ</t>
    </rPh>
    <rPh sb="139" eb="141">
      <t>バアイ</t>
    </rPh>
    <rPh sb="143" eb="145">
      <t>ウリアゲ</t>
    </rPh>
    <rPh sb="145" eb="147">
      <t>キンガク</t>
    </rPh>
    <rPh sb="149" eb="151">
      <t>ヒョウジ</t>
    </rPh>
    <phoneticPr fontId="1"/>
  </si>
  <si>
    <t>SQL21.仕分名称</t>
    <rPh sb="6" eb="10">
      <t>シワケメイショウ</t>
    </rPh>
    <phoneticPr fontId="1"/>
  </si>
  <si>
    <t>17行目でまだデータが存在する場合、"次ページへ"を表示、
データ最終行の場合は"【合　　計】"を表示、
最終行ではなくページの終わりの場合は"【" &amp; [SQL21.仕分名称] &amp; "小計】"を表示</t>
    <rPh sb="2" eb="4">
      <t>ギョウメ</t>
    </rPh>
    <rPh sb="11" eb="13">
      <t>ソンザイ</t>
    </rPh>
    <rPh sb="15" eb="17">
      <t>バアイ</t>
    </rPh>
    <rPh sb="26" eb="28">
      <t>ヒョウジ</t>
    </rPh>
    <rPh sb="33" eb="36">
      <t>サイシュウギョウ</t>
    </rPh>
    <rPh sb="37" eb="39">
      <t>バアイ</t>
    </rPh>
    <rPh sb="49" eb="51">
      <t>ヒョウジ</t>
    </rPh>
    <rPh sb="53" eb="56">
      <t>サイシュウギョウ</t>
    </rPh>
    <rPh sb="64" eb="65">
      <t>オ</t>
    </rPh>
    <rPh sb="68" eb="70">
      <t>バアイ</t>
    </rPh>
    <rPh sb="98" eb="100">
      <t>ヒョウジ</t>
    </rPh>
    <phoneticPr fontId="1"/>
  </si>
  <si>
    <t>38.金額</t>
    <rPh sb="3" eb="5">
      <t>キンガク</t>
    </rPh>
    <phoneticPr fontId="1"/>
  </si>
  <si>
    <t>[38.金額]の合計</t>
    <rPh sb="8" eb="10">
      <t>ゴウケイ</t>
    </rPh>
    <phoneticPr fontId="1"/>
  </si>
  <si>
    <t>A4横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</si>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</sst>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&quot;¥&quot;#,##0\-;&quot;¥&quot;\-#,##0\-"/>
    <numFmt numFmtId="178" formatCode="#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明朝"/>
      <family val="1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9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8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49" fontId="9" fillId="0" borderId="41" xfId="1" applyNumberFormat="1" applyFont="1" applyBorder="1" applyAlignment="1"/>
    <xf numFmtId="49" fontId="10" fillId="0" borderId="41" xfId="1" applyNumberFormat="1" applyFont="1" applyBorder="1" applyAlignment="1">
      <alignment horizontal="centerContinuous"/>
    </xf>
    <xf numFmtId="0" fontId="10" fillId="0" borderId="41" xfId="1" applyFont="1" applyBorder="1" applyAlignment="1">
      <alignment horizontal="centerContinuous"/>
    </xf>
    <xf numFmtId="0" fontId="11" fillId="0" borderId="41" xfId="1" applyFont="1" applyBorder="1" applyAlignment="1"/>
    <xf numFmtId="31" fontId="9" fillId="0" borderId="41" xfId="1" applyNumberFormat="1" applyFont="1" applyBorder="1" applyAlignment="1">
      <alignment horizontal="right"/>
    </xf>
    <xf numFmtId="0" fontId="10" fillId="0" borderId="0" xfId="1" applyFont="1"/>
    <xf numFmtId="0" fontId="10" fillId="0" borderId="0" xfId="1" applyFont="1" applyBorder="1"/>
    <xf numFmtId="0" fontId="14" fillId="0" borderId="0" xfId="1" applyFont="1" applyAlignment="1"/>
    <xf numFmtId="0" fontId="14" fillId="0" borderId="0" xfId="1" applyFont="1" applyBorder="1" applyAlignment="1"/>
    <xf numFmtId="0" fontId="15" fillId="0" borderId="0" xfId="1" applyFont="1"/>
    <xf numFmtId="0" fontId="9" fillId="0" borderId="0" xfId="1" applyFont="1"/>
    <xf numFmtId="0" fontId="13" fillId="0" borderId="0" xfId="1" applyFont="1"/>
    <xf numFmtId="0" fontId="13" fillId="0" borderId="41" xfId="1" applyFont="1" applyBorder="1"/>
    <xf numFmtId="0" fontId="15" fillId="0" borderId="41" xfId="1" applyFont="1" applyBorder="1"/>
    <xf numFmtId="0" fontId="10" fillId="0" borderId="41" xfId="1" applyFont="1" applyBorder="1"/>
    <xf numFmtId="0" fontId="16" fillId="0" borderId="41" xfId="1" applyFont="1" applyBorder="1"/>
    <xf numFmtId="0" fontId="13" fillId="0" borderId="6" xfId="1" applyFont="1" applyBorder="1"/>
    <xf numFmtId="0" fontId="15" fillId="0" borderId="6" xfId="1" applyFont="1" applyBorder="1"/>
    <xf numFmtId="0" fontId="10" fillId="0" borderId="6" xfId="1" applyFont="1" applyBorder="1"/>
    <xf numFmtId="0" fontId="10" fillId="0" borderId="0" xfId="1" applyFont="1" applyBorder="1" applyAlignment="1">
      <alignment shrinkToFit="1"/>
    </xf>
    <xf numFmtId="0" fontId="10" fillId="0" borderId="0" xfId="1" applyFont="1" applyBorder="1" applyAlignment="1">
      <alignment horizontal="left" shrinkToFit="1"/>
    </xf>
    <xf numFmtId="0" fontId="10" fillId="0" borderId="6" xfId="1" applyFont="1" applyBorder="1" applyAlignment="1">
      <alignment shrinkToFit="1"/>
    </xf>
    <xf numFmtId="0" fontId="17" fillId="0" borderId="0" xfId="1" applyFont="1"/>
    <xf numFmtId="0" fontId="10" fillId="0" borderId="0" xfId="1" applyFont="1" applyAlignment="1">
      <alignment horizontal="right"/>
    </xf>
    <xf numFmtId="0" fontId="9" fillId="6" borderId="1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1" xfId="1" applyFont="1" applyBorder="1"/>
    <xf numFmtId="49" fontId="9" fillId="0" borderId="1" xfId="1" applyNumberFormat="1" applyFont="1" applyBorder="1"/>
    <xf numFmtId="178" fontId="9" fillId="0" borderId="1" xfId="1" applyNumberFormat="1" applyFont="1" applyBorder="1"/>
    <xf numFmtId="49" fontId="9" fillId="0" borderId="1" xfId="1" applyNumberFormat="1" applyFont="1" applyBorder="1" applyAlignment="1">
      <alignment horizontal="right"/>
    </xf>
    <xf numFmtId="0" fontId="9" fillId="0" borderId="1" xfId="1" applyNumberFormat="1" applyFont="1" applyBorder="1" applyAlignment="1">
      <alignment horizontal="right"/>
    </xf>
    <xf numFmtId="38" fontId="9" fillId="0" borderId="1" xfId="1" applyNumberFormat="1" applyFont="1" applyBorder="1"/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>
      <alignment vertical="center"/>
    </xf>
    <xf numFmtId="0" fontId="3" fillId="2" borderId="59" xfId="0" applyFont="1" applyFill="1" applyBorder="1" applyAlignment="1">
      <alignment horizontal="left"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6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19" fillId="2" borderId="2" xfId="0" applyFont="1" applyFill="1" applyBorder="1">
      <alignment vertical="center"/>
    </xf>
    <xf numFmtId="0" fontId="19" fillId="2" borderId="66" xfId="0" applyFont="1" applyFill="1" applyBorder="1">
      <alignment vertical="center"/>
    </xf>
    <xf numFmtId="0" fontId="18" fillId="2" borderId="0" xfId="0" applyFont="1" applyFill="1" applyBorder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8" fillId="2" borderId="66" xfId="0" applyFont="1" applyFill="1" applyBorder="1">
      <alignment vertical="center"/>
    </xf>
    <xf numFmtId="0" fontId="18" fillId="2" borderId="66" xfId="0" quotePrefix="1" applyFont="1" applyFill="1" applyBorder="1">
      <alignment vertical="center"/>
    </xf>
    <xf numFmtId="0" fontId="3" fillId="2" borderId="66" xfId="0" quotePrefix="1" applyFont="1" applyFill="1" applyBorder="1" applyAlignment="1">
      <alignment vertical="center"/>
    </xf>
    <xf numFmtId="0" fontId="3" fillId="2" borderId="70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18" fillId="2" borderId="0" xfId="0" applyFont="1" applyFill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64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8" fillId="2" borderId="4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20" fillId="2" borderId="5" xfId="0" applyFont="1" applyFill="1" applyBorder="1">
      <alignment vertical="center"/>
    </xf>
    <xf numFmtId="0" fontId="20" fillId="0" borderId="5" xfId="0" applyFont="1" applyFill="1" applyBorder="1">
      <alignment vertical="center"/>
    </xf>
    <xf numFmtId="0" fontId="8" fillId="0" borderId="5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quotePrefix="1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47" xfId="0" quotePrefix="1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3" fillId="2" borderId="75" xfId="0" applyFont="1" applyFill="1" applyBorder="1">
      <alignment vertical="center"/>
    </xf>
    <xf numFmtId="0" fontId="3" fillId="2" borderId="76" xfId="0" applyFont="1" applyFill="1" applyBorder="1">
      <alignment vertical="center"/>
    </xf>
    <xf numFmtId="0" fontId="3" fillId="2" borderId="55" xfId="0" quotePrefix="1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1" fillId="2" borderId="39" xfId="0" applyFont="1" applyFill="1" applyBorder="1" applyAlignment="1">
      <alignment horizontal="left" vertical="center"/>
    </xf>
    <xf numFmtId="0" fontId="1" fillId="2" borderId="42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left" vertical="center"/>
    </xf>
    <xf numFmtId="14" fontId="3" fillId="2" borderId="54" xfId="0" applyNumberFormat="1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5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177" fontId="15" fillId="0" borderId="6" xfId="1" applyNumberFormat="1" applyFont="1" applyBorder="1" applyAlignment="1">
      <alignment horizontal="right"/>
    </xf>
    <xf numFmtId="0" fontId="13" fillId="0" borderId="0" xfId="1" applyFont="1" applyAlignment="1"/>
    <xf numFmtId="0" fontId="10" fillId="0" borderId="0" xfId="1" applyFont="1" applyAlignment="1"/>
    <xf numFmtId="0" fontId="13" fillId="0" borderId="0" xfId="1" applyFont="1" applyBorder="1" applyAlignment="1">
      <alignment shrinkToFit="1"/>
    </xf>
    <xf numFmtId="0" fontId="10" fillId="0" borderId="0" xfId="1" applyFont="1" applyAlignment="1">
      <alignment shrinkToFit="1"/>
    </xf>
    <xf numFmtId="177" fontId="15" fillId="0" borderId="41" xfId="1" applyNumberFormat="1" applyFont="1" applyBorder="1" applyAlignment="1">
      <alignment horizontal="right"/>
    </xf>
    <xf numFmtId="177" fontId="14" fillId="0" borderId="41" xfId="1" applyNumberFormat="1" applyFont="1" applyBorder="1" applyAlignment="1"/>
    <xf numFmtId="49" fontId="9" fillId="0" borderId="5" xfId="1" applyNumberFormat="1" applyFont="1" applyBorder="1"/>
    <xf numFmtId="49" fontId="9" fillId="0" borderId="7" xfId="1" applyNumberFormat="1" applyFont="1" applyBorder="1"/>
    <xf numFmtId="0" fontId="10" fillId="0" borderId="41" xfId="1" applyFont="1" applyBorder="1" applyAlignment="1">
      <alignment shrinkToFit="1"/>
    </xf>
    <xf numFmtId="0" fontId="10" fillId="0" borderId="41" xfId="1" applyFont="1" applyBorder="1" applyAlignment="1">
      <alignment horizontal="left" shrinkToFit="1"/>
    </xf>
    <xf numFmtId="0" fontId="10" fillId="0" borderId="6" xfId="1" applyFont="1" applyBorder="1" applyAlignment="1">
      <alignment shrinkToFit="1"/>
    </xf>
    <xf numFmtId="0" fontId="9" fillId="0" borderId="6" xfId="1" applyFont="1" applyBorder="1" applyAlignment="1">
      <alignment shrinkToFit="1"/>
    </xf>
    <xf numFmtId="0" fontId="9" fillId="6" borderId="5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21771</xdr:colOff>
      <xdr:row>7</xdr:row>
      <xdr:rowOff>119741</xdr:rowOff>
    </xdr:from>
    <xdr:to>
      <xdr:col>59</xdr:col>
      <xdr:colOff>119743</xdr:colOff>
      <xdr:row>45</xdr:row>
      <xdr:rowOff>185501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942" y="1502227"/>
          <a:ext cx="15664544" cy="9579874"/>
        </a:xfrm>
        <a:prstGeom prst="rect">
          <a:avLst/>
        </a:prstGeom>
      </xdr:spPr>
    </xdr:pic>
    <xdr:clientData/>
  </xdr:twoCellAnchor>
  <xdr:twoCellAnchor>
    <xdr:from>
      <xdr:col>40</xdr:col>
      <xdr:colOff>14088</xdr:colOff>
      <xdr:row>23</xdr:row>
      <xdr:rowOff>210030</xdr:rowOff>
    </xdr:from>
    <xdr:to>
      <xdr:col>41</xdr:col>
      <xdr:colOff>76840</xdr:colOff>
      <xdr:row>25</xdr:row>
      <xdr:rowOff>30738</xdr:rowOff>
    </xdr:to>
    <xdr:sp macro="" textlink="">
      <xdr:nvSpPr>
        <xdr:cNvPr id="5" name="正方形/長方形 4"/>
        <xdr:cNvSpPr/>
      </xdr:nvSpPr>
      <xdr:spPr>
        <a:xfrm>
          <a:off x="11139288" y="5598459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8324</xdr:colOff>
      <xdr:row>22</xdr:row>
      <xdr:rowOff>181857</xdr:rowOff>
    </xdr:from>
    <xdr:to>
      <xdr:col>41</xdr:col>
      <xdr:colOff>71076</xdr:colOff>
      <xdr:row>24</xdr:row>
      <xdr:rowOff>3203</xdr:rowOff>
    </xdr:to>
    <xdr:sp macro="" textlink="">
      <xdr:nvSpPr>
        <xdr:cNvPr id="6" name="正方形/長方形 5"/>
        <xdr:cNvSpPr/>
      </xdr:nvSpPr>
      <xdr:spPr>
        <a:xfrm>
          <a:off x="11133524" y="5319914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7045</xdr:colOff>
      <xdr:row>21</xdr:row>
      <xdr:rowOff>166488</xdr:rowOff>
    </xdr:from>
    <xdr:to>
      <xdr:col>41</xdr:col>
      <xdr:colOff>69797</xdr:colOff>
      <xdr:row>22</xdr:row>
      <xdr:rowOff>237566</xdr:rowOff>
    </xdr:to>
    <xdr:sp macro="" textlink="">
      <xdr:nvSpPr>
        <xdr:cNvPr id="7" name="正方形/長方形 6"/>
        <xdr:cNvSpPr/>
      </xdr:nvSpPr>
      <xdr:spPr>
        <a:xfrm>
          <a:off x="11132245" y="5054174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14088</xdr:colOff>
      <xdr:row>24</xdr:row>
      <xdr:rowOff>210033</xdr:rowOff>
    </xdr:from>
    <xdr:to>
      <xdr:col>41</xdr:col>
      <xdr:colOff>76840</xdr:colOff>
      <xdr:row>26</xdr:row>
      <xdr:rowOff>30739</xdr:rowOff>
    </xdr:to>
    <xdr:sp macro="" textlink="">
      <xdr:nvSpPr>
        <xdr:cNvPr id="8" name="正方形/長方形 7"/>
        <xdr:cNvSpPr/>
      </xdr:nvSpPr>
      <xdr:spPr>
        <a:xfrm>
          <a:off x="11139288" y="5848833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14088</xdr:colOff>
      <xdr:row>25</xdr:row>
      <xdr:rowOff>201066</xdr:rowOff>
    </xdr:from>
    <xdr:to>
      <xdr:col>41</xdr:col>
      <xdr:colOff>76840</xdr:colOff>
      <xdr:row>27</xdr:row>
      <xdr:rowOff>21772</xdr:rowOff>
    </xdr:to>
    <xdr:sp macro="" textlink="">
      <xdr:nvSpPr>
        <xdr:cNvPr id="9" name="正方形/長方形 8"/>
        <xdr:cNvSpPr/>
      </xdr:nvSpPr>
      <xdr:spPr>
        <a:xfrm>
          <a:off x="11139288" y="6090237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74920</xdr:colOff>
      <xdr:row>33</xdr:row>
      <xdr:rowOff>210031</xdr:rowOff>
    </xdr:from>
    <xdr:to>
      <xdr:col>54</xdr:col>
      <xdr:colOff>142795</xdr:colOff>
      <xdr:row>35</xdr:row>
      <xdr:rowOff>30738</xdr:rowOff>
    </xdr:to>
    <xdr:sp macro="" textlink="">
      <xdr:nvSpPr>
        <xdr:cNvPr id="10" name="正方形/長方形 9"/>
        <xdr:cNvSpPr/>
      </xdr:nvSpPr>
      <xdr:spPr>
        <a:xfrm>
          <a:off x="14879491" y="8102174"/>
          <a:ext cx="350904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179934</xdr:colOff>
      <xdr:row>33</xdr:row>
      <xdr:rowOff>206189</xdr:rowOff>
    </xdr:from>
    <xdr:to>
      <xdr:col>48</xdr:col>
      <xdr:colOff>247808</xdr:colOff>
      <xdr:row>35</xdr:row>
      <xdr:rowOff>26896</xdr:rowOff>
    </xdr:to>
    <xdr:sp macro="" textlink="">
      <xdr:nvSpPr>
        <xdr:cNvPr id="11" name="正方形/長方形 10"/>
        <xdr:cNvSpPr/>
      </xdr:nvSpPr>
      <xdr:spPr>
        <a:xfrm>
          <a:off x="13286334" y="8098332"/>
          <a:ext cx="350903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72998</xdr:colOff>
      <xdr:row>33</xdr:row>
      <xdr:rowOff>206190</xdr:rowOff>
    </xdr:from>
    <xdr:to>
      <xdr:col>46</xdr:col>
      <xdr:colOff>140874</xdr:colOff>
      <xdr:row>35</xdr:row>
      <xdr:rowOff>26897</xdr:rowOff>
    </xdr:to>
    <xdr:sp macro="" textlink="">
      <xdr:nvSpPr>
        <xdr:cNvPr id="12" name="正方形/長方形 11"/>
        <xdr:cNvSpPr/>
      </xdr:nvSpPr>
      <xdr:spPr>
        <a:xfrm>
          <a:off x="12613341" y="8098333"/>
          <a:ext cx="350904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55069</xdr:colOff>
      <xdr:row>33</xdr:row>
      <xdr:rowOff>208110</xdr:rowOff>
    </xdr:from>
    <xdr:to>
      <xdr:col>42</xdr:col>
      <xdr:colOff>117821</xdr:colOff>
      <xdr:row>35</xdr:row>
      <xdr:rowOff>28817</xdr:rowOff>
    </xdr:to>
    <xdr:sp macro="" textlink="">
      <xdr:nvSpPr>
        <xdr:cNvPr id="13" name="正方形/長方形 12"/>
        <xdr:cNvSpPr/>
      </xdr:nvSpPr>
      <xdr:spPr>
        <a:xfrm>
          <a:off x="11463298" y="810025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198504</xdr:colOff>
      <xdr:row>33</xdr:row>
      <xdr:rowOff>206189</xdr:rowOff>
    </xdr:from>
    <xdr:to>
      <xdr:col>38</xdr:col>
      <xdr:colOff>261256</xdr:colOff>
      <xdr:row>35</xdr:row>
      <xdr:rowOff>26896</xdr:rowOff>
    </xdr:to>
    <xdr:sp macro="" textlink="">
      <xdr:nvSpPr>
        <xdr:cNvPr id="14" name="正方形/長方形 13"/>
        <xdr:cNvSpPr/>
      </xdr:nvSpPr>
      <xdr:spPr>
        <a:xfrm>
          <a:off x="10474618" y="8098332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49945</xdr:colOff>
      <xdr:row>33</xdr:row>
      <xdr:rowOff>208109</xdr:rowOff>
    </xdr:from>
    <xdr:to>
      <xdr:col>35</xdr:col>
      <xdr:colOff>112698</xdr:colOff>
      <xdr:row>35</xdr:row>
      <xdr:rowOff>28816</xdr:rowOff>
    </xdr:to>
    <xdr:sp macro="" textlink="">
      <xdr:nvSpPr>
        <xdr:cNvPr id="15" name="正方形/長方形 14"/>
        <xdr:cNvSpPr/>
      </xdr:nvSpPr>
      <xdr:spPr>
        <a:xfrm>
          <a:off x="9476974" y="8100252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199146</xdr:colOff>
      <xdr:row>33</xdr:row>
      <xdr:rowOff>199146</xdr:rowOff>
    </xdr:from>
    <xdr:to>
      <xdr:col>31</xdr:col>
      <xdr:colOff>261897</xdr:colOff>
      <xdr:row>35</xdr:row>
      <xdr:rowOff>19853</xdr:rowOff>
    </xdr:to>
    <xdr:sp macro="" textlink="">
      <xdr:nvSpPr>
        <xdr:cNvPr id="16" name="正方形/長方形 15"/>
        <xdr:cNvSpPr/>
      </xdr:nvSpPr>
      <xdr:spPr>
        <a:xfrm>
          <a:off x="8494060" y="809128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172251</xdr:colOff>
      <xdr:row>33</xdr:row>
      <xdr:rowOff>206189</xdr:rowOff>
    </xdr:from>
    <xdr:to>
      <xdr:col>27</xdr:col>
      <xdr:colOff>235003</xdr:colOff>
      <xdr:row>35</xdr:row>
      <xdr:rowOff>26896</xdr:rowOff>
    </xdr:to>
    <xdr:sp macro="" textlink="">
      <xdr:nvSpPr>
        <xdr:cNvPr id="17" name="正方形/長方形 16"/>
        <xdr:cNvSpPr/>
      </xdr:nvSpPr>
      <xdr:spPr>
        <a:xfrm>
          <a:off x="7335051" y="8098332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139593</xdr:colOff>
      <xdr:row>33</xdr:row>
      <xdr:rowOff>208111</xdr:rowOff>
    </xdr:from>
    <xdr:to>
      <xdr:col>23</xdr:col>
      <xdr:colOff>202345</xdr:colOff>
      <xdr:row>35</xdr:row>
      <xdr:rowOff>28818</xdr:rowOff>
    </xdr:to>
    <xdr:sp macro="" textlink="">
      <xdr:nvSpPr>
        <xdr:cNvPr id="18" name="正方形/長方形 17"/>
        <xdr:cNvSpPr/>
      </xdr:nvSpPr>
      <xdr:spPr>
        <a:xfrm>
          <a:off x="6170279" y="810025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47384</xdr:colOff>
      <xdr:row>33</xdr:row>
      <xdr:rowOff>206188</xdr:rowOff>
    </xdr:from>
    <xdr:to>
      <xdr:col>9</xdr:col>
      <xdr:colOff>110137</xdr:colOff>
      <xdr:row>35</xdr:row>
      <xdr:rowOff>26895</xdr:rowOff>
    </xdr:to>
    <xdr:sp macro="" textlink="">
      <xdr:nvSpPr>
        <xdr:cNvPr id="19" name="正方形/長方形 18"/>
        <xdr:cNvSpPr/>
      </xdr:nvSpPr>
      <xdr:spPr>
        <a:xfrm>
          <a:off x="2115670" y="8098331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96691</xdr:colOff>
      <xdr:row>33</xdr:row>
      <xdr:rowOff>218996</xdr:rowOff>
    </xdr:from>
    <xdr:to>
      <xdr:col>7</xdr:col>
      <xdr:colOff>164566</xdr:colOff>
      <xdr:row>35</xdr:row>
      <xdr:rowOff>39703</xdr:rowOff>
    </xdr:to>
    <xdr:sp macro="" textlink="">
      <xdr:nvSpPr>
        <xdr:cNvPr id="20" name="正方形/長方形 19"/>
        <xdr:cNvSpPr/>
      </xdr:nvSpPr>
      <xdr:spPr>
        <a:xfrm>
          <a:off x="1598920" y="8111139"/>
          <a:ext cx="350903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165846</xdr:colOff>
      <xdr:row>33</xdr:row>
      <xdr:rowOff>208109</xdr:rowOff>
    </xdr:from>
    <xdr:to>
      <xdr:col>5</xdr:col>
      <xdr:colOff>228598</xdr:colOff>
      <xdr:row>35</xdr:row>
      <xdr:rowOff>28816</xdr:rowOff>
    </xdr:to>
    <xdr:sp macro="" textlink="">
      <xdr:nvSpPr>
        <xdr:cNvPr id="21" name="正方形/長方形 20"/>
        <xdr:cNvSpPr/>
      </xdr:nvSpPr>
      <xdr:spPr>
        <a:xfrm>
          <a:off x="1102017" y="8100252"/>
          <a:ext cx="345781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24333</xdr:colOff>
      <xdr:row>28</xdr:row>
      <xdr:rowOff>237566</xdr:rowOff>
    </xdr:from>
    <xdr:to>
      <xdr:col>15</xdr:col>
      <xdr:colOff>87084</xdr:colOff>
      <xdr:row>30</xdr:row>
      <xdr:rowOff>58913</xdr:rowOff>
    </xdr:to>
    <xdr:sp macro="" textlink="">
      <xdr:nvSpPr>
        <xdr:cNvPr id="22" name="正方形/長方形 21"/>
        <xdr:cNvSpPr/>
      </xdr:nvSpPr>
      <xdr:spPr>
        <a:xfrm>
          <a:off x="3790790" y="6877852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185056</xdr:colOff>
      <xdr:row>30</xdr:row>
      <xdr:rowOff>58912</xdr:rowOff>
    </xdr:from>
    <xdr:to>
      <xdr:col>16</xdr:col>
      <xdr:colOff>247810</xdr:colOff>
      <xdr:row>31</xdr:row>
      <xdr:rowOff>129990</xdr:rowOff>
    </xdr:to>
    <xdr:sp macro="" textlink="">
      <xdr:nvSpPr>
        <xdr:cNvPr id="23" name="正方形/長方形 22"/>
        <xdr:cNvSpPr/>
      </xdr:nvSpPr>
      <xdr:spPr>
        <a:xfrm>
          <a:off x="4234542" y="7199941"/>
          <a:ext cx="345782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5123</xdr:colOff>
      <xdr:row>20</xdr:row>
      <xdr:rowOff>35862</xdr:rowOff>
    </xdr:from>
    <xdr:to>
      <xdr:col>41</xdr:col>
      <xdr:colOff>67874</xdr:colOff>
      <xdr:row>21</xdr:row>
      <xdr:rowOff>106939</xdr:rowOff>
    </xdr:to>
    <xdr:sp macro="" textlink="">
      <xdr:nvSpPr>
        <xdr:cNvPr id="24" name="正方形/長方形 23"/>
        <xdr:cNvSpPr/>
      </xdr:nvSpPr>
      <xdr:spPr>
        <a:xfrm>
          <a:off x="11130323" y="4673176"/>
          <a:ext cx="345780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14088</xdr:colOff>
      <xdr:row>26</xdr:row>
      <xdr:rowOff>192101</xdr:rowOff>
    </xdr:from>
    <xdr:to>
      <xdr:col>41</xdr:col>
      <xdr:colOff>76840</xdr:colOff>
      <xdr:row>28</xdr:row>
      <xdr:rowOff>13447</xdr:rowOff>
    </xdr:to>
    <xdr:sp macro="" textlink="">
      <xdr:nvSpPr>
        <xdr:cNvPr id="25" name="正方形/長方形 24"/>
        <xdr:cNvSpPr/>
      </xdr:nvSpPr>
      <xdr:spPr>
        <a:xfrm>
          <a:off x="11139288" y="6331644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47384</xdr:colOff>
      <xdr:row>43</xdr:row>
      <xdr:rowOff>240766</xdr:rowOff>
    </xdr:from>
    <xdr:to>
      <xdr:col>9</xdr:col>
      <xdr:colOff>110137</xdr:colOff>
      <xdr:row>45</xdr:row>
      <xdr:rowOff>62112</xdr:rowOff>
    </xdr:to>
    <xdr:sp macro="" textlink="">
      <xdr:nvSpPr>
        <xdr:cNvPr id="26" name="正方形/長方形 25"/>
        <xdr:cNvSpPr/>
      </xdr:nvSpPr>
      <xdr:spPr>
        <a:xfrm>
          <a:off x="2115670" y="10636623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74919</xdr:colOff>
      <xdr:row>44</xdr:row>
      <xdr:rowOff>1281</xdr:rowOff>
    </xdr:from>
    <xdr:to>
      <xdr:col>54</xdr:col>
      <xdr:colOff>142794</xdr:colOff>
      <xdr:row>45</xdr:row>
      <xdr:rowOff>72999</xdr:rowOff>
    </xdr:to>
    <xdr:sp macro="" textlink="">
      <xdr:nvSpPr>
        <xdr:cNvPr id="27" name="正方形/長方形 26"/>
        <xdr:cNvSpPr/>
      </xdr:nvSpPr>
      <xdr:spPr>
        <a:xfrm>
          <a:off x="14879490" y="10647510"/>
          <a:ext cx="350904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73639</xdr:colOff>
      <xdr:row>26</xdr:row>
      <xdr:rowOff>228600</xdr:rowOff>
    </xdr:from>
    <xdr:to>
      <xdr:col>12</xdr:col>
      <xdr:colOff>136391</xdr:colOff>
      <xdr:row>28</xdr:row>
      <xdr:rowOff>49946</xdr:rowOff>
    </xdr:to>
    <xdr:sp macro="" textlink="">
      <xdr:nvSpPr>
        <xdr:cNvPr id="28" name="正方形/長方形 27"/>
        <xdr:cNvSpPr/>
      </xdr:nvSpPr>
      <xdr:spPr>
        <a:xfrm>
          <a:off x="2991010" y="6368143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235002</xdr:colOff>
      <xdr:row>29</xdr:row>
      <xdr:rowOff>243328</xdr:rowOff>
    </xdr:from>
    <xdr:to>
      <xdr:col>56</xdr:col>
      <xdr:colOff>19848</xdr:colOff>
      <xdr:row>31</xdr:row>
      <xdr:rowOff>64675</xdr:rowOff>
    </xdr:to>
    <xdr:sp macro="" textlink="">
      <xdr:nvSpPr>
        <xdr:cNvPr id="29" name="正方形/長方形 28"/>
        <xdr:cNvSpPr/>
      </xdr:nvSpPr>
      <xdr:spPr>
        <a:xfrm>
          <a:off x="15322602" y="7133985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14088</xdr:colOff>
      <xdr:row>27</xdr:row>
      <xdr:rowOff>174172</xdr:rowOff>
    </xdr:from>
    <xdr:to>
      <xdr:col>41</xdr:col>
      <xdr:colOff>76840</xdr:colOff>
      <xdr:row>28</xdr:row>
      <xdr:rowOff>245890</xdr:rowOff>
    </xdr:to>
    <xdr:sp macro="" textlink="">
      <xdr:nvSpPr>
        <xdr:cNvPr id="30" name="正方形/長方形 29"/>
        <xdr:cNvSpPr/>
      </xdr:nvSpPr>
      <xdr:spPr>
        <a:xfrm>
          <a:off x="11139288" y="6564086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71076</xdr:colOff>
      <xdr:row>21</xdr:row>
      <xdr:rowOff>215153</xdr:rowOff>
    </xdr:from>
    <xdr:to>
      <xdr:col>22</xdr:col>
      <xdr:colOff>133827</xdr:colOff>
      <xdr:row>23</xdr:row>
      <xdr:rowOff>35859</xdr:rowOff>
    </xdr:to>
    <xdr:sp macro="" textlink="">
      <xdr:nvSpPr>
        <xdr:cNvPr id="31" name="正方形/長方形 30"/>
        <xdr:cNvSpPr/>
      </xdr:nvSpPr>
      <xdr:spPr>
        <a:xfrm>
          <a:off x="5818733" y="5102839"/>
          <a:ext cx="345780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59552</xdr:colOff>
      <xdr:row>20</xdr:row>
      <xdr:rowOff>54429</xdr:rowOff>
    </xdr:from>
    <xdr:to>
      <xdr:col>13</xdr:col>
      <xdr:colOff>122303</xdr:colOff>
      <xdr:row>21</xdr:row>
      <xdr:rowOff>126146</xdr:rowOff>
    </xdr:to>
    <xdr:sp macro="" textlink="">
      <xdr:nvSpPr>
        <xdr:cNvPr id="32" name="正方形/長方形 31"/>
        <xdr:cNvSpPr/>
      </xdr:nvSpPr>
      <xdr:spPr>
        <a:xfrm>
          <a:off x="3259952" y="4691743"/>
          <a:ext cx="345780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268941</xdr:colOff>
      <xdr:row>18</xdr:row>
      <xdr:rowOff>167769</xdr:rowOff>
    </xdr:from>
    <xdr:to>
      <xdr:col>14</xdr:col>
      <xdr:colOff>48665</xdr:colOff>
      <xdr:row>19</xdr:row>
      <xdr:rowOff>239487</xdr:rowOff>
    </xdr:to>
    <xdr:sp macro="" textlink="">
      <xdr:nvSpPr>
        <xdr:cNvPr id="33" name="正方形/長方形 32"/>
        <xdr:cNvSpPr/>
      </xdr:nvSpPr>
      <xdr:spPr>
        <a:xfrm>
          <a:off x="3469341" y="4304340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93489</xdr:colOff>
      <xdr:row>17</xdr:row>
      <xdr:rowOff>35859</xdr:rowOff>
    </xdr:from>
    <xdr:to>
      <xdr:col>12</xdr:col>
      <xdr:colOff>161364</xdr:colOff>
      <xdr:row>18</xdr:row>
      <xdr:rowOff>107578</xdr:rowOff>
    </xdr:to>
    <xdr:sp macro="" textlink="">
      <xdr:nvSpPr>
        <xdr:cNvPr id="34" name="正方形/長方形 33"/>
        <xdr:cNvSpPr/>
      </xdr:nvSpPr>
      <xdr:spPr>
        <a:xfrm>
          <a:off x="3010860" y="3922059"/>
          <a:ext cx="350904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207468</xdr:colOff>
      <xdr:row>12</xdr:row>
      <xdr:rowOff>93489</xdr:rowOff>
    </xdr:from>
    <xdr:to>
      <xdr:col>6</xdr:col>
      <xdr:colOff>270220</xdr:colOff>
      <xdr:row>13</xdr:row>
      <xdr:rowOff>165208</xdr:rowOff>
    </xdr:to>
    <xdr:sp macro="" textlink="">
      <xdr:nvSpPr>
        <xdr:cNvPr id="35" name="正方形/長方形 34"/>
        <xdr:cNvSpPr/>
      </xdr:nvSpPr>
      <xdr:spPr>
        <a:xfrm>
          <a:off x="1426668" y="2727832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17929</xdr:colOff>
      <xdr:row>8</xdr:row>
      <xdr:rowOff>74280</xdr:rowOff>
    </xdr:from>
    <xdr:to>
      <xdr:col>11</xdr:col>
      <xdr:colOff>80682</xdr:colOff>
      <xdr:row>9</xdr:row>
      <xdr:rowOff>145998</xdr:rowOff>
    </xdr:to>
    <xdr:sp macro="" textlink="">
      <xdr:nvSpPr>
        <xdr:cNvPr id="36" name="正方形/長方形 35"/>
        <xdr:cNvSpPr/>
      </xdr:nvSpPr>
      <xdr:spPr>
        <a:xfrm>
          <a:off x="2652272" y="1707137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178013</xdr:colOff>
      <xdr:row>8</xdr:row>
      <xdr:rowOff>85165</xdr:rowOff>
    </xdr:from>
    <xdr:to>
      <xdr:col>49</xdr:col>
      <xdr:colOff>240765</xdr:colOff>
      <xdr:row>9</xdr:row>
      <xdr:rowOff>156883</xdr:rowOff>
    </xdr:to>
    <xdr:sp macro="" textlink="">
      <xdr:nvSpPr>
        <xdr:cNvPr id="37" name="正方形/長方形 36"/>
        <xdr:cNvSpPr/>
      </xdr:nvSpPr>
      <xdr:spPr>
        <a:xfrm>
          <a:off x="13567442" y="1718022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207468</xdr:colOff>
      <xdr:row>11</xdr:row>
      <xdr:rowOff>21773</xdr:rowOff>
    </xdr:from>
    <xdr:to>
      <xdr:col>6</xdr:col>
      <xdr:colOff>270220</xdr:colOff>
      <xdr:row>12</xdr:row>
      <xdr:rowOff>93490</xdr:rowOff>
    </xdr:to>
    <xdr:sp macro="" textlink="">
      <xdr:nvSpPr>
        <xdr:cNvPr id="38" name="正方形/長方形 37"/>
        <xdr:cNvSpPr/>
      </xdr:nvSpPr>
      <xdr:spPr>
        <a:xfrm>
          <a:off x="1426668" y="2405744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195941</xdr:colOff>
      <xdr:row>23</xdr:row>
      <xdr:rowOff>223478</xdr:rowOff>
    </xdr:from>
    <xdr:to>
      <xdr:col>11</xdr:col>
      <xdr:colOff>258695</xdr:colOff>
      <xdr:row>25</xdr:row>
      <xdr:rowOff>44827</xdr:rowOff>
    </xdr:to>
    <xdr:sp macro="" textlink="">
      <xdr:nvSpPr>
        <xdr:cNvPr id="39" name="正方形/長方形 38"/>
        <xdr:cNvSpPr/>
      </xdr:nvSpPr>
      <xdr:spPr>
        <a:xfrm>
          <a:off x="2830284" y="5611907"/>
          <a:ext cx="345782" cy="3220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265738</xdr:colOff>
      <xdr:row>25</xdr:row>
      <xdr:rowOff>220918</xdr:rowOff>
    </xdr:from>
    <xdr:to>
      <xdr:col>11</xdr:col>
      <xdr:colOff>45461</xdr:colOff>
      <xdr:row>27</xdr:row>
      <xdr:rowOff>42265</xdr:rowOff>
    </xdr:to>
    <xdr:sp macro="" textlink="">
      <xdr:nvSpPr>
        <xdr:cNvPr id="40" name="正方形/長方形 39"/>
        <xdr:cNvSpPr/>
      </xdr:nvSpPr>
      <xdr:spPr>
        <a:xfrm>
          <a:off x="2617052" y="6110089"/>
          <a:ext cx="345780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119101</xdr:colOff>
      <xdr:row>26</xdr:row>
      <xdr:rowOff>226678</xdr:rowOff>
    </xdr:from>
    <xdr:to>
      <xdr:col>23</xdr:col>
      <xdr:colOff>181855</xdr:colOff>
      <xdr:row>28</xdr:row>
      <xdr:rowOff>48024</xdr:rowOff>
    </xdr:to>
    <xdr:sp macro="" textlink="">
      <xdr:nvSpPr>
        <xdr:cNvPr id="41" name="正方形/長方形 40"/>
        <xdr:cNvSpPr/>
      </xdr:nvSpPr>
      <xdr:spPr>
        <a:xfrm>
          <a:off x="6149787" y="6366221"/>
          <a:ext cx="345782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181854</xdr:colOff>
      <xdr:row>27</xdr:row>
      <xdr:rowOff>218996</xdr:rowOff>
    </xdr:from>
    <xdr:to>
      <xdr:col>13</xdr:col>
      <xdr:colOff>244605</xdr:colOff>
      <xdr:row>29</xdr:row>
      <xdr:rowOff>39702</xdr:rowOff>
    </xdr:to>
    <xdr:sp macro="" textlink="">
      <xdr:nvSpPr>
        <xdr:cNvPr id="42" name="正方形/長方形 41"/>
        <xdr:cNvSpPr/>
      </xdr:nvSpPr>
      <xdr:spPr>
        <a:xfrm>
          <a:off x="3382254" y="6608910"/>
          <a:ext cx="345780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135110</xdr:colOff>
      <xdr:row>20</xdr:row>
      <xdr:rowOff>30738</xdr:rowOff>
    </xdr:from>
    <xdr:to>
      <xdr:col>4</xdr:col>
      <xdr:colOff>197862</xdr:colOff>
      <xdr:row>21</xdr:row>
      <xdr:rowOff>102455</xdr:rowOff>
    </xdr:to>
    <xdr:sp macro="" textlink="">
      <xdr:nvSpPr>
        <xdr:cNvPr id="43" name="正方形/長方形 42"/>
        <xdr:cNvSpPr/>
      </xdr:nvSpPr>
      <xdr:spPr>
        <a:xfrm>
          <a:off x="788253" y="4668052"/>
          <a:ext cx="345780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275986</xdr:colOff>
      <xdr:row>30</xdr:row>
      <xdr:rowOff>49948</xdr:rowOff>
    </xdr:from>
    <xdr:to>
      <xdr:col>7</xdr:col>
      <xdr:colOff>55710</xdr:colOff>
      <xdr:row>31</xdr:row>
      <xdr:rowOff>121026</xdr:rowOff>
    </xdr:to>
    <xdr:sp macro="" textlink="">
      <xdr:nvSpPr>
        <xdr:cNvPr id="44" name="正方形/長方形 43"/>
        <xdr:cNvSpPr/>
      </xdr:nvSpPr>
      <xdr:spPr>
        <a:xfrm>
          <a:off x="1495186" y="7190977"/>
          <a:ext cx="345781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114300</xdr:colOff>
      <xdr:row>4</xdr:row>
      <xdr:rowOff>0</xdr:rowOff>
    </xdr:to>
    <xdr:sp macro="" textlink="">
      <xdr:nvSpPr>
        <xdr:cNvPr id="2" name="Line 7"/>
        <xdr:cNvSpPr>
          <a:spLocks noChangeShapeType="1"/>
        </xdr:cNvSpPr>
      </xdr:nvSpPr>
      <xdr:spPr bwMode="auto">
        <a:xfrm flipV="1">
          <a:off x="0" y="922020"/>
          <a:ext cx="3314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1527810</xdr:colOff>
      <xdr:row>3</xdr:row>
      <xdr:rowOff>1905</xdr:rowOff>
    </xdr:from>
    <xdr:to>
      <xdr:col>4</xdr:col>
      <xdr:colOff>171450</xdr:colOff>
      <xdr:row>4</xdr:row>
      <xdr:rowOff>38338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3067050" y="687705"/>
          <a:ext cx="304800" cy="272653"/>
        </a:xfrm>
        <a:prstGeom prst="rect">
          <a:avLst/>
        </a:prstGeom>
        <a:noFill/>
        <a:ln>
          <a:noFill/>
        </a:ln>
      </xdr:spPr>
      <xdr:txBody>
        <a:bodyPr vertOverflow="clip" wrap="square" lIns="45720" tIns="27432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殿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457200</xdr:colOff>
          <xdr:row>4</xdr:row>
          <xdr:rowOff>60960</xdr:rowOff>
        </xdr:from>
        <xdr:to>
          <xdr:col>14</xdr:col>
          <xdr:colOff>274320</xdr:colOff>
          <xdr:row>8</xdr:row>
          <xdr:rowOff>182880</xdr:rowOff>
        </xdr:to>
        <xdr:sp macro="" textlink="">
          <xdr:nvSpPr>
            <xdr:cNvPr id="2049" name="inei1_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403860</xdr:colOff>
      <xdr:row>5</xdr:row>
      <xdr:rowOff>121920</xdr:rowOff>
    </xdr:from>
    <xdr:to>
      <xdr:col>13</xdr:col>
      <xdr:colOff>731520</xdr:colOff>
      <xdr:row>8</xdr:row>
      <xdr:rowOff>53340</xdr:rowOff>
    </xdr:to>
    <xdr:pic>
      <xdr:nvPicPr>
        <xdr:cNvPr id="5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6980" y="1143000"/>
          <a:ext cx="21031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169629</xdr:colOff>
      <xdr:row>45</xdr:row>
      <xdr:rowOff>1404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51389" cy="100598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0100_&#35531;&#27714;&#26360;_&#24115;&#31080;&#35373;&#35336;&#2636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SU0100_&#35531;&#27714;&#26360;_&#24115;&#31080;&#35373;&#35336;&#2636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Users\NT-210064.2022031-NIWA\Downloads\&#12486;&#12531;&#12503;&#12524;&#12540;&#12488;&#20316;&#25104;\27_&#12516;&#12458;&#12467;&#12540;&#35531;&#27714;&#26126;&#32048;&#3492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項目一覧"/>
      <sheetName val="処理詳細"/>
      <sheetName val="処理詳細_書き方"/>
      <sheetName val="確認事項"/>
      <sheetName val="別紙_テンプレート"/>
      <sheetName val="別紙_印刷レイアウト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照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  <cell r="H3" t="str">
            <v>27</v>
          </cell>
          <cell r="L3" t="str">
            <v>運用自動化</v>
          </cell>
          <cell r="R3" t="str">
            <v>帳票設計書</v>
          </cell>
          <cell r="X3" t="str">
            <v>27_ヤオコー請求明細表_帳票設計書</v>
          </cell>
          <cell r="AK3" t="str">
            <v>ヤオコー請求明細表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80" t="s">
        <v>0</v>
      </c>
      <c r="C2" s="181"/>
      <c r="D2" s="181"/>
      <c r="E2" s="181"/>
      <c r="F2" s="181"/>
      <c r="G2" s="181"/>
      <c r="H2" s="181" t="s">
        <v>17</v>
      </c>
      <c r="I2" s="181"/>
      <c r="J2" s="181"/>
      <c r="K2" s="181"/>
      <c r="L2" s="181" t="s">
        <v>607</v>
      </c>
      <c r="M2" s="181"/>
      <c r="N2" s="181"/>
      <c r="O2" s="181"/>
      <c r="P2" s="181"/>
      <c r="Q2" s="181"/>
      <c r="R2" s="181" t="s">
        <v>2</v>
      </c>
      <c r="S2" s="181"/>
      <c r="T2" s="181"/>
      <c r="U2" s="181"/>
      <c r="V2" s="181"/>
      <c r="W2" s="181"/>
      <c r="X2" s="182" t="s">
        <v>3</v>
      </c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4"/>
      <c r="AK2" s="182" t="s">
        <v>31</v>
      </c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4"/>
      <c r="AX2" s="181" t="s">
        <v>5</v>
      </c>
      <c r="AY2" s="181"/>
      <c r="AZ2" s="181"/>
      <c r="BA2" s="181"/>
      <c r="BB2" s="181" t="s">
        <v>4</v>
      </c>
      <c r="BC2" s="181"/>
      <c r="BD2" s="181"/>
      <c r="BE2" s="181"/>
      <c r="BF2" s="181" t="s">
        <v>6</v>
      </c>
      <c r="BG2" s="181"/>
      <c r="BH2" s="181"/>
      <c r="BI2" s="181"/>
      <c r="BJ2" s="181" t="s">
        <v>7</v>
      </c>
      <c r="BK2" s="181"/>
      <c r="BL2" s="181"/>
      <c r="BM2" s="195"/>
      <c r="BN2" s="14"/>
    </row>
    <row r="3" spans="1:66" ht="20.100000000000001" customHeight="1" x14ac:dyDescent="0.45">
      <c r="A3" s="8"/>
      <c r="B3" s="185" t="s">
        <v>605</v>
      </c>
      <c r="C3" s="186"/>
      <c r="D3" s="186"/>
      <c r="E3" s="186"/>
      <c r="F3" s="186"/>
      <c r="G3" s="186"/>
      <c r="H3" s="186" t="str">
        <f ca="1">LEFT($X$3,FIND("_",$X$3)-1)</f>
        <v>SU1300</v>
      </c>
      <c r="I3" s="186"/>
      <c r="J3" s="186"/>
      <c r="K3" s="186"/>
      <c r="L3" s="186" t="s">
        <v>606</v>
      </c>
      <c r="M3" s="186"/>
      <c r="N3" s="186"/>
      <c r="O3" s="186"/>
      <c r="P3" s="186"/>
      <c r="Q3" s="186"/>
      <c r="R3" s="189" t="str">
        <f ca="1">MID($X$3,FIND("_",$X$3,FIND("_",$X$3)+1)+1,LEN($X$3)-FIND("_",$X$3,FIND("_",$X$3)+1))</f>
        <v>帳票設計書</v>
      </c>
      <c r="S3" s="186"/>
      <c r="T3" s="186"/>
      <c r="U3" s="186"/>
      <c r="V3" s="186"/>
      <c r="W3" s="186"/>
      <c r="X3" s="190" t="str">
        <f ca="1">REPLACE(LEFT(CELL("filename",$B$2),FIND(".x",CELL("filename",$B$2))-1),1,FIND("[",CELL("filename",$B$2)),)</f>
        <v>SU1300_請求書(屋外広告物専用)_帳票設計書</v>
      </c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87"/>
      <c r="AK3" s="190" t="str">
        <f ca="1">MID($X$3,FIND("_",$X$3)+1,FIND("_",$X$3,FIND("_",$X$3)+1)-FIND("_",$X$3)-1)</f>
        <v>請求書(屋外広告物専用)</v>
      </c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87"/>
      <c r="AX3" s="197">
        <v>45581</v>
      </c>
      <c r="AY3" s="186"/>
      <c r="AZ3" s="186"/>
      <c r="BA3" s="186"/>
      <c r="BB3" s="186" t="s">
        <v>608</v>
      </c>
      <c r="BC3" s="186"/>
      <c r="BD3" s="186"/>
      <c r="BE3" s="186"/>
      <c r="BF3" s="197">
        <v>45581</v>
      </c>
      <c r="BG3" s="186"/>
      <c r="BH3" s="186"/>
      <c r="BI3" s="186"/>
      <c r="BJ3" s="186" t="s">
        <v>608</v>
      </c>
      <c r="BK3" s="186"/>
      <c r="BL3" s="186"/>
      <c r="BM3" s="198"/>
      <c r="BN3" s="14"/>
    </row>
    <row r="4" spans="1:66" ht="20.100000000000001" customHeight="1" thickBot="1" x14ac:dyDescent="0.5">
      <c r="A4" s="8"/>
      <c r="B4" s="187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M4" s="190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96" t="s">
        <v>8</v>
      </c>
      <c r="D8" s="196"/>
      <c r="E8" s="196"/>
      <c r="F8" s="196"/>
      <c r="G8" s="196" t="s">
        <v>9</v>
      </c>
      <c r="H8" s="196"/>
      <c r="I8" s="196"/>
      <c r="J8" s="196"/>
      <c r="K8" s="196" t="s">
        <v>10</v>
      </c>
      <c r="L8" s="196"/>
      <c r="M8" s="196"/>
      <c r="N8" s="196"/>
      <c r="O8" s="196" t="s">
        <v>11</v>
      </c>
      <c r="P8" s="196"/>
      <c r="Q8" s="196"/>
      <c r="R8" s="196"/>
      <c r="S8" s="196"/>
      <c r="T8" s="196"/>
      <c r="U8" s="196"/>
      <c r="V8" s="196"/>
      <c r="W8" s="196"/>
      <c r="X8" s="196"/>
      <c r="Y8" s="196" t="s">
        <v>12</v>
      </c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6"/>
      <c r="AN8" s="196"/>
      <c r="AO8" s="196"/>
      <c r="AP8" s="196"/>
      <c r="AQ8" s="196"/>
      <c r="AR8" s="196"/>
      <c r="AS8" s="196"/>
      <c r="AT8" s="196"/>
      <c r="AU8" s="196"/>
      <c r="AV8" s="196"/>
      <c r="AW8" s="196"/>
      <c r="AX8" s="196"/>
      <c r="AY8" s="196"/>
      <c r="AZ8" s="196"/>
      <c r="BA8" s="196"/>
      <c r="BB8" s="196"/>
      <c r="BC8" s="196"/>
      <c r="BD8" s="196"/>
      <c r="BE8" s="196"/>
      <c r="BF8" s="196"/>
      <c r="BG8" s="196"/>
      <c r="BH8" s="196"/>
      <c r="BI8" s="196"/>
      <c r="BJ8" s="196"/>
      <c r="BK8" s="196"/>
      <c r="BL8" s="196"/>
      <c r="BM8" s="7"/>
      <c r="BN8" s="14"/>
    </row>
    <row r="9" spans="1:66" ht="20.100000000000001" customHeight="1" x14ac:dyDescent="0.45">
      <c r="A9" s="8"/>
      <c r="B9" s="7"/>
      <c r="C9" s="199">
        <v>45581</v>
      </c>
      <c r="D9" s="200"/>
      <c r="E9" s="200"/>
      <c r="F9" s="201"/>
      <c r="G9" s="202" t="s">
        <v>16</v>
      </c>
      <c r="H9" s="203"/>
      <c r="I9" s="203"/>
      <c r="J9" s="204"/>
      <c r="K9" s="205" t="s">
        <v>608</v>
      </c>
      <c r="L9" s="200"/>
      <c r="M9" s="200"/>
      <c r="N9" s="20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99"/>
      <c r="D10" s="200"/>
      <c r="E10" s="200"/>
      <c r="F10" s="201"/>
      <c r="G10" s="202"/>
      <c r="H10" s="203"/>
      <c r="I10" s="203"/>
      <c r="J10" s="204"/>
      <c r="K10" s="205"/>
      <c r="L10" s="200"/>
      <c r="M10" s="200"/>
      <c r="N10" s="20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99"/>
      <c r="D11" s="200"/>
      <c r="E11" s="200"/>
      <c r="F11" s="201"/>
      <c r="G11" s="202"/>
      <c r="H11" s="203"/>
      <c r="I11" s="203"/>
      <c r="J11" s="204"/>
      <c r="K11" s="205"/>
      <c r="L11" s="200"/>
      <c r="M11" s="200"/>
      <c r="N11" s="20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99"/>
      <c r="D36" s="200"/>
      <c r="E36" s="200"/>
      <c r="F36" s="201"/>
      <c r="G36" s="202"/>
      <c r="H36" s="203"/>
      <c r="I36" s="203"/>
      <c r="J36" s="204"/>
      <c r="K36" s="205"/>
      <c r="L36" s="200"/>
      <c r="M36" s="200"/>
      <c r="N36" s="20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99"/>
      <c r="D37" s="200"/>
      <c r="E37" s="200"/>
      <c r="F37" s="201"/>
      <c r="G37" s="202"/>
      <c r="H37" s="203"/>
      <c r="I37" s="203"/>
      <c r="J37" s="204"/>
      <c r="K37" s="205"/>
      <c r="L37" s="200"/>
      <c r="M37" s="200"/>
      <c r="N37" s="20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99"/>
      <c r="D38" s="200"/>
      <c r="E38" s="200"/>
      <c r="F38" s="201"/>
      <c r="G38" s="202"/>
      <c r="H38" s="203"/>
      <c r="I38" s="203"/>
      <c r="J38" s="204"/>
      <c r="K38" s="205"/>
      <c r="L38" s="200"/>
      <c r="M38" s="200"/>
      <c r="N38" s="20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99"/>
      <c r="D39" s="200"/>
      <c r="E39" s="200"/>
      <c r="F39" s="201"/>
      <c r="G39" s="202"/>
      <c r="H39" s="203"/>
      <c r="I39" s="203"/>
      <c r="J39" s="204"/>
      <c r="K39" s="205"/>
      <c r="L39" s="200"/>
      <c r="M39" s="200"/>
      <c r="N39" s="20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99"/>
      <c r="D40" s="200"/>
      <c r="E40" s="200"/>
      <c r="F40" s="201"/>
      <c r="G40" s="202"/>
      <c r="H40" s="203"/>
      <c r="I40" s="203"/>
      <c r="J40" s="204"/>
      <c r="K40" s="205"/>
      <c r="L40" s="200"/>
      <c r="M40" s="200"/>
      <c r="N40" s="20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99"/>
      <c r="D41" s="200"/>
      <c r="E41" s="200"/>
      <c r="F41" s="201"/>
      <c r="G41" s="202"/>
      <c r="H41" s="203"/>
      <c r="I41" s="203"/>
      <c r="J41" s="204"/>
      <c r="K41" s="205"/>
      <c r="L41" s="200"/>
      <c r="M41" s="200"/>
      <c r="N41" s="20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99"/>
      <c r="D42" s="200"/>
      <c r="E42" s="200"/>
      <c r="F42" s="201"/>
      <c r="G42" s="202"/>
      <c r="H42" s="203"/>
      <c r="I42" s="203"/>
      <c r="J42" s="204"/>
      <c r="K42" s="205"/>
      <c r="L42" s="200"/>
      <c r="M42" s="200"/>
      <c r="N42" s="20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99"/>
      <c r="D43" s="200"/>
      <c r="E43" s="200"/>
      <c r="F43" s="201"/>
      <c r="G43" s="202"/>
      <c r="H43" s="203"/>
      <c r="I43" s="203"/>
      <c r="J43" s="204"/>
      <c r="K43" s="205"/>
      <c r="L43" s="200"/>
      <c r="M43" s="200"/>
      <c r="N43" s="20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99"/>
      <c r="D44" s="200"/>
      <c r="E44" s="200"/>
      <c r="F44" s="201"/>
      <c r="G44" s="202"/>
      <c r="H44" s="203"/>
      <c r="I44" s="203"/>
      <c r="J44" s="204"/>
      <c r="K44" s="205"/>
      <c r="L44" s="200"/>
      <c r="M44" s="200"/>
      <c r="N44" s="20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99"/>
      <c r="D45" s="200"/>
      <c r="E45" s="200"/>
      <c r="F45" s="201"/>
      <c r="G45" s="202"/>
      <c r="H45" s="203"/>
      <c r="I45" s="203"/>
      <c r="J45" s="204"/>
      <c r="K45" s="205"/>
      <c r="L45" s="200"/>
      <c r="M45" s="200"/>
      <c r="N45" s="20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99"/>
      <c r="D46" s="200"/>
      <c r="E46" s="200"/>
      <c r="F46" s="201"/>
      <c r="G46" s="202"/>
      <c r="H46" s="203"/>
      <c r="I46" s="203"/>
      <c r="J46" s="204"/>
      <c r="K46" s="205"/>
      <c r="L46" s="200"/>
      <c r="M46" s="200"/>
      <c r="N46" s="20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99"/>
      <c r="D47" s="200"/>
      <c r="E47" s="200"/>
      <c r="F47" s="201"/>
      <c r="G47" s="202"/>
      <c r="H47" s="203"/>
      <c r="I47" s="203"/>
      <c r="J47" s="204"/>
      <c r="K47" s="205"/>
      <c r="L47" s="200"/>
      <c r="M47" s="200"/>
      <c r="N47" s="20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80" t="s">
        <v>0</v>
      </c>
      <c r="C2" s="181"/>
      <c r="D2" s="181"/>
      <c r="E2" s="181"/>
      <c r="F2" s="181"/>
      <c r="G2" s="181"/>
      <c r="H2" s="181" t="s">
        <v>17</v>
      </c>
      <c r="I2" s="181"/>
      <c r="J2" s="181"/>
      <c r="K2" s="181"/>
      <c r="L2" s="181" t="s">
        <v>607</v>
      </c>
      <c r="M2" s="181"/>
      <c r="N2" s="181"/>
      <c r="O2" s="181"/>
      <c r="P2" s="181"/>
      <c r="Q2" s="181"/>
      <c r="R2" s="181" t="s">
        <v>2</v>
      </c>
      <c r="S2" s="181"/>
      <c r="T2" s="181"/>
      <c r="U2" s="181"/>
      <c r="V2" s="181"/>
      <c r="W2" s="181"/>
      <c r="X2" s="182" t="s">
        <v>3</v>
      </c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4"/>
      <c r="AK2" s="182" t="s">
        <v>32</v>
      </c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4"/>
      <c r="AX2" s="181" t="s">
        <v>5</v>
      </c>
      <c r="AY2" s="181"/>
      <c r="AZ2" s="181"/>
      <c r="BA2" s="181"/>
      <c r="BB2" s="181" t="s">
        <v>4</v>
      </c>
      <c r="BC2" s="181"/>
      <c r="BD2" s="181"/>
      <c r="BE2" s="181"/>
      <c r="BF2" s="181" t="s">
        <v>6</v>
      </c>
      <c r="BG2" s="181"/>
      <c r="BH2" s="181"/>
      <c r="BI2" s="181"/>
      <c r="BJ2" s="181" t="s">
        <v>7</v>
      </c>
      <c r="BK2" s="181"/>
      <c r="BL2" s="181"/>
      <c r="BM2" s="195"/>
      <c r="BN2" s="35"/>
    </row>
    <row r="3" spans="1:66" ht="20.100000000000001" customHeight="1" x14ac:dyDescent="0.45">
      <c r="A3" s="32"/>
      <c r="B3" s="185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SU1300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帳票設計書</v>
      </c>
      <c r="S3" s="186"/>
      <c r="T3" s="186"/>
      <c r="U3" s="186"/>
      <c r="V3" s="186"/>
      <c r="W3" s="186"/>
      <c r="X3" s="190" t="str">
        <f ca="1">変更履歴!X3</f>
        <v>SU1300_請求書(屋外広告物専用)_帳票設計書</v>
      </c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87"/>
      <c r="AK3" s="190" t="str">
        <f ca="1">変更履歴!AK3</f>
        <v>請求書(屋外広告物専用)</v>
      </c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87"/>
      <c r="AX3" s="197">
        <f>変更履歴!AX3</f>
        <v>45581</v>
      </c>
      <c r="AY3" s="197"/>
      <c r="AZ3" s="197"/>
      <c r="BA3" s="197"/>
      <c r="BB3" s="186" t="str">
        <f>変更履歴!BB3</f>
        <v>大谷</v>
      </c>
      <c r="BC3" s="186"/>
      <c r="BD3" s="186"/>
      <c r="BE3" s="186"/>
      <c r="BF3" s="197">
        <f>変更履歴!BF3</f>
        <v>45581</v>
      </c>
      <c r="BG3" s="197"/>
      <c r="BH3" s="197"/>
      <c r="BI3" s="197"/>
      <c r="BJ3" s="186" t="str">
        <f>変更履歴!BJ3</f>
        <v>大谷</v>
      </c>
      <c r="BK3" s="186"/>
      <c r="BL3" s="186"/>
      <c r="BM3" s="198"/>
      <c r="BN3" s="35"/>
    </row>
    <row r="4" spans="1:66" ht="20.100000000000001" customHeight="1" thickBot="1" x14ac:dyDescent="0.5">
      <c r="A4" s="32"/>
      <c r="B4" s="187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06"/>
      <c r="AY4" s="206"/>
      <c r="AZ4" s="206"/>
      <c r="BA4" s="206"/>
      <c r="BB4" s="188"/>
      <c r="BC4" s="188"/>
      <c r="BD4" s="188"/>
      <c r="BE4" s="188"/>
      <c r="BF4" s="206"/>
      <c r="BG4" s="206"/>
      <c r="BH4" s="206"/>
      <c r="BI4" s="206"/>
      <c r="BJ4" s="188"/>
      <c r="BK4" s="188"/>
      <c r="BL4" s="188"/>
      <c r="BM4" s="190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請求書(屋外広告物専用)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183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184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54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54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54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604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0" t="s">
        <v>0</v>
      </c>
      <c r="C2" s="181"/>
      <c r="D2" s="181"/>
      <c r="E2" s="181"/>
      <c r="F2" s="181"/>
      <c r="G2" s="181"/>
      <c r="H2" s="181" t="s">
        <v>17</v>
      </c>
      <c r="I2" s="181"/>
      <c r="J2" s="181"/>
      <c r="K2" s="181"/>
      <c r="L2" s="181" t="s">
        <v>607</v>
      </c>
      <c r="M2" s="181"/>
      <c r="N2" s="181"/>
      <c r="O2" s="181"/>
      <c r="P2" s="181"/>
      <c r="Q2" s="181"/>
      <c r="R2" s="181" t="s">
        <v>2</v>
      </c>
      <c r="S2" s="181"/>
      <c r="T2" s="181"/>
      <c r="U2" s="181"/>
      <c r="V2" s="181"/>
      <c r="W2" s="181"/>
      <c r="X2" s="182" t="s">
        <v>3</v>
      </c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4"/>
      <c r="AK2" s="182" t="s">
        <v>32</v>
      </c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4"/>
      <c r="AX2" s="181" t="s">
        <v>5</v>
      </c>
      <c r="AY2" s="181"/>
      <c r="AZ2" s="181"/>
      <c r="BA2" s="181"/>
      <c r="BB2" s="181" t="s">
        <v>4</v>
      </c>
      <c r="BC2" s="181"/>
      <c r="BD2" s="181"/>
      <c r="BE2" s="181"/>
      <c r="BF2" s="181" t="s">
        <v>6</v>
      </c>
      <c r="BG2" s="181"/>
      <c r="BH2" s="181"/>
      <c r="BI2" s="181"/>
      <c r="BJ2" s="181" t="s">
        <v>7</v>
      </c>
      <c r="BK2" s="181"/>
      <c r="BL2" s="181"/>
      <c r="BM2" s="195"/>
      <c r="BN2" s="15"/>
    </row>
    <row r="3" spans="1:66" ht="20.100000000000001" customHeight="1" x14ac:dyDescent="0.45">
      <c r="A3" s="9"/>
      <c r="B3" s="185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SU1300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帳票設計書</v>
      </c>
      <c r="S3" s="186"/>
      <c r="T3" s="186"/>
      <c r="U3" s="186"/>
      <c r="V3" s="186"/>
      <c r="W3" s="186"/>
      <c r="X3" s="190" t="str">
        <f ca="1">変更履歴!X3</f>
        <v>SU1300_請求書(屋外広告物専用)_帳票設計書</v>
      </c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87"/>
      <c r="AK3" s="190" t="str">
        <f ca="1">変更履歴!AK3</f>
        <v>請求書(屋外広告物専用)</v>
      </c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87"/>
      <c r="AX3" s="197">
        <f>変更履歴!AX3</f>
        <v>45581</v>
      </c>
      <c r="AY3" s="197"/>
      <c r="AZ3" s="197"/>
      <c r="BA3" s="197"/>
      <c r="BB3" s="186" t="str">
        <f>変更履歴!BB3</f>
        <v>大谷</v>
      </c>
      <c r="BC3" s="186"/>
      <c r="BD3" s="186"/>
      <c r="BE3" s="186"/>
      <c r="BF3" s="197">
        <f>変更履歴!BF3</f>
        <v>45581</v>
      </c>
      <c r="BG3" s="197"/>
      <c r="BH3" s="197"/>
      <c r="BI3" s="197"/>
      <c r="BJ3" s="186" t="str">
        <f>変更履歴!BJ3</f>
        <v>大谷</v>
      </c>
      <c r="BK3" s="186"/>
      <c r="BL3" s="186"/>
      <c r="BM3" s="198"/>
      <c r="BN3" s="15"/>
    </row>
    <row r="4" spans="1:66" ht="20.100000000000001" customHeight="1" thickBot="1" x14ac:dyDescent="0.5">
      <c r="A4" s="9"/>
      <c r="B4" s="187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06"/>
      <c r="AY4" s="206"/>
      <c r="AZ4" s="206"/>
      <c r="BA4" s="206"/>
      <c r="BB4" s="188"/>
      <c r="BC4" s="188"/>
      <c r="BD4" s="188"/>
      <c r="BE4" s="188"/>
      <c r="BF4" s="206"/>
      <c r="BG4" s="206"/>
      <c r="BH4" s="206"/>
      <c r="BI4" s="206"/>
      <c r="BJ4" s="188"/>
      <c r="BK4" s="188"/>
      <c r="BL4" s="188"/>
      <c r="BM4" s="190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83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80" t="s">
        <v>0</v>
      </c>
      <c r="C2" s="181"/>
      <c r="D2" s="181"/>
      <c r="E2" s="181"/>
      <c r="F2" s="181"/>
      <c r="G2" s="181"/>
      <c r="H2" s="181" t="s">
        <v>17</v>
      </c>
      <c r="I2" s="181"/>
      <c r="J2" s="181"/>
      <c r="K2" s="181"/>
      <c r="L2" s="181" t="s">
        <v>607</v>
      </c>
      <c r="M2" s="181"/>
      <c r="N2" s="181"/>
      <c r="O2" s="181"/>
      <c r="P2" s="181"/>
      <c r="Q2" s="181"/>
      <c r="R2" s="181" t="s">
        <v>2</v>
      </c>
      <c r="S2" s="181"/>
      <c r="T2" s="181"/>
      <c r="U2" s="181"/>
      <c r="V2" s="181"/>
      <c r="W2" s="181"/>
      <c r="X2" s="182" t="s">
        <v>3</v>
      </c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4"/>
      <c r="AK2" s="182" t="s">
        <v>32</v>
      </c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4"/>
      <c r="AX2" s="181" t="s">
        <v>5</v>
      </c>
      <c r="AY2" s="181"/>
      <c r="AZ2" s="181"/>
      <c r="BA2" s="181"/>
      <c r="BB2" s="181" t="s">
        <v>4</v>
      </c>
      <c r="BC2" s="181"/>
      <c r="BD2" s="181"/>
      <c r="BE2" s="181"/>
      <c r="BF2" s="181" t="s">
        <v>6</v>
      </c>
      <c r="BG2" s="181"/>
      <c r="BH2" s="181"/>
      <c r="BI2" s="181"/>
      <c r="BJ2" s="181" t="s">
        <v>7</v>
      </c>
      <c r="BK2" s="181"/>
      <c r="BL2" s="181"/>
      <c r="BM2" s="195"/>
      <c r="BN2" s="15"/>
    </row>
    <row r="3" spans="1:85" ht="20.100000000000001" customHeight="1" x14ac:dyDescent="0.45">
      <c r="A3" s="9"/>
      <c r="B3" s="185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SU1300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帳票設計書</v>
      </c>
      <c r="S3" s="186"/>
      <c r="T3" s="186"/>
      <c r="U3" s="186"/>
      <c r="V3" s="186"/>
      <c r="W3" s="186"/>
      <c r="X3" s="190" t="str">
        <f ca="1">変更履歴!X3</f>
        <v>SU1300_請求書(屋外広告物専用)_帳票設計書</v>
      </c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87"/>
      <c r="AK3" s="190" t="str">
        <f ca="1">変更履歴!AK3</f>
        <v>請求書(屋外広告物専用)</v>
      </c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87"/>
      <c r="AX3" s="197">
        <f>変更履歴!AX3</f>
        <v>45581</v>
      </c>
      <c r="AY3" s="197"/>
      <c r="AZ3" s="197"/>
      <c r="BA3" s="197"/>
      <c r="BB3" s="186" t="str">
        <f>変更履歴!BB3</f>
        <v>大谷</v>
      </c>
      <c r="BC3" s="186"/>
      <c r="BD3" s="186"/>
      <c r="BE3" s="186"/>
      <c r="BF3" s="197">
        <f>変更履歴!BF3</f>
        <v>45581</v>
      </c>
      <c r="BG3" s="197"/>
      <c r="BH3" s="197"/>
      <c r="BI3" s="197"/>
      <c r="BJ3" s="186" t="str">
        <f>変更履歴!BJ3</f>
        <v>大谷</v>
      </c>
      <c r="BK3" s="186"/>
      <c r="BL3" s="186"/>
      <c r="BM3" s="198"/>
      <c r="BN3" s="15"/>
    </row>
    <row r="4" spans="1:85" ht="20.100000000000001" customHeight="1" thickBot="1" x14ac:dyDescent="0.5">
      <c r="A4" s="9"/>
      <c r="B4" s="187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06"/>
      <c r="AY4" s="206"/>
      <c r="AZ4" s="206"/>
      <c r="BA4" s="206"/>
      <c r="BB4" s="188"/>
      <c r="BC4" s="188"/>
      <c r="BD4" s="188"/>
      <c r="BE4" s="188"/>
      <c r="BF4" s="206"/>
      <c r="BG4" s="206"/>
      <c r="BH4" s="206"/>
      <c r="BI4" s="206"/>
      <c r="BJ4" s="188"/>
      <c r="BK4" s="188"/>
      <c r="BL4" s="188"/>
      <c r="BM4" s="190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7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26" t="s">
        <v>20</v>
      </c>
      <c r="F10" s="227"/>
      <c r="G10" s="227"/>
      <c r="H10" s="227"/>
      <c r="I10" s="227"/>
      <c r="J10" s="227"/>
      <c r="K10" s="227"/>
      <c r="L10" s="228"/>
      <c r="M10" s="207" t="s">
        <v>24</v>
      </c>
      <c r="N10" s="208"/>
      <c r="O10" s="208"/>
      <c r="P10" s="207" t="s">
        <v>33</v>
      </c>
      <c r="Q10" s="208"/>
      <c r="R10" s="208"/>
      <c r="S10" s="207" t="s">
        <v>34</v>
      </c>
      <c r="T10" s="208"/>
      <c r="U10" s="208"/>
      <c r="V10" s="207" t="s">
        <v>36</v>
      </c>
      <c r="W10" s="208"/>
      <c r="X10" s="208"/>
      <c r="Y10" s="208"/>
      <c r="Z10" s="208"/>
      <c r="AA10" s="209"/>
      <c r="AB10" s="207" t="s">
        <v>35</v>
      </c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9"/>
      <c r="AR10" s="207" t="s">
        <v>42</v>
      </c>
      <c r="AS10" s="208"/>
      <c r="AT10" s="208"/>
      <c r="AU10" s="208"/>
      <c r="AV10" s="208"/>
      <c r="AW10" s="209"/>
      <c r="AX10" s="207" t="s">
        <v>43</v>
      </c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8"/>
      <c r="BM10" s="208"/>
      <c r="BN10" s="208"/>
      <c r="BO10" s="208"/>
      <c r="BP10" s="208"/>
      <c r="BQ10" s="208"/>
      <c r="BR10" s="208"/>
      <c r="BS10" s="208"/>
      <c r="BT10" s="217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23" t="s">
        <v>88</v>
      </c>
      <c r="F11" s="224"/>
      <c r="G11" s="224"/>
      <c r="H11" s="224"/>
      <c r="I11" s="224"/>
      <c r="J11" s="224"/>
      <c r="K11" s="224"/>
      <c r="L11" s="225"/>
      <c r="M11" s="205" t="s">
        <v>47</v>
      </c>
      <c r="N11" s="200"/>
      <c r="O11" s="200"/>
      <c r="P11" s="205" t="s">
        <v>89</v>
      </c>
      <c r="Q11" s="200"/>
      <c r="R11" s="200"/>
      <c r="S11" s="205">
        <v>46</v>
      </c>
      <c r="T11" s="200"/>
      <c r="U11" s="200"/>
      <c r="V11" s="213" t="s">
        <v>547</v>
      </c>
      <c r="W11" s="214"/>
      <c r="X11" s="214"/>
      <c r="Y11" s="214"/>
      <c r="Z11" s="214"/>
      <c r="AA11" s="222"/>
      <c r="AB11" s="210" t="s">
        <v>548</v>
      </c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2"/>
      <c r="AR11" s="205"/>
      <c r="AS11" s="200"/>
      <c r="AT11" s="200"/>
      <c r="AU11" s="200"/>
      <c r="AV11" s="200"/>
      <c r="AW11" s="201"/>
      <c r="AX11" s="213"/>
      <c r="AY11" s="214"/>
      <c r="AZ11" s="214"/>
      <c r="BA11" s="214"/>
      <c r="BB11" s="214"/>
      <c r="BC11" s="214"/>
      <c r="BD11" s="214"/>
      <c r="BE11" s="214"/>
      <c r="BF11" s="214"/>
      <c r="BG11" s="214"/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14"/>
      <c r="BS11" s="214"/>
      <c r="BT11" s="215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23" t="s">
        <v>90</v>
      </c>
      <c r="F12" s="224"/>
      <c r="G12" s="224"/>
      <c r="H12" s="224"/>
      <c r="I12" s="224"/>
      <c r="J12" s="224"/>
      <c r="K12" s="224"/>
      <c r="L12" s="225"/>
      <c r="M12" s="205" t="s">
        <v>8</v>
      </c>
      <c r="N12" s="200"/>
      <c r="O12" s="200"/>
      <c r="P12" s="205" t="s">
        <v>89</v>
      </c>
      <c r="Q12" s="200"/>
      <c r="R12" s="200"/>
      <c r="S12" s="205">
        <v>8</v>
      </c>
      <c r="T12" s="200"/>
      <c r="U12" s="200"/>
      <c r="V12" s="210" t="s">
        <v>549</v>
      </c>
      <c r="W12" s="211"/>
      <c r="X12" s="211"/>
      <c r="Y12" s="211"/>
      <c r="Z12" s="211"/>
      <c r="AA12" s="212"/>
      <c r="AB12" s="210"/>
      <c r="AC12" s="211"/>
      <c r="AD12" s="211"/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2"/>
      <c r="AR12" s="205" t="s">
        <v>550</v>
      </c>
      <c r="AS12" s="200"/>
      <c r="AT12" s="200"/>
      <c r="AU12" s="200"/>
      <c r="AV12" s="200"/>
      <c r="AW12" s="201"/>
      <c r="AX12" s="213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5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23" t="s">
        <v>91</v>
      </c>
      <c r="F13" s="224"/>
      <c r="G13" s="224"/>
      <c r="H13" s="224"/>
      <c r="I13" s="224"/>
      <c r="J13" s="224"/>
      <c r="K13" s="224"/>
      <c r="L13" s="225"/>
      <c r="M13" s="205" t="s">
        <v>38</v>
      </c>
      <c r="N13" s="200"/>
      <c r="O13" s="200"/>
      <c r="P13" s="205" t="s">
        <v>92</v>
      </c>
      <c r="Q13" s="200"/>
      <c r="R13" s="200"/>
      <c r="S13" s="198">
        <v>16</v>
      </c>
      <c r="T13" s="221"/>
      <c r="U13" s="221"/>
      <c r="V13" s="210" t="s">
        <v>551</v>
      </c>
      <c r="W13" s="211"/>
      <c r="X13" s="211"/>
      <c r="Y13" s="211"/>
      <c r="Z13" s="211"/>
      <c r="AA13" s="212"/>
      <c r="AB13" s="210" t="s">
        <v>552</v>
      </c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2"/>
      <c r="AR13" s="205"/>
      <c r="AS13" s="200"/>
      <c r="AT13" s="200"/>
      <c r="AU13" s="200"/>
      <c r="AV13" s="200"/>
      <c r="AW13" s="201"/>
      <c r="AX13" s="213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5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23" t="s">
        <v>93</v>
      </c>
      <c r="F14" s="224"/>
      <c r="G14" s="224"/>
      <c r="H14" s="224"/>
      <c r="I14" s="224"/>
      <c r="J14" s="224"/>
      <c r="K14" s="224"/>
      <c r="L14" s="225"/>
      <c r="M14" s="205" t="s">
        <v>38</v>
      </c>
      <c r="N14" s="200"/>
      <c r="O14" s="200"/>
      <c r="P14" s="205" t="s">
        <v>92</v>
      </c>
      <c r="Q14" s="200"/>
      <c r="R14" s="200"/>
      <c r="S14" s="198" t="s">
        <v>94</v>
      </c>
      <c r="T14" s="221"/>
      <c r="U14" s="221"/>
      <c r="V14" s="210" t="s">
        <v>95</v>
      </c>
      <c r="W14" s="211"/>
      <c r="X14" s="211"/>
      <c r="Y14" s="211"/>
      <c r="Z14" s="211"/>
      <c r="AA14" s="212"/>
      <c r="AB14" s="210" t="s">
        <v>553</v>
      </c>
      <c r="AC14" s="211"/>
      <c r="AD14" s="211"/>
      <c r="AE14" s="211"/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2"/>
      <c r="AR14" s="205"/>
      <c r="AS14" s="200"/>
      <c r="AT14" s="200"/>
      <c r="AU14" s="200"/>
      <c r="AV14" s="200"/>
      <c r="AW14" s="201"/>
      <c r="AX14" s="213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5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23" t="s">
        <v>96</v>
      </c>
      <c r="F15" s="224"/>
      <c r="G15" s="224"/>
      <c r="H15" s="224"/>
      <c r="I15" s="224"/>
      <c r="J15" s="224"/>
      <c r="K15" s="224"/>
      <c r="L15" s="225"/>
      <c r="M15" s="205" t="s">
        <v>47</v>
      </c>
      <c r="N15" s="200"/>
      <c r="O15" s="200"/>
      <c r="P15" s="205" t="s">
        <v>89</v>
      </c>
      <c r="Q15" s="200"/>
      <c r="R15" s="200"/>
      <c r="S15" s="205">
        <v>14</v>
      </c>
      <c r="T15" s="200"/>
      <c r="U15" s="200"/>
      <c r="V15" s="210" t="s">
        <v>554</v>
      </c>
      <c r="W15" s="211"/>
      <c r="X15" s="211"/>
      <c r="Y15" s="211"/>
      <c r="Z15" s="211"/>
      <c r="AA15" s="212"/>
      <c r="AB15" s="210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2"/>
      <c r="AR15" s="205" t="s">
        <v>97</v>
      </c>
      <c r="AS15" s="200"/>
      <c r="AT15" s="200"/>
      <c r="AU15" s="200"/>
      <c r="AV15" s="200"/>
      <c r="AW15" s="201"/>
      <c r="AX15" s="213"/>
      <c r="AY15" s="214"/>
      <c r="AZ15" s="214"/>
      <c r="BA15" s="214"/>
      <c r="BB15" s="214"/>
      <c r="BC15" s="214"/>
      <c r="BD15" s="214"/>
      <c r="BE15" s="214"/>
      <c r="BF15" s="214"/>
      <c r="BG15" s="214"/>
      <c r="BH15" s="214"/>
      <c r="BI15" s="214"/>
      <c r="BJ15" s="214"/>
      <c r="BK15" s="214"/>
      <c r="BL15" s="214"/>
      <c r="BM15" s="214"/>
      <c r="BN15" s="214"/>
      <c r="BO15" s="214"/>
      <c r="BP15" s="214"/>
      <c r="BQ15" s="214"/>
      <c r="BR15" s="214"/>
      <c r="BS15" s="214"/>
      <c r="BT15" s="215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23" t="s">
        <v>98</v>
      </c>
      <c r="F16" s="224"/>
      <c r="G16" s="224"/>
      <c r="H16" s="224"/>
      <c r="I16" s="224"/>
      <c r="J16" s="224"/>
      <c r="K16" s="224"/>
      <c r="L16" s="225"/>
      <c r="M16" s="205"/>
      <c r="N16" s="200"/>
      <c r="O16" s="200"/>
      <c r="P16" s="205"/>
      <c r="Q16" s="200"/>
      <c r="R16" s="200"/>
      <c r="S16" s="205"/>
      <c r="T16" s="200"/>
      <c r="U16" s="200"/>
      <c r="V16" s="210"/>
      <c r="W16" s="211"/>
      <c r="X16" s="211"/>
      <c r="Y16" s="211"/>
      <c r="Z16" s="211"/>
      <c r="AA16" s="212"/>
      <c r="AB16" s="210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2"/>
      <c r="AR16" s="205"/>
      <c r="AS16" s="200"/>
      <c r="AT16" s="200"/>
      <c r="AU16" s="200"/>
      <c r="AV16" s="200"/>
      <c r="AW16" s="201"/>
      <c r="AX16" s="213"/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5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23" t="s">
        <v>99</v>
      </c>
      <c r="F17" s="224"/>
      <c r="G17" s="224"/>
      <c r="H17" s="224"/>
      <c r="I17" s="224"/>
      <c r="J17" s="224"/>
      <c r="K17" s="224"/>
      <c r="L17" s="225"/>
      <c r="M17" s="205" t="s">
        <v>38</v>
      </c>
      <c r="N17" s="200"/>
      <c r="O17" s="200"/>
      <c r="P17" s="205" t="s">
        <v>92</v>
      </c>
      <c r="Q17" s="200"/>
      <c r="R17" s="200"/>
      <c r="S17" s="205">
        <v>10</v>
      </c>
      <c r="T17" s="200"/>
      <c r="U17" s="200"/>
      <c r="V17" s="210" t="s">
        <v>555</v>
      </c>
      <c r="W17" s="211"/>
      <c r="X17" s="211"/>
      <c r="Y17" s="211"/>
      <c r="Z17" s="211"/>
      <c r="AA17" s="212"/>
      <c r="AB17" s="216" t="s">
        <v>556</v>
      </c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2"/>
      <c r="AR17" s="205"/>
      <c r="AS17" s="200"/>
      <c r="AT17" s="200"/>
      <c r="AU17" s="200"/>
      <c r="AV17" s="200"/>
      <c r="AW17" s="201"/>
      <c r="AX17" s="213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5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23" t="s">
        <v>100</v>
      </c>
      <c r="F18" s="224"/>
      <c r="G18" s="224"/>
      <c r="H18" s="224"/>
      <c r="I18" s="224"/>
      <c r="J18" s="224"/>
      <c r="K18" s="224"/>
      <c r="L18" s="225"/>
      <c r="M18" s="205" t="s">
        <v>47</v>
      </c>
      <c r="N18" s="200"/>
      <c r="O18" s="200"/>
      <c r="P18" s="205" t="s">
        <v>89</v>
      </c>
      <c r="Q18" s="200"/>
      <c r="R18" s="200"/>
      <c r="S18" s="205">
        <v>14</v>
      </c>
      <c r="T18" s="200"/>
      <c r="U18" s="200"/>
      <c r="V18" s="210" t="s">
        <v>557</v>
      </c>
      <c r="W18" s="211"/>
      <c r="X18" s="211"/>
      <c r="Y18" s="211"/>
      <c r="Z18" s="211"/>
      <c r="AA18" s="212"/>
      <c r="AB18" s="210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1"/>
      <c r="AN18" s="211"/>
      <c r="AO18" s="211"/>
      <c r="AP18" s="211"/>
      <c r="AQ18" s="212"/>
      <c r="AR18" s="205" t="s">
        <v>97</v>
      </c>
      <c r="AS18" s="200"/>
      <c r="AT18" s="200"/>
      <c r="AU18" s="200"/>
      <c r="AV18" s="200"/>
      <c r="AW18" s="201"/>
      <c r="AX18" s="213"/>
      <c r="AY18" s="214"/>
      <c r="AZ18" s="214"/>
      <c r="BA18" s="214"/>
      <c r="BB18" s="214"/>
      <c r="BC18" s="214"/>
      <c r="BD18" s="214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214"/>
      <c r="BQ18" s="214"/>
      <c r="BR18" s="214"/>
      <c r="BS18" s="214"/>
      <c r="BT18" s="215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23" t="s">
        <v>101</v>
      </c>
      <c r="F19" s="224"/>
      <c r="G19" s="224"/>
      <c r="H19" s="224"/>
      <c r="I19" s="224"/>
      <c r="J19" s="224"/>
      <c r="K19" s="224"/>
      <c r="L19" s="225"/>
      <c r="M19" s="205" t="s">
        <v>47</v>
      </c>
      <c r="N19" s="200"/>
      <c r="O19" s="200"/>
      <c r="P19" s="205" t="s">
        <v>89</v>
      </c>
      <c r="Q19" s="200"/>
      <c r="R19" s="200"/>
      <c r="S19" s="205">
        <v>14</v>
      </c>
      <c r="T19" s="200"/>
      <c r="U19" s="200"/>
      <c r="V19" s="210" t="s">
        <v>558</v>
      </c>
      <c r="W19" s="211"/>
      <c r="X19" s="211"/>
      <c r="Y19" s="211"/>
      <c r="Z19" s="211"/>
      <c r="AA19" s="212"/>
      <c r="AB19" s="210" t="s">
        <v>559</v>
      </c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2"/>
      <c r="AR19" s="205" t="s">
        <v>97</v>
      </c>
      <c r="AS19" s="200"/>
      <c r="AT19" s="200"/>
      <c r="AU19" s="200"/>
      <c r="AV19" s="200"/>
      <c r="AW19" s="201"/>
      <c r="AX19" s="213"/>
      <c r="AY19" s="214"/>
      <c r="AZ19" s="214"/>
      <c r="BA19" s="214"/>
      <c r="BB19" s="214"/>
      <c r="BC19" s="214"/>
      <c r="BD19" s="214"/>
      <c r="BE19" s="214"/>
      <c r="BF19" s="214"/>
      <c r="BG19" s="214"/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  <c r="BT19" s="215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23" t="s">
        <v>102</v>
      </c>
      <c r="F20" s="224"/>
      <c r="G20" s="224"/>
      <c r="H20" s="224"/>
      <c r="I20" s="224"/>
      <c r="J20" s="224"/>
      <c r="K20" s="224"/>
      <c r="L20" s="225"/>
      <c r="M20" s="205" t="s">
        <v>38</v>
      </c>
      <c r="N20" s="200"/>
      <c r="O20" s="200"/>
      <c r="P20" s="205" t="s">
        <v>92</v>
      </c>
      <c r="Q20" s="200"/>
      <c r="R20" s="200"/>
      <c r="S20" s="198" t="s">
        <v>94</v>
      </c>
      <c r="T20" s="221"/>
      <c r="U20" s="221"/>
      <c r="V20" s="210" t="s">
        <v>560</v>
      </c>
      <c r="W20" s="211"/>
      <c r="X20" s="211"/>
      <c r="Y20" s="211"/>
      <c r="Z20" s="211"/>
      <c r="AA20" s="212"/>
      <c r="AB20" s="210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2"/>
      <c r="AR20" s="205"/>
      <c r="AS20" s="200"/>
      <c r="AT20" s="200"/>
      <c r="AU20" s="200"/>
      <c r="AV20" s="200"/>
      <c r="AW20" s="201"/>
      <c r="AX20" s="213"/>
      <c r="AY20" s="214"/>
      <c r="AZ20" s="214"/>
      <c r="BA20" s="214"/>
      <c r="BB20" s="214"/>
      <c r="BC20" s="214"/>
      <c r="BD20" s="214"/>
      <c r="BE20" s="214"/>
      <c r="BF20" s="214"/>
      <c r="BG20" s="214"/>
      <c r="BH20" s="214"/>
      <c r="BI20" s="214"/>
      <c r="BJ20" s="214"/>
      <c r="BK20" s="214"/>
      <c r="BL20" s="214"/>
      <c r="BM20" s="214"/>
      <c r="BN20" s="214"/>
      <c r="BO20" s="214"/>
      <c r="BP20" s="214"/>
      <c r="BQ20" s="214"/>
      <c r="BR20" s="214"/>
      <c r="BS20" s="214"/>
      <c r="BT20" s="215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23" t="s">
        <v>103</v>
      </c>
      <c r="F21" s="224"/>
      <c r="G21" s="224"/>
      <c r="H21" s="224"/>
      <c r="I21" s="224"/>
      <c r="J21" s="224"/>
      <c r="K21" s="224"/>
      <c r="L21" s="225"/>
      <c r="M21" s="205" t="s">
        <v>38</v>
      </c>
      <c r="N21" s="200"/>
      <c r="O21" s="200"/>
      <c r="P21" s="205" t="s">
        <v>92</v>
      </c>
      <c r="Q21" s="200"/>
      <c r="R21" s="200"/>
      <c r="S21" s="198" t="s">
        <v>94</v>
      </c>
      <c r="T21" s="221"/>
      <c r="U21" s="221"/>
      <c r="V21" s="210" t="s">
        <v>561</v>
      </c>
      <c r="W21" s="211"/>
      <c r="X21" s="211"/>
      <c r="Y21" s="211"/>
      <c r="Z21" s="211"/>
      <c r="AA21" s="212"/>
      <c r="AB21" s="216" t="s">
        <v>562</v>
      </c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2"/>
      <c r="AR21" s="205" t="s">
        <v>550</v>
      </c>
      <c r="AS21" s="200"/>
      <c r="AT21" s="200"/>
      <c r="AU21" s="200"/>
      <c r="AV21" s="200"/>
      <c r="AW21" s="201"/>
      <c r="AX21" s="213"/>
      <c r="AY21" s="214"/>
      <c r="AZ21" s="214"/>
      <c r="BA21" s="214"/>
      <c r="BB21" s="214"/>
      <c r="BC21" s="214"/>
      <c r="BD21" s="214"/>
      <c r="BE21" s="214"/>
      <c r="BF21" s="214"/>
      <c r="BG21" s="214"/>
      <c r="BH21" s="214"/>
      <c r="BI21" s="214"/>
      <c r="BJ21" s="214"/>
      <c r="BK21" s="214"/>
      <c r="BL21" s="214"/>
      <c r="BM21" s="214"/>
      <c r="BN21" s="214"/>
      <c r="BO21" s="214"/>
      <c r="BP21" s="214"/>
      <c r="BQ21" s="214"/>
      <c r="BR21" s="214"/>
      <c r="BS21" s="214"/>
      <c r="BT21" s="215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23" t="s">
        <v>104</v>
      </c>
      <c r="F22" s="224"/>
      <c r="G22" s="224"/>
      <c r="H22" s="224"/>
      <c r="I22" s="224"/>
      <c r="J22" s="224"/>
      <c r="K22" s="224"/>
      <c r="L22" s="225"/>
      <c r="M22" s="205" t="s">
        <v>38</v>
      </c>
      <c r="N22" s="200"/>
      <c r="O22" s="200"/>
      <c r="P22" s="205" t="s">
        <v>92</v>
      </c>
      <c r="Q22" s="200"/>
      <c r="R22" s="200"/>
      <c r="S22" s="198" t="s">
        <v>94</v>
      </c>
      <c r="T22" s="221"/>
      <c r="U22" s="221"/>
      <c r="V22" s="210" t="s">
        <v>563</v>
      </c>
      <c r="W22" s="211"/>
      <c r="X22" s="211"/>
      <c r="Y22" s="211"/>
      <c r="Z22" s="211"/>
      <c r="AA22" s="212"/>
      <c r="AB22" s="210" t="s">
        <v>564</v>
      </c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2"/>
      <c r="AR22" s="205"/>
      <c r="AS22" s="200"/>
      <c r="AT22" s="200"/>
      <c r="AU22" s="200"/>
      <c r="AV22" s="200"/>
      <c r="AW22" s="201"/>
      <c r="AX22" s="213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4"/>
      <c r="BK22" s="214"/>
      <c r="BL22" s="214"/>
      <c r="BM22" s="214"/>
      <c r="BN22" s="214"/>
      <c r="BO22" s="214"/>
      <c r="BP22" s="214"/>
      <c r="BQ22" s="214"/>
      <c r="BR22" s="214"/>
      <c r="BS22" s="214"/>
      <c r="BT22" s="215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23" t="s">
        <v>131</v>
      </c>
      <c r="F23" s="224"/>
      <c r="G23" s="224"/>
      <c r="H23" s="224"/>
      <c r="I23" s="224"/>
      <c r="J23" s="224"/>
      <c r="K23" s="224"/>
      <c r="L23" s="225"/>
      <c r="M23" s="205" t="s">
        <v>38</v>
      </c>
      <c r="N23" s="200"/>
      <c r="O23" s="200"/>
      <c r="P23" s="205" t="s">
        <v>89</v>
      </c>
      <c r="Q23" s="200"/>
      <c r="R23" s="200"/>
      <c r="S23" s="198">
        <v>11</v>
      </c>
      <c r="T23" s="221"/>
      <c r="U23" s="221"/>
      <c r="V23" s="210" t="s">
        <v>565</v>
      </c>
      <c r="W23" s="211"/>
      <c r="X23" s="211"/>
      <c r="Y23" s="211"/>
      <c r="Z23" s="211"/>
      <c r="AA23" s="212"/>
      <c r="AB23" s="210" t="s">
        <v>566</v>
      </c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2"/>
      <c r="AR23" s="205"/>
      <c r="AS23" s="200"/>
      <c r="AT23" s="200"/>
      <c r="AU23" s="200"/>
      <c r="AV23" s="200"/>
      <c r="AW23" s="201"/>
      <c r="AX23" s="213"/>
      <c r="AY23" s="214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14"/>
      <c r="BK23" s="214"/>
      <c r="BL23" s="214"/>
      <c r="BM23" s="214"/>
      <c r="BN23" s="214"/>
      <c r="BO23" s="214"/>
      <c r="BP23" s="214"/>
      <c r="BQ23" s="214"/>
      <c r="BR23" s="214"/>
      <c r="BS23" s="214"/>
      <c r="BT23" s="215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23" t="s">
        <v>105</v>
      </c>
      <c r="F24" s="224"/>
      <c r="G24" s="224"/>
      <c r="H24" s="224"/>
      <c r="I24" s="224"/>
      <c r="J24" s="224"/>
      <c r="K24" s="224"/>
      <c r="L24" s="225"/>
      <c r="M24" s="205" t="s">
        <v>38</v>
      </c>
      <c r="N24" s="200"/>
      <c r="O24" s="200"/>
      <c r="P24" s="205" t="s">
        <v>92</v>
      </c>
      <c r="Q24" s="200"/>
      <c r="R24" s="200"/>
      <c r="S24" s="198" t="s">
        <v>94</v>
      </c>
      <c r="T24" s="221"/>
      <c r="U24" s="221"/>
      <c r="V24" s="210" t="s">
        <v>567</v>
      </c>
      <c r="W24" s="211"/>
      <c r="X24" s="211"/>
      <c r="Y24" s="211"/>
      <c r="Z24" s="211"/>
      <c r="AA24" s="212"/>
      <c r="AB24" s="210" t="s">
        <v>568</v>
      </c>
      <c r="AC24" s="211"/>
      <c r="AD24" s="211"/>
      <c r="AE24" s="211"/>
      <c r="AF24" s="211"/>
      <c r="AG24" s="211"/>
      <c r="AH24" s="211"/>
      <c r="AI24" s="211"/>
      <c r="AJ24" s="211"/>
      <c r="AK24" s="211"/>
      <c r="AL24" s="211"/>
      <c r="AM24" s="211"/>
      <c r="AN24" s="211"/>
      <c r="AO24" s="211"/>
      <c r="AP24" s="211"/>
      <c r="AQ24" s="212"/>
      <c r="AR24" s="205"/>
      <c r="AS24" s="200"/>
      <c r="AT24" s="200"/>
      <c r="AU24" s="200"/>
      <c r="AV24" s="200"/>
      <c r="AW24" s="201"/>
      <c r="AX24" s="213"/>
      <c r="AY24" s="214"/>
      <c r="AZ24" s="214"/>
      <c r="BA24" s="214"/>
      <c r="BB24" s="214"/>
      <c r="BC24" s="214"/>
      <c r="BD24" s="214"/>
      <c r="BE24" s="214"/>
      <c r="BF24" s="214"/>
      <c r="BG24" s="214"/>
      <c r="BH24" s="214"/>
      <c r="BI24" s="214"/>
      <c r="BJ24" s="214"/>
      <c r="BK24" s="214"/>
      <c r="BL24" s="214"/>
      <c r="BM24" s="214"/>
      <c r="BN24" s="214"/>
      <c r="BO24" s="214"/>
      <c r="BP24" s="214"/>
      <c r="BQ24" s="214"/>
      <c r="BR24" s="214"/>
      <c r="BS24" s="214"/>
      <c r="BT24" s="215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23" t="s">
        <v>43</v>
      </c>
      <c r="F25" s="224"/>
      <c r="G25" s="224"/>
      <c r="H25" s="224"/>
      <c r="I25" s="224"/>
      <c r="J25" s="224"/>
      <c r="K25" s="224"/>
      <c r="L25" s="225"/>
      <c r="M25" s="205" t="s">
        <v>38</v>
      </c>
      <c r="N25" s="200"/>
      <c r="O25" s="200"/>
      <c r="P25" s="205" t="s">
        <v>92</v>
      </c>
      <c r="Q25" s="200"/>
      <c r="R25" s="200"/>
      <c r="S25" s="198" t="s">
        <v>94</v>
      </c>
      <c r="T25" s="221"/>
      <c r="U25" s="221"/>
      <c r="V25" s="210" t="s">
        <v>569</v>
      </c>
      <c r="W25" s="211"/>
      <c r="X25" s="211"/>
      <c r="Y25" s="211"/>
      <c r="Z25" s="211"/>
      <c r="AA25" s="212"/>
      <c r="AB25" s="210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2"/>
      <c r="AR25" s="205"/>
      <c r="AS25" s="200"/>
      <c r="AT25" s="200"/>
      <c r="AU25" s="200"/>
      <c r="AV25" s="200"/>
      <c r="AW25" s="201"/>
      <c r="AX25" s="213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  <c r="BT25" s="215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23" t="s">
        <v>106</v>
      </c>
      <c r="F26" s="224"/>
      <c r="G26" s="224"/>
      <c r="H26" s="224"/>
      <c r="I26" s="224"/>
      <c r="J26" s="224"/>
      <c r="K26" s="224"/>
      <c r="L26" s="225"/>
      <c r="M26" s="205" t="s">
        <v>38</v>
      </c>
      <c r="N26" s="200"/>
      <c r="O26" s="200"/>
      <c r="P26" s="205" t="s">
        <v>92</v>
      </c>
      <c r="Q26" s="200"/>
      <c r="R26" s="200"/>
      <c r="S26" s="205">
        <v>9</v>
      </c>
      <c r="T26" s="200"/>
      <c r="U26" s="200"/>
      <c r="V26" s="210" t="s">
        <v>570</v>
      </c>
      <c r="W26" s="211"/>
      <c r="X26" s="211"/>
      <c r="Y26" s="211"/>
      <c r="Z26" s="211"/>
      <c r="AA26" s="212"/>
      <c r="AB26" s="210" t="s">
        <v>571</v>
      </c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2"/>
      <c r="AR26" s="205"/>
      <c r="AS26" s="200"/>
      <c r="AT26" s="200"/>
      <c r="AU26" s="200"/>
      <c r="AV26" s="200"/>
      <c r="AW26" s="201"/>
      <c r="AX26" s="213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4"/>
      <c r="BK26" s="214"/>
      <c r="BL26" s="214"/>
      <c r="BM26" s="214"/>
      <c r="BN26" s="214"/>
      <c r="BO26" s="214"/>
      <c r="BP26" s="214"/>
      <c r="BQ26" s="214"/>
      <c r="BR26" s="214"/>
      <c r="BS26" s="214"/>
      <c r="BT26" s="215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23" t="s">
        <v>132</v>
      </c>
      <c r="F27" s="224"/>
      <c r="G27" s="224"/>
      <c r="H27" s="224"/>
      <c r="I27" s="224"/>
      <c r="J27" s="224"/>
      <c r="K27" s="224"/>
      <c r="L27" s="225"/>
      <c r="M27" s="205" t="s">
        <v>47</v>
      </c>
      <c r="N27" s="200"/>
      <c r="O27" s="200"/>
      <c r="P27" s="205" t="s">
        <v>89</v>
      </c>
      <c r="Q27" s="200"/>
      <c r="R27" s="200"/>
      <c r="S27" s="205">
        <v>22</v>
      </c>
      <c r="T27" s="200"/>
      <c r="U27" s="200"/>
      <c r="V27" s="210" t="s">
        <v>570</v>
      </c>
      <c r="W27" s="211"/>
      <c r="X27" s="211"/>
      <c r="Y27" s="211"/>
      <c r="Z27" s="211"/>
      <c r="AA27" s="212"/>
      <c r="AB27" s="210" t="s">
        <v>572</v>
      </c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2"/>
      <c r="AR27" s="205" t="s">
        <v>133</v>
      </c>
      <c r="AS27" s="200"/>
      <c r="AT27" s="200"/>
      <c r="AU27" s="200"/>
      <c r="AV27" s="200"/>
      <c r="AW27" s="201"/>
      <c r="AX27" s="213"/>
      <c r="AY27" s="214"/>
      <c r="AZ27" s="214"/>
      <c r="BA27" s="214"/>
      <c r="BB27" s="214"/>
      <c r="BC27" s="214"/>
      <c r="BD27" s="214"/>
      <c r="BE27" s="214"/>
      <c r="BF27" s="214"/>
      <c r="BG27" s="214"/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5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23" t="s">
        <v>107</v>
      </c>
      <c r="F28" s="224"/>
      <c r="G28" s="224"/>
      <c r="H28" s="224"/>
      <c r="I28" s="224"/>
      <c r="J28" s="224"/>
      <c r="K28" s="224"/>
      <c r="L28" s="225"/>
      <c r="M28" s="205" t="s">
        <v>47</v>
      </c>
      <c r="N28" s="200"/>
      <c r="O28" s="200"/>
      <c r="P28" s="205" t="s">
        <v>92</v>
      </c>
      <c r="Q28" s="200"/>
      <c r="R28" s="200"/>
      <c r="S28" s="205">
        <v>9</v>
      </c>
      <c r="T28" s="200"/>
      <c r="U28" s="200"/>
      <c r="V28" s="210" t="s">
        <v>108</v>
      </c>
      <c r="W28" s="211"/>
      <c r="X28" s="211"/>
      <c r="Y28" s="211"/>
      <c r="Z28" s="211"/>
      <c r="AA28" s="212"/>
      <c r="AB28" s="210" t="s">
        <v>109</v>
      </c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2"/>
      <c r="AR28" s="205" t="s">
        <v>134</v>
      </c>
      <c r="AS28" s="200"/>
      <c r="AT28" s="200"/>
      <c r="AU28" s="200"/>
      <c r="AV28" s="200"/>
      <c r="AW28" s="201"/>
      <c r="AX28" s="213" t="s">
        <v>110</v>
      </c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4"/>
      <c r="BK28" s="214"/>
      <c r="BL28" s="214"/>
      <c r="BM28" s="214"/>
      <c r="BN28" s="214"/>
      <c r="BO28" s="214"/>
      <c r="BP28" s="214"/>
      <c r="BQ28" s="214"/>
      <c r="BR28" s="214"/>
      <c r="BS28" s="214"/>
      <c r="BT28" s="215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23" t="s">
        <v>111</v>
      </c>
      <c r="F29" s="224"/>
      <c r="G29" s="224"/>
      <c r="H29" s="224"/>
      <c r="I29" s="224"/>
      <c r="J29" s="224"/>
      <c r="K29" s="224"/>
      <c r="L29" s="225"/>
      <c r="M29" s="205" t="s">
        <v>47</v>
      </c>
      <c r="N29" s="200"/>
      <c r="O29" s="200"/>
      <c r="P29" s="205" t="s">
        <v>89</v>
      </c>
      <c r="Q29" s="200"/>
      <c r="R29" s="200"/>
      <c r="S29" s="205">
        <v>9</v>
      </c>
      <c r="T29" s="200"/>
      <c r="U29" s="200"/>
      <c r="V29" s="218" t="s">
        <v>573</v>
      </c>
      <c r="W29" s="219"/>
      <c r="X29" s="219"/>
      <c r="Y29" s="219"/>
      <c r="Z29" s="219"/>
      <c r="AA29" s="220"/>
      <c r="AB29" s="210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2"/>
      <c r="AR29" s="205"/>
      <c r="AS29" s="200"/>
      <c r="AT29" s="200"/>
      <c r="AU29" s="200"/>
      <c r="AV29" s="200"/>
      <c r="AW29" s="201"/>
      <c r="AX29" s="213"/>
      <c r="AY29" s="214"/>
      <c r="AZ29" s="214"/>
      <c r="BA29" s="214"/>
      <c r="BB29" s="214"/>
      <c r="BC29" s="214"/>
      <c r="BD29" s="214"/>
      <c r="BE29" s="214"/>
      <c r="BF29" s="214"/>
      <c r="BG29" s="214"/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5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223" t="s">
        <v>112</v>
      </c>
      <c r="F30" s="224"/>
      <c r="G30" s="224"/>
      <c r="H30" s="224"/>
      <c r="I30" s="224"/>
      <c r="J30" s="224"/>
      <c r="K30" s="224"/>
      <c r="L30" s="225"/>
      <c r="M30" s="205" t="s">
        <v>38</v>
      </c>
      <c r="N30" s="200"/>
      <c r="O30" s="200"/>
      <c r="P30" s="205" t="s">
        <v>92</v>
      </c>
      <c r="Q30" s="200"/>
      <c r="R30" s="200"/>
      <c r="S30" s="205">
        <v>22</v>
      </c>
      <c r="T30" s="200"/>
      <c r="U30" s="200"/>
      <c r="V30" s="218" t="s">
        <v>574</v>
      </c>
      <c r="W30" s="219"/>
      <c r="X30" s="219"/>
      <c r="Y30" s="219"/>
      <c r="Z30" s="219"/>
      <c r="AA30" s="220"/>
      <c r="AB30" s="210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2"/>
      <c r="AR30" s="205"/>
      <c r="AS30" s="200"/>
      <c r="AT30" s="200"/>
      <c r="AU30" s="200"/>
      <c r="AV30" s="200"/>
      <c r="AW30" s="201"/>
      <c r="AX30" s="213"/>
      <c r="AY30" s="214"/>
      <c r="AZ30" s="214"/>
      <c r="BA30" s="214"/>
      <c r="BB30" s="214"/>
      <c r="BC30" s="214"/>
      <c r="BD30" s="214"/>
      <c r="BE30" s="214"/>
      <c r="BF30" s="214"/>
      <c r="BG30" s="214"/>
      <c r="BH30" s="214"/>
      <c r="BI30" s="214"/>
      <c r="BJ30" s="214"/>
      <c r="BK30" s="214"/>
      <c r="BL30" s="214"/>
      <c r="BM30" s="214"/>
      <c r="BN30" s="214"/>
      <c r="BO30" s="214"/>
      <c r="BP30" s="214"/>
      <c r="BQ30" s="214"/>
      <c r="BR30" s="214"/>
      <c r="BS30" s="214"/>
      <c r="BT30" s="215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223" t="s">
        <v>113</v>
      </c>
      <c r="F31" s="224"/>
      <c r="G31" s="224"/>
      <c r="H31" s="224"/>
      <c r="I31" s="224"/>
      <c r="J31" s="224"/>
      <c r="K31" s="224"/>
      <c r="L31" s="225"/>
      <c r="M31" s="205" t="s">
        <v>47</v>
      </c>
      <c r="N31" s="200"/>
      <c r="O31" s="200"/>
      <c r="P31" s="205" t="s">
        <v>89</v>
      </c>
      <c r="Q31" s="200"/>
      <c r="R31" s="200"/>
      <c r="S31" s="205">
        <v>17</v>
      </c>
      <c r="T31" s="200"/>
      <c r="U31" s="200"/>
      <c r="V31" s="218" t="s">
        <v>575</v>
      </c>
      <c r="W31" s="219"/>
      <c r="X31" s="219"/>
      <c r="Y31" s="219"/>
      <c r="Z31" s="219"/>
      <c r="AA31" s="220"/>
      <c r="AB31" s="210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2"/>
      <c r="AR31" s="205"/>
      <c r="AS31" s="200"/>
      <c r="AT31" s="200"/>
      <c r="AU31" s="200"/>
      <c r="AV31" s="200"/>
      <c r="AW31" s="201"/>
      <c r="AX31" s="213"/>
      <c r="AY31" s="214"/>
      <c r="AZ31" s="214"/>
      <c r="BA31" s="214"/>
      <c r="BB31" s="214"/>
      <c r="BC31" s="214"/>
      <c r="BD31" s="214"/>
      <c r="BE31" s="214"/>
      <c r="BF31" s="214"/>
      <c r="BG31" s="214"/>
      <c r="BH31" s="214"/>
      <c r="BI31" s="214"/>
      <c r="BJ31" s="214"/>
      <c r="BK31" s="214"/>
      <c r="BL31" s="214"/>
      <c r="BM31" s="214"/>
      <c r="BN31" s="214"/>
      <c r="BO31" s="214"/>
      <c r="BP31" s="214"/>
      <c r="BQ31" s="214"/>
      <c r="BR31" s="214"/>
      <c r="BS31" s="214"/>
      <c r="BT31" s="215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s="5" customFormat="1" ht="20.100000000000001" customHeight="1" x14ac:dyDescent="0.45">
      <c r="A32" s="29"/>
      <c r="B32" s="35"/>
      <c r="C32" s="29"/>
      <c r="D32" s="37">
        <v>22</v>
      </c>
      <c r="E32" s="223" t="s">
        <v>114</v>
      </c>
      <c r="F32" s="224"/>
      <c r="G32" s="224"/>
      <c r="H32" s="224"/>
      <c r="I32" s="224"/>
      <c r="J32" s="224"/>
      <c r="K32" s="224"/>
      <c r="L32" s="225"/>
      <c r="M32" s="205" t="s">
        <v>47</v>
      </c>
      <c r="N32" s="200"/>
      <c r="O32" s="200"/>
      <c r="P32" s="205" t="s">
        <v>89</v>
      </c>
      <c r="Q32" s="200"/>
      <c r="R32" s="200"/>
      <c r="S32" s="205">
        <v>16</v>
      </c>
      <c r="T32" s="200"/>
      <c r="U32" s="200"/>
      <c r="V32" s="218" t="s">
        <v>576</v>
      </c>
      <c r="W32" s="219"/>
      <c r="X32" s="219"/>
      <c r="Y32" s="219"/>
      <c r="Z32" s="219"/>
      <c r="AA32" s="220"/>
      <c r="AB32" s="210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2"/>
      <c r="AR32" s="205"/>
      <c r="AS32" s="200"/>
      <c r="AT32" s="200"/>
      <c r="AU32" s="200"/>
      <c r="AV32" s="200"/>
      <c r="AW32" s="201"/>
      <c r="AX32" s="229"/>
      <c r="AY32" s="230"/>
      <c r="AZ32" s="230"/>
      <c r="BA32" s="230"/>
      <c r="BB32" s="230"/>
      <c r="BC32" s="230"/>
      <c r="BD32" s="230"/>
      <c r="BE32" s="230"/>
      <c r="BF32" s="230"/>
      <c r="BG32" s="230"/>
      <c r="BH32" s="230"/>
      <c r="BI32" s="230"/>
      <c r="BJ32" s="230"/>
      <c r="BK32" s="230"/>
      <c r="BL32" s="230"/>
      <c r="BM32" s="230"/>
      <c r="BN32" s="230"/>
      <c r="BO32" s="230"/>
      <c r="BP32" s="230"/>
      <c r="BQ32" s="230"/>
      <c r="BR32" s="230"/>
      <c r="BS32" s="230"/>
      <c r="BT32" s="231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s="5" customFormat="1" ht="20.100000000000001" customHeight="1" x14ac:dyDescent="0.45">
      <c r="A33" s="29"/>
      <c r="B33" s="35"/>
      <c r="C33" s="29"/>
      <c r="D33" s="37">
        <v>23</v>
      </c>
      <c r="E33" s="232" t="s">
        <v>115</v>
      </c>
      <c r="F33" s="233"/>
      <c r="G33" s="233"/>
      <c r="H33" s="233"/>
      <c r="I33" s="233"/>
      <c r="J33" s="233"/>
      <c r="K33" s="233"/>
      <c r="L33" s="234"/>
      <c r="M33" s="235" t="s">
        <v>38</v>
      </c>
      <c r="N33" s="236"/>
      <c r="O33" s="237"/>
      <c r="P33" s="205" t="s">
        <v>92</v>
      </c>
      <c r="Q33" s="200"/>
      <c r="R33" s="200"/>
      <c r="S33" s="205">
        <v>22</v>
      </c>
      <c r="T33" s="200"/>
      <c r="U33" s="200"/>
      <c r="V33" s="210" t="s">
        <v>118</v>
      </c>
      <c r="W33" s="211"/>
      <c r="X33" s="211"/>
      <c r="Y33" s="211"/>
      <c r="Z33" s="211"/>
      <c r="AA33" s="212"/>
      <c r="AB33" s="210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2"/>
      <c r="AR33" s="235"/>
      <c r="AS33" s="236"/>
      <c r="AT33" s="236"/>
      <c r="AU33" s="236"/>
      <c r="AV33" s="236"/>
      <c r="AW33" s="237"/>
      <c r="AX33" s="213"/>
      <c r="AY33" s="214"/>
      <c r="AZ33" s="214"/>
      <c r="BA33" s="214"/>
      <c r="BB33" s="214"/>
      <c r="BC33" s="214"/>
      <c r="BD33" s="214"/>
      <c r="BE33" s="214"/>
      <c r="BF33" s="214"/>
      <c r="BG33" s="214"/>
      <c r="BH33" s="214"/>
      <c r="BI33" s="214"/>
      <c r="BJ33" s="214"/>
      <c r="BK33" s="214"/>
      <c r="BL33" s="214"/>
      <c r="BM33" s="214"/>
      <c r="BN33" s="214"/>
      <c r="BO33" s="214"/>
      <c r="BP33" s="214"/>
      <c r="BQ33" s="214"/>
      <c r="BR33" s="214"/>
      <c r="BS33" s="214"/>
      <c r="BT33" s="215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s="5" customFormat="1" ht="20.100000000000001" customHeight="1" x14ac:dyDescent="0.45">
      <c r="A34" s="29"/>
      <c r="B34" s="35"/>
      <c r="C34" s="29"/>
      <c r="D34" s="37">
        <v>24</v>
      </c>
      <c r="E34" s="232" t="s">
        <v>116</v>
      </c>
      <c r="F34" s="233"/>
      <c r="G34" s="233"/>
      <c r="H34" s="233"/>
      <c r="I34" s="233"/>
      <c r="J34" s="233"/>
      <c r="K34" s="233"/>
      <c r="L34" s="234"/>
      <c r="M34" s="235" t="s">
        <v>38</v>
      </c>
      <c r="N34" s="236"/>
      <c r="O34" s="237"/>
      <c r="P34" s="205" t="s">
        <v>92</v>
      </c>
      <c r="Q34" s="200"/>
      <c r="R34" s="200"/>
      <c r="S34" s="235">
        <v>22</v>
      </c>
      <c r="T34" s="236"/>
      <c r="U34" s="236"/>
      <c r="V34" s="238" t="s">
        <v>577</v>
      </c>
      <c r="W34" s="239"/>
      <c r="X34" s="239"/>
      <c r="Y34" s="239"/>
      <c r="Z34" s="239"/>
      <c r="AA34" s="240"/>
      <c r="AB34" s="241" t="s">
        <v>578</v>
      </c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40"/>
      <c r="AR34" s="235" t="s">
        <v>117</v>
      </c>
      <c r="AS34" s="236"/>
      <c r="AT34" s="236"/>
      <c r="AU34" s="236"/>
      <c r="AV34" s="236"/>
      <c r="AW34" s="237"/>
      <c r="AX34" s="213"/>
      <c r="AY34" s="214"/>
      <c r="AZ34" s="214"/>
      <c r="BA34" s="214"/>
      <c r="BB34" s="214"/>
      <c r="BC34" s="214"/>
      <c r="BD34" s="214"/>
      <c r="BE34" s="214"/>
      <c r="BF34" s="214"/>
      <c r="BG34" s="214"/>
      <c r="BH34" s="214"/>
      <c r="BI34" s="214"/>
      <c r="BJ34" s="214"/>
      <c r="BK34" s="214"/>
      <c r="BL34" s="214"/>
      <c r="BM34" s="214"/>
      <c r="BN34" s="214"/>
      <c r="BO34" s="214"/>
      <c r="BP34" s="214"/>
      <c r="BQ34" s="214"/>
      <c r="BR34" s="214"/>
      <c r="BS34" s="214"/>
      <c r="BT34" s="215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s="5" customFormat="1" ht="20.100000000000001" customHeight="1" x14ac:dyDescent="0.45">
      <c r="A35" s="29"/>
      <c r="B35" s="35"/>
      <c r="C35" s="29"/>
      <c r="D35" s="37">
        <v>25</v>
      </c>
      <c r="E35" s="223" t="s">
        <v>135</v>
      </c>
      <c r="F35" s="224"/>
      <c r="G35" s="224"/>
      <c r="H35" s="224"/>
      <c r="I35" s="224"/>
      <c r="J35" s="224"/>
      <c r="K35" s="224"/>
      <c r="L35" s="225"/>
      <c r="M35" s="205" t="s">
        <v>38</v>
      </c>
      <c r="N35" s="200"/>
      <c r="O35" s="200"/>
      <c r="P35" s="205" t="s">
        <v>89</v>
      </c>
      <c r="Q35" s="200"/>
      <c r="R35" s="200"/>
      <c r="S35" s="205">
        <v>45</v>
      </c>
      <c r="T35" s="200"/>
      <c r="U35" s="200"/>
      <c r="V35" s="210" t="s">
        <v>118</v>
      </c>
      <c r="W35" s="211"/>
      <c r="X35" s="211"/>
      <c r="Y35" s="211"/>
      <c r="Z35" s="211"/>
      <c r="AA35" s="212"/>
      <c r="AB35" s="210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2"/>
      <c r="AR35" s="205"/>
      <c r="AS35" s="200"/>
      <c r="AT35" s="200"/>
      <c r="AU35" s="200"/>
      <c r="AV35" s="200"/>
      <c r="AW35" s="201"/>
      <c r="AX35" s="213" t="s">
        <v>118</v>
      </c>
      <c r="AY35" s="214"/>
      <c r="AZ35" s="214"/>
      <c r="BA35" s="214"/>
      <c r="BB35" s="214"/>
      <c r="BC35" s="214"/>
      <c r="BD35" s="214"/>
      <c r="BE35" s="214"/>
      <c r="BF35" s="214"/>
      <c r="BG35" s="214"/>
      <c r="BH35" s="214"/>
      <c r="BI35" s="214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5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223" t="s">
        <v>136</v>
      </c>
      <c r="F36" s="224"/>
      <c r="G36" s="224"/>
      <c r="H36" s="224"/>
      <c r="I36" s="224"/>
      <c r="J36" s="224"/>
      <c r="K36" s="224"/>
      <c r="L36" s="225"/>
      <c r="M36" s="205" t="s">
        <v>38</v>
      </c>
      <c r="N36" s="200"/>
      <c r="O36" s="200"/>
      <c r="P36" s="205" t="s">
        <v>92</v>
      </c>
      <c r="Q36" s="200"/>
      <c r="R36" s="200"/>
      <c r="S36" s="205">
        <v>7</v>
      </c>
      <c r="T36" s="200"/>
      <c r="U36" s="200"/>
      <c r="V36" s="210" t="s">
        <v>579</v>
      </c>
      <c r="W36" s="211"/>
      <c r="X36" s="211"/>
      <c r="Y36" s="211"/>
      <c r="Z36" s="211"/>
      <c r="AA36" s="212"/>
      <c r="AB36" s="210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2"/>
      <c r="AR36" s="205"/>
      <c r="AS36" s="200"/>
      <c r="AT36" s="200"/>
      <c r="AU36" s="200"/>
      <c r="AV36" s="200"/>
      <c r="AW36" s="201"/>
      <c r="AX36" s="213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5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20.100000000000001" customHeight="1" x14ac:dyDescent="0.45">
      <c r="A37" s="29"/>
      <c r="B37" s="44"/>
      <c r="C37" s="29"/>
      <c r="D37" s="37">
        <v>27</v>
      </c>
      <c r="E37" s="223" t="s">
        <v>137</v>
      </c>
      <c r="F37" s="224"/>
      <c r="G37" s="224"/>
      <c r="H37" s="224"/>
      <c r="I37" s="224"/>
      <c r="J37" s="224"/>
      <c r="K37" s="224"/>
      <c r="L37" s="225"/>
      <c r="M37" s="205" t="s">
        <v>47</v>
      </c>
      <c r="N37" s="200"/>
      <c r="O37" s="200"/>
      <c r="P37" s="205" t="s">
        <v>89</v>
      </c>
      <c r="Q37" s="200"/>
      <c r="R37" s="200"/>
      <c r="S37" s="205">
        <v>3</v>
      </c>
      <c r="T37" s="200"/>
      <c r="U37" s="200"/>
      <c r="V37" s="210" t="s">
        <v>580</v>
      </c>
      <c r="W37" s="211"/>
      <c r="X37" s="211"/>
      <c r="Y37" s="211"/>
      <c r="Z37" s="211"/>
      <c r="AA37" s="212"/>
      <c r="AB37" s="210" t="s">
        <v>581</v>
      </c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2"/>
      <c r="AR37" s="205"/>
      <c r="AS37" s="200"/>
      <c r="AT37" s="200"/>
      <c r="AU37" s="200"/>
      <c r="AV37" s="200"/>
      <c r="AW37" s="201"/>
      <c r="AX37" s="213"/>
      <c r="AY37" s="214"/>
      <c r="AZ37" s="214"/>
      <c r="BA37" s="214"/>
      <c r="BB37" s="214"/>
      <c r="BC37" s="214"/>
      <c r="BD37" s="214"/>
      <c r="BE37" s="214"/>
      <c r="BF37" s="214"/>
      <c r="BG37" s="214"/>
      <c r="BH37" s="214"/>
      <c r="BI37" s="214"/>
      <c r="BJ37" s="214"/>
      <c r="BK37" s="214"/>
      <c r="BL37" s="214"/>
      <c r="BM37" s="214"/>
      <c r="BN37" s="214"/>
      <c r="BO37" s="214"/>
      <c r="BP37" s="214"/>
      <c r="BQ37" s="214"/>
      <c r="BR37" s="214"/>
      <c r="BS37" s="214"/>
      <c r="BT37" s="215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223" t="s">
        <v>46</v>
      </c>
      <c r="F38" s="224"/>
      <c r="G38" s="224"/>
      <c r="H38" s="224"/>
      <c r="I38" s="224"/>
      <c r="J38" s="224"/>
      <c r="K38" s="224"/>
      <c r="L38" s="225"/>
      <c r="M38" s="205" t="s">
        <v>38</v>
      </c>
      <c r="N38" s="200"/>
      <c r="O38" s="200"/>
      <c r="P38" s="205" t="s">
        <v>89</v>
      </c>
      <c r="Q38" s="200"/>
      <c r="R38" s="200"/>
      <c r="S38" s="205">
        <v>3</v>
      </c>
      <c r="T38" s="200"/>
      <c r="U38" s="200"/>
      <c r="V38" s="210" t="s">
        <v>582</v>
      </c>
      <c r="W38" s="211"/>
      <c r="X38" s="211"/>
      <c r="Y38" s="211"/>
      <c r="Z38" s="211"/>
      <c r="AA38" s="212"/>
      <c r="AB38" s="210" t="s">
        <v>583</v>
      </c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2"/>
      <c r="AR38" s="205"/>
      <c r="AS38" s="200"/>
      <c r="AT38" s="200"/>
      <c r="AU38" s="200"/>
      <c r="AV38" s="200"/>
      <c r="AW38" s="201"/>
      <c r="AX38" s="213"/>
      <c r="AY38" s="214"/>
      <c r="AZ38" s="214"/>
      <c r="BA38" s="214"/>
      <c r="BB38" s="214"/>
      <c r="BC38" s="214"/>
      <c r="BD38" s="214"/>
      <c r="BE38" s="214"/>
      <c r="BF38" s="214"/>
      <c r="BG38" s="214"/>
      <c r="BH38" s="214"/>
      <c r="BI38" s="214"/>
      <c r="BJ38" s="214"/>
      <c r="BK38" s="214"/>
      <c r="BL38" s="214"/>
      <c r="BM38" s="214"/>
      <c r="BN38" s="214"/>
      <c r="BO38" s="214"/>
      <c r="BP38" s="214"/>
      <c r="BQ38" s="214"/>
      <c r="BR38" s="214"/>
      <c r="BS38" s="214"/>
      <c r="BT38" s="215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223" t="s">
        <v>119</v>
      </c>
      <c r="F39" s="224"/>
      <c r="G39" s="224"/>
      <c r="H39" s="224"/>
      <c r="I39" s="224"/>
      <c r="J39" s="224"/>
      <c r="K39" s="224"/>
      <c r="L39" s="225"/>
      <c r="M39" s="205" t="s">
        <v>38</v>
      </c>
      <c r="N39" s="200"/>
      <c r="O39" s="200"/>
      <c r="P39" s="205" t="s">
        <v>92</v>
      </c>
      <c r="Q39" s="200"/>
      <c r="R39" s="200"/>
      <c r="S39" s="205">
        <v>18</v>
      </c>
      <c r="T39" s="200"/>
      <c r="U39" s="200"/>
      <c r="V39" s="210" t="s">
        <v>584</v>
      </c>
      <c r="W39" s="211"/>
      <c r="X39" s="211"/>
      <c r="Y39" s="211"/>
      <c r="Z39" s="211"/>
      <c r="AA39" s="212"/>
      <c r="AB39" s="210" t="s">
        <v>585</v>
      </c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2"/>
      <c r="AR39" s="205"/>
      <c r="AS39" s="200"/>
      <c r="AT39" s="200"/>
      <c r="AU39" s="200"/>
      <c r="AV39" s="200"/>
      <c r="AW39" s="201"/>
      <c r="AX39" s="213"/>
      <c r="AY39" s="214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  <c r="BS39" s="214"/>
      <c r="BT39" s="215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20.100000000000001" customHeight="1" x14ac:dyDescent="0.45">
      <c r="A40" s="29"/>
      <c r="B40" s="44"/>
      <c r="C40" s="29"/>
      <c r="D40" s="37">
        <v>30</v>
      </c>
      <c r="E40" s="223" t="s">
        <v>120</v>
      </c>
      <c r="F40" s="224"/>
      <c r="G40" s="224"/>
      <c r="H40" s="224"/>
      <c r="I40" s="224"/>
      <c r="J40" s="224"/>
      <c r="K40" s="224"/>
      <c r="L40" s="225"/>
      <c r="M40" s="205" t="s">
        <v>38</v>
      </c>
      <c r="N40" s="200"/>
      <c r="O40" s="200"/>
      <c r="P40" s="205" t="s">
        <v>92</v>
      </c>
      <c r="Q40" s="200"/>
      <c r="R40" s="200"/>
      <c r="S40" s="205">
        <v>5</v>
      </c>
      <c r="T40" s="200"/>
      <c r="U40" s="200"/>
      <c r="V40" s="210" t="s">
        <v>586</v>
      </c>
      <c r="W40" s="211"/>
      <c r="X40" s="211"/>
      <c r="Y40" s="211"/>
      <c r="Z40" s="211"/>
      <c r="AA40" s="212"/>
      <c r="AB40" s="210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2"/>
      <c r="AR40" s="205" t="s">
        <v>587</v>
      </c>
      <c r="AS40" s="200"/>
      <c r="AT40" s="200"/>
      <c r="AU40" s="200"/>
      <c r="AV40" s="200"/>
      <c r="AW40" s="201"/>
      <c r="AX40" s="213"/>
      <c r="AY40" s="214"/>
      <c r="AZ40" s="214"/>
      <c r="BA40" s="214"/>
      <c r="BB40" s="214"/>
      <c r="BC40" s="214"/>
      <c r="BD40" s="214"/>
      <c r="BE40" s="214"/>
      <c r="BF40" s="214"/>
      <c r="BG40" s="214"/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  <c r="BT40" s="215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223" t="s">
        <v>121</v>
      </c>
      <c r="F41" s="224"/>
      <c r="G41" s="224"/>
      <c r="H41" s="224"/>
      <c r="I41" s="224"/>
      <c r="J41" s="224"/>
      <c r="K41" s="224"/>
      <c r="L41" s="225"/>
      <c r="M41" s="205" t="s">
        <v>38</v>
      </c>
      <c r="N41" s="200"/>
      <c r="O41" s="200"/>
      <c r="P41" s="205" t="s">
        <v>92</v>
      </c>
      <c r="Q41" s="200"/>
      <c r="R41" s="200"/>
      <c r="S41" s="205">
        <v>5</v>
      </c>
      <c r="T41" s="200"/>
      <c r="U41" s="200"/>
      <c r="V41" s="210" t="s">
        <v>588</v>
      </c>
      <c r="W41" s="211"/>
      <c r="X41" s="211"/>
      <c r="Y41" s="211"/>
      <c r="Z41" s="211"/>
      <c r="AA41" s="212"/>
      <c r="AB41" s="210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2"/>
      <c r="AR41" s="205"/>
      <c r="AS41" s="200"/>
      <c r="AT41" s="200"/>
      <c r="AU41" s="200"/>
      <c r="AV41" s="200"/>
      <c r="AW41" s="201"/>
      <c r="AX41" s="213"/>
      <c r="AY41" s="214"/>
      <c r="AZ41" s="214"/>
      <c r="BA41" s="214"/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5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s="5" customFormat="1" ht="20.100000000000001" customHeight="1" x14ac:dyDescent="0.45">
      <c r="A42" s="29"/>
      <c r="B42" s="35"/>
      <c r="C42" s="29"/>
      <c r="D42" s="37">
        <v>32</v>
      </c>
      <c r="E42" s="223" t="s">
        <v>138</v>
      </c>
      <c r="F42" s="224"/>
      <c r="G42" s="224"/>
      <c r="H42" s="224"/>
      <c r="I42" s="224"/>
      <c r="J42" s="224"/>
      <c r="K42" s="224"/>
      <c r="L42" s="225"/>
      <c r="M42" s="205" t="s">
        <v>47</v>
      </c>
      <c r="N42" s="200"/>
      <c r="O42" s="200"/>
      <c r="P42" s="205" t="s">
        <v>89</v>
      </c>
      <c r="Q42" s="200"/>
      <c r="R42" s="200"/>
      <c r="S42" s="205">
        <v>8</v>
      </c>
      <c r="T42" s="200"/>
      <c r="U42" s="200"/>
      <c r="V42" s="210" t="s">
        <v>589</v>
      </c>
      <c r="W42" s="211"/>
      <c r="X42" s="211"/>
      <c r="Y42" s="211"/>
      <c r="Z42" s="211"/>
      <c r="AA42" s="212"/>
      <c r="AB42" s="210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2"/>
      <c r="AR42" s="205"/>
      <c r="AS42" s="200"/>
      <c r="AT42" s="200"/>
      <c r="AU42" s="200"/>
      <c r="AV42" s="200"/>
      <c r="AW42" s="201"/>
      <c r="AX42" s="213"/>
      <c r="AY42" s="214"/>
      <c r="AZ42" s="214"/>
      <c r="BA42" s="214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4"/>
      <c r="BT42" s="215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s="5" customFormat="1" ht="20.100000000000001" customHeight="1" x14ac:dyDescent="0.45">
      <c r="A43" s="29"/>
      <c r="B43" s="35"/>
      <c r="C43" s="29"/>
      <c r="D43" s="37">
        <v>33</v>
      </c>
      <c r="E43" s="223" t="s">
        <v>139</v>
      </c>
      <c r="F43" s="224"/>
      <c r="G43" s="224"/>
      <c r="H43" s="224"/>
      <c r="I43" s="224"/>
      <c r="J43" s="224"/>
      <c r="K43" s="224"/>
      <c r="L43" s="225"/>
      <c r="M43" s="205" t="s">
        <v>47</v>
      </c>
      <c r="N43" s="200"/>
      <c r="O43" s="200"/>
      <c r="P43" s="205" t="s">
        <v>89</v>
      </c>
      <c r="Q43" s="200"/>
      <c r="R43" s="200"/>
      <c r="S43" s="205">
        <v>8</v>
      </c>
      <c r="T43" s="200"/>
      <c r="U43" s="200"/>
      <c r="V43" s="210" t="s">
        <v>590</v>
      </c>
      <c r="W43" s="211"/>
      <c r="X43" s="211"/>
      <c r="Y43" s="211"/>
      <c r="Z43" s="211"/>
      <c r="AA43" s="212"/>
      <c r="AB43" s="216" t="s">
        <v>591</v>
      </c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2"/>
      <c r="AR43" s="205"/>
      <c r="AS43" s="200"/>
      <c r="AT43" s="200"/>
      <c r="AU43" s="200"/>
      <c r="AV43" s="200"/>
      <c r="AW43" s="201"/>
      <c r="AX43" s="213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  <c r="BT43" s="215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s="5" customFormat="1" ht="20.100000000000001" customHeight="1" x14ac:dyDescent="0.45">
      <c r="A44" s="29"/>
      <c r="B44" s="35"/>
      <c r="C44" s="29"/>
      <c r="D44" s="37">
        <v>34</v>
      </c>
      <c r="E44" s="223" t="s">
        <v>122</v>
      </c>
      <c r="F44" s="224"/>
      <c r="G44" s="224"/>
      <c r="H44" s="224"/>
      <c r="I44" s="224"/>
      <c r="J44" s="224"/>
      <c r="K44" s="224"/>
      <c r="L44" s="225"/>
      <c r="M44" s="205" t="s">
        <v>47</v>
      </c>
      <c r="N44" s="200"/>
      <c r="O44" s="200"/>
      <c r="P44" s="205" t="s">
        <v>89</v>
      </c>
      <c r="Q44" s="200"/>
      <c r="R44" s="200"/>
      <c r="S44" s="205">
        <v>8</v>
      </c>
      <c r="T44" s="200"/>
      <c r="U44" s="200"/>
      <c r="V44" s="210" t="s">
        <v>592</v>
      </c>
      <c r="W44" s="211"/>
      <c r="X44" s="211"/>
      <c r="Y44" s="211"/>
      <c r="Z44" s="211"/>
      <c r="AA44" s="212"/>
      <c r="AB44" s="216" t="s">
        <v>593</v>
      </c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2"/>
      <c r="AR44" s="205"/>
      <c r="AS44" s="200"/>
      <c r="AT44" s="200"/>
      <c r="AU44" s="200"/>
      <c r="AV44" s="200"/>
      <c r="AW44" s="201"/>
      <c r="AX44" s="213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5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s="5" customFormat="1" ht="20.100000000000001" customHeight="1" x14ac:dyDescent="0.45">
      <c r="A45" s="29"/>
      <c r="B45" s="35"/>
      <c r="C45" s="29"/>
      <c r="D45" s="37">
        <v>35</v>
      </c>
      <c r="E45" s="223" t="s">
        <v>123</v>
      </c>
      <c r="F45" s="224"/>
      <c r="G45" s="224"/>
      <c r="H45" s="224"/>
      <c r="I45" s="224"/>
      <c r="J45" s="224"/>
      <c r="K45" s="224"/>
      <c r="L45" s="225"/>
      <c r="M45" s="205" t="s">
        <v>47</v>
      </c>
      <c r="N45" s="200"/>
      <c r="O45" s="200"/>
      <c r="P45" s="205" t="s">
        <v>89</v>
      </c>
      <c r="Q45" s="200"/>
      <c r="R45" s="200"/>
      <c r="S45" s="205">
        <v>1</v>
      </c>
      <c r="T45" s="200"/>
      <c r="U45" s="200"/>
      <c r="V45" s="210" t="s">
        <v>594</v>
      </c>
      <c r="W45" s="211"/>
      <c r="X45" s="211"/>
      <c r="Y45" s="211"/>
      <c r="Z45" s="211"/>
      <c r="AA45" s="212"/>
      <c r="AB45" s="210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2"/>
      <c r="AR45" s="205"/>
      <c r="AS45" s="200"/>
      <c r="AT45" s="200"/>
      <c r="AU45" s="200"/>
      <c r="AV45" s="200"/>
      <c r="AW45" s="201"/>
      <c r="AX45" s="213"/>
      <c r="AY45" s="214"/>
      <c r="AZ45" s="214"/>
      <c r="BA45" s="214"/>
      <c r="BB45" s="214"/>
      <c r="BC45" s="214"/>
      <c r="BD45" s="214"/>
      <c r="BE45" s="214"/>
      <c r="BF45" s="214"/>
      <c r="BG45" s="214"/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  <c r="BT45" s="215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s="5" customFormat="1" ht="20.100000000000001" customHeight="1" x14ac:dyDescent="0.45">
      <c r="A46" s="29"/>
      <c r="B46" s="35"/>
      <c r="C46" s="29"/>
      <c r="D46" s="37">
        <v>36</v>
      </c>
      <c r="E46" s="223" t="s">
        <v>124</v>
      </c>
      <c r="F46" s="224"/>
      <c r="G46" s="224"/>
      <c r="H46" s="224"/>
      <c r="I46" s="224"/>
      <c r="J46" s="224"/>
      <c r="K46" s="224"/>
      <c r="L46" s="225"/>
      <c r="M46" s="205" t="s">
        <v>47</v>
      </c>
      <c r="N46" s="200"/>
      <c r="O46" s="200"/>
      <c r="P46" s="205" t="s">
        <v>89</v>
      </c>
      <c r="Q46" s="200"/>
      <c r="R46" s="200"/>
      <c r="S46" s="205">
        <v>9</v>
      </c>
      <c r="T46" s="200"/>
      <c r="U46" s="200"/>
      <c r="V46" s="210" t="s">
        <v>595</v>
      </c>
      <c r="W46" s="211"/>
      <c r="X46" s="211"/>
      <c r="Y46" s="211"/>
      <c r="Z46" s="211"/>
      <c r="AA46" s="212"/>
      <c r="AB46" s="210" t="s">
        <v>125</v>
      </c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2"/>
      <c r="AR46" s="205" t="s">
        <v>140</v>
      </c>
      <c r="AS46" s="200"/>
      <c r="AT46" s="200"/>
      <c r="AU46" s="200"/>
      <c r="AV46" s="200"/>
      <c r="AW46" s="201"/>
      <c r="AX46" s="213"/>
      <c r="AY46" s="214"/>
      <c r="AZ46" s="214"/>
      <c r="BA46" s="214"/>
      <c r="BB46" s="214"/>
      <c r="BC46" s="214"/>
      <c r="BD46" s="214"/>
      <c r="BE46" s="214"/>
      <c r="BF46" s="214"/>
      <c r="BG46" s="214"/>
      <c r="BH46" s="214"/>
      <c r="BI46" s="214"/>
      <c r="BJ46" s="214"/>
      <c r="BK46" s="214"/>
      <c r="BL46" s="214"/>
      <c r="BM46" s="214"/>
      <c r="BN46" s="214"/>
      <c r="BO46" s="214"/>
      <c r="BP46" s="214"/>
      <c r="BQ46" s="214"/>
      <c r="BR46" s="214"/>
      <c r="BS46" s="214"/>
      <c r="BT46" s="215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20.100000000000001" customHeight="1" x14ac:dyDescent="0.45">
      <c r="A47" s="29"/>
      <c r="B47" s="44"/>
      <c r="C47" s="29"/>
      <c r="D47" s="37">
        <v>37</v>
      </c>
      <c r="E47" s="223" t="s">
        <v>126</v>
      </c>
      <c r="F47" s="224"/>
      <c r="G47" s="224"/>
      <c r="H47" s="224"/>
      <c r="I47" s="224"/>
      <c r="J47" s="224"/>
      <c r="K47" s="224"/>
      <c r="L47" s="225"/>
      <c r="M47" s="205" t="s">
        <v>38</v>
      </c>
      <c r="N47" s="200"/>
      <c r="O47" s="200"/>
      <c r="P47" s="205" t="s">
        <v>92</v>
      </c>
      <c r="Q47" s="200"/>
      <c r="R47" s="200"/>
      <c r="S47" s="205">
        <v>5</v>
      </c>
      <c r="T47" s="200"/>
      <c r="U47" s="200"/>
      <c r="V47" s="210" t="s">
        <v>596</v>
      </c>
      <c r="W47" s="211"/>
      <c r="X47" s="211"/>
      <c r="Y47" s="211"/>
      <c r="Z47" s="211"/>
      <c r="AA47" s="212"/>
      <c r="AB47" s="210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2"/>
      <c r="AR47" s="205"/>
      <c r="AS47" s="200"/>
      <c r="AT47" s="200"/>
      <c r="AU47" s="200"/>
      <c r="AV47" s="200"/>
      <c r="AW47" s="201"/>
      <c r="AX47" s="213"/>
      <c r="AY47" s="214"/>
      <c r="AZ47" s="214"/>
      <c r="BA47" s="214"/>
      <c r="BB47" s="214"/>
      <c r="BC47" s="214"/>
      <c r="BD47" s="214"/>
      <c r="BE47" s="214"/>
      <c r="BF47" s="214"/>
      <c r="BG47" s="214"/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  <c r="BT47" s="215"/>
      <c r="BU47" s="41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</row>
    <row r="48" spans="1:85" ht="19.5" customHeight="1" x14ac:dyDescent="0.45">
      <c r="A48" s="29"/>
      <c r="B48" s="44"/>
      <c r="C48" s="29"/>
      <c r="D48" s="37">
        <v>38</v>
      </c>
      <c r="E48" s="223" t="s">
        <v>127</v>
      </c>
      <c r="F48" s="224"/>
      <c r="G48" s="224"/>
      <c r="H48" s="224"/>
      <c r="I48" s="224"/>
      <c r="J48" s="224"/>
      <c r="K48" s="224"/>
      <c r="L48" s="225"/>
      <c r="M48" s="205" t="s">
        <v>47</v>
      </c>
      <c r="N48" s="200"/>
      <c r="O48" s="200"/>
      <c r="P48" s="205" t="s">
        <v>89</v>
      </c>
      <c r="Q48" s="200"/>
      <c r="R48" s="200"/>
      <c r="S48" s="205">
        <v>1</v>
      </c>
      <c r="T48" s="200"/>
      <c r="U48" s="200"/>
      <c r="V48" s="210" t="s">
        <v>597</v>
      </c>
      <c r="W48" s="211"/>
      <c r="X48" s="211"/>
      <c r="Y48" s="211"/>
      <c r="Z48" s="211"/>
      <c r="AA48" s="212"/>
      <c r="AB48" s="210"/>
      <c r="AC48" s="211"/>
      <c r="AD48" s="211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1"/>
      <c r="AQ48" s="212"/>
      <c r="AR48" s="205"/>
      <c r="AS48" s="200"/>
      <c r="AT48" s="200"/>
      <c r="AU48" s="200"/>
      <c r="AV48" s="200"/>
      <c r="AW48" s="201"/>
      <c r="AX48" s="213"/>
      <c r="AY48" s="214"/>
      <c r="AZ48" s="214"/>
      <c r="BA48" s="214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  <c r="BT48" s="215"/>
      <c r="BU48" s="41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</row>
    <row r="49" spans="1:85" ht="19.5" customHeight="1" x14ac:dyDescent="0.45">
      <c r="A49" s="29"/>
      <c r="B49" s="44"/>
      <c r="C49" s="29"/>
      <c r="D49" s="37">
        <v>39</v>
      </c>
      <c r="E49" s="223" t="s">
        <v>128</v>
      </c>
      <c r="F49" s="224"/>
      <c r="G49" s="224"/>
      <c r="H49" s="224"/>
      <c r="I49" s="224"/>
      <c r="J49" s="224"/>
      <c r="K49" s="224"/>
      <c r="L49" s="225"/>
      <c r="M49" s="205" t="s">
        <v>47</v>
      </c>
      <c r="N49" s="200"/>
      <c r="O49" s="200"/>
      <c r="P49" s="205" t="s">
        <v>89</v>
      </c>
      <c r="Q49" s="200"/>
      <c r="R49" s="200"/>
      <c r="S49" s="205">
        <v>11</v>
      </c>
      <c r="T49" s="200"/>
      <c r="U49" s="200"/>
      <c r="V49" s="210" t="s">
        <v>141</v>
      </c>
      <c r="W49" s="211"/>
      <c r="X49" s="211"/>
      <c r="Y49" s="211"/>
      <c r="Z49" s="211"/>
      <c r="AA49" s="212"/>
      <c r="AB49" s="210" t="s">
        <v>125</v>
      </c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2"/>
      <c r="AR49" s="205" t="s">
        <v>140</v>
      </c>
      <c r="AS49" s="200"/>
      <c r="AT49" s="200"/>
      <c r="AU49" s="200"/>
      <c r="AV49" s="200"/>
      <c r="AW49" s="201"/>
      <c r="AX49" s="213"/>
      <c r="AY49" s="214"/>
      <c r="AZ49" s="214"/>
      <c r="BA49" s="214"/>
      <c r="BB49" s="214"/>
      <c r="BC49" s="214"/>
      <c r="BD49" s="214"/>
      <c r="BE49" s="214"/>
      <c r="BF49" s="214"/>
      <c r="BG49" s="214"/>
      <c r="BH49" s="214"/>
      <c r="BI49" s="214"/>
      <c r="BJ49" s="214"/>
      <c r="BK49" s="214"/>
      <c r="BL49" s="214"/>
      <c r="BM49" s="214"/>
      <c r="BN49" s="214"/>
      <c r="BO49" s="214"/>
      <c r="BP49" s="214"/>
      <c r="BQ49" s="214"/>
      <c r="BR49" s="214"/>
      <c r="BS49" s="214"/>
      <c r="BT49" s="215"/>
      <c r="BU49" s="41"/>
      <c r="BV49" s="40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</row>
    <row r="50" spans="1:85" ht="20.100000000000001" customHeight="1" x14ac:dyDescent="0.45">
      <c r="A50" s="29"/>
      <c r="B50" s="44"/>
      <c r="C50" s="29"/>
      <c r="D50" s="37">
        <v>40</v>
      </c>
      <c r="E50" s="223" t="s">
        <v>129</v>
      </c>
      <c r="F50" s="224"/>
      <c r="G50" s="224"/>
      <c r="H50" s="224"/>
      <c r="I50" s="224"/>
      <c r="J50" s="224"/>
      <c r="K50" s="224"/>
      <c r="L50" s="225"/>
      <c r="M50" s="205" t="s">
        <v>47</v>
      </c>
      <c r="N50" s="200"/>
      <c r="O50" s="200"/>
      <c r="P50" s="205" t="s">
        <v>89</v>
      </c>
      <c r="Q50" s="200"/>
      <c r="R50" s="200"/>
      <c r="S50" s="205">
        <v>10</v>
      </c>
      <c r="T50" s="200"/>
      <c r="U50" s="200"/>
      <c r="V50" s="210" t="s">
        <v>598</v>
      </c>
      <c r="W50" s="211"/>
      <c r="X50" s="211"/>
      <c r="Y50" s="211"/>
      <c r="Z50" s="211"/>
      <c r="AA50" s="212"/>
      <c r="AB50" s="216" t="s">
        <v>599</v>
      </c>
      <c r="AC50" s="211"/>
      <c r="AD50" s="211"/>
      <c r="AE50" s="211"/>
      <c r="AF50" s="211"/>
      <c r="AG50" s="211"/>
      <c r="AH50" s="211"/>
      <c r="AI50" s="211"/>
      <c r="AJ50" s="211"/>
      <c r="AK50" s="211"/>
      <c r="AL50" s="211"/>
      <c r="AM50" s="211"/>
      <c r="AN50" s="211"/>
      <c r="AO50" s="211"/>
      <c r="AP50" s="211"/>
      <c r="AQ50" s="212"/>
      <c r="AR50" s="205"/>
      <c r="AS50" s="200"/>
      <c r="AT50" s="200"/>
      <c r="AU50" s="200"/>
      <c r="AV50" s="200"/>
      <c r="AW50" s="201"/>
      <c r="AX50" s="213"/>
      <c r="AY50" s="214"/>
      <c r="AZ50" s="214"/>
      <c r="BA50" s="214"/>
      <c r="BB50" s="214"/>
      <c r="BC50" s="214"/>
      <c r="BD50" s="214"/>
      <c r="BE50" s="214"/>
      <c r="BF50" s="214"/>
      <c r="BG50" s="214"/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  <c r="BT50" s="215"/>
      <c r="BU50" s="41"/>
      <c r="BV50" s="40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</row>
    <row r="51" spans="1:85" s="5" customFormat="1" ht="20.100000000000001" customHeight="1" x14ac:dyDescent="0.45">
      <c r="A51" s="29"/>
      <c r="B51" s="35"/>
      <c r="C51" s="29"/>
      <c r="D51" s="37">
        <v>41</v>
      </c>
      <c r="E51" s="223" t="s">
        <v>101</v>
      </c>
      <c r="F51" s="224"/>
      <c r="G51" s="224"/>
      <c r="H51" s="224"/>
      <c r="I51" s="224"/>
      <c r="J51" s="224"/>
      <c r="K51" s="224"/>
      <c r="L51" s="225"/>
      <c r="M51" s="205" t="s">
        <v>38</v>
      </c>
      <c r="N51" s="200"/>
      <c r="O51" s="200"/>
      <c r="P51" s="205" t="s">
        <v>92</v>
      </c>
      <c r="Q51" s="200"/>
      <c r="R51" s="200"/>
      <c r="S51" s="205">
        <v>6</v>
      </c>
      <c r="T51" s="200"/>
      <c r="U51" s="200"/>
      <c r="V51" s="210" t="s">
        <v>600</v>
      </c>
      <c r="W51" s="211"/>
      <c r="X51" s="211"/>
      <c r="Y51" s="211"/>
      <c r="Z51" s="211"/>
      <c r="AA51" s="212"/>
      <c r="AB51" s="216" t="s">
        <v>601</v>
      </c>
      <c r="AC51" s="211"/>
      <c r="AD51" s="211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2"/>
      <c r="AR51" s="164"/>
      <c r="AS51" s="162"/>
      <c r="AT51" s="162"/>
      <c r="AU51" s="162"/>
      <c r="AV51" s="162"/>
      <c r="AW51" s="163"/>
      <c r="AX51" s="165"/>
      <c r="AY51" s="166"/>
      <c r="AZ51" s="166"/>
      <c r="BA51" s="166"/>
      <c r="BB51" s="166"/>
      <c r="BC51" s="166"/>
      <c r="BD51" s="166"/>
      <c r="BE51" s="166"/>
      <c r="BF51" s="166"/>
      <c r="BG51" s="166"/>
      <c r="BH51" s="166"/>
      <c r="BI51" s="166"/>
      <c r="BJ51" s="166"/>
      <c r="BK51" s="166"/>
      <c r="BL51" s="166"/>
      <c r="BM51" s="166"/>
      <c r="BN51" s="166"/>
      <c r="BO51" s="166"/>
      <c r="BP51" s="166"/>
      <c r="BQ51" s="166"/>
      <c r="BR51" s="166"/>
      <c r="BS51" s="166"/>
      <c r="BT51" s="167"/>
      <c r="BU51" s="41"/>
      <c r="BV51" s="40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</row>
    <row r="52" spans="1:85" s="5" customFormat="1" ht="20.100000000000001" customHeight="1" x14ac:dyDescent="0.45">
      <c r="A52" s="29"/>
      <c r="B52" s="35"/>
      <c r="C52" s="29"/>
      <c r="D52" s="37">
        <v>42</v>
      </c>
      <c r="E52" s="223" t="s">
        <v>130</v>
      </c>
      <c r="F52" s="224"/>
      <c r="G52" s="224"/>
      <c r="H52" s="224"/>
      <c r="I52" s="224"/>
      <c r="J52" s="224"/>
      <c r="K52" s="224"/>
      <c r="L52" s="225"/>
      <c r="M52" s="205" t="s">
        <v>47</v>
      </c>
      <c r="N52" s="200"/>
      <c r="O52" s="200"/>
      <c r="P52" s="205" t="s">
        <v>89</v>
      </c>
      <c r="Q52" s="200"/>
      <c r="R52" s="200"/>
      <c r="S52" s="205">
        <v>10</v>
      </c>
      <c r="T52" s="200"/>
      <c r="U52" s="200"/>
      <c r="V52" s="210" t="s">
        <v>602</v>
      </c>
      <c r="W52" s="211"/>
      <c r="X52" s="211"/>
      <c r="Y52" s="211"/>
      <c r="Z52" s="211"/>
      <c r="AA52" s="212"/>
      <c r="AB52" s="210" t="s">
        <v>603</v>
      </c>
      <c r="AC52" s="211"/>
      <c r="AD52" s="211"/>
      <c r="AE52" s="211"/>
      <c r="AF52" s="211"/>
      <c r="AG52" s="211"/>
      <c r="AH52" s="211"/>
      <c r="AI52" s="211"/>
      <c r="AJ52" s="211"/>
      <c r="AK52" s="211"/>
      <c r="AL52" s="211"/>
      <c r="AM52" s="211"/>
      <c r="AN52" s="211"/>
      <c r="AO52" s="211"/>
      <c r="AP52" s="211"/>
      <c r="AQ52" s="212"/>
      <c r="AR52" s="164"/>
      <c r="AS52" s="162"/>
      <c r="AT52" s="162"/>
      <c r="AU52" s="162"/>
      <c r="AV52" s="162"/>
      <c r="AW52" s="163"/>
      <c r="AX52" s="165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  <c r="BM52" s="166"/>
      <c r="BN52" s="166"/>
      <c r="BO52" s="166"/>
      <c r="BP52" s="166"/>
      <c r="BQ52" s="166"/>
      <c r="BR52" s="166"/>
      <c r="BS52" s="166"/>
      <c r="BT52" s="167"/>
      <c r="BU52" s="41"/>
      <c r="BV52" s="40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</row>
    <row r="53" spans="1:85" s="5" customFormat="1" ht="20.100000000000001" customHeight="1" x14ac:dyDescent="0.45">
      <c r="A53" s="29"/>
      <c r="B53" s="35"/>
      <c r="C53" s="29"/>
      <c r="D53" s="37">
        <v>43</v>
      </c>
      <c r="E53" s="223"/>
      <c r="F53" s="224"/>
      <c r="G53" s="224"/>
      <c r="H53" s="224"/>
      <c r="I53" s="224"/>
      <c r="J53" s="224"/>
      <c r="K53" s="224"/>
      <c r="L53" s="225"/>
      <c r="M53" s="205"/>
      <c r="N53" s="200"/>
      <c r="O53" s="201"/>
      <c r="P53" s="205"/>
      <c r="Q53" s="200"/>
      <c r="R53" s="201"/>
      <c r="S53" s="205"/>
      <c r="T53" s="200"/>
      <c r="U53" s="201"/>
      <c r="V53" s="210"/>
      <c r="W53" s="211"/>
      <c r="X53" s="211"/>
      <c r="Y53" s="211"/>
      <c r="Z53" s="211"/>
      <c r="AA53" s="212"/>
      <c r="AB53" s="210"/>
      <c r="AC53" s="211"/>
      <c r="AD53" s="211"/>
      <c r="AE53" s="211"/>
      <c r="AF53" s="211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2"/>
      <c r="AR53" s="205"/>
      <c r="AS53" s="200"/>
      <c r="AT53" s="200"/>
      <c r="AU53" s="200"/>
      <c r="AV53" s="200"/>
      <c r="AW53" s="201"/>
      <c r="AX53" s="213"/>
      <c r="AY53" s="214"/>
      <c r="AZ53" s="214"/>
      <c r="BA53" s="214"/>
      <c r="BB53" s="214"/>
      <c r="BC53" s="214"/>
      <c r="BD53" s="214"/>
      <c r="BE53" s="214"/>
      <c r="BF53" s="214"/>
      <c r="BG53" s="214"/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  <c r="BT53" s="215"/>
      <c r="BU53" s="41"/>
      <c r="BV53" s="40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</row>
    <row r="54" spans="1:85" s="5" customFormat="1" ht="20.100000000000001" customHeight="1" x14ac:dyDescent="0.45">
      <c r="A54" s="29"/>
      <c r="B54" s="35"/>
      <c r="C54" s="29"/>
      <c r="D54" s="37">
        <v>44</v>
      </c>
      <c r="E54" s="223"/>
      <c r="F54" s="224"/>
      <c r="G54" s="224"/>
      <c r="H54" s="224"/>
      <c r="I54" s="224"/>
      <c r="J54" s="224"/>
      <c r="K54" s="224"/>
      <c r="L54" s="225"/>
      <c r="M54" s="205"/>
      <c r="N54" s="200"/>
      <c r="O54" s="201"/>
      <c r="P54" s="205"/>
      <c r="Q54" s="200"/>
      <c r="R54" s="201"/>
      <c r="S54" s="205"/>
      <c r="T54" s="200"/>
      <c r="U54" s="201"/>
      <c r="V54" s="210"/>
      <c r="W54" s="211"/>
      <c r="X54" s="211"/>
      <c r="Y54" s="211"/>
      <c r="Z54" s="211"/>
      <c r="AA54" s="212"/>
      <c r="AB54" s="210"/>
      <c r="AC54" s="211"/>
      <c r="AD54" s="211"/>
      <c r="AE54" s="211"/>
      <c r="AF54" s="211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2"/>
      <c r="AR54" s="205"/>
      <c r="AS54" s="200"/>
      <c r="AT54" s="200"/>
      <c r="AU54" s="200"/>
      <c r="AV54" s="200"/>
      <c r="AW54" s="201"/>
      <c r="AX54" s="213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5"/>
      <c r="BU54" s="41"/>
      <c r="BV54" s="40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</row>
    <row r="55" spans="1:85" s="5" customFormat="1" ht="20.100000000000001" customHeight="1" x14ac:dyDescent="0.45">
      <c r="A55" s="29"/>
      <c r="B55" s="35"/>
      <c r="C55" s="29"/>
      <c r="D55" s="37">
        <v>45</v>
      </c>
      <c r="E55" s="223"/>
      <c r="F55" s="224"/>
      <c r="G55" s="224"/>
      <c r="H55" s="224"/>
      <c r="I55" s="224"/>
      <c r="J55" s="224"/>
      <c r="K55" s="224"/>
      <c r="L55" s="225"/>
      <c r="M55" s="205"/>
      <c r="N55" s="200"/>
      <c r="O55" s="201"/>
      <c r="P55" s="205"/>
      <c r="Q55" s="200"/>
      <c r="R55" s="201"/>
      <c r="S55" s="205"/>
      <c r="T55" s="200"/>
      <c r="U55" s="201"/>
      <c r="V55" s="213"/>
      <c r="W55" s="214"/>
      <c r="X55" s="214"/>
      <c r="Y55" s="214"/>
      <c r="Z55" s="214"/>
      <c r="AA55" s="222"/>
      <c r="AB55" s="210"/>
      <c r="AC55" s="211"/>
      <c r="AD55" s="211"/>
      <c r="AE55" s="211"/>
      <c r="AF55" s="211"/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2"/>
      <c r="AR55" s="205"/>
      <c r="AS55" s="200"/>
      <c r="AT55" s="200"/>
      <c r="AU55" s="200"/>
      <c r="AV55" s="200"/>
      <c r="AW55" s="201"/>
      <c r="AX55" s="213"/>
      <c r="AY55" s="214"/>
      <c r="AZ55" s="214"/>
      <c r="BA55" s="214"/>
      <c r="BB55" s="214"/>
      <c r="BC55" s="214"/>
      <c r="BD55" s="214"/>
      <c r="BE55" s="214"/>
      <c r="BF55" s="214"/>
      <c r="BG55" s="214"/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  <c r="BT55" s="215"/>
      <c r="BU55" s="41"/>
      <c r="BV55" s="40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</row>
    <row r="56" spans="1:85" s="5" customFormat="1" ht="20.100000000000001" customHeight="1" x14ac:dyDescent="0.45">
      <c r="A56" s="29"/>
      <c r="B56" s="35"/>
      <c r="C56" s="29"/>
      <c r="D56" s="37">
        <v>46</v>
      </c>
      <c r="E56" s="223"/>
      <c r="F56" s="224"/>
      <c r="G56" s="224"/>
      <c r="H56" s="224"/>
      <c r="I56" s="224"/>
      <c r="J56" s="224"/>
      <c r="K56" s="224"/>
      <c r="L56" s="225"/>
      <c r="M56" s="205"/>
      <c r="N56" s="200"/>
      <c r="O56" s="201"/>
      <c r="P56" s="205"/>
      <c r="Q56" s="200"/>
      <c r="R56" s="201"/>
      <c r="S56" s="205"/>
      <c r="T56" s="200"/>
      <c r="U56" s="201"/>
      <c r="V56" s="213"/>
      <c r="W56" s="214"/>
      <c r="X56" s="214"/>
      <c r="Y56" s="214"/>
      <c r="Z56" s="214"/>
      <c r="AA56" s="222"/>
      <c r="AB56" s="210"/>
      <c r="AC56" s="211"/>
      <c r="AD56" s="211"/>
      <c r="AE56" s="211"/>
      <c r="AF56" s="211"/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2"/>
      <c r="AR56" s="205"/>
      <c r="AS56" s="200"/>
      <c r="AT56" s="200"/>
      <c r="AU56" s="200"/>
      <c r="AV56" s="200"/>
      <c r="AW56" s="201"/>
      <c r="AX56" s="213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5"/>
      <c r="BU56" s="41"/>
      <c r="BV56" s="40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</row>
    <row r="57" spans="1:85" ht="20.100000000000001" customHeight="1" x14ac:dyDescent="0.45">
      <c r="A57" s="29"/>
      <c r="B57" s="44"/>
      <c r="C57" s="29"/>
      <c r="D57" s="37">
        <v>47</v>
      </c>
      <c r="E57" s="223"/>
      <c r="F57" s="224"/>
      <c r="G57" s="224"/>
      <c r="H57" s="224"/>
      <c r="I57" s="224"/>
      <c r="J57" s="224"/>
      <c r="K57" s="224"/>
      <c r="L57" s="225"/>
      <c r="M57" s="205"/>
      <c r="N57" s="200"/>
      <c r="O57" s="201"/>
      <c r="P57" s="205"/>
      <c r="Q57" s="200"/>
      <c r="R57" s="201"/>
      <c r="S57" s="205"/>
      <c r="T57" s="200"/>
      <c r="U57" s="201"/>
      <c r="V57" s="213"/>
      <c r="W57" s="214"/>
      <c r="X57" s="214"/>
      <c r="Y57" s="214"/>
      <c r="Z57" s="214"/>
      <c r="AA57" s="222"/>
      <c r="AB57" s="210"/>
      <c r="AC57" s="211"/>
      <c r="AD57" s="211"/>
      <c r="AE57" s="211"/>
      <c r="AF57" s="211"/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2"/>
      <c r="AR57" s="205"/>
      <c r="AS57" s="200"/>
      <c r="AT57" s="200"/>
      <c r="AU57" s="200"/>
      <c r="AV57" s="200"/>
      <c r="AW57" s="201"/>
      <c r="AX57" s="213"/>
      <c r="AY57" s="214"/>
      <c r="AZ57" s="214"/>
      <c r="BA57" s="214"/>
      <c r="BB57" s="214"/>
      <c r="BC57" s="214"/>
      <c r="BD57" s="214"/>
      <c r="BE57" s="214"/>
      <c r="BF57" s="214"/>
      <c r="BG57" s="214"/>
      <c r="BH57" s="214"/>
      <c r="BI57" s="214"/>
      <c r="BJ57" s="214"/>
      <c r="BK57" s="214"/>
      <c r="BL57" s="214"/>
      <c r="BM57" s="214"/>
      <c r="BN57" s="214"/>
      <c r="BO57" s="214"/>
      <c r="BP57" s="214"/>
      <c r="BQ57" s="214"/>
      <c r="BR57" s="214"/>
      <c r="BS57" s="214"/>
      <c r="BT57" s="215"/>
      <c r="BU57" s="41"/>
      <c r="BV57" s="40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</row>
    <row r="58" spans="1:85" ht="19.5" customHeight="1" x14ac:dyDescent="0.45">
      <c r="A58" s="29"/>
      <c r="B58" s="44"/>
      <c r="C58" s="29"/>
      <c r="D58" s="37">
        <v>48</v>
      </c>
      <c r="E58" s="223"/>
      <c r="F58" s="224"/>
      <c r="G58" s="224"/>
      <c r="H58" s="224"/>
      <c r="I58" s="224"/>
      <c r="J58" s="224"/>
      <c r="K58" s="224"/>
      <c r="L58" s="225"/>
      <c r="M58" s="205"/>
      <c r="N58" s="200"/>
      <c r="O58" s="201"/>
      <c r="P58" s="205"/>
      <c r="Q58" s="200"/>
      <c r="R58" s="201"/>
      <c r="S58" s="205"/>
      <c r="T58" s="200"/>
      <c r="U58" s="201"/>
      <c r="V58" s="213"/>
      <c r="W58" s="214"/>
      <c r="X58" s="214"/>
      <c r="Y58" s="214"/>
      <c r="Z58" s="214"/>
      <c r="AA58" s="222"/>
      <c r="AB58" s="210"/>
      <c r="AC58" s="211"/>
      <c r="AD58" s="211"/>
      <c r="AE58" s="211"/>
      <c r="AF58" s="211"/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2"/>
      <c r="AR58" s="205"/>
      <c r="AS58" s="200"/>
      <c r="AT58" s="200"/>
      <c r="AU58" s="200"/>
      <c r="AV58" s="200"/>
      <c r="AW58" s="201"/>
      <c r="AX58" s="213"/>
      <c r="AY58" s="214"/>
      <c r="AZ58" s="214"/>
      <c r="BA58" s="214"/>
      <c r="BB58" s="214"/>
      <c r="BC58" s="214"/>
      <c r="BD58" s="214"/>
      <c r="BE58" s="214"/>
      <c r="BF58" s="214"/>
      <c r="BG58" s="214"/>
      <c r="BH58" s="214"/>
      <c r="BI58" s="214"/>
      <c r="BJ58" s="214"/>
      <c r="BK58" s="214"/>
      <c r="BL58" s="214"/>
      <c r="BM58" s="214"/>
      <c r="BN58" s="214"/>
      <c r="BO58" s="214"/>
      <c r="BP58" s="214"/>
      <c r="BQ58" s="214"/>
      <c r="BR58" s="214"/>
      <c r="BS58" s="214"/>
      <c r="BT58" s="215"/>
      <c r="BU58" s="41"/>
      <c r="BV58" s="40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</row>
    <row r="59" spans="1:85" ht="19.5" customHeight="1" x14ac:dyDescent="0.45">
      <c r="A59" s="29"/>
      <c r="B59" s="44"/>
      <c r="C59" s="29"/>
      <c r="D59" s="37">
        <v>49</v>
      </c>
      <c r="E59" s="223"/>
      <c r="F59" s="224"/>
      <c r="G59" s="224"/>
      <c r="H59" s="224"/>
      <c r="I59" s="224"/>
      <c r="J59" s="224"/>
      <c r="K59" s="224"/>
      <c r="L59" s="225"/>
      <c r="M59" s="205"/>
      <c r="N59" s="200"/>
      <c r="O59" s="201"/>
      <c r="P59" s="205"/>
      <c r="Q59" s="200"/>
      <c r="R59" s="201"/>
      <c r="S59" s="205"/>
      <c r="T59" s="200"/>
      <c r="U59" s="201"/>
      <c r="V59" s="213"/>
      <c r="W59" s="214"/>
      <c r="X59" s="214"/>
      <c r="Y59" s="214"/>
      <c r="Z59" s="214"/>
      <c r="AA59" s="222"/>
      <c r="AB59" s="210"/>
      <c r="AC59" s="211"/>
      <c r="AD59" s="211"/>
      <c r="AE59" s="211"/>
      <c r="AF59" s="211"/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2"/>
      <c r="AR59" s="205"/>
      <c r="AS59" s="200"/>
      <c r="AT59" s="200"/>
      <c r="AU59" s="200"/>
      <c r="AV59" s="200"/>
      <c r="AW59" s="201"/>
      <c r="AX59" s="213"/>
      <c r="AY59" s="214"/>
      <c r="AZ59" s="214"/>
      <c r="BA59" s="214"/>
      <c r="BB59" s="214"/>
      <c r="BC59" s="214"/>
      <c r="BD59" s="214"/>
      <c r="BE59" s="214"/>
      <c r="BF59" s="214"/>
      <c r="BG59" s="214"/>
      <c r="BH59" s="214"/>
      <c r="BI59" s="214"/>
      <c r="BJ59" s="214"/>
      <c r="BK59" s="214"/>
      <c r="BL59" s="214"/>
      <c r="BM59" s="214"/>
      <c r="BN59" s="214"/>
      <c r="BO59" s="214"/>
      <c r="BP59" s="214"/>
      <c r="BQ59" s="214"/>
      <c r="BR59" s="214"/>
      <c r="BS59" s="214"/>
      <c r="BT59" s="215"/>
      <c r="BU59" s="41"/>
      <c r="BV59" s="40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</row>
    <row r="60" spans="1:85" ht="20.100000000000001" customHeight="1" thickBot="1" x14ac:dyDescent="0.5">
      <c r="A60" s="29"/>
      <c r="B60" s="44"/>
      <c r="C60" s="29"/>
      <c r="D60" s="37">
        <v>50</v>
      </c>
      <c r="E60" s="242"/>
      <c r="F60" s="243"/>
      <c r="G60" s="243"/>
      <c r="H60" s="243"/>
      <c r="I60" s="243"/>
      <c r="J60" s="243"/>
      <c r="K60" s="243"/>
      <c r="L60" s="244"/>
      <c r="M60" s="245"/>
      <c r="N60" s="246"/>
      <c r="O60" s="247"/>
      <c r="P60" s="245"/>
      <c r="Q60" s="246"/>
      <c r="R60" s="247"/>
      <c r="S60" s="245"/>
      <c r="T60" s="246"/>
      <c r="U60" s="247"/>
      <c r="V60" s="248"/>
      <c r="W60" s="249"/>
      <c r="X60" s="249"/>
      <c r="Y60" s="249"/>
      <c r="Z60" s="249"/>
      <c r="AA60" s="250"/>
      <c r="AB60" s="251"/>
      <c r="AC60" s="252"/>
      <c r="AD60" s="252"/>
      <c r="AE60" s="252"/>
      <c r="AF60" s="252"/>
      <c r="AG60" s="252"/>
      <c r="AH60" s="252"/>
      <c r="AI60" s="252"/>
      <c r="AJ60" s="252"/>
      <c r="AK60" s="252"/>
      <c r="AL60" s="252"/>
      <c r="AM60" s="252"/>
      <c r="AN60" s="252"/>
      <c r="AO60" s="252"/>
      <c r="AP60" s="252"/>
      <c r="AQ60" s="253"/>
      <c r="AR60" s="245"/>
      <c r="AS60" s="246"/>
      <c r="AT60" s="246"/>
      <c r="AU60" s="246"/>
      <c r="AV60" s="246"/>
      <c r="AW60" s="247"/>
      <c r="AX60" s="248"/>
      <c r="AY60" s="249"/>
      <c r="AZ60" s="249"/>
      <c r="BA60" s="249"/>
      <c r="BB60" s="249"/>
      <c r="BC60" s="249"/>
      <c r="BD60" s="249"/>
      <c r="BE60" s="249"/>
      <c r="BF60" s="249"/>
      <c r="BG60" s="249"/>
      <c r="BH60" s="249"/>
      <c r="BI60" s="249"/>
      <c r="BJ60" s="249"/>
      <c r="BK60" s="249"/>
      <c r="BL60" s="249"/>
      <c r="BM60" s="249"/>
      <c r="BN60" s="249"/>
      <c r="BO60" s="249"/>
      <c r="BP60" s="249"/>
      <c r="BQ60" s="249"/>
      <c r="BR60" s="249"/>
      <c r="BS60" s="249"/>
      <c r="BT60" s="254"/>
      <c r="BU60" s="41"/>
      <c r="BV60" s="40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</row>
    <row r="61" spans="1:85" ht="20.100000000000001" customHeight="1" thickTop="1" thickBot="1" x14ac:dyDescent="0.5">
      <c r="A61" s="29"/>
      <c r="B61" s="40"/>
      <c r="C61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46"/>
      <c r="BR61" s="46"/>
      <c r="BS61" s="46"/>
      <c r="BT61" s="46"/>
      <c r="BU61" s="28"/>
    </row>
    <row r="62" spans="1:85" ht="20.100000000000001" customHeight="1" thickTop="1" x14ac:dyDescent="0.45">
      <c r="A62" s="29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33"/>
      <c r="BD62" s="33"/>
      <c r="BE62" s="33"/>
      <c r="BF62" s="33"/>
      <c r="BG62" s="33"/>
      <c r="BH62" s="33"/>
      <c r="BI62" s="42"/>
      <c r="BJ62" s="42"/>
      <c r="BK62" s="42"/>
      <c r="BL62" s="42"/>
      <c r="BM62" s="42"/>
      <c r="BN62" s="42"/>
      <c r="BO62" s="42"/>
      <c r="BP62" s="41"/>
    </row>
    <row r="63" spans="1:85" ht="20.100000000000001" customHeight="1" x14ac:dyDescent="0.4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</row>
    <row r="64" spans="1:85" ht="20.100000000000001" customHeight="1" x14ac:dyDescent="0.45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31"/>
      <c r="BH64" s="31"/>
      <c r="BI64" s="31"/>
      <c r="BJ64" s="31"/>
      <c r="BK64" s="31"/>
      <c r="BL64" s="31"/>
      <c r="BM64" s="31"/>
      <c r="BN64" s="31"/>
      <c r="BO64" s="31"/>
      <c r="BP64" s="31"/>
    </row>
    <row r="65" spans="1:68" ht="20.100000000000001" customHeight="1" x14ac:dyDescent="0.4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31"/>
      <c r="BH65" s="31"/>
      <c r="BI65" s="31"/>
      <c r="BJ65" s="31"/>
      <c r="BK65" s="31"/>
      <c r="BL65" s="31"/>
      <c r="BM65" s="31"/>
      <c r="BN65" s="31"/>
      <c r="BO65" s="31"/>
      <c r="BP65" s="31"/>
    </row>
    <row r="66" spans="1:68" ht="20.100000000000001" customHeight="1" x14ac:dyDescent="0.4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31"/>
      <c r="BH66" s="31"/>
      <c r="BI66" s="31"/>
      <c r="BJ66" s="31"/>
      <c r="BK66" s="31"/>
      <c r="BL66" s="31"/>
      <c r="BM66" s="31"/>
      <c r="BN66" s="31"/>
      <c r="BO66" s="31"/>
      <c r="BP66" s="31"/>
    </row>
    <row r="67" spans="1:68" ht="20.100000000000001" customHeight="1" x14ac:dyDescent="0.45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31"/>
      <c r="BH67" s="31"/>
      <c r="BI67" s="31"/>
      <c r="BJ67" s="31"/>
      <c r="BK67" s="31"/>
      <c r="BL67" s="31"/>
      <c r="BM67" s="31"/>
      <c r="BN67" s="31"/>
      <c r="BO67" s="31"/>
      <c r="BP67" s="31"/>
    </row>
    <row r="68" spans="1:68" ht="20.100000000000001" customHeight="1" x14ac:dyDescent="0.45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31"/>
      <c r="BH68" s="31"/>
      <c r="BI68" s="31"/>
      <c r="BJ68" s="31"/>
      <c r="BK68" s="31"/>
      <c r="BL68" s="31"/>
      <c r="BM68" s="31"/>
      <c r="BN68" s="31"/>
      <c r="BO68" s="31"/>
      <c r="BP68" s="31"/>
    </row>
    <row r="69" spans="1:68" ht="20.100000000000001" customHeight="1" x14ac:dyDescent="0.45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31"/>
      <c r="BH69" s="31"/>
      <c r="BI69" s="31"/>
      <c r="BJ69" s="31"/>
      <c r="BK69" s="31"/>
      <c r="BL69" s="31"/>
      <c r="BM69" s="31"/>
      <c r="BN69" s="31"/>
      <c r="BO69" s="31"/>
      <c r="BP69" s="31"/>
    </row>
    <row r="70" spans="1:68" ht="20.100000000000001" customHeight="1" x14ac:dyDescent="0.45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31"/>
      <c r="BH70" s="31"/>
      <c r="BI70" s="31"/>
      <c r="BJ70" s="31"/>
      <c r="BK70" s="31"/>
      <c r="BL70" s="31"/>
      <c r="BM70" s="31"/>
      <c r="BN70" s="31"/>
      <c r="BO70" s="31"/>
      <c r="BP70" s="31"/>
    </row>
    <row r="71" spans="1:68" ht="20.100000000000001" customHeight="1" x14ac:dyDescent="0.45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31"/>
      <c r="BH71" s="31"/>
      <c r="BI71" s="31"/>
      <c r="BJ71" s="31"/>
      <c r="BK71" s="31"/>
      <c r="BL71" s="31"/>
      <c r="BM71" s="31"/>
      <c r="BN71" s="31"/>
      <c r="BO71" s="31"/>
      <c r="BP71" s="31"/>
    </row>
    <row r="72" spans="1:68" ht="20.100000000000001" customHeight="1" x14ac:dyDescent="0.45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31"/>
      <c r="BH72" s="31"/>
      <c r="BI72" s="31"/>
      <c r="BJ72" s="31"/>
      <c r="BK72" s="31"/>
      <c r="BL72" s="31"/>
      <c r="BM72" s="31"/>
      <c r="BN72" s="31"/>
      <c r="BO72" s="31"/>
      <c r="BP72" s="31"/>
    </row>
    <row r="73" spans="1:68" ht="20.100000000000001" customHeight="1" x14ac:dyDescent="0.45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31"/>
      <c r="BH73" s="31"/>
      <c r="BI73" s="31"/>
      <c r="BJ73" s="31"/>
      <c r="BK73" s="31"/>
      <c r="BL73" s="31"/>
      <c r="BM73" s="31"/>
      <c r="BN73" s="31"/>
      <c r="BO73" s="31"/>
      <c r="BP73" s="31"/>
    </row>
    <row r="74" spans="1:68" ht="20.100000000000001" customHeight="1" x14ac:dyDescent="0.45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</row>
    <row r="75" spans="1:68" ht="20.100000000000001" customHeight="1" x14ac:dyDescent="0.45">
      <c r="B75" s="3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</row>
    <row r="76" spans="1:68" ht="20.100000000000001" customHeight="1" x14ac:dyDescent="0.45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31"/>
      <c r="BP76" s="31"/>
    </row>
    <row r="77" spans="1:68" ht="20.100000000000001" customHeight="1" x14ac:dyDescent="0.45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31"/>
      <c r="BP77" s="31"/>
    </row>
    <row r="78" spans="1:68" ht="20.100000000000001" customHeight="1" x14ac:dyDescent="0.45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31"/>
      <c r="BP78" s="31"/>
    </row>
    <row r="79" spans="1:68" ht="20.100000000000001" customHeight="1" x14ac:dyDescent="0.45">
      <c r="A79" s="29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31"/>
      <c r="BP79" s="31"/>
    </row>
    <row r="80" spans="1:68" ht="20.100000000000001" customHeight="1" x14ac:dyDescent="0.45">
      <c r="A80" s="29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31"/>
      <c r="BP80" s="31"/>
    </row>
    <row r="81" spans="1:68" ht="20.100000000000001" customHeight="1" x14ac:dyDescent="0.4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</row>
    <row r="82" spans="1:68" ht="20.100000000000001" customHeight="1" x14ac:dyDescent="0.4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</row>
    <row r="83" spans="1:68" ht="20.100000000000001" customHeight="1" x14ac:dyDescent="0.4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</row>
  </sheetData>
  <mergeCells count="424">
    <mergeCell ref="E60:L60"/>
    <mergeCell ref="M60:O60"/>
    <mergeCell ref="P60:R60"/>
    <mergeCell ref="S60:U60"/>
    <mergeCell ref="V60:AA60"/>
    <mergeCell ref="AB60:AQ60"/>
    <mergeCell ref="AR60:AW60"/>
    <mergeCell ref="AX60:BT60"/>
    <mergeCell ref="E58:L58"/>
    <mergeCell ref="M58:O58"/>
    <mergeCell ref="P58:R58"/>
    <mergeCell ref="S58:U58"/>
    <mergeCell ref="V58:AA58"/>
    <mergeCell ref="AB58:AQ58"/>
    <mergeCell ref="AR58:AW58"/>
    <mergeCell ref="AX58:BT58"/>
    <mergeCell ref="E59:L59"/>
    <mergeCell ref="M59:O59"/>
    <mergeCell ref="P59:R59"/>
    <mergeCell ref="S59:U59"/>
    <mergeCell ref="V59:AA59"/>
    <mergeCell ref="AB59:AQ59"/>
    <mergeCell ref="AR59:AW59"/>
    <mergeCell ref="AX59:BT59"/>
    <mergeCell ref="E56:L56"/>
    <mergeCell ref="M56:O56"/>
    <mergeCell ref="P56:R56"/>
    <mergeCell ref="S56:U56"/>
    <mergeCell ref="V56:AA56"/>
    <mergeCell ref="AB56:AQ56"/>
    <mergeCell ref="AR56:AW56"/>
    <mergeCell ref="AX56:BT56"/>
    <mergeCell ref="E57:L57"/>
    <mergeCell ref="M57:O57"/>
    <mergeCell ref="P57:R57"/>
    <mergeCell ref="S57:U57"/>
    <mergeCell ref="V57:AA57"/>
    <mergeCell ref="AB57:AQ57"/>
    <mergeCell ref="AR57:AW57"/>
    <mergeCell ref="AX57:BT57"/>
    <mergeCell ref="E54:L54"/>
    <mergeCell ref="M54:O54"/>
    <mergeCell ref="P54:R54"/>
    <mergeCell ref="S54:U54"/>
    <mergeCell ref="V54:AA54"/>
    <mergeCell ref="AB54:AQ54"/>
    <mergeCell ref="AR54:AW54"/>
    <mergeCell ref="AX54:BT54"/>
    <mergeCell ref="E55:L55"/>
    <mergeCell ref="M55:O55"/>
    <mergeCell ref="P55:R55"/>
    <mergeCell ref="S55:U55"/>
    <mergeCell ref="V55:AA55"/>
    <mergeCell ref="AB55:AQ55"/>
    <mergeCell ref="AR55:AW55"/>
    <mergeCell ref="AX55:BT55"/>
    <mergeCell ref="E53:L53"/>
    <mergeCell ref="M53:O53"/>
    <mergeCell ref="P53:R53"/>
    <mergeCell ref="S53:U53"/>
    <mergeCell ref="V53:AA53"/>
    <mergeCell ref="AB53:AQ53"/>
    <mergeCell ref="AR53:AW53"/>
    <mergeCell ref="AX53:BT53"/>
    <mergeCell ref="E51:L51"/>
    <mergeCell ref="M51:O51"/>
    <mergeCell ref="P51:R51"/>
    <mergeCell ref="S51:U51"/>
    <mergeCell ref="V51:AA51"/>
    <mergeCell ref="AB51:AQ51"/>
    <mergeCell ref="E52:L52"/>
    <mergeCell ref="M52:O52"/>
    <mergeCell ref="P52:R52"/>
    <mergeCell ref="S52:U52"/>
    <mergeCell ref="V52:AA52"/>
    <mergeCell ref="AB52:AQ52"/>
    <mergeCell ref="E49:L49"/>
    <mergeCell ref="M49:O49"/>
    <mergeCell ref="P49:R49"/>
    <mergeCell ref="S49:U49"/>
    <mergeCell ref="V49:AA49"/>
    <mergeCell ref="AB49:AQ49"/>
    <mergeCell ref="AR49:AW49"/>
    <mergeCell ref="AX49:BT49"/>
    <mergeCell ref="E50:L50"/>
    <mergeCell ref="M50:O50"/>
    <mergeCell ref="P50:R50"/>
    <mergeCell ref="S50:U50"/>
    <mergeCell ref="V50:AA50"/>
    <mergeCell ref="AB50:AQ50"/>
    <mergeCell ref="AR50:AW50"/>
    <mergeCell ref="AX50:BT50"/>
    <mergeCell ref="E47:L47"/>
    <mergeCell ref="M47:O47"/>
    <mergeCell ref="P47:R47"/>
    <mergeCell ref="S47:U47"/>
    <mergeCell ref="V47:AA47"/>
    <mergeCell ref="AB47:AQ47"/>
    <mergeCell ref="AR47:AW47"/>
    <mergeCell ref="AX47:BT47"/>
    <mergeCell ref="E48:L48"/>
    <mergeCell ref="M48:O48"/>
    <mergeCell ref="P48:R48"/>
    <mergeCell ref="S48:U48"/>
    <mergeCell ref="V48:AA48"/>
    <mergeCell ref="AB48:AQ48"/>
    <mergeCell ref="AR48:AW48"/>
    <mergeCell ref="AX48:BT48"/>
    <mergeCell ref="E45:L45"/>
    <mergeCell ref="M45:O45"/>
    <mergeCell ref="P45:R45"/>
    <mergeCell ref="S45:U45"/>
    <mergeCell ref="V45:AA45"/>
    <mergeCell ref="AB45:AQ45"/>
    <mergeCell ref="AR45:AW45"/>
    <mergeCell ref="AX45:BT45"/>
    <mergeCell ref="E46:L46"/>
    <mergeCell ref="M46:O46"/>
    <mergeCell ref="P46:R46"/>
    <mergeCell ref="S46:U46"/>
    <mergeCell ref="V46:AA46"/>
    <mergeCell ref="AB46:AQ46"/>
    <mergeCell ref="AR46:AW46"/>
    <mergeCell ref="AX46:BT46"/>
    <mergeCell ref="E43:L43"/>
    <mergeCell ref="M43:O43"/>
    <mergeCell ref="P43:R43"/>
    <mergeCell ref="S43:U43"/>
    <mergeCell ref="V43:AA43"/>
    <mergeCell ref="AB43:AQ43"/>
    <mergeCell ref="AR43:AW43"/>
    <mergeCell ref="AX43:BT43"/>
    <mergeCell ref="E44:L44"/>
    <mergeCell ref="M44:O44"/>
    <mergeCell ref="P44:R44"/>
    <mergeCell ref="S44:U44"/>
    <mergeCell ref="V44:AA44"/>
    <mergeCell ref="AB44:AQ44"/>
    <mergeCell ref="AR44:AW44"/>
    <mergeCell ref="AX44:BT44"/>
    <mergeCell ref="E41:L41"/>
    <mergeCell ref="M41:O41"/>
    <mergeCell ref="P41:R41"/>
    <mergeCell ref="S41:U41"/>
    <mergeCell ref="V41:AA41"/>
    <mergeCell ref="AB41:AQ41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参照!$A$1:$A$6</xm:f>
          </x14:formula1>
          <xm:sqref>M16:O16 M53:O60</xm:sqref>
        </x14:dataValidation>
        <x14:dataValidation type="list" allowBlank="1" showInputMessage="1" showErrorMessage="1">
          <x14:formula1>
            <xm:f>'\\192.168.10.37\share\02_開発\【YJY】2023_三和商研受発注システム開発\03_基本設計\02_帳票設計\[SU0100_請求書_帳票設計書.xlsx]参照'!#REF!</xm:f>
          </x14:formula1>
          <xm:sqref>M11:O15 M17:O52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64" t="s">
        <v>0</v>
      </c>
      <c r="C2" s="259"/>
      <c r="D2" s="259"/>
      <c r="E2" s="259"/>
      <c r="F2" s="259"/>
      <c r="G2" s="259"/>
      <c r="H2" s="259" t="s">
        <v>17</v>
      </c>
      <c r="I2" s="259"/>
      <c r="J2" s="259"/>
      <c r="K2" s="259"/>
      <c r="L2" s="259" t="s">
        <v>1</v>
      </c>
      <c r="M2" s="259"/>
      <c r="N2" s="259"/>
      <c r="O2" s="259"/>
      <c r="P2" s="259"/>
      <c r="Q2" s="259"/>
      <c r="R2" s="259" t="s">
        <v>2</v>
      </c>
      <c r="S2" s="259"/>
      <c r="T2" s="259"/>
      <c r="U2" s="259"/>
      <c r="V2" s="259"/>
      <c r="W2" s="259"/>
      <c r="X2" s="265" t="s">
        <v>3</v>
      </c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7"/>
      <c r="AK2" s="265" t="s">
        <v>32</v>
      </c>
      <c r="AL2" s="266"/>
      <c r="AM2" s="266"/>
      <c r="AN2" s="266"/>
      <c r="AO2" s="266"/>
      <c r="AP2" s="266"/>
      <c r="AQ2" s="266"/>
      <c r="AR2" s="266"/>
      <c r="AS2" s="266"/>
      <c r="AT2" s="266"/>
      <c r="AU2" s="266"/>
      <c r="AV2" s="266"/>
      <c r="AW2" s="267"/>
      <c r="AX2" s="259" t="s">
        <v>5</v>
      </c>
      <c r="AY2" s="259"/>
      <c r="AZ2" s="259"/>
      <c r="BA2" s="259"/>
      <c r="BB2" s="259" t="s">
        <v>4</v>
      </c>
      <c r="BC2" s="259"/>
      <c r="BD2" s="259"/>
      <c r="BE2" s="259"/>
      <c r="BF2" s="259" t="s">
        <v>6</v>
      </c>
      <c r="BG2" s="259"/>
      <c r="BH2" s="259"/>
      <c r="BI2" s="259"/>
      <c r="BJ2" s="259" t="s">
        <v>7</v>
      </c>
      <c r="BK2" s="259"/>
      <c r="BL2" s="259"/>
      <c r="BM2" s="260"/>
    </row>
    <row r="3" spans="2:65" ht="20.100000000000001" customHeight="1" x14ac:dyDescent="0.45">
      <c r="B3" s="268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SU1300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帳票設計書</v>
      </c>
      <c r="S3" s="186"/>
      <c r="T3" s="186"/>
      <c r="U3" s="186"/>
      <c r="V3" s="186"/>
      <c r="W3" s="186"/>
      <c r="X3" s="190" t="str">
        <f ca="1">変更履歴!X3</f>
        <v>SU1300_請求書(屋外広告物専用)_帳票設計書</v>
      </c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87"/>
      <c r="AK3" s="190" t="str">
        <f ca="1">変更履歴!AK3</f>
        <v>請求書(屋外広告物専用)</v>
      </c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87"/>
      <c r="AX3" s="197">
        <f>変更履歴!AX3</f>
        <v>45581</v>
      </c>
      <c r="AY3" s="197"/>
      <c r="AZ3" s="197"/>
      <c r="BA3" s="197"/>
      <c r="BB3" s="186" t="str">
        <f>変更履歴!BB3</f>
        <v>大谷</v>
      </c>
      <c r="BC3" s="186"/>
      <c r="BD3" s="186"/>
      <c r="BE3" s="186"/>
      <c r="BF3" s="197">
        <f>変更履歴!BF3</f>
        <v>45581</v>
      </c>
      <c r="BG3" s="197"/>
      <c r="BH3" s="197"/>
      <c r="BI3" s="197"/>
      <c r="BJ3" s="186" t="str">
        <f>変更履歴!BJ3</f>
        <v>大谷</v>
      </c>
      <c r="BK3" s="186"/>
      <c r="BL3" s="186"/>
      <c r="BM3" s="257"/>
    </row>
    <row r="4" spans="2:65" ht="20.100000000000001" customHeight="1" thickBot="1" x14ac:dyDescent="0.5">
      <c r="B4" s="269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61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3"/>
      <c r="AK4" s="261"/>
      <c r="AL4" s="262"/>
      <c r="AM4" s="262"/>
      <c r="AN4" s="262"/>
      <c r="AO4" s="262"/>
      <c r="AP4" s="262"/>
      <c r="AQ4" s="262"/>
      <c r="AR4" s="262"/>
      <c r="AS4" s="262"/>
      <c r="AT4" s="262"/>
      <c r="AU4" s="262"/>
      <c r="AV4" s="262"/>
      <c r="AW4" s="263"/>
      <c r="AX4" s="255"/>
      <c r="AY4" s="255"/>
      <c r="AZ4" s="255"/>
      <c r="BA4" s="255"/>
      <c r="BB4" s="256"/>
      <c r="BC4" s="256"/>
      <c r="BD4" s="256"/>
      <c r="BE4" s="256"/>
      <c r="BF4" s="255"/>
      <c r="BG4" s="255"/>
      <c r="BH4" s="255"/>
      <c r="BI4" s="255"/>
      <c r="BJ4" s="256"/>
      <c r="BK4" s="256"/>
      <c r="BL4" s="256"/>
      <c r="BM4" s="258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3" t="s">
        <v>149</v>
      </c>
      <c r="C7" s="124"/>
      <c r="D7" s="124"/>
      <c r="E7" s="124"/>
      <c r="F7" s="124"/>
      <c r="G7" s="124"/>
      <c r="H7" s="126" t="s">
        <v>177</v>
      </c>
      <c r="I7" s="125"/>
      <c r="J7" s="160" t="s">
        <v>20</v>
      </c>
      <c r="K7" s="155"/>
      <c r="L7" s="155"/>
      <c r="M7" s="155"/>
      <c r="N7" s="155"/>
      <c r="O7" s="155"/>
      <c r="P7" s="155"/>
      <c r="Q7" s="155"/>
      <c r="R7" s="160" t="s">
        <v>178</v>
      </c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6"/>
      <c r="AK7" s="127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8"/>
      <c r="BJ7" s="29"/>
      <c r="BK7" s="29"/>
      <c r="BL7" s="29"/>
      <c r="BM7" s="29"/>
    </row>
    <row r="8" spans="2:65" ht="20.100000000000001" customHeight="1" x14ac:dyDescent="0.45">
      <c r="B8" s="157"/>
      <c r="C8" s="31"/>
      <c r="D8" s="31"/>
      <c r="E8" s="31"/>
      <c r="F8" s="31"/>
      <c r="G8" s="31"/>
      <c r="H8" s="131"/>
      <c r="I8" s="130"/>
      <c r="J8" s="158" t="s">
        <v>179</v>
      </c>
      <c r="K8" s="52"/>
      <c r="L8" s="52"/>
      <c r="M8" s="52"/>
      <c r="N8" s="52"/>
      <c r="O8" s="52"/>
      <c r="P8" s="52"/>
      <c r="Q8" s="52"/>
      <c r="R8" s="158" t="s">
        <v>180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9"/>
      <c r="AK8" s="132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3"/>
      <c r="BJ8" s="29"/>
      <c r="BK8" s="29"/>
      <c r="BL8" s="29"/>
      <c r="BM8" s="29"/>
    </row>
    <row r="9" spans="2:65" ht="20.100000000000001" customHeight="1" x14ac:dyDescent="0.45">
      <c r="B9" s="157"/>
      <c r="C9" s="31"/>
      <c r="D9" s="31"/>
      <c r="E9" s="31"/>
      <c r="F9" s="31"/>
      <c r="G9" s="31"/>
      <c r="H9" s="137"/>
      <c r="I9" s="161"/>
      <c r="J9" s="158" t="s">
        <v>181</v>
      </c>
      <c r="K9" s="52"/>
      <c r="L9" s="52"/>
      <c r="M9" s="52"/>
      <c r="N9" s="52"/>
      <c r="O9" s="52"/>
      <c r="P9" s="52"/>
      <c r="Q9" s="52"/>
      <c r="R9" s="158" t="s">
        <v>182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9"/>
      <c r="AK9" s="139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40"/>
      <c r="BJ9" s="29"/>
      <c r="BK9" s="29"/>
      <c r="BL9" s="29"/>
      <c r="BM9" s="29"/>
    </row>
    <row r="10" spans="2:65" ht="20.100000000000001" customHeight="1" x14ac:dyDescent="0.45">
      <c r="B10" s="157"/>
      <c r="C10" s="31"/>
      <c r="D10" s="31"/>
      <c r="E10" s="31"/>
      <c r="F10" s="31"/>
      <c r="G10" s="130"/>
      <c r="H10" s="131" t="s">
        <v>150</v>
      </c>
      <c r="I10" s="31"/>
      <c r="J10" s="145" t="s">
        <v>151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2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3"/>
      <c r="BJ10" s="29"/>
      <c r="BK10" s="29"/>
      <c r="BL10" s="29"/>
      <c r="BM10" s="29"/>
    </row>
    <row r="11" spans="2:65" ht="20.100000000000001" customHeight="1" x14ac:dyDescent="0.45">
      <c r="B11" s="129"/>
      <c r="C11" s="31"/>
      <c r="D11" s="31"/>
      <c r="E11" s="31"/>
      <c r="F11" s="31"/>
      <c r="G11" s="130"/>
      <c r="H11" s="131"/>
      <c r="I11" s="31"/>
      <c r="J11" s="131" t="s">
        <v>152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2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3"/>
      <c r="BJ11" s="29"/>
      <c r="BK11" s="29"/>
      <c r="BL11" s="29"/>
      <c r="BM11" s="29"/>
    </row>
    <row r="12" spans="2:65" ht="20.100000000000001" customHeight="1" x14ac:dyDescent="0.45">
      <c r="B12" s="129"/>
      <c r="C12" s="31"/>
      <c r="D12" s="31"/>
      <c r="E12" s="31"/>
      <c r="F12" s="31"/>
      <c r="G12" s="130"/>
      <c r="H12" s="131"/>
      <c r="I12" s="31"/>
      <c r="J12" s="131" t="s">
        <v>153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2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3"/>
      <c r="BJ12" s="29"/>
      <c r="BK12" s="29"/>
      <c r="BL12" s="29"/>
      <c r="BM12" s="29"/>
    </row>
    <row r="13" spans="2:65" ht="20.100000000000001" customHeight="1" x14ac:dyDescent="0.45">
      <c r="B13" s="129"/>
      <c r="C13" s="31"/>
      <c r="D13" s="31"/>
      <c r="E13" s="31"/>
      <c r="F13" s="31"/>
      <c r="G13" s="130"/>
      <c r="H13" s="131"/>
      <c r="I13" s="31"/>
      <c r="J13" s="131" t="s">
        <v>154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2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3"/>
      <c r="BJ13" s="29"/>
      <c r="BK13" s="29"/>
      <c r="BL13" s="29"/>
      <c r="BM13" s="29"/>
    </row>
    <row r="14" spans="2:65" ht="20.100000000000001" customHeight="1" x14ac:dyDescent="0.45">
      <c r="B14" s="129"/>
      <c r="C14" s="31"/>
      <c r="D14" s="31"/>
      <c r="E14" s="31"/>
      <c r="F14" s="31"/>
      <c r="G14" s="130"/>
      <c r="H14" s="134" t="s">
        <v>155</v>
      </c>
      <c r="I14" s="55"/>
      <c r="J14" s="141" t="s">
        <v>156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6"/>
      <c r="BJ14" s="29"/>
      <c r="BK14" s="29"/>
      <c r="BL14" s="29"/>
      <c r="BM14" s="29"/>
    </row>
    <row r="15" spans="2:65" ht="20.100000000000001" customHeight="1" x14ac:dyDescent="0.45">
      <c r="B15" s="129"/>
      <c r="C15" s="31"/>
      <c r="D15" s="31"/>
      <c r="E15" s="31"/>
      <c r="F15" s="31"/>
      <c r="G15" s="130"/>
      <c r="H15" s="131"/>
      <c r="I15" s="31"/>
      <c r="J15" s="142"/>
      <c r="K15" s="143" t="s">
        <v>157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2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3"/>
      <c r="BJ15" s="29"/>
      <c r="BK15" s="29"/>
      <c r="BL15" s="29"/>
      <c r="BM15" s="29"/>
    </row>
    <row r="16" spans="2:65" ht="20.100000000000001" customHeight="1" x14ac:dyDescent="0.45">
      <c r="B16" s="129"/>
      <c r="C16" s="31"/>
      <c r="D16" s="31"/>
      <c r="E16" s="31"/>
      <c r="F16" s="31"/>
      <c r="G16" s="130"/>
      <c r="H16" s="131"/>
      <c r="I16" s="31"/>
      <c r="J16" s="131"/>
      <c r="K16" s="29"/>
      <c r="L16" s="144"/>
      <c r="M16" s="143" t="s">
        <v>158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2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3"/>
      <c r="BJ16" s="29"/>
      <c r="BK16" s="29"/>
      <c r="BL16" s="29"/>
      <c r="BM16" s="29"/>
    </row>
    <row r="17" spans="2:65" ht="20.100000000000001" customHeight="1" x14ac:dyDescent="0.45">
      <c r="B17" s="129"/>
      <c r="C17" s="31"/>
      <c r="D17" s="31"/>
      <c r="E17" s="31"/>
      <c r="F17" s="31"/>
      <c r="G17" s="130"/>
      <c r="H17" s="131"/>
      <c r="I17" s="31"/>
      <c r="J17" s="131"/>
      <c r="K17" s="29"/>
      <c r="L17" s="144" t="s">
        <v>159</v>
      </c>
      <c r="M17" s="143" t="s">
        <v>158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2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3"/>
      <c r="BJ17" s="29"/>
      <c r="BK17" s="29"/>
      <c r="BL17" s="29"/>
      <c r="BM17" s="29"/>
    </row>
    <row r="18" spans="2:65" ht="20.100000000000001" customHeight="1" x14ac:dyDescent="0.45">
      <c r="B18" s="129"/>
      <c r="C18" s="31"/>
      <c r="D18" s="31"/>
      <c r="E18" s="31"/>
      <c r="F18" s="31"/>
      <c r="G18" s="130"/>
      <c r="H18" s="131"/>
      <c r="I18" s="31"/>
      <c r="J18" s="131"/>
      <c r="K18" s="29"/>
      <c r="L18" s="144" t="s">
        <v>160</v>
      </c>
      <c r="M18" s="143" t="s">
        <v>158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2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3"/>
      <c r="BJ18" s="29"/>
      <c r="BK18" s="29"/>
      <c r="BL18" s="29"/>
      <c r="BM18" s="29"/>
    </row>
    <row r="19" spans="2:65" ht="20.100000000000001" customHeight="1" x14ac:dyDescent="0.45">
      <c r="B19" s="129"/>
      <c r="C19" s="31"/>
      <c r="D19" s="31"/>
      <c r="E19" s="31"/>
      <c r="F19" s="31"/>
      <c r="G19" s="130"/>
      <c r="H19" s="131"/>
      <c r="I19" s="31"/>
      <c r="J19" s="131" t="s">
        <v>161</v>
      </c>
      <c r="K19" s="144"/>
      <c r="L19" s="143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2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3"/>
      <c r="BJ19" s="29"/>
      <c r="BK19" s="29"/>
      <c r="BL19" s="29"/>
      <c r="BM19" s="29"/>
    </row>
    <row r="20" spans="2:65" ht="20.100000000000001" customHeight="1" x14ac:dyDescent="0.45">
      <c r="B20" s="129"/>
      <c r="C20" s="31"/>
      <c r="D20" s="31"/>
      <c r="E20" s="31"/>
      <c r="F20" s="31"/>
      <c r="G20" s="130"/>
      <c r="H20" s="131"/>
      <c r="I20" s="31"/>
      <c r="J20" s="131"/>
      <c r="K20" s="31" t="s">
        <v>162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2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3"/>
      <c r="BJ20" s="29"/>
      <c r="BK20" s="29"/>
      <c r="BL20" s="29"/>
      <c r="BM20" s="29"/>
    </row>
    <row r="21" spans="2:65" ht="20.100000000000001" customHeight="1" x14ac:dyDescent="0.45">
      <c r="B21" s="129"/>
      <c r="C21" s="31"/>
      <c r="D21" s="31"/>
      <c r="E21" s="31"/>
      <c r="F21" s="31"/>
      <c r="G21" s="130"/>
      <c r="H21" s="131"/>
      <c r="I21" s="31"/>
      <c r="J21" s="131"/>
      <c r="K21" s="29"/>
      <c r="L21" s="31"/>
      <c r="M21" s="31" t="s">
        <v>163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2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3"/>
    </row>
    <row r="22" spans="2:65" ht="20.100000000000001" customHeight="1" x14ac:dyDescent="0.45">
      <c r="B22" s="129"/>
      <c r="C22" s="31"/>
      <c r="D22" s="31"/>
      <c r="E22" s="31"/>
      <c r="F22" s="31"/>
      <c r="G22" s="130"/>
      <c r="H22" s="137"/>
      <c r="I22" s="138"/>
      <c r="J22" s="137"/>
      <c r="K22" s="138"/>
      <c r="L22" s="138" t="s">
        <v>159</v>
      </c>
      <c r="M22" s="138" t="s">
        <v>164</v>
      </c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9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8"/>
      <c r="BD22" s="138"/>
      <c r="BE22" s="138"/>
      <c r="BF22" s="138"/>
      <c r="BG22" s="138"/>
      <c r="BH22" s="138"/>
      <c r="BI22" s="140"/>
    </row>
    <row r="23" spans="2:65" ht="20.100000000000001" customHeight="1" x14ac:dyDescent="0.45">
      <c r="B23" s="129"/>
      <c r="C23" s="31"/>
      <c r="D23" s="31"/>
      <c r="E23" s="31"/>
      <c r="F23" s="31"/>
      <c r="G23" s="130"/>
      <c r="H23" s="131" t="s">
        <v>165</v>
      </c>
      <c r="I23" s="31"/>
      <c r="J23" s="145"/>
      <c r="K23" s="143" t="s">
        <v>166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6" t="s">
        <v>167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3"/>
    </row>
    <row r="24" spans="2:65" ht="20.100000000000001" customHeight="1" x14ac:dyDescent="0.45">
      <c r="B24" s="129"/>
      <c r="C24" s="31"/>
      <c r="D24" s="31"/>
      <c r="E24" s="31"/>
      <c r="F24" s="31"/>
      <c r="G24" s="130"/>
      <c r="H24" s="131"/>
      <c r="I24" s="31"/>
      <c r="J24" s="145" t="s">
        <v>159</v>
      </c>
      <c r="K24" s="143" t="s">
        <v>168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2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3"/>
    </row>
    <row r="25" spans="2:65" ht="20.100000000000001" customHeight="1" x14ac:dyDescent="0.45">
      <c r="B25" s="129"/>
      <c r="C25" s="31"/>
      <c r="D25" s="31"/>
      <c r="E25" s="31"/>
      <c r="F25" s="31"/>
      <c r="G25" s="130"/>
      <c r="H25" s="131"/>
      <c r="I25" s="31"/>
      <c r="J25" s="145" t="s">
        <v>160</v>
      </c>
      <c r="K25" s="143" t="s">
        <v>168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2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3"/>
    </row>
    <row r="26" spans="2:65" ht="20.100000000000001" customHeight="1" x14ac:dyDescent="0.45">
      <c r="B26" s="129"/>
      <c r="C26" s="31"/>
      <c r="D26" s="31"/>
      <c r="E26" s="31"/>
      <c r="F26" s="31"/>
      <c r="G26" s="130"/>
      <c r="H26" s="131"/>
      <c r="I26" s="31"/>
      <c r="J26" s="145" t="s">
        <v>169</v>
      </c>
      <c r="K26" s="143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2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3"/>
    </row>
    <row r="27" spans="2:65" ht="20.100000000000001" customHeight="1" x14ac:dyDescent="0.45">
      <c r="B27" s="129"/>
      <c r="C27" s="31"/>
      <c r="D27" s="31"/>
      <c r="E27" s="31"/>
      <c r="F27" s="31"/>
      <c r="G27" s="130"/>
      <c r="H27" s="131"/>
      <c r="I27" s="31"/>
      <c r="J27" s="131"/>
      <c r="K27" s="31" t="s">
        <v>170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47" t="s">
        <v>171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3"/>
    </row>
    <row r="28" spans="2:65" ht="20.100000000000001" customHeight="1" x14ac:dyDescent="0.45">
      <c r="B28" s="129"/>
      <c r="C28" s="31"/>
      <c r="D28" s="31"/>
      <c r="E28" s="31"/>
      <c r="F28" s="31"/>
      <c r="G28" s="130"/>
      <c r="H28" s="131"/>
      <c r="I28" s="31"/>
      <c r="J28" s="131" t="s">
        <v>159</v>
      </c>
      <c r="K28" s="31" t="s">
        <v>172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3"/>
    </row>
    <row r="29" spans="2:65" ht="20.100000000000001" customHeight="1" x14ac:dyDescent="0.45">
      <c r="B29" s="129"/>
      <c r="C29" s="31"/>
      <c r="D29" s="31"/>
      <c r="E29" s="31"/>
      <c r="F29" s="31"/>
      <c r="G29" s="130"/>
      <c r="H29" s="131"/>
      <c r="I29" s="31"/>
      <c r="J29" s="145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3"/>
    </row>
    <row r="30" spans="2:65" ht="20.100000000000001" customHeight="1" x14ac:dyDescent="0.45">
      <c r="B30" s="129"/>
      <c r="C30" s="31"/>
      <c r="D30" s="31"/>
      <c r="E30" s="31"/>
      <c r="F30" s="31"/>
      <c r="G30" s="130"/>
      <c r="H30" s="131"/>
      <c r="I30" s="31"/>
      <c r="J30" s="1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3"/>
    </row>
    <row r="31" spans="2:65" ht="20.100000000000001" customHeight="1" x14ac:dyDescent="0.45">
      <c r="B31" s="129"/>
      <c r="C31" s="31"/>
      <c r="D31" s="31"/>
      <c r="E31" s="31"/>
      <c r="F31" s="31"/>
      <c r="G31" s="130"/>
      <c r="H31" s="137"/>
      <c r="I31" s="138"/>
      <c r="J31" s="137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7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40"/>
    </row>
    <row r="32" spans="2:65" ht="20.100000000000001" customHeight="1" x14ac:dyDescent="0.45">
      <c r="B32" s="129"/>
      <c r="C32" s="31"/>
      <c r="D32" s="31"/>
      <c r="E32" s="31"/>
      <c r="F32" s="31"/>
      <c r="G32" s="130"/>
      <c r="H32" s="131" t="s">
        <v>173</v>
      </c>
      <c r="I32" s="31"/>
      <c r="J32" s="145" t="s">
        <v>174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3"/>
    </row>
    <row r="33" spans="2:61" ht="20.100000000000001" customHeight="1" x14ac:dyDescent="0.45">
      <c r="B33" s="129"/>
      <c r="C33" s="31"/>
      <c r="D33" s="31"/>
      <c r="E33" s="31"/>
      <c r="F33" s="31"/>
      <c r="G33" s="130"/>
      <c r="H33" s="131"/>
      <c r="I33" s="31"/>
      <c r="J33" s="145" t="s">
        <v>175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3"/>
    </row>
    <row r="34" spans="2:61" ht="20.100000000000001" customHeight="1" thickBot="1" x14ac:dyDescent="0.5">
      <c r="B34" s="148"/>
      <c r="C34" s="149"/>
      <c r="D34" s="149"/>
      <c r="E34" s="149"/>
      <c r="F34" s="149"/>
      <c r="G34" s="150"/>
      <c r="H34" s="151"/>
      <c r="I34" s="149"/>
      <c r="J34" s="151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51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2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3" t="s">
        <v>176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64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64" t="s">
        <v>0</v>
      </c>
      <c r="C2" s="259"/>
      <c r="D2" s="259"/>
      <c r="E2" s="259"/>
      <c r="F2" s="259"/>
      <c r="G2" s="259"/>
      <c r="H2" s="259" t="s">
        <v>17</v>
      </c>
      <c r="I2" s="259"/>
      <c r="J2" s="259"/>
      <c r="K2" s="259"/>
      <c r="L2" s="259" t="s">
        <v>607</v>
      </c>
      <c r="M2" s="259"/>
      <c r="N2" s="259"/>
      <c r="O2" s="259"/>
      <c r="P2" s="259"/>
      <c r="Q2" s="259"/>
      <c r="R2" s="259" t="s">
        <v>2</v>
      </c>
      <c r="S2" s="259"/>
      <c r="T2" s="259"/>
      <c r="U2" s="259"/>
      <c r="V2" s="259"/>
      <c r="W2" s="259"/>
      <c r="X2" s="259" t="s">
        <v>3</v>
      </c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 t="s">
        <v>32</v>
      </c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 t="s">
        <v>5</v>
      </c>
      <c r="AY2" s="259"/>
      <c r="AZ2" s="259"/>
      <c r="BA2" s="259"/>
      <c r="BB2" s="259" t="s">
        <v>4</v>
      </c>
      <c r="BC2" s="259"/>
      <c r="BD2" s="259"/>
      <c r="BE2" s="259"/>
      <c r="BF2" s="259" t="s">
        <v>6</v>
      </c>
      <c r="BG2" s="259"/>
      <c r="BH2" s="259"/>
      <c r="BI2" s="259"/>
      <c r="BJ2" s="259" t="s">
        <v>7</v>
      </c>
      <c r="BK2" s="259"/>
      <c r="BL2" s="259"/>
      <c r="BM2" s="260"/>
    </row>
    <row r="3" spans="2:65" ht="20.100000000000001" customHeight="1" x14ac:dyDescent="0.45">
      <c r="B3" s="268" t="str">
        <f>変更履歴!B3</f>
        <v>受発注システム</v>
      </c>
      <c r="C3" s="186"/>
      <c r="D3" s="186"/>
      <c r="E3" s="186"/>
      <c r="F3" s="186"/>
      <c r="G3" s="186"/>
      <c r="H3" s="186" t="str">
        <f>[3]変更履歴!H3</f>
        <v>27</v>
      </c>
      <c r="I3" s="186"/>
      <c r="J3" s="186"/>
      <c r="K3" s="186"/>
      <c r="L3" s="186" t="str">
        <f>[3]変更履歴!L3</f>
        <v>運用自動化</v>
      </c>
      <c r="M3" s="186"/>
      <c r="N3" s="186"/>
      <c r="O3" s="186"/>
      <c r="P3" s="186"/>
      <c r="Q3" s="186"/>
      <c r="R3" s="186" t="str">
        <f>[3]変更履歴!R3</f>
        <v>帳票設計書</v>
      </c>
      <c r="S3" s="186"/>
      <c r="T3" s="186"/>
      <c r="U3" s="186"/>
      <c r="V3" s="186"/>
      <c r="W3" s="186"/>
      <c r="X3" s="186" t="str">
        <f>[3]変更履歴!X3</f>
        <v>27_ヤオコー請求明細表_帳票設計書</v>
      </c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 t="str">
        <f>[3]変更履歴!AK3</f>
        <v>ヤオコー請求明細表</v>
      </c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97">
        <f>[3]変更履歴!AX3</f>
        <v>0</v>
      </c>
      <c r="AY3" s="197"/>
      <c r="AZ3" s="197"/>
      <c r="BA3" s="197"/>
      <c r="BB3" s="186">
        <f>[3]変更履歴!BB3</f>
        <v>0</v>
      </c>
      <c r="BC3" s="186"/>
      <c r="BD3" s="186"/>
      <c r="BE3" s="186"/>
      <c r="BF3" s="197">
        <f>[3]変更履歴!BF3</f>
        <v>0</v>
      </c>
      <c r="BG3" s="197"/>
      <c r="BH3" s="197"/>
      <c r="BI3" s="197"/>
      <c r="BJ3" s="186">
        <f>[3]変更履歴!BJ3</f>
        <v>0</v>
      </c>
      <c r="BK3" s="186"/>
      <c r="BL3" s="186"/>
      <c r="BM3" s="257"/>
    </row>
    <row r="4" spans="2:65" ht="20.100000000000001" customHeight="1" thickBot="1" x14ac:dyDescent="0.5">
      <c r="B4" s="269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256"/>
      <c r="AD4" s="256"/>
      <c r="AE4" s="256"/>
      <c r="AF4" s="256"/>
      <c r="AG4" s="256"/>
      <c r="AH4" s="256"/>
      <c r="AI4" s="256"/>
      <c r="AJ4" s="256"/>
      <c r="AK4" s="256"/>
      <c r="AL4" s="256"/>
      <c r="AM4" s="256"/>
      <c r="AN4" s="256"/>
      <c r="AO4" s="256"/>
      <c r="AP4" s="256"/>
      <c r="AQ4" s="256"/>
      <c r="AR4" s="256"/>
      <c r="AS4" s="256"/>
      <c r="AT4" s="256"/>
      <c r="AU4" s="256"/>
      <c r="AV4" s="256"/>
      <c r="AW4" s="256"/>
      <c r="AX4" s="255"/>
      <c r="AY4" s="255"/>
      <c r="AZ4" s="255"/>
      <c r="BA4" s="255"/>
      <c r="BB4" s="256"/>
      <c r="BC4" s="256"/>
      <c r="BD4" s="256"/>
      <c r="BE4" s="256"/>
      <c r="BF4" s="255"/>
      <c r="BG4" s="255"/>
      <c r="BH4" s="255"/>
      <c r="BI4" s="255"/>
      <c r="BJ4" s="256"/>
      <c r="BK4" s="256"/>
      <c r="BL4" s="256"/>
      <c r="BM4" s="258"/>
    </row>
    <row r="5" spans="2:65" ht="5.0999999999999996" customHeight="1" thickBot="1" x14ac:dyDescent="0.5"/>
    <row r="6" spans="2:65" ht="20.100000000000001" customHeight="1" x14ac:dyDescent="0.45">
      <c r="B6" s="123" t="s">
        <v>187</v>
      </c>
      <c r="C6" s="124"/>
      <c r="D6" s="124"/>
      <c r="E6" s="124"/>
      <c r="F6" s="124"/>
      <c r="G6" s="125"/>
      <c r="H6" s="126" t="s">
        <v>188</v>
      </c>
      <c r="I6" s="124"/>
      <c r="J6" s="126" t="s">
        <v>189</v>
      </c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7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8"/>
    </row>
    <row r="7" spans="2:65" ht="20.100000000000001" customHeight="1" thickBot="1" x14ac:dyDescent="0.5">
      <c r="B7" s="129"/>
      <c r="C7" s="31"/>
      <c r="D7" s="31"/>
      <c r="E7" s="31"/>
      <c r="F7" s="31"/>
      <c r="G7" s="130"/>
      <c r="H7" s="134" t="s">
        <v>146</v>
      </c>
      <c r="I7" s="55"/>
      <c r="J7" s="134" t="s">
        <v>190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13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136"/>
    </row>
    <row r="8" spans="2:65" ht="20.100000000000001" customHeight="1" x14ac:dyDescent="0.45">
      <c r="B8" s="123" t="s">
        <v>191</v>
      </c>
      <c r="C8" s="124"/>
      <c r="D8" s="124"/>
      <c r="E8" s="124"/>
      <c r="F8" s="124"/>
      <c r="G8" s="125"/>
      <c r="H8" s="126" t="s">
        <v>177</v>
      </c>
      <c r="I8" s="125"/>
      <c r="J8" s="154" t="s">
        <v>192</v>
      </c>
      <c r="K8" s="155"/>
      <c r="L8" s="155"/>
      <c r="M8" s="155"/>
      <c r="N8" s="155"/>
      <c r="O8" s="155"/>
      <c r="P8" s="155"/>
      <c r="Q8" s="155"/>
      <c r="R8" s="154" t="s">
        <v>193</v>
      </c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6"/>
      <c r="AK8" s="127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8"/>
    </row>
    <row r="9" spans="2:65" ht="20.100000000000001" customHeight="1" x14ac:dyDescent="0.45">
      <c r="B9" s="157"/>
      <c r="C9" s="31"/>
      <c r="D9" s="31"/>
      <c r="E9" s="31"/>
      <c r="F9" s="31"/>
      <c r="G9" s="130"/>
      <c r="H9" s="131"/>
      <c r="I9" s="130"/>
      <c r="J9" s="158" t="s">
        <v>194</v>
      </c>
      <c r="K9" s="52"/>
      <c r="L9" s="52"/>
      <c r="M9" s="52"/>
      <c r="N9" s="52"/>
      <c r="O9" s="52"/>
      <c r="P9" s="52"/>
      <c r="Q9" s="52"/>
      <c r="R9" s="158" t="s">
        <v>195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9"/>
      <c r="AK9" s="132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3"/>
    </row>
    <row r="10" spans="2:65" ht="20.100000000000001" customHeight="1" x14ac:dyDescent="0.45">
      <c r="B10" s="157"/>
      <c r="C10" s="31"/>
      <c r="D10" s="31"/>
      <c r="E10" s="31"/>
      <c r="F10" s="31"/>
      <c r="G10" s="130"/>
      <c r="H10" s="131"/>
      <c r="I10" s="130"/>
      <c r="J10" s="158" t="s">
        <v>196</v>
      </c>
      <c r="K10" s="52"/>
      <c r="L10" s="52"/>
      <c r="M10" s="52"/>
      <c r="N10" s="52"/>
      <c r="O10" s="52"/>
      <c r="P10" s="52"/>
      <c r="Q10" s="52"/>
      <c r="R10" s="158" t="s">
        <v>197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59"/>
      <c r="AK10" s="132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3"/>
    </row>
    <row r="11" spans="2:65" ht="20.100000000000001" customHeight="1" x14ac:dyDescent="0.45">
      <c r="B11" s="157"/>
      <c r="C11" s="31"/>
      <c r="D11" s="31"/>
      <c r="E11" s="31"/>
      <c r="F11" s="31"/>
      <c r="G11" s="130"/>
      <c r="H11" s="131"/>
      <c r="I11" s="130"/>
      <c r="J11" s="158" t="s">
        <v>198</v>
      </c>
      <c r="K11" s="52"/>
      <c r="L11" s="52"/>
      <c r="M11" s="52"/>
      <c r="N11" s="52"/>
      <c r="O11" s="52"/>
      <c r="P11" s="52"/>
      <c r="Q11" s="52"/>
      <c r="R11" s="158" t="s">
        <v>199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59"/>
      <c r="AK11" s="132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3"/>
    </row>
    <row r="12" spans="2:65" ht="20.100000000000001" customHeight="1" x14ac:dyDescent="0.45">
      <c r="B12" s="157"/>
      <c r="C12" s="31"/>
      <c r="D12" s="31"/>
      <c r="E12" s="31"/>
      <c r="F12" s="31"/>
      <c r="G12" s="130"/>
      <c r="H12" s="131"/>
      <c r="I12" s="130"/>
      <c r="J12" s="158" t="s">
        <v>200</v>
      </c>
      <c r="K12" s="52"/>
      <c r="L12" s="52"/>
      <c r="M12" s="52"/>
      <c r="N12" s="52"/>
      <c r="O12" s="52"/>
      <c r="P12" s="52"/>
      <c r="Q12" s="52"/>
      <c r="R12" s="158" t="s">
        <v>201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59"/>
      <c r="AK12" s="132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3"/>
    </row>
    <row r="13" spans="2:65" ht="20.100000000000001" customHeight="1" x14ac:dyDescent="0.45">
      <c r="B13" s="157"/>
      <c r="C13" s="31"/>
      <c r="D13" s="31"/>
      <c r="E13" s="31"/>
      <c r="F13" s="31"/>
      <c r="G13" s="130"/>
      <c r="H13" s="131"/>
      <c r="I13" s="130"/>
      <c r="J13" s="158" t="s">
        <v>202</v>
      </c>
      <c r="K13" s="52"/>
      <c r="L13" s="52"/>
      <c r="M13" s="52"/>
      <c r="N13" s="52"/>
      <c r="O13" s="52"/>
      <c r="P13" s="52"/>
      <c r="Q13" s="52"/>
      <c r="R13" s="158" t="s">
        <v>203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59"/>
      <c r="AK13" s="132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3"/>
    </row>
    <row r="14" spans="2:65" ht="20.100000000000001" customHeight="1" x14ac:dyDescent="0.45">
      <c r="B14" s="157"/>
      <c r="C14" s="31"/>
      <c r="D14" s="31"/>
      <c r="E14" s="31"/>
      <c r="F14" s="31"/>
      <c r="G14" s="130"/>
      <c r="H14" s="131"/>
      <c r="I14" s="130"/>
      <c r="J14" s="158" t="s">
        <v>204</v>
      </c>
      <c r="K14" s="52"/>
      <c r="L14" s="52"/>
      <c r="M14" s="52"/>
      <c r="N14" s="52"/>
      <c r="O14" s="52"/>
      <c r="P14" s="52"/>
      <c r="Q14" s="52"/>
      <c r="R14" s="158" t="s">
        <v>205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59"/>
      <c r="AK14" s="132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33"/>
    </row>
    <row r="15" spans="2:65" ht="20.100000000000001" customHeight="1" x14ac:dyDescent="0.45">
      <c r="B15" s="157"/>
      <c r="C15" s="31"/>
      <c r="D15" s="31"/>
      <c r="E15" s="31"/>
      <c r="F15" s="31"/>
      <c r="G15" s="130"/>
      <c r="H15" s="131"/>
      <c r="I15" s="130"/>
      <c r="J15" s="158" t="s">
        <v>206</v>
      </c>
      <c r="K15" s="52"/>
      <c r="L15" s="52"/>
      <c r="M15" s="52"/>
      <c r="N15" s="52"/>
      <c r="O15" s="52"/>
      <c r="P15" s="52"/>
      <c r="Q15" s="52"/>
      <c r="R15" s="158" t="s">
        <v>207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59"/>
      <c r="AK15" s="132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3"/>
    </row>
    <row r="16" spans="2:65" ht="20.100000000000001" customHeight="1" x14ac:dyDescent="0.45">
      <c r="B16" s="157"/>
      <c r="C16" s="31"/>
      <c r="D16" s="31"/>
      <c r="E16" s="31"/>
      <c r="F16" s="31"/>
      <c r="G16" s="130"/>
      <c r="H16" s="131"/>
      <c r="I16" s="130"/>
      <c r="J16" s="158" t="s">
        <v>208</v>
      </c>
      <c r="K16" s="52"/>
      <c r="L16" s="52"/>
      <c r="M16" s="52"/>
      <c r="N16" s="52"/>
      <c r="O16" s="52"/>
      <c r="P16" s="52"/>
      <c r="Q16" s="52"/>
      <c r="R16" s="158" t="s">
        <v>209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59"/>
      <c r="AK16" s="132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3"/>
    </row>
    <row r="17" spans="2:61" ht="20.100000000000001" customHeight="1" x14ac:dyDescent="0.45">
      <c r="B17" s="157"/>
      <c r="C17" s="31"/>
      <c r="D17" s="31"/>
      <c r="E17" s="31"/>
      <c r="F17" s="31"/>
      <c r="G17" s="130"/>
      <c r="H17" s="131"/>
      <c r="I17" s="130"/>
      <c r="J17" s="158" t="s">
        <v>210</v>
      </c>
      <c r="K17" s="52"/>
      <c r="L17" s="52"/>
      <c r="M17" s="52"/>
      <c r="N17" s="52"/>
      <c r="O17" s="52"/>
      <c r="P17" s="52"/>
      <c r="Q17" s="52"/>
      <c r="R17" s="158" t="s">
        <v>211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59"/>
      <c r="AK17" s="132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3"/>
    </row>
    <row r="18" spans="2:61" ht="20.100000000000001" customHeight="1" x14ac:dyDescent="0.45">
      <c r="B18" s="157"/>
      <c r="C18" s="31"/>
      <c r="D18" s="31"/>
      <c r="E18" s="31"/>
      <c r="F18" s="31"/>
      <c r="G18" s="130"/>
      <c r="H18" s="131"/>
      <c r="I18" s="130"/>
      <c r="J18" s="158" t="s">
        <v>212</v>
      </c>
      <c r="K18" s="52"/>
      <c r="L18" s="52"/>
      <c r="M18" s="52"/>
      <c r="N18" s="52"/>
      <c r="O18" s="52"/>
      <c r="P18" s="52"/>
      <c r="Q18" s="52"/>
      <c r="R18" s="158" t="s">
        <v>213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59"/>
      <c r="AK18" s="132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3"/>
    </row>
    <row r="19" spans="2:61" ht="20.100000000000001" customHeight="1" x14ac:dyDescent="0.45">
      <c r="B19" s="157"/>
      <c r="C19" s="31"/>
      <c r="D19" s="31"/>
      <c r="E19" s="31"/>
      <c r="F19" s="31"/>
      <c r="G19" s="130"/>
      <c r="H19" s="131"/>
      <c r="I19" s="130"/>
      <c r="J19" s="158" t="s">
        <v>214</v>
      </c>
      <c r="K19" s="52"/>
      <c r="L19" s="52"/>
      <c r="M19" s="52"/>
      <c r="N19" s="52"/>
      <c r="O19" s="52"/>
      <c r="P19" s="52"/>
      <c r="Q19" s="52"/>
      <c r="R19" s="158" t="s">
        <v>215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59"/>
      <c r="AK19" s="132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3"/>
    </row>
    <row r="20" spans="2:61" ht="20.100000000000001" customHeight="1" x14ac:dyDescent="0.45">
      <c r="B20" s="157"/>
      <c r="C20" s="31"/>
      <c r="D20" s="31"/>
      <c r="E20" s="31"/>
      <c r="F20" s="31"/>
      <c r="G20" s="130"/>
      <c r="H20" s="131"/>
      <c r="I20" s="130"/>
      <c r="J20" s="158" t="s">
        <v>216</v>
      </c>
      <c r="K20" s="52"/>
      <c r="L20" s="52"/>
      <c r="M20" s="52"/>
      <c r="N20" s="52"/>
      <c r="O20" s="52"/>
      <c r="P20" s="52"/>
      <c r="Q20" s="52"/>
      <c r="R20" s="158" t="s">
        <v>217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59"/>
      <c r="AK20" s="132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3"/>
    </row>
    <row r="21" spans="2:61" ht="20.100000000000001" customHeight="1" x14ac:dyDescent="0.45">
      <c r="B21" s="157"/>
      <c r="C21" s="31"/>
      <c r="D21" s="31"/>
      <c r="E21" s="31"/>
      <c r="F21" s="31"/>
      <c r="G21" s="130"/>
      <c r="H21" s="131"/>
      <c r="I21" s="130"/>
      <c r="J21" s="158" t="s">
        <v>218</v>
      </c>
      <c r="K21" s="52"/>
      <c r="L21" s="52"/>
      <c r="M21" s="52"/>
      <c r="N21" s="52"/>
      <c r="O21" s="52"/>
      <c r="P21" s="52"/>
      <c r="Q21" s="52"/>
      <c r="R21" s="158" t="s">
        <v>219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59"/>
      <c r="AK21" s="132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3"/>
    </row>
    <row r="22" spans="2:61" ht="20.100000000000001" customHeight="1" x14ac:dyDescent="0.45">
      <c r="B22" s="157"/>
      <c r="C22" s="31"/>
      <c r="D22" s="31"/>
      <c r="E22" s="31"/>
      <c r="F22" s="31"/>
      <c r="G22" s="130"/>
      <c r="H22" s="131"/>
      <c r="I22" s="130"/>
      <c r="J22" s="158" t="s">
        <v>220</v>
      </c>
      <c r="K22" s="52"/>
      <c r="L22" s="52"/>
      <c r="M22" s="52"/>
      <c r="N22" s="52"/>
      <c r="O22" s="52"/>
      <c r="P22" s="52"/>
      <c r="Q22" s="52"/>
      <c r="R22" s="158" t="s">
        <v>221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59"/>
      <c r="AK22" s="132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33"/>
    </row>
    <row r="23" spans="2:61" ht="20.100000000000001" customHeight="1" x14ac:dyDescent="0.45">
      <c r="B23" s="157"/>
      <c r="C23" s="31"/>
      <c r="D23" s="31"/>
      <c r="E23" s="31"/>
      <c r="F23" s="31"/>
      <c r="G23" s="130"/>
      <c r="H23" s="131"/>
      <c r="I23" s="130"/>
      <c r="J23" s="158" t="s">
        <v>222</v>
      </c>
      <c r="K23" s="52"/>
      <c r="L23" s="52"/>
      <c r="M23" s="52"/>
      <c r="N23" s="52"/>
      <c r="O23" s="52"/>
      <c r="P23" s="52"/>
      <c r="Q23" s="52"/>
      <c r="R23" s="158" t="s">
        <v>223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59"/>
      <c r="AK23" s="132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3"/>
    </row>
    <row r="24" spans="2:61" ht="20.100000000000001" customHeight="1" x14ac:dyDescent="0.45">
      <c r="B24" s="157"/>
      <c r="C24" s="31"/>
      <c r="D24" s="31"/>
      <c r="E24" s="31"/>
      <c r="F24" s="31"/>
      <c r="G24" s="130"/>
      <c r="H24" s="131"/>
      <c r="I24" s="130"/>
      <c r="J24" s="158" t="s">
        <v>224</v>
      </c>
      <c r="K24" s="52"/>
      <c r="L24" s="52"/>
      <c r="M24" s="52"/>
      <c r="N24" s="52"/>
      <c r="O24" s="52"/>
      <c r="P24" s="52"/>
      <c r="Q24" s="52"/>
      <c r="R24" s="158" t="s">
        <v>225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59"/>
      <c r="AK24" s="132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3"/>
    </row>
    <row r="25" spans="2:61" ht="20.100000000000001" customHeight="1" x14ac:dyDescent="0.45">
      <c r="B25" s="157"/>
      <c r="C25" s="31"/>
      <c r="D25" s="31"/>
      <c r="E25" s="31"/>
      <c r="F25" s="31"/>
      <c r="G25" s="130"/>
      <c r="H25" s="131"/>
      <c r="I25" s="130"/>
      <c r="J25" s="158" t="s">
        <v>226</v>
      </c>
      <c r="K25" s="52"/>
      <c r="L25" s="52"/>
      <c r="M25" s="52"/>
      <c r="N25" s="52"/>
      <c r="O25" s="52"/>
      <c r="P25" s="52"/>
      <c r="Q25" s="52"/>
      <c r="R25" s="158" t="s">
        <v>227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59"/>
      <c r="AK25" s="132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3"/>
    </row>
    <row r="26" spans="2:61" ht="20.100000000000001" customHeight="1" x14ac:dyDescent="0.45">
      <c r="B26" s="157"/>
      <c r="C26" s="31"/>
      <c r="D26" s="31"/>
      <c r="E26" s="31"/>
      <c r="F26" s="31"/>
      <c r="G26" s="130"/>
      <c r="H26" s="131"/>
      <c r="I26" s="130"/>
      <c r="J26" s="158" t="s">
        <v>228</v>
      </c>
      <c r="K26" s="52"/>
      <c r="L26" s="52"/>
      <c r="M26" s="52"/>
      <c r="N26" s="52"/>
      <c r="O26" s="52"/>
      <c r="P26" s="52"/>
      <c r="Q26" s="52"/>
      <c r="R26" s="168" t="s">
        <v>229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59"/>
      <c r="AK26" s="132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3"/>
    </row>
    <row r="27" spans="2:61" ht="20.100000000000001" customHeight="1" x14ac:dyDescent="0.45">
      <c r="B27" s="157"/>
      <c r="C27" s="31"/>
      <c r="D27" s="31"/>
      <c r="E27" s="31"/>
      <c r="F27" s="31"/>
      <c r="G27" s="130"/>
      <c r="H27" s="131"/>
      <c r="I27" s="130"/>
      <c r="J27" s="158" t="s">
        <v>230</v>
      </c>
      <c r="K27" s="52"/>
      <c r="L27" s="52"/>
      <c r="M27" s="52"/>
      <c r="N27" s="52"/>
      <c r="O27" s="52"/>
      <c r="P27" s="52"/>
      <c r="Q27" s="52"/>
      <c r="R27" s="169" t="s">
        <v>231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59"/>
      <c r="AK27" s="132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3"/>
    </row>
    <row r="28" spans="2:61" ht="20.100000000000001" customHeight="1" x14ac:dyDescent="0.45">
      <c r="B28" s="157"/>
      <c r="C28" s="31"/>
      <c r="D28" s="31"/>
      <c r="E28" s="31"/>
      <c r="F28" s="31"/>
      <c r="G28" s="130"/>
      <c r="H28" s="131"/>
      <c r="I28" s="130"/>
      <c r="J28" s="158" t="s">
        <v>232</v>
      </c>
      <c r="K28" s="52"/>
      <c r="L28" s="52"/>
      <c r="M28" s="52"/>
      <c r="N28" s="52"/>
      <c r="O28" s="52"/>
      <c r="P28" s="52"/>
      <c r="Q28" s="52"/>
      <c r="R28" s="168" t="s">
        <v>233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59"/>
      <c r="AK28" s="132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3"/>
    </row>
    <row r="29" spans="2:61" ht="20.100000000000001" customHeight="1" x14ac:dyDescent="0.45">
      <c r="B29" s="157"/>
      <c r="C29" s="31"/>
      <c r="D29" s="31"/>
      <c r="E29" s="31"/>
      <c r="F29" s="31"/>
      <c r="G29" s="130"/>
      <c r="H29" s="131"/>
      <c r="I29" s="130"/>
      <c r="J29" s="158" t="s">
        <v>234</v>
      </c>
      <c r="K29" s="52"/>
      <c r="L29" s="52"/>
      <c r="M29" s="52"/>
      <c r="N29" s="52"/>
      <c r="O29" s="52"/>
      <c r="P29" s="52"/>
      <c r="Q29" s="52"/>
      <c r="R29" s="168" t="s">
        <v>235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59"/>
      <c r="AK29" s="132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3"/>
    </row>
    <row r="30" spans="2:61" ht="20.100000000000001" customHeight="1" x14ac:dyDescent="0.45">
      <c r="B30" s="157"/>
      <c r="C30" s="31"/>
      <c r="D30" s="31"/>
      <c r="E30" s="31"/>
      <c r="F30" s="31"/>
      <c r="G30" s="130"/>
      <c r="H30" s="131"/>
      <c r="I30" s="130"/>
      <c r="J30" s="158" t="s">
        <v>236</v>
      </c>
      <c r="K30" s="52"/>
      <c r="L30" s="52"/>
      <c r="M30" s="52"/>
      <c r="N30" s="52"/>
      <c r="O30" s="52"/>
      <c r="P30" s="52"/>
      <c r="Q30" s="52"/>
      <c r="R30" s="168" t="s">
        <v>237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59"/>
      <c r="AK30" s="132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3"/>
    </row>
    <row r="31" spans="2:61" ht="20.100000000000001" customHeight="1" x14ac:dyDescent="0.45">
      <c r="B31" s="157"/>
      <c r="C31" s="31"/>
      <c r="D31" s="31"/>
      <c r="E31" s="31"/>
      <c r="F31" s="31"/>
      <c r="G31" s="130"/>
      <c r="H31" s="131"/>
      <c r="I31" s="130"/>
      <c r="J31" s="158" t="s">
        <v>238</v>
      </c>
      <c r="K31" s="52"/>
      <c r="L31" s="52"/>
      <c r="M31" s="52"/>
      <c r="N31" s="52"/>
      <c r="O31" s="52"/>
      <c r="P31" s="52"/>
      <c r="Q31" s="52"/>
      <c r="R31" s="169" t="s">
        <v>239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59"/>
      <c r="AK31" s="132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33"/>
    </row>
    <row r="32" spans="2:61" ht="20.100000000000001" customHeight="1" x14ac:dyDescent="0.45">
      <c r="B32" s="157"/>
      <c r="C32" s="31"/>
      <c r="D32" s="31"/>
      <c r="E32" s="31"/>
      <c r="F32" s="31"/>
      <c r="G32" s="130"/>
      <c r="H32" s="131"/>
      <c r="I32" s="130"/>
      <c r="J32" s="158" t="s">
        <v>240</v>
      </c>
      <c r="K32" s="52"/>
      <c r="L32" s="52"/>
      <c r="M32" s="52"/>
      <c r="N32" s="52"/>
      <c r="O32" s="52"/>
      <c r="P32" s="52"/>
      <c r="Q32" s="52"/>
      <c r="R32" s="158" t="s">
        <v>241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59"/>
      <c r="AK32" s="132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3"/>
    </row>
    <row r="33" spans="2:61" ht="20.100000000000001" customHeight="1" x14ac:dyDescent="0.45">
      <c r="B33" s="157"/>
      <c r="C33" s="31"/>
      <c r="D33" s="31"/>
      <c r="E33" s="31"/>
      <c r="F33" s="31"/>
      <c r="G33" s="130"/>
      <c r="H33" s="131"/>
      <c r="I33" s="130"/>
      <c r="J33" s="158" t="s">
        <v>242</v>
      </c>
      <c r="K33" s="52"/>
      <c r="L33" s="52"/>
      <c r="M33" s="52"/>
      <c r="N33" s="52"/>
      <c r="O33" s="52"/>
      <c r="P33" s="52"/>
      <c r="Q33" s="52"/>
      <c r="R33" s="158" t="s">
        <v>243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59"/>
      <c r="AK33" s="132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3"/>
    </row>
    <row r="34" spans="2:61" ht="20.100000000000001" customHeight="1" x14ac:dyDescent="0.45">
      <c r="B34" s="157"/>
      <c r="C34" s="31"/>
      <c r="D34" s="31"/>
      <c r="E34" s="31"/>
      <c r="F34" s="31"/>
      <c r="G34" s="130"/>
      <c r="H34" s="131"/>
      <c r="I34" s="130"/>
      <c r="J34" s="158" t="s">
        <v>244</v>
      </c>
      <c r="K34" s="52"/>
      <c r="L34" s="52"/>
      <c r="M34" s="52"/>
      <c r="N34" s="52"/>
      <c r="O34" s="52"/>
      <c r="P34" s="52"/>
      <c r="Q34" s="52"/>
      <c r="R34" s="158" t="s">
        <v>245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59"/>
      <c r="AK34" s="132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3"/>
    </row>
    <row r="35" spans="2:61" ht="20.100000000000001" customHeight="1" x14ac:dyDescent="0.45">
      <c r="B35" s="157"/>
      <c r="C35" s="31"/>
      <c r="D35" s="31"/>
      <c r="E35" s="31"/>
      <c r="F35" s="31"/>
      <c r="G35" s="130"/>
      <c r="H35" s="131"/>
      <c r="I35" s="130"/>
      <c r="J35" s="158" t="s">
        <v>246</v>
      </c>
      <c r="K35" s="52"/>
      <c r="L35" s="52"/>
      <c r="M35" s="52"/>
      <c r="N35" s="52"/>
      <c r="O35" s="52"/>
      <c r="P35" s="52"/>
      <c r="Q35" s="52"/>
      <c r="R35" s="158" t="s">
        <v>247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59"/>
      <c r="AK35" s="132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3"/>
    </row>
    <row r="36" spans="2:61" ht="20.100000000000001" customHeight="1" x14ac:dyDescent="0.45">
      <c r="B36" s="157"/>
      <c r="C36" s="31"/>
      <c r="D36" s="31"/>
      <c r="E36" s="31"/>
      <c r="F36" s="31"/>
      <c r="G36" s="130"/>
      <c r="H36" s="131"/>
      <c r="I36" s="130"/>
      <c r="J36" s="158" t="s">
        <v>248</v>
      </c>
      <c r="K36" s="52"/>
      <c r="L36" s="52"/>
      <c r="M36" s="52"/>
      <c r="N36" s="52"/>
      <c r="O36" s="52"/>
      <c r="P36" s="52"/>
      <c r="Q36" s="52"/>
      <c r="R36" s="158" t="s">
        <v>249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59"/>
      <c r="AK36" s="132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3"/>
    </row>
    <row r="37" spans="2:61" ht="20.100000000000001" customHeight="1" x14ac:dyDescent="0.45">
      <c r="B37" s="157"/>
      <c r="C37" s="31"/>
      <c r="D37" s="31"/>
      <c r="E37" s="31"/>
      <c r="F37" s="31"/>
      <c r="G37" s="130"/>
      <c r="H37" s="131"/>
      <c r="I37" s="130"/>
      <c r="J37" s="158" t="s">
        <v>250</v>
      </c>
      <c r="K37" s="52"/>
      <c r="L37" s="52"/>
      <c r="M37" s="52"/>
      <c r="N37" s="52"/>
      <c r="O37" s="52"/>
      <c r="P37" s="52"/>
      <c r="Q37" s="52"/>
      <c r="R37" s="158" t="s">
        <v>251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59"/>
      <c r="AK37" s="132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3"/>
    </row>
    <row r="38" spans="2:61" ht="20.100000000000001" customHeight="1" x14ac:dyDescent="0.45">
      <c r="B38" s="157"/>
      <c r="C38" s="31"/>
      <c r="D38" s="31"/>
      <c r="E38" s="31"/>
      <c r="F38" s="31"/>
      <c r="G38" s="130"/>
      <c r="H38" s="131"/>
      <c r="I38" s="130"/>
      <c r="J38" s="158" t="s">
        <v>252</v>
      </c>
      <c r="K38" s="52"/>
      <c r="L38" s="52"/>
      <c r="M38" s="52"/>
      <c r="N38" s="52"/>
      <c r="O38" s="52"/>
      <c r="P38" s="52"/>
      <c r="Q38" s="52"/>
      <c r="R38" s="158" t="s">
        <v>253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59"/>
      <c r="AK38" s="132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33"/>
    </row>
    <row r="39" spans="2:61" ht="20.100000000000001" customHeight="1" x14ac:dyDescent="0.45">
      <c r="B39" s="157"/>
      <c r="C39" s="31"/>
      <c r="D39" s="31"/>
      <c r="E39" s="31"/>
      <c r="F39" s="31"/>
      <c r="G39" s="130"/>
      <c r="H39" s="131"/>
      <c r="I39" s="130"/>
      <c r="J39" s="158" t="s">
        <v>254</v>
      </c>
      <c r="K39" s="52"/>
      <c r="L39" s="52"/>
      <c r="M39" s="52"/>
      <c r="N39" s="52"/>
      <c r="O39" s="52"/>
      <c r="P39" s="52"/>
      <c r="Q39" s="52"/>
      <c r="R39" s="158" t="s">
        <v>255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59"/>
      <c r="AK39" s="132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3"/>
    </row>
    <row r="40" spans="2:61" ht="20.100000000000001" customHeight="1" x14ac:dyDescent="0.45">
      <c r="B40" s="157"/>
      <c r="C40" s="31"/>
      <c r="D40" s="31"/>
      <c r="E40" s="31"/>
      <c r="F40" s="31"/>
      <c r="G40" s="130"/>
      <c r="H40" s="131"/>
      <c r="I40" s="130"/>
      <c r="J40" s="158" t="s">
        <v>256</v>
      </c>
      <c r="K40" s="52"/>
      <c r="L40" s="52"/>
      <c r="M40" s="52"/>
      <c r="N40" s="52"/>
      <c r="O40" s="52"/>
      <c r="P40" s="52"/>
      <c r="Q40" s="52"/>
      <c r="R40" s="158" t="s">
        <v>257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59"/>
      <c r="AK40" s="132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3"/>
    </row>
    <row r="41" spans="2:61" ht="20.100000000000001" customHeight="1" x14ac:dyDescent="0.45">
      <c r="B41" s="157"/>
      <c r="C41" s="31"/>
      <c r="D41" s="31"/>
      <c r="E41" s="31"/>
      <c r="F41" s="31"/>
      <c r="G41" s="130"/>
      <c r="H41" s="131"/>
      <c r="I41" s="130"/>
      <c r="J41" s="158" t="s">
        <v>258</v>
      </c>
      <c r="K41" s="52"/>
      <c r="L41" s="52"/>
      <c r="M41" s="52"/>
      <c r="N41" s="52"/>
      <c r="O41" s="52"/>
      <c r="P41" s="52"/>
      <c r="Q41" s="52"/>
      <c r="R41" s="158" t="s">
        <v>259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59"/>
      <c r="AK41" s="132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3"/>
    </row>
    <row r="42" spans="2:61" ht="20.100000000000001" customHeight="1" x14ac:dyDescent="0.45">
      <c r="B42" s="157"/>
      <c r="C42" s="31"/>
      <c r="D42" s="31"/>
      <c r="E42" s="31"/>
      <c r="F42" s="31"/>
      <c r="G42" s="130"/>
      <c r="H42" s="137"/>
      <c r="I42" s="161"/>
      <c r="J42" s="158" t="s">
        <v>260</v>
      </c>
      <c r="K42" s="52"/>
      <c r="L42" s="52"/>
      <c r="M42" s="52"/>
      <c r="N42" s="52"/>
      <c r="O42" s="52"/>
      <c r="P42" s="52"/>
      <c r="Q42" s="52"/>
      <c r="R42" s="158" t="s">
        <v>261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59"/>
      <c r="AK42" s="132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3"/>
    </row>
    <row r="43" spans="2:61" ht="20.100000000000001" customHeight="1" x14ac:dyDescent="0.45">
      <c r="B43" s="157"/>
      <c r="C43" s="31"/>
      <c r="D43" s="31"/>
      <c r="E43" s="31"/>
      <c r="F43" s="31"/>
      <c r="G43" s="130"/>
      <c r="H43" s="131" t="s">
        <v>146</v>
      </c>
      <c r="I43" s="31"/>
      <c r="J43" s="131" t="s">
        <v>262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32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3"/>
    </row>
    <row r="44" spans="2:61" ht="20.100000000000001" customHeight="1" x14ac:dyDescent="0.45">
      <c r="B44" s="129"/>
      <c r="C44" s="31"/>
      <c r="D44" s="31"/>
      <c r="E44" s="31"/>
      <c r="F44" s="31"/>
      <c r="G44" s="130"/>
      <c r="H44" s="131"/>
      <c r="I44" s="31"/>
      <c r="J44" s="131" t="s">
        <v>263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32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3"/>
    </row>
    <row r="45" spans="2:61" ht="20.100000000000001" customHeight="1" x14ac:dyDescent="0.45">
      <c r="B45" s="129"/>
      <c r="C45" s="31"/>
      <c r="D45" s="31"/>
      <c r="E45" s="31"/>
      <c r="F45" s="31"/>
      <c r="G45" s="130"/>
      <c r="H45" s="131"/>
      <c r="I45" s="31"/>
      <c r="J45" s="131" t="s">
        <v>264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32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33"/>
    </row>
    <row r="46" spans="2:61" ht="20.100000000000001" customHeight="1" x14ac:dyDescent="0.45">
      <c r="B46" s="129"/>
      <c r="C46" s="31"/>
      <c r="D46" s="31"/>
      <c r="E46" s="31"/>
      <c r="F46" s="31"/>
      <c r="G46" s="130"/>
      <c r="H46" s="131"/>
      <c r="I46" s="31"/>
      <c r="J46" s="131" t="s">
        <v>265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32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33"/>
    </row>
    <row r="47" spans="2:61" ht="20.100000000000001" customHeight="1" x14ac:dyDescent="0.45">
      <c r="B47" s="129"/>
      <c r="C47" s="31"/>
      <c r="D47" s="31"/>
      <c r="E47" s="31"/>
      <c r="F47" s="31"/>
      <c r="G47" s="130"/>
      <c r="H47" s="131"/>
      <c r="I47" s="31"/>
      <c r="J47" s="131" t="s">
        <v>266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32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3"/>
    </row>
    <row r="48" spans="2:61" ht="20.100000000000001" customHeight="1" x14ac:dyDescent="0.45">
      <c r="B48" s="129"/>
      <c r="C48" s="31"/>
      <c r="D48" s="31"/>
      <c r="E48" s="31"/>
      <c r="F48" s="31"/>
      <c r="G48" s="130"/>
      <c r="H48" s="131"/>
      <c r="I48" s="31"/>
      <c r="J48" s="131" t="s">
        <v>267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32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3"/>
    </row>
    <row r="49" spans="2:61" ht="20.100000000000001" customHeight="1" x14ac:dyDescent="0.45">
      <c r="B49" s="129"/>
      <c r="C49" s="31"/>
      <c r="D49" s="31"/>
      <c r="E49" s="31"/>
      <c r="F49" s="31"/>
      <c r="G49" s="130"/>
      <c r="H49" s="131"/>
      <c r="I49" s="31"/>
      <c r="J49" s="131" t="s">
        <v>268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32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33"/>
    </row>
    <row r="50" spans="2:61" ht="20.100000000000001" customHeight="1" x14ac:dyDescent="0.45">
      <c r="B50" s="129"/>
      <c r="C50" s="31"/>
      <c r="D50" s="31"/>
      <c r="E50" s="31"/>
      <c r="F50" s="31"/>
      <c r="G50" s="130"/>
      <c r="H50" s="134" t="s">
        <v>269</v>
      </c>
      <c r="I50" s="55"/>
      <c r="J50" s="134" t="s">
        <v>270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13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136"/>
    </row>
    <row r="51" spans="2:61" ht="20.100000000000001" customHeight="1" x14ac:dyDescent="0.45">
      <c r="B51" s="129"/>
      <c r="C51" s="31"/>
      <c r="D51" s="31"/>
      <c r="E51" s="31"/>
      <c r="F51" s="31"/>
      <c r="G51" s="130"/>
      <c r="H51" s="131"/>
      <c r="I51" s="31"/>
      <c r="J51" s="131"/>
      <c r="K51" s="31"/>
      <c r="L51" s="31" t="s">
        <v>262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32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3"/>
    </row>
    <row r="52" spans="2:61" ht="20.100000000000001" customHeight="1" x14ac:dyDescent="0.45">
      <c r="B52" s="129"/>
      <c r="C52" s="31"/>
      <c r="D52" s="31"/>
      <c r="E52" s="31"/>
      <c r="F52" s="31"/>
      <c r="G52" s="130"/>
      <c r="H52" s="131"/>
      <c r="I52" s="31"/>
      <c r="J52" s="131"/>
      <c r="K52" s="31" t="s">
        <v>271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32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3"/>
    </row>
    <row r="53" spans="2:61" ht="20.100000000000001" customHeight="1" x14ac:dyDescent="0.45">
      <c r="B53" s="129"/>
      <c r="C53" s="31"/>
      <c r="D53" s="31"/>
      <c r="E53" s="31"/>
      <c r="F53" s="31"/>
      <c r="G53" s="130"/>
      <c r="H53" s="131"/>
      <c r="I53" s="31"/>
      <c r="J53" s="131"/>
      <c r="K53" s="31"/>
      <c r="L53" s="31" t="s">
        <v>263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32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3"/>
    </row>
    <row r="54" spans="2:61" ht="20.100000000000001" customHeight="1" x14ac:dyDescent="0.45">
      <c r="B54" s="129"/>
      <c r="C54" s="31"/>
      <c r="D54" s="31"/>
      <c r="E54" s="31"/>
      <c r="F54" s="31"/>
      <c r="G54" s="130"/>
      <c r="H54" s="131"/>
      <c r="I54" s="31"/>
      <c r="J54" s="131"/>
      <c r="K54" s="31" t="s">
        <v>271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32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33"/>
    </row>
    <row r="55" spans="2:61" ht="20.100000000000001" customHeight="1" x14ac:dyDescent="0.45">
      <c r="B55" s="129"/>
      <c r="C55" s="31"/>
      <c r="D55" s="31"/>
      <c r="E55" s="31"/>
      <c r="F55" s="31"/>
      <c r="G55" s="130"/>
      <c r="H55" s="131"/>
      <c r="I55" s="31"/>
      <c r="J55" s="131"/>
      <c r="K55" s="31"/>
      <c r="L55" s="31" t="s">
        <v>264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32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3"/>
    </row>
    <row r="56" spans="2:61" ht="20.100000000000001" customHeight="1" x14ac:dyDescent="0.45">
      <c r="B56" s="129"/>
      <c r="C56" s="31"/>
      <c r="D56" s="31"/>
      <c r="E56" s="31"/>
      <c r="F56" s="31"/>
      <c r="G56" s="130"/>
      <c r="H56" s="131"/>
      <c r="I56" s="31"/>
      <c r="J56" s="131"/>
      <c r="K56" s="31" t="s">
        <v>271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32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33"/>
    </row>
    <row r="57" spans="2:61" ht="20.100000000000001" customHeight="1" x14ac:dyDescent="0.45">
      <c r="B57" s="129"/>
      <c r="C57" s="31"/>
      <c r="D57" s="31"/>
      <c r="E57" s="31"/>
      <c r="F57" s="31"/>
      <c r="G57" s="130"/>
      <c r="H57" s="131"/>
      <c r="I57" s="31"/>
      <c r="J57" s="131"/>
      <c r="K57" s="31"/>
      <c r="L57" s="31" t="s">
        <v>272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32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33"/>
    </row>
    <row r="58" spans="2:61" ht="20.100000000000001" customHeight="1" x14ac:dyDescent="0.45">
      <c r="B58" s="129"/>
      <c r="C58" s="31"/>
      <c r="D58" s="31"/>
      <c r="E58" s="31"/>
      <c r="F58" s="31"/>
      <c r="G58" s="130"/>
      <c r="H58" s="131"/>
      <c r="I58" s="31"/>
      <c r="J58" s="131"/>
      <c r="K58" s="31" t="s">
        <v>271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32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33"/>
    </row>
    <row r="59" spans="2:61" ht="20.100000000000001" customHeight="1" x14ac:dyDescent="0.45">
      <c r="B59" s="129"/>
      <c r="C59" s="31"/>
      <c r="D59" s="31"/>
      <c r="E59" s="31"/>
      <c r="F59" s="31"/>
      <c r="G59" s="130"/>
      <c r="H59" s="131"/>
      <c r="I59" s="31"/>
      <c r="J59" s="131"/>
      <c r="K59" s="31"/>
      <c r="L59" s="31" t="s">
        <v>273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32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33"/>
    </row>
    <row r="60" spans="2:61" ht="20.100000000000001" customHeight="1" x14ac:dyDescent="0.45">
      <c r="B60" s="129"/>
      <c r="C60" s="31"/>
      <c r="D60" s="31"/>
      <c r="E60" s="31"/>
      <c r="F60" s="31"/>
      <c r="G60" s="130"/>
      <c r="H60" s="131"/>
      <c r="I60" s="31"/>
      <c r="J60" s="131"/>
      <c r="K60" s="31" t="s">
        <v>271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32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33"/>
    </row>
    <row r="61" spans="2:61" ht="20.100000000000001" customHeight="1" x14ac:dyDescent="0.45">
      <c r="B61" s="129"/>
      <c r="C61" s="31"/>
      <c r="D61" s="31"/>
      <c r="E61" s="31"/>
      <c r="F61" s="31"/>
      <c r="G61" s="130"/>
      <c r="H61" s="131"/>
      <c r="I61" s="31"/>
      <c r="J61" s="131"/>
      <c r="K61" s="31"/>
      <c r="L61" s="31" t="s">
        <v>274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32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33"/>
    </row>
    <row r="62" spans="2:61" ht="20.100000000000001" customHeight="1" x14ac:dyDescent="0.45">
      <c r="B62" s="129"/>
      <c r="C62" s="31"/>
      <c r="D62" s="31"/>
      <c r="E62" s="31"/>
      <c r="F62" s="31"/>
      <c r="G62" s="130"/>
      <c r="H62" s="131"/>
      <c r="I62" s="31"/>
      <c r="J62" s="131"/>
      <c r="K62" s="31" t="s">
        <v>271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32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3"/>
    </row>
    <row r="63" spans="2:61" ht="20.100000000000001" customHeight="1" x14ac:dyDescent="0.45">
      <c r="B63" s="129"/>
      <c r="C63" s="31"/>
      <c r="D63" s="31"/>
      <c r="E63" s="31"/>
      <c r="F63" s="31"/>
      <c r="G63" s="130"/>
      <c r="H63" s="131"/>
      <c r="I63" s="31"/>
      <c r="J63" s="131"/>
      <c r="K63" s="31"/>
      <c r="L63" s="31" t="s">
        <v>268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32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33"/>
    </row>
    <row r="64" spans="2:61" ht="20.100000000000001" customHeight="1" thickBot="1" x14ac:dyDescent="0.5">
      <c r="B64" s="129"/>
      <c r="C64" s="31"/>
      <c r="D64" s="31"/>
      <c r="E64" s="31"/>
      <c r="F64" s="31"/>
      <c r="G64" s="130"/>
      <c r="H64" s="131"/>
      <c r="I64" s="31"/>
      <c r="J64" s="131" t="s">
        <v>275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32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33"/>
    </row>
    <row r="65" spans="2:61" ht="20.100000000000001" customHeight="1" x14ac:dyDescent="0.45">
      <c r="B65" s="123" t="s">
        <v>276</v>
      </c>
      <c r="C65" s="124"/>
      <c r="D65" s="124"/>
      <c r="E65" s="124"/>
      <c r="F65" s="124"/>
      <c r="G65" s="125"/>
      <c r="H65" s="126" t="s">
        <v>177</v>
      </c>
      <c r="I65" s="125"/>
      <c r="J65" s="154" t="s">
        <v>192</v>
      </c>
      <c r="K65" s="155"/>
      <c r="L65" s="155"/>
      <c r="M65" s="155"/>
      <c r="N65" s="155"/>
      <c r="O65" s="155"/>
      <c r="P65" s="155"/>
      <c r="Q65" s="155"/>
      <c r="R65" s="154" t="s">
        <v>277</v>
      </c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6"/>
      <c r="AK65" s="127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4"/>
      <c r="BH65" s="124"/>
      <c r="BI65" s="128"/>
    </row>
    <row r="66" spans="2:61" ht="20.100000000000001" customHeight="1" x14ac:dyDescent="0.45">
      <c r="B66" s="157"/>
      <c r="C66" s="31"/>
      <c r="D66" s="31"/>
      <c r="E66" s="31"/>
      <c r="F66" s="31"/>
      <c r="G66" s="130"/>
      <c r="H66" s="131"/>
      <c r="I66" s="130"/>
      <c r="J66" s="158" t="s">
        <v>194</v>
      </c>
      <c r="K66" s="52"/>
      <c r="L66" s="52"/>
      <c r="M66" s="52"/>
      <c r="N66" s="52"/>
      <c r="O66" s="52"/>
      <c r="P66" s="52"/>
      <c r="Q66" s="52"/>
      <c r="R66" s="158" t="s">
        <v>278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59"/>
      <c r="AK66" s="132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33"/>
    </row>
    <row r="67" spans="2:61" ht="20.100000000000001" customHeight="1" x14ac:dyDescent="0.45">
      <c r="B67" s="157"/>
      <c r="C67" s="31"/>
      <c r="D67" s="31"/>
      <c r="E67" s="31"/>
      <c r="F67" s="31"/>
      <c r="G67" s="130"/>
      <c r="H67" s="131"/>
      <c r="I67" s="130"/>
      <c r="J67" s="158" t="s">
        <v>196</v>
      </c>
      <c r="K67" s="52"/>
      <c r="L67" s="52"/>
      <c r="M67" s="52"/>
      <c r="N67" s="52"/>
      <c r="O67" s="52"/>
      <c r="P67" s="52"/>
      <c r="Q67" s="52"/>
      <c r="R67" s="158" t="s">
        <v>279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59"/>
      <c r="AK67" s="132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33"/>
    </row>
    <row r="68" spans="2:61" ht="20.100000000000001" customHeight="1" x14ac:dyDescent="0.45">
      <c r="B68" s="157"/>
      <c r="C68" s="31"/>
      <c r="D68" s="31"/>
      <c r="E68" s="31"/>
      <c r="F68" s="31"/>
      <c r="G68" s="130"/>
      <c r="H68" s="131"/>
      <c r="I68" s="130"/>
      <c r="J68" s="158" t="s">
        <v>198</v>
      </c>
      <c r="K68" s="52"/>
      <c r="L68" s="52"/>
      <c r="M68" s="52"/>
      <c r="N68" s="52"/>
      <c r="O68" s="52"/>
      <c r="P68" s="52"/>
      <c r="Q68" s="52"/>
      <c r="R68" s="158" t="s">
        <v>280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59"/>
      <c r="AK68" s="132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3"/>
    </row>
    <row r="69" spans="2:61" ht="20.100000000000001" customHeight="1" x14ac:dyDescent="0.45">
      <c r="B69" s="157"/>
      <c r="C69" s="31"/>
      <c r="D69" s="31"/>
      <c r="E69" s="31"/>
      <c r="F69" s="31"/>
      <c r="G69" s="130"/>
      <c r="H69" s="131"/>
      <c r="I69" s="130"/>
      <c r="J69" s="158" t="s">
        <v>200</v>
      </c>
      <c r="K69" s="52"/>
      <c r="L69" s="52"/>
      <c r="M69" s="52"/>
      <c r="N69" s="52"/>
      <c r="O69" s="52"/>
      <c r="P69" s="52"/>
      <c r="Q69" s="52"/>
      <c r="R69" s="158" t="s">
        <v>281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159"/>
      <c r="AK69" s="132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33"/>
    </row>
    <row r="70" spans="2:61" ht="20.100000000000001" customHeight="1" x14ac:dyDescent="0.45">
      <c r="B70" s="157"/>
      <c r="C70" s="31"/>
      <c r="D70" s="31"/>
      <c r="E70" s="31"/>
      <c r="F70" s="31"/>
      <c r="G70" s="130"/>
      <c r="H70" s="131"/>
      <c r="I70" s="130"/>
      <c r="J70" s="158" t="s">
        <v>202</v>
      </c>
      <c r="K70" s="52"/>
      <c r="L70" s="52"/>
      <c r="M70" s="52"/>
      <c r="N70" s="52"/>
      <c r="O70" s="52"/>
      <c r="P70" s="52"/>
      <c r="Q70" s="52"/>
      <c r="R70" s="158" t="s">
        <v>282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59"/>
      <c r="AK70" s="132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3"/>
    </row>
    <row r="71" spans="2:61" ht="20.100000000000001" customHeight="1" x14ac:dyDescent="0.45">
      <c r="B71" s="157"/>
      <c r="C71" s="31"/>
      <c r="D71" s="31"/>
      <c r="E71" s="31"/>
      <c r="F71" s="31"/>
      <c r="G71" s="130"/>
      <c r="H71" s="131"/>
      <c r="I71" s="130"/>
      <c r="J71" s="158" t="s">
        <v>204</v>
      </c>
      <c r="K71" s="52"/>
      <c r="L71" s="52"/>
      <c r="M71" s="52"/>
      <c r="N71" s="52"/>
      <c r="O71" s="52"/>
      <c r="P71" s="52"/>
      <c r="Q71" s="52"/>
      <c r="R71" s="158" t="s">
        <v>283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59"/>
      <c r="AK71" s="132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33"/>
    </row>
    <row r="72" spans="2:61" ht="20.100000000000001" customHeight="1" x14ac:dyDescent="0.45">
      <c r="B72" s="157"/>
      <c r="C72" s="31"/>
      <c r="D72" s="31"/>
      <c r="E72" s="31"/>
      <c r="F72" s="31"/>
      <c r="G72" s="130"/>
      <c r="H72" s="131"/>
      <c r="I72" s="130"/>
      <c r="J72" s="158" t="s">
        <v>206</v>
      </c>
      <c r="K72" s="52"/>
      <c r="L72" s="52"/>
      <c r="M72" s="52"/>
      <c r="N72" s="52"/>
      <c r="O72" s="52"/>
      <c r="P72" s="52"/>
      <c r="Q72" s="52"/>
      <c r="R72" s="158" t="s">
        <v>284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59"/>
      <c r="AK72" s="132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33"/>
    </row>
    <row r="73" spans="2:61" ht="20.100000000000001" customHeight="1" x14ac:dyDescent="0.45">
      <c r="B73" s="157"/>
      <c r="C73" s="31"/>
      <c r="D73" s="31"/>
      <c r="E73" s="31"/>
      <c r="F73" s="31"/>
      <c r="G73" s="130"/>
      <c r="H73" s="131"/>
      <c r="I73" s="130"/>
      <c r="J73" s="158" t="s">
        <v>208</v>
      </c>
      <c r="K73" s="52"/>
      <c r="L73" s="52"/>
      <c r="M73" s="52"/>
      <c r="N73" s="52"/>
      <c r="O73" s="52"/>
      <c r="P73" s="52"/>
      <c r="Q73" s="52"/>
      <c r="R73" s="158" t="s">
        <v>285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59"/>
      <c r="AK73" s="132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3"/>
    </row>
    <row r="74" spans="2:61" ht="20.100000000000001" customHeight="1" x14ac:dyDescent="0.45">
      <c r="B74" s="157"/>
      <c r="C74" s="31"/>
      <c r="D74" s="31"/>
      <c r="E74" s="31"/>
      <c r="F74" s="31"/>
      <c r="G74" s="130"/>
      <c r="H74" s="131"/>
      <c r="I74" s="130"/>
      <c r="J74" s="158" t="s">
        <v>210</v>
      </c>
      <c r="K74" s="52"/>
      <c r="L74" s="52"/>
      <c r="M74" s="52"/>
      <c r="N74" s="52"/>
      <c r="O74" s="52"/>
      <c r="P74" s="52"/>
      <c r="Q74" s="52"/>
      <c r="R74" s="158" t="s">
        <v>286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59"/>
      <c r="AK74" s="132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33"/>
    </row>
    <row r="75" spans="2:61" ht="20.100000000000001" customHeight="1" x14ac:dyDescent="0.45">
      <c r="B75" s="157"/>
      <c r="C75" s="31"/>
      <c r="D75" s="31"/>
      <c r="E75" s="31"/>
      <c r="F75" s="31"/>
      <c r="G75" s="130"/>
      <c r="H75" s="131"/>
      <c r="I75" s="130"/>
      <c r="J75" s="158" t="s">
        <v>212</v>
      </c>
      <c r="K75" s="52"/>
      <c r="L75" s="52"/>
      <c r="M75" s="52"/>
      <c r="N75" s="52"/>
      <c r="O75" s="52"/>
      <c r="P75" s="52"/>
      <c r="Q75" s="52"/>
      <c r="R75" s="158" t="s">
        <v>287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59"/>
      <c r="AK75" s="132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3"/>
    </row>
    <row r="76" spans="2:61" ht="20.100000000000001" customHeight="1" x14ac:dyDescent="0.45">
      <c r="B76" s="157"/>
      <c r="C76" s="31"/>
      <c r="D76" s="31"/>
      <c r="E76" s="31"/>
      <c r="F76" s="31"/>
      <c r="G76" s="130"/>
      <c r="H76" s="131"/>
      <c r="I76" s="130"/>
      <c r="J76" s="158" t="s">
        <v>214</v>
      </c>
      <c r="K76" s="52"/>
      <c r="L76" s="52"/>
      <c r="M76" s="52"/>
      <c r="N76" s="52"/>
      <c r="O76" s="52"/>
      <c r="P76" s="52"/>
      <c r="Q76" s="52"/>
      <c r="R76" s="158" t="s">
        <v>288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59"/>
      <c r="AK76" s="132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3"/>
    </row>
    <row r="77" spans="2:61" ht="20.100000000000001" customHeight="1" x14ac:dyDescent="0.45">
      <c r="B77" s="157"/>
      <c r="C77" s="31"/>
      <c r="D77" s="31"/>
      <c r="E77" s="31"/>
      <c r="F77" s="31"/>
      <c r="G77" s="130"/>
      <c r="H77" s="131"/>
      <c r="I77" s="130"/>
      <c r="J77" s="158" t="s">
        <v>216</v>
      </c>
      <c r="K77" s="52"/>
      <c r="L77" s="52"/>
      <c r="M77" s="52"/>
      <c r="N77" s="52"/>
      <c r="O77" s="52"/>
      <c r="P77" s="52"/>
      <c r="Q77" s="52"/>
      <c r="R77" s="158" t="s">
        <v>289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59"/>
      <c r="AK77" s="132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33"/>
    </row>
    <row r="78" spans="2:61" ht="20.100000000000001" customHeight="1" x14ac:dyDescent="0.45">
      <c r="B78" s="157"/>
      <c r="C78" s="31"/>
      <c r="D78" s="31"/>
      <c r="E78" s="31"/>
      <c r="F78" s="31"/>
      <c r="G78" s="130"/>
      <c r="H78" s="131"/>
      <c r="I78" s="130"/>
      <c r="J78" s="158" t="s">
        <v>218</v>
      </c>
      <c r="K78" s="52"/>
      <c r="L78" s="52"/>
      <c r="M78" s="52"/>
      <c r="N78" s="52"/>
      <c r="O78" s="52"/>
      <c r="P78" s="52"/>
      <c r="Q78" s="52"/>
      <c r="R78" s="158" t="s">
        <v>290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59"/>
      <c r="AK78" s="132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33"/>
    </row>
    <row r="79" spans="2:61" ht="20.100000000000001" customHeight="1" x14ac:dyDescent="0.45">
      <c r="B79" s="157"/>
      <c r="C79" s="31"/>
      <c r="D79" s="31"/>
      <c r="E79" s="31"/>
      <c r="F79" s="31"/>
      <c r="G79" s="130"/>
      <c r="H79" s="131"/>
      <c r="I79" s="130"/>
      <c r="J79" s="158" t="s">
        <v>220</v>
      </c>
      <c r="K79" s="52"/>
      <c r="L79" s="52"/>
      <c r="M79" s="52"/>
      <c r="N79" s="52"/>
      <c r="O79" s="52"/>
      <c r="P79" s="52"/>
      <c r="Q79" s="52"/>
      <c r="R79" s="158" t="s">
        <v>291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59"/>
      <c r="AK79" s="132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33"/>
    </row>
    <row r="80" spans="2:61" ht="20.100000000000001" customHeight="1" x14ac:dyDescent="0.45">
      <c r="B80" s="157"/>
      <c r="C80" s="31"/>
      <c r="D80" s="31"/>
      <c r="E80" s="31"/>
      <c r="F80" s="31"/>
      <c r="G80" s="130"/>
      <c r="H80" s="131"/>
      <c r="I80" s="130"/>
      <c r="J80" s="158" t="s">
        <v>222</v>
      </c>
      <c r="K80" s="52"/>
      <c r="L80" s="52"/>
      <c r="M80" s="52"/>
      <c r="N80" s="52"/>
      <c r="O80" s="52"/>
      <c r="P80" s="52"/>
      <c r="Q80" s="52"/>
      <c r="R80" s="158" t="s">
        <v>292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59"/>
      <c r="AK80" s="132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3"/>
    </row>
    <row r="81" spans="2:61" ht="20.100000000000001" customHeight="1" x14ac:dyDescent="0.45">
      <c r="B81" s="157"/>
      <c r="C81" s="31"/>
      <c r="D81" s="31"/>
      <c r="E81" s="31"/>
      <c r="F81" s="31"/>
      <c r="G81" s="130"/>
      <c r="H81" s="131"/>
      <c r="I81" s="130"/>
      <c r="J81" s="158" t="s">
        <v>224</v>
      </c>
      <c r="K81" s="52"/>
      <c r="L81" s="52"/>
      <c r="M81" s="52"/>
      <c r="N81" s="52"/>
      <c r="O81" s="52"/>
      <c r="P81" s="52"/>
      <c r="Q81" s="52"/>
      <c r="R81" s="158" t="s">
        <v>293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59"/>
      <c r="AK81" s="132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33"/>
    </row>
    <row r="82" spans="2:61" ht="20.100000000000001" customHeight="1" x14ac:dyDescent="0.45">
      <c r="B82" s="157"/>
      <c r="C82" s="31"/>
      <c r="D82" s="31"/>
      <c r="E82" s="31"/>
      <c r="F82" s="31"/>
      <c r="G82" s="130"/>
      <c r="H82" s="131"/>
      <c r="I82" s="130"/>
      <c r="J82" s="158" t="s">
        <v>226</v>
      </c>
      <c r="K82" s="52"/>
      <c r="L82" s="52"/>
      <c r="M82" s="52"/>
      <c r="N82" s="52"/>
      <c r="O82" s="52"/>
      <c r="P82" s="52"/>
      <c r="Q82" s="52"/>
      <c r="R82" s="158" t="s">
        <v>294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159"/>
      <c r="AK82" s="132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33"/>
    </row>
    <row r="83" spans="2:61" ht="20.100000000000001" customHeight="1" x14ac:dyDescent="0.45">
      <c r="B83" s="157"/>
      <c r="C83" s="31"/>
      <c r="D83" s="31"/>
      <c r="E83" s="31"/>
      <c r="F83" s="31"/>
      <c r="G83" s="130"/>
      <c r="H83" s="131"/>
      <c r="I83" s="130"/>
      <c r="J83" s="158" t="s">
        <v>228</v>
      </c>
      <c r="K83" s="52"/>
      <c r="L83" s="52"/>
      <c r="M83" s="52"/>
      <c r="N83" s="52"/>
      <c r="O83" s="52"/>
      <c r="P83" s="52"/>
      <c r="Q83" s="52"/>
      <c r="R83" s="158" t="s">
        <v>295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59"/>
      <c r="AK83" s="132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33"/>
    </row>
    <row r="84" spans="2:61" ht="20.100000000000001" customHeight="1" x14ac:dyDescent="0.45">
      <c r="B84" s="157"/>
      <c r="C84" s="31"/>
      <c r="D84" s="31"/>
      <c r="E84" s="31"/>
      <c r="F84" s="31"/>
      <c r="G84" s="130"/>
      <c r="H84" s="131"/>
      <c r="I84" s="130"/>
      <c r="J84" s="158" t="s">
        <v>230</v>
      </c>
      <c r="K84" s="52"/>
      <c r="L84" s="52"/>
      <c r="M84" s="52"/>
      <c r="N84" s="52"/>
      <c r="O84" s="52"/>
      <c r="P84" s="52"/>
      <c r="Q84" s="52"/>
      <c r="R84" s="170" t="s">
        <v>296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59"/>
      <c r="AK84" s="132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33"/>
    </row>
    <row r="85" spans="2:61" ht="20.100000000000001" customHeight="1" x14ac:dyDescent="0.45">
      <c r="B85" s="157"/>
      <c r="C85" s="31"/>
      <c r="D85" s="31"/>
      <c r="E85" s="31"/>
      <c r="F85" s="31"/>
      <c r="G85" s="130"/>
      <c r="H85" s="131"/>
      <c r="I85" s="130"/>
      <c r="J85" s="158" t="s">
        <v>232</v>
      </c>
      <c r="K85" s="52"/>
      <c r="L85" s="52"/>
      <c r="M85" s="52"/>
      <c r="N85" s="52"/>
      <c r="O85" s="52"/>
      <c r="P85" s="52"/>
      <c r="Q85" s="52"/>
      <c r="R85" s="158" t="s">
        <v>297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59"/>
      <c r="AK85" s="132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33"/>
    </row>
    <row r="86" spans="2:61" ht="20.100000000000001" customHeight="1" x14ac:dyDescent="0.45">
      <c r="B86" s="157"/>
      <c r="C86" s="31"/>
      <c r="D86" s="31"/>
      <c r="E86" s="31"/>
      <c r="F86" s="31"/>
      <c r="G86" s="130"/>
      <c r="H86" s="131"/>
      <c r="I86" s="130"/>
      <c r="J86" s="158" t="s">
        <v>234</v>
      </c>
      <c r="K86" s="52"/>
      <c r="L86" s="52"/>
      <c r="M86" s="52"/>
      <c r="N86" s="52"/>
      <c r="O86" s="52"/>
      <c r="P86" s="52"/>
      <c r="Q86" s="52"/>
      <c r="R86" s="158" t="s">
        <v>298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159"/>
      <c r="AK86" s="132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33"/>
    </row>
    <row r="87" spans="2:61" ht="20.100000000000001" customHeight="1" x14ac:dyDescent="0.45">
      <c r="B87" s="157"/>
      <c r="C87" s="31"/>
      <c r="D87" s="31"/>
      <c r="E87" s="31"/>
      <c r="F87" s="31"/>
      <c r="G87" s="130"/>
      <c r="H87" s="131"/>
      <c r="I87" s="130"/>
      <c r="J87" s="158" t="s">
        <v>236</v>
      </c>
      <c r="K87" s="52"/>
      <c r="L87" s="52"/>
      <c r="M87" s="52"/>
      <c r="N87" s="52"/>
      <c r="O87" s="52"/>
      <c r="P87" s="52"/>
      <c r="Q87" s="52"/>
      <c r="R87" s="158" t="s">
        <v>299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159"/>
      <c r="AK87" s="132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133"/>
    </row>
    <row r="88" spans="2:61" ht="20.100000000000001" customHeight="1" x14ac:dyDescent="0.45">
      <c r="B88" s="157"/>
      <c r="C88" s="31"/>
      <c r="D88" s="31"/>
      <c r="E88" s="31"/>
      <c r="F88" s="31"/>
      <c r="G88" s="130"/>
      <c r="H88" s="131"/>
      <c r="I88" s="130"/>
      <c r="J88" s="158" t="s">
        <v>238</v>
      </c>
      <c r="K88" s="52"/>
      <c r="L88" s="52"/>
      <c r="M88" s="52"/>
      <c r="N88" s="52"/>
      <c r="O88" s="52"/>
      <c r="P88" s="52"/>
      <c r="Q88" s="52"/>
      <c r="R88" s="170" t="s">
        <v>300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59"/>
      <c r="AK88" s="132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33"/>
    </row>
    <row r="89" spans="2:61" ht="20.100000000000001" customHeight="1" x14ac:dyDescent="0.45">
      <c r="B89" s="157"/>
      <c r="C89" s="31"/>
      <c r="D89" s="31"/>
      <c r="E89" s="31"/>
      <c r="F89" s="31"/>
      <c r="G89" s="130"/>
      <c r="H89" s="131"/>
      <c r="I89" s="130"/>
      <c r="J89" s="158" t="s">
        <v>240</v>
      </c>
      <c r="K89" s="52"/>
      <c r="L89" s="52"/>
      <c r="M89" s="52"/>
      <c r="N89" s="52"/>
      <c r="O89" s="52"/>
      <c r="P89" s="52"/>
      <c r="Q89" s="52"/>
      <c r="R89" s="158">
        <v>0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59"/>
      <c r="AK89" s="132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33"/>
    </row>
    <row r="90" spans="2:61" ht="20.100000000000001" customHeight="1" x14ac:dyDescent="0.45">
      <c r="B90" s="157"/>
      <c r="C90" s="31"/>
      <c r="D90" s="31"/>
      <c r="E90" s="31"/>
      <c r="F90" s="31"/>
      <c r="G90" s="130"/>
      <c r="H90" s="131"/>
      <c r="I90" s="130"/>
      <c r="J90" s="158" t="s">
        <v>242</v>
      </c>
      <c r="K90" s="52"/>
      <c r="L90" s="52"/>
      <c r="M90" s="52"/>
      <c r="N90" s="52"/>
      <c r="O90" s="52"/>
      <c r="P90" s="52"/>
      <c r="Q90" s="52"/>
      <c r="R90" s="158">
        <v>0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59"/>
      <c r="AK90" s="132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33"/>
    </row>
    <row r="91" spans="2:61" ht="20.100000000000001" customHeight="1" x14ac:dyDescent="0.45">
      <c r="B91" s="157"/>
      <c r="C91" s="31"/>
      <c r="D91" s="31"/>
      <c r="E91" s="31"/>
      <c r="F91" s="31"/>
      <c r="G91" s="130"/>
      <c r="H91" s="131"/>
      <c r="I91" s="130"/>
      <c r="J91" s="158" t="s">
        <v>244</v>
      </c>
      <c r="K91" s="52"/>
      <c r="L91" s="52"/>
      <c r="M91" s="52"/>
      <c r="N91" s="52"/>
      <c r="O91" s="52"/>
      <c r="P91" s="52"/>
      <c r="Q91" s="52"/>
      <c r="R91" s="158" t="s">
        <v>301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59"/>
      <c r="AK91" s="132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33"/>
    </row>
    <row r="92" spans="2:61" ht="20.100000000000001" customHeight="1" x14ac:dyDescent="0.45">
      <c r="B92" s="157"/>
      <c r="C92" s="31"/>
      <c r="D92" s="31"/>
      <c r="E92" s="31"/>
      <c r="F92" s="31"/>
      <c r="G92" s="130"/>
      <c r="H92" s="131"/>
      <c r="I92" s="130"/>
      <c r="J92" s="158" t="s">
        <v>246</v>
      </c>
      <c r="K92" s="52"/>
      <c r="L92" s="52"/>
      <c r="M92" s="52"/>
      <c r="N92" s="52"/>
      <c r="O92" s="52"/>
      <c r="P92" s="52"/>
      <c r="Q92" s="52"/>
      <c r="R92" s="158" t="s">
        <v>302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59"/>
      <c r="AK92" s="132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3"/>
    </row>
    <row r="93" spans="2:61" ht="20.100000000000001" customHeight="1" x14ac:dyDescent="0.45">
      <c r="B93" s="157"/>
      <c r="C93" s="31"/>
      <c r="D93" s="31"/>
      <c r="E93" s="31"/>
      <c r="F93" s="31"/>
      <c r="G93" s="130"/>
      <c r="H93" s="131"/>
      <c r="I93" s="130"/>
      <c r="J93" s="158" t="s">
        <v>248</v>
      </c>
      <c r="K93" s="52"/>
      <c r="L93" s="52"/>
      <c r="M93" s="52"/>
      <c r="N93" s="52"/>
      <c r="O93" s="52"/>
      <c r="P93" s="52"/>
      <c r="Q93" s="52"/>
      <c r="R93" s="158" t="s">
        <v>303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59"/>
      <c r="AK93" s="132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33"/>
    </row>
    <row r="94" spans="2:61" ht="20.100000000000001" customHeight="1" x14ac:dyDescent="0.45">
      <c r="B94" s="157"/>
      <c r="C94" s="31"/>
      <c r="D94" s="31"/>
      <c r="E94" s="31"/>
      <c r="F94" s="31"/>
      <c r="G94" s="130"/>
      <c r="H94" s="131"/>
      <c r="I94" s="130"/>
      <c r="J94" s="158" t="s">
        <v>250</v>
      </c>
      <c r="K94" s="52"/>
      <c r="L94" s="52"/>
      <c r="M94" s="52"/>
      <c r="N94" s="52"/>
      <c r="O94" s="52"/>
      <c r="P94" s="52"/>
      <c r="Q94" s="52"/>
      <c r="R94" s="158" t="s">
        <v>304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59"/>
      <c r="AK94" s="132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33"/>
    </row>
    <row r="95" spans="2:61" ht="20.100000000000001" customHeight="1" x14ac:dyDescent="0.45">
      <c r="B95" s="157"/>
      <c r="C95" s="31"/>
      <c r="D95" s="31"/>
      <c r="E95" s="31"/>
      <c r="F95" s="31"/>
      <c r="G95" s="130"/>
      <c r="H95" s="131"/>
      <c r="I95" s="130"/>
      <c r="J95" s="158" t="s">
        <v>252</v>
      </c>
      <c r="K95" s="52"/>
      <c r="L95" s="52"/>
      <c r="M95" s="52"/>
      <c r="N95" s="52"/>
      <c r="O95" s="52"/>
      <c r="P95" s="52"/>
      <c r="Q95" s="52"/>
      <c r="R95" s="158" t="s">
        <v>305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59"/>
      <c r="AK95" s="132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33"/>
    </row>
    <row r="96" spans="2:61" ht="20.100000000000001" customHeight="1" x14ac:dyDescent="0.45">
      <c r="B96" s="157"/>
      <c r="C96" s="31"/>
      <c r="D96" s="31"/>
      <c r="E96" s="31"/>
      <c r="F96" s="31"/>
      <c r="G96" s="130"/>
      <c r="H96" s="131"/>
      <c r="I96" s="130"/>
      <c r="J96" s="158" t="s">
        <v>254</v>
      </c>
      <c r="K96" s="52"/>
      <c r="L96" s="52"/>
      <c r="M96" s="52"/>
      <c r="N96" s="52"/>
      <c r="O96" s="52"/>
      <c r="P96" s="52"/>
      <c r="Q96" s="52"/>
      <c r="R96" s="158" t="s">
        <v>306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59"/>
      <c r="AK96" s="132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33"/>
    </row>
    <row r="97" spans="2:61" ht="20.100000000000001" customHeight="1" x14ac:dyDescent="0.45">
      <c r="B97" s="157"/>
      <c r="C97" s="31"/>
      <c r="D97" s="31"/>
      <c r="E97" s="31"/>
      <c r="F97" s="31"/>
      <c r="G97" s="130"/>
      <c r="H97" s="131"/>
      <c r="I97" s="130"/>
      <c r="J97" s="158" t="s">
        <v>256</v>
      </c>
      <c r="K97" s="52"/>
      <c r="L97" s="52"/>
      <c r="M97" s="52"/>
      <c r="N97" s="52"/>
      <c r="O97" s="52"/>
      <c r="P97" s="52"/>
      <c r="Q97" s="52"/>
      <c r="R97" s="158" t="s">
        <v>307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59"/>
      <c r="AK97" s="132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3"/>
    </row>
    <row r="98" spans="2:61" ht="20.100000000000001" customHeight="1" x14ac:dyDescent="0.45">
      <c r="B98" s="157"/>
      <c r="C98" s="31"/>
      <c r="D98" s="31"/>
      <c r="E98" s="31"/>
      <c r="F98" s="31"/>
      <c r="G98" s="130"/>
      <c r="H98" s="131"/>
      <c r="I98" s="130"/>
      <c r="J98" s="158" t="s">
        <v>258</v>
      </c>
      <c r="K98" s="52"/>
      <c r="L98" s="52"/>
      <c r="M98" s="52"/>
      <c r="N98" s="52"/>
      <c r="O98" s="52"/>
      <c r="P98" s="52"/>
      <c r="Q98" s="52"/>
      <c r="R98" s="158" t="s">
        <v>308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59"/>
      <c r="AK98" s="132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3"/>
    </row>
    <row r="99" spans="2:61" ht="20.100000000000001" customHeight="1" x14ac:dyDescent="0.45">
      <c r="B99" s="157"/>
      <c r="C99" s="31"/>
      <c r="D99" s="31"/>
      <c r="E99" s="31"/>
      <c r="F99" s="31"/>
      <c r="G99" s="130"/>
      <c r="H99" s="131"/>
      <c r="I99" s="130"/>
      <c r="J99" s="134" t="s">
        <v>260</v>
      </c>
      <c r="K99" s="55"/>
      <c r="L99" s="55"/>
      <c r="M99" s="55"/>
      <c r="N99" s="55"/>
      <c r="O99" s="55"/>
      <c r="P99" s="55"/>
      <c r="Q99" s="55"/>
      <c r="R99" s="134" t="s">
        <v>309</v>
      </c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171"/>
      <c r="AK99" s="132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33"/>
    </row>
    <row r="100" spans="2:61" ht="20.100000000000001" customHeight="1" x14ac:dyDescent="0.45">
      <c r="B100" s="157"/>
      <c r="C100" s="31"/>
      <c r="D100" s="31"/>
      <c r="E100" s="31"/>
      <c r="F100" s="31"/>
      <c r="G100" s="130"/>
      <c r="H100" s="134" t="s">
        <v>146</v>
      </c>
      <c r="I100" s="55"/>
      <c r="J100" s="134" t="s">
        <v>310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13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136"/>
    </row>
    <row r="101" spans="2:61" ht="20.100000000000001" customHeight="1" x14ac:dyDescent="0.45">
      <c r="B101" s="129"/>
      <c r="C101" s="31"/>
      <c r="D101" s="31"/>
      <c r="E101" s="31"/>
      <c r="F101" s="31"/>
      <c r="G101" s="130"/>
      <c r="H101" s="131"/>
      <c r="I101" s="31"/>
      <c r="J101" s="131" t="s">
        <v>311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132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33"/>
    </row>
    <row r="102" spans="2:61" ht="20.100000000000001" customHeight="1" x14ac:dyDescent="0.45">
      <c r="B102" s="129"/>
      <c r="C102" s="31"/>
      <c r="D102" s="31"/>
      <c r="E102" s="31"/>
      <c r="F102" s="31"/>
      <c r="G102" s="130"/>
      <c r="H102" s="131"/>
      <c r="I102" s="31"/>
      <c r="J102" s="131" t="s">
        <v>312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132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33"/>
    </row>
    <row r="103" spans="2:61" ht="20.100000000000001" customHeight="1" x14ac:dyDescent="0.45">
      <c r="B103" s="129"/>
      <c r="C103" s="31"/>
      <c r="D103" s="31"/>
      <c r="E103" s="31"/>
      <c r="F103" s="31"/>
      <c r="G103" s="130"/>
      <c r="H103" s="131"/>
      <c r="I103" s="31"/>
      <c r="J103" s="131" t="s">
        <v>313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132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33"/>
    </row>
    <row r="104" spans="2:61" ht="20.100000000000001" customHeight="1" x14ac:dyDescent="0.45">
      <c r="B104" s="129"/>
      <c r="C104" s="31"/>
      <c r="D104" s="31"/>
      <c r="E104" s="31"/>
      <c r="F104" s="31"/>
      <c r="G104" s="130"/>
      <c r="H104" s="131"/>
      <c r="I104" s="31"/>
      <c r="J104" s="131" t="s">
        <v>314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32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33"/>
    </row>
    <row r="105" spans="2:61" ht="20.100000000000001" customHeight="1" x14ac:dyDescent="0.45">
      <c r="B105" s="129"/>
      <c r="C105" s="31"/>
      <c r="D105" s="31"/>
      <c r="E105" s="31"/>
      <c r="F105" s="31"/>
      <c r="G105" s="130"/>
      <c r="H105" s="134" t="s">
        <v>147</v>
      </c>
      <c r="I105" s="55"/>
      <c r="J105" s="134" t="s">
        <v>315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13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136"/>
    </row>
    <row r="106" spans="2:61" ht="20.100000000000001" customHeight="1" x14ac:dyDescent="0.45">
      <c r="B106" s="129"/>
      <c r="C106" s="31"/>
      <c r="D106" s="31"/>
      <c r="E106" s="31"/>
      <c r="F106" s="31"/>
      <c r="G106" s="130"/>
      <c r="H106" s="131"/>
      <c r="I106" s="31"/>
      <c r="J106" s="131"/>
      <c r="K106" s="31" t="s">
        <v>316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132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33"/>
    </row>
    <row r="107" spans="2:61" ht="20.100000000000001" customHeight="1" x14ac:dyDescent="0.45">
      <c r="B107" s="129"/>
      <c r="C107" s="31"/>
      <c r="D107" s="31"/>
      <c r="E107" s="31"/>
      <c r="F107" s="31"/>
      <c r="G107" s="130"/>
      <c r="H107" s="131"/>
      <c r="I107" s="31"/>
      <c r="J107" s="131"/>
      <c r="K107" s="31"/>
      <c r="M107" s="31" t="s">
        <v>317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132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33"/>
    </row>
    <row r="108" spans="2:61" ht="20.100000000000001" customHeight="1" x14ac:dyDescent="0.45">
      <c r="B108" s="129"/>
      <c r="C108" s="31"/>
      <c r="D108" s="31"/>
      <c r="E108" s="31"/>
      <c r="F108" s="31"/>
      <c r="G108" s="130"/>
      <c r="H108" s="131"/>
      <c r="I108" s="31"/>
      <c r="J108" s="131" t="s">
        <v>315</v>
      </c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132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33"/>
    </row>
    <row r="109" spans="2:61" ht="20.100000000000001" customHeight="1" x14ac:dyDescent="0.45">
      <c r="B109" s="129"/>
      <c r="C109" s="31"/>
      <c r="D109" s="31"/>
      <c r="E109" s="31"/>
      <c r="F109" s="31"/>
      <c r="G109" s="130"/>
      <c r="H109" s="131"/>
      <c r="I109" s="31"/>
      <c r="J109" s="131"/>
      <c r="K109" s="31" t="s">
        <v>318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132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33"/>
    </row>
    <row r="110" spans="2:61" ht="20.100000000000001" customHeight="1" x14ac:dyDescent="0.45">
      <c r="B110" s="129"/>
      <c r="C110" s="31"/>
      <c r="D110" s="31"/>
      <c r="E110" s="31"/>
      <c r="F110" s="31"/>
      <c r="G110" s="130"/>
      <c r="H110" s="131"/>
      <c r="I110" s="31"/>
      <c r="J110" s="131"/>
      <c r="K110" s="31"/>
      <c r="M110" s="31" t="s">
        <v>319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32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33"/>
    </row>
    <row r="111" spans="2:61" ht="20.100000000000001" customHeight="1" x14ac:dyDescent="0.45">
      <c r="B111" s="129"/>
      <c r="C111" s="31"/>
      <c r="D111" s="31"/>
      <c r="E111" s="31"/>
      <c r="F111" s="31"/>
      <c r="G111" s="130"/>
      <c r="H111" s="131"/>
      <c r="I111" s="31"/>
      <c r="J111" s="131" t="s">
        <v>315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32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3"/>
    </row>
    <row r="112" spans="2:61" ht="20.100000000000001" customHeight="1" x14ac:dyDescent="0.45">
      <c r="B112" s="129"/>
      <c r="C112" s="31"/>
      <c r="D112" s="31"/>
      <c r="E112" s="31"/>
      <c r="F112" s="31"/>
      <c r="G112" s="130"/>
      <c r="H112" s="131"/>
      <c r="I112" s="31"/>
      <c r="J112" s="131"/>
      <c r="K112" s="6" t="s">
        <v>320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32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33"/>
    </row>
    <row r="113" spans="2:61" ht="20.100000000000001" customHeight="1" x14ac:dyDescent="0.45">
      <c r="B113" s="129"/>
      <c r="C113" s="31"/>
      <c r="D113" s="31"/>
      <c r="E113" s="31"/>
      <c r="F113" s="31"/>
      <c r="G113" s="130"/>
      <c r="H113" s="131"/>
      <c r="I113" s="31"/>
      <c r="J113" s="131"/>
      <c r="L113" s="31"/>
      <c r="M113" s="31" t="s">
        <v>321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32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33"/>
    </row>
    <row r="114" spans="2:61" ht="20.100000000000001" customHeight="1" x14ac:dyDescent="0.45">
      <c r="B114" s="129"/>
      <c r="C114" s="31"/>
      <c r="D114" s="31"/>
      <c r="E114" s="31"/>
      <c r="F114" s="31"/>
      <c r="G114" s="130"/>
      <c r="H114" s="131"/>
      <c r="I114" s="31"/>
      <c r="J114" s="131" t="s">
        <v>322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32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3"/>
    </row>
    <row r="115" spans="2:61" ht="20.100000000000001" customHeight="1" x14ac:dyDescent="0.45">
      <c r="B115" s="129"/>
      <c r="C115" s="31"/>
      <c r="D115" s="31"/>
      <c r="E115" s="31"/>
      <c r="F115" s="31"/>
      <c r="G115" s="130"/>
      <c r="H115" s="131"/>
      <c r="I115" s="31"/>
      <c r="J115" s="131"/>
      <c r="K115" s="31" t="s">
        <v>323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32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3"/>
    </row>
    <row r="116" spans="2:61" ht="20.100000000000001" customHeight="1" x14ac:dyDescent="0.45">
      <c r="B116" s="129"/>
      <c r="C116" s="31"/>
      <c r="D116" s="31"/>
      <c r="E116" s="31"/>
      <c r="F116" s="31"/>
      <c r="G116" s="130"/>
      <c r="H116" s="131"/>
      <c r="I116" s="31"/>
      <c r="J116" s="131"/>
      <c r="L116" s="31"/>
      <c r="M116" s="31" t="s">
        <v>324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32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3"/>
    </row>
    <row r="117" spans="2:61" ht="20.100000000000001" customHeight="1" x14ac:dyDescent="0.45">
      <c r="B117" s="129"/>
      <c r="C117" s="31"/>
      <c r="D117" s="31"/>
      <c r="E117" s="31"/>
      <c r="F117" s="31"/>
      <c r="G117" s="130"/>
      <c r="H117" s="131"/>
      <c r="I117" s="31"/>
      <c r="J117" s="131"/>
      <c r="L117" s="31" t="s">
        <v>325</v>
      </c>
      <c r="M117" s="31" t="s">
        <v>326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132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33"/>
    </row>
    <row r="118" spans="2:61" ht="20.100000000000001" customHeight="1" x14ac:dyDescent="0.45">
      <c r="B118" s="129"/>
      <c r="C118" s="31"/>
      <c r="D118" s="31"/>
      <c r="E118" s="31"/>
      <c r="F118" s="31"/>
      <c r="G118" s="130"/>
      <c r="H118" s="134" t="s">
        <v>148</v>
      </c>
      <c r="I118" s="55"/>
      <c r="J118" s="134"/>
      <c r="K118" s="55" t="s">
        <v>327</v>
      </c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13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136"/>
    </row>
    <row r="119" spans="2:61" ht="20.100000000000001" customHeight="1" x14ac:dyDescent="0.45">
      <c r="B119" s="129"/>
      <c r="C119" s="31"/>
      <c r="D119" s="31"/>
      <c r="E119" s="31"/>
      <c r="F119" s="31"/>
      <c r="G119" s="130"/>
      <c r="H119" s="131"/>
      <c r="I119" s="31"/>
      <c r="J119" s="131" t="s">
        <v>325</v>
      </c>
      <c r="K119" s="31" t="s">
        <v>328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3"/>
    </row>
    <row r="120" spans="2:61" ht="20.100000000000001" customHeight="1" x14ac:dyDescent="0.45">
      <c r="B120" s="129"/>
      <c r="C120" s="31"/>
      <c r="D120" s="31"/>
      <c r="E120" s="31"/>
      <c r="F120" s="31"/>
      <c r="G120" s="130"/>
      <c r="H120" s="131"/>
      <c r="I120" s="31"/>
      <c r="J120" s="131" t="s">
        <v>325</v>
      </c>
      <c r="K120" s="31" t="s">
        <v>329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3"/>
    </row>
    <row r="121" spans="2:61" ht="20.100000000000001" customHeight="1" thickBot="1" x14ac:dyDescent="0.5">
      <c r="B121" s="129"/>
      <c r="C121" s="31"/>
      <c r="D121" s="31"/>
      <c r="E121" s="31"/>
      <c r="F121" s="31"/>
      <c r="G121" s="130"/>
      <c r="H121" s="131"/>
      <c r="I121" s="31"/>
      <c r="J121" s="131" t="s">
        <v>325</v>
      </c>
      <c r="K121" s="31" t="s">
        <v>330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132" t="s">
        <v>331</v>
      </c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33"/>
    </row>
    <row r="122" spans="2:61" ht="20.100000000000001" customHeight="1" x14ac:dyDescent="0.45">
      <c r="B122" s="123" t="s">
        <v>332</v>
      </c>
      <c r="C122" s="124"/>
      <c r="D122" s="124"/>
      <c r="E122" s="124"/>
      <c r="F122" s="124"/>
      <c r="G122" s="125"/>
      <c r="H122" s="126" t="s">
        <v>177</v>
      </c>
      <c r="I122" s="125"/>
      <c r="J122" s="154" t="s">
        <v>192</v>
      </c>
      <c r="K122" s="155"/>
      <c r="L122" s="155"/>
      <c r="M122" s="155"/>
      <c r="N122" s="155"/>
      <c r="O122" s="155"/>
      <c r="P122" s="155"/>
      <c r="Q122" s="155"/>
      <c r="R122" s="154" t="s">
        <v>277</v>
      </c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6"/>
      <c r="AK122" s="127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8"/>
    </row>
    <row r="123" spans="2:61" ht="20.100000000000001" customHeight="1" x14ac:dyDescent="0.45">
      <c r="B123" s="157"/>
      <c r="C123" s="31"/>
      <c r="D123" s="31"/>
      <c r="E123" s="31"/>
      <c r="F123" s="31"/>
      <c r="G123" s="130"/>
      <c r="H123" s="131"/>
      <c r="I123" s="130"/>
      <c r="J123" s="158" t="s">
        <v>194</v>
      </c>
      <c r="K123" s="52"/>
      <c r="L123" s="52"/>
      <c r="M123" s="52"/>
      <c r="N123" s="52"/>
      <c r="O123" s="52"/>
      <c r="P123" s="52"/>
      <c r="Q123" s="52"/>
      <c r="R123" s="158" t="s">
        <v>278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159"/>
      <c r="AK123" s="132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33"/>
    </row>
    <row r="124" spans="2:61" ht="20.100000000000001" customHeight="1" x14ac:dyDescent="0.45">
      <c r="B124" s="157"/>
      <c r="C124" s="31"/>
      <c r="D124" s="31"/>
      <c r="E124" s="31"/>
      <c r="F124" s="31"/>
      <c r="G124" s="130"/>
      <c r="H124" s="131"/>
      <c r="I124" s="130"/>
      <c r="J124" s="158" t="s">
        <v>196</v>
      </c>
      <c r="K124" s="52"/>
      <c r="L124" s="52"/>
      <c r="M124" s="52"/>
      <c r="N124" s="52"/>
      <c r="O124" s="52"/>
      <c r="P124" s="52"/>
      <c r="Q124" s="52"/>
      <c r="R124" s="158" t="s">
        <v>279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159"/>
      <c r="AK124" s="132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3"/>
    </row>
    <row r="125" spans="2:61" ht="20.100000000000001" customHeight="1" x14ac:dyDescent="0.45">
      <c r="B125" s="157"/>
      <c r="C125" s="31"/>
      <c r="D125" s="31"/>
      <c r="E125" s="31"/>
      <c r="F125" s="31"/>
      <c r="G125" s="130"/>
      <c r="H125" s="131"/>
      <c r="I125" s="130"/>
      <c r="J125" s="158" t="s">
        <v>198</v>
      </c>
      <c r="K125" s="52"/>
      <c r="L125" s="52"/>
      <c r="M125" s="52"/>
      <c r="N125" s="52"/>
      <c r="O125" s="52"/>
      <c r="P125" s="52"/>
      <c r="Q125" s="52"/>
      <c r="R125" s="158" t="s">
        <v>280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159"/>
      <c r="AK125" s="132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33"/>
    </row>
    <row r="126" spans="2:61" ht="20.100000000000001" customHeight="1" x14ac:dyDescent="0.45">
      <c r="B126" s="157"/>
      <c r="C126" s="31"/>
      <c r="D126" s="31"/>
      <c r="E126" s="31"/>
      <c r="F126" s="31"/>
      <c r="G126" s="130"/>
      <c r="H126" s="131"/>
      <c r="I126" s="130"/>
      <c r="J126" s="158" t="s">
        <v>200</v>
      </c>
      <c r="K126" s="52"/>
      <c r="L126" s="52"/>
      <c r="M126" s="52"/>
      <c r="N126" s="52"/>
      <c r="O126" s="52"/>
      <c r="P126" s="52"/>
      <c r="Q126" s="52"/>
      <c r="R126" s="158" t="s">
        <v>281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59"/>
      <c r="AK126" s="132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33"/>
    </row>
    <row r="127" spans="2:61" ht="20.100000000000001" customHeight="1" x14ac:dyDescent="0.45">
      <c r="B127" s="157"/>
      <c r="C127" s="31"/>
      <c r="D127" s="31"/>
      <c r="E127" s="31"/>
      <c r="F127" s="31"/>
      <c r="G127" s="130"/>
      <c r="H127" s="131"/>
      <c r="I127" s="130"/>
      <c r="J127" s="158" t="s">
        <v>202</v>
      </c>
      <c r="K127" s="52"/>
      <c r="L127" s="52"/>
      <c r="M127" s="52"/>
      <c r="N127" s="52"/>
      <c r="O127" s="52"/>
      <c r="P127" s="52"/>
      <c r="Q127" s="52"/>
      <c r="R127" s="158" t="s">
        <v>282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59"/>
      <c r="AK127" s="132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33"/>
    </row>
    <row r="128" spans="2:61" ht="20.100000000000001" customHeight="1" x14ac:dyDescent="0.45">
      <c r="B128" s="157"/>
      <c r="C128" s="31"/>
      <c r="D128" s="31"/>
      <c r="E128" s="31"/>
      <c r="F128" s="31"/>
      <c r="G128" s="130"/>
      <c r="H128" s="131"/>
      <c r="I128" s="130"/>
      <c r="J128" s="158" t="s">
        <v>204</v>
      </c>
      <c r="K128" s="52"/>
      <c r="L128" s="52"/>
      <c r="M128" s="52"/>
      <c r="N128" s="52"/>
      <c r="O128" s="52"/>
      <c r="P128" s="52"/>
      <c r="Q128" s="52"/>
      <c r="R128" s="158" t="s">
        <v>283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59"/>
      <c r="AK128" s="132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3"/>
    </row>
    <row r="129" spans="2:61" ht="20.100000000000001" customHeight="1" x14ac:dyDescent="0.45">
      <c r="B129" s="157"/>
      <c r="C129" s="31"/>
      <c r="D129" s="31"/>
      <c r="E129" s="31"/>
      <c r="F129" s="31"/>
      <c r="G129" s="130"/>
      <c r="H129" s="131"/>
      <c r="I129" s="130"/>
      <c r="J129" s="158" t="s">
        <v>206</v>
      </c>
      <c r="K129" s="52"/>
      <c r="L129" s="52"/>
      <c r="M129" s="52"/>
      <c r="N129" s="52"/>
      <c r="O129" s="52"/>
      <c r="P129" s="52"/>
      <c r="Q129" s="52"/>
      <c r="R129" s="158" t="s">
        <v>284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59"/>
      <c r="AK129" s="132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33"/>
    </row>
    <row r="130" spans="2:61" ht="20.100000000000001" customHeight="1" x14ac:dyDescent="0.45">
      <c r="B130" s="157"/>
      <c r="C130" s="31"/>
      <c r="D130" s="31"/>
      <c r="E130" s="31"/>
      <c r="F130" s="31"/>
      <c r="G130" s="130"/>
      <c r="H130" s="131"/>
      <c r="I130" s="130"/>
      <c r="J130" s="158" t="s">
        <v>208</v>
      </c>
      <c r="K130" s="52"/>
      <c r="L130" s="52"/>
      <c r="M130" s="52"/>
      <c r="N130" s="52"/>
      <c r="O130" s="52"/>
      <c r="P130" s="52"/>
      <c r="Q130" s="52"/>
      <c r="R130" s="158" t="s">
        <v>285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59"/>
      <c r="AK130" s="132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33"/>
    </row>
    <row r="131" spans="2:61" ht="20.100000000000001" customHeight="1" x14ac:dyDescent="0.45">
      <c r="B131" s="157"/>
      <c r="C131" s="31"/>
      <c r="D131" s="31"/>
      <c r="E131" s="31"/>
      <c r="F131" s="31"/>
      <c r="G131" s="130"/>
      <c r="H131" s="131"/>
      <c r="I131" s="130"/>
      <c r="J131" s="158" t="s">
        <v>210</v>
      </c>
      <c r="K131" s="52"/>
      <c r="L131" s="52"/>
      <c r="M131" s="52"/>
      <c r="N131" s="52"/>
      <c r="O131" s="52"/>
      <c r="P131" s="52"/>
      <c r="Q131" s="52"/>
      <c r="R131" s="158" t="s">
        <v>286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59"/>
      <c r="AK131" s="132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33"/>
    </row>
    <row r="132" spans="2:61" ht="20.100000000000001" customHeight="1" x14ac:dyDescent="0.45">
      <c r="B132" s="157"/>
      <c r="C132" s="31"/>
      <c r="D132" s="31"/>
      <c r="E132" s="31"/>
      <c r="F132" s="31"/>
      <c r="G132" s="130"/>
      <c r="H132" s="131"/>
      <c r="I132" s="130"/>
      <c r="J132" s="158" t="s">
        <v>212</v>
      </c>
      <c r="K132" s="52"/>
      <c r="L132" s="52"/>
      <c r="M132" s="52"/>
      <c r="N132" s="52"/>
      <c r="O132" s="52"/>
      <c r="P132" s="52"/>
      <c r="Q132" s="52"/>
      <c r="R132" s="158" t="s">
        <v>287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59"/>
      <c r="AK132" s="132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33"/>
    </row>
    <row r="133" spans="2:61" ht="20.100000000000001" customHeight="1" x14ac:dyDescent="0.45">
      <c r="B133" s="157"/>
      <c r="C133" s="31"/>
      <c r="D133" s="31"/>
      <c r="E133" s="31"/>
      <c r="F133" s="31"/>
      <c r="G133" s="130"/>
      <c r="H133" s="131"/>
      <c r="I133" s="130"/>
      <c r="J133" s="158" t="s">
        <v>214</v>
      </c>
      <c r="K133" s="52"/>
      <c r="L133" s="52"/>
      <c r="M133" s="52"/>
      <c r="N133" s="52"/>
      <c r="O133" s="52"/>
      <c r="P133" s="52"/>
      <c r="Q133" s="52"/>
      <c r="R133" s="158" t="s">
        <v>288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59"/>
      <c r="AK133" s="132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3"/>
    </row>
    <row r="134" spans="2:61" ht="20.100000000000001" customHeight="1" x14ac:dyDescent="0.45">
      <c r="B134" s="157"/>
      <c r="C134" s="31"/>
      <c r="D134" s="31"/>
      <c r="E134" s="31"/>
      <c r="F134" s="31"/>
      <c r="G134" s="130"/>
      <c r="H134" s="131"/>
      <c r="I134" s="130"/>
      <c r="J134" s="158" t="s">
        <v>216</v>
      </c>
      <c r="K134" s="52"/>
      <c r="L134" s="52"/>
      <c r="M134" s="52"/>
      <c r="N134" s="52"/>
      <c r="O134" s="52"/>
      <c r="P134" s="52"/>
      <c r="Q134" s="52"/>
      <c r="R134" s="158" t="s">
        <v>289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59"/>
      <c r="AK134" s="132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3"/>
    </row>
    <row r="135" spans="2:61" ht="20.100000000000001" customHeight="1" x14ac:dyDescent="0.45">
      <c r="B135" s="157"/>
      <c r="C135" s="31"/>
      <c r="D135" s="31"/>
      <c r="E135" s="31"/>
      <c r="F135" s="31"/>
      <c r="G135" s="130"/>
      <c r="H135" s="131"/>
      <c r="I135" s="130"/>
      <c r="J135" s="158" t="s">
        <v>218</v>
      </c>
      <c r="K135" s="52"/>
      <c r="L135" s="52"/>
      <c r="M135" s="52"/>
      <c r="N135" s="52"/>
      <c r="O135" s="52"/>
      <c r="P135" s="52"/>
      <c r="Q135" s="52"/>
      <c r="R135" s="158" t="s">
        <v>290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59"/>
      <c r="AK135" s="132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3"/>
    </row>
    <row r="136" spans="2:61" ht="20.100000000000001" customHeight="1" x14ac:dyDescent="0.45">
      <c r="B136" s="157"/>
      <c r="C136" s="31"/>
      <c r="D136" s="31"/>
      <c r="E136" s="31"/>
      <c r="F136" s="31"/>
      <c r="G136" s="130"/>
      <c r="H136" s="131"/>
      <c r="I136" s="130"/>
      <c r="J136" s="158" t="s">
        <v>220</v>
      </c>
      <c r="K136" s="52"/>
      <c r="L136" s="52"/>
      <c r="M136" s="52"/>
      <c r="N136" s="52"/>
      <c r="O136" s="52"/>
      <c r="P136" s="52"/>
      <c r="Q136" s="52"/>
      <c r="R136" s="158" t="s">
        <v>291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159"/>
      <c r="AK136" s="132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3"/>
    </row>
    <row r="137" spans="2:61" ht="20.100000000000001" customHeight="1" x14ac:dyDescent="0.45">
      <c r="B137" s="157"/>
      <c r="C137" s="31"/>
      <c r="D137" s="31"/>
      <c r="E137" s="31"/>
      <c r="F137" s="31"/>
      <c r="G137" s="130"/>
      <c r="H137" s="131"/>
      <c r="I137" s="130"/>
      <c r="J137" s="158" t="s">
        <v>222</v>
      </c>
      <c r="K137" s="52"/>
      <c r="L137" s="52"/>
      <c r="M137" s="52"/>
      <c r="N137" s="52"/>
      <c r="O137" s="52"/>
      <c r="P137" s="52"/>
      <c r="Q137" s="52"/>
      <c r="R137" s="158" t="s">
        <v>292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59"/>
      <c r="AK137" s="132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33"/>
    </row>
    <row r="138" spans="2:61" ht="20.100000000000001" customHeight="1" x14ac:dyDescent="0.45">
      <c r="B138" s="157"/>
      <c r="C138" s="31"/>
      <c r="D138" s="31"/>
      <c r="E138" s="31"/>
      <c r="F138" s="31"/>
      <c r="G138" s="130"/>
      <c r="H138" s="131"/>
      <c r="I138" s="130"/>
      <c r="J138" s="158" t="s">
        <v>224</v>
      </c>
      <c r="K138" s="52"/>
      <c r="L138" s="52"/>
      <c r="M138" s="52"/>
      <c r="N138" s="52"/>
      <c r="O138" s="52"/>
      <c r="P138" s="52"/>
      <c r="Q138" s="52"/>
      <c r="R138" s="158" t="s">
        <v>293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59"/>
      <c r="AK138" s="132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3"/>
    </row>
    <row r="139" spans="2:61" ht="20.100000000000001" customHeight="1" x14ac:dyDescent="0.45">
      <c r="B139" s="157"/>
      <c r="C139" s="31"/>
      <c r="D139" s="31"/>
      <c r="E139" s="31"/>
      <c r="F139" s="31"/>
      <c r="G139" s="130"/>
      <c r="H139" s="131"/>
      <c r="I139" s="130"/>
      <c r="J139" s="158" t="s">
        <v>226</v>
      </c>
      <c r="K139" s="52"/>
      <c r="L139" s="52"/>
      <c r="M139" s="52"/>
      <c r="N139" s="52"/>
      <c r="O139" s="52"/>
      <c r="P139" s="52"/>
      <c r="Q139" s="52"/>
      <c r="R139" s="158" t="s">
        <v>294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59"/>
      <c r="AK139" s="132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33"/>
    </row>
    <row r="140" spans="2:61" ht="20.100000000000001" customHeight="1" x14ac:dyDescent="0.45">
      <c r="B140" s="157"/>
      <c r="C140" s="31"/>
      <c r="D140" s="31"/>
      <c r="E140" s="31"/>
      <c r="F140" s="31"/>
      <c r="G140" s="130"/>
      <c r="H140" s="131"/>
      <c r="I140" s="130"/>
      <c r="J140" s="158" t="s">
        <v>228</v>
      </c>
      <c r="K140" s="52"/>
      <c r="L140" s="52"/>
      <c r="M140" s="52"/>
      <c r="N140" s="52"/>
      <c r="O140" s="52"/>
      <c r="P140" s="52"/>
      <c r="Q140" s="52"/>
      <c r="R140" s="158" t="s">
        <v>295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59"/>
      <c r="AK140" s="132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33"/>
    </row>
    <row r="141" spans="2:61" ht="20.100000000000001" customHeight="1" x14ac:dyDescent="0.45">
      <c r="B141" s="157"/>
      <c r="C141" s="31"/>
      <c r="D141" s="31"/>
      <c r="E141" s="31"/>
      <c r="F141" s="31"/>
      <c r="G141" s="130"/>
      <c r="H141" s="131"/>
      <c r="I141" s="130"/>
      <c r="J141" s="158" t="s">
        <v>230</v>
      </c>
      <c r="K141" s="52"/>
      <c r="L141" s="52"/>
      <c r="M141" s="52"/>
      <c r="N141" s="52"/>
      <c r="O141" s="52"/>
      <c r="P141" s="52"/>
      <c r="Q141" s="52"/>
      <c r="R141" s="170" t="s">
        <v>296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59"/>
      <c r="AK141" s="132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33"/>
    </row>
    <row r="142" spans="2:61" ht="20.100000000000001" customHeight="1" x14ac:dyDescent="0.45">
      <c r="B142" s="157"/>
      <c r="C142" s="31"/>
      <c r="D142" s="31"/>
      <c r="E142" s="31"/>
      <c r="F142" s="31"/>
      <c r="G142" s="130"/>
      <c r="H142" s="131"/>
      <c r="I142" s="130"/>
      <c r="J142" s="158" t="s">
        <v>232</v>
      </c>
      <c r="K142" s="52"/>
      <c r="L142" s="52"/>
      <c r="M142" s="52"/>
      <c r="N142" s="52"/>
      <c r="O142" s="52"/>
      <c r="P142" s="52"/>
      <c r="Q142" s="52"/>
      <c r="R142" s="158" t="s">
        <v>297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59"/>
      <c r="AK142" s="132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33"/>
    </row>
    <row r="143" spans="2:61" ht="20.100000000000001" customHeight="1" x14ac:dyDescent="0.45">
      <c r="B143" s="157"/>
      <c r="C143" s="31"/>
      <c r="D143" s="31"/>
      <c r="E143" s="31"/>
      <c r="F143" s="31"/>
      <c r="G143" s="130"/>
      <c r="H143" s="131"/>
      <c r="I143" s="130"/>
      <c r="J143" s="158" t="s">
        <v>234</v>
      </c>
      <c r="K143" s="52"/>
      <c r="L143" s="52"/>
      <c r="M143" s="52"/>
      <c r="N143" s="52"/>
      <c r="O143" s="52"/>
      <c r="P143" s="52"/>
      <c r="Q143" s="52"/>
      <c r="R143" s="158" t="s">
        <v>298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59"/>
      <c r="AK143" s="132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33"/>
    </row>
    <row r="144" spans="2:61" ht="20.100000000000001" customHeight="1" x14ac:dyDescent="0.45">
      <c r="B144" s="157"/>
      <c r="C144" s="31"/>
      <c r="D144" s="31"/>
      <c r="E144" s="31"/>
      <c r="F144" s="31"/>
      <c r="G144" s="130"/>
      <c r="H144" s="131"/>
      <c r="I144" s="130"/>
      <c r="J144" s="158" t="s">
        <v>236</v>
      </c>
      <c r="K144" s="52"/>
      <c r="L144" s="52"/>
      <c r="M144" s="52"/>
      <c r="N144" s="52"/>
      <c r="O144" s="52"/>
      <c r="P144" s="52"/>
      <c r="Q144" s="52"/>
      <c r="R144" s="158" t="s">
        <v>299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59"/>
      <c r="AK144" s="132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3"/>
    </row>
    <row r="145" spans="2:61" ht="20.100000000000001" customHeight="1" x14ac:dyDescent="0.45">
      <c r="B145" s="157"/>
      <c r="C145" s="31"/>
      <c r="D145" s="31"/>
      <c r="E145" s="31"/>
      <c r="F145" s="31"/>
      <c r="G145" s="130"/>
      <c r="H145" s="131"/>
      <c r="I145" s="130"/>
      <c r="J145" s="158" t="s">
        <v>238</v>
      </c>
      <c r="K145" s="52"/>
      <c r="L145" s="52"/>
      <c r="M145" s="52"/>
      <c r="N145" s="52"/>
      <c r="O145" s="52"/>
      <c r="P145" s="52"/>
      <c r="Q145" s="52"/>
      <c r="R145" s="170" t="s">
        <v>300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59"/>
      <c r="AK145" s="132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33"/>
    </row>
    <row r="146" spans="2:61" ht="20.100000000000001" customHeight="1" x14ac:dyDescent="0.45">
      <c r="B146" s="157"/>
      <c r="C146" s="31"/>
      <c r="D146" s="31"/>
      <c r="E146" s="31"/>
      <c r="F146" s="31"/>
      <c r="G146" s="130"/>
      <c r="H146" s="131"/>
      <c r="I146" s="130"/>
      <c r="J146" s="158" t="s">
        <v>240</v>
      </c>
      <c r="K146" s="52"/>
      <c r="L146" s="52"/>
      <c r="M146" s="52"/>
      <c r="N146" s="52"/>
      <c r="O146" s="52"/>
      <c r="P146" s="52"/>
      <c r="Q146" s="52"/>
      <c r="R146" s="158">
        <v>0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59"/>
      <c r="AK146" s="132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33"/>
    </row>
    <row r="147" spans="2:61" ht="20.100000000000001" customHeight="1" x14ac:dyDescent="0.45">
      <c r="B147" s="157"/>
      <c r="C147" s="31"/>
      <c r="D147" s="31"/>
      <c r="E147" s="31"/>
      <c r="F147" s="31"/>
      <c r="G147" s="130"/>
      <c r="H147" s="131"/>
      <c r="I147" s="130"/>
      <c r="J147" s="158" t="s">
        <v>242</v>
      </c>
      <c r="K147" s="52"/>
      <c r="L147" s="52"/>
      <c r="M147" s="52"/>
      <c r="N147" s="52"/>
      <c r="O147" s="52"/>
      <c r="P147" s="52"/>
      <c r="Q147" s="52"/>
      <c r="R147" s="158">
        <v>0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59"/>
      <c r="AK147" s="132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33"/>
    </row>
    <row r="148" spans="2:61" ht="20.100000000000001" customHeight="1" x14ac:dyDescent="0.45">
      <c r="B148" s="157"/>
      <c r="C148" s="31"/>
      <c r="D148" s="31"/>
      <c r="E148" s="31"/>
      <c r="F148" s="31"/>
      <c r="G148" s="130"/>
      <c r="H148" s="131"/>
      <c r="I148" s="130"/>
      <c r="J148" s="158" t="s">
        <v>244</v>
      </c>
      <c r="K148" s="52"/>
      <c r="L148" s="52"/>
      <c r="M148" s="52"/>
      <c r="N148" s="52"/>
      <c r="O148" s="52"/>
      <c r="P148" s="52"/>
      <c r="Q148" s="52"/>
      <c r="R148" s="158" t="s">
        <v>301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59"/>
      <c r="AK148" s="132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33"/>
    </row>
    <row r="149" spans="2:61" ht="20.100000000000001" customHeight="1" x14ac:dyDescent="0.45">
      <c r="B149" s="157"/>
      <c r="C149" s="31"/>
      <c r="D149" s="31"/>
      <c r="E149" s="31"/>
      <c r="F149" s="31"/>
      <c r="G149" s="130"/>
      <c r="H149" s="131"/>
      <c r="I149" s="130"/>
      <c r="J149" s="158" t="s">
        <v>246</v>
      </c>
      <c r="K149" s="52"/>
      <c r="L149" s="52"/>
      <c r="M149" s="52"/>
      <c r="N149" s="52"/>
      <c r="O149" s="52"/>
      <c r="P149" s="52"/>
      <c r="Q149" s="52"/>
      <c r="R149" s="158" t="s">
        <v>302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59"/>
      <c r="AK149" s="132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33"/>
    </row>
    <row r="150" spans="2:61" ht="20.100000000000001" customHeight="1" x14ac:dyDescent="0.45">
      <c r="B150" s="157"/>
      <c r="C150" s="31"/>
      <c r="D150" s="31"/>
      <c r="E150" s="31"/>
      <c r="F150" s="31"/>
      <c r="G150" s="130"/>
      <c r="H150" s="131"/>
      <c r="I150" s="130"/>
      <c r="J150" s="158" t="s">
        <v>248</v>
      </c>
      <c r="K150" s="52"/>
      <c r="L150" s="52"/>
      <c r="M150" s="52"/>
      <c r="N150" s="52"/>
      <c r="O150" s="52"/>
      <c r="P150" s="52"/>
      <c r="Q150" s="52"/>
      <c r="R150" s="158" t="s">
        <v>303</v>
      </c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159"/>
      <c r="AK150" s="132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3"/>
    </row>
    <row r="151" spans="2:61" ht="20.100000000000001" customHeight="1" x14ac:dyDescent="0.45">
      <c r="B151" s="157"/>
      <c r="C151" s="31"/>
      <c r="D151" s="31"/>
      <c r="E151" s="31"/>
      <c r="F151" s="31"/>
      <c r="G151" s="130"/>
      <c r="H151" s="131"/>
      <c r="I151" s="130"/>
      <c r="J151" s="158" t="s">
        <v>250</v>
      </c>
      <c r="K151" s="52"/>
      <c r="L151" s="52"/>
      <c r="M151" s="52"/>
      <c r="N151" s="52"/>
      <c r="O151" s="52"/>
      <c r="P151" s="52"/>
      <c r="Q151" s="52"/>
      <c r="R151" s="158" t="s">
        <v>304</v>
      </c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159"/>
      <c r="AK151" s="132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33"/>
    </row>
    <row r="152" spans="2:61" ht="20.100000000000001" customHeight="1" x14ac:dyDescent="0.45">
      <c r="B152" s="157"/>
      <c r="C152" s="31"/>
      <c r="D152" s="31"/>
      <c r="E152" s="31"/>
      <c r="F152" s="31"/>
      <c r="G152" s="130"/>
      <c r="H152" s="131"/>
      <c r="I152" s="130"/>
      <c r="J152" s="158" t="s">
        <v>252</v>
      </c>
      <c r="K152" s="52"/>
      <c r="L152" s="52"/>
      <c r="M152" s="52"/>
      <c r="N152" s="52"/>
      <c r="O152" s="52"/>
      <c r="P152" s="52"/>
      <c r="Q152" s="52"/>
      <c r="R152" s="158" t="s">
        <v>305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159"/>
      <c r="AK152" s="132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33"/>
    </row>
    <row r="153" spans="2:61" ht="20.100000000000001" customHeight="1" x14ac:dyDescent="0.45">
      <c r="B153" s="157"/>
      <c r="C153" s="31"/>
      <c r="D153" s="31"/>
      <c r="E153" s="31"/>
      <c r="F153" s="31"/>
      <c r="G153" s="130"/>
      <c r="H153" s="131"/>
      <c r="I153" s="130"/>
      <c r="J153" s="158" t="s">
        <v>254</v>
      </c>
      <c r="K153" s="52"/>
      <c r="L153" s="52"/>
      <c r="M153" s="52"/>
      <c r="N153" s="52"/>
      <c r="O153" s="52"/>
      <c r="P153" s="52"/>
      <c r="Q153" s="52"/>
      <c r="R153" s="158" t="s">
        <v>306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159"/>
      <c r="AK153" s="132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3"/>
    </row>
    <row r="154" spans="2:61" ht="20.100000000000001" customHeight="1" x14ac:dyDescent="0.45">
      <c r="B154" s="157"/>
      <c r="C154" s="31"/>
      <c r="D154" s="31"/>
      <c r="E154" s="31"/>
      <c r="F154" s="31"/>
      <c r="G154" s="130"/>
      <c r="H154" s="131"/>
      <c r="I154" s="130"/>
      <c r="J154" s="158" t="s">
        <v>256</v>
      </c>
      <c r="K154" s="52"/>
      <c r="L154" s="52"/>
      <c r="M154" s="52"/>
      <c r="N154" s="52"/>
      <c r="O154" s="52"/>
      <c r="P154" s="52"/>
      <c r="Q154" s="52"/>
      <c r="R154" s="158" t="s">
        <v>307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159"/>
      <c r="AK154" s="132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33"/>
    </row>
    <row r="155" spans="2:61" ht="20.100000000000001" customHeight="1" x14ac:dyDescent="0.45">
      <c r="B155" s="157"/>
      <c r="C155" s="31"/>
      <c r="D155" s="31"/>
      <c r="E155" s="31"/>
      <c r="F155" s="31"/>
      <c r="G155" s="130"/>
      <c r="H155" s="131"/>
      <c r="I155" s="130"/>
      <c r="J155" s="158" t="s">
        <v>258</v>
      </c>
      <c r="K155" s="52"/>
      <c r="L155" s="52"/>
      <c r="M155" s="52"/>
      <c r="N155" s="52"/>
      <c r="O155" s="52"/>
      <c r="P155" s="52"/>
      <c r="Q155" s="52"/>
      <c r="R155" s="158" t="s">
        <v>308</v>
      </c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159"/>
      <c r="AK155" s="132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33"/>
    </row>
    <row r="156" spans="2:61" ht="20.100000000000001" customHeight="1" x14ac:dyDescent="0.45">
      <c r="B156" s="157"/>
      <c r="C156" s="31"/>
      <c r="D156" s="31"/>
      <c r="E156" s="31"/>
      <c r="F156" s="31"/>
      <c r="G156" s="130"/>
      <c r="H156" s="131"/>
      <c r="I156" s="130"/>
      <c r="J156" s="134" t="s">
        <v>260</v>
      </c>
      <c r="K156" s="55"/>
      <c r="L156" s="55"/>
      <c r="M156" s="55"/>
      <c r="N156" s="55"/>
      <c r="O156" s="55"/>
      <c r="P156" s="55"/>
      <c r="Q156" s="55"/>
      <c r="R156" s="134" t="s">
        <v>309</v>
      </c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171"/>
      <c r="AK156" s="132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33"/>
    </row>
    <row r="157" spans="2:61" ht="20.100000000000001" customHeight="1" x14ac:dyDescent="0.45">
      <c r="B157" s="157"/>
      <c r="C157" s="31"/>
      <c r="D157" s="31"/>
      <c r="E157" s="31"/>
      <c r="F157" s="31"/>
      <c r="G157" s="130"/>
      <c r="H157" s="134" t="s">
        <v>146</v>
      </c>
      <c r="I157" s="55"/>
      <c r="J157" s="134" t="s">
        <v>310</v>
      </c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13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136"/>
    </row>
    <row r="158" spans="2:61" ht="20.100000000000001" customHeight="1" x14ac:dyDescent="0.45">
      <c r="B158" s="129"/>
      <c r="C158" s="31"/>
      <c r="D158" s="31"/>
      <c r="E158" s="31"/>
      <c r="F158" s="31"/>
      <c r="G158" s="130"/>
      <c r="H158" s="131"/>
      <c r="I158" s="31"/>
      <c r="J158" s="131" t="s">
        <v>311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32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3"/>
    </row>
    <row r="159" spans="2:61" ht="20.100000000000001" customHeight="1" x14ac:dyDescent="0.45">
      <c r="B159" s="129"/>
      <c r="C159" s="31"/>
      <c r="D159" s="31"/>
      <c r="E159" s="31"/>
      <c r="F159" s="31"/>
      <c r="G159" s="130"/>
      <c r="H159" s="131"/>
      <c r="I159" s="31"/>
      <c r="J159" s="131" t="s">
        <v>312</v>
      </c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32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33"/>
    </row>
    <row r="160" spans="2:61" ht="20.100000000000001" customHeight="1" x14ac:dyDescent="0.45">
      <c r="B160" s="129"/>
      <c r="C160" s="31"/>
      <c r="D160" s="31"/>
      <c r="E160" s="31"/>
      <c r="F160" s="31"/>
      <c r="G160" s="130"/>
      <c r="H160" s="131"/>
      <c r="I160" s="31"/>
      <c r="J160" s="131" t="s">
        <v>313</v>
      </c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132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33"/>
    </row>
    <row r="161" spans="2:61" ht="20.100000000000001" customHeight="1" x14ac:dyDescent="0.45">
      <c r="B161" s="129"/>
      <c r="C161" s="31"/>
      <c r="D161" s="31"/>
      <c r="E161" s="31"/>
      <c r="F161" s="31"/>
      <c r="G161" s="130"/>
      <c r="H161" s="131"/>
      <c r="I161" s="31"/>
      <c r="J161" s="131" t="s">
        <v>314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32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33"/>
    </row>
    <row r="162" spans="2:61" ht="20.100000000000001" customHeight="1" x14ac:dyDescent="0.45">
      <c r="B162" s="129"/>
      <c r="C162" s="31"/>
      <c r="D162" s="31"/>
      <c r="E162" s="31"/>
      <c r="F162" s="31"/>
      <c r="G162" s="130"/>
      <c r="H162" s="134" t="s">
        <v>147</v>
      </c>
      <c r="I162" s="55"/>
      <c r="J162" s="134" t="s">
        <v>315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13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136"/>
    </row>
    <row r="163" spans="2:61" ht="20.100000000000001" customHeight="1" x14ac:dyDescent="0.45">
      <c r="B163" s="129"/>
      <c r="C163" s="31"/>
      <c r="D163" s="31"/>
      <c r="E163" s="31"/>
      <c r="F163" s="31"/>
      <c r="G163" s="130"/>
      <c r="H163" s="131"/>
      <c r="I163" s="31"/>
      <c r="J163" s="131"/>
      <c r="K163" s="31" t="s">
        <v>316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32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33"/>
    </row>
    <row r="164" spans="2:61" ht="20.100000000000001" customHeight="1" x14ac:dyDescent="0.45">
      <c r="B164" s="129"/>
      <c r="C164" s="31"/>
      <c r="D164" s="31"/>
      <c r="E164" s="31"/>
      <c r="F164" s="31"/>
      <c r="G164" s="130"/>
      <c r="H164" s="131"/>
      <c r="I164" s="31"/>
      <c r="J164" s="131"/>
      <c r="K164" s="31"/>
      <c r="M164" s="31" t="s">
        <v>317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32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3"/>
    </row>
    <row r="165" spans="2:61" ht="20.100000000000001" customHeight="1" x14ac:dyDescent="0.45">
      <c r="B165" s="129"/>
      <c r="C165" s="31"/>
      <c r="D165" s="31"/>
      <c r="E165" s="31"/>
      <c r="F165" s="31"/>
      <c r="G165" s="130"/>
      <c r="H165" s="131"/>
      <c r="I165" s="31"/>
      <c r="J165" s="131" t="s">
        <v>315</v>
      </c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132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33"/>
    </row>
    <row r="166" spans="2:61" ht="20.100000000000001" customHeight="1" x14ac:dyDescent="0.45">
      <c r="B166" s="129"/>
      <c r="C166" s="31"/>
      <c r="D166" s="31"/>
      <c r="E166" s="31"/>
      <c r="F166" s="31"/>
      <c r="G166" s="130"/>
      <c r="H166" s="131"/>
      <c r="I166" s="31"/>
      <c r="J166" s="131"/>
      <c r="K166" s="31" t="s">
        <v>318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132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3"/>
    </row>
    <row r="167" spans="2:61" ht="20.100000000000001" customHeight="1" x14ac:dyDescent="0.45">
      <c r="B167" s="129"/>
      <c r="C167" s="31"/>
      <c r="D167" s="31"/>
      <c r="E167" s="31"/>
      <c r="F167" s="31"/>
      <c r="G167" s="130"/>
      <c r="H167" s="131"/>
      <c r="I167" s="31"/>
      <c r="J167" s="131"/>
      <c r="K167" s="31"/>
      <c r="M167" s="31" t="s">
        <v>319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132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33"/>
    </row>
    <row r="168" spans="2:61" ht="20.100000000000001" customHeight="1" x14ac:dyDescent="0.45">
      <c r="B168" s="129"/>
      <c r="C168" s="31"/>
      <c r="D168" s="31"/>
      <c r="E168" s="31"/>
      <c r="F168" s="31"/>
      <c r="G168" s="130"/>
      <c r="H168" s="131"/>
      <c r="I168" s="31"/>
      <c r="J168" s="131" t="s">
        <v>315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132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33"/>
    </row>
    <row r="169" spans="2:61" ht="20.100000000000001" customHeight="1" x14ac:dyDescent="0.45">
      <c r="B169" s="129"/>
      <c r="C169" s="31"/>
      <c r="D169" s="31"/>
      <c r="E169" s="31"/>
      <c r="F169" s="31"/>
      <c r="G169" s="130"/>
      <c r="H169" s="131"/>
      <c r="I169" s="31"/>
      <c r="J169" s="131"/>
      <c r="K169" s="6" t="s">
        <v>320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132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33"/>
    </row>
    <row r="170" spans="2:61" ht="20.100000000000001" customHeight="1" x14ac:dyDescent="0.45">
      <c r="B170" s="129"/>
      <c r="C170" s="31"/>
      <c r="D170" s="31"/>
      <c r="E170" s="31"/>
      <c r="F170" s="31"/>
      <c r="G170" s="130"/>
      <c r="H170" s="131"/>
      <c r="I170" s="31"/>
      <c r="J170" s="131"/>
      <c r="L170" s="31"/>
      <c r="M170" s="31" t="s">
        <v>321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132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133"/>
    </row>
    <row r="171" spans="2:61" ht="20.100000000000001" customHeight="1" x14ac:dyDescent="0.45">
      <c r="B171" s="129"/>
      <c r="C171" s="31"/>
      <c r="D171" s="31"/>
      <c r="E171" s="31"/>
      <c r="F171" s="31"/>
      <c r="G171" s="130"/>
      <c r="H171" s="131"/>
      <c r="I171" s="31"/>
      <c r="J171" s="131" t="s">
        <v>322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132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33"/>
    </row>
    <row r="172" spans="2:61" ht="20.100000000000001" customHeight="1" x14ac:dyDescent="0.45">
      <c r="B172" s="129"/>
      <c r="C172" s="31"/>
      <c r="D172" s="31"/>
      <c r="E172" s="31"/>
      <c r="F172" s="31"/>
      <c r="G172" s="130"/>
      <c r="H172" s="131"/>
      <c r="I172" s="31"/>
      <c r="J172" s="131"/>
      <c r="K172" s="31" t="s">
        <v>323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132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133"/>
    </row>
    <row r="173" spans="2:61" ht="20.100000000000001" customHeight="1" x14ac:dyDescent="0.45">
      <c r="B173" s="129"/>
      <c r="C173" s="31"/>
      <c r="D173" s="31"/>
      <c r="E173" s="31"/>
      <c r="F173" s="31"/>
      <c r="G173" s="130"/>
      <c r="H173" s="131"/>
      <c r="I173" s="31"/>
      <c r="J173" s="131"/>
      <c r="L173" s="31"/>
      <c r="M173" s="31" t="s">
        <v>324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132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133"/>
    </row>
    <row r="174" spans="2:61" ht="20.100000000000001" customHeight="1" x14ac:dyDescent="0.45">
      <c r="B174" s="129"/>
      <c r="C174" s="31"/>
      <c r="D174" s="31"/>
      <c r="E174" s="31"/>
      <c r="F174" s="31"/>
      <c r="G174" s="130"/>
      <c r="H174" s="137"/>
      <c r="I174" s="138"/>
      <c r="J174" s="131"/>
      <c r="L174" s="31" t="s">
        <v>325</v>
      </c>
      <c r="M174" s="31" t="s">
        <v>326</v>
      </c>
      <c r="N174" s="31"/>
      <c r="O174" s="31"/>
      <c r="P174" s="31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38"/>
      <c r="AI174" s="138"/>
      <c r="AJ174" s="138"/>
      <c r="AK174" s="139"/>
      <c r="AL174" s="138"/>
      <c r="AM174" s="138"/>
      <c r="AN174" s="138"/>
      <c r="AO174" s="138"/>
      <c r="AP174" s="138"/>
      <c r="AQ174" s="138"/>
      <c r="AR174" s="138"/>
      <c r="AS174" s="138"/>
      <c r="AT174" s="138"/>
      <c r="AU174" s="138"/>
      <c r="AV174" s="138"/>
      <c r="AW174" s="138"/>
      <c r="AX174" s="138"/>
      <c r="AY174" s="138"/>
      <c r="AZ174" s="138"/>
      <c r="BA174" s="138"/>
      <c r="BB174" s="138"/>
      <c r="BC174" s="138"/>
      <c r="BD174" s="138"/>
      <c r="BE174" s="138"/>
      <c r="BF174" s="138"/>
      <c r="BG174" s="138"/>
      <c r="BH174" s="138"/>
      <c r="BI174" s="140"/>
    </row>
    <row r="175" spans="2:61" ht="20.100000000000001" customHeight="1" x14ac:dyDescent="0.45">
      <c r="B175" s="129"/>
      <c r="C175" s="31"/>
      <c r="D175" s="31"/>
      <c r="E175" s="31"/>
      <c r="F175" s="31"/>
      <c r="G175" s="130"/>
      <c r="H175" s="131" t="s">
        <v>148</v>
      </c>
      <c r="I175" s="31"/>
      <c r="J175" s="134"/>
      <c r="K175" s="55" t="s">
        <v>333</v>
      </c>
      <c r="L175" s="55"/>
      <c r="M175" s="55"/>
      <c r="N175" s="55"/>
      <c r="O175" s="55"/>
      <c r="P175" s="55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132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33"/>
    </row>
    <row r="176" spans="2:61" ht="20.100000000000001" customHeight="1" x14ac:dyDescent="0.45">
      <c r="B176" s="129"/>
      <c r="C176" s="31"/>
      <c r="D176" s="31"/>
      <c r="E176" s="31"/>
      <c r="F176" s="31"/>
      <c r="G176" s="130"/>
      <c r="H176" s="131"/>
      <c r="I176" s="31"/>
      <c r="J176" s="131" t="s">
        <v>325</v>
      </c>
      <c r="K176" s="31" t="s">
        <v>330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132" t="s">
        <v>331</v>
      </c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33"/>
    </row>
    <row r="177" spans="2:61" ht="20.100000000000001" customHeight="1" x14ac:dyDescent="0.45">
      <c r="B177" s="129"/>
      <c r="C177" s="31"/>
      <c r="D177" s="31"/>
      <c r="E177" s="31"/>
      <c r="F177" s="31"/>
      <c r="G177" s="130"/>
      <c r="H177" s="131"/>
      <c r="I177" s="31"/>
      <c r="J177" s="131" t="s">
        <v>325</v>
      </c>
      <c r="K177" s="6" t="s">
        <v>334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1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133"/>
    </row>
    <row r="178" spans="2:61" ht="20.100000000000001" customHeight="1" thickBot="1" x14ac:dyDescent="0.5">
      <c r="B178" s="129"/>
      <c r="C178" s="31"/>
      <c r="D178" s="31"/>
      <c r="E178" s="31"/>
      <c r="F178" s="31"/>
      <c r="G178" s="130"/>
      <c r="H178" s="131"/>
      <c r="I178" s="31"/>
      <c r="J178" s="131" t="s">
        <v>325</v>
      </c>
      <c r="K178" s="6" t="s">
        <v>335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1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33"/>
    </row>
    <row r="179" spans="2:61" ht="20.100000000000001" customHeight="1" x14ac:dyDescent="0.45">
      <c r="B179" s="123" t="s">
        <v>336</v>
      </c>
      <c r="C179" s="124"/>
      <c r="D179" s="124"/>
      <c r="E179" s="124"/>
      <c r="F179" s="124"/>
      <c r="G179" s="125"/>
      <c r="H179" s="126" t="s">
        <v>177</v>
      </c>
      <c r="I179" s="125"/>
      <c r="J179" s="154" t="s">
        <v>192</v>
      </c>
      <c r="K179" s="155"/>
      <c r="L179" s="155"/>
      <c r="M179" s="155"/>
      <c r="N179" s="155"/>
      <c r="O179" s="155"/>
      <c r="P179" s="155"/>
      <c r="Q179" s="155"/>
      <c r="R179" s="154" t="s">
        <v>277</v>
      </c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6"/>
      <c r="AK179" s="127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8"/>
    </row>
    <row r="180" spans="2:61" ht="20.100000000000001" customHeight="1" x14ac:dyDescent="0.45">
      <c r="B180" s="157"/>
      <c r="C180" s="31"/>
      <c r="D180" s="31"/>
      <c r="E180" s="31"/>
      <c r="F180" s="31"/>
      <c r="G180" s="130"/>
      <c r="H180" s="131"/>
      <c r="I180" s="130"/>
      <c r="J180" s="158" t="s">
        <v>194</v>
      </c>
      <c r="K180" s="52"/>
      <c r="L180" s="52"/>
      <c r="M180" s="52"/>
      <c r="N180" s="52"/>
      <c r="O180" s="52"/>
      <c r="P180" s="52"/>
      <c r="Q180" s="52"/>
      <c r="R180" s="158" t="s">
        <v>337</v>
      </c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159"/>
      <c r="AK180" s="132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133"/>
    </row>
    <row r="181" spans="2:61" ht="20.100000000000001" customHeight="1" x14ac:dyDescent="0.45">
      <c r="B181" s="157"/>
      <c r="C181" s="31"/>
      <c r="D181" s="31"/>
      <c r="E181" s="31"/>
      <c r="F181" s="31"/>
      <c r="G181" s="130"/>
      <c r="H181" s="131"/>
      <c r="I181" s="130"/>
      <c r="J181" s="158" t="s">
        <v>196</v>
      </c>
      <c r="K181" s="52"/>
      <c r="L181" s="52"/>
      <c r="M181" s="52"/>
      <c r="N181" s="52"/>
      <c r="O181" s="52"/>
      <c r="P181" s="52"/>
      <c r="Q181" s="52"/>
      <c r="R181" s="158" t="s">
        <v>279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159"/>
      <c r="AK181" s="132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133"/>
    </row>
    <row r="182" spans="2:61" ht="20.100000000000001" customHeight="1" x14ac:dyDescent="0.45">
      <c r="B182" s="157"/>
      <c r="C182" s="31"/>
      <c r="D182" s="31"/>
      <c r="E182" s="31"/>
      <c r="F182" s="31"/>
      <c r="G182" s="130"/>
      <c r="H182" s="131"/>
      <c r="I182" s="130"/>
      <c r="J182" s="158" t="s">
        <v>198</v>
      </c>
      <c r="K182" s="52"/>
      <c r="L182" s="52"/>
      <c r="M182" s="52"/>
      <c r="N182" s="52"/>
      <c r="O182" s="52"/>
      <c r="P182" s="52"/>
      <c r="Q182" s="52"/>
      <c r="R182" s="158" t="s">
        <v>280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59"/>
      <c r="AK182" s="132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133"/>
    </row>
    <row r="183" spans="2:61" ht="20.100000000000001" customHeight="1" x14ac:dyDescent="0.45">
      <c r="B183" s="157"/>
      <c r="C183" s="31"/>
      <c r="D183" s="31"/>
      <c r="E183" s="31"/>
      <c r="F183" s="31"/>
      <c r="G183" s="130"/>
      <c r="H183" s="131"/>
      <c r="I183" s="130"/>
      <c r="J183" s="158" t="s">
        <v>200</v>
      </c>
      <c r="K183" s="52"/>
      <c r="L183" s="52"/>
      <c r="M183" s="52"/>
      <c r="N183" s="52"/>
      <c r="O183" s="52"/>
      <c r="P183" s="52"/>
      <c r="Q183" s="52"/>
      <c r="R183" s="158" t="s">
        <v>281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59"/>
      <c r="AK183" s="132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33"/>
    </row>
    <row r="184" spans="2:61" ht="20.100000000000001" customHeight="1" x14ac:dyDescent="0.45">
      <c r="B184" s="157"/>
      <c r="C184" s="31"/>
      <c r="D184" s="31"/>
      <c r="E184" s="31"/>
      <c r="F184" s="31"/>
      <c r="G184" s="130"/>
      <c r="H184" s="131"/>
      <c r="I184" s="130"/>
      <c r="J184" s="158" t="s">
        <v>202</v>
      </c>
      <c r="K184" s="52"/>
      <c r="L184" s="52"/>
      <c r="M184" s="52"/>
      <c r="N184" s="52"/>
      <c r="O184" s="52"/>
      <c r="P184" s="52"/>
      <c r="Q184" s="52"/>
      <c r="R184" s="158" t="s">
        <v>282</v>
      </c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159"/>
      <c r="AK184" s="132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133"/>
    </row>
    <row r="185" spans="2:61" ht="20.100000000000001" customHeight="1" x14ac:dyDescent="0.45">
      <c r="B185" s="157"/>
      <c r="C185" s="31"/>
      <c r="D185" s="31"/>
      <c r="E185" s="31"/>
      <c r="F185" s="31"/>
      <c r="G185" s="130"/>
      <c r="H185" s="131"/>
      <c r="I185" s="130"/>
      <c r="J185" s="158" t="s">
        <v>204</v>
      </c>
      <c r="K185" s="52"/>
      <c r="L185" s="52"/>
      <c r="M185" s="52"/>
      <c r="N185" s="52"/>
      <c r="O185" s="52"/>
      <c r="P185" s="52"/>
      <c r="Q185" s="52"/>
      <c r="R185" s="158" t="s">
        <v>283</v>
      </c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159"/>
      <c r="AK185" s="132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133"/>
    </row>
    <row r="186" spans="2:61" ht="20.100000000000001" customHeight="1" x14ac:dyDescent="0.45">
      <c r="B186" s="157"/>
      <c r="C186" s="31"/>
      <c r="D186" s="31"/>
      <c r="E186" s="31"/>
      <c r="F186" s="31"/>
      <c r="G186" s="130"/>
      <c r="H186" s="131"/>
      <c r="I186" s="130"/>
      <c r="J186" s="158" t="s">
        <v>206</v>
      </c>
      <c r="K186" s="52"/>
      <c r="L186" s="52"/>
      <c r="M186" s="52"/>
      <c r="N186" s="52"/>
      <c r="O186" s="52"/>
      <c r="P186" s="52"/>
      <c r="Q186" s="52"/>
      <c r="R186" s="158" t="s">
        <v>284</v>
      </c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159"/>
      <c r="AK186" s="132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133"/>
    </row>
    <row r="187" spans="2:61" ht="20.100000000000001" customHeight="1" x14ac:dyDescent="0.45">
      <c r="B187" s="157"/>
      <c r="C187" s="31"/>
      <c r="D187" s="31"/>
      <c r="E187" s="31"/>
      <c r="F187" s="31"/>
      <c r="G187" s="130"/>
      <c r="H187" s="131"/>
      <c r="I187" s="130"/>
      <c r="J187" s="158" t="s">
        <v>208</v>
      </c>
      <c r="K187" s="52"/>
      <c r="L187" s="52"/>
      <c r="M187" s="52"/>
      <c r="N187" s="52"/>
      <c r="O187" s="52"/>
      <c r="P187" s="52"/>
      <c r="Q187" s="52"/>
      <c r="R187" s="158" t="s">
        <v>285</v>
      </c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159"/>
      <c r="AK187" s="132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133"/>
    </row>
    <row r="188" spans="2:61" ht="20.100000000000001" customHeight="1" x14ac:dyDescent="0.45">
      <c r="B188" s="157"/>
      <c r="C188" s="31"/>
      <c r="D188" s="31"/>
      <c r="E188" s="31"/>
      <c r="F188" s="31"/>
      <c r="G188" s="130"/>
      <c r="H188" s="131"/>
      <c r="I188" s="130"/>
      <c r="J188" s="158" t="s">
        <v>210</v>
      </c>
      <c r="K188" s="52"/>
      <c r="L188" s="52"/>
      <c r="M188" s="52"/>
      <c r="N188" s="52"/>
      <c r="O188" s="52"/>
      <c r="P188" s="52"/>
      <c r="Q188" s="52"/>
      <c r="R188" s="158" t="s">
        <v>286</v>
      </c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159"/>
      <c r="AK188" s="132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133"/>
    </row>
    <row r="189" spans="2:61" ht="20.100000000000001" customHeight="1" x14ac:dyDescent="0.45">
      <c r="B189" s="157"/>
      <c r="C189" s="31"/>
      <c r="D189" s="31"/>
      <c r="E189" s="31"/>
      <c r="F189" s="31"/>
      <c r="G189" s="130"/>
      <c r="H189" s="131"/>
      <c r="I189" s="130"/>
      <c r="J189" s="158" t="s">
        <v>212</v>
      </c>
      <c r="K189" s="52"/>
      <c r="L189" s="52"/>
      <c r="M189" s="52"/>
      <c r="N189" s="52"/>
      <c r="O189" s="52"/>
      <c r="P189" s="52"/>
      <c r="Q189" s="52"/>
      <c r="R189" s="158" t="s">
        <v>287</v>
      </c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159"/>
      <c r="AK189" s="132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133"/>
    </row>
    <row r="190" spans="2:61" ht="20.100000000000001" customHeight="1" x14ac:dyDescent="0.45">
      <c r="B190" s="157"/>
      <c r="C190" s="31"/>
      <c r="D190" s="31"/>
      <c r="E190" s="31"/>
      <c r="F190" s="31"/>
      <c r="G190" s="130"/>
      <c r="H190" s="131"/>
      <c r="I190" s="130"/>
      <c r="J190" s="158" t="s">
        <v>214</v>
      </c>
      <c r="K190" s="52"/>
      <c r="L190" s="52"/>
      <c r="M190" s="52"/>
      <c r="N190" s="52"/>
      <c r="O190" s="52"/>
      <c r="P190" s="52"/>
      <c r="Q190" s="52"/>
      <c r="R190" s="158" t="s">
        <v>288</v>
      </c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159"/>
      <c r="AK190" s="132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133"/>
    </row>
    <row r="191" spans="2:61" ht="20.100000000000001" customHeight="1" x14ac:dyDescent="0.45">
      <c r="B191" s="157"/>
      <c r="C191" s="31"/>
      <c r="D191" s="31"/>
      <c r="E191" s="31"/>
      <c r="F191" s="31"/>
      <c r="G191" s="130"/>
      <c r="H191" s="131"/>
      <c r="I191" s="130"/>
      <c r="J191" s="158" t="s">
        <v>216</v>
      </c>
      <c r="K191" s="52"/>
      <c r="L191" s="52"/>
      <c r="M191" s="52"/>
      <c r="N191" s="52"/>
      <c r="O191" s="52"/>
      <c r="P191" s="52"/>
      <c r="Q191" s="52"/>
      <c r="R191" s="158" t="s">
        <v>289</v>
      </c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159"/>
      <c r="AK191" s="132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133"/>
    </row>
    <row r="192" spans="2:61" ht="20.100000000000001" customHeight="1" x14ac:dyDescent="0.45">
      <c r="B192" s="157"/>
      <c r="C192" s="31"/>
      <c r="D192" s="31"/>
      <c r="E192" s="31"/>
      <c r="F192" s="31"/>
      <c r="G192" s="130"/>
      <c r="H192" s="131"/>
      <c r="I192" s="130"/>
      <c r="J192" s="158" t="s">
        <v>218</v>
      </c>
      <c r="K192" s="52"/>
      <c r="L192" s="52"/>
      <c r="M192" s="52"/>
      <c r="N192" s="52"/>
      <c r="O192" s="52"/>
      <c r="P192" s="52"/>
      <c r="Q192" s="52"/>
      <c r="R192" s="158" t="s">
        <v>290</v>
      </c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159"/>
      <c r="AK192" s="132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133"/>
    </row>
    <row r="193" spans="2:61" ht="20.100000000000001" customHeight="1" x14ac:dyDescent="0.45">
      <c r="B193" s="157"/>
      <c r="C193" s="31"/>
      <c r="D193" s="31"/>
      <c r="E193" s="31"/>
      <c r="F193" s="31"/>
      <c r="G193" s="130"/>
      <c r="H193" s="131"/>
      <c r="I193" s="130"/>
      <c r="J193" s="158" t="s">
        <v>220</v>
      </c>
      <c r="K193" s="52"/>
      <c r="L193" s="52"/>
      <c r="M193" s="52"/>
      <c r="N193" s="52"/>
      <c r="O193" s="52"/>
      <c r="P193" s="52"/>
      <c r="Q193" s="52"/>
      <c r="R193" s="158" t="s">
        <v>291</v>
      </c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159"/>
      <c r="AK193" s="132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33"/>
    </row>
    <row r="194" spans="2:61" ht="20.100000000000001" customHeight="1" x14ac:dyDescent="0.45">
      <c r="B194" s="157"/>
      <c r="C194" s="31"/>
      <c r="D194" s="31"/>
      <c r="E194" s="31"/>
      <c r="F194" s="31"/>
      <c r="G194" s="130"/>
      <c r="H194" s="131"/>
      <c r="I194" s="130"/>
      <c r="J194" s="158" t="s">
        <v>222</v>
      </c>
      <c r="K194" s="52"/>
      <c r="L194" s="52"/>
      <c r="M194" s="52"/>
      <c r="N194" s="52"/>
      <c r="O194" s="52"/>
      <c r="P194" s="52"/>
      <c r="Q194" s="52"/>
      <c r="R194" s="158" t="s">
        <v>292</v>
      </c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159"/>
      <c r="AK194" s="132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133"/>
    </row>
    <row r="195" spans="2:61" ht="20.100000000000001" customHeight="1" x14ac:dyDescent="0.45">
      <c r="B195" s="157"/>
      <c r="C195" s="31"/>
      <c r="D195" s="31"/>
      <c r="E195" s="31"/>
      <c r="F195" s="31"/>
      <c r="G195" s="130"/>
      <c r="H195" s="131"/>
      <c r="I195" s="130"/>
      <c r="J195" s="158" t="s">
        <v>224</v>
      </c>
      <c r="K195" s="52"/>
      <c r="L195" s="52"/>
      <c r="M195" s="52"/>
      <c r="N195" s="52"/>
      <c r="O195" s="52"/>
      <c r="P195" s="52"/>
      <c r="Q195" s="52"/>
      <c r="R195" s="158" t="s">
        <v>293</v>
      </c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159"/>
      <c r="AK195" s="132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33"/>
    </row>
    <row r="196" spans="2:61" ht="20.100000000000001" customHeight="1" x14ac:dyDescent="0.45">
      <c r="B196" s="157"/>
      <c r="C196" s="31"/>
      <c r="D196" s="31"/>
      <c r="E196" s="31"/>
      <c r="F196" s="31"/>
      <c r="G196" s="130"/>
      <c r="H196" s="131"/>
      <c r="I196" s="130"/>
      <c r="J196" s="158" t="s">
        <v>226</v>
      </c>
      <c r="K196" s="52"/>
      <c r="L196" s="52"/>
      <c r="M196" s="52"/>
      <c r="N196" s="52"/>
      <c r="O196" s="52"/>
      <c r="P196" s="52"/>
      <c r="Q196" s="52"/>
      <c r="R196" s="158" t="s">
        <v>294</v>
      </c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159"/>
      <c r="AK196" s="132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33"/>
    </row>
    <row r="197" spans="2:61" ht="20.100000000000001" customHeight="1" x14ac:dyDescent="0.45">
      <c r="B197" s="157"/>
      <c r="C197" s="31"/>
      <c r="D197" s="31"/>
      <c r="E197" s="31"/>
      <c r="F197" s="31"/>
      <c r="G197" s="130"/>
      <c r="H197" s="131"/>
      <c r="I197" s="130"/>
      <c r="J197" s="158" t="s">
        <v>228</v>
      </c>
      <c r="K197" s="52"/>
      <c r="L197" s="52"/>
      <c r="M197" s="52"/>
      <c r="N197" s="52"/>
      <c r="O197" s="52"/>
      <c r="P197" s="52"/>
      <c r="Q197" s="52"/>
      <c r="R197" s="158" t="s">
        <v>295</v>
      </c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159"/>
      <c r="AK197" s="132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33"/>
    </row>
    <row r="198" spans="2:61" ht="20.100000000000001" customHeight="1" x14ac:dyDescent="0.45">
      <c r="B198" s="157"/>
      <c r="C198" s="31"/>
      <c r="D198" s="31"/>
      <c r="E198" s="31"/>
      <c r="F198" s="31"/>
      <c r="G198" s="130"/>
      <c r="H198" s="131"/>
      <c r="I198" s="130"/>
      <c r="J198" s="158" t="s">
        <v>230</v>
      </c>
      <c r="K198" s="52"/>
      <c r="L198" s="52"/>
      <c r="M198" s="52"/>
      <c r="N198" s="52"/>
      <c r="O198" s="52"/>
      <c r="P198" s="52"/>
      <c r="Q198" s="52"/>
      <c r="R198" s="170" t="s">
        <v>296</v>
      </c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159"/>
      <c r="AK198" s="132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33"/>
    </row>
    <row r="199" spans="2:61" ht="20.100000000000001" customHeight="1" x14ac:dyDescent="0.45">
      <c r="B199" s="157"/>
      <c r="C199" s="31"/>
      <c r="D199" s="31"/>
      <c r="E199" s="31"/>
      <c r="F199" s="31"/>
      <c r="G199" s="130"/>
      <c r="H199" s="131"/>
      <c r="I199" s="130"/>
      <c r="J199" s="158" t="s">
        <v>232</v>
      </c>
      <c r="K199" s="52"/>
      <c r="L199" s="52"/>
      <c r="M199" s="52"/>
      <c r="N199" s="52"/>
      <c r="O199" s="52"/>
      <c r="P199" s="52"/>
      <c r="Q199" s="52"/>
      <c r="R199" s="158" t="s">
        <v>297</v>
      </c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159"/>
      <c r="AK199" s="132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33"/>
    </row>
    <row r="200" spans="2:61" ht="20.100000000000001" customHeight="1" x14ac:dyDescent="0.45">
      <c r="B200" s="157"/>
      <c r="C200" s="31"/>
      <c r="D200" s="31"/>
      <c r="E200" s="31"/>
      <c r="F200" s="31"/>
      <c r="G200" s="130"/>
      <c r="H200" s="131"/>
      <c r="I200" s="130"/>
      <c r="J200" s="158" t="s">
        <v>234</v>
      </c>
      <c r="K200" s="52"/>
      <c r="L200" s="52"/>
      <c r="M200" s="52"/>
      <c r="N200" s="52"/>
      <c r="O200" s="52"/>
      <c r="P200" s="52"/>
      <c r="Q200" s="52"/>
      <c r="R200" s="158" t="s">
        <v>298</v>
      </c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159"/>
      <c r="AK200" s="132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133"/>
    </row>
    <row r="201" spans="2:61" ht="20.100000000000001" customHeight="1" x14ac:dyDescent="0.45">
      <c r="B201" s="157"/>
      <c r="C201" s="31"/>
      <c r="D201" s="31"/>
      <c r="E201" s="31"/>
      <c r="F201" s="31"/>
      <c r="G201" s="130"/>
      <c r="H201" s="131"/>
      <c r="I201" s="130"/>
      <c r="J201" s="158" t="s">
        <v>236</v>
      </c>
      <c r="K201" s="52"/>
      <c r="L201" s="52"/>
      <c r="M201" s="52"/>
      <c r="N201" s="52"/>
      <c r="O201" s="52"/>
      <c r="P201" s="52"/>
      <c r="Q201" s="52"/>
      <c r="R201" s="158" t="s">
        <v>299</v>
      </c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159"/>
      <c r="AK201" s="132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133"/>
    </row>
    <row r="202" spans="2:61" ht="20.100000000000001" customHeight="1" x14ac:dyDescent="0.45">
      <c r="B202" s="157"/>
      <c r="C202" s="31"/>
      <c r="D202" s="31"/>
      <c r="E202" s="31"/>
      <c r="F202" s="31"/>
      <c r="G202" s="130"/>
      <c r="H202" s="131"/>
      <c r="I202" s="130"/>
      <c r="J202" s="158" t="s">
        <v>238</v>
      </c>
      <c r="K202" s="52"/>
      <c r="L202" s="52"/>
      <c r="M202" s="52"/>
      <c r="N202" s="52"/>
      <c r="O202" s="52"/>
      <c r="P202" s="52"/>
      <c r="Q202" s="52"/>
      <c r="R202" s="170" t="s">
        <v>300</v>
      </c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159"/>
      <c r="AK202" s="132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33"/>
    </row>
    <row r="203" spans="2:61" ht="20.100000000000001" customHeight="1" x14ac:dyDescent="0.45">
      <c r="B203" s="157"/>
      <c r="C203" s="31"/>
      <c r="D203" s="31"/>
      <c r="E203" s="31"/>
      <c r="F203" s="31"/>
      <c r="G203" s="130"/>
      <c r="H203" s="131"/>
      <c r="I203" s="130"/>
      <c r="J203" s="158" t="s">
        <v>240</v>
      </c>
      <c r="K203" s="52"/>
      <c r="L203" s="52"/>
      <c r="M203" s="52"/>
      <c r="N203" s="52"/>
      <c r="O203" s="52"/>
      <c r="P203" s="52"/>
      <c r="Q203" s="52"/>
      <c r="R203" s="158">
        <v>0</v>
      </c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159"/>
      <c r="AK203" s="132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33"/>
    </row>
    <row r="204" spans="2:61" ht="20.100000000000001" customHeight="1" x14ac:dyDescent="0.45">
      <c r="B204" s="157"/>
      <c r="C204" s="31"/>
      <c r="D204" s="31"/>
      <c r="E204" s="31"/>
      <c r="F204" s="31"/>
      <c r="G204" s="130"/>
      <c r="H204" s="131"/>
      <c r="I204" s="130"/>
      <c r="J204" s="158" t="s">
        <v>242</v>
      </c>
      <c r="K204" s="52"/>
      <c r="L204" s="52"/>
      <c r="M204" s="52"/>
      <c r="N204" s="52"/>
      <c r="O204" s="52"/>
      <c r="P204" s="52"/>
      <c r="Q204" s="52"/>
      <c r="R204" s="158">
        <v>0</v>
      </c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159"/>
      <c r="AK204" s="132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133"/>
    </row>
    <row r="205" spans="2:61" ht="20.100000000000001" customHeight="1" x14ac:dyDescent="0.45">
      <c r="B205" s="157"/>
      <c r="C205" s="31"/>
      <c r="D205" s="31"/>
      <c r="E205" s="31"/>
      <c r="F205" s="31"/>
      <c r="G205" s="130"/>
      <c r="H205" s="131"/>
      <c r="I205" s="130"/>
      <c r="J205" s="158" t="s">
        <v>244</v>
      </c>
      <c r="K205" s="52"/>
      <c r="L205" s="52"/>
      <c r="M205" s="52"/>
      <c r="N205" s="52"/>
      <c r="O205" s="52"/>
      <c r="P205" s="52"/>
      <c r="Q205" s="52"/>
      <c r="R205" s="158" t="s">
        <v>301</v>
      </c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159"/>
      <c r="AK205" s="132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133"/>
    </row>
    <row r="206" spans="2:61" ht="20.100000000000001" customHeight="1" x14ac:dyDescent="0.45">
      <c r="B206" s="157"/>
      <c r="C206" s="31"/>
      <c r="D206" s="31"/>
      <c r="E206" s="31"/>
      <c r="F206" s="31"/>
      <c r="G206" s="130"/>
      <c r="H206" s="131"/>
      <c r="I206" s="130"/>
      <c r="J206" s="158" t="s">
        <v>246</v>
      </c>
      <c r="K206" s="52"/>
      <c r="L206" s="52"/>
      <c r="M206" s="52"/>
      <c r="N206" s="52"/>
      <c r="O206" s="52"/>
      <c r="P206" s="52"/>
      <c r="Q206" s="52"/>
      <c r="R206" s="158" t="s">
        <v>302</v>
      </c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159"/>
      <c r="AK206" s="132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33"/>
    </row>
    <row r="207" spans="2:61" ht="20.100000000000001" customHeight="1" x14ac:dyDescent="0.45">
      <c r="B207" s="157"/>
      <c r="C207" s="31"/>
      <c r="D207" s="31"/>
      <c r="E207" s="31"/>
      <c r="F207" s="31"/>
      <c r="G207" s="130"/>
      <c r="H207" s="131"/>
      <c r="I207" s="130"/>
      <c r="J207" s="158" t="s">
        <v>248</v>
      </c>
      <c r="K207" s="52"/>
      <c r="L207" s="52"/>
      <c r="M207" s="52"/>
      <c r="N207" s="52"/>
      <c r="O207" s="52"/>
      <c r="P207" s="52"/>
      <c r="Q207" s="52"/>
      <c r="R207" s="158" t="s">
        <v>303</v>
      </c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159"/>
      <c r="AK207" s="132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33"/>
    </row>
    <row r="208" spans="2:61" ht="20.100000000000001" customHeight="1" x14ac:dyDescent="0.45">
      <c r="B208" s="157"/>
      <c r="C208" s="31"/>
      <c r="D208" s="31"/>
      <c r="E208" s="31"/>
      <c r="F208" s="31"/>
      <c r="G208" s="130"/>
      <c r="H208" s="131"/>
      <c r="I208" s="130"/>
      <c r="J208" s="158" t="s">
        <v>250</v>
      </c>
      <c r="K208" s="52"/>
      <c r="L208" s="52"/>
      <c r="M208" s="52"/>
      <c r="N208" s="52"/>
      <c r="O208" s="52"/>
      <c r="P208" s="52"/>
      <c r="Q208" s="52"/>
      <c r="R208" s="158" t="s">
        <v>304</v>
      </c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159"/>
      <c r="AK208" s="132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33"/>
    </row>
    <row r="209" spans="2:61" ht="20.100000000000001" customHeight="1" x14ac:dyDescent="0.45">
      <c r="B209" s="157"/>
      <c r="C209" s="31"/>
      <c r="D209" s="31"/>
      <c r="E209" s="31"/>
      <c r="F209" s="31"/>
      <c r="G209" s="130"/>
      <c r="H209" s="131"/>
      <c r="I209" s="130"/>
      <c r="J209" s="158" t="s">
        <v>252</v>
      </c>
      <c r="K209" s="52"/>
      <c r="L209" s="52"/>
      <c r="M209" s="52"/>
      <c r="N209" s="52"/>
      <c r="O209" s="52"/>
      <c r="P209" s="52"/>
      <c r="Q209" s="52"/>
      <c r="R209" s="158" t="s">
        <v>305</v>
      </c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159"/>
      <c r="AK209" s="132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133"/>
    </row>
    <row r="210" spans="2:61" ht="20.100000000000001" customHeight="1" x14ac:dyDescent="0.45">
      <c r="B210" s="157"/>
      <c r="C210" s="31"/>
      <c r="D210" s="31"/>
      <c r="E210" s="31"/>
      <c r="F210" s="31"/>
      <c r="G210" s="130"/>
      <c r="H210" s="131"/>
      <c r="I210" s="130"/>
      <c r="J210" s="158" t="s">
        <v>254</v>
      </c>
      <c r="K210" s="52"/>
      <c r="L210" s="52"/>
      <c r="M210" s="52"/>
      <c r="N210" s="52"/>
      <c r="O210" s="52"/>
      <c r="P210" s="52"/>
      <c r="Q210" s="52"/>
      <c r="R210" s="158" t="s">
        <v>306</v>
      </c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159"/>
      <c r="AK210" s="132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133"/>
    </row>
    <row r="211" spans="2:61" ht="20.100000000000001" customHeight="1" x14ac:dyDescent="0.45">
      <c r="B211" s="157"/>
      <c r="C211" s="31"/>
      <c r="D211" s="31"/>
      <c r="E211" s="31"/>
      <c r="F211" s="31"/>
      <c r="G211" s="130"/>
      <c r="H211" s="131"/>
      <c r="I211" s="130"/>
      <c r="J211" s="158" t="s">
        <v>256</v>
      </c>
      <c r="K211" s="52"/>
      <c r="L211" s="52"/>
      <c r="M211" s="52"/>
      <c r="N211" s="52"/>
      <c r="O211" s="52"/>
      <c r="P211" s="52"/>
      <c r="Q211" s="52"/>
      <c r="R211" s="158" t="s">
        <v>307</v>
      </c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159"/>
      <c r="AK211" s="132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133"/>
    </row>
    <row r="212" spans="2:61" ht="20.100000000000001" customHeight="1" x14ac:dyDescent="0.45">
      <c r="B212" s="157"/>
      <c r="C212" s="31"/>
      <c r="D212" s="31"/>
      <c r="E212" s="31"/>
      <c r="F212" s="31"/>
      <c r="G212" s="130"/>
      <c r="H212" s="131"/>
      <c r="I212" s="130"/>
      <c r="J212" s="158" t="s">
        <v>258</v>
      </c>
      <c r="K212" s="52"/>
      <c r="L212" s="52"/>
      <c r="M212" s="52"/>
      <c r="N212" s="52"/>
      <c r="O212" s="52"/>
      <c r="P212" s="52"/>
      <c r="Q212" s="52"/>
      <c r="R212" s="158" t="s">
        <v>308</v>
      </c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159"/>
      <c r="AK212" s="132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133"/>
    </row>
    <row r="213" spans="2:61" ht="20.100000000000001" customHeight="1" x14ac:dyDescent="0.45">
      <c r="B213" s="157"/>
      <c r="C213" s="31"/>
      <c r="D213" s="31"/>
      <c r="E213" s="31"/>
      <c r="F213" s="31"/>
      <c r="G213" s="130"/>
      <c r="H213" s="131"/>
      <c r="I213" s="130"/>
      <c r="J213" s="134" t="s">
        <v>260</v>
      </c>
      <c r="K213" s="55"/>
      <c r="L213" s="55"/>
      <c r="M213" s="55"/>
      <c r="N213" s="55"/>
      <c r="O213" s="55"/>
      <c r="P213" s="55"/>
      <c r="Q213" s="55"/>
      <c r="R213" s="134" t="s">
        <v>309</v>
      </c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171"/>
      <c r="AK213" s="132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133"/>
    </row>
    <row r="214" spans="2:61" ht="20.100000000000001" customHeight="1" x14ac:dyDescent="0.45">
      <c r="B214" s="157"/>
      <c r="C214" s="31"/>
      <c r="D214" s="31"/>
      <c r="E214" s="31"/>
      <c r="F214" s="31"/>
      <c r="G214" s="130"/>
      <c r="H214" s="134" t="s">
        <v>146</v>
      </c>
      <c r="I214" s="55"/>
      <c r="J214" s="134" t="s">
        <v>310</v>
      </c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13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136"/>
    </row>
    <row r="215" spans="2:61" ht="20.100000000000001" customHeight="1" x14ac:dyDescent="0.45">
      <c r="B215" s="129"/>
      <c r="C215" s="31"/>
      <c r="D215" s="31"/>
      <c r="E215" s="31"/>
      <c r="F215" s="31"/>
      <c r="G215" s="130"/>
      <c r="H215" s="131"/>
      <c r="I215" s="31"/>
      <c r="J215" s="131" t="s">
        <v>311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132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133"/>
    </row>
    <row r="216" spans="2:61" ht="20.100000000000001" customHeight="1" x14ac:dyDescent="0.45">
      <c r="B216" s="129"/>
      <c r="C216" s="31"/>
      <c r="D216" s="31"/>
      <c r="E216" s="31"/>
      <c r="F216" s="31"/>
      <c r="G216" s="130"/>
      <c r="H216" s="131"/>
      <c r="I216" s="31"/>
      <c r="J216" s="131" t="s">
        <v>312</v>
      </c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132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133"/>
    </row>
    <row r="217" spans="2:61" ht="20.100000000000001" customHeight="1" x14ac:dyDescent="0.45">
      <c r="B217" s="129"/>
      <c r="C217" s="31"/>
      <c r="D217" s="31"/>
      <c r="E217" s="31"/>
      <c r="F217" s="31"/>
      <c r="G217" s="130"/>
      <c r="H217" s="131"/>
      <c r="I217" s="31"/>
      <c r="J217" s="131" t="s">
        <v>313</v>
      </c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132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133"/>
    </row>
    <row r="218" spans="2:61" ht="20.100000000000001" customHeight="1" x14ac:dyDescent="0.45">
      <c r="B218" s="129"/>
      <c r="C218" s="31"/>
      <c r="D218" s="31"/>
      <c r="E218" s="31"/>
      <c r="F218" s="31"/>
      <c r="G218" s="130"/>
      <c r="H218" s="131"/>
      <c r="I218" s="31"/>
      <c r="J218" s="131" t="s">
        <v>314</v>
      </c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132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133"/>
    </row>
    <row r="219" spans="2:61" ht="20.100000000000001" customHeight="1" x14ac:dyDescent="0.45">
      <c r="B219" s="129"/>
      <c r="C219" s="31"/>
      <c r="D219" s="31"/>
      <c r="E219" s="31"/>
      <c r="F219" s="31"/>
      <c r="G219" s="130"/>
      <c r="H219" s="134" t="s">
        <v>147</v>
      </c>
      <c r="I219" s="55"/>
      <c r="J219" s="134" t="s">
        <v>315</v>
      </c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13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136"/>
    </row>
    <row r="220" spans="2:61" ht="20.100000000000001" customHeight="1" x14ac:dyDescent="0.45">
      <c r="B220" s="129"/>
      <c r="C220" s="31"/>
      <c r="D220" s="31"/>
      <c r="E220" s="31"/>
      <c r="F220" s="31"/>
      <c r="G220" s="130"/>
      <c r="H220" s="131"/>
      <c r="I220" s="31"/>
      <c r="J220" s="131"/>
      <c r="K220" s="31" t="s">
        <v>316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132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133"/>
    </row>
    <row r="221" spans="2:61" ht="20.100000000000001" customHeight="1" x14ac:dyDescent="0.45">
      <c r="B221" s="129"/>
      <c r="C221" s="31"/>
      <c r="D221" s="31"/>
      <c r="E221" s="31"/>
      <c r="F221" s="31"/>
      <c r="G221" s="130"/>
      <c r="H221" s="131"/>
      <c r="I221" s="31"/>
      <c r="J221" s="131"/>
      <c r="K221" s="31"/>
      <c r="M221" s="31" t="s">
        <v>317</v>
      </c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132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133"/>
    </row>
    <row r="222" spans="2:61" ht="20.100000000000001" customHeight="1" x14ac:dyDescent="0.45">
      <c r="B222" s="129"/>
      <c r="C222" s="31"/>
      <c r="D222" s="31"/>
      <c r="E222" s="31"/>
      <c r="F222" s="31"/>
      <c r="G222" s="130"/>
      <c r="H222" s="131"/>
      <c r="I222" s="31"/>
      <c r="J222" s="131" t="s">
        <v>315</v>
      </c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132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133"/>
    </row>
    <row r="223" spans="2:61" ht="20.100000000000001" customHeight="1" x14ac:dyDescent="0.45">
      <c r="B223" s="129"/>
      <c r="C223" s="31"/>
      <c r="D223" s="31"/>
      <c r="E223" s="31"/>
      <c r="F223" s="31"/>
      <c r="G223" s="130"/>
      <c r="H223" s="131"/>
      <c r="I223" s="31"/>
      <c r="J223" s="131"/>
      <c r="K223" s="31" t="s">
        <v>318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132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133"/>
    </row>
    <row r="224" spans="2:61" ht="20.100000000000001" customHeight="1" x14ac:dyDescent="0.45">
      <c r="B224" s="129"/>
      <c r="C224" s="31"/>
      <c r="D224" s="31"/>
      <c r="E224" s="31"/>
      <c r="F224" s="31"/>
      <c r="G224" s="130"/>
      <c r="H224" s="131"/>
      <c r="I224" s="31"/>
      <c r="J224" s="131"/>
      <c r="K224" s="31"/>
      <c r="M224" s="31" t="s">
        <v>319</v>
      </c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132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133"/>
    </row>
    <row r="225" spans="2:61" ht="20.100000000000001" customHeight="1" x14ac:dyDescent="0.45">
      <c r="B225" s="129"/>
      <c r="C225" s="31"/>
      <c r="D225" s="31"/>
      <c r="E225" s="31"/>
      <c r="F225" s="31"/>
      <c r="G225" s="130"/>
      <c r="H225" s="131"/>
      <c r="I225" s="31"/>
      <c r="J225" s="131" t="s">
        <v>315</v>
      </c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132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133"/>
    </row>
    <row r="226" spans="2:61" ht="20.100000000000001" customHeight="1" x14ac:dyDescent="0.45">
      <c r="B226" s="129"/>
      <c r="C226" s="31"/>
      <c r="D226" s="31"/>
      <c r="E226" s="31"/>
      <c r="F226" s="31"/>
      <c r="G226" s="130"/>
      <c r="H226" s="131"/>
      <c r="I226" s="31"/>
      <c r="J226" s="131"/>
      <c r="K226" s="6" t="s">
        <v>320</v>
      </c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132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133"/>
    </row>
    <row r="227" spans="2:61" ht="20.100000000000001" customHeight="1" x14ac:dyDescent="0.45">
      <c r="B227" s="129"/>
      <c r="C227" s="31"/>
      <c r="D227" s="31"/>
      <c r="E227" s="31"/>
      <c r="F227" s="31"/>
      <c r="G227" s="130"/>
      <c r="H227" s="131"/>
      <c r="I227" s="31"/>
      <c r="J227" s="131"/>
      <c r="M227" s="31" t="s">
        <v>321</v>
      </c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132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133"/>
    </row>
    <row r="228" spans="2:61" ht="20.100000000000001" customHeight="1" x14ac:dyDescent="0.45">
      <c r="B228" s="129"/>
      <c r="C228" s="31"/>
      <c r="D228" s="31"/>
      <c r="E228" s="31"/>
      <c r="F228" s="31"/>
      <c r="G228" s="130"/>
      <c r="H228" s="131"/>
      <c r="I228" s="31"/>
      <c r="J228" s="131" t="s">
        <v>322</v>
      </c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132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133"/>
    </row>
    <row r="229" spans="2:61" ht="20.100000000000001" customHeight="1" x14ac:dyDescent="0.45">
      <c r="B229" s="129"/>
      <c r="C229" s="31"/>
      <c r="D229" s="31"/>
      <c r="E229" s="31"/>
      <c r="F229" s="31"/>
      <c r="G229" s="130"/>
      <c r="H229" s="131"/>
      <c r="I229" s="31"/>
      <c r="J229" s="131"/>
      <c r="K229" s="31" t="s">
        <v>323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132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133"/>
    </row>
    <row r="230" spans="2:61" ht="20.100000000000001" customHeight="1" x14ac:dyDescent="0.45">
      <c r="B230" s="129"/>
      <c r="C230" s="31"/>
      <c r="D230" s="31"/>
      <c r="E230" s="31"/>
      <c r="F230" s="31"/>
      <c r="G230" s="130"/>
      <c r="H230" s="131"/>
      <c r="I230" s="31"/>
      <c r="J230" s="131"/>
      <c r="L230" s="31"/>
      <c r="M230" s="31" t="s">
        <v>324</v>
      </c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132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133"/>
    </row>
    <row r="231" spans="2:61" ht="20.100000000000001" customHeight="1" x14ac:dyDescent="0.45">
      <c r="B231" s="129"/>
      <c r="C231" s="31"/>
      <c r="D231" s="31"/>
      <c r="E231" s="31"/>
      <c r="F231" s="31"/>
      <c r="G231" s="130"/>
      <c r="H231" s="137"/>
      <c r="I231" s="138"/>
      <c r="J231" s="131"/>
      <c r="L231" s="31" t="s">
        <v>325</v>
      </c>
      <c r="M231" s="31" t="s">
        <v>326</v>
      </c>
      <c r="N231" s="31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9"/>
      <c r="AL231" s="138"/>
      <c r="AM231" s="138"/>
      <c r="AN231" s="138"/>
      <c r="AO231" s="138"/>
      <c r="AP231" s="138"/>
      <c r="AQ231" s="138"/>
      <c r="AR231" s="138"/>
      <c r="AS231" s="138"/>
      <c r="AT231" s="138"/>
      <c r="AU231" s="138"/>
      <c r="AV231" s="138"/>
      <c r="AW231" s="138"/>
      <c r="AX231" s="138"/>
      <c r="AY231" s="138"/>
      <c r="AZ231" s="138"/>
      <c r="BA231" s="138"/>
      <c r="BB231" s="138"/>
      <c r="BC231" s="138"/>
      <c r="BD231" s="138"/>
      <c r="BE231" s="138"/>
      <c r="BF231" s="138"/>
      <c r="BG231" s="138"/>
      <c r="BH231" s="138"/>
      <c r="BI231" s="140"/>
    </row>
    <row r="232" spans="2:61" ht="20.100000000000001" customHeight="1" x14ac:dyDescent="0.45">
      <c r="B232" s="129"/>
      <c r="C232" s="31"/>
      <c r="D232" s="31"/>
      <c r="E232" s="31"/>
      <c r="F232" s="31"/>
      <c r="G232" s="130"/>
      <c r="H232" s="131" t="s">
        <v>148</v>
      </c>
      <c r="I232" s="31"/>
      <c r="J232" s="134"/>
      <c r="K232" s="55" t="s">
        <v>333</v>
      </c>
      <c r="L232" s="55"/>
      <c r="M232" s="55"/>
      <c r="N232" s="55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132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133"/>
    </row>
    <row r="233" spans="2:61" ht="20.100000000000001" customHeight="1" x14ac:dyDescent="0.45">
      <c r="B233" s="129"/>
      <c r="C233" s="31"/>
      <c r="D233" s="31"/>
      <c r="E233" s="31"/>
      <c r="F233" s="31"/>
      <c r="G233" s="130"/>
      <c r="H233" s="131"/>
      <c r="I233" s="31"/>
      <c r="J233" s="131" t="s">
        <v>325</v>
      </c>
      <c r="K233" s="31" t="s">
        <v>330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132" t="s">
        <v>331</v>
      </c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133"/>
    </row>
    <row r="234" spans="2:61" ht="20.100000000000001" customHeight="1" x14ac:dyDescent="0.45">
      <c r="B234" s="129"/>
      <c r="C234" s="31"/>
      <c r="D234" s="31"/>
      <c r="E234" s="31"/>
      <c r="F234" s="31"/>
      <c r="G234" s="130"/>
      <c r="H234" s="131"/>
      <c r="I234" s="31"/>
      <c r="J234" s="131" t="s">
        <v>325</v>
      </c>
      <c r="K234" s="31" t="s">
        <v>270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1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133"/>
    </row>
    <row r="235" spans="2:61" ht="20.100000000000001" customHeight="1" x14ac:dyDescent="0.45">
      <c r="B235" s="129"/>
      <c r="C235" s="31"/>
      <c r="D235" s="31"/>
      <c r="E235" s="31"/>
      <c r="F235" s="31"/>
      <c r="G235" s="130"/>
      <c r="H235" s="131"/>
      <c r="I235" s="31"/>
      <c r="J235" s="131"/>
      <c r="L235" s="31"/>
      <c r="M235" s="31" t="s">
        <v>338</v>
      </c>
      <c r="N235" s="31"/>
      <c r="O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1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133"/>
    </row>
    <row r="236" spans="2:61" ht="20.100000000000001" customHeight="1" x14ac:dyDescent="0.45">
      <c r="B236" s="129"/>
      <c r="C236" s="31"/>
      <c r="D236" s="31"/>
      <c r="E236" s="31"/>
      <c r="F236" s="31"/>
      <c r="G236" s="130"/>
      <c r="H236" s="131"/>
      <c r="I236" s="31"/>
      <c r="J236" s="131"/>
      <c r="L236" s="31" t="s">
        <v>339</v>
      </c>
      <c r="M236" s="31" t="s">
        <v>340</v>
      </c>
      <c r="N236" s="31"/>
      <c r="O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1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133"/>
    </row>
    <row r="237" spans="2:61" ht="20.100000000000001" customHeight="1" x14ac:dyDescent="0.45">
      <c r="B237" s="129"/>
      <c r="C237" s="31"/>
      <c r="D237" s="31"/>
      <c r="E237" s="31"/>
      <c r="F237" s="31"/>
      <c r="G237" s="130"/>
      <c r="H237" s="131"/>
      <c r="I237" s="31"/>
      <c r="J237" s="131"/>
      <c r="K237" s="31" t="s">
        <v>341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1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133"/>
    </row>
    <row r="238" spans="2:61" ht="20.100000000000001" customHeight="1" thickBot="1" x14ac:dyDescent="0.5">
      <c r="B238" s="129"/>
      <c r="C238" s="31"/>
      <c r="D238" s="31"/>
      <c r="E238" s="31"/>
      <c r="F238" s="31"/>
      <c r="G238" s="130"/>
      <c r="H238" s="131"/>
      <c r="I238" s="31"/>
      <c r="J238" s="131" t="s">
        <v>325</v>
      </c>
      <c r="K238" s="6" t="s">
        <v>335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1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133"/>
    </row>
    <row r="239" spans="2:61" ht="20.100000000000001" customHeight="1" x14ac:dyDescent="0.45">
      <c r="B239" s="123" t="s">
        <v>342</v>
      </c>
      <c r="C239" s="124"/>
      <c r="D239" s="124"/>
      <c r="E239" s="124"/>
      <c r="F239" s="124"/>
      <c r="G239" s="125"/>
      <c r="H239" s="126" t="s">
        <v>177</v>
      </c>
      <c r="I239" s="125"/>
      <c r="J239" s="154" t="s">
        <v>192</v>
      </c>
      <c r="K239" s="155"/>
      <c r="L239" s="155"/>
      <c r="M239" s="155"/>
      <c r="N239" s="155"/>
      <c r="O239" s="155"/>
      <c r="P239" s="155"/>
      <c r="Q239" s="155"/>
      <c r="R239" s="154" t="s">
        <v>277</v>
      </c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6"/>
      <c r="AK239" s="127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8"/>
    </row>
    <row r="240" spans="2:61" ht="20.100000000000001" customHeight="1" x14ac:dyDescent="0.45">
      <c r="B240" s="157"/>
      <c r="C240" s="31"/>
      <c r="D240" s="31"/>
      <c r="E240" s="31"/>
      <c r="F240" s="31"/>
      <c r="G240" s="130"/>
      <c r="H240" s="131"/>
      <c r="I240" s="130"/>
      <c r="J240" s="158" t="s">
        <v>194</v>
      </c>
      <c r="K240" s="52"/>
      <c r="L240" s="52"/>
      <c r="M240" s="52"/>
      <c r="N240" s="52"/>
      <c r="O240" s="52"/>
      <c r="P240" s="52"/>
      <c r="Q240" s="52"/>
      <c r="R240" s="158" t="s">
        <v>343</v>
      </c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159"/>
      <c r="AK240" s="132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133"/>
    </row>
    <row r="241" spans="2:61" ht="20.100000000000001" customHeight="1" x14ac:dyDescent="0.45">
      <c r="B241" s="157"/>
      <c r="C241" s="31"/>
      <c r="D241" s="31"/>
      <c r="E241" s="31"/>
      <c r="F241" s="31"/>
      <c r="G241" s="130"/>
      <c r="H241" s="131"/>
      <c r="I241" s="130"/>
      <c r="J241" s="158" t="s">
        <v>196</v>
      </c>
      <c r="K241" s="52"/>
      <c r="L241" s="52"/>
      <c r="M241" s="52"/>
      <c r="N241" s="52"/>
      <c r="O241" s="52"/>
      <c r="P241" s="52"/>
      <c r="Q241" s="52"/>
      <c r="R241" s="158" t="s">
        <v>344</v>
      </c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159"/>
      <c r="AK241" s="132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133"/>
    </row>
    <row r="242" spans="2:61" ht="20.100000000000001" customHeight="1" x14ac:dyDescent="0.45">
      <c r="B242" s="157"/>
      <c r="C242" s="31"/>
      <c r="D242" s="31"/>
      <c r="E242" s="31"/>
      <c r="F242" s="31"/>
      <c r="G242" s="130"/>
      <c r="H242" s="131"/>
      <c r="I242" s="130"/>
      <c r="J242" s="158" t="s">
        <v>198</v>
      </c>
      <c r="K242" s="52"/>
      <c r="L242" s="52"/>
      <c r="M242" s="52"/>
      <c r="N242" s="52"/>
      <c r="O242" s="52"/>
      <c r="P242" s="52"/>
      <c r="Q242" s="52"/>
      <c r="R242" s="158" t="s">
        <v>280</v>
      </c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159"/>
      <c r="AK242" s="132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133"/>
    </row>
    <row r="243" spans="2:61" ht="20.100000000000001" customHeight="1" x14ac:dyDescent="0.45">
      <c r="B243" s="157"/>
      <c r="C243" s="31"/>
      <c r="D243" s="31"/>
      <c r="E243" s="31"/>
      <c r="F243" s="31"/>
      <c r="G243" s="130"/>
      <c r="H243" s="131"/>
      <c r="I243" s="130"/>
      <c r="J243" s="158" t="s">
        <v>200</v>
      </c>
      <c r="K243" s="52"/>
      <c r="L243" s="52"/>
      <c r="M243" s="52"/>
      <c r="N243" s="52"/>
      <c r="O243" s="52"/>
      <c r="P243" s="52"/>
      <c r="Q243" s="52"/>
      <c r="R243" s="158" t="s">
        <v>281</v>
      </c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159"/>
      <c r="AK243" s="132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133"/>
    </row>
    <row r="244" spans="2:61" ht="20.100000000000001" customHeight="1" x14ac:dyDescent="0.45">
      <c r="B244" s="157"/>
      <c r="C244" s="31"/>
      <c r="D244" s="31"/>
      <c r="E244" s="31"/>
      <c r="F244" s="31"/>
      <c r="G244" s="130"/>
      <c r="H244" s="131"/>
      <c r="I244" s="130"/>
      <c r="J244" s="158" t="s">
        <v>202</v>
      </c>
      <c r="K244" s="52"/>
      <c r="L244" s="52"/>
      <c r="M244" s="52"/>
      <c r="N244" s="52"/>
      <c r="O244" s="52"/>
      <c r="P244" s="52"/>
      <c r="Q244" s="52"/>
      <c r="R244" s="158" t="s">
        <v>282</v>
      </c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159"/>
      <c r="AK244" s="132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133"/>
    </row>
    <row r="245" spans="2:61" ht="20.100000000000001" customHeight="1" x14ac:dyDescent="0.45">
      <c r="B245" s="157"/>
      <c r="C245" s="31"/>
      <c r="D245" s="31"/>
      <c r="E245" s="31"/>
      <c r="F245" s="31"/>
      <c r="G245" s="130"/>
      <c r="H245" s="131"/>
      <c r="I245" s="130"/>
      <c r="J245" s="158" t="s">
        <v>204</v>
      </c>
      <c r="K245" s="52"/>
      <c r="L245" s="52"/>
      <c r="M245" s="52"/>
      <c r="N245" s="52"/>
      <c r="O245" s="52"/>
      <c r="P245" s="52"/>
      <c r="Q245" s="52"/>
      <c r="R245" s="158" t="s">
        <v>283</v>
      </c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159"/>
      <c r="AK245" s="132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133"/>
    </row>
    <row r="246" spans="2:61" ht="20.100000000000001" customHeight="1" x14ac:dyDescent="0.45">
      <c r="B246" s="157"/>
      <c r="C246" s="31"/>
      <c r="D246" s="31"/>
      <c r="E246" s="31"/>
      <c r="F246" s="31"/>
      <c r="G246" s="130"/>
      <c r="H246" s="131"/>
      <c r="I246" s="130"/>
      <c r="J246" s="158" t="s">
        <v>206</v>
      </c>
      <c r="K246" s="52"/>
      <c r="L246" s="52"/>
      <c r="M246" s="52"/>
      <c r="N246" s="52"/>
      <c r="O246" s="52"/>
      <c r="P246" s="52"/>
      <c r="Q246" s="52"/>
      <c r="R246" s="158" t="s">
        <v>284</v>
      </c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159"/>
      <c r="AK246" s="132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133"/>
    </row>
    <row r="247" spans="2:61" ht="20.100000000000001" customHeight="1" x14ac:dyDescent="0.45">
      <c r="B247" s="157"/>
      <c r="C247" s="31"/>
      <c r="D247" s="31"/>
      <c r="E247" s="31"/>
      <c r="F247" s="31"/>
      <c r="G247" s="130"/>
      <c r="H247" s="131"/>
      <c r="I247" s="130"/>
      <c r="J247" s="158" t="s">
        <v>208</v>
      </c>
      <c r="K247" s="52"/>
      <c r="L247" s="52"/>
      <c r="M247" s="52"/>
      <c r="N247" s="52"/>
      <c r="O247" s="52"/>
      <c r="P247" s="52"/>
      <c r="Q247" s="52"/>
      <c r="R247" s="158" t="s">
        <v>285</v>
      </c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159"/>
      <c r="AK247" s="132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133"/>
    </row>
    <row r="248" spans="2:61" ht="20.100000000000001" customHeight="1" x14ac:dyDescent="0.45">
      <c r="B248" s="157"/>
      <c r="C248" s="31"/>
      <c r="D248" s="31"/>
      <c r="E248" s="31"/>
      <c r="F248" s="31"/>
      <c r="G248" s="130"/>
      <c r="H248" s="131"/>
      <c r="I248" s="130"/>
      <c r="J248" s="158" t="s">
        <v>210</v>
      </c>
      <c r="K248" s="52"/>
      <c r="L248" s="52"/>
      <c r="M248" s="52"/>
      <c r="N248" s="52"/>
      <c r="O248" s="52"/>
      <c r="P248" s="52"/>
      <c r="Q248" s="52"/>
      <c r="R248" s="158" t="s">
        <v>286</v>
      </c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159"/>
      <c r="AK248" s="132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133"/>
    </row>
    <row r="249" spans="2:61" ht="20.100000000000001" customHeight="1" x14ac:dyDescent="0.45">
      <c r="B249" s="157"/>
      <c r="C249" s="31"/>
      <c r="D249" s="31"/>
      <c r="E249" s="31"/>
      <c r="F249" s="31"/>
      <c r="G249" s="130"/>
      <c r="H249" s="131"/>
      <c r="I249" s="130"/>
      <c r="J249" s="158" t="s">
        <v>212</v>
      </c>
      <c r="K249" s="52"/>
      <c r="L249" s="52"/>
      <c r="M249" s="52"/>
      <c r="N249" s="52"/>
      <c r="O249" s="52"/>
      <c r="P249" s="52"/>
      <c r="Q249" s="52"/>
      <c r="R249" s="158" t="s">
        <v>287</v>
      </c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159"/>
      <c r="AK249" s="132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133"/>
    </row>
    <row r="250" spans="2:61" ht="20.100000000000001" customHeight="1" x14ac:dyDescent="0.45">
      <c r="B250" s="157"/>
      <c r="C250" s="31"/>
      <c r="D250" s="31"/>
      <c r="E250" s="31"/>
      <c r="F250" s="31"/>
      <c r="G250" s="130"/>
      <c r="H250" s="131"/>
      <c r="I250" s="130"/>
      <c r="J250" s="158" t="s">
        <v>214</v>
      </c>
      <c r="K250" s="52"/>
      <c r="L250" s="52"/>
      <c r="M250" s="52"/>
      <c r="N250" s="52"/>
      <c r="O250" s="52"/>
      <c r="P250" s="52"/>
      <c r="Q250" s="52"/>
      <c r="R250" s="158" t="s">
        <v>288</v>
      </c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159"/>
      <c r="AK250" s="132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133"/>
    </row>
    <row r="251" spans="2:61" ht="20.100000000000001" customHeight="1" x14ac:dyDescent="0.45">
      <c r="B251" s="157"/>
      <c r="C251" s="31"/>
      <c r="D251" s="31"/>
      <c r="E251" s="31"/>
      <c r="F251" s="31"/>
      <c r="G251" s="130"/>
      <c r="H251" s="131"/>
      <c r="I251" s="130"/>
      <c r="J251" s="158" t="s">
        <v>216</v>
      </c>
      <c r="K251" s="52"/>
      <c r="L251" s="52"/>
      <c r="M251" s="52"/>
      <c r="N251" s="52"/>
      <c r="O251" s="52"/>
      <c r="P251" s="52"/>
      <c r="Q251" s="52"/>
      <c r="R251" s="158" t="s">
        <v>289</v>
      </c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159"/>
      <c r="AK251" s="132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133"/>
    </row>
    <row r="252" spans="2:61" ht="20.100000000000001" customHeight="1" x14ac:dyDescent="0.45">
      <c r="B252" s="157"/>
      <c r="C252" s="31"/>
      <c r="D252" s="31"/>
      <c r="E252" s="31"/>
      <c r="F252" s="31"/>
      <c r="G252" s="130"/>
      <c r="H252" s="131"/>
      <c r="I252" s="130"/>
      <c r="J252" s="158" t="s">
        <v>218</v>
      </c>
      <c r="K252" s="52"/>
      <c r="L252" s="52"/>
      <c r="M252" s="52"/>
      <c r="N252" s="52"/>
      <c r="O252" s="52"/>
      <c r="P252" s="52"/>
      <c r="Q252" s="52"/>
      <c r="R252" s="158" t="s">
        <v>290</v>
      </c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159"/>
      <c r="AK252" s="132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133"/>
    </row>
    <row r="253" spans="2:61" ht="20.100000000000001" customHeight="1" x14ac:dyDescent="0.45">
      <c r="B253" s="157"/>
      <c r="C253" s="31"/>
      <c r="D253" s="31"/>
      <c r="E253" s="31"/>
      <c r="F253" s="31"/>
      <c r="G253" s="130"/>
      <c r="H253" s="131"/>
      <c r="I253" s="130"/>
      <c r="J253" s="158" t="s">
        <v>220</v>
      </c>
      <c r="K253" s="52"/>
      <c r="L253" s="52"/>
      <c r="M253" s="52"/>
      <c r="N253" s="52"/>
      <c r="O253" s="52"/>
      <c r="P253" s="52"/>
      <c r="Q253" s="52"/>
      <c r="R253" s="158" t="s">
        <v>291</v>
      </c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159"/>
      <c r="AK253" s="132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133"/>
    </row>
    <row r="254" spans="2:61" ht="20.100000000000001" customHeight="1" x14ac:dyDescent="0.45">
      <c r="B254" s="157"/>
      <c r="C254" s="31"/>
      <c r="D254" s="31"/>
      <c r="E254" s="31"/>
      <c r="F254" s="31"/>
      <c r="G254" s="130"/>
      <c r="H254" s="131"/>
      <c r="I254" s="130"/>
      <c r="J254" s="158" t="s">
        <v>222</v>
      </c>
      <c r="K254" s="52"/>
      <c r="L254" s="52"/>
      <c r="M254" s="52"/>
      <c r="N254" s="52"/>
      <c r="O254" s="52"/>
      <c r="P254" s="52"/>
      <c r="Q254" s="52"/>
      <c r="R254" s="158" t="s">
        <v>292</v>
      </c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159"/>
      <c r="AK254" s="132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133"/>
    </row>
    <row r="255" spans="2:61" ht="20.100000000000001" customHeight="1" x14ac:dyDescent="0.45">
      <c r="B255" s="157"/>
      <c r="C255" s="31"/>
      <c r="D255" s="31"/>
      <c r="E255" s="31"/>
      <c r="F255" s="31"/>
      <c r="G255" s="130"/>
      <c r="H255" s="131"/>
      <c r="I255" s="130"/>
      <c r="J255" s="158" t="s">
        <v>224</v>
      </c>
      <c r="K255" s="52"/>
      <c r="L255" s="52"/>
      <c r="M255" s="52"/>
      <c r="N255" s="52"/>
      <c r="O255" s="52"/>
      <c r="P255" s="52"/>
      <c r="Q255" s="52"/>
      <c r="R255" s="158" t="s">
        <v>345</v>
      </c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159"/>
      <c r="AK255" s="132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133"/>
    </row>
    <row r="256" spans="2:61" ht="20.100000000000001" customHeight="1" x14ac:dyDescent="0.45">
      <c r="B256" s="157"/>
      <c r="C256" s="31"/>
      <c r="D256" s="31"/>
      <c r="E256" s="31"/>
      <c r="F256" s="31"/>
      <c r="G256" s="130"/>
      <c r="H256" s="131"/>
      <c r="I256" s="130"/>
      <c r="J256" s="158" t="s">
        <v>226</v>
      </c>
      <c r="K256" s="52"/>
      <c r="L256" s="52"/>
      <c r="M256" s="52"/>
      <c r="N256" s="52"/>
      <c r="O256" s="52"/>
      <c r="P256" s="52"/>
      <c r="Q256" s="52"/>
      <c r="R256" s="158" t="s">
        <v>294</v>
      </c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159"/>
      <c r="AK256" s="132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133"/>
    </row>
    <row r="257" spans="2:61" ht="20.100000000000001" customHeight="1" x14ac:dyDescent="0.45">
      <c r="B257" s="157"/>
      <c r="C257" s="31"/>
      <c r="D257" s="31"/>
      <c r="E257" s="31"/>
      <c r="F257" s="31"/>
      <c r="G257" s="130"/>
      <c r="H257" s="131"/>
      <c r="I257" s="130"/>
      <c r="J257" s="158" t="s">
        <v>228</v>
      </c>
      <c r="K257" s="52"/>
      <c r="L257" s="52"/>
      <c r="M257" s="52"/>
      <c r="N257" s="52"/>
      <c r="O257" s="52"/>
      <c r="P257" s="52"/>
      <c r="Q257" s="52"/>
      <c r="R257" s="158" t="s">
        <v>295</v>
      </c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159"/>
      <c r="AK257" s="132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133"/>
    </row>
    <row r="258" spans="2:61" ht="20.100000000000001" customHeight="1" x14ac:dyDescent="0.45">
      <c r="B258" s="157"/>
      <c r="C258" s="31"/>
      <c r="D258" s="31"/>
      <c r="E258" s="31"/>
      <c r="F258" s="31"/>
      <c r="G258" s="130"/>
      <c r="H258" s="131"/>
      <c r="I258" s="130"/>
      <c r="J258" s="158" t="s">
        <v>230</v>
      </c>
      <c r="K258" s="52"/>
      <c r="L258" s="52"/>
      <c r="M258" s="52"/>
      <c r="N258" s="52"/>
      <c r="O258" s="52"/>
      <c r="P258" s="52"/>
      <c r="Q258" s="52"/>
      <c r="R258" s="170" t="s">
        <v>346</v>
      </c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159"/>
      <c r="AK258" s="132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133"/>
    </row>
    <row r="259" spans="2:61" ht="20.100000000000001" customHeight="1" x14ac:dyDescent="0.45">
      <c r="B259" s="157"/>
      <c r="C259" s="31"/>
      <c r="D259" s="31"/>
      <c r="E259" s="31"/>
      <c r="F259" s="31"/>
      <c r="G259" s="130"/>
      <c r="H259" s="131"/>
      <c r="I259" s="130"/>
      <c r="J259" s="158" t="s">
        <v>232</v>
      </c>
      <c r="K259" s="52"/>
      <c r="L259" s="52"/>
      <c r="M259" s="52"/>
      <c r="N259" s="52"/>
      <c r="O259" s="52"/>
      <c r="P259" s="52"/>
      <c r="Q259" s="52"/>
      <c r="R259" s="158" t="s">
        <v>297</v>
      </c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159"/>
      <c r="AK259" s="132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133"/>
    </row>
    <row r="260" spans="2:61" ht="20.100000000000001" customHeight="1" x14ac:dyDescent="0.45">
      <c r="B260" s="157"/>
      <c r="C260" s="31"/>
      <c r="D260" s="31"/>
      <c r="E260" s="31"/>
      <c r="F260" s="31"/>
      <c r="G260" s="130"/>
      <c r="H260" s="131"/>
      <c r="I260" s="130"/>
      <c r="J260" s="158" t="s">
        <v>234</v>
      </c>
      <c r="K260" s="52"/>
      <c r="L260" s="52"/>
      <c r="M260" s="52"/>
      <c r="N260" s="52"/>
      <c r="O260" s="52"/>
      <c r="P260" s="52"/>
      <c r="Q260" s="52"/>
      <c r="R260" s="158" t="s">
        <v>347</v>
      </c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159"/>
      <c r="AK260" s="132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133"/>
    </row>
    <row r="261" spans="2:61" ht="20.100000000000001" customHeight="1" x14ac:dyDescent="0.45">
      <c r="B261" s="157"/>
      <c r="C261" s="31"/>
      <c r="D261" s="31"/>
      <c r="E261" s="31"/>
      <c r="F261" s="31"/>
      <c r="G261" s="130"/>
      <c r="H261" s="131"/>
      <c r="I261" s="130"/>
      <c r="J261" s="158" t="s">
        <v>236</v>
      </c>
      <c r="K261" s="52"/>
      <c r="L261" s="52"/>
      <c r="M261" s="52"/>
      <c r="N261" s="52"/>
      <c r="O261" s="52"/>
      <c r="P261" s="52"/>
      <c r="Q261" s="52"/>
      <c r="R261" s="158" t="s">
        <v>299</v>
      </c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159"/>
      <c r="AK261" s="132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133"/>
    </row>
    <row r="262" spans="2:61" ht="20.100000000000001" customHeight="1" x14ac:dyDescent="0.45">
      <c r="B262" s="157"/>
      <c r="C262" s="31"/>
      <c r="D262" s="31"/>
      <c r="E262" s="31"/>
      <c r="F262" s="31"/>
      <c r="G262" s="130"/>
      <c r="H262" s="131"/>
      <c r="I262" s="130"/>
      <c r="J262" s="158" t="s">
        <v>238</v>
      </c>
      <c r="K262" s="52"/>
      <c r="L262" s="52"/>
      <c r="M262" s="52"/>
      <c r="N262" s="52"/>
      <c r="O262" s="52"/>
      <c r="P262" s="52"/>
      <c r="Q262" s="52"/>
      <c r="R262" s="170" t="s">
        <v>348</v>
      </c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159"/>
      <c r="AK262" s="132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133"/>
    </row>
    <row r="263" spans="2:61" ht="20.100000000000001" customHeight="1" x14ac:dyDescent="0.45">
      <c r="B263" s="157"/>
      <c r="C263" s="31"/>
      <c r="D263" s="31"/>
      <c r="E263" s="31"/>
      <c r="F263" s="31"/>
      <c r="G263" s="130"/>
      <c r="H263" s="131"/>
      <c r="I263" s="130"/>
      <c r="J263" s="158" t="s">
        <v>240</v>
      </c>
      <c r="K263" s="52"/>
      <c r="L263" s="52"/>
      <c r="M263" s="52"/>
      <c r="N263" s="52"/>
      <c r="O263" s="52"/>
      <c r="P263" s="52"/>
      <c r="Q263" s="52"/>
      <c r="R263" s="158">
        <v>0</v>
      </c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159"/>
      <c r="AK263" s="132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133"/>
    </row>
    <row r="264" spans="2:61" ht="20.100000000000001" customHeight="1" x14ac:dyDescent="0.45">
      <c r="B264" s="157"/>
      <c r="C264" s="31"/>
      <c r="D264" s="31"/>
      <c r="E264" s="31"/>
      <c r="F264" s="31"/>
      <c r="G264" s="130"/>
      <c r="H264" s="131"/>
      <c r="I264" s="130"/>
      <c r="J264" s="158" t="s">
        <v>242</v>
      </c>
      <c r="K264" s="52"/>
      <c r="L264" s="52"/>
      <c r="M264" s="52"/>
      <c r="N264" s="52"/>
      <c r="O264" s="52"/>
      <c r="P264" s="52"/>
      <c r="Q264" s="52"/>
      <c r="R264" s="158">
        <v>0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159"/>
      <c r="AK264" s="132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133"/>
    </row>
    <row r="265" spans="2:61" ht="20.100000000000001" customHeight="1" x14ac:dyDescent="0.45">
      <c r="B265" s="157"/>
      <c r="C265" s="31"/>
      <c r="D265" s="31"/>
      <c r="E265" s="31"/>
      <c r="F265" s="31"/>
      <c r="G265" s="130"/>
      <c r="H265" s="131"/>
      <c r="I265" s="130"/>
      <c r="J265" s="158" t="s">
        <v>244</v>
      </c>
      <c r="K265" s="52"/>
      <c r="L265" s="52"/>
      <c r="M265" s="52"/>
      <c r="N265" s="52"/>
      <c r="O265" s="52"/>
      <c r="P265" s="52"/>
      <c r="Q265" s="52"/>
      <c r="R265" s="158" t="s">
        <v>301</v>
      </c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159"/>
      <c r="AK265" s="132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133"/>
    </row>
    <row r="266" spans="2:61" ht="20.100000000000001" customHeight="1" x14ac:dyDescent="0.45">
      <c r="B266" s="157"/>
      <c r="C266" s="31"/>
      <c r="D266" s="31"/>
      <c r="E266" s="31"/>
      <c r="F266" s="31"/>
      <c r="G266" s="130"/>
      <c r="H266" s="131"/>
      <c r="I266" s="130"/>
      <c r="J266" s="158" t="s">
        <v>246</v>
      </c>
      <c r="K266" s="52"/>
      <c r="L266" s="52"/>
      <c r="M266" s="52"/>
      <c r="N266" s="52"/>
      <c r="O266" s="52"/>
      <c r="P266" s="52"/>
      <c r="Q266" s="52"/>
      <c r="R266" s="158" t="s">
        <v>302</v>
      </c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159"/>
      <c r="AK266" s="132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133"/>
    </row>
    <row r="267" spans="2:61" ht="20.100000000000001" customHeight="1" x14ac:dyDescent="0.45">
      <c r="B267" s="157"/>
      <c r="C267" s="31"/>
      <c r="D267" s="31"/>
      <c r="E267" s="31"/>
      <c r="F267" s="31"/>
      <c r="G267" s="130"/>
      <c r="H267" s="131"/>
      <c r="I267" s="130"/>
      <c r="J267" s="158" t="s">
        <v>248</v>
      </c>
      <c r="K267" s="52"/>
      <c r="L267" s="52"/>
      <c r="M267" s="52"/>
      <c r="N267" s="52"/>
      <c r="O267" s="52"/>
      <c r="P267" s="52"/>
      <c r="Q267" s="52"/>
      <c r="R267" s="158" t="s">
        <v>303</v>
      </c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159"/>
      <c r="AK267" s="132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133"/>
    </row>
    <row r="268" spans="2:61" ht="20.100000000000001" customHeight="1" x14ac:dyDescent="0.45">
      <c r="B268" s="157"/>
      <c r="C268" s="31"/>
      <c r="D268" s="31"/>
      <c r="E268" s="31"/>
      <c r="F268" s="31"/>
      <c r="G268" s="130"/>
      <c r="H268" s="131"/>
      <c r="I268" s="130"/>
      <c r="J268" s="158" t="s">
        <v>250</v>
      </c>
      <c r="K268" s="52"/>
      <c r="L268" s="52"/>
      <c r="M268" s="52"/>
      <c r="N268" s="52"/>
      <c r="O268" s="52"/>
      <c r="P268" s="52"/>
      <c r="Q268" s="52"/>
      <c r="R268" s="158" t="s">
        <v>304</v>
      </c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159"/>
      <c r="AK268" s="132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133"/>
    </row>
    <row r="269" spans="2:61" ht="20.100000000000001" customHeight="1" x14ac:dyDescent="0.45">
      <c r="B269" s="157"/>
      <c r="C269" s="31"/>
      <c r="D269" s="31"/>
      <c r="E269" s="31"/>
      <c r="F269" s="31"/>
      <c r="G269" s="130"/>
      <c r="H269" s="131"/>
      <c r="I269" s="130"/>
      <c r="J269" s="158" t="s">
        <v>252</v>
      </c>
      <c r="K269" s="52"/>
      <c r="L269" s="52"/>
      <c r="M269" s="52"/>
      <c r="N269" s="52"/>
      <c r="O269" s="52"/>
      <c r="P269" s="52"/>
      <c r="Q269" s="52"/>
      <c r="R269" s="158" t="s">
        <v>305</v>
      </c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159"/>
      <c r="AK269" s="132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133"/>
    </row>
    <row r="270" spans="2:61" ht="20.100000000000001" customHeight="1" x14ac:dyDescent="0.45">
      <c r="B270" s="157"/>
      <c r="C270" s="31"/>
      <c r="D270" s="31"/>
      <c r="E270" s="31"/>
      <c r="F270" s="31"/>
      <c r="G270" s="130"/>
      <c r="H270" s="131"/>
      <c r="I270" s="130"/>
      <c r="J270" s="158" t="s">
        <v>254</v>
      </c>
      <c r="K270" s="52"/>
      <c r="L270" s="52"/>
      <c r="M270" s="52"/>
      <c r="N270" s="52"/>
      <c r="O270" s="52"/>
      <c r="P270" s="52"/>
      <c r="Q270" s="52"/>
      <c r="R270" s="158" t="s">
        <v>306</v>
      </c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159"/>
      <c r="AK270" s="132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133"/>
    </row>
    <row r="271" spans="2:61" ht="20.100000000000001" customHeight="1" x14ac:dyDescent="0.45">
      <c r="B271" s="157"/>
      <c r="C271" s="31"/>
      <c r="D271" s="31"/>
      <c r="E271" s="31"/>
      <c r="F271" s="31"/>
      <c r="G271" s="130"/>
      <c r="H271" s="131"/>
      <c r="I271" s="130"/>
      <c r="J271" s="158" t="s">
        <v>256</v>
      </c>
      <c r="K271" s="52"/>
      <c r="L271" s="52"/>
      <c r="M271" s="52"/>
      <c r="N271" s="52"/>
      <c r="O271" s="52"/>
      <c r="P271" s="52"/>
      <c r="Q271" s="52"/>
      <c r="R271" s="158" t="s">
        <v>307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159"/>
      <c r="AK271" s="132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133"/>
    </row>
    <row r="272" spans="2:61" ht="20.100000000000001" customHeight="1" x14ac:dyDescent="0.45">
      <c r="B272" s="157"/>
      <c r="C272" s="31"/>
      <c r="D272" s="31"/>
      <c r="E272" s="31"/>
      <c r="F272" s="31"/>
      <c r="G272" s="130"/>
      <c r="H272" s="131"/>
      <c r="I272" s="130"/>
      <c r="J272" s="158" t="s">
        <v>258</v>
      </c>
      <c r="K272" s="52"/>
      <c r="L272" s="52"/>
      <c r="M272" s="52"/>
      <c r="N272" s="52"/>
      <c r="O272" s="52"/>
      <c r="P272" s="52"/>
      <c r="Q272" s="52"/>
      <c r="R272" s="158" t="s">
        <v>308</v>
      </c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159"/>
      <c r="AK272" s="132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133"/>
    </row>
    <row r="273" spans="2:61" ht="20.100000000000001" customHeight="1" x14ac:dyDescent="0.45">
      <c r="B273" s="157"/>
      <c r="C273" s="31"/>
      <c r="D273" s="31"/>
      <c r="E273" s="31"/>
      <c r="F273" s="31"/>
      <c r="G273" s="130"/>
      <c r="H273" s="131"/>
      <c r="I273" s="130"/>
      <c r="J273" s="134" t="s">
        <v>260</v>
      </c>
      <c r="K273" s="55"/>
      <c r="L273" s="55"/>
      <c r="M273" s="55"/>
      <c r="N273" s="55"/>
      <c r="O273" s="55"/>
      <c r="P273" s="55"/>
      <c r="Q273" s="55"/>
      <c r="R273" s="134" t="s">
        <v>309</v>
      </c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171"/>
      <c r="AK273" s="132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133"/>
    </row>
    <row r="274" spans="2:61" ht="20.100000000000001" customHeight="1" x14ac:dyDescent="0.45">
      <c r="B274" s="157"/>
      <c r="C274" s="31"/>
      <c r="D274" s="31"/>
      <c r="E274" s="31"/>
      <c r="F274" s="31"/>
      <c r="G274" s="130"/>
      <c r="H274" s="134" t="s">
        <v>146</v>
      </c>
      <c r="I274" s="55"/>
      <c r="J274" s="134" t="s">
        <v>310</v>
      </c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13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  <c r="BI274" s="136"/>
    </row>
    <row r="275" spans="2:61" ht="20.100000000000001" customHeight="1" x14ac:dyDescent="0.45">
      <c r="B275" s="129"/>
      <c r="C275" s="31"/>
      <c r="D275" s="31"/>
      <c r="E275" s="31"/>
      <c r="F275" s="31"/>
      <c r="G275" s="130"/>
      <c r="H275" s="131"/>
      <c r="I275" s="31"/>
      <c r="J275" s="131" t="s">
        <v>311</v>
      </c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132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133"/>
    </row>
    <row r="276" spans="2:61" ht="20.100000000000001" customHeight="1" x14ac:dyDescent="0.45">
      <c r="B276" s="129"/>
      <c r="C276" s="31"/>
      <c r="D276" s="31"/>
      <c r="E276" s="31"/>
      <c r="F276" s="31"/>
      <c r="G276" s="130"/>
      <c r="H276" s="131"/>
      <c r="I276" s="31"/>
      <c r="J276" s="131" t="s">
        <v>312</v>
      </c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132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133"/>
    </row>
    <row r="277" spans="2:61" ht="20.100000000000001" customHeight="1" x14ac:dyDescent="0.45">
      <c r="B277" s="129"/>
      <c r="C277" s="31"/>
      <c r="D277" s="31"/>
      <c r="E277" s="31"/>
      <c r="F277" s="31"/>
      <c r="G277" s="130"/>
      <c r="H277" s="134" t="s">
        <v>147</v>
      </c>
      <c r="I277" s="55"/>
      <c r="J277" s="134" t="s">
        <v>315</v>
      </c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13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  <c r="BI277" s="136"/>
    </row>
    <row r="278" spans="2:61" ht="20.100000000000001" customHeight="1" x14ac:dyDescent="0.45">
      <c r="B278" s="129"/>
      <c r="C278" s="31"/>
      <c r="D278" s="31"/>
      <c r="E278" s="31"/>
      <c r="F278" s="31"/>
      <c r="G278" s="130"/>
      <c r="H278" s="131"/>
      <c r="I278" s="31"/>
      <c r="J278" s="131"/>
      <c r="K278" s="31" t="s">
        <v>316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132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133"/>
    </row>
    <row r="279" spans="2:61" ht="20.100000000000001" customHeight="1" x14ac:dyDescent="0.45">
      <c r="B279" s="129"/>
      <c r="C279" s="31"/>
      <c r="D279" s="31"/>
      <c r="E279" s="31"/>
      <c r="F279" s="31"/>
      <c r="G279" s="130"/>
      <c r="H279" s="131"/>
      <c r="I279" s="31"/>
      <c r="J279" s="131"/>
      <c r="K279" s="31"/>
      <c r="M279" s="31" t="s">
        <v>317</v>
      </c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132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133"/>
    </row>
    <row r="280" spans="2:61" ht="20.100000000000001" customHeight="1" x14ac:dyDescent="0.45">
      <c r="B280" s="129"/>
      <c r="C280" s="31"/>
      <c r="D280" s="31"/>
      <c r="E280" s="31"/>
      <c r="F280" s="31"/>
      <c r="G280" s="130"/>
      <c r="H280" s="131"/>
      <c r="I280" s="31"/>
      <c r="J280" s="131" t="s">
        <v>315</v>
      </c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132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133"/>
    </row>
    <row r="281" spans="2:61" ht="20.100000000000001" customHeight="1" x14ac:dyDescent="0.45">
      <c r="B281" s="129"/>
      <c r="C281" s="31"/>
      <c r="D281" s="31"/>
      <c r="E281" s="31"/>
      <c r="F281" s="31"/>
      <c r="G281" s="130"/>
      <c r="H281" s="131"/>
      <c r="I281" s="31"/>
      <c r="J281" s="131"/>
      <c r="K281" s="31" t="s">
        <v>318</v>
      </c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132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133"/>
    </row>
    <row r="282" spans="2:61" ht="20.100000000000001" customHeight="1" x14ac:dyDescent="0.45">
      <c r="B282" s="129"/>
      <c r="C282" s="31"/>
      <c r="D282" s="31"/>
      <c r="E282" s="31"/>
      <c r="F282" s="31"/>
      <c r="G282" s="130"/>
      <c r="H282" s="137"/>
      <c r="I282" s="138"/>
      <c r="J282" s="137"/>
      <c r="K282" s="138"/>
      <c r="L282" s="138"/>
      <c r="M282" s="138" t="s">
        <v>319</v>
      </c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  <c r="AH282" s="138"/>
      <c r="AI282" s="138"/>
      <c r="AJ282" s="138"/>
      <c r="AK282" s="139"/>
      <c r="AL282" s="138"/>
      <c r="AM282" s="138"/>
      <c r="AN282" s="138"/>
      <c r="AO282" s="138"/>
      <c r="AP282" s="138"/>
      <c r="AQ282" s="138"/>
      <c r="AR282" s="138"/>
      <c r="AS282" s="138"/>
      <c r="AT282" s="138"/>
      <c r="AU282" s="138"/>
      <c r="AV282" s="138"/>
      <c r="AW282" s="138"/>
      <c r="AX282" s="138"/>
      <c r="AY282" s="138"/>
      <c r="AZ282" s="138"/>
      <c r="BA282" s="138"/>
      <c r="BB282" s="138"/>
      <c r="BC282" s="138"/>
      <c r="BD282" s="138"/>
      <c r="BE282" s="138"/>
      <c r="BF282" s="138"/>
      <c r="BG282" s="138"/>
      <c r="BH282" s="138"/>
      <c r="BI282" s="140"/>
    </row>
    <row r="283" spans="2:61" ht="20.100000000000001" customHeight="1" x14ac:dyDescent="0.45">
      <c r="B283" s="129"/>
      <c r="C283" s="31"/>
      <c r="D283" s="31"/>
      <c r="E283" s="31"/>
      <c r="F283" s="31"/>
      <c r="G283" s="130"/>
      <c r="H283" s="131" t="s">
        <v>148</v>
      </c>
      <c r="I283" s="31"/>
      <c r="J283" s="131"/>
      <c r="K283" s="55" t="s">
        <v>333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132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133"/>
    </row>
    <row r="284" spans="2:61" ht="20.100000000000001" customHeight="1" x14ac:dyDescent="0.45">
      <c r="B284" s="129"/>
      <c r="C284" s="31"/>
      <c r="D284" s="31"/>
      <c r="E284" s="31"/>
      <c r="F284" s="31"/>
      <c r="G284" s="130"/>
      <c r="H284" s="131"/>
      <c r="I284" s="31"/>
      <c r="J284" s="131" t="s">
        <v>325</v>
      </c>
      <c r="K284" s="31" t="s">
        <v>330</v>
      </c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132" t="s">
        <v>331</v>
      </c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133"/>
    </row>
    <row r="285" spans="2:61" ht="20.100000000000001" customHeight="1" x14ac:dyDescent="0.45">
      <c r="B285" s="129"/>
      <c r="C285" s="31"/>
      <c r="D285" s="31"/>
      <c r="E285" s="31"/>
      <c r="F285" s="31"/>
      <c r="G285" s="130"/>
      <c r="H285" s="131"/>
      <c r="I285" s="31"/>
      <c r="J285" s="131" t="s">
        <v>325</v>
      </c>
      <c r="K285" s="31" t="s">
        <v>328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1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133"/>
    </row>
    <row r="286" spans="2:61" ht="20.100000000000001" customHeight="1" x14ac:dyDescent="0.45">
      <c r="B286" s="129"/>
      <c r="C286" s="31"/>
      <c r="D286" s="31"/>
      <c r="E286" s="31"/>
      <c r="F286" s="31"/>
      <c r="G286" s="130"/>
      <c r="H286" s="131"/>
      <c r="I286" s="31"/>
      <c r="J286" s="131" t="s">
        <v>325</v>
      </c>
      <c r="K286" s="31" t="s">
        <v>270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1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133"/>
    </row>
    <row r="287" spans="2:61" ht="20.100000000000001" customHeight="1" x14ac:dyDescent="0.45">
      <c r="B287" s="129"/>
      <c r="C287" s="31"/>
      <c r="D287" s="31"/>
      <c r="E287" s="31"/>
      <c r="F287" s="31"/>
      <c r="G287" s="130"/>
      <c r="H287" s="131"/>
      <c r="I287" s="31"/>
      <c r="J287" s="131"/>
      <c r="L287" s="31"/>
      <c r="M287" s="31" t="s">
        <v>349</v>
      </c>
      <c r="N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1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133"/>
    </row>
    <row r="288" spans="2:61" ht="20.100000000000001" customHeight="1" x14ac:dyDescent="0.45">
      <c r="B288" s="129"/>
      <c r="C288" s="31"/>
      <c r="D288" s="31"/>
      <c r="E288" s="31"/>
      <c r="F288" s="31"/>
      <c r="G288" s="130"/>
      <c r="H288" s="131"/>
      <c r="I288" s="31"/>
      <c r="J288" s="131"/>
      <c r="L288" s="31" t="s">
        <v>339</v>
      </c>
      <c r="M288" s="31" t="s">
        <v>350</v>
      </c>
      <c r="N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1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133"/>
    </row>
    <row r="289" spans="2:61" ht="20.100000000000001" customHeight="1" thickBot="1" x14ac:dyDescent="0.5">
      <c r="B289" s="129"/>
      <c r="C289" s="31"/>
      <c r="D289" s="31"/>
      <c r="E289" s="31"/>
      <c r="F289" s="31"/>
      <c r="G289" s="130"/>
      <c r="H289" s="131"/>
      <c r="I289" s="31"/>
      <c r="J289" s="131"/>
      <c r="K289" s="31" t="s">
        <v>341</v>
      </c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1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133"/>
    </row>
    <row r="290" spans="2:61" ht="20.100000000000001" customHeight="1" x14ac:dyDescent="0.45">
      <c r="B290" s="123" t="s">
        <v>351</v>
      </c>
      <c r="C290" s="124"/>
      <c r="D290" s="124"/>
      <c r="E290" s="124"/>
      <c r="F290" s="124"/>
      <c r="G290" s="125"/>
      <c r="H290" s="126" t="s">
        <v>177</v>
      </c>
      <c r="I290" s="125"/>
      <c r="J290" s="154" t="s">
        <v>192</v>
      </c>
      <c r="K290" s="155"/>
      <c r="L290" s="155"/>
      <c r="M290" s="155"/>
      <c r="N290" s="155"/>
      <c r="O290" s="155"/>
      <c r="P290" s="155"/>
      <c r="Q290" s="155"/>
      <c r="R290" s="154" t="s">
        <v>277</v>
      </c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6"/>
      <c r="AK290" s="127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8"/>
    </row>
    <row r="291" spans="2:61" ht="20.100000000000001" customHeight="1" x14ac:dyDescent="0.45">
      <c r="B291" s="157"/>
      <c r="C291" s="31"/>
      <c r="D291" s="31"/>
      <c r="E291" s="31"/>
      <c r="F291" s="31"/>
      <c r="G291" s="130"/>
      <c r="H291" s="131"/>
      <c r="I291" s="130"/>
      <c r="J291" s="158" t="s">
        <v>194</v>
      </c>
      <c r="K291" s="52"/>
      <c r="L291" s="52"/>
      <c r="M291" s="52"/>
      <c r="N291" s="52"/>
      <c r="O291" s="52"/>
      <c r="P291" s="52"/>
      <c r="Q291" s="52"/>
      <c r="R291" s="158" t="s">
        <v>343</v>
      </c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159"/>
      <c r="AK291" s="132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133"/>
    </row>
    <row r="292" spans="2:61" ht="20.100000000000001" customHeight="1" x14ac:dyDescent="0.45">
      <c r="B292" s="157"/>
      <c r="C292" s="31"/>
      <c r="D292" s="31"/>
      <c r="E292" s="31"/>
      <c r="F292" s="31"/>
      <c r="G292" s="130"/>
      <c r="H292" s="131"/>
      <c r="I292" s="130"/>
      <c r="J292" s="158" t="s">
        <v>196</v>
      </c>
      <c r="K292" s="52"/>
      <c r="L292" s="52"/>
      <c r="M292" s="52"/>
      <c r="N292" s="52"/>
      <c r="O292" s="52"/>
      <c r="P292" s="52"/>
      <c r="Q292" s="52"/>
      <c r="R292" s="158" t="s">
        <v>344</v>
      </c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159"/>
      <c r="AK292" s="132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133"/>
    </row>
    <row r="293" spans="2:61" ht="20.100000000000001" customHeight="1" x14ac:dyDescent="0.45">
      <c r="B293" s="157"/>
      <c r="C293" s="31"/>
      <c r="D293" s="31"/>
      <c r="E293" s="31"/>
      <c r="F293" s="31"/>
      <c r="G293" s="130"/>
      <c r="H293" s="131"/>
      <c r="I293" s="130"/>
      <c r="J293" s="158" t="s">
        <v>198</v>
      </c>
      <c r="K293" s="52"/>
      <c r="L293" s="52"/>
      <c r="M293" s="52"/>
      <c r="N293" s="52"/>
      <c r="O293" s="52"/>
      <c r="P293" s="52"/>
      <c r="Q293" s="52"/>
      <c r="R293" s="158" t="s">
        <v>280</v>
      </c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159"/>
      <c r="AK293" s="132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133"/>
    </row>
    <row r="294" spans="2:61" ht="20.100000000000001" customHeight="1" x14ac:dyDescent="0.45">
      <c r="B294" s="157"/>
      <c r="C294" s="31"/>
      <c r="D294" s="31"/>
      <c r="E294" s="31"/>
      <c r="F294" s="31"/>
      <c r="G294" s="130"/>
      <c r="H294" s="131"/>
      <c r="I294" s="130"/>
      <c r="J294" s="158" t="s">
        <v>200</v>
      </c>
      <c r="K294" s="52"/>
      <c r="L294" s="52"/>
      <c r="M294" s="52"/>
      <c r="N294" s="52"/>
      <c r="O294" s="52"/>
      <c r="P294" s="52"/>
      <c r="Q294" s="52"/>
      <c r="R294" s="158" t="s">
        <v>281</v>
      </c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159"/>
      <c r="AK294" s="132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133"/>
    </row>
    <row r="295" spans="2:61" ht="20.100000000000001" customHeight="1" x14ac:dyDescent="0.45">
      <c r="B295" s="157"/>
      <c r="C295" s="31"/>
      <c r="D295" s="31"/>
      <c r="E295" s="31"/>
      <c r="F295" s="31"/>
      <c r="G295" s="130"/>
      <c r="H295" s="131"/>
      <c r="I295" s="130"/>
      <c r="J295" s="158" t="s">
        <v>202</v>
      </c>
      <c r="K295" s="52"/>
      <c r="L295" s="52"/>
      <c r="M295" s="52"/>
      <c r="N295" s="52"/>
      <c r="O295" s="52"/>
      <c r="P295" s="52"/>
      <c r="Q295" s="52"/>
      <c r="R295" s="158" t="s">
        <v>282</v>
      </c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159"/>
      <c r="AK295" s="132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133"/>
    </row>
    <row r="296" spans="2:61" ht="20.100000000000001" customHeight="1" x14ac:dyDescent="0.45">
      <c r="B296" s="157"/>
      <c r="C296" s="31"/>
      <c r="D296" s="31"/>
      <c r="E296" s="31"/>
      <c r="F296" s="31"/>
      <c r="G296" s="130"/>
      <c r="H296" s="131"/>
      <c r="I296" s="130"/>
      <c r="J296" s="158" t="s">
        <v>204</v>
      </c>
      <c r="K296" s="52"/>
      <c r="L296" s="52"/>
      <c r="M296" s="52"/>
      <c r="N296" s="52"/>
      <c r="O296" s="52"/>
      <c r="P296" s="52"/>
      <c r="Q296" s="52"/>
      <c r="R296" s="158" t="s">
        <v>283</v>
      </c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159"/>
      <c r="AK296" s="132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133"/>
    </row>
    <row r="297" spans="2:61" ht="20.100000000000001" customHeight="1" x14ac:dyDescent="0.45">
      <c r="B297" s="157"/>
      <c r="C297" s="31"/>
      <c r="D297" s="31"/>
      <c r="E297" s="31"/>
      <c r="F297" s="31"/>
      <c r="G297" s="130"/>
      <c r="H297" s="131"/>
      <c r="I297" s="130"/>
      <c r="J297" s="158" t="s">
        <v>206</v>
      </c>
      <c r="K297" s="52"/>
      <c r="L297" s="52"/>
      <c r="M297" s="52"/>
      <c r="N297" s="52"/>
      <c r="O297" s="52"/>
      <c r="P297" s="52"/>
      <c r="Q297" s="52"/>
      <c r="R297" s="158" t="s">
        <v>284</v>
      </c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159"/>
      <c r="AK297" s="132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133"/>
    </row>
    <row r="298" spans="2:61" ht="20.100000000000001" customHeight="1" x14ac:dyDescent="0.45">
      <c r="B298" s="157"/>
      <c r="C298" s="31"/>
      <c r="D298" s="31"/>
      <c r="E298" s="31"/>
      <c r="F298" s="31"/>
      <c r="G298" s="130"/>
      <c r="H298" s="131"/>
      <c r="I298" s="130"/>
      <c r="J298" s="158" t="s">
        <v>208</v>
      </c>
      <c r="K298" s="52"/>
      <c r="L298" s="52"/>
      <c r="M298" s="52"/>
      <c r="N298" s="52"/>
      <c r="O298" s="52"/>
      <c r="P298" s="52"/>
      <c r="Q298" s="52"/>
      <c r="R298" s="158" t="s">
        <v>285</v>
      </c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159"/>
      <c r="AK298" s="132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133"/>
    </row>
    <row r="299" spans="2:61" ht="20.100000000000001" customHeight="1" x14ac:dyDescent="0.45">
      <c r="B299" s="157"/>
      <c r="C299" s="31"/>
      <c r="D299" s="31"/>
      <c r="E299" s="31"/>
      <c r="F299" s="31"/>
      <c r="G299" s="130"/>
      <c r="H299" s="131"/>
      <c r="I299" s="130"/>
      <c r="J299" s="158" t="s">
        <v>210</v>
      </c>
      <c r="K299" s="52"/>
      <c r="L299" s="52"/>
      <c r="M299" s="52"/>
      <c r="N299" s="52"/>
      <c r="O299" s="52"/>
      <c r="P299" s="52"/>
      <c r="Q299" s="52"/>
      <c r="R299" s="158" t="s">
        <v>286</v>
      </c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159"/>
      <c r="AK299" s="132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133"/>
    </row>
    <row r="300" spans="2:61" ht="20.100000000000001" customHeight="1" x14ac:dyDescent="0.45">
      <c r="B300" s="157"/>
      <c r="C300" s="31"/>
      <c r="D300" s="31"/>
      <c r="E300" s="31"/>
      <c r="F300" s="31"/>
      <c r="G300" s="130"/>
      <c r="H300" s="131"/>
      <c r="I300" s="130"/>
      <c r="J300" s="158" t="s">
        <v>212</v>
      </c>
      <c r="K300" s="52"/>
      <c r="L300" s="52"/>
      <c r="M300" s="52"/>
      <c r="N300" s="52"/>
      <c r="O300" s="52"/>
      <c r="P300" s="52"/>
      <c r="Q300" s="52"/>
      <c r="R300" s="158" t="s">
        <v>287</v>
      </c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159"/>
      <c r="AK300" s="132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133"/>
    </row>
    <row r="301" spans="2:61" ht="20.100000000000001" customHeight="1" x14ac:dyDescent="0.45">
      <c r="B301" s="157"/>
      <c r="C301" s="31"/>
      <c r="D301" s="31"/>
      <c r="E301" s="31"/>
      <c r="F301" s="31"/>
      <c r="G301" s="130"/>
      <c r="H301" s="131"/>
      <c r="I301" s="130"/>
      <c r="J301" s="158" t="s">
        <v>214</v>
      </c>
      <c r="K301" s="52"/>
      <c r="L301" s="52"/>
      <c r="M301" s="52"/>
      <c r="N301" s="52"/>
      <c r="O301" s="52"/>
      <c r="P301" s="52"/>
      <c r="Q301" s="52"/>
      <c r="R301" s="158" t="s">
        <v>288</v>
      </c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159"/>
      <c r="AK301" s="132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133"/>
    </row>
    <row r="302" spans="2:61" ht="20.100000000000001" customHeight="1" x14ac:dyDescent="0.45">
      <c r="B302" s="157"/>
      <c r="C302" s="31"/>
      <c r="D302" s="31"/>
      <c r="E302" s="31"/>
      <c r="F302" s="31"/>
      <c r="G302" s="130"/>
      <c r="H302" s="131"/>
      <c r="I302" s="130"/>
      <c r="J302" s="158" t="s">
        <v>216</v>
      </c>
      <c r="K302" s="52"/>
      <c r="L302" s="52"/>
      <c r="M302" s="52"/>
      <c r="N302" s="52"/>
      <c r="O302" s="52"/>
      <c r="P302" s="52"/>
      <c r="Q302" s="52"/>
      <c r="R302" s="158" t="s">
        <v>289</v>
      </c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159"/>
      <c r="AK302" s="132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133"/>
    </row>
    <row r="303" spans="2:61" ht="20.100000000000001" customHeight="1" x14ac:dyDescent="0.45">
      <c r="B303" s="157"/>
      <c r="C303" s="31"/>
      <c r="D303" s="31"/>
      <c r="E303" s="31"/>
      <c r="F303" s="31"/>
      <c r="G303" s="130"/>
      <c r="H303" s="131"/>
      <c r="I303" s="130"/>
      <c r="J303" s="158" t="s">
        <v>218</v>
      </c>
      <c r="K303" s="52"/>
      <c r="L303" s="52"/>
      <c r="M303" s="52"/>
      <c r="N303" s="52"/>
      <c r="O303" s="52"/>
      <c r="P303" s="52"/>
      <c r="Q303" s="52"/>
      <c r="R303" s="158" t="s">
        <v>290</v>
      </c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159"/>
      <c r="AK303" s="132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133"/>
    </row>
    <row r="304" spans="2:61" ht="20.100000000000001" customHeight="1" x14ac:dyDescent="0.45">
      <c r="B304" s="157"/>
      <c r="C304" s="31"/>
      <c r="D304" s="31"/>
      <c r="E304" s="31"/>
      <c r="F304" s="31"/>
      <c r="G304" s="130"/>
      <c r="H304" s="131"/>
      <c r="I304" s="130"/>
      <c r="J304" s="158" t="s">
        <v>220</v>
      </c>
      <c r="K304" s="52"/>
      <c r="L304" s="52"/>
      <c r="M304" s="52"/>
      <c r="N304" s="52"/>
      <c r="O304" s="52"/>
      <c r="P304" s="52"/>
      <c r="Q304" s="52"/>
      <c r="R304" s="158" t="s">
        <v>291</v>
      </c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159"/>
      <c r="AK304" s="132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133"/>
    </row>
    <row r="305" spans="2:61" ht="20.100000000000001" customHeight="1" x14ac:dyDescent="0.45">
      <c r="B305" s="157"/>
      <c r="C305" s="31"/>
      <c r="D305" s="31"/>
      <c r="E305" s="31"/>
      <c r="F305" s="31"/>
      <c r="G305" s="130"/>
      <c r="H305" s="131"/>
      <c r="I305" s="130"/>
      <c r="J305" s="158" t="s">
        <v>222</v>
      </c>
      <c r="K305" s="52"/>
      <c r="L305" s="52"/>
      <c r="M305" s="52"/>
      <c r="N305" s="52"/>
      <c r="O305" s="52"/>
      <c r="P305" s="52"/>
      <c r="Q305" s="52"/>
      <c r="R305" s="158" t="s">
        <v>292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159"/>
      <c r="AK305" s="132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133"/>
    </row>
    <row r="306" spans="2:61" ht="20.100000000000001" customHeight="1" x14ac:dyDescent="0.45">
      <c r="B306" s="157"/>
      <c r="C306" s="31"/>
      <c r="D306" s="31"/>
      <c r="E306" s="31"/>
      <c r="F306" s="31"/>
      <c r="G306" s="130"/>
      <c r="H306" s="131"/>
      <c r="I306" s="130"/>
      <c r="J306" s="158" t="s">
        <v>224</v>
      </c>
      <c r="K306" s="52"/>
      <c r="L306" s="52"/>
      <c r="M306" s="52"/>
      <c r="N306" s="52"/>
      <c r="O306" s="52"/>
      <c r="P306" s="52"/>
      <c r="Q306" s="52"/>
      <c r="R306" s="158" t="s">
        <v>345</v>
      </c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159"/>
      <c r="AK306" s="132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133"/>
    </row>
    <row r="307" spans="2:61" ht="20.100000000000001" customHeight="1" x14ac:dyDescent="0.45">
      <c r="B307" s="157"/>
      <c r="C307" s="31"/>
      <c r="D307" s="31"/>
      <c r="E307" s="31"/>
      <c r="F307" s="31"/>
      <c r="G307" s="130"/>
      <c r="H307" s="131"/>
      <c r="I307" s="130"/>
      <c r="J307" s="158" t="s">
        <v>226</v>
      </c>
      <c r="K307" s="52"/>
      <c r="L307" s="52"/>
      <c r="M307" s="52"/>
      <c r="N307" s="52"/>
      <c r="O307" s="52"/>
      <c r="P307" s="52"/>
      <c r="Q307" s="52"/>
      <c r="R307" s="158" t="s">
        <v>294</v>
      </c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159"/>
      <c r="AK307" s="132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133"/>
    </row>
    <row r="308" spans="2:61" ht="20.100000000000001" customHeight="1" x14ac:dyDescent="0.45">
      <c r="B308" s="157"/>
      <c r="C308" s="31"/>
      <c r="D308" s="31"/>
      <c r="E308" s="31"/>
      <c r="F308" s="31"/>
      <c r="G308" s="130"/>
      <c r="H308" s="131"/>
      <c r="I308" s="130"/>
      <c r="J308" s="158" t="s">
        <v>228</v>
      </c>
      <c r="K308" s="52"/>
      <c r="L308" s="52"/>
      <c r="M308" s="52"/>
      <c r="N308" s="52"/>
      <c r="O308" s="52"/>
      <c r="P308" s="52"/>
      <c r="Q308" s="52"/>
      <c r="R308" s="158" t="s">
        <v>295</v>
      </c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159"/>
      <c r="AK308" s="132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133"/>
    </row>
    <row r="309" spans="2:61" ht="20.100000000000001" customHeight="1" x14ac:dyDescent="0.45">
      <c r="B309" s="157"/>
      <c r="C309" s="31"/>
      <c r="D309" s="31"/>
      <c r="E309" s="31"/>
      <c r="F309" s="31"/>
      <c r="G309" s="130"/>
      <c r="H309" s="131"/>
      <c r="I309" s="130"/>
      <c r="J309" s="158" t="s">
        <v>230</v>
      </c>
      <c r="K309" s="52"/>
      <c r="L309" s="52"/>
      <c r="M309" s="52"/>
      <c r="N309" s="52"/>
      <c r="O309" s="52"/>
      <c r="P309" s="52"/>
      <c r="Q309" s="52"/>
      <c r="R309" s="170" t="s">
        <v>346</v>
      </c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159"/>
      <c r="AK309" s="132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133"/>
    </row>
    <row r="310" spans="2:61" ht="20.100000000000001" customHeight="1" x14ac:dyDescent="0.45">
      <c r="B310" s="157"/>
      <c r="C310" s="31"/>
      <c r="D310" s="31"/>
      <c r="E310" s="31"/>
      <c r="F310" s="31"/>
      <c r="G310" s="130"/>
      <c r="H310" s="131"/>
      <c r="I310" s="130"/>
      <c r="J310" s="158" t="s">
        <v>232</v>
      </c>
      <c r="K310" s="52"/>
      <c r="L310" s="52"/>
      <c r="M310" s="52"/>
      <c r="N310" s="52"/>
      <c r="O310" s="52"/>
      <c r="P310" s="52"/>
      <c r="Q310" s="52"/>
      <c r="R310" s="158" t="s">
        <v>297</v>
      </c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159"/>
      <c r="AK310" s="132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133"/>
    </row>
    <row r="311" spans="2:61" ht="20.100000000000001" customHeight="1" x14ac:dyDescent="0.45">
      <c r="B311" s="157"/>
      <c r="C311" s="31"/>
      <c r="D311" s="31"/>
      <c r="E311" s="31"/>
      <c r="F311" s="31"/>
      <c r="G311" s="130"/>
      <c r="H311" s="131"/>
      <c r="I311" s="130"/>
      <c r="J311" s="158" t="s">
        <v>234</v>
      </c>
      <c r="K311" s="52"/>
      <c r="L311" s="52"/>
      <c r="M311" s="52"/>
      <c r="N311" s="52"/>
      <c r="O311" s="52"/>
      <c r="P311" s="52"/>
      <c r="Q311" s="52"/>
      <c r="R311" s="158" t="s">
        <v>352</v>
      </c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159"/>
      <c r="AK311" s="132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133"/>
    </row>
    <row r="312" spans="2:61" ht="20.100000000000001" customHeight="1" x14ac:dyDescent="0.45">
      <c r="B312" s="157"/>
      <c r="C312" s="31"/>
      <c r="D312" s="31"/>
      <c r="E312" s="31"/>
      <c r="F312" s="31"/>
      <c r="G312" s="130"/>
      <c r="H312" s="131"/>
      <c r="I312" s="130"/>
      <c r="J312" s="158" t="s">
        <v>236</v>
      </c>
      <c r="K312" s="52"/>
      <c r="L312" s="52"/>
      <c r="M312" s="52"/>
      <c r="N312" s="52"/>
      <c r="O312" s="52"/>
      <c r="P312" s="52"/>
      <c r="Q312" s="52"/>
      <c r="R312" s="158" t="s">
        <v>299</v>
      </c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159"/>
      <c r="AK312" s="132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133"/>
    </row>
    <row r="313" spans="2:61" ht="20.100000000000001" customHeight="1" x14ac:dyDescent="0.45">
      <c r="B313" s="157"/>
      <c r="C313" s="31"/>
      <c r="D313" s="31"/>
      <c r="E313" s="31"/>
      <c r="F313" s="31"/>
      <c r="G313" s="130"/>
      <c r="H313" s="131"/>
      <c r="I313" s="130"/>
      <c r="J313" s="158" t="s">
        <v>238</v>
      </c>
      <c r="K313" s="52"/>
      <c r="L313" s="52"/>
      <c r="M313" s="52"/>
      <c r="N313" s="52"/>
      <c r="O313" s="52"/>
      <c r="P313" s="52"/>
      <c r="Q313" s="52"/>
      <c r="R313" s="170" t="s">
        <v>348</v>
      </c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159"/>
      <c r="AK313" s="132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133"/>
    </row>
    <row r="314" spans="2:61" ht="20.100000000000001" customHeight="1" x14ac:dyDescent="0.45">
      <c r="B314" s="157"/>
      <c r="C314" s="31"/>
      <c r="D314" s="31"/>
      <c r="E314" s="31"/>
      <c r="F314" s="31"/>
      <c r="G314" s="130"/>
      <c r="H314" s="131"/>
      <c r="I314" s="130"/>
      <c r="J314" s="158" t="s">
        <v>240</v>
      </c>
      <c r="K314" s="52"/>
      <c r="L314" s="52"/>
      <c r="M314" s="52"/>
      <c r="N314" s="52"/>
      <c r="O314" s="52"/>
      <c r="P314" s="52"/>
      <c r="Q314" s="52"/>
      <c r="R314" s="158">
        <v>0</v>
      </c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159"/>
      <c r="AK314" s="132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133"/>
    </row>
    <row r="315" spans="2:61" ht="20.100000000000001" customHeight="1" x14ac:dyDescent="0.45">
      <c r="B315" s="157"/>
      <c r="C315" s="31"/>
      <c r="D315" s="31"/>
      <c r="E315" s="31"/>
      <c r="F315" s="31"/>
      <c r="G315" s="130"/>
      <c r="H315" s="131"/>
      <c r="I315" s="130"/>
      <c r="J315" s="158" t="s">
        <v>242</v>
      </c>
      <c r="K315" s="52"/>
      <c r="L315" s="52"/>
      <c r="M315" s="52"/>
      <c r="N315" s="52"/>
      <c r="O315" s="52"/>
      <c r="P315" s="52"/>
      <c r="Q315" s="52"/>
      <c r="R315" s="158">
        <v>0</v>
      </c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159"/>
      <c r="AK315" s="132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133"/>
    </row>
    <row r="316" spans="2:61" ht="20.100000000000001" customHeight="1" x14ac:dyDescent="0.45">
      <c r="B316" s="157"/>
      <c r="C316" s="31"/>
      <c r="D316" s="31"/>
      <c r="E316" s="31"/>
      <c r="F316" s="31"/>
      <c r="G316" s="130"/>
      <c r="H316" s="131"/>
      <c r="I316" s="130"/>
      <c r="J316" s="158" t="s">
        <v>244</v>
      </c>
      <c r="K316" s="52"/>
      <c r="L316" s="52"/>
      <c r="M316" s="52"/>
      <c r="N316" s="52"/>
      <c r="O316" s="52"/>
      <c r="P316" s="52"/>
      <c r="Q316" s="52"/>
      <c r="R316" s="158" t="s">
        <v>301</v>
      </c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159"/>
      <c r="AK316" s="132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133"/>
    </row>
    <row r="317" spans="2:61" ht="20.100000000000001" customHeight="1" x14ac:dyDescent="0.45">
      <c r="B317" s="157"/>
      <c r="C317" s="31"/>
      <c r="D317" s="31"/>
      <c r="E317" s="31"/>
      <c r="F317" s="31"/>
      <c r="G317" s="130"/>
      <c r="H317" s="131"/>
      <c r="I317" s="130"/>
      <c r="J317" s="158" t="s">
        <v>246</v>
      </c>
      <c r="K317" s="52"/>
      <c r="L317" s="52"/>
      <c r="M317" s="52"/>
      <c r="N317" s="52"/>
      <c r="O317" s="52"/>
      <c r="P317" s="52"/>
      <c r="Q317" s="52"/>
      <c r="R317" s="158" t="s">
        <v>302</v>
      </c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159"/>
      <c r="AK317" s="132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133"/>
    </row>
    <row r="318" spans="2:61" ht="20.100000000000001" customHeight="1" x14ac:dyDescent="0.45">
      <c r="B318" s="157"/>
      <c r="C318" s="31"/>
      <c r="D318" s="31"/>
      <c r="E318" s="31"/>
      <c r="F318" s="31"/>
      <c r="G318" s="130"/>
      <c r="H318" s="131"/>
      <c r="I318" s="130"/>
      <c r="J318" s="158" t="s">
        <v>248</v>
      </c>
      <c r="K318" s="52"/>
      <c r="L318" s="52"/>
      <c r="M318" s="52"/>
      <c r="N318" s="52"/>
      <c r="O318" s="52"/>
      <c r="P318" s="52"/>
      <c r="Q318" s="52"/>
      <c r="R318" s="158" t="s">
        <v>303</v>
      </c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159"/>
      <c r="AK318" s="132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133"/>
    </row>
    <row r="319" spans="2:61" ht="20.100000000000001" customHeight="1" x14ac:dyDescent="0.45">
      <c r="B319" s="157"/>
      <c r="C319" s="31"/>
      <c r="D319" s="31"/>
      <c r="E319" s="31"/>
      <c r="F319" s="31"/>
      <c r="G319" s="130"/>
      <c r="H319" s="131"/>
      <c r="I319" s="130"/>
      <c r="J319" s="158" t="s">
        <v>250</v>
      </c>
      <c r="K319" s="52"/>
      <c r="L319" s="52"/>
      <c r="M319" s="52"/>
      <c r="N319" s="52"/>
      <c r="O319" s="52"/>
      <c r="P319" s="52"/>
      <c r="Q319" s="52"/>
      <c r="R319" s="158" t="s">
        <v>304</v>
      </c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159"/>
      <c r="AK319" s="132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133"/>
    </row>
    <row r="320" spans="2:61" ht="20.100000000000001" customHeight="1" x14ac:dyDescent="0.45">
      <c r="B320" s="157"/>
      <c r="C320" s="31"/>
      <c r="D320" s="31"/>
      <c r="E320" s="31"/>
      <c r="F320" s="31"/>
      <c r="G320" s="130"/>
      <c r="H320" s="131"/>
      <c r="I320" s="130"/>
      <c r="J320" s="158" t="s">
        <v>252</v>
      </c>
      <c r="K320" s="52"/>
      <c r="L320" s="52"/>
      <c r="M320" s="52"/>
      <c r="N320" s="52"/>
      <c r="O320" s="52"/>
      <c r="P320" s="52"/>
      <c r="Q320" s="52"/>
      <c r="R320" s="158" t="s">
        <v>305</v>
      </c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159"/>
      <c r="AK320" s="132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133"/>
    </row>
    <row r="321" spans="2:61" ht="20.100000000000001" customHeight="1" x14ac:dyDescent="0.45">
      <c r="B321" s="157"/>
      <c r="C321" s="31"/>
      <c r="D321" s="31"/>
      <c r="E321" s="31"/>
      <c r="F321" s="31"/>
      <c r="G321" s="130"/>
      <c r="H321" s="131"/>
      <c r="I321" s="130"/>
      <c r="J321" s="158" t="s">
        <v>254</v>
      </c>
      <c r="K321" s="52"/>
      <c r="L321" s="52"/>
      <c r="M321" s="52"/>
      <c r="N321" s="52"/>
      <c r="O321" s="52"/>
      <c r="P321" s="52"/>
      <c r="Q321" s="52"/>
      <c r="R321" s="158" t="s">
        <v>306</v>
      </c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159"/>
      <c r="AK321" s="132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133"/>
    </row>
    <row r="322" spans="2:61" ht="20.100000000000001" customHeight="1" x14ac:dyDescent="0.45">
      <c r="B322" s="157"/>
      <c r="C322" s="31"/>
      <c r="D322" s="31"/>
      <c r="E322" s="31"/>
      <c r="F322" s="31"/>
      <c r="G322" s="130"/>
      <c r="H322" s="131"/>
      <c r="I322" s="130"/>
      <c r="J322" s="158" t="s">
        <v>256</v>
      </c>
      <c r="K322" s="52"/>
      <c r="L322" s="52"/>
      <c r="M322" s="52"/>
      <c r="N322" s="52"/>
      <c r="O322" s="52"/>
      <c r="P322" s="52"/>
      <c r="Q322" s="52"/>
      <c r="R322" s="158" t="s">
        <v>307</v>
      </c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159"/>
      <c r="AK322" s="132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133"/>
    </row>
    <row r="323" spans="2:61" ht="20.100000000000001" customHeight="1" x14ac:dyDescent="0.45">
      <c r="B323" s="157"/>
      <c r="C323" s="31"/>
      <c r="D323" s="31"/>
      <c r="E323" s="31"/>
      <c r="F323" s="31"/>
      <c r="G323" s="130"/>
      <c r="H323" s="131"/>
      <c r="I323" s="130"/>
      <c r="J323" s="158" t="s">
        <v>258</v>
      </c>
      <c r="K323" s="52"/>
      <c r="L323" s="52"/>
      <c r="M323" s="52"/>
      <c r="N323" s="52"/>
      <c r="O323" s="52"/>
      <c r="P323" s="52"/>
      <c r="Q323" s="52"/>
      <c r="R323" s="158" t="s">
        <v>308</v>
      </c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159"/>
      <c r="AK323" s="132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133"/>
    </row>
    <row r="324" spans="2:61" ht="20.100000000000001" customHeight="1" x14ac:dyDescent="0.45">
      <c r="B324" s="157"/>
      <c r="C324" s="31"/>
      <c r="D324" s="31"/>
      <c r="E324" s="31"/>
      <c r="F324" s="31"/>
      <c r="G324" s="130"/>
      <c r="H324" s="131"/>
      <c r="I324" s="130"/>
      <c r="J324" s="134" t="s">
        <v>260</v>
      </c>
      <c r="K324" s="55"/>
      <c r="L324" s="55"/>
      <c r="M324" s="55"/>
      <c r="N324" s="55"/>
      <c r="O324" s="55"/>
      <c r="P324" s="55"/>
      <c r="Q324" s="159"/>
      <c r="R324" s="31" t="s">
        <v>309</v>
      </c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171"/>
      <c r="AK324" s="132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133"/>
    </row>
    <row r="325" spans="2:61" ht="20.100000000000001" customHeight="1" x14ac:dyDescent="0.45">
      <c r="B325" s="157"/>
      <c r="C325" s="31"/>
      <c r="D325" s="31"/>
      <c r="E325" s="31"/>
      <c r="F325" s="31"/>
      <c r="G325" s="130"/>
      <c r="H325" s="134" t="s">
        <v>146</v>
      </c>
      <c r="I325" s="55"/>
      <c r="J325" s="134" t="s">
        <v>310</v>
      </c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13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  <c r="BI325" s="136"/>
    </row>
    <row r="326" spans="2:61" ht="20.100000000000001" customHeight="1" x14ac:dyDescent="0.45">
      <c r="B326" s="129"/>
      <c r="C326" s="31"/>
      <c r="D326" s="31"/>
      <c r="E326" s="31"/>
      <c r="F326" s="31"/>
      <c r="G326" s="130"/>
      <c r="H326" s="131"/>
      <c r="I326" s="31"/>
      <c r="J326" s="131" t="s">
        <v>311</v>
      </c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132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133"/>
    </row>
    <row r="327" spans="2:61" ht="20.100000000000001" customHeight="1" x14ac:dyDescent="0.45">
      <c r="B327" s="129"/>
      <c r="C327" s="31"/>
      <c r="D327" s="31"/>
      <c r="E327" s="31"/>
      <c r="F327" s="31"/>
      <c r="G327" s="130"/>
      <c r="H327" s="131"/>
      <c r="I327" s="31"/>
      <c r="J327" s="131" t="s">
        <v>312</v>
      </c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132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133"/>
    </row>
    <row r="328" spans="2:61" ht="20.100000000000001" customHeight="1" x14ac:dyDescent="0.45">
      <c r="B328" s="129"/>
      <c r="C328" s="31"/>
      <c r="D328" s="31"/>
      <c r="E328" s="31"/>
      <c r="F328" s="31"/>
      <c r="G328" s="130"/>
      <c r="H328" s="134" t="s">
        <v>147</v>
      </c>
      <c r="I328" s="55"/>
      <c r="J328" s="134" t="s">
        <v>315</v>
      </c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13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  <c r="BI328" s="136"/>
    </row>
    <row r="329" spans="2:61" ht="20.100000000000001" customHeight="1" x14ac:dyDescent="0.45">
      <c r="B329" s="129"/>
      <c r="C329" s="31"/>
      <c r="D329" s="31"/>
      <c r="E329" s="31"/>
      <c r="F329" s="31"/>
      <c r="G329" s="130"/>
      <c r="H329" s="131"/>
      <c r="I329" s="31"/>
      <c r="J329" s="131"/>
      <c r="K329" s="31" t="s">
        <v>316</v>
      </c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132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133"/>
    </row>
    <row r="330" spans="2:61" ht="20.100000000000001" customHeight="1" x14ac:dyDescent="0.45">
      <c r="B330" s="129"/>
      <c r="C330" s="31"/>
      <c r="D330" s="31"/>
      <c r="E330" s="31"/>
      <c r="F330" s="31"/>
      <c r="G330" s="130"/>
      <c r="H330" s="131"/>
      <c r="I330" s="31"/>
      <c r="J330" s="131"/>
      <c r="K330" s="31"/>
      <c r="M330" s="31" t="s">
        <v>317</v>
      </c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132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133"/>
    </row>
    <row r="331" spans="2:61" ht="20.100000000000001" customHeight="1" x14ac:dyDescent="0.45">
      <c r="B331" s="129"/>
      <c r="C331" s="31"/>
      <c r="D331" s="31"/>
      <c r="E331" s="31"/>
      <c r="F331" s="31"/>
      <c r="G331" s="130"/>
      <c r="H331" s="131"/>
      <c r="I331" s="31"/>
      <c r="J331" s="131" t="s">
        <v>315</v>
      </c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132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133"/>
    </row>
    <row r="332" spans="2:61" ht="20.100000000000001" customHeight="1" x14ac:dyDescent="0.45">
      <c r="B332" s="129"/>
      <c r="C332" s="31"/>
      <c r="D332" s="31"/>
      <c r="E332" s="31"/>
      <c r="F332" s="31"/>
      <c r="G332" s="130"/>
      <c r="H332" s="131"/>
      <c r="I332" s="31"/>
      <c r="J332" s="131"/>
      <c r="K332" s="31" t="s">
        <v>318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132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133"/>
    </row>
    <row r="333" spans="2:61" ht="20.100000000000001" customHeight="1" x14ac:dyDescent="0.45">
      <c r="B333" s="129"/>
      <c r="C333" s="31"/>
      <c r="D333" s="31"/>
      <c r="E333" s="31"/>
      <c r="F333" s="31"/>
      <c r="G333" s="130"/>
      <c r="H333" s="137"/>
      <c r="I333" s="138"/>
      <c r="J333" s="137"/>
      <c r="K333" s="138"/>
      <c r="L333" s="138"/>
      <c r="M333" s="138" t="s">
        <v>319</v>
      </c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  <c r="AH333" s="138"/>
      <c r="AI333" s="138"/>
      <c r="AJ333" s="138"/>
      <c r="AK333" s="139"/>
      <c r="AL333" s="138"/>
      <c r="AM333" s="138"/>
      <c r="AN333" s="138"/>
      <c r="AO333" s="138"/>
      <c r="AP333" s="138"/>
      <c r="AQ333" s="138"/>
      <c r="AR333" s="138"/>
      <c r="AS333" s="138"/>
      <c r="AT333" s="138"/>
      <c r="AU333" s="138"/>
      <c r="AV333" s="138"/>
      <c r="AW333" s="138"/>
      <c r="AX333" s="138"/>
      <c r="AY333" s="138"/>
      <c r="AZ333" s="138"/>
      <c r="BA333" s="138"/>
      <c r="BB333" s="138"/>
      <c r="BC333" s="138"/>
      <c r="BD333" s="138"/>
      <c r="BE333" s="138"/>
      <c r="BF333" s="138"/>
      <c r="BG333" s="138"/>
      <c r="BH333" s="138"/>
      <c r="BI333" s="140"/>
    </row>
    <row r="334" spans="2:61" ht="20.100000000000001" customHeight="1" x14ac:dyDescent="0.45">
      <c r="B334" s="129"/>
      <c r="C334" s="31"/>
      <c r="D334" s="31"/>
      <c r="E334" s="31"/>
      <c r="F334" s="31"/>
      <c r="G334" s="130"/>
      <c r="H334" s="131" t="s">
        <v>148</v>
      </c>
      <c r="I334" s="31"/>
      <c r="J334" s="131"/>
      <c r="K334" s="55" t="s">
        <v>333</v>
      </c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132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133"/>
    </row>
    <row r="335" spans="2:61" ht="20.100000000000001" customHeight="1" x14ac:dyDescent="0.45">
      <c r="B335" s="129"/>
      <c r="C335" s="31"/>
      <c r="D335" s="31"/>
      <c r="E335" s="31"/>
      <c r="F335" s="31"/>
      <c r="G335" s="130"/>
      <c r="H335" s="131"/>
      <c r="I335" s="31"/>
      <c r="J335" s="131" t="s">
        <v>325</v>
      </c>
      <c r="K335" s="31" t="s">
        <v>330</v>
      </c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132" t="s">
        <v>331</v>
      </c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133"/>
    </row>
    <row r="336" spans="2:61" ht="20.100000000000001" customHeight="1" x14ac:dyDescent="0.45">
      <c r="B336" s="129"/>
      <c r="C336" s="31"/>
      <c r="D336" s="31"/>
      <c r="E336" s="31"/>
      <c r="F336" s="31"/>
      <c r="G336" s="130"/>
      <c r="H336" s="131"/>
      <c r="I336" s="31"/>
      <c r="J336" s="131" t="s">
        <v>325</v>
      </c>
      <c r="K336" s="31" t="s">
        <v>334</v>
      </c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1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133"/>
    </row>
    <row r="337" spans="2:61" ht="20.100000000000001" customHeight="1" x14ac:dyDescent="0.45">
      <c r="B337" s="129"/>
      <c r="C337" s="31"/>
      <c r="D337" s="31"/>
      <c r="E337" s="31"/>
      <c r="F337" s="31"/>
      <c r="G337" s="130"/>
      <c r="H337" s="131"/>
      <c r="I337" s="31"/>
      <c r="J337" s="131" t="s">
        <v>325</v>
      </c>
      <c r="K337" s="31" t="s">
        <v>270</v>
      </c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1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133"/>
    </row>
    <row r="338" spans="2:61" ht="20.100000000000001" customHeight="1" x14ac:dyDescent="0.45">
      <c r="B338" s="129"/>
      <c r="C338" s="31"/>
      <c r="D338" s="31"/>
      <c r="E338" s="31"/>
      <c r="F338" s="31"/>
      <c r="G338" s="130"/>
      <c r="H338" s="131"/>
      <c r="I338" s="31"/>
      <c r="J338" s="131"/>
      <c r="K338" s="31"/>
      <c r="L338" s="31" t="s">
        <v>270</v>
      </c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1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133"/>
    </row>
    <row r="339" spans="2:61" ht="20.100000000000001" customHeight="1" x14ac:dyDescent="0.45">
      <c r="B339" s="129"/>
      <c r="C339" s="31"/>
      <c r="D339" s="31"/>
      <c r="E339" s="31"/>
      <c r="F339" s="31"/>
      <c r="G339" s="130"/>
      <c r="H339" s="131"/>
      <c r="I339" s="31"/>
      <c r="J339" s="131"/>
      <c r="K339" s="31"/>
      <c r="L339" s="31"/>
      <c r="M339" s="31"/>
      <c r="N339" s="31" t="s">
        <v>353</v>
      </c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1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133"/>
    </row>
    <row r="340" spans="2:61" ht="20.100000000000001" customHeight="1" x14ac:dyDescent="0.45">
      <c r="B340" s="129"/>
      <c r="C340" s="31"/>
      <c r="D340" s="31"/>
      <c r="E340" s="31"/>
      <c r="F340" s="31"/>
      <c r="G340" s="130"/>
      <c r="H340" s="131"/>
      <c r="I340" s="31"/>
      <c r="J340" s="131"/>
      <c r="K340" s="31"/>
      <c r="L340" s="31" t="s">
        <v>341</v>
      </c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1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133"/>
    </row>
    <row r="341" spans="2:61" ht="20.100000000000001" customHeight="1" x14ac:dyDescent="0.45">
      <c r="B341" s="129"/>
      <c r="C341" s="31"/>
      <c r="D341" s="31"/>
      <c r="E341" s="31"/>
      <c r="F341" s="31"/>
      <c r="G341" s="130"/>
      <c r="H341" s="131"/>
      <c r="I341" s="31"/>
      <c r="J341" s="131"/>
      <c r="K341" s="31" t="s">
        <v>339</v>
      </c>
      <c r="L341" s="31" t="s">
        <v>270</v>
      </c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1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133"/>
    </row>
    <row r="342" spans="2:61" ht="20.100000000000001" customHeight="1" x14ac:dyDescent="0.45">
      <c r="B342" s="129"/>
      <c r="C342" s="31"/>
      <c r="D342" s="31"/>
      <c r="E342" s="31"/>
      <c r="F342" s="31"/>
      <c r="G342" s="130"/>
      <c r="H342" s="131"/>
      <c r="I342" s="31"/>
      <c r="J342" s="131"/>
      <c r="K342" s="31"/>
      <c r="L342" s="31"/>
      <c r="M342" s="31"/>
      <c r="N342" s="31" t="s">
        <v>354</v>
      </c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1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133"/>
    </row>
    <row r="343" spans="2:61" ht="20.100000000000001" customHeight="1" x14ac:dyDescent="0.45">
      <c r="B343" s="129"/>
      <c r="C343" s="31"/>
      <c r="D343" s="31"/>
      <c r="E343" s="31"/>
      <c r="F343" s="31"/>
      <c r="G343" s="130"/>
      <c r="H343" s="131"/>
      <c r="I343" s="31"/>
      <c r="J343" s="131"/>
      <c r="K343" s="31"/>
      <c r="L343" s="31" t="s">
        <v>341</v>
      </c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1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133"/>
    </row>
    <row r="344" spans="2:61" ht="20.100000000000001" customHeight="1" thickBot="1" x14ac:dyDescent="0.5">
      <c r="B344" s="129"/>
      <c r="C344" s="31"/>
      <c r="D344" s="31"/>
      <c r="E344" s="31"/>
      <c r="F344" s="31"/>
      <c r="G344" s="130"/>
      <c r="H344" s="137"/>
      <c r="I344" s="138"/>
      <c r="J344" s="137"/>
      <c r="K344" s="138" t="s">
        <v>341</v>
      </c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  <c r="AH344" s="138"/>
      <c r="AI344" s="138"/>
      <c r="AJ344" s="138"/>
      <c r="AK344" s="137"/>
      <c r="AL344" s="138"/>
      <c r="AM344" s="138"/>
      <c r="AN344" s="138"/>
      <c r="AO344" s="138"/>
      <c r="AP344" s="138"/>
      <c r="AQ344" s="138"/>
      <c r="AR344" s="138"/>
      <c r="AS344" s="138"/>
      <c r="AT344" s="138"/>
      <c r="AU344" s="138"/>
      <c r="AV344" s="138"/>
      <c r="AW344" s="138"/>
      <c r="AX344" s="138"/>
      <c r="AY344" s="138"/>
      <c r="AZ344" s="138"/>
      <c r="BA344" s="138"/>
      <c r="BB344" s="138"/>
      <c r="BC344" s="138"/>
      <c r="BD344" s="138"/>
      <c r="BE344" s="138"/>
      <c r="BF344" s="138"/>
      <c r="BG344" s="138"/>
      <c r="BH344" s="138"/>
      <c r="BI344" s="140"/>
    </row>
    <row r="345" spans="2:61" ht="20.100000000000001" customHeight="1" x14ac:dyDescent="0.45">
      <c r="B345" s="123" t="s">
        <v>355</v>
      </c>
      <c r="C345" s="124"/>
      <c r="D345" s="124"/>
      <c r="E345" s="124"/>
      <c r="F345" s="124"/>
      <c r="G345" s="125"/>
      <c r="H345" s="126" t="s">
        <v>177</v>
      </c>
      <c r="I345" s="125"/>
      <c r="J345" s="154" t="s">
        <v>192</v>
      </c>
      <c r="K345" s="155"/>
      <c r="L345" s="155"/>
      <c r="M345" s="155"/>
      <c r="N345" s="155"/>
      <c r="O345" s="155"/>
      <c r="P345" s="155"/>
      <c r="Q345" s="155"/>
      <c r="R345" s="154" t="s">
        <v>277</v>
      </c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6"/>
      <c r="AK345" s="127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  <c r="AV345" s="124"/>
      <c r="AW345" s="124"/>
      <c r="AX345" s="124"/>
      <c r="AY345" s="124"/>
      <c r="AZ345" s="124"/>
      <c r="BA345" s="124"/>
      <c r="BB345" s="124"/>
      <c r="BC345" s="124"/>
      <c r="BD345" s="124"/>
      <c r="BE345" s="124"/>
      <c r="BF345" s="124"/>
      <c r="BG345" s="124"/>
      <c r="BH345" s="124"/>
      <c r="BI345" s="128"/>
    </row>
    <row r="346" spans="2:61" ht="20.100000000000001" customHeight="1" x14ac:dyDescent="0.45">
      <c r="B346" s="157"/>
      <c r="C346" s="31"/>
      <c r="D346" s="31"/>
      <c r="E346" s="31"/>
      <c r="F346" s="31"/>
      <c r="G346" s="130"/>
      <c r="H346" s="131"/>
      <c r="I346" s="130"/>
      <c r="J346" s="158" t="s">
        <v>194</v>
      </c>
      <c r="K346" s="52"/>
      <c r="L346" s="52"/>
      <c r="M346" s="52"/>
      <c r="N346" s="52"/>
      <c r="O346" s="52"/>
      <c r="P346" s="52"/>
      <c r="Q346" s="52"/>
      <c r="R346" s="158" t="s">
        <v>343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159"/>
      <c r="AK346" s="132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133"/>
    </row>
    <row r="347" spans="2:61" ht="20.100000000000001" customHeight="1" x14ac:dyDescent="0.45">
      <c r="B347" s="157"/>
      <c r="C347" s="31"/>
      <c r="D347" s="31"/>
      <c r="E347" s="31"/>
      <c r="F347" s="31"/>
      <c r="G347" s="130"/>
      <c r="H347" s="131"/>
      <c r="I347" s="130"/>
      <c r="J347" s="158" t="s">
        <v>196</v>
      </c>
      <c r="K347" s="52"/>
      <c r="L347" s="52"/>
      <c r="M347" s="52"/>
      <c r="N347" s="52"/>
      <c r="O347" s="52"/>
      <c r="P347" s="52"/>
      <c r="Q347" s="52"/>
      <c r="R347" s="158" t="s">
        <v>344</v>
      </c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159"/>
      <c r="AK347" s="132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133"/>
    </row>
    <row r="348" spans="2:61" ht="20.100000000000001" customHeight="1" x14ac:dyDescent="0.45">
      <c r="B348" s="157"/>
      <c r="C348" s="31"/>
      <c r="D348" s="31"/>
      <c r="E348" s="31"/>
      <c r="F348" s="31"/>
      <c r="G348" s="130"/>
      <c r="H348" s="131"/>
      <c r="I348" s="130"/>
      <c r="J348" s="158" t="s">
        <v>198</v>
      </c>
      <c r="K348" s="52"/>
      <c r="L348" s="52"/>
      <c r="M348" s="52"/>
      <c r="N348" s="52"/>
      <c r="O348" s="52"/>
      <c r="P348" s="52"/>
      <c r="Q348" s="52"/>
      <c r="R348" s="158" t="s">
        <v>280</v>
      </c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159"/>
      <c r="AK348" s="132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133"/>
    </row>
    <row r="349" spans="2:61" ht="20.100000000000001" customHeight="1" x14ac:dyDescent="0.45">
      <c r="B349" s="157"/>
      <c r="C349" s="31"/>
      <c r="D349" s="31"/>
      <c r="E349" s="31"/>
      <c r="F349" s="31"/>
      <c r="G349" s="130"/>
      <c r="H349" s="131"/>
      <c r="I349" s="130"/>
      <c r="J349" s="158" t="s">
        <v>200</v>
      </c>
      <c r="K349" s="52"/>
      <c r="L349" s="52"/>
      <c r="M349" s="52"/>
      <c r="N349" s="52"/>
      <c r="O349" s="52"/>
      <c r="P349" s="52"/>
      <c r="Q349" s="52"/>
      <c r="R349" s="158" t="s">
        <v>281</v>
      </c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159"/>
      <c r="AK349" s="132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133"/>
    </row>
    <row r="350" spans="2:61" ht="20.100000000000001" customHeight="1" x14ac:dyDescent="0.45">
      <c r="B350" s="157"/>
      <c r="C350" s="31"/>
      <c r="D350" s="31"/>
      <c r="E350" s="31"/>
      <c r="F350" s="31"/>
      <c r="G350" s="130"/>
      <c r="H350" s="131"/>
      <c r="I350" s="130"/>
      <c r="J350" s="158" t="s">
        <v>202</v>
      </c>
      <c r="K350" s="52"/>
      <c r="L350" s="52"/>
      <c r="M350" s="52"/>
      <c r="N350" s="52"/>
      <c r="O350" s="52"/>
      <c r="P350" s="52"/>
      <c r="Q350" s="52"/>
      <c r="R350" s="158" t="s">
        <v>282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159"/>
      <c r="AK350" s="132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133"/>
    </row>
    <row r="351" spans="2:61" ht="20.100000000000001" customHeight="1" x14ac:dyDescent="0.45">
      <c r="B351" s="157"/>
      <c r="C351" s="31"/>
      <c r="D351" s="31"/>
      <c r="E351" s="31"/>
      <c r="F351" s="31"/>
      <c r="G351" s="130"/>
      <c r="H351" s="131"/>
      <c r="I351" s="130"/>
      <c r="J351" s="158" t="s">
        <v>204</v>
      </c>
      <c r="K351" s="52"/>
      <c r="L351" s="52"/>
      <c r="M351" s="52"/>
      <c r="N351" s="52"/>
      <c r="O351" s="52"/>
      <c r="P351" s="52"/>
      <c r="Q351" s="52"/>
      <c r="R351" s="158" t="s">
        <v>283</v>
      </c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159"/>
      <c r="AK351" s="132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133"/>
    </row>
    <row r="352" spans="2:61" ht="20.100000000000001" customHeight="1" x14ac:dyDescent="0.45">
      <c r="B352" s="157"/>
      <c r="C352" s="31"/>
      <c r="D352" s="31"/>
      <c r="E352" s="31"/>
      <c r="F352" s="31"/>
      <c r="G352" s="130"/>
      <c r="H352" s="131"/>
      <c r="I352" s="130"/>
      <c r="J352" s="158" t="s">
        <v>206</v>
      </c>
      <c r="K352" s="52"/>
      <c r="L352" s="52"/>
      <c r="M352" s="52"/>
      <c r="N352" s="52"/>
      <c r="O352" s="52"/>
      <c r="P352" s="52"/>
      <c r="Q352" s="52"/>
      <c r="R352" s="158" t="s">
        <v>284</v>
      </c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159"/>
      <c r="AK352" s="132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133"/>
    </row>
    <row r="353" spans="2:61" ht="20.100000000000001" customHeight="1" x14ac:dyDescent="0.45">
      <c r="B353" s="157"/>
      <c r="C353" s="31"/>
      <c r="D353" s="31"/>
      <c r="E353" s="31"/>
      <c r="F353" s="31"/>
      <c r="G353" s="130"/>
      <c r="H353" s="131"/>
      <c r="I353" s="130"/>
      <c r="J353" s="158" t="s">
        <v>208</v>
      </c>
      <c r="K353" s="52"/>
      <c r="L353" s="52"/>
      <c r="M353" s="52"/>
      <c r="N353" s="52"/>
      <c r="O353" s="52"/>
      <c r="P353" s="52"/>
      <c r="Q353" s="52"/>
      <c r="R353" s="158" t="s">
        <v>285</v>
      </c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159"/>
      <c r="AK353" s="132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133"/>
    </row>
    <row r="354" spans="2:61" ht="20.100000000000001" customHeight="1" x14ac:dyDescent="0.45">
      <c r="B354" s="157"/>
      <c r="C354" s="31"/>
      <c r="D354" s="31"/>
      <c r="E354" s="31"/>
      <c r="F354" s="31"/>
      <c r="G354" s="130"/>
      <c r="H354" s="131"/>
      <c r="I354" s="130"/>
      <c r="J354" s="158" t="s">
        <v>210</v>
      </c>
      <c r="K354" s="52"/>
      <c r="L354" s="52"/>
      <c r="M354" s="52"/>
      <c r="N354" s="52"/>
      <c r="O354" s="52"/>
      <c r="P354" s="52"/>
      <c r="Q354" s="52"/>
      <c r="R354" s="158" t="s">
        <v>286</v>
      </c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159"/>
      <c r="AK354" s="132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133"/>
    </row>
    <row r="355" spans="2:61" ht="20.100000000000001" customHeight="1" x14ac:dyDescent="0.45">
      <c r="B355" s="157"/>
      <c r="C355" s="31"/>
      <c r="D355" s="31"/>
      <c r="E355" s="31"/>
      <c r="F355" s="31"/>
      <c r="G355" s="130"/>
      <c r="H355" s="131"/>
      <c r="I355" s="130"/>
      <c r="J355" s="158" t="s">
        <v>212</v>
      </c>
      <c r="K355" s="52"/>
      <c r="L355" s="52"/>
      <c r="M355" s="52"/>
      <c r="N355" s="52"/>
      <c r="O355" s="52"/>
      <c r="P355" s="52"/>
      <c r="Q355" s="52"/>
      <c r="R355" s="158" t="s">
        <v>287</v>
      </c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159"/>
      <c r="AK355" s="132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133"/>
    </row>
    <row r="356" spans="2:61" ht="20.100000000000001" customHeight="1" x14ac:dyDescent="0.45">
      <c r="B356" s="157"/>
      <c r="C356" s="31"/>
      <c r="D356" s="31"/>
      <c r="E356" s="31"/>
      <c r="F356" s="31"/>
      <c r="G356" s="130"/>
      <c r="H356" s="131"/>
      <c r="I356" s="130"/>
      <c r="J356" s="158" t="s">
        <v>214</v>
      </c>
      <c r="K356" s="52"/>
      <c r="L356" s="52"/>
      <c r="M356" s="52"/>
      <c r="N356" s="52"/>
      <c r="O356" s="52"/>
      <c r="P356" s="52"/>
      <c r="Q356" s="52"/>
      <c r="R356" s="158" t="s">
        <v>288</v>
      </c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159"/>
      <c r="AK356" s="132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133"/>
    </row>
    <row r="357" spans="2:61" ht="20.100000000000001" customHeight="1" x14ac:dyDescent="0.45">
      <c r="B357" s="157"/>
      <c r="C357" s="31"/>
      <c r="D357" s="31"/>
      <c r="E357" s="31"/>
      <c r="F357" s="31"/>
      <c r="G357" s="130"/>
      <c r="H357" s="131"/>
      <c r="I357" s="130"/>
      <c r="J357" s="158" t="s">
        <v>216</v>
      </c>
      <c r="K357" s="52"/>
      <c r="L357" s="52"/>
      <c r="M357" s="52"/>
      <c r="N357" s="52"/>
      <c r="O357" s="52"/>
      <c r="P357" s="52"/>
      <c r="Q357" s="52"/>
      <c r="R357" s="158" t="s">
        <v>289</v>
      </c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159"/>
      <c r="AK357" s="132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133"/>
    </row>
    <row r="358" spans="2:61" ht="20.100000000000001" customHeight="1" x14ac:dyDescent="0.45">
      <c r="B358" s="157"/>
      <c r="C358" s="31"/>
      <c r="D358" s="31"/>
      <c r="E358" s="31"/>
      <c r="F358" s="31"/>
      <c r="G358" s="130"/>
      <c r="H358" s="131"/>
      <c r="I358" s="130"/>
      <c r="J358" s="158" t="s">
        <v>218</v>
      </c>
      <c r="K358" s="52"/>
      <c r="L358" s="52"/>
      <c r="M358" s="52"/>
      <c r="N358" s="52"/>
      <c r="O358" s="52"/>
      <c r="P358" s="52"/>
      <c r="Q358" s="52"/>
      <c r="R358" s="158" t="s">
        <v>290</v>
      </c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159"/>
      <c r="AK358" s="132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133"/>
    </row>
    <row r="359" spans="2:61" ht="20.100000000000001" customHeight="1" x14ac:dyDescent="0.45">
      <c r="B359" s="157"/>
      <c r="C359" s="31"/>
      <c r="D359" s="31"/>
      <c r="E359" s="31"/>
      <c r="F359" s="31"/>
      <c r="G359" s="130"/>
      <c r="H359" s="131"/>
      <c r="I359" s="130"/>
      <c r="J359" s="158" t="s">
        <v>220</v>
      </c>
      <c r="K359" s="52"/>
      <c r="L359" s="52"/>
      <c r="M359" s="52"/>
      <c r="N359" s="52"/>
      <c r="O359" s="52"/>
      <c r="P359" s="52"/>
      <c r="Q359" s="52"/>
      <c r="R359" s="158" t="s">
        <v>291</v>
      </c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159"/>
      <c r="AK359" s="132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133"/>
    </row>
    <row r="360" spans="2:61" ht="20.100000000000001" customHeight="1" x14ac:dyDescent="0.45">
      <c r="B360" s="157"/>
      <c r="C360" s="31"/>
      <c r="D360" s="31"/>
      <c r="E360" s="31"/>
      <c r="F360" s="31"/>
      <c r="G360" s="130"/>
      <c r="H360" s="131"/>
      <c r="I360" s="130"/>
      <c r="J360" s="158" t="s">
        <v>222</v>
      </c>
      <c r="K360" s="52"/>
      <c r="L360" s="52"/>
      <c r="M360" s="52"/>
      <c r="N360" s="52"/>
      <c r="O360" s="52"/>
      <c r="P360" s="52"/>
      <c r="Q360" s="52"/>
      <c r="R360" s="158" t="s">
        <v>292</v>
      </c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159"/>
      <c r="AK360" s="132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133"/>
    </row>
    <row r="361" spans="2:61" ht="20.100000000000001" customHeight="1" x14ac:dyDescent="0.45">
      <c r="B361" s="157"/>
      <c r="C361" s="31"/>
      <c r="D361" s="31"/>
      <c r="E361" s="31"/>
      <c r="F361" s="31"/>
      <c r="G361" s="130"/>
      <c r="H361" s="131"/>
      <c r="I361" s="130"/>
      <c r="J361" s="158" t="s">
        <v>224</v>
      </c>
      <c r="K361" s="52"/>
      <c r="L361" s="52"/>
      <c r="M361" s="52"/>
      <c r="N361" s="52"/>
      <c r="O361" s="52"/>
      <c r="P361" s="52"/>
      <c r="Q361" s="52"/>
      <c r="R361" s="158" t="s">
        <v>356</v>
      </c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159"/>
      <c r="AK361" s="132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133"/>
    </row>
    <row r="362" spans="2:61" ht="20.100000000000001" customHeight="1" x14ac:dyDescent="0.45">
      <c r="B362" s="157"/>
      <c r="C362" s="31"/>
      <c r="D362" s="31"/>
      <c r="E362" s="31"/>
      <c r="F362" s="31"/>
      <c r="G362" s="130"/>
      <c r="H362" s="131"/>
      <c r="I362" s="130"/>
      <c r="J362" s="158" t="s">
        <v>226</v>
      </c>
      <c r="K362" s="52"/>
      <c r="L362" s="52"/>
      <c r="M362" s="52"/>
      <c r="N362" s="52"/>
      <c r="O362" s="52"/>
      <c r="P362" s="52"/>
      <c r="Q362" s="52"/>
      <c r="R362" s="158" t="s">
        <v>294</v>
      </c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159"/>
      <c r="AK362" s="132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133"/>
    </row>
    <row r="363" spans="2:61" ht="20.100000000000001" customHeight="1" x14ac:dyDescent="0.45">
      <c r="B363" s="157"/>
      <c r="C363" s="31"/>
      <c r="D363" s="31"/>
      <c r="E363" s="31"/>
      <c r="F363" s="31"/>
      <c r="G363" s="130"/>
      <c r="H363" s="131"/>
      <c r="I363" s="130"/>
      <c r="J363" s="158" t="s">
        <v>228</v>
      </c>
      <c r="K363" s="52"/>
      <c r="L363" s="52"/>
      <c r="M363" s="52"/>
      <c r="N363" s="52"/>
      <c r="O363" s="52"/>
      <c r="P363" s="52"/>
      <c r="Q363" s="52"/>
      <c r="R363" s="158" t="s">
        <v>295</v>
      </c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159"/>
      <c r="AK363" s="132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133"/>
    </row>
    <row r="364" spans="2:61" ht="20.100000000000001" customHeight="1" x14ac:dyDescent="0.45">
      <c r="B364" s="157"/>
      <c r="C364" s="31"/>
      <c r="D364" s="31"/>
      <c r="E364" s="31"/>
      <c r="F364" s="31"/>
      <c r="G364" s="130"/>
      <c r="H364" s="131"/>
      <c r="I364" s="130"/>
      <c r="J364" s="158" t="s">
        <v>230</v>
      </c>
      <c r="K364" s="52"/>
      <c r="L364" s="52"/>
      <c r="M364" s="52"/>
      <c r="N364" s="52"/>
      <c r="O364" s="52"/>
      <c r="P364" s="52"/>
      <c r="Q364" s="52"/>
      <c r="R364" s="169" t="s">
        <v>357</v>
      </c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159"/>
      <c r="AK364" s="132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133"/>
    </row>
    <row r="365" spans="2:61" ht="20.100000000000001" customHeight="1" x14ac:dyDescent="0.45">
      <c r="B365" s="157"/>
      <c r="C365" s="31"/>
      <c r="D365" s="31"/>
      <c r="E365" s="31"/>
      <c r="F365" s="31"/>
      <c r="G365" s="130"/>
      <c r="H365" s="131"/>
      <c r="I365" s="130"/>
      <c r="J365" s="158" t="s">
        <v>232</v>
      </c>
      <c r="K365" s="52"/>
      <c r="L365" s="52"/>
      <c r="M365" s="52"/>
      <c r="N365" s="52"/>
      <c r="O365" s="52"/>
      <c r="P365" s="52"/>
      <c r="Q365" s="52"/>
      <c r="R365" s="158" t="s">
        <v>297</v>
      </c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159"/>
      <c r="AK365" s="132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133"/>
    </row>
    <row r="366" spans="2:61" ht="20.100000000000001" customHeight="1" x14ac:dyDescent="0.45">
      <c r="B366" s="157"/>
      <c r="C366" s="31"/>
      <c r="D366" s="31"/>
      <c r="E366" s="31"/>
      <c r="F366" s="31"/>
      <c r="G366" s="130"/>
      <c r="H366" s="131"/>
      <c r="I366" s="130"/>
      <c r="J366" s="158" t="s">
        <v>234</v>
      </c>
      <c r="K366" s="52"/>
      <c r="L366" s="52"/>
      <c r="M366" s="52"/>
      <c r="N366" s="52"/>
      <c r="O366" s="52"/>
      <c r="P366" s="52"/>
      <c r="Q366" s="52"/>
      <c r="R366" s="158" t="s">
        <v>352</v>
      </c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159"/>
      <c r="AK366" s="132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133"/>
    </row>
    <row r="367" spans="2:61" ht="20.100000000000001" customHeight="1" x14ac:dyDescent="0.45">
      <c r="B367" s="157"/>
      <c r="C367" s="31"/>
      <c r="D367" s="31"/>
      <c r="E367" s="31"/>
      <c r="F367" s="31"/>
      <c r="G367" s="130"/>
      <c r="H367" s="131"/>
      <c r="I367" s="130"/>
      <c r="J367" s="158" t="s">
        <v>236</v>
      </c>
      <c r="K367" s="52"/>
      <c r="L367" s="52"/>
      <c r="M367" s="52"/>
      <c r="N367" s="52"/>
      <c r="O367" s="52"/>
      <c r="P367" s="52"/>
      <c r="Q367" s="52"/>
      <c r="R367" s="158" t="s">
        <v>299</v>
      </c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159"/>
      <c r="AK367" s="132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133"/>
    </row>
    <row r="368" spans="2:61" ht="20.100000000000001" customHeight="1" x14ac:dyDescent="0.45">
      <c r="B368" s="157"/>
      <c r="C368" s="31"/>
      <c r="D368" s="31"/>
      <c r="E368" s="31"/>
      <c r="F368" s="31"/>
      <c r="G368" s="130"/>
      <c r="H368" s="131"/>
      <c r="I368" s="130"/>
      <c r="J368" s="158" t="s">
        <v>238</v>
      </c>
      <c r="K368" s="52"/>
      <c r="L368" s="52"/>
      <c r="M368" s="52"/>
      <c r="N368" s="52"/>
      <c r="O368" s="52"/>
      <c r="P368" s="52"/>
      <c r="Q368" s="52"/>
      <c r="R368" s="169" t="s">
        <v>358</v>
      </c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159"/>
      <c r="AK368" s="132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133"/>
    </row>
    <row r="369" spans="2:61" ht="20.100000000000001" customHeight="1" x14ac:dyDescent="0.45">
      <c r="B369" s="157"/>
      <c r="C369" s="31"/>
      <c r="D369" s="31"/>
      <c r="E369" s="31"/>
      <c r="F369" s="31"/>
      <c r="G369" s="130"/>
      <c r="H369" s="131"/>
      <c r="I369" s="130"/>
      <c r="J369" s="158" t="s">
        <v>240</v>
      </c>
      <c r="K369" s="52"/>
      <c r="L369" s="52"/>
      <c r="M369" s="52"/>
      <c r="N369" s="52"/>
      <c r="O369" s="52"/>
      <c r="P369" s="52"/>
      <c r="Q369" s="52"/>
      <c r="R369" s="158" t="s">
        <v>359</v>
      </c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159"/>
      <c r="AK369" s="132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133"/>
    </row>
    <row r="370" spans="2:61" ht="20.100000000000001" customHeight="1" x14ac:dyDescent="0.45">
      <c r="B370" s="157"/>
      <c r="C370" s="31"/>
      <c r="D370" s="31"/>
      <c r="E370" s="31"/>
      <c r="F370" s="31"/>
      <c r="G370" s="130"/>
      <c r="H370" s="131"/>
      <c r="I370" s="130"/>
      <c r="J370" s="158" t="s">
        <v>242</v>
      </c>
      <c r="K370" s="52"/>
      <c r="L370" s="52"/>
      <c r="M370" s="52"/>
      <c r="N370" s="52"/>
      <c r="O370" s="52"/>
      <c r="P370" s="52"/>
      <c r="Q370" s="52"/>
      <c r="R370" s="158" t="s">
        <v>360</v>
      </c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159"/>
      <c r="AK370" s="132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133"/>
    </row>
    <row r="371" spans="2:61" ht="20.100000000000001" customHeight="1" x14ac:dyDescent="0.45">
      <c r="B371" s="157"/>
      <c r="C371" s="31"/>
      <c r="D371" s="31"/>
      <c r="E371" s="31"/>
      <c r="F371" s="31"/>
      <c r="G371" s="130"/>
      <c r="H371" s="131"/>
      <c r="I371" s="130"/>
      <c r="J371" s="158" t="s">
        <v>244</v>
      </c>
      <c r="K371" s="52"/>
      <c r="L371" s="52"/>
      <c r="M371" s="52"/>
      <c r="N371" s="52"/>
      <c r="O371" s="52"/>
      <c r="P371" s="52"/>
      <c r="Q371" s="52"/>
      <c r="R371" s="158" t="s">
        <v>301</v>
      </c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159"/>
      <c r="AK371" s="132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133"/>
    </row>
    <row r="372" spans="2:61" ht="20.100000000000001" customHeight="1" x14ac:dyDescent="0.45">
      <c r="B372" s="157"/>
      <c r="C372" s="31"/>
      <c r="D372" s="31"/>
      <c r="E372" s="31"/>
      <c r="F372" s="31"/>
      <c r="G372" s="130"/>
      <c r="H372" s="131"/>
      <c r="I372" s="130"/>
      <c r="J372" s="158" t="s">
        <v>246</v>
      </c>
      <c r="K372" s="52"/>
      <c r="L372" s="52"/>
      <c r="M372" s="52"/>
      <c r="N372" s="52"/>
      <c r="O372" s="52"/>
      <c r="P372" s="52"/>
      <c r="Q372" s="52"/>
      <c r="R372" s="158" t="s">
        <v>302</v>
      </c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159"/>
      <c r="AK372" s="132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133"/>
    </row>
    <row r="373" spans="2:61" ht="20.100000000000001" customHeight="1" x14ac:dyDescent="0.45">
      <c r="B373" s="157"/>
      <c r="C373" s="31"/>
      <c r="D373" s="31"/>
      <c r="E373" s="31"/>
      <c r="F373" s="31"/>
      <c r="G373" s="130"/>
      <c r="H373" s="131"/>
      <c r="I373" s="130"/>
      <c r="J373" s="158" t="s">
        <v>248</v>
      </c>
      <c r="K373" s="52"/>
      <c r="L373" s="52"/>
      <c r="M373" s="52"/>
      <c r="N373" s="52"/>
      <c r="O373" s="52"/>
      <c r="P373" s="52"/>
      <c r="Q373" s="52"/>
      <c r="R373" s="158" t="s">
        <v>303</v>
      </c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159"/>
      <c r="AK373" s="132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133"/>
    </row>
    <row r="374" spans="2:61" ht="20.100000000000001" customHeight="1" x14ac:dyDescent="0.45">
      <c r="B374" s="157"/>
      <c r="C374" s="31"/>
      <c r="D374" s="31"/>
      <c r="E374" s="31"/>
      <c r="F374" s="31"/>
      <c r="G374" s="130"/>
      <c r="H374" s="131"/>
      <c r="I374" s="130"/>
      <c r="J374" s="158" t="s">
        <v>250</v>
      </c>
      <c r="K374" s="52"/>
      <c r="L374" s="52"/>
      <c r="M374" s="52"/>
      <c r="N374" s="52"/>
      <c r="O374" s="52"/>
      <c r="P374" s="52"/>
      <c r="Q374" s="52"/>
      <c r="R374" s="158" t="s">
        <v>304</v>
      </c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159"/>
      <c r="AK374" s="132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133"/>
    </row>
    <row r="375" spans="2:61" ht="20.100000000000001" customHeight="1" x14ac:dyDescent="0.45">
      <c r="B375" s="157"/>
      <c r="C375" s="31"/>
      <c r="D375" s="31"/>
      <c r="E375" s="31"/>
      <c r="F375" s="31"/>
      <c r="G375" s="130"/>
      <c r="H375" s="131"/>
      <c r="I375" s="130"/>
      <c r="J375" s="158" t="s">
        <v>252</v>
      </c>
      <c r="K375" s="52"/>
      <c r="L375" s="52"/>
      <c r="M375" s="52"/>
      <c r="N375" s="52"/>
      <c r="O375" s="52"/>
      <c r="P375" s="52"/>
      <c r="Q375" s="52"/>
      <c r="R375" s="158" t="s">
        <v>305</v>
      </c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159"/>
      <c r="AK375" s="132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133"/>
    </row>
    <row r="376" spans="2:61" ht="20.100000000000001" customHeight="1" x14ac:dyDescent="0.45">
      <c r="B376" s="157"/>
      <c r="C376" s="31"/>
      <c r="D376" s="31"/>
      <c r="E376" s="31"/>
      <c r="F376" s="31"/>
      <c r="G376" s="130"/>
      <c r="H376" s="131"/>
      <c r="I376" s="130"/>
      <c r="J376" s="158" t="s">
        <v>254</v>
      </c>
      <c r="K376" s="52"/>
      <c r="L376" s="52"/>
      <c r="M376" s="52"/>
      <c r="N376" s="52"/>
      <c r="O376" s="52"/>
      <c r="P376" s="52"/>
      <c r="Q376" s="52"/>
      <c r="R376" s="158" t="s">
        <v>306</v>
      </c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159"/>
      <c r="AK376" s="132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133"/>
    </row>
    <row r="377" spans="2:61" ht="20.100000000000001" customHeight="1" x14ac:dyDescent="0.45">
      <c r="B377" s="157"/>
      <c r="C377" s="31"/>
      <c r="D377" s="31"/>
      <c r="E377" s="31"/>
      <c r="F377" s="31"/>
      <c r="G377" s="130"/>
      <c r="H377" s="131"/>
      <c r="I377" s="130"/>
      <c r="J377" s="158" t="s">
        <v>256</v>
      </c>
      <c r="K377" s="52"/>
      <c r="L377" s="52"/>
      <c r="M377" s="52"/>
      <c r="N377" s="52"/>
      <c r="O377" s="52"/>
      <c r="P377" s="52"/>
      <c r="Q377" s="52"/>
      <c r="R377" s="158" t="s">
        <v>307</v>
      </c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159"/>
      <c r="AK377" s="132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133"/>
    </row>
    <row r="378" spans="2:61" ht="20.100000000000001" customHeight="1" x14ac:dyDescent="0.45">
      <c r="B378" s="157"/>
      <c r="C378" s="31"/>
      <c r="D378" s="31"/>
      <c r="E378" s="31"/>
      <c r="F378" s="31"/>
      <c r="G378" s="130"/>
      <c r="H378" s="131"/>
      <c r="I378" s="130"/>
      <c r="J378" s="158" t="s">
        <v>258</v>
      </c>
      <c r="K378" s="52"/>
      <c r="L378" s="52"/>
      <c r="M378" s="52"/>
      <c r="N378" s="52"/>
      <c r="O378" s="52"/>
      <c r="P378" s="52"/>
      <c r="Q378" s="52"/>
      <c r="R378" s="158" t="s">
        <v>308</v>
      </c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159"/>
      <c r="AK378" s="132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133"/>
    </row>
    <row r="379" spans="2:61" ht="20.100000000000001" customHeight="1" x14ac:dyDescent="0.45">
      <c r="B379" s="157"/>
      <c r="C379" s="31"/>
      <c r="D379" s="31"/>
      <c r="E379" s="31"/>
      <c r="F379" s="31"/>
      <c r="G379" s="130"/>
      <c r="H379" s="131"/>
      <c r="I379" s="130"/>
      <c r="J379" s="134" t="s">
        <v>260</v>
      </c>
      <c r="K379" s="55"/>
      <c r="L379" s="55"/>
      <c r="M379" s="55"/>
      <c r="N379" s="55"/>
      <c r="O379" s="55"/>
      <c r="P379" s="55"/>
      <c r="Q379" s="159"/>
      <c r="R379" s="31" t="s">
        <v>309</v>
      </c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171"/>
      <c r="AK379" s="132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133"/>
    </row>
    <row r="380" spans="2:61" ht="20.100000000000001" customHeight="1" x14ac:dyDescent="0.45">
      <c r="B380" s="157"/>
      <c r="C380" s="31"/>
      <c r="D380" s="31"/>
      <c r="E380" s="31"/>
      <c r="F380" s="31"/>
      <c r="G380" s="130"/>
      <c r="H380" s="134" t="s">
        <v>146</v>
      </c>
      <c r="I380" s="55"/>
      <c r="J380" s="134" t="s">
        <v>310</v>
      </c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13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136"/>
    </row>
    <row r="381" spans="2:61" ht="20.100000000000001" customHeight="1" x14ac:dyDescent="0.45">
      <c r="B381" s="129"/>
      <c r="C381" s="31"/>
      <c r="D381" s="31"/>
      <c r="E381" s="31"/>
      <c r="F381" s="31"/>
      <c r="G381" s="130"/>
      <c r="H381" s="131"/>
      <c r="I381" s="31"/>
      <c r="J381" s="131" t="s">
        <v>311</v>
      </c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132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133"/>
    </row>
    <row r="382" spans="2:61" ht="20.100000000000001" customHeight="1" x14ac:dyDescent="0.45">
      <c r="B382" s="129"/>
      <c r="C382" s="31"/>
      <c r="D382" s="31"/>
      <c r="E382" s="31"/>
      <c r="F382" s="31"/>
      <c r="G382" s="130"/>
      <c r="H382" s="131"/>
      <c r="I382" s="31"/>
      <c r="J382" s="131" t="s">
        <v>312</v>
      </c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132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133"/>
    </row>
    <row r="383" spans="2:61" ht="20.100000000000001" customHeight="1" x14ac:dyDescent="0.45">
      <c r="B383" s="129"/>
      <c r="C383" s="31"/>
      <c r="D383" s="31"/>
      <c r="E383" s="31"/>
      <c r="F383" s="31"/>
      <c r="G383" s="130"/>
      <c r="H383" s="134" t="s">
        <v>147</v>
      </c>
      <c r="I383" s="55"/>
      <c r="J383" s="134" t="s">
        <v>315</v>
      </c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13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  <c r="BI383" s="136"/>
    </row>
    <row r="384" spans="2:61" ht="20.100000000000001" customHeight="1" x14ac:dyDescent="0.45">
      <c r="B384" s="129"/>
      <c r="C384" s="31"/>
      <c r="D384" s="31"/>
      <c r="E384" s="31"/>
      <c r="F384" s="31"/>
      <c r="G384" s="130"/>
      <c r="H384" s="131"/>
      <c r="I384" s="31"/>
      <c r="J384" s="131"/>
      <c r="K384" s="31" t="s">
        <v>316</v>
      </c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132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133"/>
    </row>
    <row r="385" spans="2:61" ht="20.100000000000001" customHeight="1" x14ac:dyDescent="0.45">
      <c r="B385" s="129"/>
      <c r="C385" s="31"/>
      <c r="D385" s="31"/>
      <c r="E385" s="31"/>
      <c r="F385" s="31"/>
      <c r="G385" s="130"/>
      <c r="H385" s="131"/>
      <c r="I385" s="31"/>
      <c r="J385" s="131"/>
      <c r="K385" s="31"/>
      <c r="M385" s="31" t="s">
        <v>317</v>
      </c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132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133"/>
    </row>
    <row r="386" spans="2:61" ht="20.100000000000001" customHeight="1" x14ac:dyDescent="0.45">
      <c r="B386" s="129"/>
      <c r="C386" s="31"/>
      <c r="D386" s="31"/>
      <c r="E386" s="31"/>
      <c r="F386" s="31"/>
      <c r="G386" s="130"/>
      <c r="H386" s="131"/>
      <c r="I386" s="31"/>
      <c r="J386" s="131" t="s">
        <v>315</v>
      </c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132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133"/>
    </row>
    <row r="387" spans="2:61" ht="20.100000000000001" customHeight="1" x14ac:dyDescent="0.45">
      <c r="B387" s="129"/>
      <c r="C387" s="31"/>
      <c r="D387" s="31"/>
      <c r="E387" s="31"/>
      <c r="F387" s="31"/>
      <c r="G387" s="130"/>
      <c r="H387" s="131"/>
      <c r="I387" s="31"/>
      <c r="J387" s="131"/>
      <c r="K387" s="31" t="s">
        <v>318</v>
      </c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132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133"/>
    </row>
    <row r="388" spans="2:61" ht="20.100000000000001" customHeight="1" x14ac:dyDescent="0.45">
      <c r="B388" s="129"/>
      <c r="C388" s="31"/>
      <c r="D388" s="31"/>
      <c r="E388" s="31"/>
      <c r="F388" s="31"/>
      <c r="G388" s="130"/>
      <c r="H388" s="137"/>
      <c r="I388" s="138"/>
      <c r="J388" s="137"/>
      <c r="K388" s="138"/>
      <c r="L388" s="138"/>
      <c r="M388" s="138" t="s">
        <v>319</v>
      </c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9"/>
      <c r="AL388" s="138"/>
      <c r="AM388" s="138"/>
      <c r="AN388" s="138"/>
      <c r="AO388" s="138"/>
      <c r="AP388" s="138"/>
      <c r="AQ388" s="138"/>
      <c r="AR388" s="138"/>
      <c r="AS388" s="138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  <c r="BE388" s="138"/>
      <c r="BF388" s="138"/>
      <c r="BG388" s="138"/>
      <c r="BH388" s="138"/>
      <c r="BI388" s="140"/>
    </row>
    <row r="389" spans="2:61" ht="20.100000000000001" customHeight="1" x14ac:dyDescent="0.45">
      <c r="B389" s="129"/>
      <c r="C389" s="31"/>
      <c r="D389" s="31"/>
      <c r="E389" s="31"/>
      <c r="F389" s="31"/>
      <c r="G389" s="130"/>
      <c r="H389" s="134" t="s">
        <v>148</v>
      </c>
      <c r="I389" s="55"/>
      <c r="J389" s="131"/>
      <c r="K389" s="55" t="s">
        <v>333</v>
      </c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132"/>
      <c r="AL389" s="31"/>
      <c r="AM389" s="31"/>
      <c r="AN389" s="31"/>
      <c r="AO389" s="31"/>
      <c r="AP389" s="31"/>
      <c r="AQ389" s="31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  <c r="BI389" s="136"/>
    </row>
    <row r="390" spans="2:61" ht="20.100000000000001" customHeight="1" x14ac:dyDescent="0.45">
      <c r="B390" s="129"/>
      <c r="C390" s="31"/>
      <c r="D390" s="31"/>
      <c r="E390" s="31"/>
      <c r="F390" s="31"/>
      <c r="G390" s="130"/>
      <c r="H390" s="131"/>
      <c r="I390" s="31"/>
      <c r="J390" s="131" t="s">
        <v>325</v>
      </c>
      <c r="K390" s="31" t="s">
        <v>330</v>
      </c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132" t="s">
        <v>331</v>
      </c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133"/>
    </row>
    <row r="391" spans="2:61" ht="20.100000000000001" customHeight="1" x14ac:dyDescent="0.45">
      <c r="B391" s="129"/>
      <c r="C391" s="31"/>
      <c r="D391" s="31"/>
      <c r="E391" s="31"/>
      <c r="F391" s="31"/>
      <c r="G391" s="130"/>
      <c r="H391" s="131"/>
      <c r="I391" s="31"/>
      <c r="J391" s="131" t="s">
        <v>325</v>
      </c>
      <c r="K391" s="31" t="s">
        <v>270</v>
      </c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1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133"/>
    </row>
    <row r="392" spans="2:61" ht="20.100000000000001" customHeight="1" x14ac:dyDescent="0.45">
      <c r="B392" s="129"/>
      <c r="C392" s="31"/>
      <c r="D392" s="31"/>
      <c r="E392" s="31"/>
      <c r="F392" s="31"/>
      <c r="G392" s="130"/>
      <c r="H392" s="131"/>
      <c r="I392" s="31"/>
      <c r="J392" s="131"/>
      <c r="K392" s="31"/>
      <c r="L392" s="31"/>
      <c r="M392" s="31" t="s">
        <v>338</v>
      </c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1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133"/>
    </row>
    <row r="393" spans="2:61" ht="20.100000000000001" customHeight="1" x14ac:dyDescent="0.45">
      <c r="B393" s="129"/>
      <c r="C393" s="31"/>
      <c r="D393" s="31"/>
      <c r="E393" s="31"/>
      <c r="F393" s="31"/>
      <c r="G393" s="130"/>
      <c r="H393" s="131"/>
      <c r="I393" s="31"/>
      <c r="J393" s="131"/>
      <c r="K393" s="31"/>
      <c r="L393" s="31" t="s">
        <v>339</v>
      </c>
      <c r="M393" s="31" t="s">
        <v>340</v>
      </c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1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133"/>
    </row>
    <row r="394" spans="2:61" ht="20.100000000000001" customHeight="1" x14ac:dyDescent="0.45">
      <c r="B394" s="129"/>
      <c r="C394" s="31"/>
      <c r="D394" s="31"/>
      <c r="E394" s="31"/>
      <c r="F394" s="31"/>
      <c r="G394" s="130"/>
      <c r="H394" s="131"/>
      <c r="I394" s="31"/>
      <c r="J394" s="131"/>
      <c r="K394" s="31" t="s">
        <v>341</v>
      </c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1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133"/>
    </row>
    <row r="395" spans="2:61" ht="20.100000000000001" customHeight="1" x14ac:dyDescent="0.45">
      <c r="B395" s="129"/>
      <c r="C395" s="31"/>
      <c r="D395" s="31"/>
      <c r="E395" s="31"/>
      <c r="F395" s="31"/>
      <c r="G395" s="130"/>
      <c r="H395" s="131"/>
      <c r="I395" s="31"/>
      <c r="J395" s="131" t="s">
        <v>325</v>
      </c>
      <c r="K395" s="31" t="s">
        <v>270</v>
      </c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1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133"/>
    </row>
    <row r="396" spans="2:61" ht="20.100000000000001" customHeight="1" x14ac:dyDescent="0.45">
      <c r="B396" s="129"/>
      <c r="C396" s="31"/>
      <c r="D396" s="31"/>
      <c r="E396" s="31"/>
      <c r="F396" s="31"/>
      <c r="G396" s="130"/>
      <c r="H396" s="131"/>
      <c r="I396" s="31"/>
      <c r="J396" s="131"/>
      <c r="K396" s="31"/>
      <c r="L396" s="31" t="s">
        <v>270</v>
      </c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1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133"/>
    </row>
    <row r="397" spans="2:61" ht="20.100000000000001" customHeight="1" x14ac:dyDescent="0.45">
      <c r="B397" s="129"/>
      <c r="C397" s="31"/>
      <c r="D397" s="31"/>
      <c r="E397" s="31"/>
      <c r="F397" s="31"/>
      <c r="G397" s="130"/>
      <c r="H397" s="131"/>
      <c r="I397" s="31"/>
      <c r="J397" s="131"/>
      <c r="K397" s="31"/>
      <c r="L397" s="31"/>
      <c r="M397" s="31"/>
      <c r="N397" s="31" t="s">
        <v>361</v>
      </c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1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133"/>
    </row>
    <row r="398" spans="2:61" ht="20.100000000000001" customHeight="1" x14ac:dyDescent="0.45">
      <c r="B398" s="129"/>
      <c r="C398" s="31"/>
      <c r="D398" s="31"/>
      <c r="E398" s="31"/>
      <c r="F398" s="31"/>
      <c r="G398" s="130"/>
      <c r="H398" s="131"/>
      <c r="I398" s="31"/>
      <c r="J398" s="131"/>
      <c r="K398" s="31"/>
      <c r="L398" s="31" t="s">
        <v>341</v>
      </c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1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133"/>
    </row>
    <row r="399" spans="2:61" ht="20.100000000000001" customHeight="1" x14ac:dyDescent="0.45">
      <c r="B399" s="129"/>
      <c r="C399" s="31"/>
      <c r="D399" s="31"/>
      <c r="E399" s="31"/>
      <c r="F399" s="31"/>
      <c r="G399" s="130"/>
      <c r="H399" s="131"/>
      <c r="I399" s="31"/>
      <c r="J399" s="131"/>
      <c r="K399" s="31" t="s">
        <v>339</v>
      </c>
      <c r="L399" s="31" t="s">
        <v>270</v>
      </c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1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133"/>
    </row>
    <row r="400" spans="2:61" ht="20.100000000000001" customHeight="1" x14ac:dyDescent="0.45">
      <c r="B400" s="129"/>
      <c r="C400" s="31"/>
      <c r="D400" s="31"/>
      <c r="E400" s="31"/>
      <c r="F400" s="31"/>
      <c r="G400" s="130"/>
      <c r="H400" s="131"/>
      <c r="I400" s="31"/>
      <c r="J400" s="131"/>
      <c r="K400" s="31"/>
      <c r="L400" s="31"/>
      <c r="M400" s="31"/>
      <c r="N400" s="31" t="s">
        <v>362</v>
      </c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1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133"/>
    </row>
    <row r="401" spans="2:61" ht="20.100000000000001" customHeight="1" x14ac:dyDescent="0.45">
      <c r="B401" s="129"/>
      <c r="C401" s="31"/>
      <c r="D401" s="31"/>
      <c r="E401" s="31"/>
      <c r="F401" s="31"/>
      <c r="G401" s="130"/>
      <c r="H401" s="131"/>
      <c r="I401" s="31"/>
      <c r="J401" s="131"/>
      <c r="K401" s="31"/>
      <c r="L401" s="31" t="s">
        <v>341</v>
      </c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1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133"/>
    </row>
    <row r="402" spans="2:61" ht="20.100000000000001" customHeight="1" thickBot="1" x14ac:dyDescent="0.5">
      <c r="B402" s="129"/>
      <c r="C402" s="31"/>
      <c r="D402" s="31"/>
      <c r="E402" s="31"/>
      <c r="F402" s="31"/>
      <c r="G402" s="130"/>
      <c r="H402" s="131"/>
      <c r="I402" s="31"/>
      <c r="J402" s="131"/>
      <c r="K402" s="31" t="s">
        <v>341</v>
      </c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1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133"/>
    </row>
    <row r="403" spans="2:61" ht="20.100000000000001" customHeight="1" x14ac:dyDescent="0.45">
      <c r="B403" s="123" t="s">
        <v>363</v>
      </c>
      <c r="C403" s="124"/>
      <c r="D403" s="124"/>
      <c r="E403" s="124"/>
      <c r="F403" s="124"/>
      <c r="G403" s="125"/>
      <c r="H403" s="126" t="s">
        <v>177</v>
      </c>
      <c r="I403" s="125"/>
      <c r="J403" s="154" t="s">
        <v>192</v>
      </c>
      <c r="K403" s="155"/>
      <c r="L403" s="155"/>
      <c r="M403" s="155"/>
      <c r="N403" s="155"/>
      <c r="O403" s="155"/>
      <c r="P403" s="155"/>
      <c r="Q403" s="155"/>
      <c r="R403" s="154" t="s">
        <v>364</v>
      </c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6"/>
      <c r="AK403" s="127"/>
      <c r="AL403" s="124"/>
      <c r="AM403" s="124"/>
      <c r="AN403" s="124"/>
      <c r="AO403" s="124"/>
      <c r="AP403" s="124"/>
      <c r="AQ403" s="124"/>
      <c r="AR403" s="124"/>
      <c r="AS403" s="124"/>
      <c r="AT403" s="124"/>
      <c r="AU403" s="124"/>
      <c r="AV403" s="124"/>
      <c r="AW403" s="124"/>
      <c r="AX403" s="124"/>
      <c r="AY403" s="124"/>
      <c r="AZ403" s="124"/>
      <c r="BA403" s="124"/>
      <c r="BB403" s="124"/>
      <c r="BC403" s="124"/>
      <c r="BD403" s="124"/>
      <c r="BE403" s="124"/>
      <c r="BF403" s="124"/>
      <c r="BG403" s="124"/>
      <c r="BH403" s="124"/>
      <c r="BI403" s="128"/>
    </row>
    <row r="404" spans="2:61" ht="20.100000000000001" customHeight="1" x14ac:dyDescent="0.45">
      <c r="B404" s="157"/>
      <c r="C404" s="31"/>
      <c r="D404" s="31"/>
      <c r="E404" s="31"/>
      <c r="F404" s="31"/>
      <c r="G404" s="130"/>
      <c r="H404" s="131"/>
      <c r="I404" s="130"/>
      <c r="J404" s="158" t="s">
        <v>194</v>
      </c>
      <c r="K404" s="52"/>
      <c r="L404" s="52"/>
      <c r="M404" s="52"/>
      <c r="N404" s="52"/>
      <c r="O404" s="52"/>
      <c r="P404" s="52"/>
      <c r="Q404" s="52"/>
      <c r="R404" s="158" t="s">
        <v>365</v>
      </c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159"/>
      <c r="AK404" s="132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133"/>
    </row>
    <row r="405" spans="2:61" ht="20.100000000000001" customHeight="1" x14ac:dyDescent="0.45">
      <c r="B405" s="157"/>
      <c r="C405" s="31"/>
      <c r="D405" s="31"/>
      <c r="E405" s="31"/>
      <c r="F405" s="31"/>
      <c r="G405" s="130"/>
      <c r="H405" s="131"/>
      <c r="I405" s="130"/>
      <c r="J405" s="158" t="s">
        <v>196</v>
      </c>
      <c r="K405" s="52"/>
      <c r="L405" s="52"/>
      <c r="M405" s="52"/>
      <c r="N405" s="52"/>
      <c r="O405" s="52"/>
      <c r="P405" s="52"/>
      <c r="Q405" s="52"/>
      <c r="R405" s="158" t="s">
        <v>366</v>
      </c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159"/>
      <c r="AK405" s="132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133"/>
    </row>
    <row r="406" spans="2:61" ht="20.100000000000001" customHeight="1" x14ac:dyDescent="0.45">
      <c r="B406" s="157"/>
      <c r="C406" s="31"/>
      <c r="D406" s="31"/>
      <c r="E406" s="31"/>
      <c r="F406" s="31"/>
      <c r="G406" s="130"/>
      <c r="H406" s="131"/>
      <c r="I406" s="130"/>
      <c r="J406" s="158" t="s">
        <v>198</v>
      </c>
      <c r="K406" s="52"/>
      <c r="L406" s="52"/>
      <c r="M406" s="52"/>
      <c r="N406" s="52"/>
      <c r="O406" s="52"/>
      <c r="P406" s="52"/>
      <c r="Q406" s="52"/>
      <c r="R406" s="158">
        <v>1</v>
      </c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159"/>
      <c r="AK406" s="132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133"/>
    </row>
    <row r="407" spans="2:61" ht="20.100000000000001" customHeight="1" x14ac:dyDescent="0.45">
      <c r="B407" s="157"/>
      <c r="C407" s="31"/>
      <c r="D407" s="31"/>
      <c r="E407" s="31"/>
      <c r="F407" s="31"/>
      <c r="G407" s="130"/>
      <c r="H407" s="131"/>
      <c r="I407" s="130"/>
      <c r="J407" s="158" t="s">
        <v>200</v>
      </c>
      <c r="K407" s="52"/>
      <c r="L407" s="52"/>
      <c r="M407" s="52"/>
      <c r="N407" s="52"/>
      <c r="O407" s="52"/>
      <c r="P407" s="52"/>
      <c r="Q407" s="52"/>
      <c r="R407" s="158" t="s">
        <v>367</v>
      </c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159"/>
      <c r="AK407" s="132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133"/>
    </row>
    <row r="408" spans="2:61" ht="20.100000000000001" customHeight="1" x14ac:dyDescent="0.45">
      <c r="B408" s="157"/>
      <c r="C408" s="31"/>
      <c r="D408" s="31"/>
      <c r="E408" s="31"/>
      <c r="F408" s="31"/>
      <c r="G408" s="130"/>
      <c r="H408" s="131"/>
      <c r="I408" s="130"/>
      <c r="J408" s="158" t="s">
        <v>202</v>
      </c>
      <c r="K408" s="52"/>
      <c r="L408" s="52"/>
      <c r="M408" s="52"/>
      <c r="N408" s="52"/>
      <c r="O408" s="52"/>
      <c r="P408" s="52"/>
      <c r="Q408" s="52"/>
      <c r="R408" s="158" t="s">
        <v>367</v>
      </c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159"/>
      <c r="AK408" s="132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133"/>
    </row>
    <row r="409" spans="2:61" ht="20.100000000000001" customHeight="1" x14ac:dyDescent="0.45">
      <c r="B409" s="157"/>
      <c r="C409" s="31"/>
      <c r="D409" s="31"/>
      <c r="E409" s="31"/>
      <c r="F409" s="31"/>
      <c r="G409" s="130"/>
      <c r="H409" s="131"/>
      <c r="I409" s="130"/>
      <c r="J409" s="158" t="s">
        <v>204</v>
      </c>
      <c r="K409" s="52"/>
      <c r="L409" s="52"/>
      <c r="M409" s="52"/>
      <c r="N409" s="52"/>
      <c r="O409" s="52"/>
      <c r="P409" s="52"/>
      <c r="Q409" s="52"/>
      <c r="R409" s="158" t="s">
        <v>367</v>
      </c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159"/>
      <c r="AK409" s="132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133"/>
    </row>
    <row r="410" spans="2:61" ht="20.100000000000001" customHeight="1" x14ac:dyDescent="0.45">
      <c r="B410" s="157"/>
      <c r="C410" s="31"/>
      <c r="D410" s="31"/>
      <c r="E410" s="31"/>
      <c r="F410" s="31"/>
      <c r="G410" s="130"/>
      <c r="H410" s="131"/>
      <c r="I410" s="130"/>
      <c r="J410" s="158" t="s">
        <v>206</v>
      </c>
      <c r="K410" s="52"/>
      <c r="L410" s="52"/>
      <c r="M410" s="52"/>
      <c r="N410" s="52"/>
      <c r="O410" s="52"/>
      <c r="P410" s="52"/>
      <c r="Q410" s="52"/>
      <c r="R410" s="158" t="s">
        <v>367</v>
      </c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159"/>
      <c r="AK410" s="132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133"/>
    </row>
    <row r="411" spans="2:61" ht="20.100000000000001" customHeight="1" x14ac:dyDescent="0.45">
      <c r="B411" s="157"/>
      <c r="C411" s="31"/>
      <c r="D411" s="31"/>
      <c r="E411" s="31"/>
      <c r="F411" s="31"/>
      <c r="G411" s="130"/>
      <c r="H411" s="131"/>
      <c r="I411" s="130"/>
      <c r="J411" s="158" t="s">
        <v>208</v>
      </c>
      <c r="K411" s="52"/>
      <c r="L411" s="52"/>
      <c r="M411" s="52"/>
      <c r="N411" s="52"/>
      <c r="O411" s="52"/>
      <c r="P411" s="52"/>
      <c r="Q411" s="52"/>
      <c r="R411" s="158" t="s">
        <v>366</v>
      </c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159"/>
      <c r="AK411" s="132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133"/>
    </row>
    <row r="412" spans="2:61" ht="20.100000000000001" customHeight="1" x14ac:dyDescent="0.45">
      <c r="B412" s="157"/>
      <c r="C412" s="31"/>
      <c r="D412" s="31"/>
      <c r="E412" s="31"/>
      <c r="F412" s="31"/>
      <c r="G412" s="130"/>
      <c r="H412" s="131"/>
      <c r="I412" s="130"/>
      <c r="J412" s="158" t="s">
        <v>210</v>
      </c>
      <c r="K412" s="52"/>
      <c r="L412" s="52"/>
      <c r="M412" s="52"/>
      <c r="N412" s="52"/>
      <c r="O412" s="52"/>
      <c r="P412" s="52"/>
      <c r="Q412" s="52"/>
      <c r="R412" s="158">
        <v>0</v>
      </c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159"/>
      <c r="AK412" s="132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133"/>
    </row>
    <row r="413" spans="2:61" ht="20.100000000000001" customHeight="1" x14ac:dyDescent="0.45">
      <c r="B413" s="157"/>
      <c r="C413" s="31"/>
      <c r="D413" s="31"/>
      <c r="E413" s="31"/>
      <c r="F413" s="31"/>
      <c r="G413" s="130"/>
      <c r="H413" s="131"/>
      <c r="I413" s="130"/>
      <c r="J413" s="158" t="s">
        <v>212</v>
      </c>
      <c r="K413" s="52"/>
      <c r="L413" s="52"/>
      <c r="M413" s="52"/>
      <c r="N413" s="52"/>
      <c r="O413" s="52"/>
      <c r="P413" s="52"/>
      <c r="Q413" s="52"/>
      <c r="R413" s="158">
        <v>0</v>
      </c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159"/>
      <c r="AK413" s="132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133"/>
    </row>
    <row r="414" spans="2:61" ht="20.100000000000001" customHeight="1" x14ac:dyDescent="0.45">
      <c r="B414" s="157"/>
      <c r="C414" s="31"/>
      <c r="D414" s="31"/>
      <c r="E414" s="31"/>
      <c r="F414" s="31"/>
      <c r="G414" s="130"/>
      <c r="H414" s="131"/>
      <c r="I414" s="130"/>
      <c r="J414" s="158" t="s">
        <v>214</v>
      </c>
      <c r="K414" s="52"/>
      <c r="L414" s="52"/>
      <c r="M414" s="52"/>
      <c r="N414" s="52"/>
      <c r="O414" s="52"/>
      <c r="P414" s="52"/>
      <c r="Q414" s="52"/>
      <c r="R414" s="158">
        <v>0</v>
      </c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159"/>
      <c r="AK414" s="132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133"/>
    </row>
    <row r="415" spans="2:61" ht="20.100000000000001" customHeight="1" x14ac:dyDescent="0.45">
      <c r="B415" s="157"/>
      <c r="C415" s="31"/>
      <c r="D415" s="31"/>
      <c r="E415" s="31"/>
      <c r="F415" s="31"/>
      <c r="G415" s="130"/>
      <c r="H415" s="131"/>
      <c r="I415" s="130"/>
      <c r="J415" s="158" t="s">
        <v>216</v>
      </c>
      <c r="K415" s="52"/>
      <c r="L415" s="52"/>
      <c r="M415" s="52"/>
      <c r="N415" s="52"/>
      <c r="O415" s="52"/>
      <c r="P415" s="52"/>
      <c r="Q415" s="52"/>
      <c r="R415" s="158">
        <v>0</v>
      </c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159"/>
      <c r="AK415" s="132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133"/>
    </row>
    <row r="416" spans="2:61" ht="20.100000000000001" customHeight="1" x14ac:dyDescent="0.45">
      <c r="B416" s="157"/>
      <c r="C416" s="31"/>
      <c r="D416" s="31"/>
      <c r="E416" s="31"/>
      <c r="F416" s="31"/>
      <c r="G416" s="130"/>
      <c r="H416" s="131"/>
      <c r="I416" s="130"/>
      <c r="J416" s="158" t="s">
        <v>218</v>
      </c>
      <c r="K416" s="52"/>
      <c r="L416" s="52"/>
      <c r="M416" s="52"/>
      <c r="N416" s="52"/>
      <c r="O416" s="52"/>
      <c r="P416" s="52"/>
      <c r="Q416" s="52"/>
      <c r="R416" s="158">
        <v>0</v>
      </c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159"/>
      <c r="AK416" s="132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133"/>
    </row>
    <row r="417" spans="2:61" ht="20.100000000000001" customHeight="1" x14ac:dyDescent="0.45">
      <c r="B417" s="157"/>
      <c r="C417" s="31"/>
      <c r="D417" s="31"/>
      <c r="E417" s="31"/>
      <c r="F417" s="31"/>
      <c r="G417" s="130"/>
      <c r="H417" s="131"/>
      <c r="I417" s="130"/>
      <c r="J417" s="158" t="s">
        <v>220</v>
      </c>
      <c r="K417" s="52"/>
      <c r="L417" s="52"/>
      <c r="M417" s="52"/>
      <c r="N417" s="52"/>
      <c r="O417" s="52"/>
      <c r="P417" s="52"/>
      <c r="Q417" s="52"/>
      <c r="R417" s="158">
        <v>0</v>
      </c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159"/>
      <c r="AK417" s="132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133"/>
    </row>
    <row r="418" spans="2:61" ht="20.100000000000001" customHeight="1" x14ac:dyDescent="0.45">
      <c r="B418" s="157"/>
      <c r="C418" s="31"/>
      <c r="D418" s="31"/>
      <c r="E418" s="31"/>
      <c r="F418" s="31"/>
      <c r="G418" s="130"/>
      <c r="H418" s="131"/>
      <c r="I418" s="130"/>
      <c r="J418" s="158" t="s">
        <v>222</v>
      </c>
      <c r="K418" s="52"/>
      <c r="L418" s="52"/>
      <c r="M418" s="52"/>
      <c r="N418" s="52"/>
      <c r="O418" s="52"/>
      <c r="P418" s="52"/>
      <c r="Q418" s="52"/>
      <c r="R418" s="158">
        <v>0</v>
      </c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159"/>
      <c r="AK418" s="132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133"/>
    </row>
    <row r="419" spans="2:61" ht="20.100000000000001" customHeight="1" x14ac:dyDescent="0.45">
      <c r="B419" s="157"/>
      <c r="C419" s="31"/>
      <c r="D419" s="31"/>
      <c r="E419" s="31"/>
      <c r="F419" s="31"/>
      <c r="G419" s="130"/>
      <c r="H419" s="131"/>
      <c r="I419" s="130"/>
      <c r="J419" s="158" t="s">
        <v>224</v>
      </c>
      <c r="K419" s="52"/>
      <c r="L419" s="52"/>
      <c r="M419" s="52"/>
      <c r="N419" s="52"/>
      <c r="O419" s="52"/>
      <c r="P419" s="52"/>
      <c r="Q419" s="52"/>
      <c r="R419" s="158">
        <v>0</v>
      </c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159"/>
      <c r="AK419" s="132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133"/>
    </row>
    <row r="420" spans="2:61" ht="20.100000000000001" customHeight="1" x14ac:dyDescent="0.45">
      <c r="B420" s="157"/>
      <c r="C420" s="31"/>
      <c r="D420" s="31"/>
      <c r="E420" s="31"/>
      <c r="F420" s="31"/>
      <c r="G420" s="130"/>
      <c r="H420" s="131"/>
      <c r="I420" s="130"/>
      <c r="J420" s="158" t="s">
        <v>226</v>
      </c>
      <c r="K420" s="52"/>
      <c r="L420" s="52"/>
      <c r="M420" s="52"/>
      <c r="N420" s="52"/>
      <c r="O420" s="52"/>
      <c r="P420" s="52"/>
      <c r="Q420" s="52"/>
      <c r="R420" s="158" t="s">
        <v>367</v>
      </c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159"/>
      <c r="AK420" s="132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133"/>
    </row>
    <row r="421" spans="2:61" ht="20.100000000000001" customHeight="1" x14ac:dyDescent="0.45">
      <c r="B421" s="157"/>
      <c r="C421" s="31"/>
      <c r="D421" s="31"/>
      <c r="E421" s="31"/>
      <c r="F421" s="31"/>
      <c r="G421" s="130"/>
      <c r="H421" s="131"/>
      <c r="I421" s="130"/>
      <c r="J421" s="158" t="s">
        <v>228</v>
      </c>
      <c r="K421" s="52"/>
      <c r="L421" s="52"/>
      <c r="M421" s="52"/>
      <c r="N421" s="52"/>
      <c r="O421" s="52"/>
      <c r="P421" s="52"/>
      <c r="Q421" s="52"/>
      <c r="R421" s="158" t="s">
        <v>368</v>
      </c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159"/>
      <c r="AK421" s="132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133"/>
    </row>
    <row r="422" spans="2:61" ht="20.100000000000001" customHeight="1" x14ac:dyDescent="0.45">
      <c r="B422" s="157"/>
      <c r="C422" s="31"/>
      <c r="D422" s="31"/>
      <c r="E422" s="31"/>
      <c r="F422" s="31"/>
      <c r="G422" s="130"/>
      <c r="H422" s="131"/>
      <c r="I422" s="130"/>
      <c r="J422" s="158" t="s">
        <v>230</v>
      </c>
      <c r="K422" s="52"/>
      <c r="L422" s="52"/>
      <c r="M422" s="52"/>
      <c r="N422" s="52"/>
      <c r="O422" s="52"/>
      <c r="P422" s="52"/>
      <c r="Q422" s="52"/>
      <c r="R422" s="169" t="s">
        <v>368</v>
      </c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159"/>
      <c r="AK422" s="132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133"/>
    </row>
    <row r="423" spans="2:61" ht="20.100000000000001" customHeight="1" x14ac:dyDescent="0.45">
      <c r="B423" s="157"/>
      <c r="C423" s="31"/>
      <c r="D423" s="31"/>
      <c r="E423" s="31"/>
      <c r="F423" s="31"/>
      <c r="G423" s="130"/>
      <c r="H423" s="131"/>
      <c r="I423" s="130"/>
      <c r="J423" s="158" t="s">
        <v>232</v>
      </c>
      <c r="K423" s="52"/>
      <c r="L423" s="52"/>
      <c r="M423" s="52"/>
      <c r="N423" s="52"/>
      <c r="O423" s="52"/>
      <c r="P423" s="52"/>
      <c r="Q423" s="52"/>
      <c r="R423" s="158" t="s">
        <v>367</v>
      </c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159"/>
      <c r="AK423" s="132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133"/>
    </row>
    <row r="424" spans="2:61" ht="20.100000000000001" customHeight="1" x14ac:dyDescent="0.45">
      <c r="B424" s="157"/>
      <c r="C424" s="31"/>
      <c r="D424" s="31"/>
      <c r="E424" s="31"/>
      <c r="F424" s="31"/>
      <c r="G424" s="130"/>
      <c r="H424" s="131"/>
      <c r="I424" s="130"/>
      <c r="J424" s="158" t="s">
        <v>234</v>
      </c>
      <c r="K424" s="52"/>
      <c r="L424" s="52"/>
      <c r="M424" s="52"/>
      <c r="N424" s="52"/>
      <c r="O424" s="52"/>
      <c r="P424" s="52"/>
      <c r="Q424" s="52"/>
      <c r="R424" s="158" t="s">
        <v>367</v>
      </c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159"/>
      <c r="AK424" s="132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133"/>
    </row>
    <row r="425" spans="2:61" ht="20.100000000000001" customHeight="1" x14ac:dyDescent="0.45">
      <c r="B425" s="157"/>
      <c r="C425" s="31"/>
      <c r="D425" s="31"/>
      <c r="E425" s="31"/>
      <c r="F425" s="31"/>
      <c r="G425" s="130"/>
      <c r="H425" s="131"/>
      <c r="I425" s="130"/>
      <c r="J425" s="158" t="s">
        <v>236</v>
      </c>
      <c r="K425" s="52"/>
      <c r="L425" s="52"/>
      <c r="M425" s="52"/>
      <c r="N425" s="52"/>
      <c r="O425" s="52"/>
      <c r="P425" s="52"/>
      <c r="Q425" s="52"/>
      <c r="R425" s="158">
        <v>0</v>
      </c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159"/>
      <c r="AK425" s="132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133"/>
    </row>
    <row r="426" spans="2:61" ht="20.100000000000001" customHeight="1" x14ac:dyDescent="0.45">
      <c r="B426" s="157"/>
      <c r="C426" s="31"/>
      <c r="D426" s="31"/>
      <c r="E426" s="31"/>
      <c r="F426" s="31"/>
      <c r="G426" s="130"/>
      <c r="H426" s="131"/>
      <c r="I426" s="130"/>
      <c r="J426" s="158" t="s">
        <v>238</v>
      </c>
      <c r="K426" s="52"/>
      <c r="L426" s="52"/>
      <c r="M426" s="52"/>
      <c r="N426" s="52"/>
      <c r="O426" s="52"/>
      <c r="P426" s="52"/>
      <c r="Q426" s="52"/>
      <c r="R426" s="169">
        <v>0</v>
      </c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159"/>
      <c r="AK426" s="132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133"/>
    </row>
    <row r="427" spans="2:61" ht="20.100000000000001" customHeight="1" x14ac:dyDescent="0.45">
      <c r="B427" s="157"/>
      <c r="C427" s="31"/>
      <c r="D427" s="31"/>
      <c r="E427" s="31"/>
      <c r="F427" s="31"/>
      <c r="G427" s="130"/>
      <c r="H427" s="131"/>
      <c r="I427" s="130"/>
      <c r="J427" s="158" t="s">
        <v>240</v>
      </c>
      <c r="K427" s="52"/>
      <c r="L427" s="52"/>
      <c r="M427" s="52"/>
      <c r="N427" s="52"/>
      <c r="O427" s="52"/>
      <c r="P427" s="52"/>
      <c r="Q427" s="52"/>
      <c r="R427" s="158">
        <v>0</v>
      </c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159"/>
      <c r="AK427" s="132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133"/>
    </row>
    <row r="428" spans="2:61" ht="20.100000000000001" customHeight="1" x14ac:dyDescent="0.45">
      <c r="B428" s="157"/>
      <c r="C428" s="31"/>
      <c r="D428" s="31"/>
      <c r="E428" s="31"/>
      <c r="F428" s="31"/>
      <c r="G428" s="130"/>
      <c r="H428" s="131"/>
      <c r="I428" s="130"/>
      <c r="J428" s="158" t="s">
        <v>242</v>
      </c>
      <c r="K428" s="52"/>
      <c r="L428" s="52"/>
      <c r="M428" s="52"/>
      <c r="N428" s="52"/>
      <c r="O428" s="52"/>
      <c r="P428" s="52"/>
      <c r="Q428" s="52"/>
      <c r="R428" s="158">
        <v>0</v>
      </c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159"/>
      <c r="AK428" s="132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133"/>
    </row>
    <row r="429" spans="2:61" ht="20.100000000000001" customHeight="1" x14ac:dyDescent="0.45">
      <c r="B429" s="157"/>
      <c r="C429" s="31"/>
      <c r="D429" s="31"/>
      <c r="E429" s="31"/>
      <c r="F429" s="31"/>
      <c r="G429" s="130"/>
      <c r="H429" s="131"/>
      <c r="I429" s="130"/>
      <c r="J429" s="158" t="s">
        <v>244</v>
      </c>
      <c r="K429" s="52"/>
      <c r="L429" s="52"/>
      <c r="M429" s="52"/>
      <c r="N429" s="52"/>
      <c r="O429" s="52"/>
      <c r="P429" s="52"/>
      <c r="Q429" s="52"/>
      <c r="R429" s="158" t="s">
        <v>367</v>
      </c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159"/>
      <c r="AK429" s="132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133"/>
    </row>
    <row r="430" spans="2:61" ht="20.100000000000001" customHeight="1" x14ac:dyDescent="0.45">
      <c r="B430" s="157"/>
      <c r="C430" s="31"/>
      <c r="D430" s="31"/>
      <c r="E430" s="31"/>
      <c r="F430" s="31"/>
      <c r="G430" s="130"/>
      <c r="H430" s="131"/>
      <c r="I430" s="130"/>
      <c r="J430" s="158" t="s">
        <v>246</v>
      </c>
      <c r="K430" s="52"/>
      <c r="L430" s="52"/>
      <c r="M430" s="52"/>
      <c r="N430" s="52"/>
      <c r="O430" s="52"/>
      <c r="P430" s="52"/>
      <c r="Q430" s="52"/>
      <c r="R430" s="158" t="s">
        <v>367</v>
      </c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159"/>
      <c r="AK430" s="132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133"/>
    </row>
    <row r="431" spans="2:61" ht="20.100000000000001" customHeight="1" x14ac:dyDescent="0.45">
      <c r="B431" s="157"/>
      <c r="C431" s="31"/>
      <c r="D431" s="31"/>
      <c r="E431" s="31"/>
      <c r="F431" s="31"/>
      <c r="G431" s="130"/>
      <c r="H431" s="131"/>
      <c r="I431" s="130"/>
      <c r="J431" s="158" t="s">
        <v>248</v>
      </c>
      <c r="K431" s="52"/>
      <c r="L431" s="52"/>
      <c r="M431" s="52"/>
      <c r="N431" s="52"/>
      <c r="O431" s="52"/>
      <c r="P431" s="52"/>
      <c r="Q431" s="52"/>
      <c r="R431" s="158">
        <v>0</v>
      </c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159"/>
      <c r="AK431" s="132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133"/>
    </row>
    <row r="432" spans="2:61" ht="20.100000000000001" customHeight="1" x14ac:dyDescent="0.45">
      <c r="B432" s="157"/>
      <c r="C432" s="31"/>
      <c r="D432" s="31"/>
      <c r="E432" s="31"/>
      <c r="F432" s="31"/>
      <c r="G432" s="130"/>
      <c r="H432" s="131"/>
      <c r="I432" s="130"/>
      <c r="J432" s="158" t="s">
        <v>250</v>
      </c>
      <c r="K432" s="52"/>
      <c r="L432" s="52"/>
      <c r="M432" s="52"/>
      <c r="N432" s="52"/>
      <c r="O432" s="52"/>
      <c r="P432" s="52"/>
      <c r="Q432" s="52"/>
      <c r="R432" s="158">
        <v>0</v>
      </c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159"/>
      <c r="AK432" s="132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133"/>
    </row>
    <row r="433" spans="2:61" ht="20.100000000000001" customHeight="1" x14ac:dyDescent="0.45">
      <c r="B433" s="157"/>
      <c r="C433" s="31"/>
      <c r="D433" s="31"/>
      <c r="E433" s="31"/>
      <c r="F433" s="31"/>
      <c r="G433" s="130"/>
      <c r="H433" s="131"/>
      <c r="I433" s="130"/>
      <c r="J433" s="158" t="s">
        <v>252</v>
      </c>
      <c r="K433" s="52"/>
      <c r="L433" s="52"/>
      <c r="M433" s="52"/>
      <c r="N433" s="52"/>
      <c r="O433" s="52"/>
      <c r="P433" s="52"/>
      <c r="Q433" s="52"/>
      <c r="R433" s="158">
        <v>0</v>
      </c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159"/>
      <c r="AK433" s="132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133"/>
    </row>
    <row r="434" spans="2:61" ht="20.100000000000001" customHeight="1" x14ac:dyDescent="0.45">
      <c r="B434" s="157"/>
      <c r="C434" s="31"/>
      <c r="D434" s="31"/>
      <c r="E434" s="31"/>
      <c r="F434" s="31"/>
      <c r="G434" s="130"/>
      <c r="H434" s="131"/>
      <c r="I434" s="130"/>
      <c r="J434" s="158" t="s">
        <v>254</v>
      </c>
      <c r="K434" s="52"/>
      <c r="L434" s="52"/>
      <c r="M434" s="52"/>
      <c r="N434" s="52"/>
      <c r="O434" s="52"/>
      <c r="P434" s="52"/>
      <c r="Q434" s="52"/>
      <c r="R434" s="158">
        <v>0</v>
      </c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159"/>
      <c r="AK434" s="132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133"/>
    </row>
    <row r="435" spans="2:61" ht="20.100000000000001" customHeight="1" x14ac:dyDescent="0.45">
      <c r="B435" s="157"/>
      <c r="C435" s="31"/>
      <c r="D435" s="31"/>
      <c r="E435" s="31"/>
      <c r="F435" s="31"/>
      <c r="G435" s="130"/>
      <c r="H435" s="131"/>
      <c r="I435" s="130"/>
      <c r="J435" s="158" t="s">
        <v>256</v>
      </c>
      <c r="K435" s="52"/>
      <c r="L435" s="52"/>
      <c r="M435" s="52"/>
      <c r="N435" s="52"/>
      <c r="O435" s="52"/>
      <c r="P435" s="52"/>
      <c r="Q435" s="52"/>
      <c r="R435" s="158" t="s">
        <v>369</v>
      </c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159"/>
      <c r="AK435" s="132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133"/>
    </row>
    <row r="436" spans="2:61" ht="20.100000000000001" customHeight="1" x14ac:dyDescent="0.45">
      <c r="B436" s="157"/>
      <c r="C436" s="31"/>
      <c r="D436" s="31"/>
      <c r="E436" s="31"/>
      <c r="F436" s="31"/>
      <c r="G436" s="130"/>
      <c r="H436" s="131"/>
      <c r="I436" s="130"/>
      <c r="J436" s="158" t="s">
        <v>258</v>
      </c>
      <c r="K436" s="52"/>
      <c r="L436" s="52"/>
      <c r="M436" s="52"/>
      <c r="N436" s="52"/>
      <c r="O436" s="52"/>
      <c r="P436" s="52"/>
      <c r="Q436" s="52"/>
      <c r="R436" s="158" t="s">
        <v>367</v>
      </c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159"/>
      <c r="AK436" s="132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133"/>
    </row>
    <row r="437" spans="2:61" ht="20.100000000000001" customHeight="1" x14ac:dyDescent="0.45">
      <c r="B437" s="157"/>
      <c r="C437" s="31"/>
      <c r="D437" s="31"/>
      <c r="E437" s="31"/>
      <c r="F437" s="31"/>
      <c r="G437" s="130"/>
      <c r="H437" s="131"/>
      <c r="I437" s="130"/>
      <c r="J437" s="134" t="s">
        <v>260</v>
      </c>
      <c r="K437" s="55"/>
      <c r="L437" s="55"/>
      <c r="M437" s="55"/>
      <c r="N437" s="55"/>
      <c r="O437" s="55"/>
      <c r="P437" s="55"/>
      <c r="Q437" s="171"/>
      <c r="R437" s="31" t="s">
        <v>309</v>
      </c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171"/>
      <c r="AK437" s="132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133"/>
    </row>
    <row r="438" spans="2:61" ht="20.100000000000001" customHeight="1" x14ac:dyDescent="0.45">
      <c r="B438" s="157"/>
      <c r="C438" s="31"/>
      <c r="D438" s="31"/>
      <c r="E438" s="31"/>
      <c r="F438" s="31"/>
      <c r="G438" s="130"/>
      <c r="H438" s="134" t="s">
        <v>146</v>
      </c>
      <c r="I438" s="55"/>
      <c r="J438" s="134" t="s">
        <v>370</v>
      </c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13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  <c r="BI438" s="136"/>
    </row>
    <row r="439" spans="2:61" ht="20.100000000000001" customHeight="1" x14ac:dyDescent="0.45">
      <c r="B439" s="129"/>
      <c r="C439" s="31"/>
      <c r="D439" s="31"/>
      <c r="E439" s="31"/>
      <c r="F439" s="31"/>
      <c r="G439" s="130"/>
      <c r="H439" s="131"/>
      <c r="I439" s="31"/>
      <c r="J439" s="131" t="s">
        <v>371</v>
      </c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132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133"/>
    </row>
    <row r="440" spans="2:61" ht="20.100000000000001" customHeight="1" x14ac:dyDescent="0.45">
      <c r="B440" s="129"/>
      <c r="C440" s="31"/>
      <c r="D440" s="31"/>
      <c r="E440" s="31"/>
      <c r="F440" s="31"/>
      <c r="G440" s="130"/>
      <c r="H440" s="134" t="s">
        <v>147</v>
      </c>
      <c r="I440" s="55"/>
      <c r="J440" s="134" t="s">
        <v>315</v>
      </c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13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  <c r="BI440" s="136"/>
    </row>
    <row r="441" spans="2:61" ht="20.100000000000001" customHeight="1" x14ac:dyDescent="0.45">
      <c r="B441" s="129"/>
      <c r="C441" s="31"/>
      <c r="D441" s="31"/>
      <c r="E441" s="31"/>
      <c r="F441" s="31"/>
      <c r="G441" s="130"/>
      <c r="H441" s="131"/>
      <c r="I441" s="31"/>
      <c r="J441" s="131"/>
      <c r="K441" s="31" t="s">
        <v>372</v>
      </c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132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133"/>
    </row>
    <row r="442" spans="2:61" ht="20.100000000000001" customHeight="1" x14ac:dyDescent="0.45">
      <c r="B442" s="129"/>
      <c r="C442" s="31"/>
      <c r="D442" s="31"/>
      <c r="E442" s="31"/>
      <c r="F442" s="31"/>
      <c r="G442" s="130"/>
      <c r="H442" s="131"/>
      <c r="I442" s="31"/>
      <c r="J442" s="131"/>
      <c r="K442" s="31"/>
      <c r="L442" s="31"/>
      <c r="M442" s="31" t="s">
        <v>373</v>
      </c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132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133"/>
    </row>
    <row r="443" spans="2:61" ht="20.100000000000001" customHeight="1" x14ac:dyDescent="0.45">
      <c r="B443" s="129"/>
      <c r="C443" s="31"/>
      <c r="D443" s="31"/>
      <c r="E443" s="31"/>
      <c r="F443" s="31"/>
      <c r="G443" s="130"/>
      <c r="H443" s="134" t="s">
        <v>148</v>
      </c>
      <c r="I443" s="55"/>
      <c r="J443" s="134"/>
      <c r="K443" s="55" t="s">
        <v>374</v>
      </c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13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55"/>
      <c r="BI443" s="136"/>
    </row>
    <row r="444" spans="2:61" ht="20.100000000000001" customHeight="1" thickBot="1" x14ac:dyDescent="0.5">
      <c r="B444" s="129"/>
      <c r="C444" s="31"/>
      <c r="D444" s="31"/>
      <c r="E444" s="31"/>
      <c r="F444" s="31"/>
      <c r="G444" s="130"/>
      <c r="H444" s="131"/>
      <c r="I444" s="31"/>
      <c r="J444" s="131" t="s">
        <v>325</v>
      </c>
      <c r="K444" s="31" t="s">
        <v>375</v>
      </c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1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133"/>
    </row>
    <row r="445" spans="2:61" ht="20.100000000000001" customHeight="1" x14ac:dyDescent="0.45">
      <c r="B445" s="123" t="s">
        <v>376</v>
      </c>
      <c r="C445" s="124"/>
      <c r="D445" s="124"/>
      <c r="E445" s="124"/>
      <c r="F445" s="124"/>
      <c r="G445" s="125"/>
      <c r="H445" s="126" t="s">
        <v>177</v>
      </c>
      <c r="I445" s="125"/>
      <c r="J445" s="154" t="s">
        <v>377</v>
      </c>
      <c r="K445" s="155"/>
      <c r="L445" s="155"/>
      <c r="M445" s="155"/>
      <c r="N445" s="155"/>
      <c r="O445" s="155"/>
      <c r="P445" s="155"/>
      <c r="Q445" s="155"/>
      <c r="R445" s="154" t="s">
        <v>378</v>
      </c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6"/>
      <c r="AK445" s="127"/>
      <c r="AL445" s="124"/>
      <c r="AM445" s="124"/>
      <c r="AN445" s="124"/>
      <c r="AO445" s="124"/>
      <c r="AP445" s="124"/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/>
      <c r="BB445" s="124"/>
      <c r="BC445" s="124"/>
      <c r="BD445" s="124"/>
      <c r="BE445" s="124"/>
      <c r="BF445" s="124"/>
      <c r="BG445" s="124"/>
      <c r="BH445" s="124"/>
      <c r="BI445" s="128"/>
    </row>
    <row r="446" spans="2:61" ht="20.100000000000001" customHeight="1" x14ac:dyDescent="0.45">
      <c r="B446" s="157"/>
      <c r="C446" s="31"/>
      <c r="D446" s="31"/>
      <c r="E446" s="31"/>
      <c r="F446" s="31"/>
      <c r="G446" s="130"/>
      <c r="H446" s="131"/>
      <c r="I446" s="130"/>
      <c r="J446" s="158" t="s">
        <v>379</v>
      </c>
      <c r="K446" s="52"/>
      <c r="L446" s="52"/>
      <c r="M446" s="52"/>
      <c r="N446" s="52"/>
      <c r="O446" s="52"/>
      <c r="P446" s="52"/>
      <c r="Q446" s="52"/>
      <c r="R446" s="158" t="s">
        <v>380</v>
      </c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159"/>
      <c r="AK446" s="132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133"/>
    </row>
    <row r="447" spans="2:61" ht="20.100000000000001" customHeight="1" x14ac:dyDescent="0.45">
      <c r="B447" s="157"/>
      <c r="C447" s="31"/>
      <c r="D447" s="31"/>
      <c r="E447" s="31"/>
      <c r="F447" s="31"/>
      <c r="G447" s="130"/>
      <c r="H447" s="131"/>
      <c r="I447" s="130"/>
      <c r="J447" s="158" t="s">
        <v>381</v>
      </c>
      <c r="K447" s="52"/>
      <c r="L447" s="52"/>
      <c r="M447" s="52"/>
      <c r="N447" s="52"/>
      <c r="O447" s="52"/>
      <c r="P447" s="52"/>
      <c r="Q447" s="52"/>
      <c r="R447" s="158" t="s">
        <v>382</v>
      </c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159"/>
      <c r="AK447" s="132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133"/>
    </row>
    <row r="448" spans="2:61" ht="20.100000000000001" customHeight="1" x14ac:dyDescent="0.45">
      <c r="B448" s="157"/>
      <c r="C448" s="31"/>
      <c r="D448" s="31"/>
      <c r="E448" s="31"/>
      <c r="F448" s="31"/>
      <c r="G448" s="130"/>
      <c r="H448" s="158" t="s">
        <v>146</v>
      </c>
      <c r="I448" s="52"/>
      <c r="J448" s="158" t="s">
        <v>372</v>
      </c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172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173"/>
    </row>
    <row r="449" spans="2:61" ht="20.100000000000001" customHeight="1" thickBot="1" x14ac:dyDescent="0.5">
      <c r="B449" s="129"/>
      <c r="C449" s="31"/>
      <c r="D449" s="31"/>
      <c r="E449" s="31"/>
      <c r="F449" s="31"/>
      <c r="G449" s="130"/>
      <c r="H449" s="134" t="s">
        <v>383</v>
      </c>
      <c r="I449" s="55"/>
      <c r="J449" s="134" t="s">
        <v>378</v>
      </c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13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55"/>
      <c r="BI449" s="136"/>
    </row>
    <row r="450" spans="2:61" ht="20.100000000000001" customHeight="1" x14ac:dyDescent="0.45">
      <c r="B450" s="123" t="s">
        <v>384</v>
      </c>
      <c r="C450" s="124"/>
      <c r="D450" s="124"/>
      <c r="E450" s="124"/>
      <c r="F450" s="124"/>
      <c r="G450" s="125"/>
      <c r="H450" s="154" t="s">
        <v>177</v>
      </c>
      <c r="I450" s="156"/>
      <c r="J450" s="154" t="s">
        <v>385</v>
      </c>
      <c r="K450" s="155"/>
      <c r="L450" s="155"/>
      <c r="M450" s="155"/>
      <c r="N450" s="155"/>
      <c r="O450" s="155"/>
      <c r="P450" s="155"/>
      <c r="Q450" s="155"/>
      <c r="R450" s="154" t="s">
        <v>386</v>
      </c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6"/>
      <c r="AK450" s="174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55"/>
      <c r="AV450" s="155"/>
      <c r="AW450" s="155"/>
      <c r="AX450" s="155"/>
      <c r="AY450" s="155"/>
      <c r="AZ450" s="155"/>
      <c r="BA450" s="155"/>
      <c r="BB450" s="155"/>
      <c r="BC450" s="155"/>
      <c r="BD450" s="155"/>
      <c r="BE450" s="155"/>
      <c r="BF450" s="155"/>
      <c r="BG450" s="155"/>
      <c r="BH450" s="155"/>
      <c r="BI450" s="175"/>
    </row>
    <row r="451" spans="2:61" ht="20.100000000000001" customHeight="1" x14ac:dyDescent="0.45">
      <c r="B451" s="157"/>
      <c r="C451" s="31"/>
      <c r="D451" s="31"/>
      <c r="E451" s="31"/>
      <c r="F451" s="31"/>
      <c r="G451" s="130"/>
      <c r="H451" s="131" t="s">
        <v>146</v>
      </c>
      <c r="I451" s="31"/>
      <c r="J451" s="131" t="s">
        <v>316</v>
      </c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132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133"/>
    </row>
    <row r="452" spans="2:61" ht="20.100000000000001" customHeight="1" x14ac:dyDescent="0.45">
      <c r="B452" s="129"/>
      <c r="C452" s="31"/>
      <c r="D452" s="31"/>
      <c r="E452" s="31"/>
      <c r="F452" s="31"/>
      <c r="G452" s="130"/>
      <c r="H452" s="131"/>
      <c r="I452" s="31"/>
      <c r="J452" s="131" t="s">
        <v>320</v>
      </c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132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133"/>
    </row>
    <row r="453" spans="2:61" ht="20.100000000000001" customHeight="1" x14ac:dyDescent="0.45">
      <c r="B453" s="129"/>
      <c r="C453" s="31"/>
      <c r="D453" s="31"/>
      <c r="E453" s="31"/>
      <c r="F453" s="31"/>
      <c r="G453" s="130"/>
      <c r="H453" s="134" t="s">
        <v>147</v>
      </c>
      <c r="I453" s="55"/>
      <c r="J453" s="134" t="s">
        <v>315</v>
      </c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13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  <c r="BI453" s="136"/>
    </row>
    <row r="454" spans="2:61" ht="20.100000000000001" customHeight="1" x14ac:dyDescent="0.45">
      <c r="B454" s="129"/>
      <c r="C454" s="31"/>
      <c r="D454" s="31"/>
      <c r="E454" s="31"/>
      <c r="F454" s="31"/>
      <c r="G454" s="130"/>
      <c r="H454" s="131"/>
      <c r="I454" s="31"/>
      <c r="J454" s="131"/>
      <c r="K454" s="31" t="s">
        <v>320</v>
      </c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132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133"/>
    </row>
    <row r="455" spans="2:61" ht="20.100000000000001" customHeight="1" x14ac:dyDescent="0.45">
      <c r="B455" s="129"/>
      <c r="C455" s="31"/>
      <c r="D455" s="31"/>
      <c r="E455" s="31"/>
      <c r="F455" s="31"/>
      <c r="G455" s="130"/>
      <c r="H455" s="131"/>
      <c r="I455" s="31"/>
      <c r="J455" s="131"/>
      <c r="K455" s="31"/>
      <c r="L455" s="31"/>
      <c r="M455" s="31" t="s">
        <v>387</v>
      </c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132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133"/>
    </row>
    <row r="456" spans="2:61" ht="20.100000000000001" customHeight="1" x14ac:dyDescent="0.45">
      <c r="B456" s="129"/>
      <c r="C456" s="31"/>
      <c r="D456" s="31"/>
      <c r="E456" s="31"/>
      <c r="F456" s="31"/>
      <c r="G456" s="130"/>
      <c r="H456" s="134" t="s">
        <v>148</v>
      </c>
      <c r="I456" s="55"/>
      <c r="J456" s="134"/>
      <c r="K456" s="55" t="s">
        <v>388</v>
      </c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13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  <c r="BH456" s="55"/>
      <c r="BI456" s="136"/>
    </row>
    <row r="457" spans="2:61" ht="20.100000000000001" customHeight="1" x14ac:dyDescent="0.45">
      <c r="B457" s="129"/>
      <c r="C457" s="31"/>
      <c r="D457" s="31"/>
      <c r="E457" s="31"/>
      <c r="F457" s="31"/>
      <c r="G457" s="130"/>
      <c r="H457" s="131"/>
      <c r="I457" s="31"/>
      <c r="J457" s="131" t="s">
        <v>325</v>
      </c>
      <c r="K457" s="31" t="s">
        <v>328</v>
      </c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1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133"/>
    </row>
    <row r="458" spans="2:61" ht="20.100000000000001" customHeight="1" x14ac:dyDescent="0.45">
      <c r="B458" s="129"/>
      <c r="C458" s="31"/>
      <c r="D458" s="31"/>
      <c r="E458" s="31"/>
      <c r="F458" s="31"/>
      <c r="G458" s="130"/>
      <c r="H458" s="131"/>
      <c r="I458" s="31"/>
      <c r="J458" s="131" t="s">
        <v>325</v>
      </c>
      <c r="K458" s="31" t="s">
        <v>389</v>
      </c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1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133"/>
    </row>
    <row r="459" spans="2:61" ht="20.100000000000001" customHeight="1" x14ac:dyDescent="0.45">
      <c r="B459" s="129"/>
      <c r="C459" s="31"/>
      <c r="D459" s="31"/>
      <c r="E459" s="31"/>
      <c r="F459" s="31"/>
      <c r="G459" s="130"/>
      <c r="H459" s="131"/>
      <c r="I459" s="31"/>
      <c r="J459" s="131" t="s">
        <v>325</v>
      </c>
      <c r="K459" s="31" t="s">
        <v>390</v>
      </c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1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133"/>
    </row>
    <row r="460" spans="2:61" ht="20.100000000000001" customHeight="1" thickBot="1" x14ac:dyDescent="0.5">
      <c r="B460" s="129"/>
      <c r="C460" s="31"/>
      <c r="D460" s="31"/>
      <c r="E460" s="31"/>
      <c r="F460" s="31"/>
      <c r="G460" s="130"/>
      <c r="H460" s="176" t="s">
        <v>391</v>
      </c>
      <c r="I460" s="177"/>
      <c r="J460" s="176" t="s">
        <v>392</v>
      </c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  <c r="AE460" s="177"/>
      <c r="AF460" s="177"/>
      <c r="AG460" s="177"/>
      <c r="AH460" s="177"/>
      <c r="AI460" s="177"/>
      <c r="AJ460" s="177"/>
      <c r="AK460" s="176"/>
      <c r="AL460" s="177"/>
      <c r="AM460" s="177"/>
      <c r="AN460" s="177"/>
      <c r="AO460" s="177"/>
      <c r="AP460" s="177"/>
      <c r="AQ460" s="177"/>
      <c r="AR460" s="177"/>
      <c r="AS460" s="177"/>
      <c r="AT460" s="177"/>
      <c r="AU460" s="177"/>
      <c r="AV460" s="177"/>
      <c r="AW460" s="177"/>
      <c r="AX460" s="177"/>
      <c r="AY460" s="177"/>
      <c r="AZ460" s="177"/>
      <c r="BA460" s="177"/>
      <c r="BB460" s="177"/>
      <c r="BC460" s="177"/>
      <c r="BD460" s="177"/>
      <c r="BE460" s="177"/>
      <c r="BF460" s="177"/>
      <c r="BG460" s="177"/>
      <c r="BH460" s="177"/>
      <c r="BI460" s="178"/>
    </row>
    <row r="461" spans="2:61" ht="20.100000000000001" customHeight="1" x14ac:dyDescent="0.45">
      <c r="B461" s="123" t="s">
        <v>393</v>
      </c>
      <c r="C461" s="124"/>
      <c r="D461" s="124"/>
      <c r="E461" s="124"/>
      <c r="F461" s="124"/>
      <c r="G461" s="125"/>
      <c r="H461" s="126" t="s">
        <v>177</v>
      </c>
      <c r="I461" s="125"/>
      <c r="J461" s="126" t="s">
        <v>394</v>
      </c>
      <c r="K461" s="124"/>
      <c r="L461" s="124"/>
      <c r="M461" s="124"/>
      <c r="N461" s="124"/>
      <c r="O461" s="124"/>
      <c r="P461" s="124"/>
      <c r="Q461" s="124"/>
      <c r="R461" s="126" t="s">
        <v>395</v>
      </c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5"/>
      <c r="AK461" s="127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124"/>
      <c r="AV461" s="124"/>
      <c r="AW461" s="124"/>
      <c r="AX461" s="124"/>
      <c r="AY461" s="124"/>
      <c r="AZ461" s="124"/>
      <c r="BA461" s="124"/>
      <c r="BB461" s="124"/>
      <c r="BC461" s="124"/>
      <c r="BD461" s="124"/>
      <c r="BE461" s="124"/>
      <c r="BF461" s="124"/>
      <c r="BG461" s="124"/>
      <c r="BH461" s="124"/>
      <c r="BI461" s="128"/>
    </row>
    <row r="462" spans="2:61" ht="20.100000000000001" customHeight="1" x14ac:dyDescent="0.45">
      <c r="B462" s="157"/>
      <c r="C462" s="31"/>
      <c r="D462" s="31"/>
      <c r="E462" s="31"/>
      <c r="F462" s="31"/>
      <c r="G462" s="130"/>
      <c r="H462" s="134" t="s">
        <v>146</v>
      </c>
      <c r="I462" s="55"/>
      <c r="J462" s="134" t="s">
        <v>316</v>
      </c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13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  <c r="BH462" s="55"/>
      <c r="BI462" s="136"/>
    </row>
    <row r="463" spans="2:61" ht="20.100000000000001" customHeight="1" x14ac:dyDescent="0.45">
      <c r="B463" s="129"/>
      <c r="C463" s="31"/>
      <c r="D463" s="31"/>
      <c r="E463" s="31"/>
      <c r="F463" s="31"/>
      <c r="G463" s="130"/>
      <c r="H463" s="134" t="s">
        <v>148</v>
      </c>
      <c r="I463" s="55"/>
      <c r="J463" s="134"/>
      <c r="K463" s="55" t="s">
        <v>388</v>
      </c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13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  <c r="BH463" s="55"/>
      <c r="BI463" s="136"/>
    </row>
    <row r="464" spans="2:61" ht="20.100000000000001" customHeight="1" x14ac:dyDescent="0.45">
      <c r="B464" s="129"/>
      <c r="C464" s="31"/>
      <c r="D464" s="31"/>
      <c r="E464" s="31"/>
      <c r="F464" s="31"/>
      <c r="G464" s="130"/>
      <c r="H464" s="131"/>
      <c r="I464" s="31"/>
      <c r="J464" s="131" t="s">
        <v>325</v>
      </c>
      <c r="K464" s="31" t="s">
        <v>328</v>
      </c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1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133"/>
    </row>
    <row r="465" spans="2:61" ht="20.100000000000001" customHeight="1" x14ac:dyDescent="0.45">
      <c r="B465" s="129"/>
      <c r="C465" s="31"/>
      <c r="D465" s="31"/>
      <c r="E465" s="31"/>
      <c r="F465" s="31"/>
      <c r="G465" s="130"/>
      <c r="H465" s="131"/>
      <c r="I465" s="31"/>
      <c r="J465" s="131" t="s">
        <v>325</v>
      </c>
      <c r="K465" s="31" t="s">
        <v>390</v>
      </c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1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133"/>
    </row>
    <row r="466" spans="2:61" ht="20.100000000000001" customHeight="1" thickBot="1" x14ac:dyDescent="0.5">
      <c r="B466" s="129"/>
      <c r="C466" s="31"/>
      <c r="D466" s="31"/>
      <c r="E466" s="31"/>
      <c r="F466" s="31"/>
      <c r="G466" s="130"/>
      <c r="H466" s="176" t="s">
        <v>391</v>
      </c>
      <c r="I466" s="177"/>
      <c r="J466" s="176" t="s">
        <v>392</v>
      </c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  <c r="AE466" s="177"/>
      <c r="AF466" s="177"/>
      <c r="AG466" s="177"/>
      <c r="AH466" s="177"/>
      <c r="AI466" s="177"/>
      <c r="AJ466" s="177"/>
      <c r="AK466" s="176"/>
      <c r="AL466" s="177"/>
      <c r="AM466" s="177"/>
      <c r="AN466" s="177"/>
      <c r="AO466" s="177"/>
      <c r="AP466" s="177"/>
      <c r="AQ466" s="177"/>
      <c r="AR466" s="177"/>
      <c r="AS466" s="177"/>
      <c r="AT466" s="177"/>
      <c r="AU466" s="177"/>
      <c r="AV466" s="177"/>
      <c r="AW466" s="177"/>
      <c r="AX466" s="177"/>
      <c r="AY466" s="177"/>
      <c r="AZ466" s="177"/>
      <c r="BA466" s="177"/>
      <c r="BB466" s="177"/>
      <c r="BC466" s="177"/>
      <c r="BD466" s="177"/>
      <c r="BE466" s="177"/>
      <c r="BF466" s="177"/>
      <c r="BG466" s="177"/>
      <c r="BH466" s="177"/>
      <c r="BI466" s="178"/>
    </row>
    <row r="467" spans="2:61" ht="20.100000000000001" customHeight="1" x14ac:dyDescent="0.45">
      <c r="B467" s="123" t="s">
        <v>396</v>
      </c>
      <c r="C467" s="124"/>
      <c r="D467" s="124"/>
      <c r="E467" s="124"/>
      <c r="F467" s="124"/>
      <c r="G467" s="125"/>
      <c r="H467" s="154" t="s">
        <v>177</v>
      </c>
      <c r="I467" s="156"/>
      <c r="J467" s="154" t="s">
        <v>397</v>
      </c>
      <c r="K467" s="155"/>
      <c r="L467" s="155"/>
      <c r="M467" s="155"/>
      <c r="N467" s="155"/>
      <c r="O467" s="155"/>
      <c r="P467" s="155"/>
      <c r="Q467" s="155"/>
      <c r="R467" s="154" t="s">
        <v>398</v>
      </c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6"/>
      <c r="AK467" s="174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5"/>
      <c r="AV467" s="155"/>
      <c r="AW467" s="155"/>
      <c r="AX467" s="155"/>
      <c r="AY467" s="155"/>
      <c r="AZ467" s="155"/>
      <c r="BA467" s="155"/>
      <c r="BB467" s="155"/>
      <c r="BC467" s="155"/>
      <c r="BD467" s="155"/>
      <c r="BE467" s="155"/>
      <c r="BF467" s="155"/>
      <c r="BG467" s="155"/>
      <c r="BH467" s="155"/>
      <c r="BI467" s="175"/>
    </row>
    <row r="468" spans="2:61" ht="20.100000000000001" customHeight="1" x14ac:dyDescent="0.45">
      <c r="B468" s="157"/>
      <c r="C468" s="31"/>
      <c r="D468" s="31"/>
      <c r="E468" s="31"/>
      <c r="F468" s="31"/>
      <c r="G468" s="130"/>
      <c r="H468" s="131" t="s">
        <v>146</v>
      </c>
      <c r="I468" s="31"/>
      <c r="J468" s="131" t="s">
        <v>316</v>
      </c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132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133"/>
    </row>
    <row r="469" spans="2:61" ht="20.100000000000001" customHeight="1" x14ac:dyDescent="0.45">
      <c r="B469" s="129"/>
      <c r="C469" s="31"/>
      <c r="D469" s="31"/>
      <c r="E469" s="31"/>
      <c r="F469" s="31"/>
      <c r="G469" s="130"/>
      <c r="H469" s="134" t="s">
        <v>148</v>
      </c>
      <c r="I469" s="55"/>
      <c r="J469" s="134"/>
      <c r="K469" s="55" t="s">
        <v>399</v>
      </c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13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  <c r="BI469" s="136"/>
    </row>
    <row r="470" spans="2:61" ht="20.100000000000001" customHeight="1" x14ac:dyDescent="0.45">
      <c r="B470" s="129"/>
      <c r="C470" s="31"/>
      <c r="D470" s="31"/>
      <c r="E470" s="31"/>
      <c r="F470" s="31"/>
      <c r="G470" s="130"/>
      <c r="H470" s="131"/>
      <c r="I470" s="31"/>
      <c r="J470" s="131" t="s">
        <v>325</v>
      </c>
      <c r="K470" s="31" t="s">
        <v>328</v>
      </c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1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133"/>
    </row>
    <row r="471" spans="2:61" ht="20.100000000000001" customHeight="1" x14ac:dyDescent="0.45">
      <c r="B471" s="129"/>
      <c r="C471" s="31"/>
      <c r="D471" s="31"/>
      <c r="E471" s="31"/>
      <c r="F471" s="31"/>
      <c r="G471" s="130"/>
      <c r="H471" s="131"/>
      <c r="I471" s="31"/>
      <c r="J471" s="131" t="s">
        <v>325</v>
      </c>
      <c r="K471" s="31" t="s">
        <v>390</v>
      </c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1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133"/>
    </row>
    <row r="472" spans="2:61" ht="20.100000000000001" customHeight="1" thickBot="1" x14ac:dyDescent="0.5">
      <c r="B472" s="129"/>
      <c r="C472" s="31"/>
      <c r="D472" s="31"/>
      <c r="E472" s="31"/>
      <c r="F472" s="31"/>
      <c r="G472" s="130"/>
      <c r="H472" s="176" t="s">
        <v>391</v>
      </c>
      <c r="I472" s="177"/>
      <c r="J472" s="176" t="s">
        <v>392</v>
      </c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  <c r="AC472" s="177"/>
      <c r="AD472" s="177"/>
      <c r="AE472" s="177"/>
      <c r="AF472" s="177"/>
      <c r="AG472" s="177"/>
      <c r="AH472" s="177"/>
      <c r="AI472" s="177"/>
      <c r="AJ472" s="177"/>
      <c r="AK472" s="176"/>
      <c r="AL472" s="177"/>
      <c r="AM472" s="177"/>
      <c r="AN472" s="177"/>
      <c r="AO472" s="177"/>
      <c r="AP472" s="177"/>
      <c r="AQ472" s="177"/>
      <c r="AR472" s="177"/>
      <c r="AS472" s="177"/>
      <c r="AT472" s="177"/>
      <c r="AU472" s="177"/>
      <c r="AV472" s="177"/>
      <c r="AW472" s="177"/>
      <c r="AX472" s="177"/>
      <c r="AY472" s="177"/>
      <c r="AZ472" s="177"/>
      <c r="BA472" s="177"/>
      <c r="BB472" s="177"/>
      <c r="BC472" s="177"/>
      <c r="BD472" s="177"/>
      <c r="BE472" s="177"/>
      <c r="BF472" s="177"/>
      <c r="BG472" s="177"/>
      <c r="BH472" s="177"/>
      <c r="BI472" s="178"/>
    </row>
    <row r="473" spans="2:61" ht="20.100000000000001" customHeight="1" x14ac:dyDescent="0.45">
      <c r="B473" s="123" t="s">
        <v>400</v>
      </c>
      <c r="C473" s="124"/>
      <c r="D473" s="124"/>
      <c r="E473" s="124"/>
      <c r="F473" s="124"/>
      <c r="G473" s="125"/>
      <c r="H473" s="126" t="s">
        <v>177</v>
      </c>
      <c r="I473" s="125"/>
      <c r="J473" s="126" t="s">
        <v>394</v>
      </c>
      <c r="K473" s="124"/>
      <c r="L473" s="124"/>
      <c r="M473" s="124"/>
      <c r="N473" s="124"/>
      <c r="O473" s="124"/>
      <c r="P473" s="124"/>
      <c r="Q473" s="124"/>
      <c r="R473" s="126" t="s">
        <v>395</v>
      </c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5"/>
      <c r="AK473" s="127"/>
      <c r="AL473" s="124"/>
      <c r="AM473" s="124"/>
      <c r="AN473" s="124"/>
      <c r="AO473" s="124"/>
      <c r="AP473" s="124"/>
      <c r="AQ473" s="124"/>
      <c r="AR473" s="124"/>
      <c r="AS473" s="124"/>
      <c r="AT473" s="124"/>
      <c r="AU473" s="124"/>
      <c r="AV473" s="124"/>
      <c r="AW473" s="124"/>
      <c r="AX473" s="124"/>
      <c r="AY473" s="124"/>
      <c r="AZ473" s="124"/>
      <c r="BA473" s="124"/>
      <c r="BB473" s="124"/>
      <c r="BC473" s="124"/>
      <c r="BD473" s="124"/>
      <c r="BE473" s="124"/>
      <c r="BF473" s="124"/>
      <c r="BG473" s="124"/>
      <c r="BH473" s="124"/>
      <c r="BI473" s="128"/>
    </row>
    <row r="474" spans="2:61" ht="20.100000000000001" customHeight="1" x14ac:dyDescent="0.45">
      <c r="B474" s="157"/>
      <c r="C474" s="31"/>
      <c r="D474" s="31"/>
      <c r="E474" s="31"/>
      <c r="F474" s="31"/>
      <c r="G474" s="130"/>
      <c r="H474" s="134" t="s">
        <v>146</v>
      </c>
      <c r="I474" s="55"/>
      <c r="J474" s="134" t="s">
        <v>316</v>
      </c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13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  <c r="BI474" s="136"/>
    </row>
    <row r="475" spans="2:61" ht="20.100000000000001" customHeight="1" x14ac:dyDescent="0.45">
      <c r="B475" s="129"/>
      <c r="C475" s="31"/>
      <c r="D475" s="31"/>
      <c r="E475" s="31"/>
      <c r="F475" s="31"/>
      <c r="G475" s="130"/>
      <c r="H475" s="134" t="s">
        <v>148</v>
      </c>
      <c r="I475" s="55"/>
      <c r="J475" s="134"/>
      <c r="K475" s="55" t="s">
        <v>388</v>
      </c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13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55"/>
      <c r="BI475" s="136"/>
    </row>
    <row r="476" spans="2:61" ht="20.100000000000001" customHeight="1" x14ac:dyDescent="0.45">
      <c r="B476" s="129"/>
      <c r="C476" s="31"/>
      <c r="D476" s="31"/>
      <c r="E476" s="31"/>
      <c r="F476" s="31"/>
      <c r="G476" s="130"/>
      <c r="H476" s="131"/>
      <c r="I476" s="31"/>
      <c r="J476" s="131" t="s">
        <v>325</v>
      </c>
      <c r="K476" s="31" t="s">
        <v>328</v>
      </c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1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133"/>
    </row>
    <row r="477" spans="2:61" ht="20.100000000000001" customHeight="1" x14ac:dyDescent="0.45">
      <c r="B477" s="129"/>
      <c r="C477" s="31"/>
      <c r="D477" s="31"/>
      <c r="E477" s="31"/>
      <c r="F477" s="31"/>
      <c r="G477" s="130"/>
      <c r="H477" s="131"/>
      <c r="I477" s="31"/>
      <c r="J477" s="131" t="s">
        <v>325</v>
      </c>
      <c r="K477" s="31" t="s">
        <v>401</v>
      </c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1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133"/>
    </row>
    <row r="478" spans="2:61" ht="20.100000000000001" customHeight="1" thickBot="1" x14ac:dyDescent="0.5">
      <c r="B478" s="148"/>
      <c r="C478" s="31"/>
      <c r="D478" s="31"/>
      <c r="E478" s="31"/>
      <c r="F478" s="31"/>
      <c r="G478" s="130"/>
      <c r="H478" s="176" t="s">
        <v>391</v>
      </c>
      <c r="I478" s="177"/>
      <c r="J478" s="176" t="s">
        <v>402</v>
      </c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7"/>
      <c r="AF478" s="177"/>
      <c r="AG478" s="177"/>
      <c r="AH478" s="177"/>
      <c r="AI478" s="177"/>
      <c r="AJ478" s="177"/>
      <c r="AK478" s="176"/>
      <c r="AL478" s="177"/>
      <c r="AM478" s="177"/>
      <c r="AN478" s="177"/>
      <c r="AO478" s="177"/>
      <c r="AP478" s="177"/>
      <c r="AQ478" s="177"/>
      <c r="AR478" s="177"/>
      <c r="AS478" s="177"/>
      <c r="AT478" s="177"/>
      <c r="AU478" s="177"/>
      <c r="AV478" s="177"/>
      <c r="AW478" s="177"/>
      <c r="AX478" s="177"/>
      <c r="AY478" s="177"/>
      <c r="AZ478" s="177"/>
      <c r="BA478" s="177"/>
      <c r="BB478" s="177"/>
      <c r="BC478" s="177"/>
      <c r="BD478" s="177"/>
      <c r="BE478" s="177"/>
      <c r="BF478" s="177"/>
      <c r="BG478" s="177"/>
      <c r="BH478" s="177"/>
      <c r="BI478" s="178"/>
    </row>
    <row r="479" spans="2:61" ht="20.100000000000001" customHeight="1" x14ac:dyDescent="0.45">
      <c r="B479" s="157" t="s">
        <v>403</v>
      </c>
      <c r="C479" s="124"/>
      <c r="D479" s="124"/>
      <c r="E479" s="124"/>
      <c r="F479" s="124"/>
      <c r="G479" s="125"/>
      <c r="H479" s="154" t="s">
        <v>177</v>
      </c>
      <c r="I479" s="156"/>
      <c r="J479" s="154" t="s">
        <v>397</v>
      </c>
      <c r="K479" s="155"/>
      <c r="L479" s="155"/>
      <c r="M479" s="155"/>
      <c r="N479" s="155"/>
      <c r="O479" s="155"/>
      <c r="P479" s="155"/>
      <c r="Q479" s="155"/>
      <c r="R479" s="154" t="s">
        <v>398</v>
      </c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6"/>
      <c r="AK479" s="174"/>
      <c r="AL479" s="155"/>
      <c r="AM479" s="155"/>
      <c r="AN479" s="155"/>
      <c r="AO479" s="155"/>
      <c r="AP479" s="155"/>
      <c r="AQ479" s="155"/>
      <c r="AR479" s="155"/>
      <c r="AS479" s="155"/>
      <c r="AT479" s="155"/>
      <c r="AU479" s="155"/>
      <c r="AV479" s="155"/>
      <c r="AW479" s="155"/>
      <c r="AX479" s="155"/>
      <c r="AY479" s="155"/>
      <c r="AZ479" s="155"/>
      <c r="BA479" s="155"/>
      <c r="BB479" s="155"/>
      <c r="BC479" s="155"/>
      <c r="BD479" s="155"/>
      <c r="BE479" s="155"/>
      <c r="BF479" s="155"/>
      <c r="BG479" s="155"/>
      <c r="BH479" s="155"/>
      <c r="BI479" s="175"/>
    </row>
    <row r="480" spans="2:61" ht="20.100000000000001" customHeight="1" x14ac:dyDescent="0.45">
      <c r="B480" s="157"/>
      <c r="C480" s="31"/>
      <c r="D480" s="31"/>
      <c r="E480" s="31"/>
      <c r="F480" s="31"/>
      <c r="G480" s="130"/>
      <c r="H480" s="131" t="s">
        <v>146</v>
      </c>
      <c r="I480" s="31"/>
      <c r="J480" s="131" t="s">
        <v>316</v>
      </c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132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133"/>
    </row>
    <row r="481" spans="2:61" ht="20.100000000000001" customHeight="1" x14ac:dyDescent="0.45">
      <c r="B481" s="129"/>
      <c r="C481" s="31"/>
      <c r="D481" s="31"/>
      <c r="E481" s="31"/>
      <c r="F481" s="31"/>
      <c r="G481" s="130"/>
      <c r="H481" s="134" t="s">
        <v>148</v>
      </c>
      <c r="I481" s="55"/>
      <c r="J481" s="134"/>
      <c r="K481" s="55" t="s">
        <v>388</v>
      </c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13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  <c r="BI481" s="136"/>
    </row>
    <row r="482" spans="2:61" ht="20.100000000000001" customHeight="1" x14ac:dyDescent="0.45">
      <c r="B482" s="129"/>
      <c r="C482" s="31"/>
      <c r="D482" s="31"/>
      <c r="E482" s="31"/>
      <c r="F482" s="31"/>
      <c r="G482" s="130"/>
      <c r="H482" s="131"/>
      <c r="I482" s="31"/>
      <c r="J482" s="131" t="s">
        <v>325</v>
      </c>
      <c r="K482" s="31" t="s">
        <v>328</v>
      </c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1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133"/>
    </row>
    <row r="483" spans="2:61" ht="20.100000000000001" customHeight="1" x14ac:dyDescent="0.45">
      <c r="B483" s="129"/>
      <c r="C483" s="31"/>
      <c r="D483" s="31"/>
      <c r="E483" s="31"/>
      <c r="F483" s="31"/>
      <c r="G483" s="130"/>
      <c r="H483" s="131"/>
      <c r="I483" s="31"/>
      <c r="J483" s="131" t="s">
        <v>325</v>
      </c>
      <c r="K483" s="31" t="s">
        <v>401</v>
      </c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1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133"/>
    </row>
    <row r="484" spans="2:61" ht="20.100000000000001" customHeight="1" thickBot="1" x14ac:dyDescent="0.5">
      <c r="B484" s="129"/>
      <c r="C484" s="31"/>
      <c r="D484" s="31"/>
      <c r="E484" s="31"/>
      <c r="F484" s="31"/>
      <c r="G484" s="130"/>
      <c r="H484" s="176" t="s">
        <v>391</v>
      </c>
      <c r="I484" s="177"/>
      <c r="J484" s="176" t="s">
        <v>402</v>
      </c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  <c r="AC484" s="177"/>
      <c r="AD484" s="177"/>
      <c r="AE484" s="177"/>
      <c r="AF484" s="177"/>
      <c r="AG484" s="177"/>
      <c r="AH484" s="177"/>
      <c r="AI484" s="177"/>
      <c r="AJ484" s="177"/>
      <c r="AK484" s="176"/>
      <c r="AL484" s="177"/>
      <c r="AM484" s="177"/>
      <c r="AN484" s="177"/>
      <c r="AO484" s="177"/>
      <c r="AP484" s="177"/>
      <c r="AQ484" s="177"/>
      <c r="AR484" s="177"/>
      <c r="AS484" s="177"/>
      <c r="AT484" s="177"/>
      <c r="AU484" s="177"/>
      <c r="AV484" s="177"/>
      <c r="AW484" s="177"/>
      <c r="AX484" s="177"/>
      <c r="AY484" s="177"/>
      <c r="AZ484" s="177"/>
      <c r="BA484" s="177"/>
      <c r="BB484" s="177"/>
      <c r="BC484" s="177"/>
      <c r="BD484" s="177"/>
      <c r="BE484" s="177"/>
      <c r="BF484" s="177"/>
      <c r="BG484" s="177"/>
      <c r="BH484" s="177"/>
      <c r="BI484" s="178"/>
    </row>
    <row r="485" spans="2:61" ht="20.100000000000001" customHeight="1" x14ac:dyDescent="0.45">
      <c r="B485" s="123" t="s">
        <v>404</v>
      </c>
      <c r="C485" s="124"/>
      <c r="D485" s="124"/>
      <c r="E485" s="124"/>
      <c r="F485" s="124"/>
      <c r="G485" s="125"/>
      <c r="H485" s="126" t="s">
        <v>188</v>
      </c>
      <c r="I485" s="124"/>
      <c r="J485" s="126" t="s">
        <v>405</v>
      </c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7"/>
      <c r="AL485" s="124"/>
      <c r="AM485" s="124"/>
      <c r="AN485" s="124"/>
      <c r="AO485" s="124"/>
      <c r="AP485" s="124"/>
      <c r="AQ485" s="124"/>
      <c r="AR485" s="124"/>
      <c r="AS485" s="124"/>
      <c r="AT485" s="124"/>
      <c r="AU485" s="124"/>
      <c r="AV485" s="124"/>
      <c r="AW485" s="124"/>
      <c r="AX485" s="124"/>
      <c r="AY485" s="124"/>
      <c r="AZ485" s="124"/>
      <c r="BA485" s="124"/>
      <c r="BB485" s="124"/>
      <c r="BC485" s="124"/>
      <c r="BD485" s="124"/>
      <c r="BE485" s="124"/>
      <c r="BF485" s="124"/>
      <c r="BG485" s="124"/>
      <c r="BH485" s="124"/>
      <c r="BI485" s="128"/>
    </row>
    <row r="486" spans="2:61" ht="20.100000000000001" customHeight="1" thickBot="1" x14ac:dyDescent="0.5">
      <c r="B486" s="129"/>
      <c r="C486" s="31"/>
      <c r="D486" s="31"/>
      <c r="E486" s="31"/>
      <c r="F486" s="31"/>
      <c r="G486" s="130"/>
      <c r="H486" s="134" t="s">
        <v>146</v>
      </c>
      <c r="I486" s="55"/>
      <c r="J486" s="134" t="s">
        <v>406</v>
      </c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13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55"/>
      <c r="BI486" s="136"/>
    </row>
    <row r="487" spans="2:61" ht="20.100000000000001" customHeight="1" x14ac:dyDescent="0.45">
      <c r="B487" s="123" t="s">
        <v>407</v>
      </c>
      <c r="C487" s="124"/>
      <c r="D487" s="124"/>
      <c r="E487" s="124"/>
      <c r="F487" s="124"/>
      <c r="G487" s="125"/>
      <c r="H487" s="126" t="s">
        <v>177</v>
      </c>
      <c r="I487" s="125"/>
      <c r="J487" s="154" t="s">
        <v>192</v>
      </c>
      <c r="K487" s="155"/>
      <c r="L487" s="155"/>
      <c r="M487" s="155"/>
      <c r="N487" s="155"/>
      <c r="O487" s="155"/>
      <c r="P487" s="155"/>
      <c r="Q487" s="155"/>
      <c r="R487" s="154" t="s">
        <v>408</v>
      </c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6"/>
      <c r="AK487" s="127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124"/>
      <c r="AW487" s="124"/>
      <c r="AX487" s="124"/>
      <c r="AY487" s="124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8"/>
    </row>
    <row r="488" spans="2:61" ht="20.100000000000001" customHeight="1" x14ac:dyDescent="0.45">
      <c r="B488" s="157"/>
      <c r="C488" s="31"/>
      <c r="D488" s="31"/>
      <c r="E488" s="31"/>
      <c r="F488" s="31"/>
      <c r="G488" s="130"/>
      <c r="H488" s="131"/>
      <c r="I488" s="130"/>
      <c r="J488" s="158" t="s">
        <v>194</v>
      </c>
      <c r="K488" s="52"/>
      <c r="L488" s="52"/>
      <c r="M488" s="52"/>
      <c r="N488" s="52"/>
      <c r="O488" s="52"/>
      <c r="P488" s="52"/>
      <c r="Q488" s="52"/>
      <c r="R488" s="158" t="s">
        <v>409</v>
      </c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159"/>
      <c r="AK488" s="132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133"/>
    </row>
    <row r="489" spans="2:61" ht="20.100000000000001" customHeight="1" x14ac:dyDescent="0.45">
      <c r="B489" s="157"/>
      <c r="C489" s="31"/>
      <c r="D489" s="31"/>
      <c r="E489" s="31"/>
      <c r="F489" s="31"/>
      <c r="G489" s="130"/>
      <c r="H489" s="131"/>
      <c r="I489" s="130"/>
      <c r="J489" s="158" t="s">
        <v>196</v>
      </c>
      <c r="K489" s="52"/>
      <c r="L489" s="52"/>
      <c r="M489" s="52"/>
      <c r="N489" s="52"/>
      <c r="O489" s="52"/>
      <c r="P489" s="52"/>
      <c r="Q489" s="52"/>
      <c r="R489" s="158" t="s">
        <v>410</v>
      </c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159"/>
      <c r="AK489" s="132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133"/>
    </row>
    <row r="490" spans="2:61" ht="20.100000000000001" customHeight="1" x14ac:dyDescent="0.45">
      <c r="B490" s="157"/>
      <c r="C490" s="31"/>
      <c r="D490" s="31"/>
      <c r="E490" s="31"/>
      <c r="F490" s="31"/>
      <c r="G490" s="130"/>
      <c r="H490" s="131"/>
      <c r="I490" s="130"/>
      <c r="J490" s="158" t="s">
        <v>198</v>
      </c>
      <c r="K490" s="52"/>
      <c r="L490" s="52"/>
      <c r="M490" s="52"/>
      <c r="N490" s="52"/>
      <c r="O490" s="52"/>
      <c r="P490" s="52"/>
      <c r="Q490" s="52"/>
      <c r="R490" s="158" t="s">
        <v>411</v>
      </c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159"/>
      <c r="AK490" s="132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133"/>
    </row>
    <row r="491" spans="2:61" ht="20.100000000000001" customHeight="1" x14ac:dyDescent="0.45">
      <c r="B491" s="157"/>
      <c r="C491" s="31"/>
      <c r="D491" s="31"/>
      <c r="E491" s="31"/>
      <c r="F491" s="31"/>
      <c r="G491" s="130"/>
      <c r="H491" s="131"/>
      <c r="I491" s="130"/>
      <c r="J491" s="158" t="s">
        <v>200</v>
      </c>
      <c r="K491" s="52"/>
      <c r="L491" s="52"/>
      <c r="M491" s="52"/>
      <c r="N491" s="52"/>
      <c r="O491" s="52"/>
      <c r="P491" s="52"/>
      <c r="Q491" s="52"/>
      <c r="R491" s="158" t="s">
        <v>412</v>
      </c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159"/>
      <c r="AK491" s="132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133"/>
    </row>
    <row r="492" spans="2:61" ht="20.100000000000001" customHeight="1" x14ac:dyDescent="0.45">
      <c r="B492" s="157"/>
      <c r="C492" s="31"/>
      <c r="D492" s="31"/>
      <c r="E492" s="31"/>
      <c r="F492" s="31"/>
      <c r="G492" s="130"/>
      <c r="H492" s="131"/>
      <c r="I492" s="130"/>
      <c r="J492" s="158" t="s">
        <v>202</v>
      </c>
      <c r="K492" s="52"/>
      <c r="L492" s="52"/>
      <c r="M492" s="52"/>
      <c r="N492" s="52"/>
      <c r="O492" s="52"/>
      <c r="P492" s="52"/>
      <c r="Q492" s="52"/>
      <c r="R492" s="158" t="s">
        <v>413</v>
      </c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159"/>
      <c r="AK492" s="132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133"/>
    </row>
    <row r="493" spans="2:61" ht="20.100000000000001" customHeight="1" x14ac:dyDescent="0.45">
      <c r="B493" s="157"/>
      <c r="C493" s="31"/>
      <c r="D493" s="31"/>
      <c r="E493" s="31"/>
      <c r="F493" s="31"/>
      <c r="G493" s="130"/>
      <c r="H493" s="131"/>
      <c r="I493" s="130"/>
      <c r="J493" s="158" t="s">
        <v>204</v>
      </c>
      <c r="K493" s="52"/>
      <c r="L493" s="52"/>
      <c r="M493" s="52"/>
      <c r="N493" s="52"/>
      <c r="O493" s="52"/>
      <c r="P493" s="52"/>
      <c r="Q493" s="52"/>
      <c r="R493" s="158" t="s">
        <v>414</v>
      </c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159"/>
      <c r="AK493" s="132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133"/>
    </row>
    <row r="494" spans="2:61" ht="20.100000000000001" customHeight="1" x14ac:dyDescent="0.45">
      <c r="B494" s="157"/>
      <c r="C494" s="31"/>
      <c r="D494" s="31"/>
      <c r="E494" s="31"/>
      <c r="F494" s="31"/>
      <c r="G494" s="130"/>
      <c r="H494" s="131"/>
      <c r="I494" s="130"/>
      <c r="J494" s="158" t="s">
        <v>206</v>
      </c>
      <c r="K494" s="52"/>
      <c r="L494" s="52"/>
      <c r="M494" s="52"/>
      <c r="N494" s="52"/>
      <c r="O494" s="52"/>
      <c r="P494" s="52"/>
      <c r="Q494" s="52"/>
      <c r="R494" s="158" t="s">
        <v>415</v>
      </c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159"/>
      <c r="AK494" s="132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133"/>
    </row>
    <row r="495" spans="2:61" ht="20.100000000000001" customHeight="1" x14ac:dyDescent="0.45">
      <c r="B495" s="157"/>
      <c r="C495" s="31"/>
      <c r="D495" s="31"/>
      <c r="E495" s="31"/>
      <c r="F495" s="31"/>
      <c r="G495" s="130"/>
      <c r="H495" s="131"/>
      <c r="I495" s="130"/>
      <c r="J495" s="158" t="s">
        <v>208</v>
      </c>
      <c r="K495" s="52"/>
      <c r="L495" s="52"/>
      <c r="M495" s="52"/>
      <c r="N495" s="52"/>
      <c r="O495" s="52"/>
      <c r="P495" s="52"/>
      <c r="Q495" s="52"/>
      <c r="R495" s="158" t="s">
        <v>416</v>
      </c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159"/>
      <c r="AK495" s="132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133"/>
    </row>
    <row r="496" spans="2:61" ht="20.100000000000001" customHeight="1" x14ac:dyDescent="0.45">
      <c r="B496" s="157"/>
      <c r="C496" s="31"/>
      <c r="D496" s="31"/>
      <c r="E496" s="31"/>
      <c r="F496" s="31"/>
      <c r="G496" s="130"/>
      <c r="H496" s="131"/>
      <c r="I496" s="130"/>
      <c r="J496" s="158" t="s">
        <v>210</v>
      </c>
      <c r="K496" s="52"/>
      <c r="L496" s="52"/>
      <c r="M496" s="52"/>
      <c r="N496" s="52"/>
      <c r="O496" s="52"/>
      <c r="P496" s="52"/>
      <c r="Q496" s="52"/>
      <c r="R496" s="158" t="s">
        <v>417</v>
      </c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159"/>
      <c r="AK496" s="132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133"/>
    </row>
    <row r="497" spans="2:61" ht="20.100000000000001" customHeight="1" x14ac:dyDescent="0.45">
      <c r="B497" s="157"/>
      <c r="C497" s="31"/>
      <c r="D497" s="31"/>
      <c r="E497" s="31"/>
      <c r="F497" s="31"/>
      <c r="G497" s="130"/>
      <c r="H497" s="131"/>
      <c r="I497" s="130"/>
      <c r="J497" s="158" t="s">
        <v>212</v>
      </c>
      <c r="K497" s="52"/>
      <c r="L497" s="52"/>
      <c r="M497" s="52"/>
      <c r="N497" s="52"/>
      <c r="O497" s="52"/>
      <c r="P497" s="52"/>
      <c r="Q497" s="52"/>
      <c r="R497" s="158" t="s">
        <v>418</v>
      </c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159"/>
      <c r="AK497" s="132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133"/>
    </row>
    <row r="498" spans="2:61" ht="20.100000000000001" customHeight="1" x14ac:dyDescent="0.45">
      <c r="B498" s="157"/>
      <c r="C498" s="31"/>
      <c r="D498" s="31"/>
      <c r="E498" s="31"/>
      <c r="F498" s="31"/>
      <c r="G498" s="130"/>
      <c r="H498" s="131"/>
      <c r="I498" s="130"/>
      <c r="J498" s="158" t="s">
        <v>214</v>
      </c>
      <c r="K498" s="52"/>
      <c r="L498" s="52"/>
      <c r="M498" s="52"/>
      <c r="N498" s="52"/>
      <c r="O498" s="52"/>
      <c r="P498" s="52"/>
      <c r="Q498" s="52"/>
      <c r="R498" s="158" t="s">
        <v>419</v>
      </c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159"/>
      <c r="AK498" s="132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133"/>
    </row>
    <row r="499" spans="2:61" ht="20.100000000000001" customHeight="1" x14ac:dyDescent="0.45">
      <c r="B499" s="157"/>
      <c r="C499" s="31"/>
      <c r="D499" s="31"/>
      <c r="E499" s="31"/>
      <c r="F499" s="31"/>
      <c r="G499" s="130"/>
      <c r="H499" s="131"/>
      <c r="I499" s="130"/>
      <c r="J499" s="158" t="s">
        <v>216</v>
      </c>
      <c r="K499" s="52"/>
      <c r="L499" s="52"/>
      <c r="M499" s="52"/>
      <c r="N499" s="52"/>
      <c r="O499" s="52"/>
      <c r="P499" s="52"/>
      <c r="Q499" s="52"/>
      <c r="R499" s="158" t="s">
        <v>420</v>
      </c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159"/>
      <c r="AK499" s="132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133"/>
    </row>
    <row r="500" spans="2:61" ht="20.100000000000001" customHeight="1" x14ac:dyDescent="0.45">
      <c r="B500" s="157"/>
      <c r="C500" s="31"/>
      <c r="D500" s="31"/>
      <c r="E500" s="31"/>
      <c r="F500" s="31"/>
      <c r="G500" s="130"/>
      <c r="H500" s="131"/>
      <c r="I500" s="130"/>
      <c r="J500" s="158" t="s">
        <v>218</v>
      </c>
      <c r="K500" s="52"/>
      <c r="L500" s="52"/>
      <c r="M500" s="52"/>
      <c r="N500" s="52"/>
      <c r="O500" s="52"/>
      <c r="P500" s="52"/>
      <c r="Q500" s="52"/>
      <c r="R500" s="158" t="s">
        <v>421</v>
      </c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159"/>
      <c r="AK500" s="132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133"/>
    </row>
    <row r="501" spans="2:61" ht="20.100000000000001" customHeight="1" x14ac:dyDescent="0.45">
      <c r="B501" s="157"/>
      <c r="C501" s="31"/>
      <c r="D501" s="31"/>
      <c r="E501" s="31"/>
      <c r="F501" s="31"/>
      <c r="G501" s="130"/>
      <c r="H501" s="131"/>
      <c r="I501" s="130"/>
      <c r="J501" s="158" t="s">
        <v>220</v>
      </c>
      <c r="K501" s="52"/>
      <c r="L501" s="52"/>
      <c r="M501" s="52"/>
      <c r="N501" s="52"/>
      <c r="O501" s="52"/>
      <c r="P501" s="52"/>
      <c r="Q501" s="52"/>
      <c r="R501" s="158" t="s">
        <v>422</v>
      </c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159"/>
      <c r="AK501" s="132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133"/>
    </row>
    <row r="502" spans="2:61" ht="20.100000000000001" customHeight="1" x14ac:dyDescent="0.45">
      <c r="B502" s="157"/>
      <c r="C502" s="31"/>
      <c r="D502" s="31"/>
      <c r="E502" s="31"/>
      <c r="F502" s="31"/>
      <c r="G502" s="130"/>
      <c r="H502" s="131"/>
      <c r="I502" s="130"/>
      <c r="J502" s="158" t="s">
        <v>222</v>
      </c>
      <c r="K502" s="52"/>
      <c r="L502" s="52"/>
      <c r="M502" s="52"/>
      <c r="N502" s="52"/>
      <c r="O502" s="52"/>
      <c r="P502" s="52"/>
      <c r="Q502" s="52"/>
      <c r="R502" s="158" t="s">
        <v>423</v>
      </c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159"/>
      <c r="AK502" s="132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133"/>
    </row>
    <row r="503" spans="2:61" ht="20.100000000000001" customHeight="1" x14ac:dyDescent="0.45">
      <c r="B503" s="157"/>
      <c r="C503" s="31"/>
      <c r="D503" s="31"/>
      <c r="E503" s="31"/>
      <c r="F503" s="31"/>
      <c r="G503" s="130"/>
      <c r="H503" s="131"/>
      <c r="I503" s="130"/>
      <c r="J503" s="158" t="s">
        <v>224</v>
      </c>
      <c r="K503" s="52"/>
      <c r="L503" s="52"/>
      <c r="M503" s="52"/>
      <c r="N503" s="52"/>
      <c r="O503" s="52"/>
      <c r="P503" s="52"/>
      <c r="Q503" s="52"/>
      <c r="R503" s="158" t="s">
        <v>424</v>
      </c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159"/>
      <c r="AK503" s="132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133"/>
    </row>
    <row r="504" spans="2:61" ht="20.100000000000001" customHeight="1" x14ac:dyDescent="0.45">
      <c r="B504" s="157"/>
      <c r="C504" s="31"/>
      <c r="D504" s="31"/>
      <c r="E504" s="31"/>
      <c r="F504" s="31"/>
      <c r="G504" s="130"/>
      <c r="H504" s="131"/>
      <c r="I504" s="130"/>
      <c r="J504" s="158" t="s">
        <v>226</v>
      </c>
      <c r="K504" s="52"/>
      <c r="L504" s="52"/>
      <c r="M504" s="52"/>
      <c r="N504" s="52"/>
      <c r="O504" s="52"/>
      <c r="P504" s="52"/>
      <c r="Q504" s="52"/>
      <c r="R504" s="158" t="s">
        <v>425</v>
      </c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159"/>
      <c r="AK504" s="132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133"/>
    </row>
    <row r="505" spans="2:61" ht="20.100000000000001" customHeight="1" x14ac:dyDescent="0.45">
      <c r="B505" s="157"/>
      <c r="C505" s="31"/>
      <c r="D505" s="31"/>
      <c r="E505" s="31"/>
      <c r="F505" s="31"/>
      <c r="G505" s="130"/>
      <c r="H505" s="131"/>
      <c r="I505" s="130"/>
      <c r="J505" s="158" t="s">
        <v>228</v>
      </c>
      <c r="K505" s="52"/>
      <c r="L505" s="52"/>
      <c r="M505" s="52"/>
      <c r="N505" s="52"/>
      <c r="O505" s="52"/>
      <c r="P505" s="52"/>
      <c r="Q505" s="52"/>
      <c r="R505" s="158" t="s">
        <v>426</v>
      </c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159"/>
      <c r="AK505" s="132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133"/>
    </row>
    <row r="506" spans="2:61" ht="20.100000000000001" customHeight="1" x14ac:dyDescent="0.45">
      <c r="B506" s="157"/>
      <c r="C506" s="31"/>
      <c r="D506" s="31"/>
      <c r="E506" s="31"/>
      <c r="F506" s="31"/>
      <c r="G506" s="130"/>
      <c r="H506" s="131"/>
      <c r="I506" s="130"/>
      <c r="J506" s="158" t="s">
        <v>230</v>
      </c>
      <c r="K506" s="52"/>
      <c r="L506" s="52"/>
      <c r="M506" s="52"/>
      <c r="N506" s="52"/>
      <c r="O506" s="52"/>
      <c r="P506" s="52"/>
      <c r="Q506" s="52"/>
      <c r="R506" s="169" t="s">
        <v>426</v>
      </c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159"/>
      <c r="AK506" s="132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133"/>
    </row>
    <row r="507" spans="2:61" ht="20.100000000000001" customHeight="1" x14ac:dyDescent="0.45">
      <c r="B507" s="157"/>
      <c r="C507" s="31"/>
      <c r="D507" s="31"/>
      <c r="E507" s="31"/>
      <c r="F507" s="31"/>
      <c r="G507" s="130"/>
      <c r="H507" s="131"/>
      <c r="I507" s="130"/>
      <c r="J507" s="158" t="s">
        <v>232</v>
      </c>
      <c r="K507" s="52"/>
      <c r="L507" s="52"/>
      <c r="M507" s="52"/>
      <c r="N507" s="52"/>
      <c r="O507" s="52"/>
      <c r="P507" s="52"/>
      <c r="Q507" s="52"/>
      <c r="R507" s="168" t="s">
        <v>427</v>
      </c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159"/>
      <c r="AK507" s="132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133"/>
    </row>
    <row r="508" spans="2:61" ht="20.100000000000001" customHeight="1" x14ac:dyDescent="0.45">
      <c r="B508" s="157"/>
      <c r="C508" s="31"/>
      <c r="D508" s="31"/>
      <c r="E508" s="31"/>
      <c r="F508" s="31"/>
      <c r="G508" s="130"/>
      <c r="H508" s="131"/>
      <c r="I508" s="130"/>
      <c r="J508" s="158" t="s">
        <v>234</v>
      </c>
      <c r="K508" s="52"/>
      <c r="L508" s="52"/>
      <c r="M508" s="52"/>
      <c r="N508" s="52"/>
      <c r="O508" s="52"/>
      <c r="P508" s="52"/>
      <c r="Q508" s="52"/>
      <c r="R508" s="168" t="s">
        <v>428</v>
      </c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159"/>
      <c r="AK508" s="132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133"/>
    </row>
    <row r="509" spans="2:61" ht="20.100000000000001" customHeight="1" x14ac:dyDescent="0.45">
      <c r="B509" s="157"/>
      <c r="C509" s="31"/>
      <c r="D509" s="31"/>
      <c r="E509" s="31"/>
      <c r="F509" s="31"/>
      <c r="G509" s="130"/>
      <c r="H509" s="131"/>
      <c r="I509" s="130"/>
      <c r="J509" s="158" t="s">
        <v>236</v>
      </c>
      <c r="K509" s="52"/>
      <c r="L509" s="52"/>
      <c r="M509" s="52"/>
      <c r="N509" s="52"/>
      <c r="O509" s="52"/>
      <c r="P509" s="52"/>
      <c r="Q509" s="52"/>
      <c r="R509" s="168" t="s">
        <v>429</v>
      </c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159"/>
      <c r="AK509" s="132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133"/>
    </row>
    <row r="510" spans="2:61" ht="20.100000000000001" customHeight="1" x14ac:dyDescent="0.45">
      <c r="B510" s="157"/>
      <c r="C510" s="31"/>
      <c r="D510" s="31"/>
      <c r="E510" s="31"/>
      <c r="F510" s="31"/>
      <c r="G510" s="130"/>
      <c r="H510" s="131"/>
      <c r="I510" s="130"/>
      <c r="J510" s="158" t="s">
        <v>238</v>
      </c>
      <c r="K510" s="52"/>
      <c r="L510" s="52"/>
      <c r="M510" s="52"/>
      <c r="N510" s="52"/>
      <c r="O510" s="52"/>
      <c r="P510" s="52"/>
      <c r="Q510" s="52"/>
      <c r="R510" s="169" t="s">
        <v>429</v>
      </c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159"/>
      <c r="AK510" s="132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133"/>
    </row>
    <row r="511" spans="2:61" ht="20.100000000000001" customHeight="1" x14ac:dyDescent="0.45">
      <c r="B511" s="157"/>
      <c r="C511" s="31"/>
      <c r="D511" s="31"/>
      <c r="E511" s="31"/>
      <c r="F511" s="31"/>
      <c r="G511" s="130"/>
      <c r="H511" s="131"/>
      <c r="I511" s="130"/>
      <c r="J511" s="158" t="s">
        <v>240</v>
      </c>
      <c r="K511" s="52"/>
      <c r="L511" s="52"/>
      <c r="M511" s="52"/>
      <c r="N511" s="52"/>
      <c r="O511" s="52"/>
      <c r="P511" s="52"/>
      <c r="Q511" s="52"/>
      <c r="R511" s="168" t="s">
        <v>430</v>
      </c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159"/>
      <c r="AK511" s="132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133"/>
    </row>
    <row r="512" spans="2:61" ht="20.100000000000001" customHeight="1" x14ac:dyDescent="0.45">
      <c r="B512" s="157"/>
      <c r="C512" s="31"/>
      <c r="D512" s="31"/>
      <c r="E512" s="31"/>
      <c r="F512" s="31"/>
      <c r="G512" s="130"/>
      <c r="H512" s="131"/>
      <c r="I512" s="130"/>
      <c r="J512" s="158" t="s">
        <v>242</v>
      </c>
      <c r="K512" s="52"/>
      <c r="L512" s="52"/>
      <c r="M512" s="52"/>
      <c r="N512" s="52"/>
      <c r="O512" s="52"/>
      <c r="P512" s="52"/>
      <c r="Q512" s="52"/>
      <c r="R512" s="158" t="s">
        <v>431</v>
      </c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159"/>
      <c r="AK512" s="132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133"/>
    </row>
    <row r="513" spans="2:61" ht="20.100000000000001" customHeight="1" x14ac:dyDescent="0.45">
      <c r="B513" s="157"/>
      <c r="C513" s="31"/>
      <c r="D513" s="31"/>
      <c r="E513" s="31"/>
      <c r="F513" s="31"/>
      <c r="G513" s="130"/>
      <c r="H513" s="131"/>
      <c r="I513" s="130"/>
      <c r="J513" s="158" t="s">
        <v>244</v>
      </c>
      <c r="K513" s="52"/>
      <c r="L513" s="52"/>
      <c r="M513" s="52"/>
      <c r="N513" s="52"/>
      <c r="O513" s="52"/>
      <c r="P513" s="52"/>
      <c r="Q513" s="52"/>
      <c r="R513" s="158" t="s">
        <v>432</v>
      </c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159"/>
      <c r="AK513" s="132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133"/>
    </row>
    <row r="514" spans="2:61" ht="20.100000000000001" customHeight="1" x14ac:dyDescent="0.45">
      <c r="B514" s="157"/>
      <c r="C514" s="31"/>
      <c r="D514" s="31"/>
      <c r="E514" s="31"/>
      <c r="F514" s="31"/>
      <c r="G514" s="130"/>
      <c r="H514" s="131"/>
      <c r="I514" s="130"/>
      <c r="J514" s="158" t="s">
        <v>246</v>
      </c>
      <c r="K514" s="52"/>
      <c r="L514" s="52"/>
      <c r="M514" s="52"/>
      <c r="N514" s="52"/>
      <c r="O514" s="52"/>
      <c r="P514" s="52"/>
      <c r="Q514" s="52"/>
      <c r="R514" s="158" t="s">
        <v>433</v>
      </c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159"/>
      <c r="AK514" s="132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133"/>
    </row>
    <row r="515" spans="2:61" ht="20.100000000000001" customHeight="1" x14ac:dyDescent="0.45">
      <c r="B515" s="157"/>
      <c r="C515" s="31"/>
      <c r="D515" s="31"/>
      <c r="E515" s="31"/>
      <c r="F515" s="31"/>
      <c r="G515" s="130"/>
      <c r="H515" s="131"/>
      <c r="I515" s="130"/>
      <c r="J515" s="158" t="s">
        <v>248</v>
      </c>
      <c r="K515" s="52"/>
      <c r="L515" s="52"/>
      <c r="M515" s="52"/>
      <c r="N515" s="52"/>
      <c r="O515" s="52"/>
      <c r="P515" s="52"/>
      <c r="Q515" s="52"/>
      <c r="R515" s="158" t="s">
        <v>248</v>
      </c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159"/>
      <c r="AK515" s="132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133"/>
    </row>
    <row r="516" spans="2:61" ht="20.100000000000001" customHeight="1" x14ac:dyDescent="0.45">
      <c r="B516" s="157"/>
      <c r="C516" s="31"/>
      <c r="D516" s="31"/>
      <c r="E516" s="31"/>
      <c r="F516" s="31"/>
      <c r="G516" s="130"/>
      <c r="H516" s="131"/>
      <c r="I516" s="130"/>
      <c r="J516" s="158" t="s">
        <v>250</v>
      </c>
      <c r="K516" s="52"/>
      <c r="L516" s="52"/>
      <c r="M516" s="52"/>
      <c r="N516" s="52"/>
      <c r="O516" s="52"/>
      <c r="P516" s="52"/>
      <c r="Q516" s="52"/>
      <c r="R516" s="158" t="s">
        <v>250</v>
      </c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159"/>
      <c r="AK516" s="132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133"/>
    </row>
    <row r="517" spans="2:61" ht="20.100000000000001" customHeight="1" x14ac:dyDescent="0.45">
      <c r="B517" s="157"/>
      <c r="C517" s="31"/>
      <c r="D517" s="31"/>
      <c r="E517" s="31"/>
      <c r="F517" s="31"/>
      <c r="G517" s="130"/>
      <c r="H517" s="131"/>
      <c r="I517" s="130"/>
      <c r="J517" s="158" t="s">
        <v>252</v>
      </c>
      <c r="K517" s="52"/>
      <c r="L517" s="52"/>
      <c r="M517" s="52"/>
      <c r="N517" s="52"/>
      <c r="O517" s="52"/>
      <c r="P517" s="52"/>
      <c r="Q517" s="52"/>
      <c r="R517" s="158" t="s">
        <v>252</v>
      </c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159"/>
      <c r="AK517" s="132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133"/>
    </row>
    <row r="518" spans="2:61" ht="20.100000000000001" customHeight="1" x14ac:dyDescent="0.45">
      <c r="B518" s="157"/>
      <c r="C518" s="31"/>
      <c r="D518" s="31"/>
      <c r="E518" s="31"/>
      <c r="F518" s="31"/>
      <c r="G518" s="130"/>
      <c r="H518" s="131"/>
      <c r="I518" s="130"/>
      <c r="J518" s="158" t="s">
        <v>254</v>
      </c>
      <c r="K518" s="52"/>
      <c r="L518" s="52"/>
      <c r="M518" s="52"/>
      <c r="N518" s="52"/>
      <c r="O518" s="52"/>
      <c r="P518" s="52"/>
      <c r="Q518" s="52"/>
      <c r="R518" s="158" t="s">
        <v>254</v>
      </c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159"/>
      <c r="AK518" s="132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133"/>
    </row>
    <row r="519" spans="2:61" ht="20.100000000000001" customHeight="1" x14ac:dyDescent="0.45">
      <c r="B519" s="157"/>
      <c r="C519" s="31"/>
      <c r="D519" s="31"/>
      <c r="E519" s="31"/>
      <c r="F519" s="31"/>
      <c r="G519" s="130"/>
      <c r="H519" s="131"/>
      <c r="I519" s="130"/>
      <c r="J519" s="158" t="s">
        <v>256</v>
      </c>
      <c r="K519" s="52"/>
      <c r="L519" s="52"/>
      <c r="M519" s="52"/>
      <c r="N519" s="52"/>
      <c r="O519" s="52"/>
      <c r="P519" s="52"/>
      <c r="Q519" s="52"/>
      <c r="R519" s="158" t="s">
        <v>256</v>
      </c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159"/>
      <c r="AK519" s="132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133"/>
    </row>
    <row r="520" spans="2:61" ht="20.100000000000001" customHeight="1" x14ac:dyDescent="0.45">
      <c r="B520" s="157"/>
      <c r="C520" s="31"/>
      <c r="D520" s="31"/>
      <c r="E520" s="31"/>
      <c r="F520" s="31"/>
      <c r="G520" s="130"/>
      <c r="H520" s="131"/>
      <c r="I520" s="130"/>
      <c r="J520" s="158" t="s">
        <v>258</v>
      </c>
      <c r="K520" s="52"/>
      <c r="L520" s="52"/>
      <c r="M520" s="52"/>
      <c r="N520" s="52"/>
      <c r="O520" s="52"/>
      <c r="P520" s="52"/>
      <c r="Q520" s="52"/>
      <c r="R520" s="158" t="s">
        <v>434</v>
      </c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159"/>
      <c r="AK520" s="132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133"/>
    </row>
    <row r="521" spans="2:61" ht="20.100000000000001" customHeight="1" x14ac:dyDescent="0.45">
      <c r="B521" s="157"/>
      <c r="C521" s="31"/>
      <c r="D521" s="31"/>
      <c r="E521" s="31"/>
      <c r="F521" s="31"/>
      <c r="G521" s="130"/>
      <c r="H521" s="137"/>
      <c r="I521" s="161"/>
      <c r="J521" s="134" t="s">
        <v>260</v>
      </c>
      <c r="K521" s="52"/>
      <c r="L521" s="52"/>
      <c r="M521" s="52"/>
      <c r="N521" s="52"/>
      <c r="O521" s="52"/>
      <c r="P521" s="52"/>
      <c r="Q521" s="52"/>
      <c r="R521" s="158">
        <v>1</v>
      </c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159"/>
      <c r="AK521" s="132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133"/>
    </row>
    <row r="522" spans="2:61" ht="20.100000000000001" customHeight="1" x14ac:dyDescent="0.45">
      <c r="B522" s="157"/>
      <c r="C522" s="31"/>
      <c r="D522" s="31"/>
      <c r="E522" s="31"/>
      <c r="F522" s="31"/>
      <c r="G522" s="130"/>
      <c r="H522" s="131" t="s">
        <v>146</v>
      </c>
      <c r="I522" s="31"/>
      <c r="J522" s="134" t="s">
        <v>435</v>
      </c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132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133"/>
    </row>
    <row r="523" spans="2:61" ht="20.100000000000001" customHeight="1" x14ac:dyDescent="0.45">
      <c r="B523" s="129"/>
      <c r="C523" s="31"/>
      <c r="D523" s="31"/>
      <c r="E523" s="31"/>
      <c r="F523" s="31"/>
      <c r="G523" s="130"/>
      <c r="H523" s="131"/>
      <c r="I523" s="31"/>
      <c r="J523" s="131" t="s">
        <v>436</v>
      </c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132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133"/>
    </row>
    <row r="524" spans="2:61" ht="20.100000000000001" customHeight="1" x14ac:dyDescent="0.45">
      <c r="B524" s="129"/>
      <c r="C524" s="31"/>
      <c r="D524" s="31"/>
      <c r="E524" s="31"/>
      <c r="F524" s="31"/>
      <c r="G524" s="130"/>
      <c r="H524" s="134" t="s">
        <v>147</v>
      </c>
      <c r="I524" s="55"/>
      <c r="J524" s="134" t="s">
        <v>315</v>
      </c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13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  <c r="BI524" s="136"/>
    </row>
    <row r="525" spans="2:61" ht="20.100000000000001" customHeight="1" x14ac:dyDescent="0.45">
      <c r="B525" s="129"/>
      <c r="C525" s="31"/>
      <c r="D525" s="31"/>
      <c r="E525" s="31"/>
      <c r="F525" s="31"/>
      <c r="G525" s="130"/>
      <c r="H525" s="131"/>
      <c r="I525" s="31"/>
      <c r="J525" s="131"/>
      <c r="K525" s="31" t="s">
        <v>437</v>
      </c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132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133"/>
    </row>
    <row r="526" spans="2:61" ht="20.100000000000001" customHeight="1" x14ac:dyDescent="0.45">
      <c r="B526" s="129"/>
      <c r="C526" s="31"/>
      <c r="D526" s="31"/>
      <c r="E526" s="31"/>
      <c r="F526" s="31"/>
      <c r="G526" s="130"/>
      <c r="H526" s="131"/>
      <c r="I526" s="31"/>
      <c r="J526" s="131"/>
      <c r="K526" s="31"/>
      <c r="L526" s="31"/>
      <c r="M526" s="31" t="s">
        <v>438</v>
      </c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132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133"/>
    </row>
    <row r="527" spans="2:61" ht="20.100000000000001" customHeight="1" x14ac:dyDescent="0.45">
      <c r="B527" s="129"/>
      <c r="C527" s="31"/>
      <c r="D527" s="31"/>
      <c r="E527" s="31"/>
      <c r="F527" s="31"/>
      <c r="G527" s="130"/>
      <c r="H527" s="131"/>
      <c r="I527" s="31"/>
      <c r="J527" s="131"/>
      <c r="K527" s="31"/>
      <c r="L527" s="31" t="s">
        <v>325</v>
      </c>
      <c r="M527" s="31" t="s">
        <v>439</v>
      </c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132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133"/>
    </row>
    <row r="528" spans="2:61" ht="20.100000000000001" customHeight="1" x14ac:dyDescent="0.45">
      <c r="B528" s="129"/>
      <c r="C528" s="31"/>
      <c r="D528" s="31"/>
      <c r="E528" s="31"/>
      <c r="F528" s="31"/>
      <c r="G528" s="130"/>
      <c r="H528" s="131"/>
      <c r="I528" s="31"/>
      <c r="J528" s="131"/>
      <c r="K528" s="31"/>
      <c r="L528" s="31" t="s">
        <v>325</v>
      </c>
      <c r="M528" s="31" t="s">
        <v>440</v>
      </c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132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133"/>
    </row>
    <row r="529" spans="2:61" ht="20.100000000000001" customHeight="1" thickBot="1" x14ac:dyDescent="0.5">
      <c r="B529" s="129"/>
      <c r="C529" s="31"/>
      <c r="D529" s="31"/>
      <c r="E529" s="31"/>
      <c r="F529" s="31"/>
      <c r="G529" s="130"/>
      <c r="H529" s="131"/>
      <c r="I529" s="31"/>
      <c r="J529" s="131"/>
      <c r="K529" s="31"/>
      <c r="L529" s="31" t="s">
        <v>325</v>
      </c>
      <c r="M529" s="31" t="s">
        <v>441</v>
      </c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132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133"/>
    </row>
    <row r="530" spans="2:61" ht="20.100000000000001" customHeight="1" x14ac:dyDescent="0.45">
      <c r="B530" s="123" t="s">
        <v>442</v>
      </c>
      <c r="C530" s="124"/>
      <c r="D530" s="124"/>
      <c r="E530" s="124"/>
      <c r="F530" s="124"/>
      <c r="G530" s="125"/>
      <c r="H530" s="126" t="s">
        <v>177</v>
      </c>
      <c r="I530" s="125"/>
      <c r="J530" s="154" t="s">
        <v>192</v>
      </c>
      <c r="K530" s="155"/>
      <c r="L530" s="155"/>
      <c r="M530" s="155"/>
      <c r="N530" s="155"/>
      <c r="O530" s="155"/>
      <c r="P530" s="155"/>
      <c r="Q530" s="155"/>
      <c r="R530" s="154" t="s">
        <v>192</v>
      </c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6"/>
      <c r="AK530" s="127"/>
      <c r="AL530" s="124"/>
      <c r="AM530" s="124"/>
      <c r="AN530" s="124"/>
      <c r="AO530" s="124"/>
      <c r="AP530" s="124"/>
      <c r="AQ530" s="124"/>
      <c r="AR530" s="124"/>
      <c r="AS530" s="124"/>
      <c r="AT530" s="124"/>
      <c r="AU530" s="124"/>
      <c r="AV530" s="124"/>
      <c r="AW530" s="124"/>
      <c r="AX530" s="124"/>
      <c r="AY530" s="124"/>
      <c r="AZ530" s="124"/>
      <c r="BA530" s="124"/>
      <c r="BB530" s="124"/>
      <c r="BC530" s="124"/>
      <c r="BD530" s="124"/>
      <c r="BE530" s="124"/>
      <c r="BF530" s="124"/>
      <c r="BG530" s="124"/>
      <c r="BH530" s="124"/>
      <c r="BI530" s="128"/>
    </row>
    <row r="531" spans="2:61" ht="20.100000000000001" customHeight="1" x14ac:dyDescent="0.45">
      <c r="B531" s="157"/>
      <c r="C531" s="31"/>
      <c r="D531" s="31"/>
      <c r="E531" s="31"/>
      <c r="F531" s="31"/>
      <c r="G531" s="130"/>
      <c r="H531" s="131"/>
      <c r="I531" s="130"/>
      <c r="J531" s="158" t="s">
        <v>194</v>
      </c>
      <c r="K531" s="52"/>
      <c r="L531" s="52"/>
      <c r="M531" s="52"/>
      <c r="N531" s="52"/>
      <c r="O531" s="52"/>
      <c r="P531" s="52"/>
      <c r="Q531" s="52"/>
      <c r="R531" s="158" t="s">
        <v>194</v>
      </c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159"/>
      <c r="AK531" s="132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133"/>
    </row>
    <row r="532" spans="2:61" ht="20.100000000000001" customHeight="1" x14ac:dyDescent="0.45">
      <c r="B532" s="157"/>
      <c r="C532" s="31"/>
      <c r="D532" s="31"/>
      <c r="E532" s="31"/>
      <c r="F532" s="31"/>
      <c r="G532" s="130"/>
      <c r="H532" s="131"/>
      <c r="I532" s="130"/>
      <c r="J532" s="158" t="s">
        <v>258</v>
      </c>
      <c r="K532" s="52"/>
      <c r="L532" s="52"/>
      <c r="M532" s="52"/>
      <c r="N532" s="52"/>
      <c r="O532" s="52"/>
      <c r="P532" s="52"/>
      <c r="Q532" s="52"/>
      <c r="R532" s="158" t="s">
        <v>443</v>
      </c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159"/>
      <c r="AK532" s="132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133"/>
    </row>
    <row r="533" spans="2:61" ht="20.100000000000001" customHeight="1" x14ac:dyDescent="0.45">
      <c r="B533" s="157"/>
      <c r="C533" s="31"/>
      <c r="D533" s="31"/>
      <c r="E533" s="31"/>
      <c r="F533" s="31"/>
      <c r="G533" s="130"/>
      <c r="H533" s="131"/>
      <c r="I533" s="130"/>
      <c r="J533" s="158" t="s">
        <v>198</v>
      </c>
      <c r="K533" s="52"/>
      <c r="L533" s="52"/>
      <c r="M533" s="52"/>
      <c r="N533" s="52"/>
      <c r="O533" s="52"/>
      <c r="P533" s="52"/>
      <c r="Q533" s="52"/>
      <c r="R533" s="158" t="s">
        <v>444</v>
      </c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159"/>
      <c r="AK533" s="132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133"/>
    </row>
    <row r="534" spans="2:61" ht="20.100000000000001" customHeight="1" x14ac:dyDescent="0.45">
      <c r="B534" s="157"/>
      <c r="C534" s="31"/>
      <c r="D534" s="31"/>
      <c r="E534" s="31"/>
      <c r="F534" s="31"/>
      <c r="G534" s="130"/>
      <c r="H534" s="131"/>
      <c r="I534" s="130"/>
      <c r="J534" s="158" t="s">
        <v>385</v>
      </c>
      <c r="K534" s="52"/>
      <c r="L534" s="52"/>
      <c r="M534" s="52"/>
      <c r="N534" s="52"/>
      <c r="O534" s="52"/>
      <c r="P534" s="52"/>
      <c r="Q534" s="52"/>
      <c r="R534" s="158">
        <v>1</v>
      </c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159"/>
      <c r="AK534" s="132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133"/>
    </row>
    <row r="535" spans="2:61" ht="20.100000000000001" customHeight="1" x14ac:dyDescent="0.45">
      <c r="B535" s="157"/>
      <c r="C535" s="31"/>
      <c r="D535" s="31"/>
      <c r="E535" s="31"/>
      <c r="F535" s="31"/>
      <c r="G535" s="130"/>
      <c r="H535" s="131"/>
      <c r="I535" s="130"/>
      <c r="J535" s="158" t="s">
        <v>238</v>
      </c>
      <c r="K535" s="52"/>
      <c r="L535" s="52"/>
      <c r="M535" s="52"/>
      <c r="N535" s="52"/>
      <c r="O535" s="52"/>
      <c r="P535" s="52"/>
      <c r="Q535" s="52"/>
      <c r="R535" s="169" t="s">
        <v>445</v>
      </c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159"/>
      <c r="AK535" s="132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133"/>
    </row>
    <row r="536" spans="2:61" ht="20.100000000000001" customHeight="1" x14ac:dyDescent="0.45">
      <c r="B536" s="157"/>
      <c r="C536" s="31"/>
      <c r="D536" s="31"/>
      <c r="E536" s="31"/>
      <c r="F536" s="31"/>
      <c r="G536" s="130"/>
      <c r="H536" s="131"/>
      <c r="I536" s="130"/>
      <c r="J536" s="158" t="s">
        <v>230</v>
      </c>
      <c r="K536" s="52"/>
      <c r="L536" s="52"/>
      <c r="M536" s="52"/>
      <c r="N536" s="52"/>
      <c r="O536" s="52"/>
      <c r="P536" s="52"/>
      <c r="Q536" s="52"/>
      <c r="R536" s="158" t="s">
        <v>446</v>
      </c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159"/>
      <c r="AK536" s="132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133"/>
    </row>
    <row r="537" spans="2:61" ht="20.100000000000001" customHeight="1" x14ac:dyDescent="0.45">
      <c r="B537" s="157"/>
      <c r="C537" s="31"/>
      <c r="D537" s="31"/>
      <c r="E537" s="31"/>
      <c r="F537" s="31"/>
      <c r="G537" s="130"/>
      <c r="H537" s="134" t="s">
        <v>146</v>
      </c>
      <c r="I537" s="171"/>
      <c r="J537" s="134" t="s">
        <v>189</v>
      </c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132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133"/>
    </row>
    <row r="538" spans="2:61" ht="20.100000000000001" customHeight="1" x14ac:dyDescent="0.45">
      <c r="B538" s="129"/>
      <c r="C538" s="31"/>
      <c r="D538" s="31"/>
      <c r="E538" s="31"/>
      <c r="F538" s="31"/>
      <c r="G538" s="130"/>
      <c r="H538" s="134" t="s">
        <v>148</v>
      </c>
      <c r="I538" s="55"/>
      <c r="J538" s="134" t="s">
        <v>447</v>
      </c>
      <c r="K538" s="55" t="s">
        <v>448</v>
      </c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13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  <c r="BI538" s="136"/>
    </row>
    <row r="539" spans="2:61" ht="20.100000000000001" customHeight="1" x14ac:dyDescent="0.45">
      <c r="B539" s="129"/>
      <c r="C539" s="31"/>
      <c r="D539" s="31"/>
      <c r="E539" s="31"/>
      <c r="F539" s="31"/>
      <c r="G539" s="130"/>
      <c r="H539" s="134" t="s">
        <v>383</v>
      </c>
      <c r="I539" s="55"/>
      <c r="J539" s="134" t="s">
        <v>192</v>
      </c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13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  <c r="BI539" s="136"/>
    </row>
    <row r="540" spans="2:61" ht="20.100000000000001" customHeight="1" x14ac:dyDescent="0.45">
      <c r="B540" s="129"/>
      <c r="C540" s="31"/>
      <c r="D540" s="31"/>
      <c r="E540" s="31"/>
      <c r="F540" s="31"/>
      <c r="G540" s="130"/>
      <c r="H540" s="131"/>
      <c r="I540" s="31"/>
      <c r="J540" s="131" t="s">
        <v>194</v>
      </c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132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133"/>
    </row>
    <row r="541" spans="2:61" ht="20.100000000000001" customHeight="1" thickBot="1" x14ac:dyDescent="0.5">
      <c r="B541" s="129"/>
      <c r="C541" s="31"/>
      <c r="D541" s="31"/>
      <c r="E541" s="31"/>
      <c r="F541" s="31"/>
      <c r="G541" s="130"/>
      <c r="H541" s="131"/>
      <c r="I541" s="31"/>
      <c r="J541" s="131" t="s">
        <v>443</v>
      </c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132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133"/>
    </row>
    <row r="542" spans="2:61" ht="20.100000000000001" customHeight="1" x14ac:dyDescent="0.45">
      <c r="B542" s="123" t="s">
        <v>437</v>
      </c>
      <c r="C542" s="124"/>
      <c r="D542" s="124"/>
      <c r="E542" s="124"/>
      <c r="F542" s="124"/>
      <c r="G542" s="125"/>
      <c r="H542" s="126" t="s">
        <v>177</v>
      </c>
      <c r="I542" s="125"/>
      <c r="J542" s="154" t="s">
        <v>192</v>
      </c>
      <c r="K542" s="155"/>
      <c r="L542" s="155"/>
      <c r="M542" s="155"/>
      <c r="N542" s="155"/>
      <c r="O542" s="155"/>
      <c r="P542" s="155"/>
      <c r="Q542" s="155"/>
      <c r="R542" s="154" t="s">
        <v>449</v>
      </c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6"/>
      <c r="AK542" s="127"/>
      <c r="AL542" s="124"/>
      <c r="AM542" s="124"/>
      <c r="AN542" s="124"/>
      <c r="AO542" s="124"/>
      <c r="AP542" s="124"/>
      <c r="AQ542" s="124"/>
      <c r="AR542" s="124"/>
      <c r="AS542" s="124"/>
      <c r="AT542" s="124"/>
      <c r="AU542" s="124"/>
      <c r="AV542" s="124"/>
      <c r="AW542" s="124"/>
      <c r="AX542" s="124"/>
      <c r="AY542" s="124"/>
      <c r="AZ542" s="124"/>
      <c r="BA542" s="124"/>
      <c r="BB542" s="124"/>
      <c r="BC542" s="124"/>
      <c r="BD542" s="124"/>
      <c r="BE542" s="124"/>
      <c r="BF542" s="124"/>
      <c r="BG542" s="124"/>
      <c r="BH542" s="124"/>
      <c r="BI542" s="128"/>
    </row>
    <row r="543" spans="2:61" ht="20.100000000000001" customHeight="1" x14ac:dyDescent="0.45">
      <c r="B543" s="157"/>
      <c r="C543" s="31"/>
      <c r="D543" s="31"/>
      <c r="E543" s="31"/>
      <c r="F543" s="31"/>
      <c r="G543" s="130"/>
      <c r="H543" s="131"/>
      <c r="I543" s="130"/>
      <c r="J543" s="158" t="s">
        <v>194</v>
      </c>
      <c r="K543" s="52"/>
      <c r="L543" s="52"/>
      <c r="M543" s="52"/>
      <c r="N543" s="52"/>
      <c r="O543" s="52"/>
      <c r="P543" s="52"/>
      <c r="Q543" s="52"/>
      <c r="R543" s="158" t="s">
        <v>450</v>
      </c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159"/>
      <c r="AK543" s="132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133"/>
    </row>
    <row r="544" spans="2:61" ht="20.100000000000001" customHeight="1" x14ac:dyDescent="0.45">
      <c r="B544" s="157"/>
      <c r="C544" s="31"/>
      <c r="D544" s="31"/>
      <c r="E544" s="31"/>
      <c r="F544" s="31"/>
      <c r="G544" s="130"/>
      <c r="H544" s="131"/>
      <c r="I544" s="130"/>
      <c r="J544" s="158" t="s">
        <v>196</v>
      </c>
      <c r="K544" s="52"/>
      <c r="L544" s="52"/>
      <c r="M544" s="52"/>
      <c r="N544" s="52"/>
      <c r="O544" s="52"/>
      <c r="P544" s="52"/>
      <c r="Q544" s="52"/>
      <c r="R544" s="158" t="s">
        <v>451</v>
      </c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159"/>
      <c r="AK544" s="132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133"/>
    </row>
    <row r="545" spans="2:61" ht="20.100000000000001" customHeight="1" x14ac:dyDescent="0.45">
      <c r="B545" s="157"/>
      <c r="C545" s="31"/>
      <c r="D545" s="31"/>
      <c r="E545" s="31"/>
      <c r="F545" s="31"/>
      <c r="G545" s="130"/>
      <c r="H545" s="131"/>
      <c r="I545" s="130"/>
      <c r="J545" s="158" t="s">
        <v>198</v>
      </c>
      <c r="K545" s="52"/>
      <c r="L545" s="52"/>
      <c r="M545" s="52"/>
      <c r="N545" s="52"/>
      <c r="O545" s="52"/>
      <c r="P545" s="52"/>
      <c r="Q545" s="52"/>
      <c r="R545" s="158" t="s">
        <v>452</v>
      </c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159"/>
      <c r="AK545" s="132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133"/>
    </row>
    <row r="546" spans="2:61" ht="20.100000000000001" customHeight="1" x14ac:dyDescent="0.45">
      <c r="B546" s="157"/>
      <c r="C546" s="31"/>
      <c r="D546" s="31"/>
      <c r="E546" s="31"/>
      <c r="F546" s="31"/>
      <c r="G546" s="130"/>
      <c r="H546" s="131"/>
      <c r="I546" s="130"/>
      <c r="J546" s="158" t="s">
        <v>200</v>
      </c>
      <c r="K546" s="52"/>
      <c r="L546" s="52"/>
      <c r="M546" s="52"/>
      <c r="N546" s="52"/>
      <c r="O546" s="52"/>
      <c r="P546" s="52"/>
      <c r="Q546" s="52"/>
      <c r="R546" s="158" t="s">
        <v>453</v>
      </c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159"/>
      <c r="AK546" s="132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133"/>
    </row>
    <row r="547" spans="2:61" ht="20.100000000000001" customHeight="1" x14ac:dyDescent="0.45">
      <c r="B547" s="157"/>
      <c r="C547" s="31"/>
      <c r="D547" s="31"/>
      <c r="E547" s="31"/>
      <c r="F547" s="31"/>
      <c r="G547" s="130"/>
      <c r="H547" s="131"/>
      <c r="I547" s="130"/>
      <c r="J547" s="158" t="s">
        <v>202</v>
      </c>
      <c r="K547" s="52"/>
      <c r="L547" s="52"/>
      <c r="M547" s="52"/>
      <c r="N547" s="52"/>
      <c r="O547" s="52"/>
      <c r="P547" s="52"/>
      <c r="Q547" s="52"/>
      <c r="R547" s="158" t="s">
        <v>454</v>
      </c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159"/>
      <c r="AK547" s="132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133"/>
    </row>
    <row r="548" spans="2:61" ht="20.100000000000001" customHeight="1" x14ac:dyDescent="0.45">
      <c r="B548" s="157"/>
      <c r="C548" s="31"/>
      <c r="D548" s="31"/>
      <c r="E548" s="31"/>
      <c r="F548" s="31"/>
      <c r="G548" s="130"/>
      <c r="H548" s="131"/>
      <c r="I548" s="130"/>
      <c r="J548" s="158" t="s">
        <v>204</v>
      </c>
      <c r="K548" s="52"/>
      <c r="L548" s="52"/>
      <c r="M548" s="52"/>
      <c r="N548" s="52"/>
      <c r="O548" s="52"/>
      <c r="P548" s="52"/>
      <c r="Q548" s="52"/>
      <c r="R548" s="158" t="s">
        <v>455</v>
      </c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159"/>
      <c r="AK548" s="132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133"/>
    </row>
    <row r="549" spans="2:61" ht="20.100000000000001" customHeight="1" x14ac:dyDescent="0.45">
      <c r="B549" s="157"/>
      <c r="C549" s="31"/>
      <c r="D549" s="31"/>
      <c r="E549" s="31"/>
      <c r="F549" s="31"/>
      <c r="G549" s="130"/>
      <c r="H549" s="131"/>
      <c r="I549" s="130"/>
      <c r="J549" s="158" t="s">
        <v>206</v>
      </c>
      <c r="K549" s="52"/>
      <c r="L549" s="52"/>
      <c r="M549" s="52"/>
      <c r="N549" s="52"/>
      <c r="O549" s="52"/>
      <c r="P549" s="52"/>
      <c r="Q549" s="52"/>
      <c r="R549" s="158" t="s">
        <v>456</v>
      </c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159"/>
      <c r="AK549" s="132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133"/>
    </row>
    <row r="550" spans="2:61" ht="20.100000000000001" customHeight="1" x14ac:dyDescent="0.45">
      <c r="B550" s="157"/>
      <c r="C550" s="31"/>
      <c r="D550" s="31"/>
      <c r="E550" s="31"/>
      <c r="F550" s="31"/>
      <c r="G550" s="130"/>
      <c r="H550" s="131"/>
      <c r="I550" s="130"/>
      <c r="J550" s="158" t="s">
        <v>208</v>
      </c>
      <c r="K550" s="52"/>
      <c r="L550" s="52"/>
      <c r="M550" s="52"/>
      <c r="N550" s="52"/>
      <c r="O550" s="52"/>
      <c r="P550" s="52"/>
      <c r="Q550" s="52"/>
      <c r="R550" s="158" t="s">
        <v>457</v>
      </c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159"/>
      <c r="AK550" s="132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133"/>
    </row>
    <row r="551" spans="2:61" ht="20.100000000000001" customHeight="1" x14ac:dyDescent="0.45">
      <c r="B551" s="157"/>
      <c r="C551" s="31"/>
      <c r="D551" s="31"/>
      <c r="E551" s="31"/>
      <c r="F551" s="31"/>
      <c r="G551" s="130"/>
      <c r="H551" s="131"/>
      <c r="I551" s="130"/>
      <c r="J551" s="158" t="s">
        <v>210</v>
      </c>
      <c r="K551" s="52"/>
      <c r="L551" s="52"/>
      <c r="M551" s="52"/>
      <c r="N551" s="52"/>
      <c r="O551" s="52"/>
      <c r="P551" s="52"/>
      <c r="Q551" s="52"/>
      <c r="R551" s="158" t="s">
        <v>458</v>
      </c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159"/>
      <c r="AK551" s="132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133"/>
    </row>
    <row r="552" spans="2:61" ht="20.100000000000001" customHeight="1" x14ac:dyDescent="0.45">
      <c r="B552" s="157"/>
      <c r="C552" s="31"/>
      <c r="D552" s="31"/>
      <c r="E552" s="31"/>
      <c r="F552" s="31"/>
      <c r="G552" s="130"/>
      <c r="H552" s="131"/>
      <c r="I552" s="130"/>
      <c r="J552" s="158" t="s">
        <v>212</v>
      </c>
      <c r="K552" s="52"/>
      <c r="L552" s="52"/>
      <c r="M552" s="52"/>
      <c r="N552" s="52"/>
      <c r="O552" s="52"/>
      <c r="P552" s="52"/>
      <c r="Q552" s="52"/>
      <c r="R552" s="158" t="s">
        <v>459</v>
      </c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159"/>
      <c r="AK552" s="132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133"/>
    </row>
    <row r="553" spans="2:61" ht="20.100000000000001" customHeight="1" x14ac:dyDescent="0.45">
      <c r="B553" s="157"/>
      <c r="C553" s="31"/>
      <c r="D553" s="31"/>
      <c r="E553" s="31"/>
      <c r="F553" s="31"/>
      <c r="G553" s="130"/>
      <c r="H553" s="131"/>
      <c r="I553" s="130"/>
      <c r="J553" s="158" t="s">
        <v>214</v>
      </c>
      <c r="K553" s="52"/>
      <c r="L553" s="52"/>
      <c r="M553" s="52"/>
      <c r="N553" s="52"/>
      <c r="O553" s="52"/>
      <c r="P553" s="52"/>
      <c r="Q553" s="52"/>
      <c r="R553" s="158" t="s">
        <v>460</v>
      </c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159"/>
      <c r="AK553" s="132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133"/>
    </row>
    <row r="554" spans="2:61" ht="20.100000000000001" customHeight="1" x14ac:dyDescent="0.45">
      <c r="B554" s="157"/>
      <c r="C554" s="31"/>
      <c r="D554" s="31"/>
      <c r="E554" s="31"/>
      <c r="F554" s="31"/>
      <c r="G554" s="130"/>
      <c r="H554" s="131"/>
      <c r="I554" s="130"/>
      <c r="J554" s="158" t="s">
        <v>216</v>
      </c>
      <c r="K554" s="52"/>
      <c r="L554" s="52"/>
      <c r="M554" s="52"/>
      <c r="N554" s="52"/>
      <c r="O554" s="52"/>
      <c r="P554" s="52"/>
      <c r="Q554" s="52"/>
      <c r="R554" s="158" t="s">
        <v>461</v>
      </c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159"/>
      <c r="AK554" s="132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133"/>
    </row>
    <row r="555" spans="2:61" ht="20.100000000000001" customHeight="1" x14ac:dyDescent="0.45">
      <c r="B555" s="157"/>
      <c r="C555" s="31"/>
      <c r="D555" s="31"/>
      <c r="E555" s="31"/>
      <c r="F555" s="31"/>
      <c r="G555" s="130"/>
      <c r="H555" s="131"/>
      <c r="I555" s="130"/>
      <c r="J555" s="158" t="s">
        <v>218</v>
      </c>
      <c r="K555" s="52"/>
      <c r="L555" s="52"/>
      <c r="M555" s="52"/>
      <c r="N555" s="52"/>
      <c r="O555" s="52"/>
      <c r="P555" s="52"/>
      <c r="Q555" s="52"/>
      <c r="R555" s="158" t="s">
        <v>462</v>
      </c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159"/>
      <c r="AK555" s="132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133"/>
    </row>
    <row r="556" spans="2:61" ht="20.100000000000001" customHeight="1" x14ac:dyDescent="0.45">
      <c r="B556" s="157"/>
      <c r="C556" s="31"/>
      <c r="D556" s="31"/>
      <c r="E556" s="31"/>
      <c r="F556" s="31"/>
      <c r="G556" s="130"/>
      <c r="H556" s="131"/>
      <c r="I556" s="130"/>
      <c r="J556" s="158" t="s">
        <v>220</v>
      </c>
      <c r="K556" s="52"/>
      <c r="L556" s="52"/>
      <c r="M556" s="52"/>
      <c r="N556" s="52"/>
      <c r="O556" s="52"/>
      <c r="P556" s="52"/>
      <c r="Q556" s="52"/>
      <c r="R556" s="158" t="s">
        <v>463</v>
      </c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159"/>
      <c r="AK556" s="132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133"/>
    </row>
    <row r="557" spans="2:61" ht="20.100000000000001" customHeight="1" x14ac:dyDescent="0.45">
      <c r="B557" s="157"/>
      <c r="C557" s="31"/>
      <c r="D557" s="31"/>
      <c r="E557" s="31"/>
      <c r="F557" s="31"/>
      <c r="G557" s="130"/>
      <c r="H557" s="131"/>
      <c r="I557" s="130"/>
      <c r="J557" s="158" t="s">
        <v>222</v>
      </c>
      <c r="K557" s="52"/>
      <c r="L557" s="52"/>
      <c r="M557" s="52"/>
      <c r="N557" s="52"/>
      <c r="O557" s="52"/>
      <c r="P557" s="52"/>
      <c r="Q557" s="52"/>
      <c r="R557" s="158" t="s">
        <v>464</v>
      </c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159"/>
      <c r="AK557" s="132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133"/>
    </row>
    <row r="558" spans="2:61" ht="20.100000000000001" customHeight="1" x14ac:dyDescent="0.45">
      <c r="B558" s="157"/>
      <c r="C558" s="31"/>
      <c r="D558" s="31"/>
      <c r="E558" s="31"/>
      <c r="F558" s="31"/>
      <c r="G558" s="130"/>
      <c r="H558" s="131"/>
      <c r="I558" s="130"/>
      <c r="J558" s="158" t="s">
        <v>226</v>
      </c>
      <c r="K558" s="52"/>
      <c r="L558" s="52"/>
      <c r="M558" s="52"/>
      <c r="N558" s="52"/>
      <c r="O558" s="52"/>
      <c r="P558" s="52"/>
      <c r="Q558" s="52"/>
      <c r="R558" s="158" t="s">
        <v>465</v>
      </c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159"/>
      <c r="AK558" s="132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133"/>
    </row>
    <row r="559" spans="2:61" ht="20.100000000000001" customHeight="1" x14ac:dyDescent="0.45">
      <c r="B559" s="157"/>
      <c r="C559" s="31"/>
      <c r="D559" s="31"/>
      <c r="E559" s="31"/>
      <c r="F559" s="31"/>
      <c r="G559" s="130"/>
      <c r="H559" s="131"/>
      <c r="I559" s="130"/>
      <c r="J559" s="158" t="s">
        <v>232</v>
      </c>
      <c r="K559" s="52"/>
      <c r="L559" s="52"/>
      <c r="M559" s="52"/>
      <c r="N559" s="52"/>
      <c r="O559" s="52"/>
      <c r="P559" s="52"/>
      <c r="Q559" s="52"/>
      <c r="R559" s="168" t="s">
        <v>466</v>
      </c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159"/>
      <c r="AK559" s="132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133"/>
    </row>
    <row r="560" spans="2:61" ht="20.100000000000001" customHeight="1" x14ac:dyDescent="0.45">
      <c r="B560" s="157"/>
      <c r="C560" s="31"/>
      <c r="D560" s="31"/>
      <c r="E560" s="31"/>
      <c r="F560" s="31"/>
      <c r="G560" s="130"/>
      <c r="H560" s="131"/>
      <c r="I560" s="130"/>
      <c r="J560" s="158" t="s">
        <v>234</v>
      </c>
      <c r="K560" s="52"/>
      <c r="L560" s="52"/>
      <c r="M560" s="52"/>
      <c r="N560" s="52"/>
      <c r="O560" s="52"/>
      <c r="P560" s="52"/>
      <c r="Q560" s="52"/>
      <c r="R560" s="168" t="s">
        <v>466</v>
      </c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159"/>
      <c r="AK560" s="132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133"/>
    </row>
    <row r="561" spans="2:61" ht="20.100000000000001" customHeight="1" x14ac:dyDescent="0.45">
      <c r="B561" s="157"/>
      <c r="C561" s="31"/>
      <c r="D561" s="31"/>
      <c r="E561" s="31"/>
      <c r="F561" s="31"/>
      <c r="G561" s="130"/>
      <c r="H561" s="131"/>
      <c r="I561" s="130"/>
      <c r="J561" s="158" t="s">
        <v>240</v>
      </c>
      <c r="K561" s="52"/>
      <c r="L561" s="52"/>
      <c r="M561" s="52"/>
      <c r="N561" s="52"/>
      <c r="O561" s="52"/>
      <c r="P561" s="52"/>
      <c r="Q561" s="52"/>
      <c r="R561" s="168" t="s">
        <v>467</v>
      </c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159"/>
      <c r="AK561" s="132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133"/>
    </row>
    <row r="562" spans="2:61" ht="20.100000000000001" customHeight="1" x14ac:dyDescent="0.45">
      <c r="B562" s="157"/>
      <c r="C562" s="31"/>
      <c r="D562" s="31"/>
      <c r="E562" s="31"/>
      <c r="F562" s="31"/>
      <c r="G562" s="130"/>
      <c r="H562" s="131"/>
      <c r="I562" s="130"/>
      <c r="J562" s="158" t="s">
        <v>242</v>
      </c>
      <c r="K562" s="52"/>
      <c r="L562" s="52"/>
      <c r="M562" s="52"/>
      <c r="N562" s="52"/>
      <c r="O562" s="52"/>
      <c r="P562" s="52"/>
      <c r="Q562" s="52"/>
      <c r="R562" s="158" t="s">
        <v>468</v>
      </c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159"/>
      <c r="AK562" s="132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133"/>
    </row>
    <row r="563" spans="2:61" ht="20.100000000000001" customHeight="1" x14ac:dyDescent="0.45">
      <c r="B563" s="157"/>
      <c r="C563" s="31"/>
      <c r="D563" s="31"/>
      <c r="E563" s="31"/>
      <c r="F563" s="31"/>
      <c r="G563" s="130"/>
      <c r="H563" s="131"/>
      <c r="I563" s="130"/>
      <c r="J563" s="158" t="s">
        <v>244</v>
      </c>
      <c r="K563" s="52"/>
      <c r="L563" s="52"/>
      <c r="M563" s="52"/>
      <c r="N563" s="52"/>
      <c r="O563" s="52"/>
      <c r="P563" s="52"/>
      <c r="Q563" s="52"/>
      <c r="R563" s="158" t="s">
        <v>466</v>
      </c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159"/>
      <c r="AK563" s="132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133"/>
    </row>
    <row r="564" spans="2:61" ht="20.100000000000001" customHeight="1" x14ac:dyDescent="0.45">
      <c r="B564" s="157"/>
      <c r="C564" s="31"/>
      <c r="D564" s="31"/>
      <c r="E564" s="31"/>
      <c r="F564" s="31"/>
      <c r="G564" s="130"/>
      <c r="H564" s="131"/>
      <c r="I564" s="130"/>
      <c r="J564" s="158" t="s">
        <v>246</v>
      </c>
      <c r="K564" s="52"/>
      <c r="L564" s="52"/>
      <c r="M564" s="52"/>
      <c r="N564" s="52"/>
      <c r="O564" s="52"/>
      <c r="P564" s="52"/>
      <c r="Q564" s="52"/>
      <c r="R564" s="158" t="s">
        <v>466</v>
      </c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159"/>
      <c r="AK564" s="132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133"/>
    </row>
    <row r="565" spans="2:61" ht="20.100000000000001" customHeight="1" x14ac:dyDescent="0.45">
      <c r="B565" s="157"/>
      <c r="C565" s="31"/>
      <c r="D565" s="31"/>
      <c r="E565" s="31"/>
      <c r="F565" s="31"/>
      <c r="G565" s="130"/>
      <c r="H565" s="131"/>
      <c r="I565" s="130"/>
      <c r="J565" s="158" t="s">
        <v>248</v>
      </c>
      <c r="K565" s="52"/>
      <c r="L565" s="52"/>
      <c r="M565" s="52"/>
      <c r="N565" s="52"/>
      <c r="O565" s="52"/>
      <c r="P565" s="52"/>
      <c r="Q565" s="52"/>
      <c r="R565" s="158" t="s">
        <v>469</v>
      </c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159"/>
      <c r="AK565" s="132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133"/>
    </row>
    <row r="566" spans="2:61" ht="20.100000000000001" customHeight="1" x14ac:dyDescent="0.45">
      <c r="B566" s="157"/>
      <c r="C566" s="31"/>
      <c r="D566" s="31"/>
      <c r="E566" s="31"/>
      <c r="F566" s="31"/>
      <c r="G566" s="130"/>
      <c r="H566" s="131"/>
      <c r="I566" s="130"/>
      <c r="J566" s="158" t="s">
        <v>250</v>
      </c>
      <c r="K566" s="52"/>
      <c r="L566" s="52"/>
      <c r="M566" s="52"/>
      <c r="N566" s="52"/>
      <c r="O566" s="52"/>
      <c r="P566" s="52"/>
      <c r="Q566" s="52"/>
      <c r="R566" s="158" t="s">
        <v>470</v>
      </c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159"/>
      <c r="AK566" s="132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133"/>
    </row>
    <row r="567" spans="2:61" ht="20.100000000000001" customHeight="1" x14ac:dyDescent="0.45">
      <c r="B567" s="157"/>
      <c r="C567" s="31"/>
      <c r="D567" s="31"/>
      <c r="E567" s="31"/>
      <c r="F567" s="31"/>
      <c r="G567" s="130"/>
      <c r="H567" s="131"/>
      <c r="I567" s="130"/>
      <c r="J567" s="158" t="s">
        <v>252</v>
      </c>
      <c r="K567" s="52"/>
      <c r="L567" s="52"/>
      <c r="M567" s="52"/>
      <c r="N567" s="52"/>
      <c r="O567" s="52"/>
      <c r="P567" s="52"/>
      <c r="Q567" s="52"/>
      <c r="R567" s="158" t="s">
        <v>471</v>
      </c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159"/>
      <c r="AK567" s="132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133"/>
    </row>
    <row r="568" spans="2:61" ht="20.100000000000001" customHeight="1" x14ac:dyDescent="0.45">
      <c r="B568" s="157"/>
      <c r="C568" s="31"/>
      <c r="D568" s="31"/>
      <c r="E568" s="31"/>
      <c r="F568" s="31"/>
      <c r="G568" s="130"/>
      <c r="H568" s="131"/>
      <c r="I568" s="130"/>
      <c r="J568" s="158" t="s">
        <v>254</v>
      </c>
      <c r="K568" s="52"/>
      <c r="L568" s="52"/>
      <c r="M568" s="52"/>
      <c r="N568" s="52"/>
      <c r="O568" s="52"/>
      <c r="P568" s="52"/>
      <c r="Q568" s="52"/>
      <c r="R568" s="158" t="s">
        <v>472</v>
      </c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159"/>
      <c r="AK568" s="132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133"/>
    </row>
    <row r="569" spans="2:61" ht="20.100000000000001" customHeight="1" x14ac:dyDescent="0.45">
      <c r="B569" s="157"/>
      <c r="C569" s="31"/>
      <c r="D569" s="31"/>
      <c r="E569" s="31"/>
      <c r="F569" s="31"/>
      <c r="G569" s="130"/>
      <c r="H569" s="131"/>
      <c r="I569" s="130"/>
      <c r="J569" s="158" t="s">
        <v>256</v>
      </c>
      <c r="K569" s="52"/>
      <c r="L569" s="52"/>
      <c r="M569" s="52"/>
      <c r="N569" s="52"/>
      <c r="O569" s="52"/>
      <c r="P569" s="52"/>
      <c r="Q569" s="52"/>
      <c r="R569" s="158" t="s">
        <v>473</v>
      </c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159"/>
      <c r="AK569" s="132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133"/>
    </row>
    <row r="570" spans="2:61" ht="20.100000000000001" customHeight="1" x14ac:dyDescent="0.45">
      <c r="B570" s="157"/>
      <c r="C570" s="31"/>
      <c r="D570" s="31"/>
      <c r="E570" s="31"/>
      <c r="F570" s="31"/>
      <c r="G570" s="130"/>
      <c r="H570" s="131"/>
      <c r="I570" s="130"/>
      <c r="J570" s="134" t="s">
        <v>258</v>
      </c>
      <c r="K570" s="55"/>
      <c r="L570" s="55"/>
      <c r="M570" s="55"/>
      <c r="N570" s="55"/>
      <c r="O570" s="55"/>
      <c r="P570" s="55"/>
      <c r="Q570" s="55"/>
      <c r="R570" s="134" t="s">
        <v>474</v>
      </c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171"/>
      <c r="AK570" s="132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133"/>
    </row>
    <row r="571" spans="2:61" ht="20.100000000000001" customHeight="1" thickBot="1" x14ac:dyDescent="0.5">
      <c r="B571" s="157"/>
      <c r="C571" s="31"/>
      <c r="D571" s="31"/>
      <c r="E571" s="31"/>
      <c r="F571" s="31"/>
      <c r="G571" s="130"/>
      <c r="H571" s="134" t="s">
        <v>146</v>
      </c>
      <c r="I571" s="55"/>
      <c r="J571" s="134" t="s">
        <v>189</v>
      </c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13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136"/>
    </row>
    <row r="572" spans="2:61" ht="20.100000000000001" customHeight="1" x14ac:dyDescent="0.45">
      <c r="B572" s="123" t="s">
        <v>475</v>
      </c>
      <c r="C572" s="124"/>
      <c r="D572" s="124"/>
      <c r="E572" s="124"/>
      <c r="F572" s="124"/>
      <c r="G572" s="125"/>
      <c r="H572" s="126" t="s">
        <v>177</v>
      </c>
      <c r="I572" s="125"/>
      <c r="J572" s="154" t="s">
        <v>364</v>
      </c>
      <c r="K572" s="155"/>
      <c r="L572" s="155"/>
      <c r="M572" s="155"/>
      <c r="N572" s="155"/>
      <c r="O572" s="155"/>
      <c r="P572" s="155"/>
      <c r="Q572" s="155"/>
      <c r="R572" s="154" t="s">
        <v>476</v>
      </c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6"/>
      <c r="AK572" s="127"/>
      <c r="AL572" s="124"/>
      <c r="AM572" s="124"/>
      <c r="AN572" s="124"/>
      <c r="AO572" s="124"/>
      <c r="AP572" s="124"/>
      <c r="AQ572" s="124"/>
      <c r="AR572" s="124"/>
      <c r="AS572" s="124"/>
      <c r="AT572" s="124"/>
      <c r="AU572" s="124"/>
      <c r="AV572" s="124"/>
      <c r="AW572" s="124"/>
      <c r="AX572" s="124"/>
      <c r="AY572" s="124"/>
      <c r="AZ572" s="124"/>
      <c r="BA572" s="124"/>
      <c r="BB572" s="124"/>
      <c r="BC572" s="124"/>
      <c r="BD572" s="124"/>
      <c r="BE572" s="124"/>
      <c r="BF572" s="124"/>
      <c r="BG572" s="124"/>
      <c r="BH572" s="124"/>
      <c r="BI572" s="128"/>
    </row>
    <row r="573" spans="2:61" ht="20.100000000000001" customHeight="1" x14ac:dyDescent="0.45">
      <c r="B573" s="157"/>
      <c r="C573" s="31"/>
      <c r="D573" s="31"/>
      <c r="E573" s="31"/>
      <c r="F573" s="31"/>
      <c r="G573" s="130"/>
      <c r="H573" s="131"/>
      <c r="I573" s="130"/>
      <c r="J573" s="158" t="s">
        <v>477</v>
      </c>
      <c r="K573" s="52"/>
      <c r="L573" s="52"/>
      <c r="M573" s="52"/>
      <c r="N573" s="52"/>
      <c r="O573" s="52"/>
      <c r="P573" s="52"/>
      <c r="Q573" s="52"/>
      <c r="R573" s="158" t="s">
        <v>478</v>
      </c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159"/>
      <c r="AK573" s="132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133"/>
    </row>
    <row r="574" spans="2:61" ht="20.100000000000001" customHeight="1" x14ac:dyDescent="0.45">
      <c r="B574" s="157"/>
      <c r="C574" s="31"/>
      <c r="D574" s="31"/>
      <c r="E574" s="31"/>
      <c r="F574" s="31"/>
      <c r="G574" s="130"/>
      <c r="H574" s="131"/>
      <c r="I574" s="130"/>
      <c r="J574" s="158" t="s">
        <v>479</v>
      </c>
      <c r="K574" s="52"/>
      <c r="L574" s="52"/>
      <c r="M574" s="52"/>
      <c r="N574" s="52"/>
      <c r="O574" s="52"/>
      <c r="P574" s="52"/>
      <c r="Q574" s="52"/>
      <c r="R574" s="158" t="s">
        <v>480</v>
      </c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159"/>
      <c r="AK574" s="132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133"/>
    </row>
    <row r="575" spans="2:61" ht="20.100000000000001" customHeight="1" x14ac:dyDescent="0.45">
      <c r="B575" s="157"/>
      <c r="C575" s="31"/>
      <c r="D575" s="31"/>
      <c r="E575" s="31"/>
      <c r="F575" s="31"/>
      <c r="G575" s="130"/>
      <c r="H575" s="131"/>
      <c r="I575" s="130"/>
      <c r="J575" s="158" t="s">
        <v>481</v>
      </c>
      <c r="K575" s="52"/>
      <c r="L575" s="52"/>
      <c r="M575" s="52"/>
      <c r="N575" s="52"/>
      <c r="O575" s="52"/>
      <c r="P575" s="52"/>
      <c r="Q575" s="52"/>
      <c r="R575" s="158" t="s">
        <v>482</v>
      </c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159"/>
      <c r="AK575" s="132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133"/>
    </row>
    <row r="576" spans="2:61" ht="20.100000000000001" customHeight="1" x14ac:dyDescent="0.45">
      <c r="B576" s="157"/>
      <c r="C576" s="31"/>
      <c r="D576" s="31"/>
      <c r="E576" s="31"/>
      <c r="F576" s="31"/>
      <c r="G576" s="130"/>
      <c r="H576" s="131"/>
      <c r="I576" s="130"/>
      <c r="J576" s="158" t="s">
        <v>483</v>
      </c>
      <c r="K576" s="52"/>
      <c r="L576" s="52"/>
      <c r="M576" s="52"/>
      <c r="N576" s="52"/>
      <c r="O576" s="52"/>
      <c r="P576" s="52"/>
      <c r="Q576" s="52"/>
      <c r="R576" s="158" t="s">
        <v>484</v>
      </c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159"/>
      <c r="AK576" s="132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133"/>
    </row>
    <row r="577" spans="2:61" ht="20.100000000000001" customHeight="1" x14ac:dyDescent="0.45">
      <c r="B577" s="157"/>
      <c r="C577" s="31"/>
      <c r="D577" s="31"/>
      <c r="E577" s="31"/>
      <c r="F577" s="31"/>
      <c r="G577" s="130"/>
      <c r="H577" s="131"/>
      <c r="I577" s="130"/>
      <c r="J577" s="158" t="s">
        <v>485</v>
      </c>
      <c r="K577" s="52"/>
      <c r="L577" s="52"/>
      <c r="M577" s="52"/>
      <c r="N577" s="52"/>
      <c r="O577" s="52"/>
      <c r="P577" s="52"/>
      <c r="Q577" s="52"/>
      <c r="R577" s="158" t="s">
        <v>486</v>
      </c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159"/>
      <c r="AK577" s="132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133"/>
    </row>
    <row r="578" spans="2:61" ht="20.100000000000001" customHeight="1" x14ac:dyDescent="0.45">
      <c r="B578" s="157"/>
      <c r="C578" s="31"/>
      <c r="D578" s="31"/>
      <c r="E578" s="31"/>
      <c r="F578" s="31"/>
      <c r="G578" s="130"/>
      <c r="H578" s="131"/>
      <c r="I578" s="130"/>
      <c r="J578" s="158" t="s">
        <v>487</v>
      </c>
      <c r="K578" s="52"/>
      <c r="L578" s="52"/>
      <c r="M578" s="52"/>
      <c r="N578" s="52"/>
      <c r="O578" s="52"/>
      <c r="P578" s="52"/>
      <c r="Q578" s="52"/>
      <c r="R578" s="158" t="s">
        <v>488</v>
      </c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159"/>
      <c r="AK578" s="132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133"/>
    </row>
    <row r="579" spans="2:61" ht="20.100000000000001" customHeight="1" x14ac:dyDescent="0.45">
      <c r="B579" s="157"/>
      <c r="C579" s="31"/>
      <c r="D579" s="31"/>
      <c r="E579" s="31"/>
      <c r="F579" s="31"/>
      <c r="G579" s="130"/>
      <c r="H579" s="131"/>
      <c r="I579" s="130"/>
      <c r="J579" s="158" t="s">
        <v>489</v>
      </c>
      <c r="K579" s="52"/>
      <c r="L579" s="52"/>
      <c r="M579" s="52"/>
      <c r="N579" s="52"/>
      <c r="O579" s="52"/>
      <c r="P579" s="52"/>
      <c r="Q579" s="52"/>
      <c r="R579" s="158" t="s">
        <v>490</v>
      </c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159"/>
      <c r="AK579" s="132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133"/>
    </row>
    <row r="580" spans="2:61" ht="20.100000000000001" customHeight="1" x14ac:dyDescent="0.45">
      <c r="B580" s="157"/>
      <c r="C580" s="31"/>
      <c r="D580" s="31"/>
      <c r="E580" s="31"/>
      <c r="F580" s="31"/>
      <c r="G580" s="130"/>
      <c r="H580" s="131"/>
      <c r="I580" s="130"/>
      <c r="J580" s="158" t="s">
        <v>491</v>
      </c>
      <c r="K580" s="52"/>
      <c r="L580" s="52"/>
      <c r="M580" s="52"/>
      <c r="N580" s="52"/>
      <c r="O580" s="52"/>
      <c r="P580" s="52"/>
      <c r="Q580" s="52"/>
      <c r="R580" s="158" t="s">
        <v>492</v>
      </c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159"/>
      <c r="AK580" s="132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133"/>
    </row>
    <row r="581" spans="2:61" ht="20.100000000000001" customHeight="1" x14ac:dyDescent="0.45">
      <c r="B581" s="157"/>
      <c r="C581" s="31"/>
      <c r="D581" s="31"/>
      <c r="E581" s="31"/>
      <c r="F581" s="31"/>
      <c r="G581" s="130"/>
      <c r="H581" s="131"/>
      <c r="I581" s="130"/>
      <c r="J581" s="158" t="s">
        <v>493</v>
      </c>
      <c r="K581" s="52"/>
      <c r="L581" s="52"/>
      <c r="M581" s="52"/>
      <c r="N581" s="52"/>
      <c r="O581" s="52"/>
      <c r="P581" s="52"/>
      <c r="Q581" s="52"/>
      <c r="R581" s="158" t="s">
        <v>494</v>
      </c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159"/>
      <c r="AK581" s="132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133"/>
    </row>
    <row r="582" spans="2:61" ht="20.100000000000001" customHeight="1" x14ac:dyDescent="0.45">
      <c r="B582" s="157"/>
      <c r="C582" s="31"/>
      <c r="D582" s="31"/>
      <c r="E582" s="31"/>
      <c r="F582" s="31"/>
      <c r="G582" s="130"/>
      <c r="H582" s="131"/>
      <c r="I582" s="130"/>
      <c r="J582" s="158" t="s">
        <v>495</v>
      </c>
      <c r="K582" s="52"/>
      <c r="L582" s="52"/>
      <c r="M582" s="52"/>
      <c r="N582" s="52"/>
      <c r="O582" s="52"/>
      <c r="P582" s="52"/>
      <c r="Q582" s="52"/>
      <c r="R582" s="158" t="s">
        <v>496</v>
      </c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159"/>
      <c r="AK582" s="132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133"/>
    </row>
    <row r="583" spans="2:61" ht="20.100000000000001" customHeight="1" x14ac:dyDescent="0.45">
      <c r="B583" s="157"/>
      <c r="C583" s="31"/>
      <c r="D583" s="31"/>
      <c r="E583" s="31"/>
      <c r="F583" s="31"/>
      <c r="G583" s="130"/>
      <c r="H583" s="131"/>
      <c r="I583" s="130"/>
      <c r="J583" s="158" t="s">
        <v>497</v>
      </c>
      <c r="K583" s="52"/>
      <c r="L583" s="52"/>
      <c r="M583" s="52"/>
      <c r="N583" s="52"/>
      <c r="O583" s="52"/>
      <c r="P583" s="52"/>
      <c r="Q583" s="52"/>
      <c r="R583" s="158" t="s">
        <v>498</v>
      </c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159"/>
      <c r="AK583" s="132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133"/>
    </row>
    <row r="584" spans="2:61" ht="20.100000000000001" customHeight="1" x14ac:dyDescent="0.45">
      <c r="B584" s="157"/>
      <c r="C584" s="31"/>
      <c r="D584" s="31"/>
      <c r="E584" s="31"/>
      <c r="F584" s="31"/>
      <c r="G584" s="130"/>
      <c r="H584" s="131"/>
      <c r="I584" s="130"/>
      <c r="J584" s="158" t="s">
        <v>499</v>
      </c>
      <c r="K584" s="52"/>
      <c r="L584" s="52"/>
      <c r="M584" s="52"/>
      <c r="N584" s="52"/>
      <c r="O584" s="52"/>
      <c r="P584" s="52"/>
      <c r="Q584" s="52"/>
      <c r="R584" s="158" t="s">
        <v>500</v>
      </c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159"/>
      <c r="AK584" s="132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133"/>
    </row>
    <row r="585" spans="2:61" ht="20.100000000000001" customHeight="1" x14ac:dyDescent="0.45">
      <c r="B585" s="157"/>
      <c r="C585" s="31"/>
      <c r="D585" s="31"/>
      <c r="E585" s="31"/>
      <c r="F585" s="31"/>
      <c r="G585" s="130"/>
      <c r="H585" s="131"/>
      <c r="I585" s="130"/>
      <c r="J585" s="158" t="s">
        <v>501</v>
      </c>
      <c r="K585" s="52"/>
      <c r="L585" s="52"/>
      <c r="M585" s="52"/>
      <c r="N585" s="52"/>
      <c r="O585" s="52"/>
      <c r="P585" s="52"/>
      <c r="Q585" s="52"/>
      <c r="R585" s="158" t="s">
        <v>502</v>
      </c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159"/>
      <c r="AK585" s="132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133"/>
    </row>
    <row r="586" spans="2:61" ht="20.100000000000001" customHeight="1" x14ac:dyDescent="0.45">
      <c r="B586" s="157"/>
      <c r="C586" s="31"/>
      <c r="D586" s="31"/>
      <c r="E586" s="31"/>
      <c r="F586" s="31"/>
      <c r="G586" s="130"/>
      <c r="H586" s="131"/>
      <c r="I586" s="130"/>
      <c r="J586" s="158" t="s">
        <v>503</v>
      </c>
      <c r="K586" s="52"/>
      <c r="L586" s="52"/>
      <c r="M586" s="52"/>
      <c r="N586" s="52"/>
      <c r="O586" s="52"/>
      <c r="P586" s="52"/>
      <c r="Q586" s="52"/>
      <c r="R586" s="158" t="s">
        <v>504</v>
      </c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159"/>
      <c r="AK586" s="132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133"/>
    </row>
    <row r="587" spans="2:61" ht="20.100000000000001" customHeight="1" x14ac:dyDescent="0.45">
      <c r="B587" s="157"/>
      <c r="C587" s="31"/>
      <c r="D587" s="31"/>
      <c r="E587" s="31"/>
      <c r="F587" s="31"/>
      <c r="G587" s="130"/>
      <c r="H587" s="131"/>
      <c r="I587" s="130"/>
      <c r="J587" s="158" t="s">
        <v>505</v>
      </c>
      <c r="K587" s="52"/>
      <c r="L587" s="52"/>
      <c r="M587" s="52"/>
      <c r="N587" s="52"/>
      <c r="O587" s="52"/>
      <c r="P587" s="52"/>
      <c r="Q587" s="52"/>
      <c r="R587" s="158" t="s">
        <v>506</v>
      </c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159"/>
      <c r="AK587" s="132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133"/>
    </row>
    <row r="588" spans="2:61" ht="20.100000000000001" customHeight="1" x14ac:dyDescent="0.45">
      <c r="B588" s="157"/>
      <c r="C588" s="31"/>
      <c r="D588" s="31"/>
      <c r="E588" s="31"/>
      <c r="F588" s="31"/>
      <c r="G588" s="130"/>
      <c r="H588" s="131"/>
      <c r="I588" s="130"/>
      <c r="J588" s="158" t="s">
        <v>507</v>
      </c>
      <c r="K588" s="52"/>
      <c r="L588" s="52"/>
      <c r="M588" s="52"/>
      <c r="N588" s="52"/>
      <c r="O588" s="52"/>
      <c r="P588" s="52"/>
      <c r="Q588" s="52"/>
      <c r="R588" s="158" t="s">
        <v>508</v>
      </c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159"/>
      <c r="AK588" s="132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133"/>
    </row>
    <row r="589" spans="2:61" ht="20.100000000000001" customHeight="1" x14ac:dyDescent="0.45">
      <c r="B589" s="157"/>
      <c r="C589" s="31"/>
      <c r="D589" s="31"/>
      <c r="E589" s="31"/>
      <c r="F589" s="31"/>
      <c r="G589" s="130"/>
      <c r="H589" s="131"/>
      <c r="I589" s="130"/>
      <c r="J589" s="158" t="s">
        <v>509</v>
      </c>
      <c r="K589" s="52"/>
      <c r="L589" s="52"/>
      <c r="M589" s="52"/>
      <c r="N589" s="52"/>
      <c r="O589" s="52"/>
      <c r="P589" s="52"/>
      <c r="Q589" s="52"/>
      <c r="R589" s="158" t="s">
        <v>510</v>
      </c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159"/>
      <c r="AK589" s="132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133"/>
    </row>
    <row r="590" spans="2:61" ht="20.100000000000001" customHeight="1" x14ac:dyDescent="0.45">
      <c r="B590" s="157"/>
      <c r="C590" s="31"/>
      <c r="D590" s="31"/>
      <c r="E590" s="31"/>
      <c r="F590" s="31"/>
      <c r="G590" s="130"/>
      <c r="H590" s="131"/>
      <c r="I590" s="130"/>
      <c r="J590" s="158" t="s">
        <v>511</v>
      </c>
      <c r="K590" s="52"/>
      <c r="L590" s="52"/>
      <c r="M590" s="52"/>
      <c r="N590" s="52"/>
      <c r="O590" s="52"/>
      <c r="P590" s="52"/>
      <c r="Q590" s="52"/>
      <c r="R590" s="158" t="s">
        <v>512</v>
      </c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159"/>
      <c r="AK590" s="132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133"/>
    </row>
    <row r="591" spans="2:61" ht="20.100000000000001" customHeight="1" x14ac:dyDescent="0.45">
      <c r="B591" s="157"/>
      <c r="C591" s="31"/>
      <c r="D591" s="31"/>
      <c r="E591" s="31"/>
      <c r="F591" s="31"/>
      <c r="G591" s="130"/>
      <c r="H591" s="131"/>
      <c r="I591" s="130"/>
      <c r="J591" s="158" t="s">
        <v>513</v>
      </c>
      <c r="K591" s="52"/>
      <c r="L591" s="52"/>
      <c r="M591" s="52"/>
      <c r="N591" s="52"/>
      <c r="O591" s="52"/>
      <c r="P591" s="52"/>
      <c r="Q591" s="52"/>
      <c r="R591" s="169" t="s">
        <v>514</v>
      </c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159"/>
      <c r="AK591" s="132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133"/>
    </row>
    <row r="592" spans="2:61" ht="20.100000000000001" customHeight="1" x14ac:dyDescent="0.45">
      <c r="B592" s="157"/>
      <c r="C592" s="31"/>
      <c r="D592" s="31"/>
      <c r="E592" s="31"/>
      <c r="F592" s="31"/>
      <c r="G592" s="130"/>
      <c r="H592" s="131"/>
      <c r="I592" s="130"/>
      <c r="J592" s="158" t="s">
        <v>515</v>
      </c>
      <c r="K592" s="52"/>
      <c r="L592" s="52"/>
      <c r="M592" s="52"/>
      <c r="N592" s="52"/>
      <c r="O592" s="52"/>
      <c r="P592" s="52"/>
      <c r="Q592" s="52"/>
      <c r="R592" s="158" t="s">
        <v>516</v>
      </c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159"/>
      <c r="AK592" s="132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133"/>
    </row>
    <row r="593" spans="2:61" ht="20.100000000000001" customHeight="1" x14ac:dyDescent="0.45">
      <c r="B593" s="157"/>
      <c r="C593" s="31"/>
      <c r="D593" s="31"/>
      <c r="E593" s="31"/>
      <c r="F593" s="31"/>
      <c r="G593" s="130"/>
      <c r="H593" s="131"/>
      <c r="I593" s="130"/>
      <c r="J593" s="158" t="s">
        <v>517</v>
      </c>
      <c r="K593" s="52"/>
      <c r="L593" s="52"/>
      <c r="M593" s="52"/>
      <c r="N593" s="52"/>
      <c r="O593" s="52"/>
      <c r="P593" s="52"/>
      <c r="Q593" s="52"/>
      <c r="R593" s="158" t="s">
        <v>518</v>
      </c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159"/>
      <c r="AK593" s="132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133"/>
    </row>
    <row r="594" spans="2:61" ht="20.100000000000001" customHeight="1" x14ac:dyDescent="0.45">
      <c r="B594" s="157"/>
      <c r="C594" s="31"/>
      <c r="D594" s="31"/>
      <c r="E594" s="31"/>
      <c r="F594" s="31"/>
      <c r="G594" s="130"/>
      <c r="H594" s="134" t="s">
        <v>146</v>
      </c>
      <c r="I594" s="55"/>
      <c r="J594" s="134" t="s">
        <v>519</v>
      </c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13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  <c r="BI594" s="136"/>
    </row>
    <row r="595" spans="2:61" ht="20.100000000000001" customHeight="1" x14ac:dyDescent="0.45">
      <c r="B595" s="129"/>
      <c r="C595" s="31"/>
      <c r="D595" s="31"/>
      <c r="E595" s="31"/>
      <c r="F595" s="31"/>
      <c r="G595" s="130"/>
      <c r="H595" s="131"/>
      <c r="I595" s="31"/>
      <c r="J595" s="131" t="s">
        <v>520</v>
      </c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132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133"/>
    </row>
    <row r="596" spans="2:61" ht="20.100000000000001" customHeight="1" x14ac:dyDescent="0.45">
      <c r="B596" s="129"/>
      <c r="C596" s="31"/>
      <c r="D596" s="31"/>
      <c r="E596" s="31"/>
      <c r="F596" s="31"/>
      <c r="G596" s="130"/>
      <c r="H596" s="131"/>
      <c r="I596" s="31"/>
      <c r="J596" s="131" t="s">
        <v>521</v>
      </c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132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133"/>
    </row>
    <row r="597" spans="2:61" ht="20.100000000000001" customHeight="1" x14ac:dyDescent="0.45">
      <c r="B597" s="129"/>
      <c r="C597" s="31"/>
      <c r="D597" s="31"/>
      <c r="E597" s="31"/>
      <c r="F597" s="31"/>
      <c r="G597" s="130"/>
      <c r="H597" s="134" t="s">
        <v>147</v>
      </c>
      <c r="I597" s="55"/>
      <c r="J597" s="134" t="s">
        <v>322</v>
      </c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13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  <c r="BI597" s="136"/>
    </row>
    <row r="598" spans="2:61" ht="20.100000000000001" customHeight="1" x14ac:dyDescent="0.45">
      <c r="B598" s="129"/>
      <c r="C598" s="31"/>
      <c r="D598" s="31"/>
      <c r="E598" s="31"/>
      <c r="F598" s="31"/>
      <c r="G598" s="130"/>
      <c r="H598" s="131"/>
      <c r="I598" s="31"/>
      <c r="J598" s="131"/>
      <c r="K598" s="31" t="s">
        <v>522</v>
      </c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132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133"/>
    </row>
    <row r="599" spans="2:61" ht="20.100000000000001" customHeight="1" x14ac:dyDescent="0.45">
      <c r="B599" s="129"/>
      <c r="C599" s="31"/>
      <c r="D599" s="31"/>
      <c r="E599" s="31"/>
      <c r="F599" s="31"/>
      <c r="G599" s="130"/>
      <c r="H599" s="131"/>
      <c r="I599" s="31"/>
      <c r="J599" s="131"/>
      <c r="K599" s="31"/>
      <c r="M599" s="31" t="s">
        <v>523</v>
      </c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132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133"/>
    </row>
    <row r="600" spans="2:61" ht="20.100000000000001" customHeight="1" x14ac:dyDescent="0.45">
      <c r="B600" s="129"/>
      <c r="C600" s="31"/>
      <c r="D600" s="31"/>
      <c r="E600" s="31"/>
      <c r="F600" s="31"/>
      <c r="G600" s="130"/>
      <c r="H600" s="131"/>
      <c r="I600" s="31"/>
      <c r="J600" s="131" t="s">
        <v>322</v>
      </c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132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133"/>
    </row>
    <row r="601" spans="2:61" ht="20.100000000000001" customHeight="1" x14ac:dyDescent="0.45">
      <c r="B601" s="129"/>
      <c r="C601" s="31"/>
      <c r="D601" s="31"/>
      <c r="E601" s="31"/>
      <c r="F601" s="31"/>
      <c r="G601" s="130"/>
      <c r="H601" s="131"/>
      <c r="I601" s="31"/>
      <c r="J601" s="131"/>
      <c r="K601" s="31" t="s">
        <v>524</v>
      </c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132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133"/>
    </row>
    <row r="602" spans="2:61" ht="20.100000000000001" customHeight="1" x14ac:dyDescent="0.45">
      <c r="B602" s="129"/>
      <c r="C602" s="31"/>
      <c r="D602" s="31"/>
      <c r="E602" s="31"/>
      <c r="F602" s="31"/>
      <c r="G602" s="130"/>
      <c r="H602" s="131"/>
      <c r="I602" s="31"/>
      <c r="J602" s="131"/>
      <c r="K602" s="31"/>
      <c r="M602" s="31" t="s">
        <v>525</v>
      </c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132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133"/>
    </row>
    <row r="603" spans="2:61" ht="20.100000000000001" customHeight="1" thickBot="1" x14ac:dyDescent="0.5">
      <c r="B603" s="129"/>
      <c r="C603" s="31"/>
      <c r="D603" s="31"/>
      <c r="E603" s="31"/>
      <c r="F603" s="31"/>
      <c r="G603" s="130"/>
      <c r="H603" s="134" t="s">
        <v>148</v>
      </c>
      <c r="I603" s="55"/>
      <c r="J603" s="134"/>
      <c r="K603" s="55" t="s">
        <v>526</v>
      </c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13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136"/>
    </row>
    <row r="604" spans="2:61" ht="20.100000000000001" customHeight="1" x14ac:dyDescent="0.45">
      <c r="B604" s="123" t="s">
        <v>527</v>
      </c>
      <c r="C604" s="124"/>
      <c r="D604" s="124"/>
      <c r="E604" s="124"/>
      <c r="F604" s="124"/>
      <c r="G604" s="125"/>
      <c r="H604" s="126" t="s">
        <v>177</v>
      </c>
      <c r="I604" s="125"/>
      <c r="J604" s="154" t="s">
        <v>364</v>
      </c>
      <c r="K604" s="155"/>
      <c r="L604" s="155"/>
      <c r="M604" s="155"/>
      <c r="N604" s="155"/>
      <c r="O604" s="155"/>
      <c r="P604" s="155"/>
      <c r="Q604" s="155"/>
      <c r="R604" s="154" t="s">
        <v>528</v>
      </c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6"/>
      <c r="AK604" s="127"/>
      <c r="AL604" s="124"/>
      <c r="AM604" s="124"/>
      <c r="AN604" s="124"/>
      <c r="AO604" s="124"/>
      <c r="AP604" s="124"/>
      <c r="AQ604" s="124"/>
      <c r="AR604" s="124"/>
      <c r="AS604" s="124"/>
      <c r="AT604" s="124"/>
      <c r="AU604" s="124"/>
      <c r="AV604" s="124"/>
      <c r="AW604" s="124"/>
      <c r="AX604" s="124"/>
      <c r="AY604" s="124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8"/>
    </row>
    <row r="605" spans="2:61" ht="20.100000000000001" customHeight="1" x14ac:dyDescent="0.45">
      <c r="B605" s="157"/>
      <c r="C605" s="31"/>
      <c r="D605" s="31"/>
      <c r="E605" s="31"/>
      <c r="F605" s="31"/>
      <c r="G605" s="130"/>
      <c r="H605" s="131"/>
      <c r="I605" s="130"/>
      <c r="J605" s="158" t="s">
        <v>529</v>
      </c>
      <c r="K605" s="52"/>
      <c r="L605" s="52"/>
      <c r="M605" s="52"/>
      <c r="N605" s="52"/>
      <c r="O605" s="52"/>
      <c r="P605" s="52"/>
      <c r="Q605" s="52"/>
      <c r="R605" s="158" t="s">
        <v>530</v>
      </c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159"/>
      <c r="AK605" s="132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133"/>
    </row>
    <row r="606" spans="2:61" ht="20.100000000000001" customHeight="1" x14ac:dyDescent="0.45">
      <c r="B606" s="157"/>
      <c r="C606" s="31"/>
      <c r="D606" s="31"/>
      <c r="E606" s="31"/>
      <c r="F606" s="31"/>
      <c r="G606" s="130"/>
      <c r="H606" s="131"/>
      <c r="I606" s="130"/>
      <c r="J606" s="158" t="s">
        <v>531</v>
      </c>
      <c r="K606" s="52"/>
      <c r="L606" s="52"/>
      <c r="M606" s="52"/>
      <c r="N606" s="52"/>
      <c r="O606" s="52"/>
      <c r="P606" s="52"/>
      <c r="Q606" s="52"/>
      <c r="R606" s="158" t="s">
        <v>532</v>
      </c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159"/>
      <c r="AK606" s="132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133"/>
    </row>
    <row r="607" spans="2:61" ht="20.100000000000001" customHeight="1" x14ac:dyDescent="0.45">
      <c r="B607" s="157"/>
      <c r="C607" s="31"/>
      <c r="D607" s="31"/>
      <c r="E607" s="31"/>
      <c r="F607" s="31"/>
      <c r="G607" s="130"/>
      <c r="H607" s="131"/>
      <c r="I607" s="130"/>
      <c r="J607" s="158" t="s">
        <v>230</v>
      </c>
      <c r="K607" s="52"/>
      <c r="L607" s="52"/>
      <c r="M607" s="52"/>
      <c r="N607" s="52"/>
      <c r="O607" s="52"/>
      <c r="P607" s="52"/>
      <c r="Q607" s="52"/>
      <c r="R607" s="158" t="s">
        <v>533</v>
      </c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159"/>
      <c r="AK607" s="132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133"/>
    </row>
    <row r="608" spans="2:61" ht="20.100000000000001" customHeight="1" x14ac:dyDescent="0.45">
      <c r="B608" s="157"/>
      <c r="C608" s="31"/>
      <c r="D608" s="31"/>
      <c r="E608" s="31"/>
      <c r="F608" s="31"/>
      <c r="G608" s="130"/>
      <c r="H608" s="131"/>
      <c r="I608" s="130"/>
      <c r="J608" s="158" t="s">
        <v>238</v>
      </c>
      <c r="K608" s="52"/>
      <c r="L608" s="52"/>
      <c r="M608" s="52"/>
      <c r="N608" s="52"/>
      <c r="O608" s="52"/>
      <c r="P608" s="52"/>
      <c r="Q608" s="52"/>
      <c r="R608" s="158" t="s">
        <v>534</v>
      </c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159"/>
      <c r="AK608" s="132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133"/>
    </row>
    <row r="609" spans="2:61" ht="20.100000000000001" customHeight="1" x14ac:dyDescent="0.45">
      <c r="B609" s="157"/>
      <c r="C609" s="31"/>
      <c r="D609" s="31"/>
      <c r="E609" s="31"/>
      <c r="F609" s="31"/>
      <c r="G609" s="130"/>
      <c r="H609" s="131"/>
      <c r="I609" s="130"/>
      <c r="J609" s="158" t="s">
        <v>240</v>
      </c>
      <c r="K609" s="52"/>
      <c r="L609" s="52"/>
      <c r="M609" s="52"/>
      <c r="N609" s="52"/>
      <c r="O609" s="52"/>
      <c r="P609" s="52"/>
      <c r="Q609" s="52"/>
      <c r="R609" s="158">
        <v>0</v>
      </c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159"/>
      <c r="AK609" s="132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133"/>
    </row>
    <row r="610" spans="2:61" ht="20.100000000000001" customHeight="1" x14ac:dyDescent="0.45">
      <c r="B610" s="157"/>
      <c r="C610" s="31"/>
      <c r="D610" s="31"/>
      <c r="E610" s="31"/>
      <c r="F610" s="31"/>
      <c r="G610" s="130"/>
      <c r="H610" s="131"/>
      <c r="I610" s="130"/>
      <c r="J610" s="158" t="s">
        <v>242</v>
      </c>
      <c r="K610" s="52"/>
      <c r="L610" s="52"/>
      <c r="M610" s="52"/>
      <c r="N610" s="52"/>
      <c r="O610" s="52"/>
      <c r="P610" s="52"/>
      <c r="Q610" s="52"/>
      <c r="R610" s="158">
        <v>0</v>
      </c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159"/>
      <c r="AK610" s="132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133"/>
    </row>
    <row r="611" spans="2:61" ht="20.100000000000001" customHeight="1" x14ac:dyDescent="0.45">
      <c r="B611" s="157"/>
      <c r="C611" s="31"/>
      <c r="D611" s="31"/>
      <c r="E611" s="31"/>
      <c r="F611" s="31"/>
      <c r="G611" s="130"/>
      <c r="H611" s="134" t="s">
        <v>146</v>
      </c>
      <c r="I611" s="55"/>
      <c r="J611" s="134" t="s">
        <v>189</v>
      </c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13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  <c r="BI611" s="136"/>
    </row>
    <row r="612" spans="2:61" ht="20.100000000000001" customHeight="1" x14ac:dyDescent="0.45">
      <c r="B612" s="129"/>
      <c r="C612" s="31"/>
      <c r="D612" s="31"/>
      <c r="E612" s="31"/>
      <c r="F612" s="31"/>
      <c r="G612" s="130"/>
      <c r="H612" s="134" t="s">
        <v>383</v>
      </c>
      <c r="I612" s="55"/>
      <c r="J612" s="134" t="s">
        <v>528</v>
      </c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13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  <c r="BI612" s="136"/>
    </row>
    <row r="613" spans="2:61" ht="20.100000000000001" customHeight="1" x14ac:dyDescent="0.45">
      <c r="B613" s="129"/>
      <c r="C613" s="31"/>
      <c r="D613" s="31"/>
      <c r="E613" s="31"/>
      <c r="F613" s="31"/>
      <c r="G613" s="130"/>
      <c r="H613" s="131"/>
      <c r="I613" s="31"/>
      <c r="J613" s="131" t="s">
        <v>530</v>
      </c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132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133"/>
    </row>
    <row r="614" spans="2:61" ht="20.100000000000001" customHeight="1" x14ac:dyDescent="0.45">
      <c r="B614" s="129"/>
      <c r="C614" s="31"/>
      <c r="D614" s="31"/>
      <c r="E614" s="31"/>
      <c r="F614" s="31"/>
      <c r="G614" s="130"/>
      <c r="H614" s="137"/>
      <c r="I614" s="138"/>
      <c r="J614" s="137" t="s">
        <v>532</v>
      </c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  <c r="AE614" s="138"/>
      <c r="AF614" s="138"/>
      <c r="AG614" s="138"/>
      <c r="AH614" s="138"/>
      <c r="AI614" s="138"/>
      <c r="AJ614" s="138"/>
      <c r="AK614" s="139"/>
      <c r="AL614" s="138"/>
      <c r="AM614" s="138"/>
      <c r="AN614" s="138"/>
      <c r="AO614" s="138"/>
      <c r="AP614" s="138"/>
      <c r="AQ614" s="138"/>
      <c r="AR614" s="138"/>
      <c r="AS614" s="138"/>
      <c r="AT614" s="138"/>
      <c r="AU614" s="138"/>
      <c r="AV614" s="138"/>
      <c r="AW614" s="138"/>
      <c r="AX614" s="138"/>
      <c r="AY614" s="138"/>
      <c r="AZ614" s="138"/>
      <c r="BA614" s="138"/>
      <c r="BB614" s="138"/>
      <c r="BC614" s="138"/>
      <c r="BD614" s="138"/>
      <c r="BE614" s="138"/>
      <c r="BF614" s="138"/>
      <c r="BG614" s="138"/>
      <c r="BH614" s="138"/>
      <c r="BI614" s="140"/>
    </row>
    <row r="615" spans="2:61" ht="20.100000000000001" customHeight="1" thickBot="1" x14ac:dyDescent="0.5">
      <c r="B615" s="129"/>
      <c r="C615" s="31"/>
      <c r="D615" s="31"/>
      <c r="E615" s="31"/>
      <c r="F615" s="31"/>
      <c r="G615" s="130"/>
      <c r="H615" s="131" t="s">
        <v>391</v>
      </c>
      <c r="I615" s="31"/>
      <c r="J615" s="131" t="s">
        <v>530</v>
      </c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132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133"/>
    </row>
    <row r="616" spans="2:61" ht="20.100000000000001" customHeight="1" x14ac:dyDescent="0.45">
      <c r="B616" s="123" t="s">
        <v>535</v>
      </c>
      <c r="C616" s="124"/>
      <c r="D616" s="124"/>
      <c r="E616" s="124"/>
      <c r="F616" s="124"/>
      <c r="G616" s="125"/>
      <c r="H616" s="126" t="s">
        <v>177</v>
      </c>
      <c r="I616" s="125"/>
      <c r="J616" s="154" t="s">
        <v>192</v>
      </c>
      <c r="K616" s="155"/>
      <c r="L616" s="155"/>
      <c r="M616" s="155"/>
      <c r="N616" s="155"/>
      <c r="O616" s="155"/>
      <c r="P616" s="155"/>
      <c r="Q616" s="155"/>
      <c r="R616" s="154" t="s">
        <v>449</v>
      </c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6"/>
      <c r="AK616" s="127"/>
      <c r="AL616" s="124"/>
      <c r="AM616" s="124"/>
      <c r="AN616" s="124"/>
      <c r="AO616" s="124"/>
      <c r="AP616" s="124"/>
      <c r="AQ616" s="124"/>
      <c r="AR616" s="124"/>
      <c r="AS616" s="124"/>
      <c r="AT616" s="124"/>
      <c r="AU616" s="124"/>
      <c r="AV616" s="124"/>
      <c r="AW616" s="124"/>
      <c r="AX616" s="124"/>
      <c r="AY616" s="124"/>
      <c r="AZ616" s="124"/>
      <c r="BA616" s="124"/>
      <c r="BB616" s="124"/>
      <c r="BC616" s="124"/>
      <c r="BD616" s="124"/>
      <c r="BE616" s="124"/>
      <c r="BF616" s="124"/>
      <c r="BG616" s="124"/>
      <c r="BH616" s="124"/>
      <c r="BI616" s="128"/>
    </row>
    <row r="617" spans="2:61" ht="20.100000000000001" customHeight="1" x14ac:dyDescent="0.45">
      <c r="B617" s="157"/>
      <c r="C617" s="31"/>
      <c r="D617" s="31"/>
      <c r="E617" s="31"/>
      <c r="F617" s="31"/>
      <c r="G617" s="130"/>
      <c r="H617" s="131"/>
      <c r="I617" s="130"/>
      <c r="J617" s="158" t="s">
        <v>529</v>
      </c>
      <c r="K617" s="52"/>
      <c r="L617" s="52"/>
      <c r="M617" s="52"/>
      <c r="N617" s="52"/>
      <c r="O617" s="52"/>
      <c r="P617" s="52"/>
      <c r="Q617" s="52"/>
      <c r="R617" s="158" t="s">
        <v>450</v>
      </c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159"/>
      <c r="AK617" s="132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133"/>
    </row>
    <row r="618" spans="2:61" ht="20.100000000000001" customHeight="1" x14ac:dyDescent="0.45">
      <c r="B618" s="157"/>
      <c r="C618" s="31"/>
      <c r="D618" s="31"/>
      <c r="E618" s="31"/>
      <c r="F618" s="31"/>
      <c r="G618" s="130"/>
      <c r="H618" s="131"/>
      <c r="I618" s="130"/>
      <c r="J618" s="158" t="s">
        <v>531</v>
      </c>
      <c r="K618" s="52"/>
      <c r="L618" s="52"/>
      <c r="M618" s="52"/>
      <c r="N618" s="52"/>
      <c r="O618" s="52"/>
      <c r="P618" s="52"/>
      <c r="Q618" s="52"/>
      <c r="R618" s="158" t="s">
        <v>451</v>
      </c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159"/>
      <c r="AK618" s="132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133"/>
    </row>
    <row r="619" spans="2:61" ht="20.100000000000001" customHeight="1" x14ac:dyDescent="0.45">
      <c r="B619" s="157"/>
      <c r="C619" s="31"/>
      <c r="D619" s="31"/>
      <c r="E619" s="31"/>
      <c r="F619" s="31"/>
      <c r="G619" s="130"/>
      <c r="H619" s="131"/>
      <c r="I619" s="130"/>
      <c r="J619" s="158" t="s">
        <v>536</v>
      </c>
      <c r="K619" s="52"/>
      <c r="L619" s="52"/>
      <c r="M619" s="52"/>
      <c r="N619" s="52"/>
      <c r="O619" s="52"/>
      <c r="P619" s="52"/>
      <c r="Q619" s="52"/>
      <c r="R619" s="158" t="s">
        <v>537</v>
      </c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159"/>
      <c r="AK619" s="132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133"/>
    </row>
    <row r="620" spans="2:61" ht="20.100000000000001" customHeight="1" x14ac:dyDescent="0.45">
      <c r="B620" s="157"/>
      <c r="C620" s="31"/>
      <c r="D620" s="31"/>
      <c r="E620" s="31"/>
      <c r="F620" s="31"/>
      <c r="G620" s="130"/>
      <c r="H620" s="131"/>
      <c r="I620" s="130"/>
      <c r="J620" s="158"/>
      <c r="K620" s="52"/>
      <c r="L620" s="52"/>
      <c r="M620" s="52"/>
      <c r="N620" s="52"/>
      <c r="O620" s="52"/>
      <c r="P620" s="52"/>
      <c r="Q620" s="52"/>
      <c r="R620" s="158" t="s">
        <v>538</v>
      </c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159"/>
      <c r="AK620" s="132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133"/>
    </row>
    <row r="621" spans="2:61" ht="20.100000000000001" customHeight="1" x14ac:dyDescent="0.45">
      <c r="B621" s="157"/>
      <c r="C621" s="31"/>
      <c r="D621" s="31"/>
      <c r="E621" s="31"/>
      <c r="F621" s="31"/>
      <c r="G621" s="130"/>
      <c r="H621" s="134" t="s">
        <v>146</v>
      </c>
      <c r="I621" s="55"/>
      <c r="J621" s="134" t="s">
        <v>539</v>
      </c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13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  <c r="BI621" s="136"/>
    </row>
    <row r="622" spans="2:61" ht="20.100000000000001" customHeight="1" x14ac:dyDescent="0.45">
      <c r="B622" s="129"/>
      <c r="C622" s="31"/>
      <c r="D622" s="31"/>
      <c r="E622" s="31"/>
      <c r="F622" s="31"/>
      <c r="G622" s="130"/>
      <c r="H622" s="131"/>
      <c r="I622" s="31"/>
      <c r="J622" s="131" t="s">
        <v>540</v>
      </c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132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133"/>
    </row>
    <row r="623" spans="2:61" ht="20.100000000000001" customHeight="1" x14ac:dyDescent="0.45">
      <c r="B623" s="129"/>
      <c r="C623" s="31"/>
      <c r="D623" s="31"/>
      <c r="E623" s="31"/>
      <c r="F623" s="31"/>
      <c r="G623" s="130"/>
      <c r="H623" s="131"/>
      <c r="I623" s="31"/>
      <c r="J623" s="1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132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133"/>
    </row>
    <row r="624" spans="2:61" ht="20.100000000000001" customHeight="1" x14ac:dyDescent="0.45">
      <c r="B624" s="129"/>
      <c r="C624" s="31"/>
      <c r="D624" s="31"/>
      <c r="E624" s="31"/>
      <c r="F624" s="31"/>
      <c r="G624" s="130"/>
      <c r="H624" s="131"/>
      <c r="I624" s="31"/>
      <c r="J624" s="1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132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133"/>
    </row>
    <row r="625" spans="2:61" ht="20.100000000000001" customHeight="1" x14ac:dyDescent="0.45">
      <c r="B625" s="129"/>
      <c r="C625" s="31"/>
      <c r="D625" s="31"/>
      <c r="E625" s="31"/>
      <c r="F625" s="31"/>
      <c r="G625" s="130"/>
      <c r="H625" s="131"/>
      <c r="I625" s="31"/>
      <c r="J625" s="1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132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133"/>
    </row>
    <row r="626" spans="2:61" ht="20.100000000000001" customHeight="1" x14ac:dyDescent="0.45">
      <c r="B626" s="129"/>
      <c r="C626" s="31"/>
      <c r="D626" s="31"/>
      <c r="E626" s="31"/>
      <c r="F626" s="31"/>
      <c r="G626" s="130"/>
      <c r="H626" s="134" t="s">
        <v>147</v>
      </c>
      <c r="I626" s="55"/>
      <c r="J626" s="134" t="s">
        <v>322</v>
      </c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13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  <c r="BH626" s="55"/>
      <c r="BI626" s="136"/>
    </row>
    <row r="627" spans="2:61" ht="20.100000000000001" customHeight="1" x14ac:dyDescent="0.45">
      <c r="B627" s="129"/>
      <c r="C627" s="31"/>
      <c r="D627" s="31"/>
      <c r="E627" s="31"/>
      <c r="F627" s="31"/>
      <c r="G627" s="130"/>
      <c r="H627" s="131"/>
      <c r="I627" s="31"/>
      <c r="J627" s="131"/>
      <c r="K627" s="31" t="s">
        <v>541</v>
      </c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132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133"/>
    </row>
    <row r="628" spans="2:61" ht="20.100000000000001" customHeight="1" x14ac:dyDescent="0.45">
      <c r="B628" s="129"/>
      <c r="C628" s="31"/>
      <c r="D628" s="31"/>
      <c r="E628" s="31"/>
      <c r="F628" s="31"/>
      <c r="G628" s="130"/>
      <c r="H628" s="131"/>
      <c r="I628" s="31"/>
      <c r="J628" s="131"/>
      <c r="K628" s="31"/>
      <c r="M628" s="31" t="s">
        <v>542</v>
      </c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132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133"/>
    </row>
    <row r="629" spans="2:61" ht="20.100000000000001" customHeight="1" x14ac:dyDescent="0.45">
      <c r="B629" s="129"/>
      <c r="C629" s="31"/>
      <c r="D629" s="31"/>
      <c r="E629" s="31"/>
      <c r="F629" s="31"/>
      <c r="G629" s="130"/>
      <c r="H629" s="131"/>
      <c r="I629" s="31"/>
      <c r="J629" s="131"/>
      <c r="K629" s="31"/>
      <c r="L629" s="31" t="s">
        <v>325</v>
      </c>
      <c r="M629" s="31" t="s">
        <v>543</v>
      </c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132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133"/>
    </row>
    <row r="630" spans="2:61" ht="20.100000000000001" customHeight="1" x14ac:dyDescent="0.45">
      <c r="B630" s="129"/>
      <c r="C630" s="31"/>
      <c r="D630" s="31"/>
      <c r="E630" s="31"/>
      <c r="F630" s="31"/>
      <c r="G630" s="130"/>
      <c r="H630" s="131"/>
      <c r="I630" s="31"/>
      <c r="J630" s="131"/>
      <c r="K630" s="31"/>
      <c r="L630" s="31" t="s">
        <v>325</v>
      </c>
      <c r="M630" s="31" t="s">
        <v>544</v>
      </c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132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133"/>
    </row>
    <row r="631" spans="2:61" ht="20.100000000000001" customHeight="1" x14ac:dyDescent="0.45">
      <c r="B631" s="129"/>
      <c r="C631" s="31"/>
      <c r="D631" s="31"/>
      <c r="E631" s="31"/>
      <c r="F631" s="31"/>
      <c r="G631" s="130"/>
      <c r="H631" s="134" t="s">
        <v>391</v>
      </c>
      <c r="I631" s="55"/>
      <c r="J631" s="134" t="s">
        <v>545</v>
      </c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134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  <c r="BH631" s="55"/>
      <c r="BI631" s="136"/>
    </row>
    <row r="632" spans="2:61" ht="20.100000000000001" customHeight="1" thickBot="1" x14ac:dyDescent="0.5">
      <c r="B632" s="129"/>
      <c r="C632" s="31"/>
      <c r="D632" s="31"/>
      <c r="E632" s="31"/>
      <c r="F632" s="31"/>
      <c r="G632" s="130"/>
      <c r="H632" s="151"/>
      <c r="I632" s="149"/>
      <c r="J632" s="151" t="s">
        <v>546</v>
      </c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  <c r="AE632" s="149"/>
      <c r="AF632" s="149"/>
      <c r="AG632" s="149"/>
      <c r="AH632" s="149"/>
      <c r="AI632" s="149"/>
      <c r="AJ632" s="149"/>
      <c r="AK632" s="179"/>
      <c r="AL632" s="149"/>
      <c r="AM632" s="149"/>
      <c r="AN632" s="149"/>
      <c r="AO632" s="149"/>
      <c r="AP632" s="149"/>
      <c r="AQ632" s="149"/>
      <c r="AR632" s="149"/>
      <c r="AS632" s="149"/>
      <c r="AT632" s="149"/>
      <c r="AU632" s="149"/>
      <c r="AV632" s="149"/>
      <c r="AW632" s="149"/>
      <c r="AX632" s="149"/>
      <c r="AY632" s="149"/>
      <c r="AZ632" s="149"/>
      <c r="BA632" s="149"/>
      <c r="BB632" s="149"/>
      <c r="BC632" s="149"/>
      <c r="BD632" s="149"/>
      <c r="BE632" s="149"/>
      <c r="BF632" s="149"/>
      <c r="BG632" s="149"/>
      <c r="BH632" s="149"/>
      <c r="BI632" s="152"/>
    </row>
    <row r="633" spans="2:61" ht="20.100000000000001" customHeight="1" x14ac:dyDescent="0.45">
      <c r="B633" s="123" t="s">
        <v>541</v>
      </c>
      <c r="C633" s="124"/>
      <c r="D633" s="124"/>
      <c r="E633" s="124"/>
      <c r="F633" s="124"/>
      <c r="G633" s="125"/>
      <c r="H633" s="126" t="s">
        <v>177</v>
      </c>
      <c r="I633" s="125"/>
      <c r="J633" s="154" t="s">
        <v>192</v>
      </c>
      <c r="K633" s="155"/>
      <c r="L633" s="155"/>
      <c r="M633" s="155"/>
      <c r="N633" s="155"/>
      <c r="O633" s="155"/>
      <c r="P633" s="155"/>
      <c r="Q633" s="155"/>
      <c r="R633" s="154" t="s">
        <v>449</v>
      </c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6"/>
      <c r="AK633" s="127"/>
      <c r="AL633" s="124"/>
      <c r="AM633" s="124"/>
      <c r="AN633" s="124"/>
      <c r="AO633" s="124"/>
      <c r="AP633" s="124"/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124"/>
      <c r="BB633" s="124"/>
      <c r="BC633" s="124"/>
      <c r="BD633" s="124"/>
      <c r="BE633" s="124"/>
      <c r="BF633" s="124"/>
      <c r="BG633" s="124"/>
      <c r="BH633" s="124"/>
      <c r="BI633" s="128"/>
    </row>
    <row r="634" spans="2:61" ht="20.100000000000001" customHeight="1" x14ac:dyDescent="0.45">
      <c r="B634" s="157"/>
      <c r="C634" s="31"/>
      <c r="D634" s="31"/>
      <c r="E634" s="31"/>
      <c r="F634" s="31"/>
      <c r="G634" s="130"/>
      <c r="H634" s="131"/>
      <c r="I634" s="130"/>
      <c r="J634" s="158" t="s">
        <v>529</v>
      </c>
      <c r="K634" s="52"/>
      <c r="L634" s="52"/>
      <c r="M634" s="52"/>
      <c r="N634" s="52"/>
      <c r="O634" s="52"/>
      <c r="P634" s="52"/>
      <c r="Q634" s="52"/>
      <c r="R634" s="158" t="s">
        <v>450</v>
      </c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159"/>
      <c r="AK634" s="132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133"/>
    </row>
    <row r="635" spans="2:61" ht="20.100000000000001" customHeight="1" x14ac:dyDescent="0.45">
      <c r="B635" s="157"/>
      <c r="C635" s="31"/>
      <c r="D635" s="31"/>
      <c r="E635" s="31"/>
      <c r="F635" s="31"/>
      <c r="G635" s="130"/>
      <c r="H635" s="131"/>
      <c r="I635" s="130"/>
      <c r="J635" s="158" t="s">
        <v>531</v>
      </c>
      <c r="K635" s="52"/>
      <c r="L635" s="52"/>
      <c r="M635" s="52"/>
      <c r="N635" s="52"/>
      <c r="O635" s="52"/>
      <c r="P635" s="52"/>
      <c r="Q635" s="52"/>
      <c r="R635" s="158" t="s">
        <v>451</v>
      </c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159"/>
      <c r="AK635" s="132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133"/>
    </row>
    <row r="636" spans="2:61" ht="20.100000000000001" customHeight="1" x14ac:dyDescent="0.45">
      <c r="B636" s="157"/>
      <c r="C636" s="31"/>
      <c r="D636" s="31"/>
      <c r="E636" s="31"/>
      <c r="F636" s="31"/>
      <c r="G636" s="130"/>
      <c r="H636" s="131"/>
      <c r="I636" s="130"/>
      <c r="J636" s="158" t="s">
        <v>536</v>
      </c>
      <c r="K636" s="52"/>
      <c r="L636" s="52"/>
      <c r="M636" s="52"/>
      <c r="N636" s="52"/>
      <c r="O636" s="52"/>
      <c r="P636" s="52"/>
      <c r="Q636" s="52"/>
      <c r="R636" s="158" t="s">
        <v>537</v>
      </c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159"/>
      <c r="AK636" s="132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133"/>
    </row>
    <row r="637" spans="2:61" ht="20.100000000000001" customHeight="1" x14ac:dyDescent="0.45">
      <c r="B637" s="157"/>
      <c r="C637" s="31"/>
      <c r="D637" s="31"/>
      <c r="E637" s="31"/>
      <c r="F637" s="31"/>
      <c r="G637" s="130"/>
      <c r="H637" s="134" t="s">
        <v>146</v>
      </c>
      <c r="I637" s="55"/>
      <c r="J637" s="134" t="s">
        <v>189</v>
      </c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13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  <c r="BH637" s="55"/>
      <c r="BI637" s="136"/>
    </row>
    <row r="638" spans="2:61" ht="20.100000000000001" customHeight="1" x14ac:dyDescent="0.45">
      <c r="B638" s="129"/>
      <c r="C638" s="31"/>
      <c r="D638" s="31"/>
      <c r="E638" s="31"/>
      <c r="F638" s="31"/>
      <c r="G638" s="130"/>
      <c r="H638" s="134" t="s">
        <v>383</v>
      </c>
      <c r="I638" s="55"/>
      <c r="J638" s="134" t="s">
        <v>449</v>
      </c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13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  <c r="BH638" s="55"/>
      <c r="BI638" s="136"/>
    </row>
    <row r="639" spans="2:61" ht="20.100000000000001" customHeight="1" x14ac:dyDescent="0.45">
      <c r="B639" s="129"/>
      <c r="C639" s="31"/>
      <c r="D639" s="31"/>
      <c r="E639" s="31"/>
      <c r="F639" s="31"/>
      <c r="G639" s="130"/>
      <c r="H639" s="131"/>
      <c r="I639" s="31"/>
      <c r="J639" s="131" t="s">
        <v>450</v>
      </c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132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133"/>
    </row>
    <row r="640" spans="2:61" ht="20.100000000000001" customHeight="1" thickBot="1" x14ac:dyDescent="0.5">
      <c r="B640" s="129"/>
      <c r="C640" s="31"/>
      <c r="D640" s="31"/>
      <c r="E640" s="31"/>
      <c r="F640" s="31"/>
      <c r="G640" s="130"/>
      <c r="H640" s="131"/>
      <c r="I640" s="31"/>
      <c r="J640" s="131" t="s">
        <v>451</v>
      </c>
      <c r="K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132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133"/>
    </row>
    <row r="641" spans="2:61" ht="5.0999999999999996" customHeight="1" x14ac:dyDescent="0.45"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  <c r="AI641" s="124"/>
      <c r="AJ641" s="124"/>
      <c r="AK641" s="124"/>
      <c r="AL641" s="124"/>
      <c r="AM641" s="124"/>
      <c r="AN641" s="124"/>
      <c r="AO641" s="124"/>
      <c r="AP641" s="124"/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/>
      <c r="BB641" s="124"/>
      <c r="BC641" s="124"/>
      <c r="BD641" s="124"/>
      <c r="BE641" s="124"/>
      <c r="BF641" s="124"/>
      <c r="BG641" s="124"/>
      <c r="BH641" s="124"/>
      <c r="BI641" s="124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5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>
      <selection activeCell="E22" sqref="E22"/>
    </sheetView>
  </sheetViews>
  <sheetFormatPr defaultRowHeight="18" x14ac:dyDescent="0.45"/>
  <cols>
    <col min="1" max="2" width="8.796875" style="29"/>
    <col min="3" max="3" width="8.59765625" style="29" bestFit="1" customWidth="1"/>
    <col min="4" max="4" width="9" style="29" bestFit="1" customWidth="1"/>
    <col min="5" max="5" width="106.8984375" style="29" customWidth="1"/>
    <col min="6" max="16384" width="8.796875" style="29"/>
  </cols>
  <sheetData>
    <row r="2" spans="2:6" ht="19.2" thickBot="1" x14ac:dyDescent="0.5">
      <c r="B2" s="86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120" t="s">
        <v>142</v>
      </c>
      <c r="D4" s="120" t="s">
        <v>145</v>
      </c>
      <c r="E4" s="121" t="s">
        <v>143</v>
      </c>
      <c r="F4" s="80" t="s">
        <v>186</v>
      </c>
    </row>
    <row r="5" spans="2:6" x14ac:dyDescent="0.45">
      <c r="B5" s="37">
        <v>2</v>
      </c>
      <c r="C5" s="120"/>
      <c r="D5" s="120" t="s">
        <v>145</v>
      </c>
      <c r="E5" s="122" t="s">
        <v>144</v>
      </c>
      <c r="F5" s="80" t="s">
        <v>186</v>
      </c>
    </row>
    <row r="6" spans="2:6" x14ac:dyDescent="0.45">
      <c r="B6" s="37">
        <v>3</v>
      </c>
      <c r="C6" s="120"/>
      <c r="D6" s="120"/>
      <c r="E6" s="122"/>
      <c r="F6" s="80"/>
    </row>
    <row r="7" spans="2:6" x14ac:dyDescent="0.45">
      <c r="B7" s="37">
        <v>4</v>
      </c>
      <c r="C7" s="120"/>
      <c r="D7" s="120"/>
      <c r="E7" s="122"/>
      <c r="F7" s="80"/>
    </row>
    <row r="8" spans="2:6" x14ac:dyDescent="0.45">
      <c r="B8" s="37">
        <v>5</v>
      </c>
      <c r="C8" s="79"/>
      <c r="D8" s="79"/>
      <c r="E8" s="81"/>
      <c r="F8" s="80"/>
    </row>
    <row r="9" spans="2:6" x14ac:dyDescent="0.45">
      <c r="B9" s="37">
        <v>6</v>
      </c>
      <c r="C9" s="79"/>
      <c r="D9" s="79"/>
      <c r="E9" s="81"/>
      <c r="F9" s="80"/>
    </row>
    <row r="10" spans="2:6" x14ac:dyDescent="0.45">
      <c r="B10" s="37">
        <v>7</v>
      </c>
      <c r="C10" s="79"/>
      <c r="D10" s="79"/>
      <c r="E10" s="81"/>
      <c r="F10" s="80"/>
    </row>
    <row r="11" spans="2:6" x14ac:dyDescent="0.45">
      <c r="B11" s="37">
        <v>8</v>
      </c>
      <c r="C11" s="79"/>
      <c r="D11" s="79"/>
      <c r="E11" s="81"/>
      <c r="F11" s="80"/>
    </row>
    <row r="12" spans="2:6" x14ac:dyDescent="0.45">
      <c r="B12" s="37">
        <v>9</v>
      </c>
      <c r="C12" s="79"/>
      <c r="D12" s="79"/>
      <c r="E12" s="81"/>
      <c r="F12" s="80"/>
    </row>
    <row r="13" spans="2:6" x14ac:dyDescent="0.45">
      <c r="B13" s="37">
        <v>10</v>
      </c>
      <c r="C13" s="79"/>
      <c r="D13" s="79"/>
      <c r="E13" s="81"/>
      <c r="F13" s="80"/>
    </row>
    <row r="14" spans="2:6" x14ac:dyDescent="0.45">
      <c r="B14" s="37">
        <v>11</v>
      </c>
      <c r="C14" s="79"/>
      <c r="D14" s="79"/>
      <c r="E14" s="81"/>
      <c r="F14" s="80"/>
    </row>
    <row r="15" spans="2:6" x14ac:dyDescent="0.45">
      <c r="B15" s="37">
        <v>12</v>
      </c>
      <c r="C15" s="79"/>
      <c r="D15" s="79"/>
      <c r="E15" s="81"/>
      <c r="F15" s="80"/>
    </row>
    <row r="16" spans="2:6" x14ac:dyDescent="0.45">
      <c r="B16" s="37">
        <v>13</v>
      </c>
      <c r="C16" s="79"/>
      <c r="D16" s="79"/>
      <c r="E16" s="81"/>
      <c r="F16" s="80"/>
    </row>
    <row r="17" spans="2:6" x14ac:dyDescent="0.45">
      <c r="B17" s="37">
        <v>14</v>
      </c>
      <c r="C17" s="79"/>
      <c r="D17" s="79"/>
      <c r="E17" s="81"/>
      <c r="F17" s="80"/>
    </row>
    <row r="18" spans="2:6" x14ac:dyDescent="0.45">
      <c r="B18" s="37">
        <v>15</v>
      </c>
      <c r="C18" s="79"/>
      <c r="D18" s="79"/>
      <c r="E18" s="81"/>
      <c r="F18" s="80"/>
    </row>
    <row r="19" spans="2:6" x14ac:dyDescent="0.45">
      <c r="B19" s="37">
        <v>16</v>
      </c>
      <c r="C19" s="79"/>
      <c r="D19" s="79"/>
      <c r="E19" s="81"/>
      <c r="F19" s="80"/>
    </row>
    <row r="20" spans="2:6" x14ac:dyDescent="0.45">
      <c r="B20" s="37">
        <v>17</v>
      </c>
      <c r="C20" s="79"/>
      <c r="D20" s="79"/>
      <c r="E20" s="81"/>
      <c r="F20" s="80"/>
    </row>
    <row r="21" spans="2:6" x14ac:dyDescent="0.45">
      <c r="B21" s="37">
        <v>18</v>
      </c>
      <c r="C21" s="79"/>
      <c r="D21" s="79"/>
      <c r="E21" s="81"/>
      <c r="F21" s="80"/>
    </row>
    <row r="22" spans="2:6" x14ac:dyDescent="0.45">
      <c r="B22" s="37">
        <v>19</v>
      </c>
      <c r="C22" s="79"/>
      <c r="D22" s="79"/>
      <c r="E22" s="81"/>
      <c r="F22" s="80"/>
    </row>
    <row r="23" spans="2:6" x14ac:dyDescent="0.45">
      <c r="B23" s="37">
        <v>20</v>
      </c>
      <c r="C23" s="79"/>
      <c r="D23" s="79"/>
      <c r="E23" s="81"/>
      <c r="F23" s="80"/>
    </row>
    <row r="24" spans="2:6" x14ac:dyDescent="0.45">
      <c r="B24" s="37">
        <v>21</v>
      </c>
      <c r="C24" s="79"/>
      <c r="D24" s="79"/>
      <c r="E24" s="81"/>
      <c r="F24" s="80"/>
    </row>
    <row r="25" spans="2:6" x14ac:dyDescent="0.45">
      <c r="B25" s="37">
        <v>22</v>
      </c>
      <c r="C25" s="79"/>
      <c r="D25" s="79"/>
      <c r="E25" s="81"/>
      <c r="F25" s="80"/>
    </row>
    <row r="26" spans="2:6" x14ac:dyDescent="0.45">
      <c r="B26" s="37">
        <v>23</v>
      </c>
      <c r="C26" s="79"/>
      <c r="D26" s="79"/>
      <c r="E26" s="81"/>
      <c r="F26" s="80"/>
    </row>
    <row r="27" spans="2:6" x14ac:dyDescent="0.45">
      <c r="B27" s="37">
        <v>24</v>
      </c>
      <c r="C27" s="79"/>
      <c r="D27" s="79"/>
      <c r="E27" s="81"/>
      <c r="F27" s="80"/>
    </row>
    <row r="28" spans="2:6" x14ac:dyDescent="0.45">
      <c r="B28" s="37">
        <v>25</v>
      </c>
      <c r="C28" s="79"/>
      <c r="D28" s="79"/>
      <c r="E28" s="81"/>
      <c r="F28" s="80"/>
    </row>
    <row r="29" spans="2:6" x14ac:dyDescent="0.45">
      <c r="B29" s="37">
        <v>26</v>
      </c>
      <c r="C29" s="79"/>
      <c r="D29" s="79"/>
      <c r="E29" s="81"/>
      <c r="F29" s="80"/>
    </row>
    <row r="30" spans="2:6" x14ac:dyDescent="0.45">
      <c r="B30" s="37">
        <v>27</v>
      </c>
      <c r="C30" s="79"/>
      <c r="D30" s="79"/>
      <c r="E30" s="81"/>
      <c r="F30" s="80"/>
    </row>
    <row r="31" spans="2:6" x14ac:dyDescent="0.45">
      <c r="B31" s="37">
        <v>28</v>
      </c>
      <c r="C31" s="79"/>
      <c r="D31" s="79"/>
      <c r="E31" s="81"/>
      <c r="F31" s="80"/>
    </row>
    <row r="32" spans="2:6" x14ac:dyDescent="0.45">
      <c r="B32" s="37">
        <v>29</v>
      </c>
      <c r="C32" s="79"/>
      <c r="D32" s="79"/>
      <c r="E32" s="81"/>
      <c r="F32" s="80"/>
    </row>
    <row r="33" spans="2:6" x14ac:dyDescent="0.45">
      <c r="B33" s="37">
        <v>30</v>
      </c>
      <c r="C33" s="79"/>
      <c r="D33" s="79"/>
      <c r="E33" s="81"/>
      <c r="F33" s="80"/>
    </row>
    <row r="34" spans="2:6" x14ac:dyDescent="0.45">
      <c r="B34" s="37">
        <v>31</v>
      </c>
      <c r="C34" s="79"/>
      <c r="D34" s="79"/>
      <c r="E34" s="81"/>
      <c r="F34" s="80"/>
    </row>
    <row r="35" spans="2:6" x14ac:dyDescent="0.45">
      <c r="B35" s="37">
        <v>32</v>
      </c>
      <c r="C35" s="79"/>
      <c r="D35" s="79"/>
      <c r="E35" s="81"/>
      <c r="F35" s="80"/>
    </row>
    <row r="36" spans="2:6" x14ac:dyDescent="0.45">
      <c r="B36" s="37">
        <v>33</v>
      </c>
      <c r="C36" s="79"/>
      <c r="D36" s="79"/>
      <c r="E36" s="81"/>
      <c r="F36" s="80"/>
    </row>
    <row r="37" spans="2:6" x14ac:dyDescent="0.45">
      <c r="B37" s="37">
        <v>34</v>
      </c>
      <c r="C37" s="79"/>
      <c r="D37" s="79"/>
      <c r="E37" s="81"/>
      <c r="F37" s="80"/>
    </row>
    <row r="38" spans="2:6" x14ac:dyDescent="0.45">
      <c r="B38" s="37">
        <v>35</v>
      </c>
      <c r="C38" s="79"/>
      <c r="D38" s="79"/>
      <c r="E38" s="81"/>
      <c r="F38" s="80"/>
    </row>
    <row r="39" spans="2:6" x14ac:dyDescent="0.45">
      <c r="B39" s="37">
        <v>36</v>
      </c>
      <c r="C39" s="79"/>
      <c r="D39" s="79"/>
      <c r="E39" s="81"/>
      <c r="F39" s="80"/>
    </row>
    <row r="40" spans="2:6" x14ac:dyDescent="0.45">
      <c r="B40" s="37">
        <v>37</v>
      </c>
      <c r="C40" s="79"/>
      <c r="D40" s="79"/>
      <c r="E40" s="81"/>
      <c r="F40" s="80"/>
    </row>
    <row r="41" spans="2:6" x14ac:dyDescent="0.45">
      <c r="B41" s="37">
        <v>38</v>
      </c>
      <c r="C41" s="79"/>
      <c r="D41" s="79"/>
      <c r="E41" s="81"/>
      <c r="F41" s="80"/>
    </row>
    <row r="42" spans="2:6" x14ac:dyDescent="0.45">
      <c r="B42" s="37">
        <v>39</v>
      </c>
      <c r="C42" s="79"/>
      <c r="D42" s="79"/>
      <c r="E42" s="81"/>
      <c r="F42" s="80"/>
    </row>
    <row r="43" spans="2:6" x14ac:dyDescent="0.45">
      <c r="B43" s="37">
        <v>40</v>
      </c>
      <c r="C43" s="79"/>
      <c r="D43" s="79"/>
      <c r="E43" s="81"/>
      <c r="F43" s="80"/>
    </row>
    <row r="44" spans="2:6" x14ac:dyDescent="0.45">
      <c r="B44" s="37">
        <v>41</v>
      </c>
      <c r="C44" s="79"/>
      <c r="D44" s="79"/>
      <c r="E44" s="81"/>
      <c r="F44" s="80"/>
    </row>
    <row r="45" spans="2:6" x14ac:dyDescent="0.45">
      <c r="B45" s="37">
        <v>42</v>
      </c>
      <c r="C45" s="79"/>
      <c r="D45" s="79"/>
      <c r="E45" s="81"/>
      <c r="F45" s="80"/>
    </row>
    <row r="46" spans="2:6" x14ac:dyDescent="0.45">
      <c r="B46" s="37">
        <v>43</v>
      </c>
      <c r="C46" s="79"/>
      <c r="D46" s="79"/>
      <c r="E46" s="81"/>
      <c r="F46" s="80"/>
    </row>
    <row r="47" spans="2:6" x14ac:dyDescent="0.45">
      <c r="B47" s="37">
        <v>44</v>
      </c>
      <c r="C47" s="79"/>
      <c r="D47" s="79"/>
      <c r="E47" s="81"/>
      <c r="F47" s="80"/>
    </row>
    <row r="48" spans="2:6" x14ac:dyDescent="0.45">
      <c r="B48" s="37">
        <v>45</v>
      </c>
      <c r="C48" s="79"/>
      <c r="D48" s="79"/>
      <c r="E48" s="81"/>
      <c r="F48" s="80"/>
    </row>
    <row r="49" spans="2:6" x14ac:dyDescent="0.45">
      <c r="B49" s="37">
        <v>46</v>
      </c>
      <c r="C49" s="79"/>
      <c r="D49" s="79"/>
      <c r="E49" s="81"/>
      <c r="F49" s="80"/>
    </row>
    <row r="50" spans="2:6" x14ac:dyDescent="0.45">
      <c r="B50" s="37">
        <v>47</v>
      </c>
      <c r="C50" s="79"/>
      <c r="D50" s="79"/>
      <c r="E50" s="81"/>
      <c r="F50" s="80"/>
    </row>
    <row r="51" spans="2:6" x14ac:dyDescent="0.45">
      <c r="B51" s="37">
        <v>48</v>
      </c>
      <c r="C51" s="79"/>
      <c r="D51" s="79"/>
      <c r="E51" s="81"/>
      <c r="F51" s="80"/>
    </row>
    <row r="52" spans="2:6" x14ac:dyDescent="0.45">
      <c r="B52" s="37">
        <v>49</v>
      </c>
      <c r="C52" s="79"/>
      <c r="D52" s="79"/>
      <c r="E52" s="81"/>
      <c r="F52" s="80"/>
    </row>
    <row r="53" spans="2:6" x14ac:dyDescent="0.45">
      <c r="B53" s="37">
        <v>50</v>
      </c>
      <c r="C53" s="79"/>
      <c r="D53" s="79"/>
      <c r="E53" s="81"/>
      <c r="F53" s="80"/>
    </row>
    <row r="54" spans="2:6" ht="18.600000000000001" thickBot="1" x14ac:dyDescent="0.5">
      <c r="B54" s="82">
        <v>51</v>
      </c>
      <c r="C54" s="83"/>
      <c r="D54" s="83"/>
      <c r="E54" s="84"/>
      <c r="F54" s="85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P73"/>
  <sheetViews>
    <sheetView zoomScaleNormal="100" workbookViewId="0"/>
  </sheetViews>
  <sheetFormatPr defaultColWidth="8.09765625" defaultRowHeight="13.2" x14ac:dyDescent="0.2"/>
  <cols>
    <col min="1" max="1" width="4.19921875" style="93" customWidth="1"/>
    <col min="2" max="2" width="4.19921875" style="94" customWidth="1"/>
    <col min="3" max="3" width="11.796875" style="93" customWidth="1"/>
    <col min="4" max="4" width="21.796875" style="93" customWidth="1"/>
    <col min="5" max="6" width="9.59765625" style="93" customWidth="1"/>
    <col min="7" max="9" width="8.19921875" style="93" customWidth="1"/>
    <col min="10" max="10" width="1.796875" style="93" hidden="1" customWidth="1"/>
    <col min="11" max="11" width="9.59765625" style="93" customWidth="1"/>
    <col min="12" max="12" width="5.5" style="93" customWidth="1"/>
    <col min="13" max="13" width="1.5" style="93" hidden="1" customWidth="1"/>
    <col min="14" max="15" width="13.19921875" style="93" customWidth="1"/>
    <col min="16" max="16" width="0.796875" style="93" customWidth="1"/>
    <col min="17" max="256" width="8.09765625" style="93"/>
    <col min="257" max="258" width="4.19921875" style="93" customWidth="1"/>
    <col min="259" max="259" width="11.796875" style="93" customWidth="1"/>
    <col min="260" max="260" width="21.796875" style="93" customWidth="1"/>
    <col min="261" max="262" width="9.59765625" style="93" customWidth="1"/>
    <col min="263" max="265" width="8.19921875" style="93" customWidth="1"/>
    <col min="266" max="266" width="0" style="93" hidden="1" customWidth="1"/>
    <col min="267" max="267" width="9.59765625" style="93" customWidth="1"/>
    <col min="268" max="268" width="5.5" style="93" customWidth="1"/>
    <col min="269" max="269" width="0" style="93" hidden="1" customWidth="1"/>
    <col min="270" max="271" width="13.19921875" style="93" customWidth="1"/>
    <col min="272" max="272" width="0.796875" style="93" customWidth="1"/>
    <col min="273" max="512" width="8.09765625" style="93"/>
    <col min="513" max="514" width="4.19921875" style="93" customWidth="1"/>
    <col min="515" max="515" width="11.796875" style="93" customWidth="1"/>
    <col min="516" max="516" width="21.796875" style="93" customWidth="1"/>
    <col min="517" max="518" width="9.59765625" style="93" customWidth="1"/>
    <col min="519" max="521" width="8.19921875" style="93" customWidth="1"/>
    <col min="522" max="522" width="0" style="93" hidden="1" customWidth="1"/>
    <col min="523" max="523" width="9.59765625" style="93" customWidth="1"/>
    <col min="524" max="524" width="5.5" style="93" customWidth="1"/>
    <col min="525" max="525" width="0" style="93" hidden="1" customWidth="1"/>
    <col min="526" max="527" width="13.19921875" style="93" customWidth="1"/>
    <col min="528" max="528" width="0.796875" style="93" customWidth="1"/>
    <col min="529" max="768" width="8.09765625" style="93"/>
    <col min="769" max="770" width="4.19921875" style="93" customWidth="1"/>
    <col min="771" max="771" width="11.796875" style="93" customWidth="1"/>
    <col min="772" max="772" width="21.796875" style="93" customWidth="1"/>
    <col min="773" max="774" width="9.59765625" style="93" customWidth="1"/>
    <col min="775" max="777" width="8.19921875" style="93" customWidth="1"/>
    <col min="778" max="778" width="0" style="93" hidden="1" customWidth="1"/>
    <col min="779" max="779" width="9.59765625" style="93" customWidth="1"/>
    <col min="780" max="780" width="5.5" style="93" customWidth="1"/>
    <col min="781" max="781" width="0" style="93" hidden="1" customWidth="1"/>
    <col min="782" max="783" width="13.19921875" style="93" customWidth="1"/>
    <col min="784" max="784" width="0.796875" style="93" customWidth="1"/>
    <col min="785" max="1024" width="8.09765625" style="93"/>
    <col min="1025" max="1026" width="4.19921875" style="93" customWidth="1"/>
    <col min="1027" max="1027" width="11.796875" style="93" customWidth="1"/>
    <col min="1028" max="1028" width="21.796875" style="93" customWidth="1"/>
    <col min="1029" max="1030" width="9.59765625" style="93" customWidth="1"/>
    <col min="1031" max="1033" width="8.19921875" style="93" customWidth="1"/>
    <col min="1034" max="1034" width="0" style="93" hidden="1" customWidth="1"/>
    <col min="1035" max="1035" width="9.59765625" style="93" customWidth="1"/>
    <col min="1036" max="1036" width="5.5" style="93" customWidth="1"/>
    <col min="1037" max="1037" width="0" style="93" hidden="1" customWidth="1"/>
    <col min="1038" max="1039" width="13.19921875" style="93" customWidth="1"/>
    <col min="1040" max="1040" width="0.796875" style="93" customWidth="1"/>
    <col min="1041" max="1280" width="8.09765625" style="93"/>
    <col min="1281" max="1282" width="4.19921875" style="93" customWidth="1"/>
    <col min="1283" max="1283" width="11.796875" style="93" customWidth="1"/>
    <col min="1284" max="1284" width="21.796875" style="93" customWidth="1"/>
    <col min="1285" max="1286" width="9.59765625" style="93" customWidth="1"/>
    <col min="1287" max="1289" width="8.19921875" style="93" customWidth="1"/>
    <col min="1290" max="1290" width="0" style="93" hidden="1" customWidth="1"/>
    <col min="1291" max="1291" width="9.59765625" style="93" customWidth="1"/>
    <col min="1292" max="1292" width="5.5" style="93" customWidth="1"/>
    <col min="1293" max="1293" width="0" style="93" hidden="1" customWidth="1"/>
    <col min="1294" max="1295" width="13.19921875" style="93" customWidth="1"/>
    <col min="1296" max="1296" width="0.796875" style="93" customWidth="1"/>
    <col min="1297" max="1536" width="8.09765625" style="93"/>
    <col min="1537" max="1538" width="4.19921875" style="93" customWidth="1"/>
    <col min="1539" max="1539" width="11.796875" style="93" customWidth="1"/>
    <col min="1540" max="1540" width="21.796875" style="93" customWidth="1"/>
    <col min="1541" max="1542" width="9.59765625" style="93" customWidth="1"/>
    <col min="1543" max="1545" width="8.19921875" style="93" customWidth="1"/>
    <col min="1546" max="1546" width="0" style="93" hidden="1" customWidth="1"/>
    <col min="1547" max="1547" width="9.59765625" style="93" customWidth="1"/>
    <col min="1548" max="1548" width="5.5" style="93" customWidth="1"/>
    <col min="1549" max="1549" width="0" style="93" hidden="1" customWidth="1"/>
    <col min="1550" max="1551" width="13.19921875" style="93" customWidth="1"/>
    <col min="1552" max="1552" width="0.796875" style="93" customWidth="1"/>
    <col min="1553" max="1792" width="8.09765625" style="93"/>
    <col min="1793" max="1794" width="4.19921875" style="93" customWidth="1"/>
    <col min="1795" max="1795" width="11.796875" style="93" customWidth="1"/>
    <col min="1796" max="1796" width="21.796875" style="93" customWidth="1"/>
    <col min="1797" max="1798" width="9.59765625" style="93" customWidth="1"/>
    <col min="1799" max="1801" width="8.19921875" style="93" customWidth="1"/>
    <col min="1802" max="1802" width="0" style="93" hidden="1" customWidth="1"/>
    <col min="1803" max="1803" width="9.59765625" style="93" customWidth="1"/>
    <col min="1804" max="1804" width="5.5" style="93" customWidth="1"/>
    <col min="1805" max="1805" width="0" style="93" hidden="1" customWidth="1"/>
    <col min="1806" max="1807" width="13.19921875" style="93" customWidth="1"/>
    <col min="1808" max="1808" width="0.796875" style="93" customWidth="1"/>
    <col min="1809" max="2048" width="8.09765625" style="93"/>
    <col min="2049" max="2050" width="4.19921875" style="93" customWidth="1"/>
    <col min="2051" max="2051" width="11.796875" style="93" customWidth="1"/>
    <col min="2052" max="2052" width="21.796875" style="93" customWidth="1"/>
    <col min="2053" max="2054" width="9.59765625" style="93" customWidth="1"/>
    <col min="2055" max="2057" width="8.19921875" style="93" customWidth="1"/>
    <col min="2058" max="2058" width="0" style="93" hidden="1" customWidth="1"/>
    <col min="2059" max="2059" width="9.59765625" style="93" customWidth="1"/>
    <col min="2060" max="2060" width="5.5" style="93" customWidth="1"/>
    <col min="2061" max="2061" width="0" style="93" hidden="1" customWidth="1"/>
    <col min="2062" max="2063" width="13.19921875" style="93" customWidth="1"/>
    <col min="2064" max="2064" width="0.796875" style="93" customWidth="1"/>
    <col min="2065" max="2304" width="8.09765625" style="93"/>
    <col min="2305" max="2306" width="4.19921875" style="93" customWidth="1"/>
    <col min="2307" max="2307" width="11.796875" style="93" customWidth="1"/>
    <col min="2308" max="2308" width="21.796875" style="93" customWidth="1"/>
    <col min="2309" max="2310" width="9.59765625" style="93" customWidth="1"/>
    <col min="2311" max="2313" width="8.19921875" style="93" customWidth="1"/>
    <col min="2314" max="2314" width="0" style="93" hidden="1" customWidth="1"/>
    <col min="2315" max="2315" width="9.59765625" style="93" customWidth="1"/>
    <col min="2316" max="2316" width="5.5" style="93" customWidth="1"/>
    <col min="2317" max="2317" width="0" style="93" hidden="1" customWidth="1"/>
    <col min="2318" max="2319" width="13.19921875" style="93" customWidth="1"/>
    <col min="2320" max="2320" width="0.796875" style="93" customWidth="1"/>
    <col min="2321" max="2560" width="8.09765625" style="93"/>
    <col min="2561" max="2562" width="4.19921875" style="93" customWidth="1"/>
    <col min="2563" max="2563" width="11.796875" style="93" customWidth="1"/>
    <col min="2564" max="2564" width="21.796875" style="93" customWidth="1"/>
    <col min="2565" max="2566" width="9.59765625" style="93" customWidth="1"/>
    <col min="2567" max="2569" width="8.19921875" style="93" customWidth="1"/>
    <col min="2570" max="2570" width="0" style="93" hidden="1" customWidth="1"/>
    <col min="2571" max="2571" width="9.59765625" style="93" customWidth="1"/>
    <col min="2572" max="2572" width="5.5" style="93" customWidth="1"/>
    <col min="2573" max="2573" width="0" style="93" hidden="1" customWidth="1"/>
    <col min="2574" max="2575" width="13.19921875" style="93" customWidth="1"/>
    <col min="2576" max="2576" width="0.796875" style="93" customWidth="1"/>
    <col min="2577" max="2816" width="8.09765625" style="93"/>
    <col min="2817" max="2818" width="4.19921875" style="93" customWidth="1"/>
    <col min="2819" max="2819" width="11.796875" style="93" customWidth="1"/>
    <col min="2820" max="2820" width="21.796875" style="93" customWidth="1"/>
    <col min="2821" max="2822" width="9.59765625" style="93" customWidth="1"/>
    <col min="2823" max="2825" width="8.19921875" style="93" customWidth="1"/>
    <col min="2826" max="2826" width="0" style="93" hidden="1" customWidth="1"/>
    <col min="2827" max="2827" width="9.59765625" style="93" customWidth="1"/>
    <col min="2828" max="2828" width="5.5" style="93" customWidth="1"/>
    <col min="2829" max="2829" width="0" style="93" hidden="1" customWidth="1"/>
    <col min="2830" max="2831" width="13.19921875" style="93" customWidth="1"/>
    <col min="2832" max="2832" width="0.796875" style="93" customWidth="1"/>
    <col min="2833" max="3072" width="8.09765625" style="93"/>
    <col min="3073" max="3074" width="4.19921875" style="93" customWidth="1"/>
    <col min="3075" max="3075" width="11.796875" style="93" customWidth="1"/>
    <col min="3076" max="3076" width="21.796875" style="93" customWidth="1"/>
    <col min="3077" max="3078" width="9.59765625" style="93" customWidth="1"/>
    <col min="3079" max="3081" width="8.19921875" style="93" customWidth="1"/>
    <col min="3082" max="3082" width="0" style="93" hidden="1" customWidth="1"/>
    <col min="3083" max="3083" width="9.59765625" style="93" customWidth="1"/>
    <col min="3084" max="3084" width="5.5" style="93" customWidth="1"/>
    <col min="3085" max="3085" width="0" style="93" hidden="1" customWidth="1"/>
    <col min="3086" max="3087" width="13.19921875" style="93" customWidth="1"/>
    <col min="3088" max="3088" width="0.796875" style="93" customWidth="1"/>
    <col min="3089" max="3328" width="8.09765625" style="93"/>
    <col min="3329" max="3330" width="4.19921875" style="93" customWidth="1"/>
    <col min="3331" max="3331" width="11.796875" style="93" customWidth="1"/>
    <col min="3332" max="3332" width="21.796875" style="93" customWidth="1"/>
    <col min="3333" max="3334" width="9.59765625" style="93" customWidth="1"/>
    <col min="3335" max="3337" width="8.19921875" style="93" customWidth="1"/>
    <col min="3338" max="3338" width="0" style="93" hidden="1" customWidth="1"/>
    <col min="3339" max="3339" width="9.59765625" style="93" customWidth="1"/>
    <col min="3340" max="3340" width="5.5" style="93" customWidth="1"/>
    <col min="3341" max="3341" width="0" style="93" hidden="1" customWidth="1"/>
    <col min="3342" max="3343" width="13.19921875" style="93" customWidth="1"/>
    <col min="3344" max="3344" width="0.796875" style="93" customWidth="1"/>
    <col min="3345" max="3584" width="8.09765625" style="93"/>
    <col min="3585" max="3586" width="4.19921875" style="93" customWidth="1"/>
    <col min="3587" max="3587" width="11.796875" style="93" customWidth="1"/>
    <col min="3588" max="3588" width="21.796875" style="93" customWidth="1"/>
    <col min="3589" max="3590" width="9.59765625" style="93" customWidth="1"/>
    <col min="3591" max="3593" width="8.19921875" style="93" customWidth="1"/>
    <col min="3594" max="3594" width="0" style="93" hidden="1" customWidth="1"/>
    <col min="3595" max="3595" width="9.59765625" style="93" customWidth="1"/>
    <col min="3596" max="3596" width="5.5" style="93" customWidth="1"/>
    <col min="3597" max="3597" width="0" style="93" hidden="1" customWidth="1"/>
    <col min="3598" max="3599" width="13.19921875" style="93" customWidth="1"/>
    <col min="3600" max="3600" width="0.796875" style="93" customWidth="1"/>
    <col min="3601" max="3840" width="8.09765625" style="93"/>
    <col min="3841" max="3842" width="4.19921875" style="93" customWidth="1"/>
    <col min="3843" max="3843" width="11.796875" style="93" customWidth="1"/>
    <col min="3844" max="3844" width="21.796875" style="93" customWidth="1"/>
    <col min="3845" max="3846" width="9.59765625" style="93" customWidth="1"/>
    <col min="3847" max="3849" width="8.19921875" style="93" customWidth="1"/>
    <col min="3850" max="3850" width="0" style="93" hidden="1" customWidth="1"/>
    <col min="3851" max="3851" width="9.59765625" style="93" customWidth="1"/>
    <col min="3852" max="3852" width="5.5" style="93" customWidth="1"/>
    <col min="3853" max="3853" width="0" style="93" hidden="1" customWidth="1"/>
    <col min="3854" max="3855" width="13.19921875" style="93" customWidth="1"/>
    <col min="3856" max="3856" width="0.796875" style="93" customWidth="1"/>
    <col min="3857" max="4096" width="8.09765625" style="93"/>
    <col min="4097" max="4098" width="4.19921875" style="93" customWidth="1"/>
    <col min="4099" max="4099" width="11.796875" style="93" customWidth="1"/>
    <col min="4100" max="4100" width="21.796875" style="93" customWidth="1"/>
    <col min="4101" max="4102" width="9.59765625" style="93" customWidth="1"/>
    <col min="4103" max="4105" width="8.19921875" style="93" customWidth="1"/>
    <col min="4106" max="4106" width="0" style="93" hidden="1" customWidth="1"/>
    <col min="4107" max="4107" width="9.59765625" style="93" customWidth="1"/>
    <col min="4108" max="4108" width="5.5" style="93" customWidth="1"/>
    <col min="4109" max="4109" width="0" style="93" hidden="1" customWidth="1"/>
    <col min="4110" max="4111" width="13.19921875" style="93" customWidth="1"/>
    <col min="4112" max="4112" width="0.796875" style="93" customWidth="1"/>
    <col min="4113" max="4352" width="8.09765625" style="93"/>
    <col min="4353" max="4354" width="4.19921875" style="93" customWidth="1"/>
    <col min="4355" max="4355" width="11.796875" style="93" customWidth="1"/>
    <col min="4356" max="4356" width="21.796875" style="93" customWidth="1"/>
    <col min="4357" max="4358" width="9.59765625" style="93" customWidth="1"/>
    <col min="4359" max="4361" width="8.19921875" style="93" customWidth="1"/>
    <col min="4362" max="4362" width="0" style="93" hidden="1" customWidth="1"/>
    <col min="4363" max="4363" width="9.59765625" style="93" customWidth="1"/>
    <col min="4364" max="4364" width="5.5" style="93" customWidth="1"/>
    <col min="4365" max="4365" width="0" style="93" hidden="1" customWidth="1"/>
    <col min="4366" max="4367" width="13.19921875" style="93" customWidth="1"/>
    <col min="4368" max="4368" width="0.796875" style="93" customWidth="1"/>
    <col min="4369" max="4608" width="8.09765625" style="93"/>
    <col min="4609" max="4610" width="4.19921875" style="93" customWidth="1"/>
    <col min="4611" max="4611" width="11.796875" style="93" customWidth="1"/>
    <col min="4612" max="4612" width="21.796875" style="93" customWidth="1"/>
    <col min="4613" max="4614" width="9.59765625" style="93" customWidth="1"/>
    <col min="4615" max="4617" width="8.19921875" style="93" customWidth="1"/>
    <col min="4618" max="4618" width="0" style="93" hidden="1" customWidth="1"/>
    <col min="4619" max="4619" width="9.59765625" style="93" customWidth="1"/>
    <col min="4620" max="4620" width="5.5" style="93" customWidth="1"/>
    <col min="4621" max="4621" width="0" style="93" hidden="1" customWidth="1"/>
    <col min="4622" max="4623" width="13.19921875" style="93" customWidth="1"/>
    <col min="4624" max="4624" width="0.796875" style="93" customWidth="1"/>
    <col min="4625" max="4864" width="8.09765625" style="93"/>
    <col min="4865" max="4866" width="4.19921875" style="93" customWidth="1"/>
    <col min="4867" max="4867" width="11.796875" style="93" customWidth="1"/>
    <col min="4868" max="4868" width="21.796875" style="93" customWidth="1"/>
    <col min="4869" max="4870" width="9.59765625" style="93" customWidth="1"/>
    <col min="4871" max="4873" width="8.19921875" style="93" customWidth="1"/>
    <col min="4874" max="4874" width="0" style="93" hidden="1" customWidth="1"/>
    <col min="4875" max="4875" width="9.59765625" style="93" customWidth="1"/>
    <col min="4876" max="4876" width="5.5" style="93" customWidth="1"/>
    <col min="4877" max="4877" width="0" style="93" hidden="1" customWidth="1"/>
    <col min="4878" max="4879" width="13.19921875" style="93" customWidth="1"/>
    <col min="4880" max="4880" width="0.796875" style="93" customWidth="1"/>
    <col min="4881" max="5120" width="8.09765625" style="93"/>
    <col min="5121" max="5122" width="4.19921875" style="93" customWidth="1"/>
    <col min="5123" max="5123" width="11.796875" style="93" customWidth="1"/>
    <col min="5124" max="5124" width="21.796875" style="93" customWidth="1"/>
    <col min="5125" max="5126" width="9.59765625" style="93" customWidth="1"/>
    <col min="5127" max="5129" width="8.19921875" style="93" customWidth="1"/>
    <col min="5130" max="5130" width="0" style="93" hidden="1" customWidth="1"/>
    <col min="5131" max="5131" width="9.59765625" style="93" customWidth="1"/>
    <col min="5132" max="5132" width="5.5" style="93" customWidth="1"/>
    <col min="5133" max="5133" width="0" style="93" hidden="1" customWidth="1"/>
    <col min="5134" max="5135" width="13.19921875" style="93" customWidth="1"/>
    <col min="5136" max="5136" width="0.796875" style="93" customWidth="1"/>
    <col min="5137" max="5376" width="8.09765625" style="93"/>
    <col min="5377" max="5378" width="4.19921875" style="93" customWidth="1"/>
    <col min="5379" max="5379" width="11.796875" style="93" customWidth="1"/>
    <col min="5380" max="5380" width="21.796875" style="93" customWidth="1"/>
    <col min="5381" max="5382" width="9.59765625" style="93" customWidth="1"/>
    <col min="5383" max="5385" width="8.19921875" style="93" customWidth="1"/>
    <col min="5386" max="5386" width="0" style="93" hidden="1" customWidth="1"/>
    <col min="5387" max="5387" width="9.59765625" style="93" customWidth="1"/>
    <col min="5388" max="5388" width="5.5" style="93" customWidth="1"/>
    <col min="5389" max="5389" width="0" style="93" hidden="1" customWidth="1"/>
    <col min="5390" max="5391" width="13.19921875" style="93" customWidth="1"/>
    <col min="5392" max="5392" width="0.796875" style="93" customWidth="1"/>
    <col min="5393" max="5632" width="8.09765625" style="93"/>
    <col min="5633" max="5634" width="4.19921875" style="93" customWidth="1"/>
    <col min="5635" max="5635" width="11.796875" style="93" customWidth="1"/>
    <col min="5636" max="5636" width="21.796875" style="93" customWidth="1"/>
    <col min="5637" max="5638" width="9.59765625" style="93" customWidth="1"/>
    <col min="5639" max="5641" width="8.19921875" style="93" customWidth="1"/>
    <col min="5642" max="5642" width="0" style="93" hidden="1" customWidth="1"/>
    <col min="5643" max="5643" width="9.59765625" style="93" customWidth="1"/>
    <col min="5644" max="5644" width="5.5" style="93" customWidth="1"/>
    <col min="5645" max="5645" width="0" style="93" hidden="1" customWidth="1"/>
    <col min="5646" max="5647" width="13.19921875" style="93" customWidth="1"/>
    <col min="5648" max="5648" width="0.796875" style="93" customWidth="1"/>
    <col min="5649" max="5888" width="8.09765625" style="93"/>
    <col min="5889" max="5890" width="4.19921875" style="93" customWidth="1"/>
    <col min="5891" max="5891" width="11.796875" style="93" customWidth="1"/>
    <col min="5892" max="5892" width="21.796875" style="93" customWidth="1"/>
    <col min="5893" max="5894" width="9.59765625" style="93" customWidth="1"/>
    <col min="5895" max="5897" width="8.19921875" style="93" customWidth="1"/>
    <col min="5898" max="5898" width="0" style="93" hidden="1" customWidth="1"/>
    <col min="5899" max="5899" width="9.59765625" style="93" customWidth="1"/>
    <col min="5900" max="5900" width="5.5" style="93" customWidth="1"/>
    <col min="5901" max="5901" width="0" style="93" hidden="1" customWidth="1"/>
    <col min="5902" max="5903" width="13.19921875" style="93" customWidth="1"/>
    <col min="5904" max="5904" width="0.796875" style="93" customWidth="1"/>
    <col min="5905" max="6144" width="8.09765625" style="93"/>
    <col min="6145" max="6146" width="4.19921875" style="93" customWidth="1"/>
    <col min="6147" max="6147" width="11.796875" style="93" customWidth="1"/>
    <col min="6148" max="6148" width="21.796875" style="93" customWidth="1"/>
    <col min="6149" max="6150" width="9.59765625" style="93" customWidth="1"/>
    <col min="6151" max="6153" width="8.19921875" style="93" customWidth="1"/>
    <col min="6154" max="6154" width="0" style="93" hidden="1" customWidth="1"/>
    <col min="6155" max="6155" width="9.59765625" style="93" customWidth="1"/>
    <col min="6156" max="6156" width="5.5" style="93" customWidth="1"/>
    <col min="6157" max="6157" width="0" style="93" hidden="1" customWidth="1"/>
    <col min="6158" max="6159" width="13.19921875" style="93" customWidth="1"/>
    <col min="6160" max="6160" width="0.796875" style="93" customWidth="1"/>
    <col min="6161" max="6400" width="8.09765625" style="93"/>
    <col min="6401" max="6402" width="4.19921875" style="93" customWidth="1"/>
    <col min="6403" max="6403" width="11.796875" style="93" customWidth="1"/>
    <col min="6404" max="6404" width="21.796875" style="93" customWidth="1"/>
    <col min="6405" max="6406" width="9.59765625" style="93" customWidth="1"/>
    <col min="6407" max="6409" width="8.19921875" style="93" customWidth="1"/>
    <col min="6410" max="6410" width="0" style="93" hidden="1" customWidth="1"/>
    <col min="6411" max="6411" width="9.59765625" style="93" customWidth="1"/>
    <col min="6412" max="6412" width="5.5" style="93" customWidth="1"/>
    <col min="6413" max="6413" width="0" style="93" hidden="1" customWidth="1"/>
    <col min="6414" max="6415" width="13.19921875" style="93" customWidth="1"/>
    <col min="6416" max="6416" width="0.796875" style="93" customWidth="1"/>
    <col min="6417" max="6656" width="8.09765625" style="93"/>
    <col min="6657" max="6658" width="4.19921875" style="93" customWidth="1"/>
    <col min="6659" max="6659" width="11.796875" style="93" customWidth="1"/>
    <col min="6660" max="6660" width="21.796875" style="93" customWidth="1"/>
    <col min="6661" max="6662" width="9.59765625" style="93" customWidth="1"/>
    <col min="6663" max="6665" width="8.19921875" style="93" customWidth="1"/>
    <col min="6666" max="6666" width="0" style="93" hidden="1" customWidth="1"/>
    <col min="6667" max="6667" width="9.59765625" style="93" customWidth="1"/>
    <col min="6668" max="6668" width="5.5" style="93" customWidth="1"/>
    <col min="6669" max="6669" width="0" style="93" hidden="1" customWidth="1"/>
    <col min="6670" max="6671" width="13.19921875" style="93" customWidth="1"/>
    <col min="6672" max="6672" width="0.796875" style="93" customWidth="1"/>
    <col min="6673" max="6912" width="8.09765625" style="93"/>
    <col min="6913" max="6914" width="4.19921875" style="93" customWidth="1"/>
    <col min="6915" max="6915" width="11.796875" style="93" customWidth="1"/>
    <col min="6916" max="6916" width="21.796875" style="93" customWidth="1"/>
    <col min="6917" max="6918" width="9.59765625" style="93" customWidth="1"/>
    <col min="6919" max="6921" width="8.19921875" style="93" customWidth="1"/>
    <col min="6922" max="6922" width="0" style="93" hidden="1" customWidth="1"/>
    <col min="6923" max="6923" width="9.59765625" style="93" customWidth="1"/>
    <col min="6924" max="6924" width="5.5" style="93" customWidth="1"/>
    <col min="6925" max="6925" width="0" style="93" hidden="1" customWidth="1"/>
    <col min="6926" max="6927" width="13.19921875" style="93" customWidth="1"/>
    <col min="6928" max="6928" width="0.796875" style="93" customWidth="1"/>
    <col min="6929" max="7168" width="8.09765625" style="93"/>
    <col min="7169" max="7170" width="4.19921875" style="93" customWidth="1"/>
    <col min="7171" max="7171" width="11.796875" style="93" customWidth="1"/>
    <col min="7172" max="7172" width="21.796875" style="93" customWidth="1"/>
    <col min="7173" max="7174" width="9.59765625" style="93" customWidth="1"/>
    <col min="7175" max="7177" width="8.19921875" style="93" customWidth="1"/>
    <col min="7178" max="7178" width="0" style="93" hidden="1" customWidth="1"/>
    <col min="7179" max="7179" width="9.59765625" style="93" customWidth="1"/>
    <col min="7180" max="7180" width="5.5" style="93" customWidth="1"/>
    <col min="7181" max="7181" width="0" style="93" hidden="1" customWidth="1"/>
    <col min="7182" max="7183" width="13.19921875" style="93" customWidth="1"/>
    <col min="7184" max="7184" width="0.796875" style="93" customWidth="1"/>
    <col min="7185" max="7424" width="8.09765625" style="93"/>
    <col min="7425" max="7426" width="4.19921875" style="93" customWidth="1"/>
    <col min="7427" max="7427" width="11.796875" style="93" customWidth="1"/>
    <col min="7428" max="7428" width="21.796875" style="93" customWidth="1"/>
    <col min="7429" max="7430" width="9.59765625" style="93" customWidth="1"/>
    <col min="7431" max="7433" width="8.19921875" style="93" customWidth="1"/>
    <col min="7434" max="7434" width="0" style="93" hidden="1" customWidth="1"/>
    <col min="7435" max="7435" width="9.59765625" style="93" customWidth="1"/>
    <col min="7436" max="7436" width="5.5" style="93" customWidth="1"/>
    <col min="7437" max="7437" width="0" style="93" hidden="1" customWidth="1"/>
    <col min="7438" max="7439" width="13.19921875" style="93" customWidth="1"/>
    <col min="7440" max="7440" width="0.796875" style="93" customWidth="1"/>
    <col min="7441" max="7680" width="8.09765625" style="93"/>
    <col min="7681" max="7682" width="4.19921875" style="93" customWidth="1"/>
    <col min="7683" max="7683" width="11.796875" style="93" customWidth="1"/>
    <col min="7684" max="7684" width="21.796875" style="93" customWidth="1"/>
    <col min="7685" max="7686" width="9.59765625" style="93" customWidth="1"/>
    <col min="7687" max="7689" width="8.19921875" style="93" customWidth="1"/>
    <col min="7690" max="7690" width="0" style="93" hidden="1" customWidth="1"/>
    <col min="7691" max="7691" width="9.59765625" style="93" customWidth="1"/>
    <col min="7692" max="7692" width="5.5" style="93" customWidth="1"/>
    <col min="7693" max="7693" width="0" style="93" hidden="1" customWidth="1"/>
    <col min="7694" max="7695" width="13.19921875" style="93" customWidth="1"/>
    <col min="7696" max="7696" width="0.796875" style="93" customWidth="1"/>
    <col min="7697" max="7936" width="8.09765625" style="93"/>
    <col min="7937" max="7938" width="4.19921875" style="93" customWidth="1"/>
    <col min="7939" max="7939" width="11.796875" style="93" customWidth="1"/>
    <col min="7940" max="7940" width="21.796875" style="93" customWidth="1"/>
    <col min="7941" max="7942" width="9.59765625" style="93" customWidth="1"/>
    <col min="7943" max="7945" width="8.19921875" style="93" customWidth="1"/>
    <col min="7946" max="7946" width="0" style="93" hidden="1" customWidth="1"/>
    <col min="7947" max="7947" width="9.59765625" style="93" customWidth="1"/>
    <col min="7948" max="7948" width="5.5" style="93" customWidth="1"/>
    <col min="7949" max="7949" width="0" style="93" hidden="1" customWidth="1"/>
    <col min="7950" max="7951" width="13.19921875" style="93" customWidth="1"/>
    <col min="7952" max="7952" width="0.796875" style="93" customWidth="1"/>
    <col min="7953" max="8192" width="8.09765625" style="93"/>
    <col min="8193" max="8194" width="4.19921875" style="93" customWidth="1"/>
    <col min="8195" max="8195" width="11.796875" style="93" customWidth="1"/>
    <col min="8196" max="8196" width="21.796875" style="93" customWidth="1"/>
    <col min="8197" max="8198" width="9.59765625" style="93" customWidth="1"/>
    <col min="8199" max="8201" width="8.19921875" style="93" customWidth="1"/>
    <col min="8202" max="8202" width="0" style="93" hidden="1" customWidth="1"/>
    <col min="8203" max="8203" width="9.59765625" style="93" customWidth="1"/>
    <col min="8204" max="8204" width="5.5" style="93" customWidth="1"/>
    <col min="8205" max="8205" width="0" style="93" hidden="1" customWidth="1"/>
    <col min="8206" max="8207" width="13.19921875" style="93" customWidth="1"/>
    <col min="8208" max="8208" width="0.796875" style="93" customWidth="1"/>
    <col min="8209" max="8448" width="8.09765625" style="93"/>
    <col min="8449" max="8450" width="4.19921875" style="93" customWidth="1"/>
    <col min="8451" max="8451" width="11.796875" style="93" customWidth="1"/>
    <col min="8452" max="8452" width="21.796875" style="93" customWidth="1"/>
    <col min="8453" max="8454" width="9.59765625" style="93" customWidth="1"/>
    <col min="8455" max="8457" width="8.19921875" style="93" customWidth="1"/>
    <col min="8458" max="8458" width="0" style="93" hidden="1" customWidth="1"/>
    <col min="8459" max="8459" width="9.59765625" style="93" customWidth="1"/>
    <col min="8460" max="8460" width="5.5" style="93" customWidth="1"/>
    <col min="8461" max="8461" width="0" style="93" hidden="1" customWidth="1"/>
    <col min="8462" max="8463" width="13.19921875" style="93" customWidth="1"/>
    <col min="8464" max="8464" width="0.796875" style="93" customWidth="1"/>
    <col min="8465" max="8704" width="8.09765625" style="93"/>
    <col min="8705" max="8706" width="4.19921875" style="93" customWidth="1"/>
    <col min="8707" max="8707" width="11.796875" style="93" customWidth="1"/>
    <col min="8708" max="8708" width="21.796875" style="93" customWidth="1"/>
    <col min="8709" max="8710" width="9.59765625" style="93" customWidth="1"/>
    <col min="8711" max="8713" width="8.19921875" style="93" customWidth="1"/>
    <col min="8714" max="8714" width="0" style="93" hidden="1" customWidth="1"/>
    <col min="8715" max="8715" width="9.59765625" style="93" customWidth="1"/>
    <col min="8716" max="8716" width="5.5" style="93" customWidth="1"/>
    <col min="8717" max="8717" width="0" style="93" hidden="1" customWidth="1"/>
    <col min="8718" max="8719" width="13.19921875" style="93" customWidth="1"/>
    <col min="8720" max="8720" width="0.796875" style="93" customWidth="1"/>
    <col min="8721" max="8960" width="8.09765625" style="93"/>
    <col min="8961" max="8962" width="4.19921875" style="93" customWidth="1"/>
    <col min="8963" max="8963" width="11.796875" style="93" customWidth="1"/>
    <col min="8964" max="8964" width="21.796875" style="93" customWidth="1"/>
    <col min="8965" max="8966" width="9.59765625" style="93" customWidth="1"/>
    <col min="8967" max="8969" width="8.19921875" style="93" customWidth="1"/>
    <col min="8970" max="8970" width="0" style="93" hidden="1" customWidth="1"/>
    <col min="8971" max="8971" width="9.59765625" style="93" customWidth="1"/>
    <col min="8972" max="8972" width="5.5" style="93" customWidth="1"/>
    <col min="8973" max="8973" width="0" style="93" hidden="1" customWidth="1"/>
    <col min="8974" max="8975" width="13.19921875" style="93" customWidth="1"/>
    <col min="8976" max="8976" width="0.796875" style="93" customWidth="1"/>
    <col min="8977" max="9216" width="8.09765625" style="93"/>
    <col min="9217" max="9218" width="4.19921875" style="93" customWidth="1"/>
    <col min="9219" max="9219" width="11.796875" style="93" customWidth="1"/>
    <col min="9220" max="9220" width="21.796875" style="93" customWidth="1"/>
    <col min="9221" max="9222" width="9.59765625" style="93" customWidth="1"/>
    <col min="9223" max="9225" width="8.19921875" style="93" customWidth="1"/>
    <col min="9226" max="9226" width="0" style="93" hidden="1" customWidth="1"/>
    <col min="9227" max="9227" width="9.59765625" style="93" customWidth="1"/>
    <col min="9228" max="9228" width="5.5" style="93" customWidth="1"/>
    <col min="9229" max="9229" width="0" style="93" hidden="1" customWidth="1"/>
    <col min="9230" max="9231" width="13.19921875" style="93" customWidth="1"/>
    <col min="9232" max="9232" width="0.796875" style="93" customWidth="1"/>
    <col min="9233" max="9472" width="8.09765625" style="93"/>
    <col min="9473" max="9474" width="4.19921875" style="93" customWidth="1"/>
    <col min="9475" max="9475" width="11.796875" style="93" customWidth="1"/>
    <col min="9476" max="9476" width="21.796875" style="93" customWidth="1"/>
    <col min="9477" max="9478" width="9.59765625" style="93" customWidth="1"/>
    <col min="9479" max="9481" width="8.19921875" style="93" customWidth="1"/>
    <col min="9482" max="9482" width="0" style="93" hidden="1" customWidth="1"/>
    <col min="9483" max="9483" width="9.59765625" style="93" customWidth="1"/>
    <col min="9484" max="9484" width="5.5" style="93" customWidth="1"/>
    <col min="9485" max="9485" width="0" style="93" hidden="1" customWidth="1"/>
    <col min="9486" max="9487" width="13.19921875" style="93" customWidth="1"/>
    <col min="9488" max="9488" width="0.796875" style="93" customWidth="1"/>
    <col min="9489" max="9728" width="8.09765625" style="93"/>
    <col min="9729" max="9730" width="4.19921875" style="93" customWidth="1"/>
    <col min="9731" max="9731" width="11.796875" style="93" customWidth="1"/>
    <col min="9732" max="9732" width="21.796875" style="93" customWidth="1"/>
    <col min="9733" max="9734" width="9.59765625" style="93" customWidth="1"/>
    <col min="9735" max="9737" width="8.19921875" style="93" customWidth="1"/>
    <col min="9738" max="9738" width="0" style="93" hidden="1" customWidth="1"/>
    <col min="9739" max="9739" width="9.59765625" style="93" customWidth="1"/>
    <col min="9740" max="9740" width="5.5" style="93" customWidth="1"/>
    <col min="9741" max="9741" width="0" style="93" hidden="1" customWidth="1"/>
    <col min="9742" max="9743" width="13.19921875" style="93" customWidth="1"/>
    <col min="9744" max="9744" width="0.796875" style="93" customWidth="1"/>
    <col min="9745" max="9984" width="8.09765625" style="93"/>
    <col min="9985" max="9986" width="4.19921875" style="93" customWidth="1"/>
    <col min="9987" max="9987" width="11.796875" style="93" customWidth="1"/>
    <col min="9988" max="9988" width="21.796875" style="93" customWidth="1"/>
    <col min="9989" max="9990" width="9.59765625" style="93" customWidth="1"/>
    <col min="9991" max="9993" width="8.19921875" style="93" customWidth="1"/>
    <col min="9994" max="9994" width="0" style="93" hidden="1" customWidth="1"/>
    <col min="9995" max="9995" width="9.59765625" style="93" customWidth="1"/>
    <col min="9996" max="9996" width="5.5" style="93" customWidth="1"/>
    <col min="9997" max="9997" width="0" style="93" hidden="1" customWidth="1"/>
    <col min="9998" max="9999" width="13.19921875" style="93" customWidth="1"/>
    <col min="10000" max="10000" width="0.796875" style="93" customWidth="1"/>
    <col min="10001" max="10240" width="8.09765625" style="93"/>
    <col min="10241" max="10242" width="4.19921875" style="93" customWidth="1"/>
    <col min="10243" max="10243" width="11.796875" style="93" customWidth="1"/>
    <col min="10244" max="10244" width="21.796875" style="93" customWidth="1"/>
    <col min="10245" max="10246" width="9.59765625" style="93" customWidth="1"/>
    <col min="10247" max="10249" width="8.19921875" style="93" customWidth="1"/>
    <col min="10250" max="10250" width="0" style="93" hidden="1" customWidth="1"/>
    <col min="10251" max="10251" width="9.59765625" style="93" customWidth="1"/>
    <col min="10252" max="10252" width="5.5" style="93" customWidth="1"/>
    <col min="10253" max="10253" width="0" style="93" hidden="1" customWidth="1"/>
    <col min="10254" max="10255" width="13.19921875" style="93" customWidth="1"/>
    <col min="10256" max="10256" width="0.796875" style="93" customWidth="1"/>
    <col min="10257" max="10496" width="8.09765625" style="93"/>
    <col min="10497" max="10498" width="4.19921875" style="93" customWidth="1"/>
    <col min="10499" max="10499" width="11.796875" style="93" customWidth="1"/>
    <col min="10500" max="10500" width="21.796875" style="93" customWidth="1"/>
    <col min="10501" max="10502" width="9.59765625" style="93" customWidth="1"/>
    <col min="10503" max="10505" width="8.19921875" style="93" customWidth="1"/>
    <col min="10506" max="10506" width="0" style="93" hidden="1" customWidth="1"/>
    <col min="10507" max="10507" width="9.59765625" style="93" customWidth="1"/>
    <col min="10508" max="10508" width="5.5" style="93" customWidth="1"/>
    <col min="10509" max="10509" width="0" style="93" hidden="1" customWidth="1"/>
    <col min="10510" max="10511" width="13.19921875" style="93" customWidth="1"/>
    <col min="10512" max="10512" width="0.796875" style="93" customWidth="1"/>
    <col min="10513" max="10752" width="8.09765625" style="93"/>
    <col min="10753" max="10754" width="4.19921875" style="93" customWidth="1"/>
    <col min="10755" max="10755" width="11.796875" style="93" customWidth="1"/>
    <col min="10756" max="10756" width="21.796875" style="93" customWidth="1"/>
    <col min="10757" max="10758" width="9.59765625" style="93" customWidth="1"/>
    <col min="10759" max="10761" width="8.19921875" style="93" customWidth="1"/>
    <col min="10762" max="10762" width="0" style="93" hidden="1" customWidth="1"/>
    <col min="10763" max="10763" width="9.59765625" style="93" customWidth="1"/>
    <col min="10764" max="10764" width="5.5" style="93" customWidth="1"/>
    <col min="10765" max="10765" width="0" style="93" hidden="1" customWidth="1"/>
    <col min="10766" max="10767" width="13.19921875" style="93" customWidth="1"/>
    <col min="10768" max="10768" width="0.796875" style="93" customWidth="1"/>
    <col min="10769" max="11008" width="8.09765625" style="93"/>
    <col min="11009" max="11010" width="4.19921875" style="93" customWidth="1"/>
    <col min="11011" max="11011" width="11.796875" style="93" customWidth="1"/>
    <col min="11012" max="11012" width="21.796875" style="93" customWidth="1"/>
    <col min="11013" max="11014" width="9.59765625" style="93" customWidth="1"/>
    <col min="11015" max="11017" width="8.19921875" style="93" customWidth="1"/>
    <col min="11018" max="11018" width="0" style="93" hidden="1" customWidth="1"/>
    <col min="11019" max="11019" width="9.59765625" style="93" customWidth="1"/>
    <col min="11020" max="11020" width="5.5" style="93" customWidth="1"/>
    <col min="11021" max="11021" width="0" style="93" hidden="1" customWidth="1"/>
    <col min="11022" max="11023" width="13.19921875" style="93" customWidth="1"/>
    <col min="11024" max="11024" width="0.796875" style="93" customWidth="1"/>
    <col min="11025" max="11264" width="8.09765625" style="93"/>
    <col min="11265" max="11266" width="4.19921875" style="93" customWidth="1"/>
    <col min="11267" max="11267" width="11.796875" style="93" customWidth="1"/>
    <col min="11268" max="11268" width="21.796875" style="93" customWidth="1"/>
    <col min="11269" max="11270" width="9.59765625" style="93" customWidth="1"/>
    <col min="11271" max="11273" width="8.19921875" style="93" customWidth="1"/>
    <col min="11274" max="11274" width="0" style="93" hidden="1" customWidth="1"/>
    <col min="11275" max="11275" width="9.59765625" style="93" customWidth="1"/>
    <col min="11276" max="11276" width="5.5" style="93" customWidth="1"/>
    <col min="11277" max="11277" width="0" style="93" hidden="1" customWidth="1"/>
    <col min="11278" max="11279" width="13.19921875" style="93" customWidth="1"/>
    <col min="11280" max="11280" width="0.796875" style="93" customWidth="1"/>
    <col min="11281" max="11520" width="8.09765625" style="93"/>
    <col min="11521" max="11522" width="4.19921875" style="93" customWidth="1"/>
    <col min="11523" max="11523" width="11.796875" style="93" customWidth="1"/>
    <col min="11524" max="11524" width="21.796875" style="93" customWidth="1"/>
    <col min="11525" max="11526" width="9.59765625" style="93" customWidth="1"/>
    <col min="11527" max="11529" width="8.19921875" style="93" customWidth="1"/>
    <col min="11530" max="11530" width="0" style="93" hidden="1" customWidth="1"/>
    <col min="11531" max="11531" width="9.59765625" style="93" customWidth="1"/>
    <col min="11532" max="11532" width="5.5" style="93" customWidth="1"/>
    <col min="11533" max="11533" width="0" style="93" hidden="1" customWidth="1"/>
    <col min="11534" max="11535" width="13.19921875" style="93" customWidth="1"/>
    <col min="11536" max="11536" width="0.796875" style="93" customWidth="1"/>
    <col min="11537" max="11776" width="8.09765625" style="93"/>
    <col min="11777" max="11778" width="4.19921875" style="93" customWidth="1"/>
    <col min="11779" max="11779" width="11.796875" style="93" customWidth="1"/>
    <col min="11780" max="11780" width="21.796875" style="93" customWidth="1"/>
    <col min="11781" max="11782" width="9.59765625" style="93" customWidth="1"/>
    <col min="11783" max="11785" width="8.19921875" style="93" customWidth="1"/>
    <col min="11786" max="11786" width="0" style="93" hidden="1" customWidth="1"/>
    <col min="11787" max="11787" width="9.59765625" style="93" customWidth="1"/>
    <col min="11788" max="11788" width="5.5" style="93" customWidth="1"/>
    <col min="11789" max="11789" width="0" style="93" hidden="1" customWidth="1"/>
    <col min="11790" max="11791" width="13.19921875" style="93" customWidth="1"/>
    <col min="11792" max="11792" width="0.796875" style="93" customWidth="1"/>
    <col min="11793" max="12032" width="8.09765625" style="93"/>
    <col min="12033" max="12034" width="4.19921875" style="93" customWidth="1"/>
    <col min="12035" max="12035" width="11.796875" style="93" customWidth="1"/>
    <col min="12036" max="12036" width="21.796875" style="93" customWidth="1"/>
    <col min="12037" max="12038" width="9.59765625" style="93" customWidth="1"/>
    <col min="12039" max="12041" width="8.19921875" style="93" customWidth="1"/>
    <col min="12042" max="12042" width="0" style="93" hidden="1" customWidth="1"/>
    <col min="12043" max="12043" width="9.59765625" style="93" customWidth="1"/>
    <col min="12044" max="12044" width="5.5" style="93" customWidth="1"/>
    <col min="12045" max="12045" width="0" style="93" hidden="1" customWidth="1"/>
    <col min="12046" max="12047" width="13.19921875" style="93" customWidth="1"/>
    <col min="12048" max="12048" width="0.796875" style="93" customWidth="1"/>
    <col min="12049" max="12288" width="8.09765625" style="93"/>
    <col min="12289" max="12290" width="4.19921875" style="93" customWidth="1"/>
    <col min="12291" max="12291" width="11.796875" style="93" customWidth="1"/>
    <col min="12292" max="12292" width="21.796875" style="93" customWidth="1"/>
    <col min="12293" max="12294" width="9.59765625" style="93" customWidth="1"/>
    <col min="12295" max="12297" width="8.19921875" style="93" customWidth="1"/>
    <col min="12298" max="12298" width="0" style="93" hidden="1" customWidth="1"/>
    <col min="12299" max="12299" width="9.59765625" style="93" customWidth="1"/>
    <col min="12300" max="12300" width="5.5" style="93" customWidth="1"/>
    <col min="12301" max="12301" width="0" style="93" hidden="1" customWidth="1"/>
    <col min="12302" max="12303" width="13.19921875" style="93" customWidth="1"/>
    <col min="12304" max="12304" width="0.796875" style="93" customWidth="1"/>
    <col min="12305" max="12544" width="8.09765625" style="93"/>
    <col min="12545" max="12546" width="4.19921875" style="93" customWidth="1"/>
    <col min="12547" max="12547" width="11.796875" style="93" customWidth="1"/>
    <col min="12548" max="12548" width="21.796875" style="93" customWidth="1"/>
    <col min="12549" max="12550" width="9.59765625" style="93" customWidth="1"/>
    <col min="12551" max="12553" width="8.19921875" style="93" customWidth="1"/>
    <col min="12554" max="12554" width="0" style="93" hidden="1" customWidth="1"/>
    <col min="12555" max="12555" width="9.59765625" style="93" customWidth="1"/>
    <col min="12556" max="12556" width="5.5" style="93" customWidth="1"/>
    <col min="12557" max="12557" width="0" style="93" hidden="1" customWidth="1"/>
    <col min="12558" max="12559" width="13.19921875" style="93" customWidth="1"/>
    <col min="12560" max="12560" width="0.796875" style="93" customWidth="1"/>
    <col min="12561" max="12800" width="8.09765625" style="93"/>
    <col min="12801" max="12802" width="4.19921875" style="93" customWidth="1"/>
    <col min="12803" max="12803" width="11.796875" style="93" customWidth="1"/>
    <col min="12804" max="12804" width="21.796875" style="93" customWidth="1"/>
    <col min="12805" max="12806" width="9.59765625" style="93" customWidth="1"/>
    <col min="12807" max="12809" width="8.19921875" style="93" customWidth="1"/>
    <col min="12810" max="12810" width="0" style="93" hidden="1" customWidth="1"/>
    <col min="12811" max="12811" width="9.59765625" style="93" customWidth="1"/>
    <col min="12812" max="12812" width="5.5" style="93" customWidth="1"/>
    <col min="12813" max="12813" width="0" style="93" hidden="1" customWidth="1"/>
    <col min="12814" max="12815" width="13.19921875" style="93" customWidth="1"/>
    <col min="12816" max="12816" width="0.796875" style="93" customWidth="1"/>
    <col min="12817" max="13056" width="8.09765625" style="93"/>
    <col min="13057" max="13058" width="4.19921875" style="93" customWidth="1"/>
    <col min="13059" max="13059" width="11.796875" style="93" customWidth="1"/>
    <col min="13060" max="13060" width="21.796875" style="93" customWidth="1"/>
    <col min="13061" max="13062" width="9.59765625" style="93" customWidth="1"/>
    <col min="13063" max="13065" width="8.19921875" style="93" customWidth="1"/>
    <col min="13066" max="13066" width="0" style="93" hidden="1" customWidth="1"/>
    <col min="13067" max="13067" width="9.59765625" style="93" customWidth="1"/>
    <col min="13068" max="13068" width="5.5" style="93" customWidth="1"/>
    <col min="13069" max="13069" width="0" style="93" hidden="1" customWidth="1"/>
    <col min="13070" max="13071" width="13.19921875" style="93" customWidth="1"/>
    <col min="13072" max="13072" width="0.796875" style="93" customWidth="1"/>
    <col min="13073" max="13312" width="8.09765625" style="93"/>
    <col min="13313" max="13314" width="4.19921875" style="93" customWidth="1"/>
    <col min="13315" max="13315" width="11.796875" style="93" customWidth="1"/>
    <col min="13316" max="13316" width="21.796875" style="93" customWidth="1"/>
    <col min="13317" max="13318" width="9.59765625" style="93" customWidth="1"/>
    <col min="13319" max="13321" width="8.19921875" style="93" customWidth="1"/>
    <col min="13322" max="13322" width="0" style="93" hidden="1" customWidth="1"/>
    <col min="13323" max="13323" width="9.59765625" style="93" customWidth="1"/>
    <col min="13324" max="13324" width="5.5" style="93" customWidth="1"/>
    <col min="13325" max="13325" width="0" style="93" hidden="1" customWidth="1"/>
    <col min="13326" max="13327" width="13.19921875" style="93" customWidth="1"/>
    <col min="13328" max="13328" width="0.796875" style="93" customWidth="1"/>
    <col min="13329" max="13568" width="8.09765625" style="93"/>
    <col min="13569" max="13570" width="4.19921875" style="93" customWidth="1"/>
    <col min="13571" max="13571" width="11.796875" style="93" customWidth="1"/>
    <col min="13572" max="13572" width="21.796875" style="93" customWidth="1"/>
    <col min="13573" max="13574" width="9.59765625" style="93" customWidth="1"/>
    <col min="13575" max="13577" width="8.19921875" style="93" customWidth="1"/>
    <col min="13578" max="13578" width="0" style="93" hidden="1" customWidth="1"/>
    <col min="13579" max="13579" width="9.59765625" style="93" customWidth="1"/>
    <col min="13580" max="13580" width="5.5" style="93" customWidth="1"/>
    <col min="13581" max="13581" width="0" style="93" hidden="1" customWidth="1"/>
    <col min="13582" max="13583" width="13.19921875" style="93" customWidth="1"/>
    <col min="13584" max="13584" width="0.796875" style="93" customWidth="1"/>
    <col min="13585" max="13824" width="8.09765625" style="93"/>
    <col min="13825" max="13826" width="4.19921875" style="93" customWidth="1"/>
    <col min="13827" max="13827" width="11.796875" style="93" customWidth="1"/>
    <col min="13828" max="13828" width="21.796875" style="93" customWidth="1"/>
    <col min="13829" max="13830" width="9.59765625" style="93" customWidth="1"/>
    <col min="13831" max="13833" width="8.19921875" style="93" customWidth="1"/>
    <col min="13834" max="13834" width="0" style="93" hidden="1" customWidth="1"/>
    <col min="13835" max="13835" width="9.59765625" style="93" customWidth="1"/>
    <col min="13836" max="13836" width="5.5" style="93" customWidth="1"/>
    <col min="13837" max="13837" width="0" style="93" hidden="1" customWidth="1"/>
    <col min="13838" max="13839" width="13.19921875" style="93" customWidth="1"/>
    <col min="13840" max="13840" width="0.796875" style="93" customWidth="1"/>
    <col min="13841" max="14080" width="8.09765625" style="93"/>
    <col min="14081" max="14082" width="4.19921875" style="93" customWidth="1"/>
    <col min="14083" max="14083" width="11.796875" style="93" customWidth="1"/>
    <col min="14084" max="14084" width="21.796875" style="93" customWidth="1"/>
    <col min="14085" max="14086" width="9.59765625" style="93" customWidth="1"/>
    <col min="14087" max="14089" width="8.19921875" style="93" customWidth="1"/>
    <col min="14090" max="14090" width="0" style="93" hidden="1" customWidth="1"/>
    <col min="14091" max="14091" width="9.59765625" style="93" customWidth="1"/>
    <col min="14092" max="14092" width="5.5" style="93" customWidth="1"/>
    <col min="14093" max="14093" width="0" style="93" hidden="1" customWidth="1"/>
    <col min="14094" max="14095" width="13.19921875" style="93" customWidth="1"/>
    <col min="14096" max="14096" width="0.796875" style="93" customWidth="1"/>
    <col min="14097" max="14336" width="8.09765625" style="93"/>
    <col min="14337" max="14338" width="4.19921875" style="93" customWidth="1"/>
    <col min="14339" max="14339" width="11.796875" style="93" customWidth="1"/>
    <col min="14340" max="14340" width="21.796875" style="93" customWidth="1"/>
    <col min="14341" max="14342" width="9.59765625" style="93" customWidth="1"/>
    <col min="14343" max="14345" width="8.19921875" style="93" customWidth="1"/>
    <col min="14346" max="14346" width="0" style="93" hidden="1" customWidth="1"/>
    <col min="14347" max="14347" width="9.59765625" style="93" customWidth="1"/>
    <col min="14348" max="14348" width="5.5" style="93" customWidth="1"/>
    <col min="14349" max="14349" width="0" style="93" hidden="1" customWidth="1"/>
    <col min="14350" max="14351" width="13.19921875" style="93" customWidth="1"/>
    <col min="14352" max="14352" width="0.796875" style="93" customWidth="1"/>
    <col min="14353" max="14592" width="8.09765625" style="93"/>
    <col min="14593" max="14594" width="4.19921875" style="93" customWidth="1"/>
    <col min="14595" max="14595" width="11.796875" style="93" customWidth="1"/>
    <col min="14596" max="14596" width="21.796875" style="93" customWidth="1"/>
    <col min="14597" max="14598" width="9.59765625" style="93" customWidth="1"/>
    <col min="14599" max="14601" width="8.19921875" style="93" customWidth="1"/>
    <col min="14602" max="14602" width="0" style="93" hidden="1" customWidth="1"/>
    <col min="14603" max="14603" width="9.59765625" style="93" customWidth="1"/>
    <col min="14604" max="14604" width="5.5" style="93" customWidth="1"/>
    <col min="14605" max="14605" width="0" style="93" hidden="1" customWidth="1"/>
    <col min="14606" max="14607" width="13.19921875" style="93" customWidth="1"/>
    <col min="14608" max="14608" width="0.796875" style="93" customWidth="1"/>
    <col min="14609" max="14848" width="8.09765625" style="93"/>
    <col min="14849" max="14850" width="4.19921875" style="93" customWidth="1"/>
    <col min="14851" max="14851" width="11.796875" style="93" customWidth="1"/>
    <col min="14852" max="14852" width="21.796875" style="93" customWidth="1"/>
    <col min="14853" max="14854" width="9.59765625" style="93" customWidth="1"/>
    <col min="14855" max="14857" width="8.19921875" style="93" customWidth="1"/>
    <col min="14858" max="14858" width="0" style="93" hidden="1" customWidth="1"/>
    <col min="14859" max="14859" width="9.59765625" style="93" customWidth="1"/>
    <col min="14860" max="14860" width="5.5" style="93" customWidth="1"/>
    <col min="14861" max="14861" width="0" style="93" hidden="1" customWidth="1"/>
    <col min="14862" max="14863" width="13.19921875" style="93" customWidth="1"/>
    <col min="14864" max="14864" width="0.796875" style="93" customWidth="1"/>
    <col min="14865" max="15104" width="8.09765625" style="93"/>
    <col min="15105" max="15106" width="4.19921875" style="93" customWidth="1"/>
    <col min="15107" max="15107" width="11.796875" style="93" customWidth="1"/>
    <col min="15108" max="15108" width="21.796875" style="93" customWidth="1"/>
    <col min="15109" max="15110" width="9.59765625" style="93" customWidth="1"/>
    <col min="15111" max="15113" width="8.19921875" style="93" customWidth="1"/>
    <col min="15114" max="15114" width="0" style="93" hidden="1" customWidth="1"/>
    <col min="15115" max="15115" width="9.59765625" style="93" customWidth="1"/>
    <col min="15116" max="15116" width="5.5" style="93" customWidth="1"/>
    <col min="15117" max="15117" width="0" style="93" hidden="1" customWidth="1"/>
    <col min="15118" max="15119" width="13.19921875" style="93" customWidth="1"/>
    <col min="15120" max="15120" width="0.796875" style="93" customWidth="1"/>
    <col min="15121" max="15360" width="8.09765625" style="93"/>
    <col min="15361" max="15362" width="4.19921875" style="93" customWidth="1"/>
    <col min="15363" max="15363" width="11.796875" style="93" customWidth="1"/>
    <col min="15364" max="15364" width="21.796875" style="93" customWidth="1"/>
    <col min="15365" max="15366" width="9.59765625" style="93" customWidth="1"/>
    <col min="15367" max="15369" width="8.19921875" style="93" customWidth="1"/>
    <col min="15370" max="15370" width="0" style="93" hidden="1" customWidth="1"/>
    <col min="15371" max="15371" width="9.59765625" style="93" customWidth="1"/>
    <col min="15372" max="15372" width="5.5" style="93" customWidth="1"/>
    <col min="15373" max="15373" width="0" style="93" hidden="1" customWidth="1"/>
    <col min="15374" max="15375" width="13.19921875" style="93" customWidth="1"/>
    <col min="15376" max="15376" width="0.796875" style="93" customWidth="1"/>
    <col min="15377" max="15616" width="8.09765625" style="93"/>
    <col min="15617" max="15618" width="4.19921875" style="93" customWidth="1"/>
    <col min="15619" max="15619" width="11.796875" style="93" customWidth="1"/>
    <col min="15620" max="15620" width="21.796875" style="93" customWidth="1"/>
    <col min="15621" max="15622" width="9.59765625" style="93" customWidth="1"/>
    <col min="15623" max="15625" width="8.19921875" style="93" customWidth="1"/>
    <col min="15626" max="15626" width="0" style="93" hidden="1" customWidth="1"/>
    <col min="15627" max="15627" width="9.59765625" style="93" customWidth="1"/>
    <col min="15628" max="15628" width="5.5" style="93" customWidth="1"/>
    <col min="15629" max="15629" width="0" style="93" hidden="1" customWidth="1"/>
    <col min="15630" max="15631" width="13.19921875" style="93" customWidth="1"/>
    <col min="15632" max="15632" width="0.796875" style="93" customWidth="1"/>
    <col min="15633" max="15872" width="8.09765625" style="93"/>
    <col min="15873" max="15874" width="4.19921875" style="93" customWidth="1"/>
    <col min="15875" max="15875" width="11.796875" style="93" customWidth="1"/>
    <col min="15876" max="15876" width="21.796875" style="93" customWidth="1"/>
    <col min="15877" max="15878" width="9.59765625" style="93" customWidth="1"/>
    <col min="15879" max="15881" width="8.19921875" style="93" customWidth="1"/>
    <col min="15882" max="15882" width="0" style="93" hidden="1" customWidth="1"/>
    <col min="15883" max="15883" width="9.59765625" style="93" customWidth="1"/>
    <col min="15884" max="15884" width="5.5" style="93" customWidth="1"/>
    <col min="15885" max="15885" width="0" style="93" hidden="1" customWidth="1"/>
    <col min="15886" max="15887" width="13.19921875" style="93" customWidth="1"/>
    <col min="15888" max="15888" width="0.796875" style="93" customWidth="1"/>
    <col min="15889" max="16128" width="8.09765625" style="93"/>
    <col min="16129" max="16130" width="4.19921875" style="93" customWidth="1"/>
    <col min="16131" max="16131" width="11.796875" style="93" customWidth="1"/>
    <col min="16132" max="16132" width="21.796875" style="93" customWidth="1"/>
    <col min="16133" max="16134" width="9.59765625" style="93" customWidth="1"/>
    <col min="16135" max="16137" width="8.19921875" style="93" customWidth="1"/>
    <col min="16138" max="16138" width="0" style="93" hidden="1" customWidth="1"/>
    <col min="16139" max="16139" width="9.59765625" style="93" customWidth="1"/>
    <col min="16140" max="16140" width="5.5" style="93" customWidth="1"/>
    <col min="16141" max="16141" width="0" style="93" hidden="1" customWidth="1"/>
    <col min="16142" max="16143" width="13.19921875" style="93" customWidth="1"/>
    <col min="16144" max="16144" width="0.796875" style="93" customWidth="1"/>
    <col min="16145" max="16384" width="8.09765625" style="93"/>
  </cols>
  <sheetData>
    <row r="1" spans="1:15" ht="21" x14ac:dyDescent="0.25">
      <c r="A1" s="88"/>
      <c r="B1" s="89"/>
      <c r="C1" s="90"/>
      <c r="D1" s="90"/>
      <c r="E1" s="91" t="s">
        <v>56</v>
      </c>
      <c r="F1" s="90"/>
      <c r="G1" s="90"/>
      <c r="H1" s="90"/>
      <c r="I1" s="90"/>
      <c r="J1" s="90"/>
      <c r="K1" s="90"/>
      <c r="L1" s="90"/>
      <c r="M1" s="90"/>
      <c r="N1" s="90"/>
      <c r="O1" s="92"/>
    </row>
    <row r="2" spans="1:15" ht="14.25" customHeight="1" x14ac:dyDescent="0.2"/>
    <row r="3" spans="1:15" ht="19.5" customHeight="1" x14ac:dyDescent="0.2">
      <c r="A3" s="271"/>
      <c r="B3" s="272"/>
      <c r="C3" s="272"/>
      <c r="D3" s="272"/>
      <c r="E3" s="95"/>
    </row>
    <row r="4" spans="1:15" ht="18.75" customHeight="1" x14ac:dyDescent="0.25">
      <c r="A4" s="273"/>
      <c r="B4" s="274"/>
      <c r="C4" s="274"/>
      <c r="D4" s="274"/>
      <c r="E4" s="96"/>
      <c r="F4" s="97"/>
    </row>
    <row r="5" spans="1:15" ht="8.25" customHeight="1" x14ac:dyDescent="0.2"/>
    <row r="6" spans="1:15" x14ac:dyDescent="0.2">
      <c r="A6" s="98" t="s">
        <v>57</v>
      </c>
    </row>
    <row r="7" spans="1:15" ht="20.25" customHeight="1" x14ac:dyDescent="0.2">
      <c r="K7" s="99"/>
    </row>
    <row r="8" spans="1:15" ht="19.5" customHeight="1" x14ac:dyDescent="0.25">
      <c r="A8" s="100" t="s">
        <v>58</v>
      </c>
      <c r="B8" s="101"/>
      <c r="C8" s="102"/>
      <c r="D8" s="275"/>
      <c r="E8" s="276"/>
      <c r="F8" s="102"/>
      <c r="G8" s="94"/>
    </row>
    <row r="9" spans="1:15" ht="19.5" customHeight="1" x14ac:dyDescent="0.25">
      <c r="A9" s="103" t="s">
        <v>185</v>
      </c>
      <c r="B9" s="101"/>
      <c r="C9" s="102"/>
      <c r="D9" s="275"/>
      <c r="E9" s="276"/>
      <c r="F9" s="102"/>
      <c r="G9" s="94"/>
    </row>
    <row r="10" spans="1:15" ht="20.100000000000001" customHeight="1" x14ac:dyDescent="0.25">
      <c r="A10" s="104" t="s">
        <v>59</v>
      </c>
      <c r="B10" s="105"/>
      <c r="C10" s="106"/>
      <c r="D10" s="270"/>
      <c r="E10" s="270"/>
      <c r="F10" s="106"/>
      <c r="G10" s="94"/>
    </row>
    <row r="11" spans="1:15" ht="20.100000000000001" customHeight="1" x14ac:dyDescent="0.25">
      <c r="A11" s="104" t="s">
        <v>60</v>
      </c>
      <c r="B11" s="105"/>
      <c r="C11" s="106"/>
      <c r="D11" s="270">
        <f>SUM(D8+D10)</f>
        <v>0</v>
      </c>
      <c r="E11" s="270"/>
      <c r="F11" s="106"/>
      <c r="G11" s="94"/>
      <c r="K11" s="93" t="s">
        <v>61</v>
      </c>
    </row>
    <row r="12" spans="1:15" x14ac:dyDescent="0.2">
      <c r="G12" s="94"/>
      <c r="K12" s="93" t="s">
        <v>62</v>
      </c>
    </row>
    <row r="13" spans="1:15" x14ac:dyDescent="0.2">
      <c r="A13" s="102" t="s">
        <v>63</v>
      </c>
      <c r="B13" s="102"/>
      <c r="C13" s="102"/>
      <c r="D13" s="279"/>
      <c r="E13" s="279"/>
      <c r="F13" s="279"/>
      <c r="G13" s="107"/>
      <c r="K13" s="93" t="s">
        <v>64</v>
      </c>
    </row>
    <row r="14" spans="1:15" x14ac:dyDescent="0.2">
      <c r="D14" s="94"/>
      <c r="E14" s="94"/>
      <c r="F14" s="94"/>
      <c r="G14" s="94"/>
      <c r="K14" s="93" t="s">
        <v>65</v>
      </c>
    </row>
    <row r="15" spans="1:15" x14ac:dyDescent="0.2">
      <c r="A15" s="102" t="s">
        <v>66</v>
      </c>
      <c r="B15" s="102"/>
      <c r="C15" s="102"/>
      <c r="D15" s="280"/>
      <c r="E15" s="280"/>
      <c r="F15" s="280"/>
      <c r="G15" s="108"/>
    </row>
    <row r="16" spans="1:15" x14ac:dyDescent="0.2">
      <c r="A16" s="106" t="s">
        <v>67</v>
      </c>
      <c r="B16" s="106"/>
      <c r="C16" s="106"/>
      <c r="D16" s="281"/>
      <c r="E16" s="281"/>
      <c r="F16" s="109"/>
      <c r="G16" s="94"/>
      <c r="K16" s="93" t="s">
        <v>68</v>
      </c>
    </row>
    <row r="17" spans="1:16" x14ac:dyDescent="0.2">
      <c r="A17" s="106" t="s">
        <v>69</v>
      </c>
      <c r="B17" s="106"/>
      <c r="C17" s="106"/>
      <c r="D17" s="282"/>
      <c r="E17" s="281"/>
      <c r="F17" s="281"/>
      <c r="K17" s="110" t="s">
        <v>70</v>
      </c>
    </row>
    <row r="18" spans="1:16" x14ac:dyDescent="0.2">
      <c r="A18" s="102" t="s">
        <v>71</v>
      </c>
      <c r="B18" s="102"/>
      <c r="C18" s="102"/>
      <c r="D18" s="282"/>
      <c r="E18" s="281"/>
      <c r="F18" s="281"/>
    </row>
    <row r="19" spans="1:16" x14ac:dyDescent="0.2">
      <c r="G19" s="93" t="s">
        <v>72</v>
      </c>
      <c r="H19" s="93" t="s">
        <v>73</v>
      </c>
    </row>
    <row r="20" spans="1:16" ht="16.5" customHeight="1" x14ac:dyDescent="0.2">
      <c r="H20" s="93" t="s">
        <v>74</v>
      </c>
      <c r="O20" s="111" t="s">
        <v>75</v>
      </c>
    </row>
    <row r="21" spans="1:16" ht="16.5" customHeight="1" x14ac:dyDescent="0.2">
      <c r="A21" s="112" t="s">
        <v>76</v>
      </c>
      <c r="B21" s="112" t="s">
        <v>77</v>
      </c>
      <c r="C21" s="283" t="s">
        <v>78</v>
      </c>
      <c r="D21" s="284"/>
      <c r="E21" s="112" t="s">
        <v>79</v>
      </c>
      <c r="F21" s="112" t="s">
        <v>80</v>
      </c>
      <c r="G21" s="112" t="s">
        <v>81</v>
      </c>
      <c r="H21" s="112" t="s">
        <v>82</v>
      </c>
      <c r="I21" s="112" t="s">
        <v>83</v>
      </c>
      <c r="J21" s="112"/>
      <c r="K21" s="112" t="s">
        <v>84</v>
      </c>
      <c r="L21" s="112" t="s">
        <v>85</v>
      </c>
      <c r="M21" s="112"/>
      <c r="N21" s="112" t="s">
        <v>86</v>
      </c>
      <c r="O21" s="112" t="s">
        <v>87</v>
      </c>
      <c r="P21" s="113"/>
    </row>
    <row r="22" spans="1:16" ht="16.5" customHeight="1" x14ac:dyDescent="0.2">
      <c r="A22" s="114"/>
      <c r="B22" s="114"/>
      <c r="C22" s="277"/>
      <c r="D22" s="278"/>
      <c r="E22" s="115"/>
      <c r="F22" s="114"/>
      <c r="G22" s="116"/>
      <c r="H22" s="117"/>
      <c r="I22" s="117"/>
      <c r="J22" s="116"/>
      <c r="K22" s="118" t="str">
        <f t="shared" ref="K22:K38" si="0">IF(MOD(J22,1)=0,TEXT(J22,"#,###"),TEXT(J22,"#,##0.##"))</f>
        <v/>
      </c>
      <c r="L22" s="114"/>
      <c r="M22" s="114"/>
      <c r="N22" s="118" t="str">
        <f t="shared" ref="N22:N38" si="1">IF(MOD(M22,1)=0,TEXT(M22,"#,###"),TEXT(M22,"#,##0.##"))</f>
        <v/>
      </c>
      <c r="O22" s="119"/>
      <c r="P22" s="98"/>
    </row>
    <row r="23" spans="1:16" ht="16.5" customHeight="1" x14ac:dyDescent="0.2">
      <c r="A23" s="114"/>
      <c r="B23" s="114"/>
      <c r="C23" s="277"/>
      <c r="D23" s="278"/>
      <c r="E23" s="115"/>
      <c r="F23" s="114"/>
      <c r="G23" s="116"/>
      <c r="H23" s="117"/>
      <c r="I23" s="117"/>
      <c r="J23" s="116"/>
      <c r="K23" s="118" t="str">
        <f t="shared" si="0"/>
        <v/>
      </c>
      <c r="L23" s="114"/>
      <c r="M23" s="114"/>
      <c r="N23" s="118" t="str">
        <f t="shared" si="1"/>
        <v/>
      </c>
      <c r="O23" s="119"/>
      <c r="P23" s="98"/>
    </row>
    <row r="24" spans="1:16" ht="16.5" customHeight="1" x14ac:dyDescent="0.2">
      <c r="A24" s="114"/>
      <c r="B24" s="114"/>
      <c r="C24" s="277"/>
      <c r="D24" s="278"/>
      <c r="E24" s="115"/>
      <c r="F24" s="114"/>
      <c r="G24" s="116"/>
      <c r="H24" s="117"/>
      <c r="I24" s="117"/>
      <c r="J24" s="116"/>
      <c r="K24" s="118" t="str">
        <f t="shared" si="0"/>
        <v/>
      </c>
      <c r="L24" s="114"/>
      <c r="M24" s="114"/>
      <c r="N24" s="118" t="str">
        <f t="shared" si="1"/>
        <v/>
      </c>
      <c r="O24" s="119"/>
      <c r="P24" s="98"/>
    </row>
    <row r="25" spans="1:16" ht="16.5" customHeight="1" x14ac:dyDescent="0.2">
      <c r="A25" s="114"/>
      <c r="B25" s="114"/>
      <c r="C25" s="277"/>
      <c r="D25" s="278"/>
      <c r="E25" s="115"/>
      <c r="F25" s="114"/>
      <c r="G25" s="116"/>
      <c r="H25" s="117"/>
      <c r="I25" s="117"/>
      <c r="J25" s="116"/>
      <c r="K25" s="118" t="str">
        <f t="shared" si="0"/>
        <v/>
      </c>
      <c r="L25" s="114"/>
      <c r="M25" s="114"/>
      <c r="N25" s="118" t="str">
        <f t="shared" si="1"/>
        <v/>
      </c>
      <c r="O25" s="119"/>
      <c r="P25" s="98"/>
    </row>
    <row r="26" spans="1:16" ht="16.5" customHeight="1" x14ac:dyDescent="0.2">
      <c r="A26" s="114"/>
      <c r="B26" s="114"/>
      <c r="C26" s="277"/>
      <c r="D26" s="278"/>
      <c r="E26" s="115"/>
      <c r="F26" s="114"/>
      <c r="G26" s="116"/>
      <c r="H26" s="117"/>
      <c r="I26" s="117"/>
      <c r="J26" s="116"/>
      <c r="K26" s="118" t="str">
        <f t="shared" si="0"/>
        <v/>
      </c>
      <c r="L26" s="114"/>
      <c r="M26" s="114"/>
      <c r="N26" s="118" t="str">
        <f t="shared" si="1"/>
        <v/>
      </c>
      <c r="O26" s="119"/>
      <c r="P26" s="98"/>
    </row>
    <row r="27" spans="1:16" ht="16.5" customHeight="1" x14ac:dyDescent="0.2">
      <c r="A27" s="114"/>
      <c r="B27" s="114"/>
      <c r="C27" s="277"/>
      <c r="D27" s="278"/>
      <c r="E27" s="115"/>
      <c r="F27" s="114"/>
      <c r="G27" s="116"/>
      <c r="H27" s="117"/>
      <c r="I27" s="117"/>
      <c r="J27" s="116"/>
      <c r="K27" s="118" t="str">
        <f t="shared" si="0"/>
        <v/>
      </c>
      <c r="L27" s="114"/>
      <c r="M27" s="114"/>
      <c r="N27" s="118" t="str">
        <f t="shared" si="1"/>
        <v/>
      </c>
      <c r="O27" s="119"/>
      <c r="P27" s="98"/>
    </row>
    <row r="28" spans="1:16" ht="16.5" customHeight="1" x14ac:dyDescent="0.2">
      <c r="A28" s="114"/>
      <c r="B28" s="114"/>
      <c r="C28" s="277"/>
      <c r="D28" s="278"/>
      <c r="E28" s="115"/>
      <c r="F28" s="114"/>
      <c r="G28" s="116"/>
      <c r="H28" s="117"/>
      <c r="I28" s="117"/>
      <c r="J28" s="116"/>
      <c r="K28" s="118" t="str">
        <f t="shared" si="0"/>
        <v/>
      </c>
      <c r="L28" s="114"/>
      <c r="M28" s="114"/>
      <c r="N28" s="118" t="str">
        <f t="shared" si="1"/>
        <v/>
      </c>
      <c r="O28" s="119"/>
      <c r="P28" s="98"/>
    </row>
    <row r="29" spans="1:16" ht="16.5" customHeight="1" x14ac:dyDescent="0.2">
      <c r="A29" s="114"/>
      <c r="B29" s="114"/>
      <c r="C29" s="277"/>
      <c r="D29" s="278"/>
      <c r="E29" s="115"/>
      <c r="F29" s="114"/>
      <c r="G29" s="116"/>
      <c r="H29" s="117"/>
      <c r="I29" s="117"/>
      <c r="J29" s="116"/>
      <c r="K29" s="118" t="str">
        <f t="shared" si="0"/>
        <v/>
      </c>
      <c r="L29" s="114"/>
      <c r="M29" s="114"/>
      <c r="N29" s="118" t="str">
        <f t="shared" si="1"/>
        <v/>
      </c>
      <c r="O29" s="119"/>
      <c r="P29" s="98"/>
    </row>
    <row r="30" spans="1:16" ht="16.5" customHeight="1" x14ac:dyDescent="0.2">
      <c r="A30" s="114"/>
      <c r="B30" s="114"/>
      <c r="C30" s="277"/>
      <c r="D30" s="278"/>
      <c r="E30" s="115"/>
      <c r="F30" s="114"/>
      <c r="G30" s="116"/>
      <c r="H30" s="117"/>
      <c r="I30" s="117"/>
      <c r="J30" s="116"/>
      <c r="K30" s="118" t="str">
        <f t="shared" si="0"/>
        <v/>
      </c>
      <c r="L30" s="114"/>
      <c r="M30" s="114"/>
      <c r="N30" s="118" t="str">
        <f t="shared" si="1"/>
        <v/>
      </c>
      <c r="O30" s="119"/>
      <c r="P30" s="98"/>
    </row>
    <row r="31" spans="1:16" ht="16.5" customHeight="1" x14ac:dyDescent="0.2">
      <c r="A31" s="114"/>
      <c r="B31" s="114"/>
      <c r="C31" s="277"/>
      <c r="D31" s="278"/>
      <c r="E31" s="115"/>
      <c r="F31" s="114"/>
      <c r="G31" s="116"/>
      <c r="H31" s="117"/>
      <c r="I31" s="117"/>
      <c r="J31" s="116"/>
      <c r="K31" s="118" t="str">
        <f t="shared" si="0"/>
        <v/>
      </c>
      <c r="L31" s="114"/>
      <c r="M31" s="114"/>
      <c r="N31" s="118" t="str">
        <f t="shared" si="1"/>
        <v/>
      </c>
      <c r="O31" s="119"/>
      <c r="P31" s="98"/>
    </row>
    <row r="32" spans="1:16" ht="16.5" customHeight="1" x14ac:dyDescent="0.2">
      <c r="A32" s="114"/>
      <c r="B32" s="114"/>
      <c r="C32" s="277"/>
      <c r="D32" s="278"/>
      <c r="E32" s="115"/>
      <c r="F32" s="114"/>
      <c r="G32" s="116"/>
      <c r="H32" s="117"/>
      <c r="I32" s="117"/>
      <c r="J32" s="116"/>
      <c r="K32" s="118" t="str">
        <f t="shared" si="0"/>
        <v/>
      </c>
      <c r="L32" s="114"/>
      <c r="M32" s="114"/>
      <c r="N32" s="118" t="str">
        <f t="shared" si="1"/>
        <v/>
      </c>
      <c r="O32" s="119"/>
      <c r="P32" s="98"/>
    </row>
    <row r="33" spans="1:16" ht="16.5" customHeight="1" x14ac:dyDescent="0.2">
      <c r="A33" s="114"/>
      <c r="B33" s="114"/>
      <c r="C33" s="277"/>
      <c r="D33" s="278"/>
      <c r="E33" s="115"/>
      <c r="F33" s="114"/>
      <c r="G33" s="116"/>
      <c r="H33" s="117"/>
      <c r="I33" s="117"/>
      <c r="J33" s="116"/>
      <c r="K33" s="118" t="str">
        <f t="shared" si="0"/>
        <v/>
      </c>
      <c r="L33" s="114"/>
      <c r="M33" s="114"/>
      <c r="N33" s="118" t="str">
        <f t="shared" si="1"/>
        <v/>
      </c>
      <c r="O33" s="119"/>
      <c r="P33" s="98"/>
    </row>
    <row r="34" spans="1:16" ht="16.5" customHeight="1" x14ac:dyDescent="0.2">
      <c r="A34" s="114"/>
      <c r="B34" s="114"/>
      <c r="C34" s="277"/>
      <c r="D34" s="278"/>
      <c r="E34" s="115"/>
      <c r="F34" s="114"/>
      <c r="G34" s="116"/>
      <c r="H34" s="117"/>
      <c r="I34" s="117"/>
      <c r="J34" s="116"/>
      <c r="K34" s="118" t="str">
        <f t="shared" si="0"/>
        <v/>
      </c>
      <c r="L34" s="114"/>
      <c r="M34" s="114"/>
      <c r="N34" s="118" t="str">
        <f t="shared" si="1"/>
        <v/>
      </c>
      <c r="O34" s="119"/>
      <c r="P34" s="98"/>
    </row>
    <row r="35" spans="1:16" ht="16.5" customHeight="1" x14ac:dyDescent="0.2">
      <c r="A35" s="114"/>
      <c r="B35" s="114"/>
      <c r="C35" s="277"/>
      <c r="D35" s="278"/>
      <c r="E35" s="115"/>
      <c r="F35" s="114"/>
      <c r="G35" s="116"/>
      <c r="H35" s="117"/>
      <c r="I35" s="117"/>
      <c r="J35" s="116"/>
      <c r="K35" s="118" t="str">
        <f t="shared" si="0"/>
        <v/>
      </c>
      <c r="L35" s="114"/>
      <c r="M35" s="114"/>
      <c r="N35" s="118" t="str">
        <f t="shared" si="1"/>
        <v/>
      </c>
      <c r="O35" s="119"/>
      <c r="P35" s="98"/>
    </row>
    <row r="36" spans="1:16" ht="16.5" customHeight="1" x14ac:dyDescent="0.2">
      <c r="A36" s="114"/>
      <c r="B36" s="114"/>
      <c r="C36" s="277"/>
      <c r="D36" s="278"/>
      <c r="E36" s="115"/>
      <c r="F36" s="114"/>
      <c r="G36" s="116"/>
      <c r="H36" s="117"/>
      <c r="I36" s="117"/>
      <c r="J36" s="116"/>
      <c r="K36" s="118" t="str">
        <f t="shared" si="0"/>
        <v/>
      </c>
      <c r="L36" s="114"/>
      <c r="M36" s="114"/>
      <c r="N36" s="118" t="str">
        <f t="shared" si="1"/>
        <v/>
      </c>
      <c r="O36" s="119"/>
      <c r="P36" s="98"/>
    </row>
    <row r="37" spans="1:16" ht="16.5" customHeight="1" x14ac:dyDescent="0.2">
      <c r="A37" s="114"/>
      <c r="B37" s="114"/>
      <c r="C37" s="277"/>
      <c r="D37" s="278"/>
      <c r="E37" s="115"/>
      <c r="F37" s="114"/>
      <c r="G37" s="116"/>
      <c r="H37" s="117"/>
      <c r="I37" s="117"/>
      <c r="J37" s="116"/>
      <c r="K37" s="118" t="str">
        <f t="shared" si="0"/>
        <v/>
      </c>
      <c r="L37" s="114"/>
      <c r="M37" s="114"/>
      <c r="N37" s="118" t="str">
        <f t="shared" si="1"/>
        <v/>
      </c>
      <c r="O37" s="119"/>
      <c r="P37" s="98"/>
    </row>
    <row r="38" spans="1:16" ht="16.5" customHeight="1" x14ac:dyDescent="0.2">
      <c r="A38" s="114"/>
      <c r="B38" s="114"/>
      <c r="C38" s="277"/>
      <c r="D38" s="278"/>
      <c r="E38" s="115"/>
      <c r="F38" s="114"/>
      <c r="G38" s="116"/>
      <c r="H38" s="117"/>
      <c r="I38" s="117"/>
      <c r="J38" s="116"/>
      <c r="K38" s="118" t="str">
        <f t="shared" si="0"/>
        <v/>
      </c>
      <c r="L38" s="114"/>
      <c r="M38" s="114"/>
      <c r="N38" s="118" t="str">
        <f t="shared" si="1"/>
        <v/>
      </c>
      <c r="O38" s="119"/>
      <c r="P38" s="98"/>
    </row>
    <row r="39" spans="1:16" ht="9" customHeight="1" x14ac:dyDescent="0.2"/>
    <row r="40" spans="1:16" ht="16.5" customHeight="1" x14ac:dyDescent="0.2">
      <c r="O40" s="111" t="s">
        <v>75</v>
      </c>
    </row>
    <row r="41" spans="1:16" ht="16.5" customHeight="1" x14ac:dyDescent="0.2">
      <c r="A41" s="112" t="s">
        <v>76</v>
      </c>
      <c r="B41" s="112" t="s">
        <v>77</v>
      </c>
      <c r="C41" s="283" t="s">
        <v>78</v>
      </c>
      <c r="D41" s="285"/>
      <c r="E41" s="112" t="s">
        <v>79</v>
      </c>
      <c r="F41" s="112" t="s">
        <v>80</v>
      </c>
      <c r="G41" s="112" t="s">
        <v>81</v>
      </c>
      <c r="H41" s="112" t="s">
        <v>82</v>
      </c>
      <c r="I41" s="112" t="s">
        <v>83</v>
      </c>
      <c r="J41" s="112"/>
      <c r="K41" s="112" t="s">
        <v>84</v>
      </c>
      <c r="L41" s="112" t="s">
        <v>85</v>
      </c>
      <c r="M41" s="112"/>
      <c r="N41" s="112" t="s">
        <v>86</v>
      </c>
      <c r="O41" s="112" t="s">
        <v>87</v>
      </c>
    </row>
    <row r="42" spans="1:16" ht="16.5" customHeight="1" x14ac:dyDescent="0.2">
      <c r="A42" s="114"/>
      <c r="B42" s="114"/>
      <c r="C42" s="277"/>
      <c r="D42" s="278"/>
      <c r="E42" s="115"/>
      <c r="F42" s="114"/>
      <c r="G42" s="116"/>
      <c r="H42" s="117"/>
      <c r="I42" s="117"/>
      <c r="J42" s="116"/>
      <c r="K42" s="118" t="str">
        <f t="shared" ref="K42:K73" si="2">IF(MOD(J42,1)=0,TEXT(J42,"#,###"),TEXT(J42,"#,##0.##"))</f>
        <v/>
      </c>
      <c r="L42" s="114"/>
      <c r="M42" s="114"/>
      <c r="N42" s="118" t="str">
        <f t="shared" ref="N42:N73" si="3">IF(MOD(M42,1)=0,TEXT(M42,"#,###"),TEXT(M42,"#,##0.##"))</f>
        <v/>
      </c>
      <c r="O42" s="119"/>
    </row>
    <row r="43" spans="1:16" ht="16.5" customHeight="1" x14ac:dyDescent="0.2">
      <c r="A43" s="114"/>
      <c r="B43" s="114"/>
      <c r="C43" s="277"/>
      <c r="D43" s="278"/>
      <c r="E43" s="115"/>
      <c r="F43" s="114"/>
      <c r="G43" s="116"/>
      <c r="H43" s="117"/>
      <c r="I43" s="117"/>
      <c r="J43" s="116"/>
      <c r="K43" s="118" t="str">
        <f t="shared" si="2"/>
        <v/>
      </c>
      <c r="L43" s="114"/>
      <c r="M43" s="114"/>
      <c r="N43" s="118" t="str">
        <f t="shared" si="3"/>
        <v/>
      </c>
      <c r="O43" s="119"/>
    </row>
    <row r="44" spans="1:16" ht="16.5" customHeight="1" x14ac:dyDescent="0.2">
      <c r="A44" s="114"/>
      <c r="B44" s="114"/>
      <c r="C44" s="277"/>
      <c r="D44" s="278"/>
      <c r="E44" s="115"/>
      <c r="F44" s="114"/>
      <c r="G44" s="116"/>
      <c r="H44" s="117"/>
      <c r="I44" s="117"/>
      <c r="J44" s="116"/>
      <c r="K44" s="118" t="str">
        <f t="shared" si="2"/>
        <v/>
      </c>
      <c r="L44" s="114"/>
      <c r="M44" s="114"/>
      <c r="N44" s="118" t="str">
        <f t="shared" si="3"/>
        <v/>
      </c>
      <c r="O44" s="119"/>
    </row>
    <row r="45" spans="1:16" ht="16.5" customHeight="1" x14ac:dyDescent="0.2">
      <c r="A45" s="114"/>
      <c r="B45" s="114"/>
      <c r="C45" s="277"/>
      <c r="D45" s="278"/>
      <c r="E45" s="115"/>
      <c r="F45" s="114"/>
      <c r="G45" s="116"/>
      <c r="H45" s="117"/>
      <c r="I45" s="117"/>
      <c r="J45" s="116"/>
      <c r="K45" s="118" t="str">
        <f t="shared" si="2"/>
        <v/>
      </c>
      <c r="L45" s="114"/>
      <c r="M45" s="114"/>
      <c r="N45" s="118" t="str">
        <f t="shared" si="3"/>
        <v/>
      </c>
      <c r="O45" s="119"/>
    </row>
    <row r="46" spans="1:16" ht="16.5" customHeight="1" x14ac:dyDescent="0.2">
      <c r="A46" s="114"/>
      <c r="B46" s="114"/>
      <c r="C46" s="277"/>
      <c r="D46" s="278"/>
      <c r="E46" s="115"/>
      <c r="F46" s="114"/>
      <c r="G46" s="116"/>
      <c r="H46" s="117"/>
      <c r="I46" s="117"/>
      <c r="J46" s="116"/>
      <c r="K46" s="118" t="str">
        <f t="shared" si="2"/>
        <v/>
      </c>
      <c r="L46" s="114"/>
      <c r="M46" s="114"/>
      <c r="N46" s="118" t="str">
        <f t="shared" si="3"/>
        <v/>
      </c>
      <c r="O46" s="119"/>
    </row>
    <row r="47" spans="1:16" ht="16.5" customHeight="1" x14ac:dyDescent="0.2">
      <c r="A47" s="114"/>
      <c r="B47" s="114"/>
      <c r="C47" s="277"/>
      <c r="D47" s="278"/>
      <c r="E47" s="115"/>
      <c r="F47" s="114"/>
      <c r="G47" s="116"/>
      <c r="H47" s="117"/>
      <c r="I47" s="117"/>
      <c r="J47" s="116"/>
      <c r="K47" s="118" t="str">
        <f t="shared" si="2"/>
        <v/>
      </c>
      <c r="L47" s="114"/>
      <c r="M47" s="114"/>
      <c r="N47" s="118" t="str">
        <f t="shared" si="3"/>
        <v/>
      </c>
      <c r="O47" s="119"/>
    </row>
    <row r="48" spans="1:16" ht="16.5" customHeight="1" x14ac:dyDescent="0.2">
      <c r="A48" s="114"/>
      <c r="B48" s="114"/>
      <c r="C48" s="277"/>
      <c r="D48" s="278"/>
      <c r="E48" s="115"/>
      <c r="F48" s="114"/>
      <c r="G48" s="116"/>
      <c r="H48" s="117"/>
      <c r="I48" s="117"/>
      <c r="J48" s="116"/>
      <c r="K48" s="118" t="str">
        <f t="shared" si="2"/>
        <v/>
      </c>
      <c r="L48" s="114"/>
      <c r="M48" s="114"/>
      <c r="N48" s="118" t="str">
        <f t="shared" si="3"/>
        <v/>
      </c>
      <c r="O48" s="119"/>
    </row>
    <row r="49" spans="1:15" ht="16.5" customHeight="1" x14ac:dyDescent="0.2">
      <c r="A49" s="114"/>
      <c r="B49" s="114"/>
      <c r="C49" s="277"/>
      <c r="D49" s="278"/>
      <c r="E49" s="115"/>
      <c r="F49" s="114"/>
      <c r="G49" s="116"/>
      <c r="H49" s="117"/>
      <c r="I49" s="117"/>
      <c r="J49" s="116"/>
      <c r="K49" s="118" t="str">
        <f t="shared" si="2"/>
        <v/>
      </c>
      <c r="L49" s="114"/>
      <c r="M49" s="114"/>
      <c r="N49" s="118" t="str">
        <f t="shared" si="3"/>
        <v/>
      </c>
      <c r="O49" s="119"/>
    </row>
    <row r="50" spans="1:15" ht="16.5" customHeight="1" x14ac:dyDescent="0.2">
      <c r="A50" s="114"/>
      <c r="B50" s="114"/>
      <c r="C50" s="277"/>
      <c r="D50" s="278"/>
      <c r="E50" s="115"/>
      <c r="F50" s="114"/>
      <c r="G50" s="116"/>
      <c r="H50" s="117"/>
      <c r="I50" s="117"/>
      <c r="J50" s="116"/>
      <c r="K50" s="118" t="str">
        <f t="shared" si="2"/>
        <v/>
      </c>
      <c r="L50" s="114"/>
      <c r="M50" s="114"/>
      <c r="N50" s="118" t="str">
        <f t="shared" si="3"/>
        <v/>
      </c>
      <c r="O50" s="119"/>
    </row>
    <row r="51" spans="1:15" ht="16.5" customHeight="1" x14ac:dyDescent="0.2">
      <c r="A51" s="114"/>
      <c r="B51" s="114"/>
      <c r="C51" s="277"/>
      <c r="D51" s="278"/>
      <c r="E51" s="115"/>
      <c r="F51" s="114"/>
      <c r="G51" s="116"/>
      <c r="H51" s="117"/>
      <c r="I51" s="117"/>
      <c r="J51" s="116"/>
      <c r="K51" s="118" t="str">
        <f t="shared" si="2"/>
        <v/>
      </c>
      <c r="L51" s="114"/>
      <c r="M51" s="114"/>
      <c r="N51" s="118" t="str">
        <f t="shared" si="3"/>
        <v/>
      </c>
      <c r="O51" s="119"/>
    </row>
    <row r="52" spans="1:15" ht="16.5" customHeight="1" x14ac:dyDescent="0.2">
      <c r="A52" s="114"/>
      <c r="B52" s="114"/>
      <c r="C52" s="277"/>
      <c r="D52" s="278"/>
      <c r="E52" s="115"/>
      <c r="F52" s="114"/>
      <c r="G52" s="116"/>
      <c r="H52" s="117"/>
      <c r="I52" s="117"/>
      <c r="J52" s="116"/>
      <c r="K52" s="118" t="str">
        <f t="shared" si="2"/>
        <v/>
      </c>
      <c r="L52" s="114"/>
      <c r="M52" s="114"/>
      <c r="N52" s="118" t="str">
        <f t="shared" si="3"/>
        <v/>
      </c>
      <c r="O52" s="119"/>
    </row>
    <row r="53" spans="1:15" ht="16.5" customHeight="1" x14ac:dyDescent="0.2">
      <c r="A53" s="114"/>
      <c r="B53" s="114"/>
      <c r="C53" s="277"/>
      <c r="D53" s="278"/>
      <c r="E53" s="115"/>
      <c r="F53" s="114"/>
      <c r="G53" s="116"/>
      <c r="H53" s="117"/>
      <c r="I53" s="117"/>
      <c r="J53" s="116"/>
      <c r="K53" s="118" t="str">
        <f t="shared" si="2"/>
        <v/>
      </c>
      <c r="L53" s="114"/>
      <c r="M53" s="114"/>
      <c r="N53" s="118" t="str">
        <f t="shared" si="3"/>
        <v/>
      </c>
      <c r="O53" s="119"/>
    </row>
    <row r="54" spans="1:15" ht="16.5" customHeight="1" x14ac:dyDescent="0.2">
      <c r="A54" s="114"/>
      <c r="B54" s="114"/>
      <c r="C54" s="277"/>
      <c r="D54" s="278"/>
      <c r="E54" s="115"/>
      <c r="F54" s="114"/>
      <c r="G54" s="116"/>
      <c r="H54" s="117"/>
      <c r="I54" s="117"/>
      <c r="J54" s="116"/>
      <c r="K54" s="118" t="str">
        <f t="shared" si="2"/>
        <v/>
      </c>
      <c r="L54" s="114"/>
      <c r="M54" s="114"/>
      <c r="N54" s="118" t="str">
        <f t="shared" si="3"/>
        <v/>
      </c>
      <c r="O54" s="119"/>
    </row>
    <row r="55" spans="1:15" ht="16.5" customHeight="1" x14ac:dyDescent="0.2">
      <c r="A55" s="114"/>
      <c r="B55" s="114"/>
      <c r="C55" s="277"/>
      <c r="D55" s="278"/>
      <c r="E55" s="115"/>
      <c r="F55" s="114"/>
      <c r="G55" s="116"/>
      <c r="H55" s="117"/>
      <c r="I55" s="117"/>
      <c r="J55" s="116"/>
      <c r="K55" s="118" t="str">
        <f t="shared" si="2"/>
        <v/>
      </c>
      <c r="L55" s="114"/>
      <c r="M55" s="114"/>
      <c r="N55" s="118" t="str">
        <f t="shared" si="3"/>
        <v/>
      </c>
      <c r="O55" s="119"/>
    </row>
    <row r="56" spans="1:15" ht="16.5" customHeight="1" x14ac:dyDescent="0.2">
      <c r="A56" s="114"/>
      <c r="B56" s="114"/>
      <c r="C56" s="277"/>
      <c r="D56" s="278"/>
      <c r="E56" s="115"/>
      <c r="F56" s="114"/>
      <c r="G56" s="116"/>
      <c r="H56" s="117"/>
      <c r="I56" s="117"/>
      <c r="J56" s="116"/>
      <c r="K56" s="118" t="str">
        <f t="shared" si="2"/>
        <v/>
      </c>
      <c r="L56" s="114"/>
      <c r="M56" s="114"/>
      <c r="N56" s="118" t="str">
        <f t="shared" si="3"/>
        <v/>
      </c>
      <c r="O56" s="119"/>
    </row>
    <row r="57" spans="1:15" ht="16.5" customHeight="1" x14ac:dyDescent="0.2">
      <c r="A57" s="114"/>
      <c r="B57" s="114"/>
      <c r="C57" s="277"/>
      <c r="D57" s="278"/>
      <c r="E57" s="115"/>
      <c r="F57" s="114"/>
      <c r="G57" s="116"/>
      <c r="H57" s="117"/>
      <c r="I57" s="117"/>
      <c r="J57" s="116"/>
      <c r="K57" s="118" t="str">
        <f t="shared" si="2"/>
        <v/>
      </c>
      <c r="L57" s="114"/>
      <c r="M57" s="114"/>
      <c r="N57" s="118" t="str">
        <f t="shared" si="3"/>
        <v/>
      </c>
      <c r="O57" s="119"/>
    </row>
    <row r="58" spans="1:15" ht="16.5" customHeight="1" x14ac:dyDescent="0.2">
      <c r="A58" s="114"/>
      <c r="B58" s="114"/>
      <c r="C58" s="277"/>
      <c r="D58" s="278"/>
      <c r="E58" s="115"/>
      <c r="F58" s="114"/>
      <c r="G58" s="116"/>
      <c r="H58" s="117"/>
      <c r="I58" s="117"/>
      <c r="J58" s="116"/>
      <c r="K58" s="118" t="str">
        <f t="shared" si="2"/>
        <v/>
      </c>
      <c r="L58" s="114"/>
      <c r="M58" s="114"/>
      <c r="N58" s="118" t="str">
        <f t="shared" si="3"/>
        <v/>
      </c>
      <c r="O58" s="119"/>
    </row>
    <row r="59" spans="1:15" ht="16.5" customHeight="1" x14ac:dyDescent="0.2">
      <c r="A59" s="114"/>
      <c r="B59" s="114"/>
      <c r="C59" s="277"/>
      <c r="D59" s="278"/>
      <c r="E59" s="115"/>
      <c r="F59" s="114"/>
      <c r="G59" s="116"/>
      <c r="H59" s="117"/>
      <c r="I59" s="117"/>
      <c r="J59" s="116"/>
      <c r="K59" s="118" t="str">
        <f t="shared" si="2"/>
        <v/>
      </c>
      <c r="L59" s="114"/>
      <c r="M59" s="114"/>
      <c r="N59" s="118" t="str">
        <f t="shared" si="3"/>
        <v/>
      </c>
      <c r="O59" s="119"/>
    </row>
    <row r="60" spans="1:15" ht="16.5" customHeight="1" x14ac:dyDescent="0.2">
      <c r="A60" s="114"/>
      <c r="B60" s="114"/>
      <c r="C60" s="277"/>
      <c r="D60" s="278"/>
      <c r="E60" s="115"/>
      <c r="F60" s="114"/>
      <c r="G60" s="116"/>
      <c r="H60" s="117"/>
      <c r="I60" s="117"/>
      <c r="J60" s="116"/>
      <c r="K60" s="118" t="str">
        <f t="shared" si="2"/>
        <v/>
      </c>
      <c r="L60" s="114"/>
      <c r="M60" s="114"/>
      <c r="N60" s="118" t="str">
        <f t="shared" si="3"/>
        <v/>
      </c>
      <c r="O60" s="119"/>
    </row>
    <row r="61" spans="1:15" ht="16.5" customHeight="1" x14ac:dyDescent="0.2">
      <c r="A61" s="114"/>
      <c r="B61" s="114"/>
      <c r="C61" s="277"/>
      <c r="D61" s="278"/>
      <c r="E61" s="115"/>
      <c r="F61" s="114"/>
      <c r="G61" s="116"/>
      <c r="H61" s="117"/>
      <c r="I61" s="117"/>
      <c r="J61" s="116"/>
      <c r="K61" s="118" t="str">
        <f t="shared" si="2"/>
        <v/>
      </c>
      <c r="L61" s="114"/>
      <c r="M61" s="114"/>
      <c r="N61" s="118" t="str">
        <f t="shared" si="3"/>
        <v/>
      </c>
      <c r="O61" s="119"/>
    </row>
    <row r="62" spans="1:15" ht="16.5" customHeight="1" x14ac:dyDescent="0.2">
      <c r="A62" s="114"/>
      <c r="B62" s="114"/>
      <c r="C62" s="277"/>
      <c r="D62" s="278"/>
      <c r="E62" s="115"/>
      <c r="F62" s="114"/>
      <c r="G62" s="116"/>
      <c r="H62" s="117"/>
      <c r="I62" s="117"/>
      <c r="J62" s="116"/>
      <c r="K62" s="118" t="str">
        <f t="shared" si="2"/>
        <v/>
      </c>
      <c r="L62" s="114"/>
      <c r="M62" s="114"/>
      <c r="N62" s="118" t="str">
        <f t="shared" si="3"/>
        <v/>
      </c>
      <c r="O62" s="119"/>
    </row>
    <row r="63" spans="1:15" ht="16.5" customHeight="1" x14ac:dyDescent="0.2">
      <c r="A63" s="114"/>
      <c r="B63" s="114"/>
      <c r="C63" s="277"/>
      <c r="D63" s="278"/>
      <c r="E63" s="115"/>
      <c r="F63" s="114"/>
      <c r="G63" s="116"/>
      <c r="H63" s="117"/>
      <c r="I63" s="117"/>
      <c r="J63" s="116"/>
      <c r="K63" s="118" t="str">
        <f t="shared" si="2"/>
        <v/>
      </c>
      <c r="L63" s="114"/>
      <c r="M63" s="114"/>
      <c r="N63" s="118" t="str">
        <f t="shared" si="3"/>
        <v/>
      </c>
      <c r="O63" s="119"/>
    </row>
    <row r="64" spans="1:15" ht="16.5" customHeight="1" x14ac:dyDescent="0.2">
      <c r="A64" s="114"/>
      <c r="B64" s="114"/>
      <c r="C64" s="277"/>
      <c r="D64" s="278"/>
      <c r="E64" s="115"/>
      <c r="F64" s="114"/>
      <c r="G64" s="116"/>
      <c r="H64" s="117"/>
      <c r="I64" s="117"/>
      <c r="J64" s="116"/>
      <c r="K64" s="118" t="str">
        <f t="shared" si="2"/>
        <v/>
      </c>
      <c r="L64" s="114"/>
      <c r="M64" s="114"/>
      <c r="N64" s="118" t="str">
        <f t="shared" si="3"/>
        <v/>
      </c>
      <c r="O64" s="119"/>
    </row>
    <row r="65" spans="1:15" ht="16.5" customHeight="1" x14ac:dyDescent="0.2">
      <c r="A65" s="114"/>
      <c r="B65" s="114"/>
      <c r="C65" s="277"/>
      <c r="D65" s="278"/>
      <c r="E65" s="115"/>
      <c r="F65" s="114"/>
      <c r="G65" s="116"/>
      <c r="H65" s="117"/>
      <c r="I65" s="117"/>
      <c r="J65" s="116"/>
      <c r="K65" s="118" t="str">
        <f t="shared" si="2"/>
        <v/>
      </c>
      <c r="L65" s="114"/>
      <c r="M65" s="114"/>
      <c r="N65" s="118" t="str">
        <f t="shared" si="3"/>
        <v/>
      </c>
      <c r="O65" s="119"/>
    </row>
    <row r="66" spans="1:15" ht="16.5" customHeight="1" x14ac:dyDescent="0.2">
      <c r="A66" s="114"/>
      <c r="B66" s="114"/>
      <c r="C66" s="277"/>
      <c r="D66" s="278"/>
      <c r="E66" s="115"/>
      <c r="F66" s="114"/>
      <c r="G66" s="116"/>
      <c r="H66" s="117"/>
      <c r="I66" s="117"/>
      <c r="J66" s="116"/>
      <c r="K66" s="118" t="str">
        <f t="shared" si="2"/>
        <v/>
      </c>
      <c r="L66" s="114"/>
      <c r="M66" s="114"/>
      <c r="N66" s="118" t="str">
        <f t="shared" si="3"/>
        <v/>
      </c>
      <c r="O66" s="119"/>
    </row>
    <row r="67" spans="1:15" ht="16.5" customHeight="1" x14ac:dyDescent="0.2">
      <c r="A67" s="114"/>
      <c r="B67" s="114"/>
      <c r="C67" s="277"/>
      <c r="D67" s="278"/>
      <c r="E67" s="115"/>
      <c r="F67" s="114"/>
      <c r="G67" s="116"/>
      <c r="H67" s="117"/>
      <c r="I67" s="117"/>
      <c r="J67" s="116"/>
      <c r="K67" s="118" t="str">
        <f t="shared" si="2"/>
        <v/>
      </c>
      <c r="L67" s="114"/>
      <c r="M67" s="114"/>
      <c r="N67" s="118" t="str">
        <f t="shared" si="3"/>
        <v/>
      </c>
      <c r="O67" s="119"/>
    </row>
    <row r="68" spans="1:15" ht="16.5" customHeight="1" x14ac:dyDescent="0.2">
      <c r="A68" s="114"/>
      <c r="B68" s="114"/>
      <c r="C68" s="277"/>
      <c r="D68" s="278"/>
      <c r="E68" s="115"/>
      <c r="F68" s="114"/>
      <c r="G68" s="116"/>
      <c r="H68" s="117"/>
      <c r="I68" s="117"/>
      <c r="J68" s="116"/>
      <c r="K68" s="118" t="str">
        <f t="shared" si="2"/>
        <v/>
      </c>
      <c r="L68" s="114"/>
      <c r="M68" s="114"/>
      <c r="N68" s="118" t="str">
        <f t="shared" si="3"/>
        <v/>
      </c>
      <c r="O68" s="119"/>
    </row>
    <row r="69" spans="1:15" ht="16.5" customHeight="1" x14ac:dyDescent="0.2">
      <c r="A69" s="114"/>
      <c r="B69" s="114"/>
      <c r="C69" s="277"/>
      <c r="D69" s="278"/>
      <c r="E69" s="115"/>
      <c r="F69" s="114"/>
      <c r="G69" s="116"/>
      <c r="H69" s="117"/>
      <c r="I69" s="117"/>
      <c r="J69" s="116"/>
      <c r="K69" s="118" t="str">
        <f t="shared" si="2"/>
        <v/>
      </c>
      <c r="L69" s="114"/>
      <c r="M69" s="114"/>
      <c r="N69" s="118" t="str">
        <f t="shared" si="3"/>
        <v/>
      </c>
      <c r="O69" s="119"/>
    </row>
    <row r="70" spans="1:15" ht="16.5" customHeight="1" x14ac:dyDescent="0.2">
      <c r="A70" s="114"/>
      <c r="B70" s="114"/>
      <c r="C70" s="277"/>
      <c r="D70" s="278"/>
      <c r="E70" s="115"/>
      <c r="F70" s="114"/>
      <c r="G70" s="116"/>
      <c r="H70" s="117"/>
      <c r="I70" s="117"/>
      <c r="J70" s="116"/>
      <c r="K70" s="118" t="str">
        <f t="shared" si="2"/>
        <v/>
      </c>
      <c r="L70" s="114"/>
      <c r="M70" s="114"/>
      <c r="N70" s="118" t="str">
        <f t="shared" si="3"/>
        <v/>
      </c>
      <c r="O70" s="119"/>
    </row>
    <row r="71" spans="1:15" ht="16.5" customHeight="1" x14ac:dyDescent="0.2">
      <c r="A71" s="114"/>
      <c r="B71" s="114"/>
      <c r="C71" s="277"/>
      <c r="D71" s="278"/>
      <c r="E71" s="115"/>
      <c r="F71" s="114"/>
      <c r="G71" s="116"/>
      <c r="H71" s="117"/>
      <c r="I71" s="117"/>
      <c r="J71" s="116"/>
      <c r="K71" s="118" t="str">
        <f t="shared" si="2"/>
        <v/>
      </c>
      <c r="L71" s="114"/>
      <c r="M71" s="114"/>
      <c r="N71" s="118" t="str">
        <f t="shared" si="3"/>
        <v/>
      </c>
      <c r="O71" s="119"/>
    </row>
    <row r="72" spans="1:15" ht="16.5" customHeight="1" x14ac:dyDescent="0.2">
      <c r="A72" s="114"/>
      <c r="B72" s="114"/>
      <c r="C72" s="277"/>
      <c r="D72" s="278"/>
      <c r="E72" s="115"/>
      <c r="F72" s="114"/>
      <c r="G72" s="116"/>
      <c r="H72" s="117"/>
      <c r="I72" s="117"/>
      <c r="J72" s="116"/>
      <c r="K72" s="118" t="str">
        <f t="shared" si="2"/>
        <v/>
      </c>
      <c r="L72" s="114"/>
      <c r="M72" s="114"/>
      <c r="N72" s="118" t="str">
        <f t="shared" si="3"/>
        <v/>
      </c>
      <c r="O72" s="119"/>
    </row>
    <row r="73" spans="1:15" ht="16.5" customHeight="1" x14ac:dyDescent="0.2">
      <c r="A73" s="114"/>
      <c r="B73" s="114"/>
      <c r="C73" s="277"/>
      <c r="D73" s="278"/>
      <c r="E73" s="115"/>
      <c r="F73" s="114"/>
      <c r="G73" s="116"/>
      <c r="H73" s="117"/>
      <c r="I73" s="117"/>
      <c r="J73" s="116"/>
      <c r="K73" s="118" t="str">
        <f t="shared" si="2"/>
        <v/>
      </c>
      <c r="L73" s="114"/>
      <c r="M73" s="114"/>
      <c r="N73" s="118" t="str">
        <f t="shared" si="3"/>
        <v/>
      </c>
      <c r="O73" s="119"/>
    </row>
  </sheetData>
  <mergeCells count="62">
    <mergeCell ref="C72:D72"/>
    <mergeCell ref="C73:D73"/>
    <mergeCell ref="C66:D66"/>
    <mergeCell ref="C67:D67"/>
    <mergeCell ref="C68:D68"/>
    <mergeCell ref="C69:D69"/>
    <mergeCell ref="C70:D70"/>
    <mergeCell ref="C71:D71"/>
    <mergeCell ref="C65:D65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53:D53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41:D41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D13:F13"/>
    <mergeCell ref="D15:F15"/>
    <mergeCell ref="D16:E16"/>
    <mergeCell ref="D17:F17"/>
    <mergeCell ref="D18:F18"/>
    <mergeCell ref="C21:D21"/>
    <mergeCell ref="C22:D22"/>
    <mergeCell ref="C23:D23"/>
    <mergeCell ref="C24:D24"/>
    <mergeCell ref="C25:D25"/>
    <mergeCell ref="C26:D26"/>
    <mergeCell ref="D11:E11"/>
    <mergeCell ref="A3:D3"/>
    <mergeCell ref="A4:D4"/>
    <mergeCell ref="D8:E8"/>
    <mergeCell ref="D9:E9"/>
    <mergeCell ref="D10:E10"/>
  </mergeCells>
  <phoneticPr fontId="2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  <oddFooter>&amp;R©2024 SMS DataTech Corporation. All rights reserved.</oddFooter>
  </headerFooter>
  <drawing r:id="rId2"/>
  <legacyDrawing r:id="rId3"/>
  <oleObjects>
    <mc:AlternateContent xmlns:mc="http://schemas.openxmlformats.org/markup-compatibility/2006">
      <mc:Choice Requires="x14">
        <oleObject progId="Dstmp.StampObject.6" shapeId="2049" r:id="rId4">
          <objectPr defaultSize="0" autoFill="0" autoLine="0" autoPict="0" r:id="rId5">
            <anchor>
              <from>
                <xdr:col>13</xdr:col>
                <xdr:colOff>457200</xdr:colOff>
                <xdr:row>4</xdr:row>
                <xdr:rowOff>60960</xdr:rowOff>
              </from>
              <to>
                <xdr:col>14</xdr:col>
                <xdr:colOff>274320</xdr:colOff>
                <xdr:row>8</xdr:row>
                <xdr:rowOff>182880</xdr:rowOff>
              </to>
            </anchor>
          </objectPr>
        </oleObject>
      </mc:Choice>
      <mc:Fallback>
        <oleObject progId="Dstmp.StampObject.6" shapeId="2049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34</vt:i4>
      </vt:variant>
    </vt:vector>
  </HeadingPairs>
  <TitlesOfParts>
    <vt:vector size="44" baseType="lpstr">
      <vt:lpstr>変更履歴</vt:lpstr>
      <vt:lpstr>概要</vt:lpstr>
      <vt:lpstr>帳票レイアウト</vt:lpstr>
      <vt:lpstr>項目一覧</vt:lpstr>
      <vt:lpstr>処理詳細_書き方</vt:lpstr>
      <vt:lpstr>処理詳細</vt:lpstr>
      <vt:lpstr>確認事項</vt:lpstr>
      <vt:lpstr>別紙_テンプレート</vt:lpstr>
      <vt:lpstr>別紙_印刷レイアウト</vt:lpstr>
      <vt:lpstr>参照</vt:lpstr>
      <vt:lpstr>CoreCells</vt:lpstr>
      <vt:lpstr>CoreCellsRow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インボイス登録番号</vt:lpstr>
      <vt:lpstr>会社担当者</vt:lpstr>
      <vt:lpstr>会社担当者E_mail</vt:lpstr>
      <vt:lpstr>見積金額</vt:lpstr>
      <vt:lpstr>見積件名</vt:lpstr>
      <vt:lpstr>見積番号</vt:lpstr>
      <vt:lpstr>合計金額</vt:lpstr>
      <vt:lpstr>作成日</vt:lpstr>
      <vt:lpstr>支払条件</vt:lpstr>
      <vt:lpstr>受渡地</vt:lpstr>
      <vt:lpstr>消費税額</vt:lpstr>
      <vt:lpstr>消費税見出し</vt:lpstr>
      <vt:lpstr>担当者名</vt:lpstr>
      <vt:lpstr>店番</vt:lpstr>
      <vt:lpstr>得意先名1</vt:lpstr>
      <vt:lpstr>得意先名2</vt:lpstr>
      <vt:lpstr>納期</vt:lpstr>
      <vt:lpstr>非課税金額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2024-09-03T02:42:19Z</cp:lastPrinted>
  <dcterms:created xsi:type="dcterms:W3CDTF">2021-04-12T04:47:05Z</dcterms:created>
  <dcterms:modified xsi:type="dcterms:W3CDTF">2025-05-24T05:34:31Z</dcterms:modified>
</cp:coreProperties>
</file>