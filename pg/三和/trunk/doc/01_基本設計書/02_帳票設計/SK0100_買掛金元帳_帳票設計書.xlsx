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確認事項" sheetId="15" r:id="rId6"/>
    <sheet name="別紙_印刷レイアウト" sheetId="19" r:id="rId7"/>
    <sheet name="参照" sheetId="12" state="hidden" r:id="rId8"/>
  </sheets>
  <definedNames>
    <definedName name="_xlnm.Print_Area" localSheetId="1">概要!$A$1:$BN$31</definedName>
    <definedName name="_xlnm.Print_Area" localSheetId="3">項目一覧!$A$1:$BX$71</definedName>
    <definedName name="_xlnm.Print_Area" localSheetId="4">処理詳細!$A$1:$BR$365</definedName>
    <definedName name="_xlnm.Print_Area" localSheetId="2">帳票レイアウト!$A$1:$BN$59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8" l="1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4"/>
  <c r="H3" i="1"/>
  <c r="R3" i="1"/>
  <c r="AK3" i="1"/>
  <c r="AK3" i="18" l="1"/>
  <c r="R3" i="18"/>
  <c r="H3" i="18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<sst xmlns="http://schemas.openxmlformats.org/spreadsheetml/2006/main" count="994" uniqueCount="443">
  <si>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</si>
  <si>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</si>
  <si>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</si>
  <si>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</si>
  <si>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</si>
  <si>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</si>
  <si>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</si>
  <si>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</si>
  <si>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</si>
  <si>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</si>
  <si>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</si>
  <si>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</si>
  <si>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</si>
  <si>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</si>
  <si>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</si>
  <si>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</si>
  <si>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</si>
  <si>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</si>
  <si>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</si>
  <si>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</si>
  <si>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</si>
  <si>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</si>
  <si>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</si>
  <si>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</si>
  <si>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</si>
  <si>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</si>
  <si>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</si>
  <si>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</si>
  <si>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</si>
  <si>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</si>
  <si>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</si>
  <si>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</si>
  <si>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</si>
  <si>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</si>
  <si>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</si>
  <si>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</si>
  <si>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</si>
  <si>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</si>
  <si>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</si>
  <si>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</si>
  <si>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</si>
  <si>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</si>
  <si>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</si>
  <si>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</si>
  <si>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</si>
  <si>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</si>
  <si>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</si>
  <si>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</si>
  <si>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</si>
  <si>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</si>
  <si>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</si>
  <si>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</si>
  <si>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</si>
  <si>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</si>
  <si>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</si>
  <si>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t>select</t>
    <phoneticPr fontId="2"/>
  </si>
  <si>
    <t>-</t>
  </si>
  <si>
    <t>PDF</t>
  </si>
  <si>
    <t>pdf</t>
  </si>
  <si>
    <t>開始日付</t>
    <rPh sb="0" eb="4">
      <t>カイシヒヅケ</t>
    </rPh>
    <phoneticPr fontId="1"/>
  </si>
  <si>
    <t>終了日付</t>
    <rPh sb="0" eb="4">
      <t>シュウリョウヒヅケ</t>
    </rPh>
    <phoneticPr fontId="1"/>
  </si>
  <si>
    <t>前月残高</t>
    <rPh sb="0" eb="4">
      <t>ゼンゲツザンダカ</t>
    </rPh>
    <phoneticPr fontId="1"/>
  </si>
  <si>
    <t>調整金額</t>
    <rPh sb="0" eb="4">
      <t>チョウセイキンガク</t>
    </rPh>
    <phoneticPr fontId="1"/>
  </si>
  <si>
    <t>繰越金額</t>
    <rPh sb="0" eb="4">
      <t>クリコシキンガク</t>
    </rPh>
    <phoneticPr fontId="1"/>
  </si>
  <si>
    <t>返品金額</t>
    <rPh sb="0" eb="4">
      <t>ヘンピンキンガク</t>
    </rPh>
    <phoneticPr fontId="1"/>
  </si>
  <si>
    <t>訂正金額</t>
    <rPh sb="0" eb="4">
      <t>テイセイキンガク</t>
    </rPh>
    <phoneticPr fontId="1"/>
  </si>
  <si>
    <t>消費税額</t>
    <rPh sb="0" eb="4">
      <t>ショウヒゼイガク</t>
    </rPh>
    <phoneticPr fontId="1"/>
  </si>
  <si>
    <t>当月残高</t>
    <rPh sb="0" eb="4">
      <t>トウゲツザンダカ</t>
    </rPh>
    <phoneticPr fontId="1"/>
  </si>
  <si>
    <t>日付</t>
    <rPh sb="0" eb="2">
      <t>ヒヅケ</t>
    </rPh>
    <phoneticPr fontId="1"/>
  </si>
  <si>
    <t>番号</t>
    <rPh sb="0" eb="2">
      <t>バンゴウ</t>
    </rPh>
    <phoneticPr fontId="1"/>
  </si>
  <si>
    <t>残高名</t>
    <rPh sb="0" eb="3">
      <t>ザンダカメイ</t>
    </rPh>
    <phoneticPr fontId="1"/>
  </si>
  <si>
    <t>PC区分</t>
    <rPh sb="2" eb="4">
      <t>クブン</t>
    </rPh>
    <phoneticPr fontId="1"/>
  </si>
  <si>
    <t>製品NO</t>
    <rPh sb="0" eb="2">
      <t>セイヒン</t>
    </rPh>
    <phoneticPr fontId="1"/>
  </si>
  <si>
    <t>仕様NO</t>
    <rPh sb="0" eb="2">
      <t>シヨウ</t>
    </rPh>
    <phoneticPr fontId="1"/>
  </si>
  <si>
    <t>品名</t>
    <rPh sb="0" eb="2">
      <t>ヒンメイ</t>
    </rPh>
    <phoneticPr fontId="1"/>
  </si>
  <si>
    <t>サイズ</t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</si>
  <si>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</si>
  <si>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</si>
  <si>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</si>
  <si>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繰越残高</t>
    <rPh sb="0" eb="4">
      <t>クリコシザンダカ</t>
    </rPh>
    <phoneticPr fontId="1"/>
  </si>
  <si>
    <t>差引残高</t>
    <rPh sb="0" eb="4">
      <t>サシヒキザンダカ</t>
    </rPh>
    <phoneticPr fontId="1"/>
  </si>
  <si>
    <t>納入先名1</t>
    <rPh sb="0" eb="4">
      <t>ノウニュウサキメイ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</si>
  <si>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</si>
  <si>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</si>
  <si>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ソース内</t>
    <rPh sb="3" eb="4">
      <t>ナイ</t>
    </rPh>
    <phoneticPr fontId="1"/>
  </si>
  <si>
    <t>yyyy年 mm月 dd日 締</t>
  </si>
  <si>
    <t>000-0000</t>
  </si>
  <si>
    <t>000-000-0000</t>
  </si>
  <si>
    <t>yy/mm/dd</t>
  </si>
  <si>
    <t>例）893W×2D/3D×50H/76H</t>
    <rPh sb="0" eb="1">
      <t>レイ</t>
    </rPh>
    <phoneticPr fontId="1"/>
  </si>
  <si>
    <t>FROM TM支払金額 AS SM</t>
    <phoneticPr fontId="2"/>
  </si>
  <si>
    <t>SQL1</t>
    <phoneticPr fontId="2"/>
  </si>
  <si>
    <t>LEFT JOIN TM仕入先 AS TM ON SM.仕入先CD = TM.仕入先CD</t>
    <phoneticPr fontId="2"/>
  </si>
  <si>
    <t>締日が存在する場合</t>
    <rPh sb="0" eb="2">
      <t>シメビ</t>
    </rPh>
    <rPh sb="3" eb="5">
      <t>ソンザイ</t>
    </rPh>
    <rPh sb="7" eb="9">
      <t>バアイ</t>
    </rPh>
    <phoneticPr fontId="2"/>
  </si>
  <si>
    <t>締日が存在しない場合</t>
    <rPh sb="0" eb="1">
      <t>シメビ</t>
    </rPh>
    <rPh sb="3" eb="5">
      <t>ソンザイ</t>
    </rPh>
    <rPh sb="8" eb="10">
      <t>バアイ</t>
    </rPh>
    <phoneticPr fontId="2"/>
  </si>
  <si>
    <t>仕入先CD</t>
    <phoneticPr fontId="2"/>
  </si>
  <si>
    <t>仕入先名1</t>
    <phoneticPr fontId="2"/>
  </si>
  <si>
    <t>締日</t>
    <phoneticPr fontId="2"/>
  </si>
  <si>
    <t>支払開始日付</t>
  </si>
  <si>
    <t>支払開始日付</t>
    <phoneticPr fontId="2"/>
  </si>
  <si>
    <t>支払終了日付</t>
  </si>
  <si>
    <t>支払終了日付</t>
    <phoneticPr fontId="2"/>
  </si>
  <si>
    <t>処理日</t>
    <phoneticPr fontId="2"/>
  </si>
  <si>
    <t>TM支払金額.仕入先CD</t>
    <phoneticPr fontId="2"/>
  </si>
  <si>
    <t>TM支払金額.締日</t>
    <phoneticPr fontId="2"/>
  </si>
  <si>
    <t>TM支払金額.支払開始日付</t>
    <phoneticPr fontId="2"/>
  </si>
  <si>
    <t>TM支払金額.支払終了日付</t>
    <phoneticPr fontId="2"/>
  </si>
  <si>
    <t>TM支払金額.処理日</t>
    <phoneticPr fontId="2"/>
  </si>
  <si>
    <t>TM仕入先.仕入先名1</t>
    <phoneticPr fontId="2"/>
  </si>
  <si>
    <t>SM.仕入先CD &gt;= 画面.開始仕入先CD And  SM.仕入先CD &lt;= 画面.終了仕入先CD</t>
    <rPh sb="3" eb="5">
      <t>シイレ</t>
    </rPh>
    <rPh sb="17" eb="19">
      <t>シイレ</t>
    </rPh>
    <rPh sb="31" eb="33">
      <t>シイレ</t>
    </rPh>
    <rPh sb="45" eb="47">
      <t>シイレ</t>
    </rPh>
    <phoneticPr fontId="2"/>
  </si>
  <si>
    <t>SM.締日 = 画面.締日 and SM.仕入先CD &gt;= 画面.開始仕入先CD And  SM.仕入先CD &lt;= 画面.終了仕入先CD</t>
    <rPh sb="21" eb="23">
      <t>シイレ</t>
    </rPh>
    <rPh sb="35" eb="37">
      <t>シイレ</t>
    </rPh>
    <rPh sb="49" eb="51">
      <t>シイレ</t>
    </rPh>
    <rPh sb="63" eb="65">
      <t>シイレ</t>
    </rPh>
    <phoneticPr fontId="2"/>
  </si>
  <si>
    <t>SQL2</t>
    <phoneticPr fontId="2"/>
  </si>
  <si>
    <t>FROM TM支払金額 AS SK</t>
    <phoneticPr fontId="2"/>
  </si>
  <si>
    <t>group by</t>
    <phoneticPr fontId="2"/>
  </si>
  <si>
    <t>INNER JOIN (SQL2) AS QR</t>
    <phoneticPr fontId="2"/>
  </si>
  <si>
    <t>GROUP BY SK.仕入先CD</t>
    <phoneticPr fontId="2"/>
  </si>
  <si>
    <t>ON (SM.支払日付 = QR.支払日付)</t>
    <phoneticPr fontId="2"/>
  </si>
  <si>
    <t>AND (SM.仕入先CD = QR.仕入先CD)</t>
    <phoneticPr fontId="2"/>
  </si>
  <si>
    <t>order by</t>
    <phoneticPr fontId="2"/>
  </si>
  <si>
    <t>支払日付</t>
    <phoneticPr fontId="2"/>
  </si>
  <si>
    <t>Max(SK.支払日付)</t>
    <phoneticPr fontId="2"/>
  </si>
  <si>
    <t>TM支払金額.仕入先CD</t>
    <phoneticPr fontId="2"/>
  </si>
  <si>
    <t>ORDER BY SM.仕入先CD の昇順でソート</t>
    <rPh sb="19" eb="21">
      <t>ショウジュン</t>
    </rPh>
    <phoneticPr fontId="2"/>
  </si>
  <si>
    <t>SQL3</t>
    <phoneticPr fontId="2"/>
  </si>
  <si>
    <t>SM.仕入先名1</t>
    <phoneticPr fontId="2"/>
  </si>
  <si>
    <t>SM.仕入先名2</t>
    <phoneticPr fontId="2"/>
  </si>
  <si>
    <t>郵便番号</t>
    <phoneticPr fontId="2"/>
  </si>
  <si>
    <t>住所1</t>
    <phoneticPr fontId="2"/>
  </si>
  <si>
    <t>住所2</t>
    <phoneticPr fontId="2"/>
  </si>
  <si>
    <t>電話番号</t>
    <phoneticPr fontId="2"/>
  </si>
  <si>
    <t>FROM  TM支払金額 AS SK</t>
    <phoneticPr fontId="2"/>
  </si>
  <si>
    <t>仕入先名2</t>
  </si>
  <si>
    <t>前月残高</t>
    <phoneticPr fontId="2"/>
  </si>
  <si>
    <t>支払金額</t>
  </si>
  <si>
    <t>調整金額</t>
  </si>
  <si>
    <t>仕入金額</t>
  </si>
  <si>
    <t>返品金額</t>
    <phoneticPr fontId="2"/>
  </si>
  <si>
    <t>訂正金額</t>
    <phoneticPr fontId="2"/>
  </si>
  <si>
    <t>消費税額</t>
    <phoneticPr fontId="2"/>
  </si>
  <si>
    <t>当月残高</t>
    <phoneticPr fontId="2"/>
  </si>
  <si>
    <t>TM支払金額.仕入先CD</t>
  </si>
  <si>
    <t>TM支払金額.支払日付</t>
  </si>
  <si>
    <t>TM支払金額.支払開始日付</t>
  </si>
  <si>
    <t>TM支払金額.支払終了日付</t>
  </si>
  <si>
    <t>TM支払金額.前月残高</t>
  </si>
  <si>
    <t>TM支払金額.支払金額</t>
  </si>
  <si>
    <t>TM支払金額.調整金額</t>
  </si>
  <si>
    <t>TM支払金額.仕入金額</t>
  </si>
  <si>
    <t>TM支払金額.返品金額</t>
  </si>
  <si>
    <t>TM支払金額.訂正金額</t>
  </si>
  <si>
    <t>TM支払金額.消費税額</t>
  </si>
  <si>
    <t>TM支払金額.当月残高</t>
  </si>
  <si>
    <t>TM支払金額電話番号</t>
    <phoneticPr fontId="2"/>
  </si>
  <si>
    <t>TM支払金額住所2</t>
    <phoneticPr fontId="2"/>
  </si>
  <si>
    <t>TM支払金額住所1</t>
    <phoneticPr fontId="2"/>
  </si>
  <si>
    <t>TM支払金額郵便番号</t>
    <phoneticPr fontId="2"/>
  </si>
  <si>
    <t xml:space="preserve">LEFT JOIN </t>
    <phoneticPr fontId="2"/>
  </si>
  <si>
    <t>(</t>
    <phoneticPr fontId="2"/>
  </si>
  <si>
    <t>SQL4</t>
    <phoneticPr fontId="2"/>
  </si>
  <si>
    <t>)  AS SM</t>
    <phoneticPr fontId="2"/>
  </si>
  <si>
    <t>ON  SK.仕入先CD = SM.仕入先CD</t>
    <phoneticPr fontId="2"/>
  </si>
  <si>
    <t>WHERE  SK.支払日付 = 画面.支払開始日月の最終日</t>
    <rPh sb="17" eb="19">
      <t>ガメン</t>
    </rPh>
    <rPh sb="20" eb="25">
      <t>シハライカイシビ</t>
    </rPh>
    <rPh sb="25" eb="26">
      <t>ツキ</t>
    </rPh>
    <rPh sb="27" eb="30">
      <t>サイシュウビ</t>
    </rPh>
    <phoneticPr fontId="2"/>
  </si>
  <si>
    <t>AND  SK.締日 = 画面.締日</t>
    <rPh sb="13" eb="15">
      <t>ガメン</t>
    </rPh>
    <rPh sb="16" eb="18">
      <t>シメビ</t>
    </rPh>
    <phoneticPr fontId="2"/>
  </si>
  <si>
    <t>AND  NOT (前月残高 = 0</t>
    <phoneticPr fontId="2"/>
  </si>
  <si>
    <t>AND  SK.仕入先CD &gt;= COALESCE(画面.開始仕入先CD,SK.仕入先CD)</t>
    <rPh sb="26" eb="28">
      <t>ガメン</t>
    </rPh>
    <rPh sb="29" eb="31">
      <t>カイシ</t>
    </rPh>
    <phoneticPr fontId="2"/>
  </si>
  <si>
    <t>AND  SK.仕入先CD &lt;= COALESCE(画面.終了仕入先CD,SK.仕入先CD)</t>
    <rPh sb="26" eb="28">
      <t>ガメン</t>
    </rPh>
    <rPh sb="29" eb="31">
      <t>シュウリョウ</t>
    </rPh>
    <phoneticPr fontId="2"/>
  </si>
  <si>
    <t>AND 支払金額 = 0</t>
    <phoneticPr fontId="2"/>
  </si>
  <si>
    <t>AND 調整金額 = 0</t>
    <phoneticPr fontId="2"/>
  </si>
  <si>
    <t>AND 仕入金額 = 0</t>
    <phoneticPr fontId="2"/>
  </si>
  <si>
    <t>AND 返品金額 = 0</t>
    <phoneticPr fontId="2"/>
  </si>
  <si>
    <t>AND 訂正金額 = 0</t>
    <phoneticPr fontId="2"/>
  </si>
  <si>
    <t>AND 消費税額 = 0</t>
    <phoneticPr fontId="2"/>
  </si>
  <si>
    <t>AND 当月残高 = 0</t>
    <phoneticPr fontId="2"/>
  </si>
  <si>
    <t>AND  伝票枚数 = 0)</t>
    <phoneticPr fontId="2"/>
  </si>
  <si>
    <t>ORDER BY  SK.仕入先CD　の昇順でソート</t>
    <rPh sb="20" eb="22">
      <t>ショウジュン</t>
    </rPh>
    <phoneticPr fontId="2"/>
  </si>
  <si>
    <t>SQL4</t>
    <phoneticPr fontId="2"/>
  </si>
  <si>
    <t>仕入先CD</t>
    <phoneticPr fontId="2"/>
  </si>
  <si>
    <t>仕入先名1</t>
    <phoneticPr fontId="2"/>
  </si>
  <si>
    <t>仕入先名2</t>
    <phoneticPr fontId="2"/>
  </si>
  <si>
    <t>郵便番号</t>
    <phoneticPr fontId="2"/>
  </si>
  <si>
    <t>住所1</t>
    <phoneticPr fontId="2"/>
  </si>
  <si>
    <t>住所2</t>
    <phoneticPr fontId="2"/>
  </si>
  <si>
    <t>電話番号</t>
    <phoneticPr fontId="2"/>
  </si>
  <si>
    <t>from</t>
    <phoneticPr fontId="2"/>
  </si>
  <si>
    <t>FROM  TM仕入先</t>
    <phoneticPr fontId="2"/>
  </si>
  <si>
    <t>TM仕入先.仕入先CD</t>
    <phoneticPr fontId="2"/>
  </si>
  <si>
    <t>TM仕入先.仕入先名1</t>
    <phoneticPr fontId="2"/>
  </si>
  <si>
    <t>TM仕入先.仕入先名2</t>
    <phoneticPr fontId="2"/>
  </si>
  <si>
    <t>TM仕入先.郵便番号</t>
    <phoneticPr fontId="2"/>
  </si>
  <si>
    <t>TM仕入先.住所1</t>
    <phoneticPr fontId="2"/>
  </si>
  <si>
    <t>TM仕入先.住所2</t>
    <phoneticPr fontId="2"/>
  </si>
  <si>
    <t>TM仕入先.電話番号</t>
    <phoneticPr fontId="2"/>
  </si>
  <si>
    <t>SQL5</t>
    <phoneticPr fontId="2"/>
  </si>
  <si>
    <t>insert</t>
    <phoneticPr fontId="2"/>
  </si>
  <si>
    <t>INSERT INTO #wk_元帳明細</t>
    <phoneticPr fontId="2"/>
  </si>
  <si>
    <t>仕入明細作成</t>
    <phoneticPr fontId="2"/>
  </si>
  <si>
    <t>0 AS 区分</t>
    <phoneticPr fontId="2"/>
  </si>
  <si>
    <t>日付</t>
    <phoneticPr fontId="2"/>
  </si>
  <si>
    <t>区分</t>
    <phoneticPr fontId="2"/>
  </si>
  <si>
    <t>伝票番号</t>
  </si>
  <si>
    <t>見積番号</t>
  </si>
  <si>
    <t>行番号</t>
  </si>
  <si>
    <t>見積行番号</t>
  </si>
  <si>
    <t>伝票区分</t>
  </si>
  <si>
    <t>PC区分</t>
    <phoneticPr fontId="2"/>
  </si>
  <si>
    <t>製品NO</t>
    <phoneticPr fontId="2"/>
  </si>
  <si>
    <t>仕様NO</t>
    <phoneticPr fontId="2"/>
  </si>
  <si>
    <t>品名</t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</si>
  <si>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</si>
  <si>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</si>
  <si>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</si>
  <si>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</si>
  <si>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</si>
  <si>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</si>
  <si>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</si>
  <si>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数量</t>
    <phoneticPr fontId="2"/>
  </si>
  <si>
    <t>単位名</t>
    <phoneticPr fontId="2"/>
  </si>
  <si>
    <t>単価</t>
    <phoneticPr fontId="2"/>
  </si>
  <si>
    <t>金額</t>
    <phoneticPr fontId="2"/>
  </si>
  <si>
    <t>納入先名1</t>
    <phoneticPr fontId="2"/>
  </si>
  <si>
    <t>担当者CD</t>
    <phoneticPr fontId="2"/>
  </si>
  <si>
    <t>得意先CD</t>
    <phoneticPr fontId="2"/>
  </si>
  <si>
    <t>納入得意先CD</t>
    <phoneticPr fontId="2"/>
  </si>
  <si>
    <t>納入先CD</t>
    <phoneticPr fontId="2"/>
  </si>
  <si>
    <t>FROM TD仕入明細 AS SM</t>
    <phoneticPr fontId="2"/>
  </si>
  <si>
    <t>join</t>
    <phoneticPr fontId="2"/>
  </si>
  <si>
    <t>LEFT JOIN  TD仕入明細内訳 AS SMU</t>
    <phoneticPr fontId="2"/>
  </si>
  <si>
    <t>ON  SM.仕入番号 = SMU.仕入番号</t>
    <phoneticPr fontId="2"/>
  </si>
  <si>
    <t>LEFT JOIN  TD仕入 AS SH</t>
    <phoneticPr fontId="2"/>
  </si>
  <si>
    <t>ON  SM.仕入番号 = SH.仕入番号</t>
    <phoneticPr fontId="2"/>
  </si>
  <si>
    <t>where</t>
    <phoneticPr fontId="2"/>
  </si>
  <si>
    <t>WHERE  SM.仕入先CD = 画面.仕入先CD</t>
    <rPh sb="18" eb="20">
      <t>ガメン</t>
    </rPh>
    <phoneticPr fontId="2"/>
  </si>
  <si>
    <t>AND  SM.支払日付 &gt;= 画面.開始日付</t>
    <rPh sb="16" eb="18">
      <t>ガメン</t>
    </rPh>
    <rPh sb="19" eb="23">
      <t>カイシヒヅケ</t>
    </rPh>
    <phoneticPr fontId="2"/>
  </si>
  <si>
    <t>AND  SM.支払日付 &lt;= 画面.終了日付</t>
    <rPh sb="16" eb="18">
      <t>ガメン</t>
    </rPh>
    <rPh sb="19" eb="21">
      <t>シュウリョウ</t>
    </rPh>
    <rPh sb="21" eb="23">
      <t>ヒヅケ</t>
    </rPh>
    <phoneticPr fontId="2"/>
  </si>
  <si>
    <t>TD仕入明細.仕入先CD</t>
  </si>
  <si>
    <t>TD仕入明細.仕入日付</t>
  </si>
  <si>
    <t>TD仕入明細.仕入番号</t>
  </si>
  <si>
    <t>TD仕入明細.見積番号</t>
  </si>
  <si>
    <t>TD仕入明細.仕入明細行番号</t>
    <phoneticPr fontId="2"/>
  </si>
  <si>
    <t>TD仕入明細.見積行番号</t>
    <phoneticPr fontId="2"/>
  </si>
  <si>
    <t>TD仕入明細.伝票区分</t>
    <phoneticPr fontId="2"/>
  </si>
  <si>
    <t>TD仕入明細.PC区分</t>
    <phoneticPr fontId="2"/>
  </si>
  <si>
    <t>TD仕入明細.品NO</t>
    <phoneticPr fontId="2"/>
  </si>
  <si>
    <t>TD仕入明細.仕様NO</t>
    <phoneticPr fontId="2"/>
  </si>
  <si>
    <t>TD仕入明細.漢字名称</t>
    <phoneticPr fontId="2"/>
  </si>
  <si>
    <t>TD仕入明細.W</t>
    <phoneticPr fontId="2"/>
  </si>
  <si>
    <t>TD仕入明細.D</t>
    <phoneticPr fontId="2"/>
  </si>
  <si>
    <t>TD仕入明細.H</t>
    <phoneticPr fontId="2"/>
  </si>
  <si>
    <t>TD仕入明細.D1</t>
    <phoneticPr fontId="2"/>
  </si>
  <si>
    <t>TD仕入明細.D2</t>
    <phoneticPr fontId="2"/>
  </si>
  <si>
    <t>TD仕入明細.H1</t>
    <phoneticPr fontId="2"/>
  </si>
  <si>
    <t>TD仕入明細.H2</t>
    <phoneticPr fontId="2"/>
  </si>
  <si>
    <t>TD仕入明細.仕入数量</t>
    <phoneticPr fontId="2"/>
  </si>
  <si>
    <t>TD仕入明細.単位名</t>
    <phoneticPr fontId="2"/>
  </si>
  <si>
    <t>TD仕入明細.仕入単価</t>
    <phoneticPr fontId="2"/>
  </si>
  <si>
    <t>TD仕入明細.仕入金額</t>
    <phoneticPr fontId="2"/>
  </si>
  <si>
    <t>TD仕入.納入先名1</t>
    <phoneticPr fontId="2"/>
  </si>
  <si>
    <t>TD仕入.担当者CD</t>
    <phoneticPr fontId="2"/>
  </si>
  <si>
    <t>TD仕入.得意先CD</t>
    <phoneticPr fontId="2"/>
  </si>
  <si>
    <t>TD仕入.納入得意先CD</t>
    <phoneticPr fontId="2"/>
  </si>
  <si>
    <t>TD仕入.納入先CD</t>
    <phoneticPr fontId="2"/>
  </si>
  <si>
    <t>SQL6</t>
    <phoneticPr fontId="2"/>
  </si>
  <si>
    <t>伝票税抜金額作成(区分=0 行番号=8999)</t>
    <phoneticPr fontId="2"/>
  </si>
  <si>
    <t>CONVERT(INT,0) AS 区分</t>
    <phoneticPr fontId="2"/>
  </si>
  <si>
    <t>8999 AS 行番号</t>
    <phoneticPr fontId="2"/>
  </si>
  <si>
    <t>8999 AS 見積行番号</t>
    <phoneticPr fontId="2"/>
  </si>
  <si>
    <t>'　　　　　　【税抜計】'</t>
    <phoneticPr fontId="2"/>
  </si>
  <si>
    <t>NULL</t>
    <phoneticPr fontId="2"/>
  </si>
  <si>
    <t>SQL7</t>
    <phoneticPr fontId="2"/>
  </si>
  <si>
    <t>伝票毎消費税額作成(区分=0 枝番=9000)</t>
    <phoneticPr fontId="2"/>
  </si>
  <si>
    <t>9000 AS 行番号</t>
    <phoneticPr fontId="2"/>
  </si>
  <si>
    <t>9000 AS 見積行番号</t>
    <phoneticPr fontId="2"/>
  </si>
  <si>
    <t>'　　　　　　【消費税額】'</t>
    <phoneticPr fontId="2"/>
  </si>
  <si>
    <t>金額=(CONVERT(MONEY, ISNULL(TD仕入明細.外税額,0)))</t>
    <phoneticPr fontId="2"/>
  </si>
  <si>
    <t>AND  税集計区分 &lt;&gt; 1</t>
    <rPh sb="5" eb="6">
      <t>ゼイ</t>
    </rPh>
    <rPh sb="6" eb="8">
      <t>シュウケイ</t>
    </rPh>
    <rPh sb="8" eb="10">
      <t>クブン</t>
    </rPh>
    <phoneticPr fontId="2"/>
  </si>
  <si>
    <t>TD仕入明細.合計金額</t>
    <phoneticPr fontId="2"/>
  </si>
  <si>
    <t>SQL8</t>
    <phoneticPr fontId="2"/>
  </si>
  <si>
    <t>伝票合計作成(区分=0 行番号=9001)</t>
    <phoneticPr fontId="2"/>
  </si>
  <si>
    <t>9001 AS 行番号</t>
    <phoneticPr fontId="2"/>
  </si>
  <si>
    <t>9001 AS 見積行番号</t>
    <phoneticPr fontId="2"/>
  </si>
  <si>
    <t>'　　　　　　【仕入伝票計】'</t>
    <phoneticPr fontId="2"/>
  </si>
  <si>
    <t>金額=(TD仕入明細.合計金額 + CASE TD仕入明細.税集計区分 WHEN 1 THEN 0 ELSE TD仕入明細.外税額 END)</t>
    <phoneticPr fontId="2"/>
  </si>
  <si>
    <t>SQL9</t>
    <phoneticPr fontId="2"/>
  </si>
  <si>
    <t>支払明細作成(区分=1 仕分番号=NULL 行番号=枝番)</t>
    <phoneticPr fontId="2"/>
  </si>
  <si>
    <t>FROM   TD支払</t>
    <phoneticPr fontId="2"/>
  </si>
  <si>
    <t>TD支払.仕入先CD</t>
    <phoneticPr fontId="2"/>
  </si>
  <si>
    <t>TD支払.仕入日付</t>
    <phoneticPr fontId="2"/>
  </si>
  <si>
    <t>CONVERT(INT,1)</t>
    <phoneticPr fontId="2"/>
  </si>
  <si>
    <t>TD支払.支払番号</t>
    <rPh sb="5" eb="7">
      <t>シハライ</t>
    </rPh>
    <phoneticPr fontId="2"/>
  </si>
  <si>
    <t>支払区分CD</t>
  </si>
  <si>
    <t>支払区分名</t>
    <phoneticPr fontId="2"/>
  </si>
  <si>
    <t>WHERE  仕入先CD = 画面.仕入先CD</t>
    <rPh sb="15" eb="17">
      <t>ガメン</t>
    </rPh>
    <phoneticPr fontId="2"/>
  </si>
  <si>
    <t>TD支払.枝番</t>
    <rPh sb="5" eb="7">
      <t>エダバン</t>
    </rPh>
    <phoneticPr fontId="2"/>
  </si>
  <si>
    <t>TD支払.支払金額</t>
    <rPh sb="5" eb="9">
      <t>シハライキンガク</t>
    </rPh>
    <phoneticPr fontId="2"/>
  </si>
  <si>
    <t>SQL10</t>
    <phoneticPr fontId="2"/>
  </si>
  <si>
    <t>支払単位の税明細作成(区分=2 仕分番号=ZZ 行番号=9000)</t>
    <phoneticPr fontId="2"/>
  </si>
  <si>
    <t>画面.終了日付</t>
    <rPh sb="0" eb="2">
      <t>ガメン</t>
    </rPh>
    <rPh sb="3" eb="7">
      <t>シュウリョウヒヅケ</t>
    </rPh>
    <phoneticPr fontId="2"/>
  </si>
  <si>
    <t>CONVERT(INT,2) AS 区分</t>
    <phoneticPr fontId="2"/>
  </si>
  <si>
    <t>0 AS 仕入番号</t>
    <phoneticPr fontId="2"/>
  </si>
  <si>
    <t>0 AS 見積番号</t>
    <phoneticPr fontId="2"/>
  </si>
  <si>
    <t>(ISNULL(SK.消費税額,0)-ISNULL(S.外税額,0)) AS 金額</t>
    <phoneticPr fontId="2"/>
  </si>
  <si>
    <t>FROM (</t>
    <phoneticPr fontId="2"/>
  </si>
  <si>
    <t>SQL11</t>
    <phoneticPr fontId="2"/>
  </si>
  <si>
    <t>) AS SM</t>
    <phoneticPr fontId="2"/>
  </si>
  <si>
    <t>LEFT JOIN</t>
    <phoneticPr fontId="2"/>
  </si>
  <si>
    <t>) AS SK</t>
    <phoneticPr fontId="2"/>
  </si>
  <si>
    <t>SQL12</t>
    <phoneticPr fontId="2"/>
  </si>
  <si>
    <t>ON  SM.仕入先CD = SK.仕入先CD</t>
    <phoneticPr fontId="2"/>
  </si>
  <si>
    <t>SQL13</t>
    <phoneticPr fontId="2"/>
  </si>
  <si>
    <t>) AS S</t>
    <phoneticPr fontId="2"/>
  </si>
  <si>
    <t>ON  S.仕入先CD = SK.仕入先CD</t>
    <phoneticPr fontId="2"/>
  </si>
  <si>
    <t>AND  (ISNULL(SK.消費税額,0)-ISNULL(S.外税額,0)) &lt;&gt; 0</t>
    <rPh sb="16" eb="19">
      <t>ショウヒゼイ</t>
    </rPh>
    <rPh sb="19" eb="20">
      <t>ガク</t>
    </rPh>
    <rPh sb="33" eb="35">
      <t>ソトゼイ</t>
    </rPh>
    <rPh sb="35" eb="36">
      <t>ガク</t>
    </rPh>
    <phoneticPr fontId="2"/>
  </si>
  <si>
    <t>SQL11</t>
    <phoneticPr fontId="2"/>
  </si>
  <si>
    <t xml:space="preserve">FROM TD仕入明細 AS SM </t>
    <phoneticPr fontId="2"/>
  </si>
  <si>
    <t>AND  税集計区分 = 1</t>
    <phoneticPr fontId="2"/>
  </si>
  <si>
    <t>group by</t>
    <phoneticPr fontId="2"/>
  </si>
  <si>
    <t>GROUP BY SM.仕入先CD</t>
    <phoneticPr fontId="2"/>
  </si>
  <si>
    <t>AND  SM.支払日付 &gt;= 画面.開始日付</t>
    <phoneticPr fontId="2"/>
  </si>
  <si>
    <t>SQL12</t>
    <phoneticPr fontId="2"/>
  </si>
  <si>
    <t>消費税額</t>
    <phoneticPr fontId="2"/>
  </si>
  <si>
    <t>TM支払金額.仕入先CD</t>
    <phoneticPr fontId="2"/>
  </si>
  <si>
    <t>TD仕入明細.仕入先CD</t>
    <phoneticPr fontId="2"/>
  </si>
  <si>
    <t>FROM TM支払金額</t>
    <phoneticPr fontId="2"/>
  </si>
  <si>
    <t>WHERE  支払日付 = 画面.終了日付</t>
    <rPh sb="14" eb="16">
      <t>ガメン</t>
    </rPh>
    <rPh sb="17" eb="21">
      <t>シュウリョウヒヅケ</t>
    </rPh>
    <phoneticPr fontId="2"/>
  </si>
  <si>
    <t>AND  仕入先CD  = 画面.仕入先CD</t>
    <rPh sb="14" eb="16">
      <t>ガメン</t>
    </rPh>
    <phoneticPr fontId="2"/>
  </si>
  <si>
    <t>AND  伝票枚数 &lt;&gt; 0</t>
    <phoneticPr fontId="2"/>
  </si>
  <si>
    <t>SQL13</t>
    <phoneticPr fontId="2"/>
  </si>
  <si>
    <t>FROM   TD仕入明細 AS SM</t>
    <phoneticPr fontId="2"/>
  </si>
  <si>
    <t>外税額</t>
    <phoneticPr fontId="2"/>
  </si>
  <si>
    <t>AND  SM.支払日付 &lt;= 画面.終了日付</t>
    <rPh sb="16" eb="18">
      <t>ガメン</t>
    </rPh>
    <rPh sb="19" eb="23">
      <t>シュウリョウヒヅケ</t>
    </rPh>
    <phoneticPr fontId="2"/>
  </si>
  <si>
    <t>AND  税集計区分 = 0</t>
    <rPh sb="5" eb="6">
      <t>ゼイ</t>
    </rPh>
    <rPh sb="6" eb="8">
      <t>シュウケイ</t>
    </rPh>
    <rPh sb="8" eb="10">
      <t>クブン</t>
    </rPh>
    <phoneticPr fontId="2"/>
  </si>
  <si>
    <t>having</t>
    <phoneticPr fontId="2"/>
  </si>
  <si>
    <t>HAVING  SUM(ISNULL(SM.外税額,0)) &lt;&gt; 0</t>
    <phoneticPr fontId="2"/>
  </si>
  <si>
    <t>SUM(ISNULL(TD仕入明細.外税額,0)) AS 外税額</t>
    <phoneticPr fontId="2"/>
  </si>
  <si>
    <t>SQL14</t>
    <phoneticPr fontId="2"/>
  </si>
  <si>
    <t>明細が無い時空打ち用に空レコード作成(区分=3 仕分番号=NULL 行番号=9000)</t>
    <phoneticPr fontId="2"/>
  </si>
  <si>
    <t>画面.仕入先CD</t>
    <rPh sb="0" eb="2">
      <t>ガメン</t>
    </rPh>
    <rPh sb="3" eb="6">
      <t>シイレサキ</t>
    </rPh>
    <phoneticPr fontId="2"/>
  </si>
  <si>
    <t>SQL15</t>
    <phoneticPr fontId="2"/>
  </si>
  <si>
    <t>SELECT * FROM #wk_元帳明細</t>
    <phoneticPr fontId="2"/>
  </si>
  <si>
    <t>#wk_元帳明細.仕入先CD</t>
    <phoneticPr fontId="2"/>
  </si>
  <si>
    <t>#wk_元帳明細.日付</t>
    <phoneticPr fontId="2"/>
  </si>
  <si>
    <t>#wk_元帳明細.区分</t>
    <phoneticPr fontId="2"/>
  </si>
  <si>
    <t>#wk_元帳明細.伝票番号</t>
    <phoneticPr fontId="2"/>
  </si>
  <si>
    <t>#wk_元帳明細.見積番号</t>
    <phoneticPr fontId="2"/>
  </si>
  <si>
    <t>#wk_元帳明細.行番号</t>
    <phoneticPr fontId="2"/>
  </si>
  <si>
    <t>#wk_元帳明細.見積行番号</t>
    <phoneticPr fontId="2"/>
  </si>
  <si>
    <t>#wk_元帳明細.伝票区分</t>
    <phoneticPr fontId="2"/>
  </si>
  <si>
    <t>#wk_元帳明細.PC区分</t>
    <phoneticPr fontId="2"/>
  </si>
  <si>
    <t>#wk_元帳明細.製品NO</t>
    <phoneticPr fontId="2"/>
  </si>
  <si>
    <t>#wk_元帳明細.仕様NO</t>
    <phoneticPr fontId="2"/>
  </si>
  <si>
    <t>#wk_元帳明細.品名</t>
    <phoneticPr fontId="2"/>
  </si>
  <si>
    <t>#wk_元帳明細.W</t>
    <phoneticPr fontId="2"/>
  </si>
  <si>
    <t>#wk_元帳明細.D</t>
    <phoneticPr fontId="2"/>
  </si>
  <si>
    <t>#wk_元帳明細.H</t>
    <phoneticPr fontId="2"/>
  </si>
  <si>
    <t>#wk_元帳明細.D1</t>
    <phoneticPr fontId="2"/>
  </si>
  <si>
    <t>#wk_元帳明細.D2</t>
    <phoneticPr fontId="2"/>
  </si>
  <si>
    <t>#wk_元帳明細.H1</t>
    <phoneticPr fontId="2"/>
  </si>
  <si>
    <t>#wk_元帳明細.H2</t>
    <phoneticPr fontId="2"/>
  </si>
  <si>
    <t>#wk_元帳明細.数量</t>
    <phoneticPr fontId="2"/>
  </si>
  <si>
    <t>#wk_元帳明細.単位名</t>
    <phoneticPr fontId="2"/>
  </si>
  <si>
    <t>#wk_元帳明細.単価</t>
    <phoneticPr fontId="2"/>
  </si>
  <si>
    <t>#wk_元帳明細.金額</t>
    <phoneticPr fontId="2"/>
  </si>
  <si>
    <t>#wk_元帳明細.納入先名1</t>
    <phoneticPr fontId="2"/>
  </si>
  <si>
    <t>#wk_元帳明細.担当者CD</t>
    <phoneticPr fontId="2"/>
  </si>
  <si>
    <t>#wk_元帳明細.得意先CD</t>
    <phoneticPr fontId="2"/>
  </si>
  <si>
    <t>#wk_元帳明細.納入得意先CD</t>
    <phoneticPr fontId="2"/>
  </si>
  <si>
    <t>#wk_元帳明細.納入先CD</t>
    <phoneticPr fontId="2"/>
  </si>
  <si>
    <t>order by</t>
    <phoneticPr fontId="2"/>
  </si>
  <si>
    <t>ORDER BY 仕入先CD, 日付, 区分, 担当者CD, 得意先CD, 納入得意先CD, 納入先CD, 見積番号, 伝票番号, 行番号 の昇順でソート</t>
    <rPh sb="71" eb="73">
      <t>ショウジュン</t>
    </rPh>
    <phoneticPr fontId="2"/>
  </si>
  <si>
    <t>支払終了日付</t>
    <rPh sb="0" eb="2">
      <t>シハライ</t>
    </rPh>
    <rPh sb="2" eb="4">
      <t>シュウリョウ</t>
    </rPh>
    <rPh sb="4" eb="6">
      <t>ヒヅケ</t>
    </rPh>
    <phoneticPr fontId="1"/>
  </si>
  <si>
    <t>画面.支払終了日付</t>
    <rPh sb="0" eb="2">
      <t>ガメン</t>
    </rPh>
    <rPh sb="3" eb="5">
      <t>シハライ</t>
    </rPh>
    <rPh sb="5" eb="7">
      <t>シュウリョウ</t>
    </rPh>
    <rPh sb="7" eb="9">
      <t>ヒヅケ</t>
    </rPh>
    <phoneticPr fontId="1"/>
  </si>
  <si>
    <t>仕郵便番号</t>
    <rPh sb="0" eb="1">
      <t>シ</t>
    </rPh>
    <rPh sb="1" eb="5">
      <t>ユウビンバンゴウ</t>
    </rPh>
    <phoneticPr fontId="1"/>
  </si>
  <si>
    <t>仕住所1</t>
    <rPh sb="1" eb="3">
      <t>ジュウショ</t>
    </rPh>
    <phoneticPr fontId="1"/>
  </si>
  <si>
    <t>仕住所2</t>
    <rPh sb="1" eb="3">
      <t>ジュウショ</t>
    </rPh>
    <phoneticPr fontId="1"/>
  </si>
  <si>
    <t>仕入先名1</t>
    <rPh sb="0" eb="2">
      <t>シイレ</t>
    </rPh>
    <rPh sb="2" eb="3">
      <t>サキ</t>
    </rPh>
    <rPh sb="3" eb="4">
      <t>メイ</t>
    </rPh>
    <phoneticPr fontId="1"/>
  </si>
  <si>
    <t>仕入先名2</t>
    <rPh sb="0" eb="2">
      <t>シイレ</t>
    </rPh>
    <rPh sb="2" eb="3">
      <t>サキ</t>
    </rPh>
    <rPh sb="3" eb="4">
      <t>メイ</t>
    </rPh>
    <phoneticPr fontId="1"/>
  </si>
  <si>
    <t>仕入先CD</t>
    <rPh sb="0" eb="2">
      <t>シイレ</t>
    </rPh>
    <rPh sb="2" eb="3">
      <t>サキ</t>
    </rPh>
    <phoneticPr fontId="1"/>
  </si>
  <si>
    <t>仕TEL</t>
    <rPh sb="0" eb="1">
      <t>シ</t>
    </rPh>
    <phoneticPr fontId="1"/>
  </si>
  <si>
    <t>支払金額</t>
    <rPh sb="0" eb="2">
      <t>シハライ</t>
    </rPh>
    <rPh sb="2" eb="4">
      <t>キンガク</t>
    </rPh>
    <rPh sb="3" eb="4">
      <t>ニュウキン</t>
    </rPh>
    <phoneticPr fontId="1"/>
  </si>
  <si>
    <t>仕入金額</t>
    <rPh sb="0" eb="2">
      <t>シイレ</t>
    </rPh>
    <rPh sb="2" eb="4">
      <t>キンガク</t>
    </rPh>
    <phoneticPr fontId="1"/>
  </si>
  <si>
    <t>当月支払</t>
    <rPh sb="0" eb="2">
      <t>トウゲツ</t>
    </rPh>
    <rPh sb="2" eb="4">
      <t>シハライ</t>
    </rPh>
    <phoneticPr fontId="1"/>
  </si>
  <si>
    <t>明細仕入</t>
    <rPh sb="0" eb="2">
      <t>メイサイ</t>
    </rPh>
    <rPh sb="2" eb="4">
      <t>シイレ</t>
    </rPh>
    <phoneticPr fontId="1"/>
  </si>
  <si>
    <t>明細支払</t>
    <rPh sb="0" eb="2">
      <t>メイサイ</t>
    </rPh>
    <rPh sb="2" eb="4">
      <t>シハライ</t>
    </rPh>
    <phoneticPr fontId="1"/>
  </si>
  <si>
    <t>税抜計</t>
    <rPh sb="0" eb="2">
      <t>ゼイヌ</t>
    </rPh>
    <rPh sb="2" eb="3">
      <t>ケイ</t>
    </rPh>
    <phoneticPr fontId="1"/>
  </si>
  <si>
    <t>仕入伝票計</t>
    <rPh sb="0" eb="4">
      <t>シイレデンピョウ</t>
    </rPh>
    <rPh sb="4" eb="5">
      <t>ケイ</t>
    </rPh>
    <phoneticPr fontId="1"/>
  </si>
  <si>
    <t>SQL3.郵便番号</t>
    <rPh sb="5" eb="9">
      <t>ユウビンバンゴウ</t>
    </rPh>
    <phoneticPr fontId="1"/>
  </si>
  <si>
    <t>SQL3.住所1</t>
    <rPh sb="5" eb="7">
      <t>ジュウショ</t>
    </rPh>
    <phoneticPr fontId="1"/>
  </si>
  <si>
    <t>SQL3.住所2</t>
    <rPh sb="5" eb="7">
      <t>ジュウショ</t>
    </rPh>
    <phoneticPr fontId="1"/>
  </si>
  <si>
    <t>SQL3.得意先CD</t>
    <rPh sb="5" eb="8">
      <t>トクイサキ</t>
    </rPh>
    <phoneticPr fontId="1"/>
  </si>
  <si>
    <t>SQL3.電話番号</t>
    <rPh sb="5" eb="9">
      <t>デンワバンゴウ</t>
    </rPh>
    <phoneticPr fontId="1"/>
  </si>
  <si>
    <t>SQL3.前月残高</t>
    <rPh sb="5" eb="9">
      <t>ゼンゲツザンダカ</t>
    </rPh>
    <phoneticPr fontId="1"/>
  </si>
  <si>
    <t>SQL3.調整金額</t>
    <rPh sb="5" eb="9">
      <t>チョウセイキンガク</t>
    </rPh>
    <phoneticPr fontId="1"/>
  </si>
  <si>
    <t>SQL3.返品金額</t>
    <rPh sb="5" eb="9">
      <t>ヘンピンキンガク</t>
    </rPh>
    <phoneticPr fontId="1"/>
  </si>
  <si>
    <t>SQL3.訂正金額</t>
    <rPh sb="5" eb="9">
      <t>テイセイキンガク</t>
    </rPh>
    <phoneticPr fontId="1"/>
  </si>
  <si>
    <t>SQL3.消費税額</t>
    <rPh sb="5" eb="9">
      <t>ショウヒゼイガク</t>
    </rPh>
    <phoneticPr fontId="1"/>
  </si>
  <si>
    <t>SQL3.当月残高</t>
    <rPh sb="5" eb="9">
      <t>トウゲツザンダカ</t>
    </rPh>
    <phoneticPr fontId="1"/>
  </si>
  <si>
    <t>SQL3.前月残高</t>
    <rPh sb="5" eb="7">
      <t>ゼンゲツ</t>
    </rPh>
    <rPh sb="7" eb="9">
      <t>ザンダカ</t>
    </rPh>
    <phoneticPr fontId="1"/>
  </si>
  <si>
    <t>SQL3.仕入先名1</t>
    <rPh sb="5" eb="7">
      <t>シイレ</t>
    </rPh>
    <rPh sb="7" eb="8">
      <t>サキ</t>
    </rPh>
    <phoneticPr fontId="1"/>
  </si>
  <si>
    <t>SQL3.仕入先名2</t>
    <rPh sb="5" eb="7">
      <t>シイレ</t>
    </rPh>
    <rPh sb="7" eb="8">
      <t>サキ</t>
    </rPh>
    <rPh sb="8" eb="9">
      <t>メイ</t>
    </rPh>
    <phoneticPr fontId="1"/>
  </si>
  <si>
    <t>SQL3.支払開始日付</t>
    <rPh sb="5" eb="7">
      <t>シハライ</t>
    </rPh>
    <rPh sb="7" eb="9">
      <t>カイシ</t>
    </rPh>
    <rPh sb="9" eb="11">
      <t>ヒヅケ</t>
    </rPh>
    <phoneticPr fontId="1"/>
  </si>
  <si>
    <t>SQL3.支払終了日付</t>
    <rPh sb="5" eb="7">
      <t>シハライ</t>
    </rPh>
    <rPh sb="7" eb="9">
      <t>シュウリョウ</t>
    </rPh>
    <rPh sb="9" eb="11">
      <t>ヒヅケ</t>
    </rPh>
    <phoneticPr fontId="1"/>
  </si>
  <si>
    <t>SQL3.前月残高、SQL3.支払金額、SQL3.調整金額</t>
    <rPh sb="15" eb="17">
      <t>シハライ</t>
    </rPh>
    <phoneticPr fontId="1"/>
  </si>
  <si>
    <t>[SQL3.前月残高] - [SQL3.支払金額] - [SQL3.調整金額]</t>
    <rPh sb="20" eb="22">
      <t>シハライ</t>
    </rPh>
    <phoneticPr fontId="1"/>
  </si>
  <si>
    <t>SQL3.仕入金額</t>
    <rPh sb="5" eb="7">
      <t>シイレ</t>
    </rPh>
    <rPh sb="7" eb="9">
      <t>キンガク</t>
    </rPh>
    <phoneticPr fontId="1"/>
  </si>
  <si>
    <t>SQL3.支払金額</t>
    <rPh sb="5" eb="7">
      <t>シハライ</t>
    </rPh>
    <rPh sb="7" eb="9">
      <t>キンガク</t>
    </rPh>
    <rPh sb="8" eb="9">
      <t>ニュウキン</t>
    </rPh>
    <phoneticPr fontId="1"/>
  </si>
  <si>
    <t>SQL3.仕入金額、SQL3.返品金額、SQL3.訂正金額、SQL3.消費税額</t>
    <rPh sb="5" eb="7">
      <t>シイレ</t>
    </rPh>
    <phoneticPr fontId="1"/>
  </si>
  <si>
    <t>[SQL3.仕入金額] +[SQL3.返品金額] + [SQL3.訂正金額] + [SQL3.消費税額]</t>
    <rPh sb="6" eb="8">
      <t>シイレ</t>
    </rPh>
    <phoneticPr fontId="1"/>
  </si>
  <si>
    <t>初項目は'繰  越  残  高　'その後は'前  頁  残  高'</t>
    <rPh sb="0" eb="1">
      <t>ハツ</t>
    </rPh>
    <rPh sb="1" eb="3">
      <t>コウモク</t>
    </rPh>
    <rPh sb="19" eb="20">
      <t>ゴ</t>
    </rPh>
    <phoneticPr fontId="1"/>
  </si>
  <si>
    <t>SQL15.日付</t>
    <rPh sb="6" eb="8">
      <t>ヒヅケ</t>
    </rPh>
    <phoneticPr fontId="1"/>
  </si>
  <si>
    <t>SQL15.見積番号</t>
    <rPh sb="6" eb="10">
      <t>ミツモリバンゴウ</t>
    </rPh>
    <phoneticPr fontId="1"/>
  </si>
  <si>
    <t>SQL15.PC区分</t>
    <rPh sb="8" eb="10">
      <t>クブン</t>
    </rPh>
    <phoneticPr fontId="1"/>
  </si>
  <si>
    <t>SQL15.製品NO</t>
    <rPh sb="6" eb="8">
      <t>セイヒン</t>
    </rPh>
    <phoneticPr fontId="1"/>
  </si>
  <si>
    <t>SQL15.仕様NO</t>
    <rPh sb="6" eb="8">
      <t>シヨウ</t>
    </rPh>
    <phoneticPr fontId="1"/>
  </si>
  <si>
    <t>SQL15.品名</t>
    <rPh sb="6" eb="8">
      <t>ヒンメイ</t>
    </rPh>
    <phoneticPr fontId="1"/>
  </si>
  <si>
    <t>SQL15.W、SQL15.D、SQL15.H、SQL15.D1、SQL15.D2、SQL15.H1、SQL15.H2</t>
  </si>
  <si>
    <t>[SQL15.W]W×[SQL15.D]/[SQL15.D1]/[SQL15.D2]D×[SQL15.H]×[SQL15.H1]×[SQL15.H2]H</t>
  </si>
  <si>
    <t>SQL15.数量</t>
    <rPh sb="6" eb="8">
      <t>スウリョウ</t>
    </rPh>
    <phoneticPr fontId="1"/>
  </si>
  <si>
    <t>SQL15.単位</t>
    <rPh sb="6" eb="8">
      <t>タンイ</t>
    </rPh>
    <phoneticPr fontId="1"/>
  </si>
  <si>
    <t>SQL15.単価</t>
    <rPh sb="6" eb="8">
      <t>タンカ</t>
    </rPh>
    <phoneticPr fontId="1"/>
  </si>
  <si>
    <t>SQL15.金額</t>
  </si>
  <si>
    <t>SQL15.金額</t>
    <rPh sb="6" eb="8">
      <t>キンガク</t>
    </rPh>
    <phoneticPr fontId="1"/>
  </si>
  <si>
    <t>[SQL15.区分]が1以外のときに入力</t>
    <rPh sb="7" eb="9">
      <t>クブン</t>
    </rPh>
    <rPh sb="12" eb="14">
      <t>イガイ</t>
    </rPh>
    <rPh sb="18" eb="20">
      <t>ニュウリョク</t>
    </rPh>
    <phoneticPr fontId="1"/>
  </si>
  <si>
    <t>[SQL15.区分]が1のときに入力</t>
    <rPh sb="7" eb="9">
      <t>クブン</t>
    </rPh>
    <rPh sb="16" eb="18">
      <t>ニュウリョク</t>
    </rPh>
    <phoneticPr fontId="1"/>
  </si>
  <si>
    <t>SQL3.前月残高、SQL15.金額</t>
  </si>
  <si>
    <t>[SQL15.見積行番号]が9001のときは空</t>
    <rPh sb="22" eb="23">
      <t>カラ</t>
    </rPh>
    <phoneticPr fontId="1"/>
  </si>
  <si>
    <t>SQL15.納入先名</t>
    <rPh sb="6" eb="10">
      <t>ノウニュウサキメイ</t>
    </rPh>
    <phoneticPr fontId="1"/>
  </si>
  <si>
    <t>差引残高（初回は繰越残高） + 明細仕入 - 明細支払 または空</t>
    <rPh sb="0" eb="4">
      <t>サシヒキザンダカ</t>
    </rPh>
    <rPh sb="5" eb="7">
      <t>ショカイ</t>
    </rPh>
    <rPh sb="8" eb="12">
      <t>クリコシザンダカ</t>
    </rPh>
    <rPh sb="18" eb="20">
      <t>シイレ</t>
    </rPh>
    <rPh sb="25" eb="27">
      <t>シハライ</t>
    </rPh>
    <rPh sb="31" eb="32">
      <t>カラ</t>
    </rPh>
    <phoneticPr fontId="1"/>
  </si>
  <si>
    <t>仕入先ごとの金額合計（区分0、行番号8999）</t>
    <rPh sb="0" eb="2">
      <t>シイレ</t>
    </rPh>
    <rPh sb="2" eb="3">
      <t>サキ</t>
    </rPh>
    <rPh sb="6" eb="8">
      <t>キンガク</t>
    </rPh>
    <rPh sb="11" eb="13">
      <t>クブン</t>
    </rPh>
    <phoneticPr fontId="1"/>
  </si>
  <si>
    <t>仕入先ごとの金額合計（区分0、枝番9000）または(区分2、仕分番号ZZ、行番号9000)</t>
    <rPh sb="0" eb="2">
      <t>シイレ</t>
    </rPh>
    <rPh sb="2" eb="3">
      <t>サキ</t>
    </rPh>
    <rPh sb="6" eb="8">
      <t>キンガク</t>
    </rPh>
    <rPh sb="8" eb="10">
      <t>ゴウケイ</t>
    </rPh>
    <phoneticPr fontId="1"/>
  </si>
  <si>
    <t>仕入先ごとの金額合計　(区分0 、行番号9001)</t>
    <phoneticPr fontId="1"/>
  </si>
  <si>
    <t>項目一覧</t>
    <rPh sb="0" eb="4">
      <t>コウモクイチラン</t>
    </rPh>
    <phoneticPr fontId="2"/>
  </si>
  <si>
    <t>No24.PC区分は不要の認識で合っているか</t>
    <rPh sb="7" eb="9">
      <t>クブン</t>
    </rPh>
    <rPh sb="10" eb="12">
      <t>フヨウ</t>
    </rPh>
    <rPh sb="13" eb="15">
      <t>ニンシキ</t>
    </rPh>
    <rPh sb="16" eb="17">
      <t>ア</t>
    </rPh>
    <phoneticPr fontId="2"/>
  </si>
  <si>
    <t>No24.PC区分</t>
    <phoneticPr fontId="2"/>
  </si>
  <si>
    <t>No9.開始日付,No10.終了日付</t>
    <rPh sb="4" eb="8">
      <t>カイシヒヅケ</t>
    </rPh>
    <rPh sb="14" eb="18">
      <t>シュウリョウヒヅケ</t>
    </rPh>
    <phoneticPr fontId="2"/>
  </si>
  <si>
    <t>No9.開始日付,No10.終了日付は不要の認識で合っているか</t>
    <rPh sb="19" eb="21">
      <t>フヨウ</t>
    </rPh>
    <rPh sb="22" eb="24">
      <t>ニンシキ</t>
    </rPh>
    <rPh sb="25" eb="26">
      <t>ア</t>
    </rPh>
    <phoneticPr fontId="2"/>
  </si>
  <si>
    <t>回答</t>
    <rPh sb="0" eb="2">
      <t>カイトウ</t>
    </rPh>
    <phoneticPr fontId="2"/>
  </si>
  <si>
    <t>合っている</t>
    <rPh sb="0" eb="1">
      <t>ア</t>
    </rPh>
    <phoneticPr fontId="2"/>
  </si>
  <si>
    <t>〇</t>
    <phoneticPr fontId="2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</si>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</sst>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8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" xfId="0" quotePrefix="1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277905</xdr:colOff>
      <xdr:row>8</xdr:row>
      <xdr:rowOff>53789</xdr:rowOff>
    </xdr:from>
    <xdr:to>
      <xdr:col>63</xdr:col>
      <xdr:colOff>251011</xdr:colOff>
      <xdr:row>53</xdr:row>
      <xdr:rowOff>29515</xdr:rowOff>
    </xdr:to>
    <xdr:pic>
      <xdr:nvPicPr>
        <xdr:cNvPr id="41" name="図 40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700"/>
        <a:stretch/>
      </xdr:blipFill>
      <xdr:spPr>
        <a:xfrm>
          <a:off x="636493" y="1685365"/>
          <a:ext cx="16925365" cy="11271256"/>
        </a:xfrm>
        <a:prstGeom prst="rect">
          <a:avLst/>
        </a:prstGeom>
      </xdr:spPr>
    </xdr:pic>
    <xdr:clientData/>
  </xdr:twoCellAnchor>
  <xdr:twoCellAnchor>
    <xdr:from>
      <xdr:col>31</xdr:col>
      <xdr:colOff>224118</xdr:colOff>
      <xdr:row>12</xdr:row>
      <xdr:rowOff>179294</xdr:rowOff>
    </xdr:from>
    <xdr:to>
      <xdr:col>33</xdr:col>
      <xdr:colOff>8964</xdr:colOff>
      <xdr:row>14</xdr:row>
      <xdr:rowOff>1</xdr:rowOff>
    </xdr:to>
    <xdr:sp macro="" textlink="">
      <xdr:nvSpPr>
        <xdr:cNvPr id="5" name="正方形/長方形 4"/>
        <xdr:cNvSpPr/>
      </xdr:nvSpPr>
      <xdr:spPr>
        <a:xfrm>
          <a:off x="8641977" y="28149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251012</xdr:colOff>
      <xdr:row>11</xdr:row>
      <xdr:rowOff>170327</xdr:rowOff>
    </xdr:from>
    <xdr:to>
      <xdr:col>9</xdr:col>
      <xdr:colOff>35859</xdr:colOff>
      <xdr:row>12</xdr:row>
      <xdr:rowOff>242045</xdr:rowOff>
    </xdr:to>
    <xdr:sp macro="" textlink="">
      <xdr:nvSpPr>
        <xdr:cNvPr id="6" name="正方形/長方形 5"/>
        <xdr:cNvSpPr/>
      </xdr:nvSpPr>
      <xdr:spPr>
        <a:xfrm>
          <a:off x="1999130" y="255493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35859</xdr:colOff>
      <xdr:row>12</xdr:row>
      <xdr:rowOff>170329</xdr:rowOff>
    </xdr:from>
    <xdr:to>
      <xdr:col>10</xdr:col>
      <xdr:colOff>98611</xdr:colOff>
      <xdr:row>13</xdr:row>
      <xdr:rowOff>242048</xdr:rowOff>
    </xdr:to>
    <xdr:sp macro="" textlink="">
      <xdr:nvSpPr>
        <xdr:cNvPr id="7" name="正方形/長方形 6"/>
        <xdr:cNvSpPr/>
      </xdr:nvSpPr>
      <xdr:spPr>
        <a:xfrm>
          <a:off x="2339788" y="28059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44822</xdr:colOff>
      <xdr:row>13</xdr:row>
      <xdr:rowOff>242048</xdr:rowOff>
    </xdr:from>
    <xdr:to>
      <xdr:col>10</xdr:col>
      <xdr:colOff>107574</xdr:colOff>
      <xdr:row>15</xdr:row>
      <xdr:rowOff>62754</xdr:rowOff>
    </xdr:to>
    <xdr:sp macro="" textlink="">
      <xdr:nvSpPr>
        <xdr:cNvPr id="8" name="正方形/長方形 7"/>
        <xdr:cNvSpPr/>
      </xdr:nvSpPr>
      <xdr:spPr>
        <a:xfrm>
          <a:off x="2348751" y="31286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125507</xdr:colOff>
      <xdr:row>14</xdr:row>
      <xdr:rowOff>206188</xdr:rowOff>
    </xdr:from>
    <xdr:to>
      <xdr:col>11</xdr:col>
      <xdr:colOff>188259</xdr:colOff>
      <xdr:row>16</xdr:row>
      <xdr:rowOff>26894</xdr:rowOff>
    </xdr:to>
    <xdr:sp macro="" textlink="">
      <xdr:nvSpPr>
        <xdr:cNvPr id="9" name="正方形/長方形 8"/>
        <xdr:cNvSpPr/>
      </xdr:nvSpPr>
      <xdr:spPr>
        <a:xfrm>
          <a:off x="2707342" y="334383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125507</xdr:colOff>
      <xdr:row>16</xdr:row>
      <xdr:rowOff>35858</xdr:rowOff>
    </xdr:from>
    <xdr:to>
      <xdr:col>11</xdr:col>
      <xdr:colOff>188259</xdr:colOff>
      <xdr:row>17</xdr:row>
      <xdr:rowOff>107577</xdr:rowOff>
    </xdr:to>
    <xdr:sp macro="" textlink="">
      <xdr:nvSpPr>
        <xdr:cNvPr id="10" name="正方形/長方形 9"/>
        <xdr:cNvSpPr/>
      </xdr:nvSpPr>
      <xdr:spPr>
        <a:xfrm>
          <a:off x="2707342" y="36755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107576</xdr:colOff>
      <xdr:row>17</xdr:row>
      <xdr:rowOff>89648</xdr:rowOff>
    </xdr:from>
    <xdr:to>
      <xdr:col>9</xdr:col>
      <xdr:colOff>170329</xdr:colOff>
      <xdr:row>18</xdr:row>
      <xdr:rowOff>161366</xdr:rowOff>
    </xdr:to>
    <xdr:sp macro="" textlink="">
      <xdr:nvSpPr>
        <xdr:cNvPr id="11" name="正方形/長方形 10"/>
        <xdr:cNvSpPr/>
      </xdr:nvSpPr>
      <xdr:spPr>
        <a:xfrm>
          <a:off x="2133600" y="39803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17929</xdr:colOff>
      <xdr:row>17</xdr:row>
      <xdr:rowOff>89648</xdr:rowOff>
    </xdr:from>
    <xdr:to>
      <xdr:col>14</xdr:col>
      <xdr:colOff>80681</xdr:colOff>
      <xdr:row>18</xdr:row>
      <xdr:rowOff>161366</xdr:rowOff>
    </xdr:to>
    <xdr:sp macro="" textlink="">
      <xdr:nvSpPr>
        <xdr:cNvPr id="12" name="正方形/長方形 11"/>
        <xdr:cNvSpPr/>
      </xdr:nvSpPr>
      <xdr:spPr>
        <a:xfrm>
          <a:off x="3433482" y="39803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0</xdr:colOff>
      <xdr:row>14</xdr:row>
      <xdr:rowOff>71717</xdr:rowOff>
    </xdr:from>
    <xdr:to>
      <xdr:col>20</xdr:col>
      <xdr:colOff>62752</xdr:colOff>
      <xdr:row>15</xdr:row>
      <xdr:rowOff>143435</xdr:rowOff>
    </xdr:to>
    <xdr:sp macro="" textlink="">
      <xdr:nvSpPr>
        <xdr:cNvPr id="13" name="正方形/長方形 12"/>
        <xdr:cNvSpPr/>
      </xdr:nvSpPr>
      <xdr:spPr>
        <a:xfrm>
          <a:off x="5082988" y="320936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0</xdr:colOff>
      <xdr:row>15</xdr:row>
      <xdr:rowOff>170329</xdr:rowOff>
    </xdr:from>
    <xdr:to>
      <xdr:col>20</xdr:col>
      <xdr:colOff>62752</xdr:colOff>
      <xdr:row>16</xdr:row>
      <xdr:rowOff>242047</xdr:rowOff>
    </xdr:to>
    <xdr:sp macro="" textlink="">
      <xdr:nvSpPr>
        <xdr:cNvPr id="14" name="正方形/長方形 13"/>
        <xdr:cNvSpPr/>
      </xdr:nvSpPr>
      <xdr:spPr>
        <a:xfrm>
          <a:off x="5082988" y="35589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277905</xdr:colOff>
      <xdr:row>17</xdr:row>
      <xdr:rowOff>125507</xdr:rowOff>
    </xdr:from>
    <xdr:to>
      <xdr:col>23</xdr:col>
      <xdr:colOff>62751</xdr:colOff>
      <xdr:row>18</xdr:row>
      <xdr:rowOff>197225</xdr:rowOff>
    </xdr:to>
    <xdr:sp macro="" textlink="">
      <xdr:nvSpPr>
        <xdr:cNvPr id="15" name="正方形/長方形 14"/>
        <xdr:cNvSpPr/>
      </xdr:nvSpPr>
      <xdr:spPr>
        <a:xfrm>
          <a:off x="5916705" y="40161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224118</xdr:colOff>
      <xdr:row>16</xdr:row>
      <xdr:rowOff>170329</xdr:rowOff>
    </xdr:from>
    <xdr:to>
      <xdr:col>28</xdr:col>
      <xdr:colOff>8964</xdr:colOff>
      <xdr:row>17</xdr:row>
      <xdr:rowOff>242048</xdr:rowOff>
    </xdr:to>
    <xdr:sp macro="" textlink="">
      <xdr:nvSpPr>
        <xdr:cNvPr id="16" name="正方形/長方形 15"/>
        <xdr:cNvSpPr/>
      </xdr:nvSpPr>
      <xdr:spPr>
        <a:xfrm>
          <a:off x="7252447" y="38100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224118</xdr:colOff>
      <xdr:row>18</xdr:row>
      <xdr:rowOff>1</xdr:rowOff>
    </xdr:from>
    <xdr:to>
      <xdr:col>28</xdr:col>
      <xdr:colOff>8964</xdr:colOff>
      <xdr:row>19</xdr:row>
      <xdr:rowOff>71719</xdr:rowOff>
    </xdr:to>
    <xdr:sp macro="" textlink="">
      <xdr:nvSpPr>
        <xdr:cNvPr id="17" name="正方形/長方形 16"/>
        <xdr:cNvSpPr/>
      </xdr:nvSpPr>
      <xdr:spPr>
        <a:xfrm>
          <a:off x="7252447" y="41416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98611</xdr:colOff>
      <xdr:row>17</xdr:row>
      <xdr:rowOff>107577</xdr:rowOff>
    </xdr:from>
    <xdr:to>
      <xdr:col>32</xdr:col>
      <xdr:colOff>161363</xdr:colOff>
      <xdr:row>18</xdr:row>
      <xdr:rowOff>179295</xdr:rowOff>
    </xdr:to>
    <xdr:sp macro="" textlink="">
      <xdr:nvSpPr>
        <xdr:cNvPr id="18" name="正方形/長方形 17"/>
        <xdr:cNvSpPr/>
      </xdr:nvSpPr>
      <xdr:spPr>
        <a:xfrm>
          <a:off x="8516470" y="39982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35859</xdr:colOff>
      <xdr:row>17</xdr:row>
      <xdr:rowOff>116542</xdr:rowOff>
    </xdr:from>
    <xdr:to>
      <xdr:col>37</xdr:col>
      <xdr:colOff>98611</xdr:colOff>
      <xdr:row>18</xdr:row>
      <xdr:rowOff>188260</xdr:rowOff>
    </xdr:to>
    <xdr:sp macro="" textlink="">
      <xdr:nvSpPr>
        <xdr:cNvPr id="19" name="正方形/長方形 18"/>
        <xdr:cNvSpPr/>
      </xdr:nvSpPr>
      <xdr:spPr>
        <a:xfrm>
          <a:off x="9843247" y="40072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224117</xdr:colOff>
      <xdr:row>17</xdr:row>
      <xdr:rowOff>98612</xdr:rowOff>
    </xdr:from>
    <xdr:to>
      <xdr:col>42</xdr:col>
      <xdr:colOff>8963</xdr:colOff>
      <xdr:row>18</xdr:row>
      <xdr:rowOff>170330</xdr:rowOff>
    </xdr:to>
    <xdr:sp macro="" textlink="">
      <xdr:nvSpPr>
        <xdr:cNvPr id="20" name="正方形/長方形 19"/>
        <xdr:cNvSpPr/>
      </xdr:nvSpPr>
      <xdr:spPr>
        <a:xfrm>
          <a:off x="11143129" y="39892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143435</xdr:colOff>
      <xdr:row>17</xdr:row>
      <xdr:rowOff>116542</xdr:rowOff>
    </xdr:from>
    <xdr:to>
      <xdr:col>46</xdr:col>
      <xdr:colOff>206187</xdr:colOff>
      <xdr:row>18</xdr:row>
      <xdr:rowOff>188260</xdr:rowOff>
    </xdr:to>
    <xdr:sp macro="" textlink="">
      <xdr:nvSpPr>
        <xdr:cNvPr id="21" name="正方形/長方形 20"/>
        <xdr:cNvSpPr/>
      </xdr:nvSpPr>
      <xdr:spPr>
        <a:xfrm>
          <a:off x="12451976" y="40072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62752</xdr:colOff>
      <xdr:row>17</xdr:row>
      <xdr:rowOff>125506</xdr:rowOff>
    </xdr:from>
    <xdr:to>
      <xdr:col>51</xdr:col>
      <xdr:colOff>125505</xdr:colOff>
      <xdr:row>18</xdr:row>
      <xdr:rowOff>197224</xdr:rowOff>
    </xdr:to>
    <xdr:sp macro="" textlink="">
      <xdr:nvSpPr>
        <xdr:cNvPr id="22" name="正方形/長方形 21"/>
        <xdr:cNvSpPr/>
      </xdr:nvSpPr>
      <xdr:spPr>
        <a:xfrm>
          <a:off x="13760823" y="40161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242047</xdr:colOff>
      <xdr:row>17</xdr:row>
      <xdr:rowOff>107577</xdr:rowOff>
    </xdr:from>
    <xdr:to>
      <xdr:col>56</xdr:col>
      <xdr:colOff>26893</xdr:colOff>
      <xdr:row>18</xdr:row>
      <xdr:rowOff>179295</xdr:rowOff>
    </xdr:to>
    <xdr:sp macro="" textlink="">
      <xdr:nvSpPr>
        <xdr:cNvPr id="23" name="正方形/長方形 22"/>
        <xdr:cNvSpPr/>
      </xdr:nvSpPr>
      <xdr:spPr>
        <a:xfrm>
          <a:off x="15051741" y="39982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59</xdr:col>
      <xdr:colOff>143435</xdr:colOff>
      <xdr:row>17</xdr:row>
      <xdr:rowOff>125506</xdr:rowOff>
    </xdr:from>
    <xdr:to>
      <xdr:col>60</xdr:col>
      <xdr:colOff>206188</xdr:colOff>
      <xdr:row>18</xdr:row>
      <xdr:rowOff>197224</xdr:rowOff>
    </xdr:to>
    <xdr:sp macro="" textlink="">
      <xdr:nvSpPr>
        <xdr:cNvPr id="24" name="正方形/長方形 23"/>
        <xdr:cNvSpPr/>
      </xdr:nvSpPr>
      <xdr:spPr>
        <a:xfrm>
          <a:off x="16342659" y="40161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89647</xdr:colOff>
      <xdr:row>21</xdr:row>
      <xdr:rowOff>89648</xdr:rowOff>
    </xdr:from>
    <xdr:to>
      <xdr:col>7</xdr:col>
      <xdr:colOff>152399</xdr:colOff>
      <xdr:row>22</xdr:row>
      <xdr:rowOff>161366</xdr:rowOff>
    </xdr:to>
    <xdr:sp macro="" textlink="">
      <xdr:nvSpPr>
        <xdr:cNvPr id="25" name="正方形/長方形 24"/>
        <xdr:cNvSpPr/>
      </xdr:nvSpPr>
      <xdr:spPr>
        <a:xfrm>
          <a:off x="1559859" y="498437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161365</xdr:colOff>
      <xdr:row>21</xdr:row>
      <xdr:rowOff>89647</xdr:rowOff>
    </xdr:from>
    <xdr:to>
      <xdr:col>12</xdr:col>
      <xdr:colOff>224117</xdr:colOff>
      <xdr:row>22</xdr:row>
      <xdr:rowOff>161365</xdr:rowOff>
    </xdr:to>
    <xdr:sp macro="" textlink="">
      <xdr:nvSpPr>
        <xdr:cNvPr id="26" name="正方形/長方形 25"/>
        <xdr:cNvSpPr/>
      </xdr:nvSpPr>
      <xdr:spPr>
        <a:xfrm>
          <a:off x="3021106" y="49843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197223</xdr:colOff>
      <xdr:row>19</xdr:row>
      <xdr:rowOff>242047</xdr:rowOff>
    </xdr:from>
    <xdr:to>
      <xdr:col>18</xdr:col>
      <xdr:colOff>259975</xdr:colOff>
      <xdr:row>21</xdr:row>
      <xdr:rowOff>62754</xdr:rowOff>
    </xdr:to>
    <xdr:sp macro="" textlink="">
      <xdr:nvSpPr>
        <xdr:cNvPr id="27" name="正方形/長方形 26"/>
        <xdr:cNvSpPr/>
      </xdr:nvSpPr>
      <xdr:spPr>
        <a:xfrm>
          <a:off x="4724399" y="46347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62752</xdr:colOff>
      <xdr:row>20</xdr:row>
      <xdr:rowOff>152400</xdr:rowOff>
    </xdr:from>
    <xdr:to>
      <xdr:col>14</xdr:col>
      <xdr:colOff>125504</xdr:colOff>
      <xdr:row>21</xdr:row>
      <xdr:rowOff>224119</xdr:rowOff>
    </xdr:to>
    <xdr:sp macro="" textlink="">
      <xdr:nvSpPr>
        <xdr:cNvPr id="28" name="正方形/長方形 27"/>
        <xdr:cNvSpPr/>
      </xdr:nvSpPr>
      <xdr:spPr>
        <a:xfrm>
          <a:off x="3478305" y="47961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197223</xdr:colOff>
      <xdr:row>20</xdr:row>
      <xdr:rowOff>152399</xdr:rowOff>
    </xdr:from>
    <xdr:to>
      <xdr:col>15</xdr:col>
      <xdr:colOff>259975</xdr:colOff>
      <xdr:row>21</xdr:row>
      <xdr:rowOff>224118</xdr:rowOff>
    </xdr:to>
    <xdr:sp macro="" textlink="">
      <xdr:nvSpPr>
        <xdr:cNvPr id="29" name="正方形/長方形 28"/>
        <xdr:cNvSpPr/>
      </xdr:nvSpPr>
      <xdr:spPr>
        <a:xfrm>
          <a:off x="3890682" y="479611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80681</xdr:colOff>
      <xdr:row>20</xdr:row>
      <xdr:rowOff>152400</xdr:rowOff>
    </xdr:from>
    <xdr:to>
      <xdr:col>17</xdr:col>
      <xdr:colOff>143434</xdr:colOff>
      <xdr:row>21</xdr:row>
      <xdr:rowOff>224119</xdr:rowOff>
    </xdr:to>
    <xdr:sp macro="" textlink="">
      <xdr:nvSpPr>
        <xdr:cNvPr id="30" name="正方形/長方形 29"/>
        <xdr:cNvSpPr/>
      </xdr:nvSpPr>
      <xdr:spPr>
        <a:xfrm>
          <a:off x="4329952" y="47961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71717</xdr:colOff>
      <xdr:row>22</xdr:row>
      <xdr:rowOff>0</xdr:rowOff>
    </xdr:from>
    <xdr:to>
      <xdr:col>14</xdr:col>
      <xdr:colOff>134469</xdr:colOff>
      <xdr:row>23</xdr:row>
      <xdr:rowOff>71718</xdr:rowOff>
    </xdr:to>
    <xdr:sp macro="" textlink="">
      <xdr:nvSpPr>
        <xdr:cNvPr id="31" name="正方形/長方形 30"/>
        <xdr:cNvSpPr/>
      </xdr:nvSpPr>
      <xdr:spPr>
        <a:xfrm>
          <a:off x="3487270" y="51457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233083</xdr:colOff>
      <xdr:row>21</xdr:row>
      <xdr:rowOff>80683</xdr:rowOff>
    </xdr:from>
    <xdr:to>
      <xdr:col>28</xdr:col>
      <xdr:colOff>17929</xdr:colOff>
      <xdr:row>22</xdr:row>
      <xdr:rowOff>152401</xdr:rowOff>
    </xdr:to>
    <xdr:sp macro="" textlink="">
      <xdr:nvSpPr>
        <xdr:cNvPr id="32" name="正方形/長方形 31"/>
        <xdr:cNvSpPr/>
      </xdr:nvSpPr>
      <xdr:spPr>
        <a:xfrm>
          <a:off x="7261412" y="49754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8964</xdr:colOff>
      <xdr:row>21</xdr:row>
      <xdr:rowOff>89647</xdr:rowOff>
    </xdr:from>
    <xdr:to>
      <xdr:col>33</xdr:col>
      <xdr:colOff>71716</xdr:colOff>
      <xdr:row>22</xdr:row>
      <xdr:rowOff>161365</xdr:rowOff>
    </xdr:to>
    <xdr:sp macro="" textlink="">
      <xdr:nvSpPr>
        <xdr:cNvPr id="33" name="正方形/長方形 32"/>
        <xdr:cNvSpPr/>
      </xdr:nvSpPr>
      <xdr:spPr>
        <a:xfrm>
          <a:off x="8704729" y="49843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152400</xdr:colOff>
      <xdr:row>21</xdr:row>
      <xdr:rowOff>89647</xdr:rowOff>
    </xdr:from>
    <xdr:to>
      <xdr:col>35</xdr:col>
      <xdr:colOff>215152</xdr:colOff>
      <xdr:row>22</xdr:row>
      <xdr:rowOff>161365</xdr:rowOff>
    </xdr:to>
    <xdr:sp macro="" textlink="">
      <xdr:nvSpPr>
        <xdr:cNvPr id="34" name="正方形/長方形 33"/>
        <xdr:cNvSpPr/>
      </xdr:nvSpPr>
      <xdr:spPr>
        <a:xfrm>
          <a:off x="9403976" y="49843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224118</xdr:colOff>
      <xdr:row>21</xdr:row>
      <xdr:rowOff>89647</xdr:rowOff>
    </xdr:from>
    <xdr:to>
      <xdr:col>40</xdr:col>
      <xdr:colOff>8964</xdr:colOff>
      <xdr:row>22</xdr:row>
      <xdr:rowOff>161365</xdr:rowOff>
    </xdr:to>
    <xdr:sp macro="" textlink="">
      <xdr:nvSpPr>
        <xdr:cNvPr id="35" name="正方形/長方形 34"/>
        <xdr:cNvSpPr/>
      </xdr:nvSpPr>
      <xdr:spPr>
        <a:xfrm>
          <a:off x="10587318" y="49843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98612</xdr:colOff>
      <xdr:row>21</xdr:row>
      <xdr:rowOff>80683</xdr:rowOff>
    </xdr:from>
    <xdr:to>
      <xdr:col>44</xdr:col>
      <xdr:colOff>161364</xdr:colOff>
      <xdr:row>22</xdr:row>
      <xdr:rowOff>152401</xdr:rowOff>
    </xdr:to>
    <xdr:sp macro="" textlink="">
      <xdr:nvSpPr>
        <xdr:cNvPr id="36" name="正方形/長方形 35"/>
        <xdr:cNvSpPr/>
      </xdr:nvSpPr>
      <xdr:spPr>
        <a:xfrm>
          <a:off x="11851341" y="49754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206188</xdr:colOff>
      <xdr:row>21</xdr:row>
      <xdr:rowOff>98612</xdr:rowOff>
    </xdr:from>
    <xdr:to>
      <xdr:col>48</xdr:col>
      <xdr:colOff>268940</xdr:colOff>
      <xdr:row>22</xdr:row>
      <xdr:rowOff>170330</xdr:rowOff>
    </xdr:to>
    <xdr:sp macro="" textlink="">
      <xdr:nvSpPr>
        <xdr:cNvPr id="37" name="正方形/長方形 36"/>
        <xdr:cNvSpPr/>
      </xdr:nvSpPr>
      <xdr:spPr>
        <a:xfrm>
          <a:off x="13070541" y="49933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107577</xdr:colOff>
      <xdr:row>19</xdr:row>
      <xdr:rowOff>242047</xdr:rowOff>
    </xdr:from>
    <xdr:to>
      <xdr:col>53</xdr:col>
      <xdr:colOff>170329</xdr:colOff>
      <xdr:row>21</xdr:row>
      <xdr:rowOff>62754</xdr:rowOff>
    </xdr:to>
    <xdr:sp macro="" textlink="">
      <xdr:nvSpPr>
        <xdr:cNvPr id="38" name="正方形/長方形 37"/>
        <xdr:cNvSpPr/>
      </xdr:nvSpPr>
      <xdr:spPr>
        <a:xfrm>
          <a:off x="14361459" y="46347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116541</xdr:colOff>
      <xdr:row>21</xdr:row>
      <xdr:rowOff>116541</xdr:rowOff>
    </xdr:from>
    <xdr:to>
      <xdr:col>53</xdr:col>
      <xdr:colOff>179293</xdr:colOff>
      <xdr:row>22</xdr:row>
      <xdr:rowOff>188259</xdr:rowOff>
    </xdr:to>
    <xdr:sp macro="" textlink="">
      <xdr:nvSpPr>
        <xdr:cNvPr id="39" name="正方形/長方形 38"/>
        <xdr:cNvSpPr/>
      </xdr:nvSpPr>
      <xdr:spPr>
        <a:xfrm>
          <a:off x="14370423" y="501127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59</xdr:col>
      <xdr:colOff>125506</xdr:colOff>
      <xdr:row>21</xdr:row>
      <xdr:rowOff>89647</xdr:rowOff>
    </xdr:from>
    <xdr:to>
      <xdr:col>60</xdr:col>
      <xdr:colOff>188259</xdr:colOff>
      <xdr:row>22</xdr:row>
      <xdr:rowOff>161365</xdr:rowOff>
    </xdr:to>
    <xdr:sp macro="" textlink="">
      <xdr:nvSpPr>
        <xdr:cNvPr id="40" name="正方形/長方形 39"/>
        <xdr:cNvSpPr/>
      </xdr:nvSpPr>
      <xdr:spPr>
        <a:xfrm>
          <a:off x="16324730" y="49843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98612</xdr:colOff>
      <xdr:row>25</xdr:row>
      <xdr:rowOff>233083</xdr:rowOff>
    </xdr:from>
    <xdr:to>
      <xdr:col>44</xdr:col>
      <xdr:colOff>161364</xdr:colOff>
      <xdr:row>27</xdr:row>
      <xdr:rowOff>53789</xdr:rowOff>
    </xdr:to>
    <xdr:sp macro="" textlink="">
      <xdr:nvSpPr>
        <xdr:cNvPr id="42" name="正方形/長方形 41"/>
        <xdr:cNvSpPr/>
      </xdr:nvSpPr>
      <xdr:spPr>
        <a:xfrm>
          <a:off x="11851341" y="61318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98612</xdr:colOff>
      <xdr:row>27</xdr:row>
      <xdr:rowOff>89647</xdr:rowOff>
    </xdr:from>
    <xdr:to>
      <xdr:col>44</xdr:col>
      <xdr:colOff>161364</xdr:colOff>
      <xdr:row>28</xdr:row>
      <xdr:rowOff>161365</xdr:rowOff>
    </xdr:to>
    <xdr:sp macro="" textlink="">
      <xdr:nvSpPr>
        <xdr:cNvPr id="43" name="正方形/長方形 42"/>
        <xdr:cNvSpPr/>
      </xdr:nvSpPr>
      <xdr:spPr>
        <a:xfrm>
          <a:off x="11851341" y="64904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98612</xdr:colOff>
      <xdr:row>28</xdr:row>
      <xdr:rowOff>215153</xdr:rowOff>
    </xdr:from>
    <xdr:to>
      <xdr:col>44</xdr:col>
      <xdr:colOff>161364</xdr:colOff>
      <xdr:row>30</xdr:row>
      <xdr:rowOff>35860</xdr:rowOff>
    </xdr:to>
    <xdr:sp macro="" textlink="">
      <xdr:nvSpPr>
        <xdr:cNvPr id="44" name="正方形/長方形 43"/>
        <xdr:cNvSpPr/>
      </xdr:nvSpPr>
      <xdr:spPr>
        <a:xfrm>
          <a:off x="11851341" y="68669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256990</xdr:colOff>
      <xdr:row>38</xdr:row>
      <xdr:rowOff>77391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327070" cy="8535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14" t="s">
        <v>0</v>
      </c>
      <c r="C2" s="115"/>
      <c r="D2" s="115"/>
      <c r="E2" s="115"/>
      <c r="F2" s="115"/>
      <c r="G2" s="115"/>
      <c r="H2" s="115" t="s">
        <v>16</v>
      </c>
      <c r="I2" s="115"/>
      <c r="J2" s="115"/>
      <c r="K2" s="115"/>
      <c r="L2" s="115" t="s">
        <v>441</v>
      </c>
      <c r="M2" s="115"/>
      <c r="N2" s="115"/>
      <c r="O2" s="115"/>
      <c r="P2" s="115"/>
      <c r="Q2" s="115"/>
      <c r="R2" s="115" t="s">
        <v>1</v>
      </c>
      <c r="S2" s="115"/>
      <c r="T2" s="115"/>
      <c r="U2" s="115"/>
      <c r="V2" s="115"/>
      <c r="W2" s="115"/>
      <c r="X2" s="116" t="s">
        <v>2</v>
      </c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8"/>
      <c r="AK2" s="116" t="s">
        <v>30</v>
      </c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8"/>
      <c r="AX2" s="115" t="s">
        <v>4</v>
      </c>
      <c r="AY2" s="115"/>
      <c r="AZ2" s="115"/>
      <c r="BA2" s="115"/>
      <c r="BB2" s="115" t="s">
        <v>3</v>
      </c>
      <c r="BC2" s="115"/>
      <c r="BD2" s="115"/>
      <c r="BE2" s="115"/>
      <c r="BF2" s="115" t="s">
        <v>5</v>
      </c>
      <c r="BG2" s="115"/>
      <c r="BH2" s="115"/>
      <c r="BI2" s="115"/>
      <c r="BJ2" s="115" t="s">
        <v>6</v>
      </c>
      <c r="BK2" s="115"/>
      <c r="BL2" s="115"/>
      <c r="BM2" s="129"/>
      <c r="BN2" s="14"/>
    </row>
    <row r="3" spans="1:66" ht="20.100000000000001" customHeight="1" x14ac:dyDescent="0.45">
      <c r="A3" s="8"/>
      <c r="B3" s="119" t="s">
        <v>439</v>
      </c>
      <c r="C3" s="120"/>
      <c r="D3" s="120"/>
      <c r="E3" s="120"/>
      <c r="F3" s="120"/>
      <c r="G3" s="120"/>
      <c r="H3" s="120" t="str">
        <f ca="1">LEFT($X$3,FIND("_",$X$3)-1)</f>
        <v>SK0100</v>
      </c>
      <c r="I3" s="120"/>
      <c r="J3" s="120"/>
      <c r="K3" s="120"/>
      <c r="L3" s="120" t="s">
        <v>440</v>
      </c>
      <c r="M3" s="120"/>
      <c r="N3" s="120"/>
      <c r="O3" s="120"/>
      <c r="P3" s="120"/>
      <c r="Q3" s="120"/>
      <c r="R3" s="123" t="str">
        <f ca="1">MID($X$3,FIND("_",$X$3,FIND("_",$X$3)+1)+1,LEN($X$3)-FIND("_",$X$3,FIND("_",$X$3)+1))</f>
        <v>帳票設計書</v>
      </c>
      <c r="S3" s="120"/>
      <c r="T3" s="120"/>
      <c r="U3" s="120"/>
      <c r="V3" s="120"/>
      <c r="W3" s="120"/>
      <c r="X3" s="124" t="str">
        <f ca="1">REPLACE(LEFT(CELL("filename",$B$2),FIND(".x",CELL("filename",$B$2))-1),1,FIND("[",CELL("filename",$B$2)),)</f>
        <v>SK0100_買掛金元帳_帳票設計書</v>
      </c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1"/>
      <c r="AK3" s="124" t="str">
        <f ca="1">MID($X$3,FIND("_",$X$3)+1,FIND("_",$X$3,FIND("_",$X$3)+1)-FIND("_",$X$3)-1)</f>
        <v>買掛金元帳</v>
      </c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1"/>
      <c r="AX3" s="131">
        <v>45583</v>
      </c>
      <c r="AY3" s="120"/>
      <c r="AZ3" s="120"/>
      <c r="BA3" s="120"/>
      <c r="BB3" s="120" t="s">
        <v>442</v>
      </c>
      <c r="BC3" s="120"/>
      <c r="BD3" s="120"/>
      <c r="BE3" s="120"/>
      <c r="BF3" s="131">
        <v>45583</v>
      </c>
      <c r="BG3" s="120"/>
      <c r="BH3" s="120"/>
      <c r="BI3" s="120"/>
      <c r="BJ3" s="120" t="s">
        <v>442</v>
      </c>
      <c r="BK3" s="120"/>
      <c r="BL3" s="120"/>
      <c r="BM3" s="132"/>
      <c r="BN3" s="14"/>
    </row>
    <row r="4" spans="1:66" ht="20.100000000000001" customHeight="1" thickBot="1" x14ac:dyDescent="0.5">
      <c r="A4" s="8"/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6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8"/>
      <c r="AK4" s="126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8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4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30" t="s">
        <v>7</v>
      </c>
      <c r="D8" s="130"/>
      <c r="E8" s="130"/>
      <c r="F8" s="130"/>
      <c r="G8" s="130" t="s">
        <v>8</v>
      </c>
      <c r="H8" s="130"/>
      <c r="I8" s="130"/>
      <c r="J8" s="130"/>
      <c r="K8" s="130" t="s">
        <v>9</v>
      </c>
      <c r="L8" s="130"/>
      <c r="M8" s="130"/>
      <c r="N8" s="130"/>
      <c r="O8" s="130" t="s">
        <v>10</v>
      </c>
      <c r="P8" s="130"/>
      <c r="Q8" s="130"/>
      <c r="R8" s="130"/>
      <c r="S8" s="130"/>
      <c r="T8" s="130"/>
      <c r="U8" s="130"/>
      <c r="V8" s="130"/>
      <c r="W8" s="130"/>
      <c r="X8" s="130"/>
      <c r="Y8" s="130" t="s">
        <v>11</v>
      </c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7"/>
      <c r="BN8" s="14"/>
    </row>
    <row r="9" spans="1:66" ht="20.100000000000001" customHeight="1" x14ac:dyDescent="0.45">
      <c r="A9" s="8"/>
      <c r="B9" s="7"/>
      <c r="C9" s="133">
        <v>45583</v>
      </c>
      <c r="D9" s="134"/>
      <c r="E9" s="134"/>
      <c r="F9" s="135"/>
      <c r="G9" s="136" t="s">
        <v>15</v>
      </c>
      <c r="H9" s="137"/>
      <c r="I9" s="137"/>
      <c r="J9" s="138"/>
      <c r="K9" s="139" t="s">
        <v>442</v>
      </c>
      <c r="L9" s="134"/>
      <c r="M9" s="134"/>
      <c r="N9" s="135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33"/>
      <c r="D10" s="134"/>
      <c r="E10" s="134"/>
      <c r="F10" s="135"/>
      <c r="G10" s="136"/>
      <c r="H10" s="137"/>
      <c r="I10" s="137"/>
      <c r="J10" s="138"/>
      <c r="K10" s="139"/>
      <c r="L10" s="134"/>
      <c r="M10" s="134"/>
      <c r="N10" s="13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33"/>
      <c r="D11" s="134"/>
      <c r="E11" s="134"/>
      <c r="F11" s="135"/>
      <c r="G11" s="136"/>
      <c r="H11" s="137"/>
      <c r="I11" s="137"/>
      <c r="J11" s="138"/>
      <c r="K11" s="139"/>
      <c r="L11" s="134"/>
      <c r="M11" s="134"/>
      <c r="N11" s="13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33"/>
      <c r="D36" s="134"/>
      <c r="E36" s="134"/>
      <c r="F36" s="135"/>
      <c r="G36" s="136"/>
      <c r="H36" s="137"/>
      <c r="I36" s="137"/>
      <c r="J36" s="138"/>
      <c r="K36" s="139"/>
      <c r="L36" s="134"/>
      <c r="M36" s="134"/>
      <c r="N36" s="13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33"/>
      <c r="D37" s="134"/>
      <c r="E37" s="134"/>
      <c r="F37" s="135"/>
      <c r="G37" s="136"/>
      <c r="H37" s="137"/>
      <c r="I37" s="137"/>
      <c r="J37" s="138"/>
      <c r="K37" s="139"/>
      <c r="L37" s="134"/>
      <c r="M37" s="134"/>
      <c r="N37" s="13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33"/>
      <c r="D38" s="134"/>
      <c r="E38" s="134"/>
      <c r="F38" s="135"/>
      <c r="G38" s="136"/>
      <c r="H38" s="137"/>
      <c r="I38" s="137"/>
      <c r="J38" s="138"/>
      <c r="K38" s="139"/>
      <c r="L38" s="134"/>
      <c r="M38" s="134"/>
      <c r="N38" s="13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33"/>
      <c r="D39" s="134"/>
      <c r="E39" s="134"/>
      <c r="F39" s="135"/>
      <c r="G39" s="136"/>
      <c r="H39" s="137"/>
      <c r="I39" s="137"/>
      <c r="J39" s="138"/>
      <c r="K39" s="139"/>
      <c r="L39" s="134"/>
      <c r="M39" s="134"/>
      <c r="N39" s="13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33"/>
      <c r="D40" s="134"/>
      <c r="E40" s="134"/>
      <c r="F40" s="135"/>
      <c r="G40" s="136"/>
      <c r="H40" s="137"/>
      <c r="I40" s="137"/>
      <c r="J40" s="138"/>
      <c r="K40" s="139"/>
      <c r="L40" s="134"/>
      <c r="M40" s="134"/>
      <c r="N40" s="13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33"/>
      <c r="D41" s="134"/>
      <c r="E41" s="134"/>
      <c r="F41" s="135"/>
      <c r="G41" s="136"/>
      <c r="H41" s="137"/>
      <c r="I41" s="137"/>
      <c r="J41" s="138"/>
      <c r="K41" s="139"/>
      <c r="L41" s="134"/>
      <c r="M41" s="134"/>
      <c r="N41" s="13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33"/>
      <c r="D42" s="134"/>
      <c r="E42" s="134"/>
      <c r="F42" s="135"/>
      <c r="G42" s="136"/>
      <c r="H42" s="137"/>
      <c r="I42" s="137"/>
      <c r="J42" s="138"/>
      <c r="K42" s="139"/>
      <c r="L42" s="134"/>
      <c r="M42" s="134"/>
      <c r="N42" s="13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33"/>
      <c r="D43" s="134"/>
      <c r="E43" s="134"/>
      <c r="F43" s="135"/>
      <c r="G43" s="136"/>
      <c r="H43" s="137"/>
      <c r="I43" s="137"/>
      <c r="J43" s="138"/>
      <c r="K43" s="139"/>
      <c r="L43" s="134"/>
      <c r="M43" s="134"/>
      <c r="N43" s="13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33"/>
      <c r="D44" s="134"/>
      <c r="E44" s="134"/>
      <c r="F44" s="135"/>
      <c r="G44" s="136"/>
      <c r="H44" s="137"/>
      <c r="I44" s="137"/>
      <c r="J44" s="138"/>
      <c r="K44" s="139"/>
      <c r="L44" s="134"/>
      <c r="M44" s="134"/>
      <c r="N44" s="13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33"/>
      <c r="D45" s="134"/>
      <c r="E45" s="134"/>
      <c r="F45" s="135"/>
      <c r="G45" s="136"/>
      <c r="H45" s="137"/>
      <c r="I45" s="137"/>
      <c r="J45" s="138"/>
      <c r="K45" s="139"/>
      <c r="L45" s="134"/>
      <c r="M45" s="134"/>
      <c r="N45" s="13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33"/>
      <c r="D46" s="134"/>
      <c r="E46" s="134"/>
      <c r="F46" s="135"/>
      <c r="G46" s="136"/>
      <c r="H46" s="137"/>
      <c r="I46" s="137"/>
      <c r="J46" s="138"/>
      <c r="K46" s="139"/>
      <c r="L46" s="134"/>
      <c r="M46" s="134"/>
      <c r="N46" s="13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33"/>
      <c r="D47" s="134"/>
      <c r="E47" s="134"/>
      <c r="F47" s="135"/>
      <c r="G47" s="136"/>
      <c r="H47" s="137"/>
      <c r="I47" s="137"/>
      <c r="J47" s="138"/>
      <c r="K47" s="139"/>
      <c r="L47" s="134"/>
      <c r="M47" s="134"/>
      <c r="N47" s="13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14" t="s">
        <v>0</v>
      </c>
      <c r="C2" s="115"/>
      <c r="D2" s="115"/>
      <c r="E2" s="115"/>
      <c r="F2" s="115"/>
      <c r="G2" s="115"/>
      <c r="H2" s="115" t="s">
        <v>16</v>
      </c>
      <c r="I2" s="115"/>
      <c r="J2" s="115"/>
      <c r="K2" s="115"/>
      <c r="L2" s="115" t="s">
        <v>441</v>
      </c>
      <c r="M2" s="115"/>
      <c r="N2" s="115"/>
      <c r="O2" s="115"/>
      <c r="P2" s="115"/>
      <c r="Q2" s="115"/>
      <c r="R2" s="115" t="s">
        <v>1</v>
      </c>
      <c r="S2" s="115"/>
      <c r="T2" s="115"/>
      <c r="U2" s="115"/>
      <c r="V2" s="115"/>
      <c r="W2" s="115"/>
      <c r="X2" s="116" t="s">
        <v>2</v>
      </c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8"/>
      <c r="AK2" s="116" t="s">
        <v>31</v>
      </c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8"/>
      <c r="AX2" s="115" t="s">
        <v>4</v>
      </c>
      <c r="AY2" s="115"/>
      <c r="AZ2" s="115"/>
      <c r="BA2" s="115"/>
      <c r="BB2" s="115" t="s">
        <v>3</v>
      </c>
      <c r="BC2" s="115"/>
      <c r="BD2" s="115"/>
      <c r="BE2" s="115"/>
      <c r="BF2" s="115" t="s">
        <v>5</v>
      </c>
      <c r="BG2" s="115"/>
      <c r="BH2" s="115"/>
      <c r="BI2" s="115"/>
      <c r="BJ2" s="115" t="s">
        <v>6</v>
      </c>
      <c r="BK2" s="115"/>
      <c r="BL2" s="115"/>
      <c r="BM2" s="129"/>
      <c r="BN2" s="35"/>
    </row>
    <row r="3" spans="1:66" ht="20.100000000000001" customHeight="1" x14ac:dyDescent="0.45">
      <c r="A3" s="32"/>
      <c r="B3" s="119" t="str">
        <f>変更履歴!B3</f>
        <v>受発注システム</v>
      </c>
      <c r="C3" s="120"/>
      <c r="D3" s="120"/>
      <c r="E3" s="120"/>
      <c r="F3" s="120"/>
      <c r="G3" s="120"/>
      <c r="H3" s="120" t="str">
        <f ca="1">変更履歴!H3</f>
        <v>SK0100</v>
      </c>
      <c r="I3" s="120"/>
      <c r="J3" s="120"/>
      <c r="K3" s="120"/>
      <c r="L3" s="120" t="str">
        <f>変更履歴!L3</f>
        <v>受発注</v>
      </c>
      <c r="M3" s="120"/>
      <c r="N3" s="120"/>
      <c r="O3" s="120"/>
      <c r="P3" s="120"/>
      <c r="Q3" s="120"/>
      <c r="R3" s="120" t="str">
        <f ca="1">変更履歴!R3</f>
        <v>帳票設計書</v>
      </c>
      <c r="S3" s="120"/>
      <c r="T3" s="120"/>
      <c r="U3" s="120"/>
      <c r="V3" s="120"/>
      <c r="W3" s="120"/>
      <c r="X3" s="124" t="str">
        <f ca="1">変更履歴!X3</f>
        <v>SK0100_買掛金元帳_帳票設計書</v>
      </c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1"/>
      <c r="AK3" s="124" t="str">
        <f ca="1">変更履歴!AK3</f>
        <v>買掛金元帳</v>
      </c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1"/>
      <c r="AX3" s="131">
        <f>変更履歴!AX3</f>
        <v>45583</v>
      </c>
      <c r="AY3" s="131"/>
      <c r="AZ3" s="131"/>
      <c r="BA3" s="131"/>
      <c r="BB3" s="120" t="str">
        <f>変更履歴!BB3</f>
        <v>大谷</v>
      </c>
      <c r="BC3" s="120"/>
      <c r="BD3" s="120"/>
      <c r="BE3" s="120"/>
      <c r="BF3" s="131">
        <f>変更履歴!BF3</f>
        <v>45583</v>
      </c>
      <c r="BG3" s="131"/>
      <c r="BH3" s="131"/>
      <c r="BI3" s="131"/>
      <c r="BJ3" s="120" t="str">
        <f>変更履歴!BJ3</f>
        <v>大谷</v>
      </c>
      <c r="BK3" s="120"/>
      <c r="BL3" s="120"/>
      <c r="BM3" s="132"/>
      <c r="BN3" s="35"/>
    </row>
    <row r="4" spans="1:66" ht="20.100000000000001" customHeight="1" thickBot="1" x14ac:dyDescent="0.5">
      <c r="A4" s="32"/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6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8"/>
      <c r="AK4" s="126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8"/>
      <c r="AX4" s="140"/>
      <c r="AY4" s="140"/>
      <c r="AZ4" s="140"/>
      <c r="BA4" s="140"/>
      <c r="BB4" s="122"/>
      <c r="BC4" s="122"/>
      <c r="BD4" s="122"/>
      <c r="BE4" s="122"/>
      <c r="BF4" s="140"/>
      <c r="BG4" s="140"/>
      <c r="BH4" s="140"/>
      <c r="BI4" s="140"/>
      <c r="BJ4" s="122"/>
      <c r="BK4" s="122"/>
      <c r="BL4" s="122"/>
      <c r="BM4" s="124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21</v>
      </c>
      <c r="E7" s="47"/>
      <c r="F7" s="47"/>
      <c r="G7" s="67"/>
      <c r="H7" s="48" t="str">
        <f ca="1">AK3</f>
        <v>買掛金元帳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24</v>
      </c>
      <c r="E8" s="50"/>
      <c r="F8" s="50"/>
      <c r="G8" s="56"/>
      <c r="H8" s="51" t="s">
        <v>56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22</v>
      </c>
      <c r="E9" s="50"/>
      <c r="F9" s="50"/>
      <c r="G9" s="56"/>
      <c r="H9" s="51" t="s">
        <v>57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25</v>
      </c>
      <c r="E10" s="50"/>
      <c r="F10" s="50"/>
      <c r="G10" s="56"/>
      <c r="H10" s="54" t="s">
        <v>58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26</v>
      </c>
      <c r="E11" s="50"/>
      <c r="F11" s="50"/>
      <c r="G11" s="56"/>
      <c r="H11" s="54" t="s">
        <v>56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27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28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29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43</v>
      </c>
      <c r="E15" s="50"/>
      <c r="F15" s="50"/>
      <c r="G15" s="56"/>
      <c r="H15" s="54" t="s">
        <v>438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20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59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14" t="s">
        <v>0</v>
      </c>
      <c r="C2" s="115"/>
      <c r="D2" s="115"/>
      <c r="E2" s="115"/>
      <c r="F2" s="115"/>
      <c r="G2" s="115"/>
      <c r="H2" s="115" t="s">
        <v>16</v>
      </c>
      <c r="I2" s="115"/>
      <c r="J2" s="115"/>
      <c r="K2" s="115"/>
      <c r="L2" s="115" t="s">
        <v>441</v>
      </c>
      <c r="M2" s="115"/>
      <c r="N2" s="115"/>
      <c r="O2" s="115"/>
      <c r="P2" s="115"/>
      <c r="Q2" s="115"/>
      <c r="R2" s="115" t="s">
        <v>1</v>
      </c>
      <c r="S2" s="115"/>
      <c r="T2" s="115"/>
      <c r="U2" s="115"/>
      <c r="V2" s="115"/>
      <c r="W2" s="115"/>
      <c r="X2" s="116" t="s">
        <v>2</v>
      </c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8"/>
      <c r="AK2" s="116" t="s">
        <v>31</v>
      </c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8"/>
      <c r="AX2" s="115" t="s">
        <v>4</v>
      </c>
      <c r="AY2" s="115"/>
      <c r="AZ2" s="115"/>
      <c r="BA2" s="115"/>
      <c r="BB2" s="115" t="s">
        <v>3</v>
      </c>
      <c r="BC2" s="115"/>
      <c r="BD2" s="115"/>
      <c r="BE2" s="115"/>
      <c r="BF2" s="115" t="s">
        <v>5</v>
      </c>
      <c r="BG2" s="115"/>
      <c r="BH2" s="115"/>
      <c r="BI2" s="115"/>
      <c r="BJ2" s="115" t="s">
        <v>6</v>
      </c>
      <c r="BK2" s="115"/>
      <c r="BL2" s="115"/>
      <c r="BM2" s="129"/>
      <c r="BN2" s="15"/>
    </row>
    <row r="3" spans="1:66" ht="20.100000000000001" customHeight="1" x14ac:dyDescent="0.45">
      <c r="A3" s="9"/>
      <c r="B3" s="119" t="str">
        <f>変更履歴!B3</f>
        <v>受発注システム</v>
      </c>
      <c r="C3" s="120"/>
      <c r="D3" s="120"/>
      <c r="E3" s="120"/>
      <c r="F3" s="120"/>
      <c r="G3" s="120"/>
      <c r="H3" s="120" t="str">
        <f ca="1">変更履歴!H3</f>
        <v>SK0100</v>
      </c>
      <c r="I3" s="120"/>
      <c r="J3" s="120"/>
      <c r="K3" s="120"/>
      <c r="L3" s="120" t="str">
        <f>変更履歴!L3</f>
        <v>受発注</v>
      </c>
      <c r="M3" s="120"/>
      <c r="N3" s="120"/>
      <c r="O3" s="120"/>
      <c r="P3" s="120"/>
      <c r="Q3" s="120"/>
      <c r="R3" s="120" t="str">
        <f ca="1">変更履歴!R3</f>
        <v>帳票設計書</v>
      </c>
      <c r="S3" s="120"/>
      <c r="T3" s="120"/>
      <c r="U3" s="120"/>
      <c r="V3" s="120"/>
      <c r="W3" s="120"/>
      <c r="X3" s="124" t="str">
        <f ca="1">変更履歴!X3</f>
        <v>SK0100_買掛金元帳_帳票設計書</v>
      </c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1"/>
      <c r="AK3" s="124" t="str">
        <f ca="1">変更履歴!AK3</f>
        <v>買掛金元帳</v>
      </c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1"/>
      <c r="AX3" s="131">
        <f>変更履歴!AX3</f>
        <v>45583</v>
      </c>
      <c r="AY3" s="131"/>
      <c r="AZ3" s="131"/>
      <c r="BA3" s="131"/>
      <c r="BB3" s="120" t="str">
        <f>変更履歴!BB3</f>
        <v>大谷</v>
      </c>
      <c r="BC3" s="120"/>
      <c r="BD3" s="120"/>
      <c r="BE3" s="120"/>
      <c r="BF3" s="131">
        <f>変更履歴!BF3</f>
        <v>45583</v>
      </c>
      <c r="BG3" s="131"/>
      <c r="BH3" s="131"/>
      <c r="BI3" s="131"/>
      <c r="BJ3" s="120" t="str">
        <f>変更履歴!BJ3</f>
        <v>大谷</v>
      </c>
      <c r="BK3" s="120"/>
      <c r="BL3" s="120"/>
      <c r="BM3" s="132"/>
      <c r="BN3" s="15"/>
    </row>
    <row r="4" spans="1:66" ht="20.100000000000001" customHeight="1" thickBot="1" x14ac:dyDescent="0.5">
      <c r="A4" s="9"/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6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8"/>
      <c r="AK4" s="126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8"/>
      <c r="AX4" s="140"/>
      <c r="AY4" s="140"/>
      <c r="AZ4" s="140"/>
      <c r="BA4" s="140"/>
      <c r="BB4" s="122"/>
      <c r="BC4" s="122"/>
      <c r="BD4" s="122"/>
      <c r="BE4" s="122"/>
      <c r="BF4" s="140"/>
      <c r="BG4" s="140"/>
      <c r="BH4" s="140"/>
      <c r="BI4" s="140"/>
      <c r="BJ4" s="122"/>
      <c r="BK4" s="122"/>
      <c r="BL4" s="122"/>
      <c r="BM4" s="124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x14ac:dyDescent="0.45">
      <c r="B47" s="35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2"/>
    </row>
    <row r="48" spans="1:66" ht="20.100000000000001" customHeight="1" x14ac:dyDescent="0.45">
      <c r="B48" s="35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2"/>
    </row>
    <row r="49" spans="2:65" ht="20.100000000000001" customHeight="1" x14ac:dyDescent="0.45">
      <c r="B49" s="35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2"/>
    </row>
    <row r="50" spans="2:65" ht="20.100000000000001" customHeight="1" x14ac:dyDescent="0.45">
      <c r="B50" s="3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2"/>
    </row>
    <row r="51" spans="2:65" ht="20.100000000000001" customHeight="1" x14ac:dyDescent="0.45">
      <c r="B51" s="3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2"/>
    </row>
    <row r="52" spans="2:65" ht="20.100000000000001" customHeight="1" x14ac:dyDescent="0.45">
      <c r="B52" s="3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2"/>
    </row>
    <row r="53" spans="2:65" ht="20.100000000000001" customHeight="1" x14ac:dyDescent="0.45">
      <c r="B53" s="35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2"/>
    </row>
    <row r="54" spans="2:65" ht="20.100000000000001" customHeight="1" x14ac:dyDescent="0.45">
      <c r="B54" s="35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2"/>
    </row>
    <row r="55" spans="2:65" ht="20.100000000000001" customHeight="1" x14ac:dyDescent="0.45">
      <c r="B55" s="35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2"/>
    </row>
    <row r="56" spans="2:65" ht="20.100000000000001" customHeight="1" x14ac:dyDescent="0.45">
      <c r="B56" s="35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2"/>
    </row>
    <row r="57" spans="2:65" ht="20.100000000000001" customHeight="1" x14ac:dyDescent="0.45">
      <c r="B57" s="35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2"/>
    </row>
    <row r="58" spans="2:65" ht="20.100000000000001" customHeight="1" thickBot="1" x14ac:dyDescent="0.5">
      <c r="B58" s="2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28"/>
    </row>
    <row r="59" spans="2:65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7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14" t="s">
        <v>0</v>
      </c>
      <c r="C2" s="115"/>
      <c r="D2" s="115"/>
      <c r="E2" s="115"/>
      <c r="F2" s="115"/>
      <c r="G2" s="115"/>
      <c r="H2" s="115" t="s">
        <v>16</v>
      </c>
      <c r="I2" s="115"/>
      <c r="J2" s="115"/>
      <c r="K2" s="115"/>
      <c r="L2" s="115" t="s">
        <v>441</v>
      </c>
      <c r="M2" s="115"/>
      <c r="N2" s="115"/>
      <c r="O2" s="115"/>
      <c r="P2" s="115"/>
      <c r="Q2" s="115"/>
      <c r="R2" s="115" t="s">
        <v>1</v>
      </c>
      <c r="S2" s="115"/>
      <c r="T2" s="115"/>
      <c r="U2" s="115"/>
      <c r="V2" s="115"/>
      <c r="W2" s="115"/>
      <c r="X2" s="116" t="s">
        <v>2</v>
      </c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8"/>
      <c r="AK2" s="116" t="s">
        <v>31</v>
      </c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8"/>
      <c r="AX2" s="115" t="s">
        <v>4</v>
      </c>
      <c r="AY2" s="115"/>
      <c r="AZ2" s="115"/>
      <c r="BA2" s="115"/>
      <c r="BB2" s="115" t="s">
        <v>3</v>
      </c>
      <c r="BC2" s="115"/>
      <c r="BD2" s="115"/>
      <c r="BE2" s="115"/>
      <c r="BF2" s="115" t="s">
        <v>5</v>
      </c>
      <c r="BG2" s="115"/>
      <c r="BH2" s="115"/>
      <c r="BI2" s="115"/>
      <c r="BJ2" s="115" t="s">
        <v>6</v>
      </c>
      <c r="BK2" s="115"/>
      <c r="BL2" s="115"/>
      <c r="BM2" s="129"/>
      <c r="BN2" s="15"/>
    </row>
    <row r="3" spans="1:85" ht="20.100000000000001" customHeight="1" x14ac:dyDescent="0.45">
      <c r="A3" s="9"/>
      <c r="B3" s="119" t="str">
        <f>変更履歴!B3</f>
        <v>受発注システム</v>
      </c>
      <c r="C3" s="120"/>
      <c r="D3" s="120"/>
      <c r="E3" s="120"/>
      <c r="F3" s="120"/>
      <c r="G3" s="120"/>
      <c r="H3" s="120" t="str">
        <f ca="1">変更履歴!H3</f>
        <v>SK0100</v>
      </c>
      <c r="I3" s="120"/>
      <c r="J3" s="120"/>
      <c r="K3" s="120"/>
      <c r="L3" s="120" t="str">
        <f>変更履歴!L3</f>
        <v>受発注</v>
      </c>
      <c r="M3" s="120"/>
      <c r="N3" s="120"/>
      <c r="O3" s="120"/>
      <c r="P3" s="120"/>
      <c r="Q3" s="120"/>
      <c r="R3" s="120" t="str">
        <f ca="1">変更履歴!R3</f>
        <v>帳票設計書</v>
      </c>
      <c r="S3" s="120"/>
      <c r="T3" s="120"/>
      <c r="U3" s="120"/>
      <c r="V3" s="120"/>
      <c r="W3" s="120"/>
      <c r="X3" s="124" t="str">
        <f ca="1">変更履歴!X3</f>
        <v>SK0100_買掛金元帳_帳票設計書</v>
      </c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1"/>
      <c r="AK3" s="124" t="str">
        <f ca="1">変更履歴!AK3</f>
        <v>買掛金元帳</v>
      </c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1"/>
      <c r="AX3" s="131">
        <f>変更履歴!AX3</f>
        <v>45583</v>
      </c>
      <c r="AY3" s="131"/>
      <c r="AZ3" s="131"/>
      <c r="BA3" s="131"/>
      <c r="BB3" s="120" t="str">
        <f>変更履歴!BB3</f>
        <v>大谷</v>
      </c>
      <c r="BC3" s="120"/>
      <c r="BD3" s="120"/>
      <c r="BE3" s="120"/>
      <c r="BF3" s="131">
        <f>変更履歴!BF3</f>
        <v>45583</v>
      </c>
      <c r="BG3" s="131"/>
      <c r="BH3" s="131"/>
      <c r="BI3" s="131"/>
      <c r="BJ3" s="120" t="str">
        <f>変更履歴!BJ3</f>
        <v>大谷</v>
      </c>
      <c r="BK3" s="120"/>
      <c r="BL3" s="120"/>
      <c r="BM3" s="132"/>
      <c r="BN3" s="15"/>
    </row>
    <row r="4" spans="1:85" ht="20.100000000000001" customHeight="1" thickBot="1" x14ac:dyDescent="0.5">
      <c r="A4" s="9"/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6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8"/>
      <c r="AK4" s="126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8"/>
      <c r="AX4" s="140"/>
      <c r="AY4" s="140"/>
      <c r="AZ4" s="140"/>
      <c r="BA4" s="140"/>
      <c r="BB4" s="122"/>
      <c r="BC4" s="122"/>
      <c r="BD4" s="122"/>
      <c r="BE4" s="122"/>
      <c r="BF4" s="140"/>
      <c r="BG4" s="140"/>
      <c r="BH4" s="140"/>
      <c r="BI4" s="140"/>
      <c r="BJ4" s="122"/>
      <c r="BK4" s="122"/>
      <c r="BL4" s="122"/>
      <c r="BM4" s="124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45</v>
      </c>
      <c r="D9" s="34"/>
      <c r="E9" s="34"/>
      <c r="F9" s="88" t="s">
        <v>51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18</v>
      </c>
      <c r="E10" s="165" t="s">
        <v>19</v>
      </c>
      <c r="F10" s="166"/>
      <c r="G10" s="166"/>
      <c r="H10" s="166"/>
      <c r="I10" s="166"/>
      <c r="J10" s="166"/>
      <c r="K10" s="166"/>
      <c r="L10" s="167"/>
      <c r="M10" s="144" t="s">
        <v>23</v>
      </c>
      <c r="N10" s="145"/>
      <c r="O10" s="145"/>
      <c r="P10" s="144" t="s">
        <v>32</v>
      </c>
      <c r="Q10" s="145"/>
      <c r="R10" s="145"/>
      <c r="S10" s="144" t="s">
        <v>33</v>
      </c>
      <c r="T10" s="145"/>
      <c r="U10" s="145"/>
      <c r="V10" s="144" t="s">
        <v>35</v>
      </c>
      <c r="W10" s="145"/>
      <c r="X10" s="145"/>
      <c r="Y10" s="145"/>
      <c r="Z10" s="145"/>
      <c r="AA10" s="146"/>
      <c r="AB10" s="144" t="s">
        <v>34</v>
      </c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6"/>
      <c r="AR10" s="144" t="s">
        <v>41</v>
      </c>
      <c r="AS10" s="145"/>
      <c r="AT10" s="145"/>
      <c r="AU10" s="145"/>
      <c r="AV10" s="145"/>
      <c r="AW10" s="146"/>
      <c r="AX10" s="144" t="s">
        <v>42</v>
      </c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59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62" t="s">
        <v>369</v>
      </c>
      <c r="F11" s="163"/>
      <c r="G11" s="163"/>
      <c r="H11" s="163"/>
      <c r="I11" s="163"/>
      <c r="J11" s="163"/>
      <c r="K11" s="163"/>
      <c r="L11" s="164"/>
      <c r="M11" s="139" t="s">
        <v>7</v>
      </c>
      <c r="N11" s="134"/>
      <c r="O11" s="134"/>
      <c r="P11" s="139" t="s">
        <v>82</v>
      </c>
      <c r="Q11" s="134"/>
      <c r="R11" s="134"/>
      <c r="S11" s="139"/>
      <c r="T11" s="134"/>
      <c r="U11" s="134"/>
      <c r="V11" s="156" t="s">
        <v>370</v>
      </c>
      <c r="W11" s="157"/>
      <c r="X11" s="157"/>
      <c r="Y11" s="157"/>
      <c r="Z11" s="157"/>
      <c r="AA11" s="160"/>
      <c r="AB11" s="147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9"/>
      <c r="AR11" s="139" t="s">
        <v>85</v>
      </c>
      <c r="AS11" s="134"/>
      <c r="AT11" s="134"/>
      <c r="AU11" s="134"/>
      <c r="AV11" s="134"/>
      <c r="AW11" s="135"/>
      <c r="AX11" s="156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8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62" t="s">
        <v>371</v>
      </c>
      <c r="F12" s="163"/>
      <c r="G12" s="163"/>
      <c r="H12" s="163"/>
      <c r="I12" s="163"/>
      <c r="J12" s="163"/>
      <c r="K12" s="163"/>
      <c r="L12" s="164"/>
      <c r="M12" s="139" t="s">
        <v>46</v>
      </c>
      <c r="N12" s="134"/>
      <c r="O12" s="134"/>
      <c r="P12" s="139" t="s">
        <v>82</v>
      </c>
      <c r="Q12" s="134"/>
      <c r="R12" s="134"/>
      <c r="S12" s="139"/>
      <c r="T12" s="134"/>
      <c r="U12" s="134"/>
      <c r="V12" s="156" t="s">
        <v>385</v>
      </c>
      <c r="W12" s="157"/>
      <c r="X12" s="157"/>
      <c r="Y12" s="157"/>
      <c r="Z12" s="157"/>
      <c r="AA12" s="160"/>
      <c r="AB12" s="147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9"/>
      <c r="AR12" s="139" t="s">
        <v>86</v>
      </c>
      <c r="AS12" s="134"/>
      <c r="AT12" s="134"/>
      <c r="AU12" s="134"/>
      <c r="AV12" s="134"/>
      <c r="AW12" s="135"/>
      <c r="AX12" s="156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8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62" t="s">
        <v>372</v>
      </c>
      <c r="F13" s="163"/>
      <c r="G13" s="163"/>
      <c r="H13" s="163"/>
      <c r="I13" s="163"/>
      <c r="J13" s="163"/>
      <c r="K13" s="163"/>
      <c r="L13" s="164"/>
      <c r="M13" s="139" t="s">
        <v>37</v>
      </c>
      <c r="N13" s="134"/>
      <c r="O13" s="134"/>
      <c r="P13" s="139" t="s">
        <v>83</v>
      </c>
      <c r="Q13" s="134"/>
      <c r="R13" s="134"/>
      <c r="S13" s="139"/>
      <c r="T13" s="134"/>
      <c r="U13" s="134"/>
      <c r="V13" s="156" t="s">
        <v>386</v>
      </c>
      <c r="W13" s="157"/>
      <c r="X13" s="157"/>
      <c r="Y13" s="157"/>
      <c r="Z13" s="157"/>
      <c r="AA13" s="160"/>
      <c r="AB13" s="147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9"/>
      <c r="AR13" s="139"/>
      <c r="AS13" s="134"/>
      <c r="AT13" s="134"/>
      <c r="AU13" s="134"/>
      <c r="AV13" s="134"/>
      <c r="AW13" s="135"/>
      <c r="AX13" s="156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8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62" t="s">
        <v>373</v>
      </c>
      <c r="F14" s="163"/>
      <c r="G14" s="163"/>
      <c r="H14" s="163"/>
      <c r="I14" s="163"/>
      <c r="J14" s="163"/>
      <c r="K14" s="163"/>
      <c r="L14" s="164"/>
      <c r="M14" s="139" t="s">
        <v>37</v>
      </c>
      <c r="N14" s="134"/>
      <c r="O14" s="134"/>
      <c r="P14" s="139" t="s">
        <v>83</v>
      </c>
      <c r="Q14" s="134"/>
      <c r="R14" s="134"/>
      <c r="S14" s="139"/>
      <c r="T14" s="134"/>
      <c r="U14" s="134"/>
      <c r="V14" s="156" t="s">
        <v>387</v>
      </c>
      <c r="W14" s="157"/>
      <c r="X14" s="157"/>
      <c r="Y14" s="157"/>
      <c r="Z14" s="157"/>
      <c r="AA14" s="160"/>
      <c r="AB14" s="147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9"/>
      <c r="AR14" s="139"/>
      <c r="AS14" s="134"/>
      <c r="AT14" s="134"/>
      <c r="AU14" s="134"/>
      <c r="AV14" s="134"/>
      <c r="AW14" s="135"/>
      <c r="AX14" s="156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8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62" t="s">
        <v>374</v>
      </c>
      <c r="F15" s="163"/>
      <c r="G15" s="163"/>
      <c r="H15" s="163"/>
      <c r="I15" s="163"/>
      <c r="J15" s="163"/>
      <c r="K15" s="163"/>
      <c r="L15" s="164"/>
      <c r="M15" s="139" t="s">
        <v>37</v>
      </c>
      <c r="N15" s="134"/>
      <c r="O15" s="134"/>
      <c r="P15" s="139" t="s">
        <v>83</v>
      </c>
      <c r="Q15" s="134"/>
      <c r="R15" s="134"/>
      <c r="S15" s="139"/>
      <c r="T15" s="134"/>
      <c r="U15" s="134"/>
      <c r="V15" s="156" t="s">
        <v>397</v>
      </c>
      <c r="W15" s="157"/>
      <c r="X15" s="157"/>
      <c r="Y15" s="157"/>
      <c r="Z15" s="157"/>
      <c r="AA15" s="160"/>
      <c r="AB15" s="147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9"/>
      <c r="AR15" s="139"/>
      <c r="AS15" s="134"/>
      <c r="AT15" s="134"/>
      <c r="AU15" s="134"/>
      <c r="AV15" s="134"/>
      <c r="AW15" s="135"/>
      <c r="AX15" s="156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8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62" t="s">
        <v>375</v>
      </c>
      <c r="F16" s="163"/>
      <c r="G16" s="163"/>
      <c r="H16" s="163"/>
      <c r="I16" s="163"/>
      <c r="J16" s="163"/>
      <c r="K16" s="163"/>
      <c r="L16" s="164"/>
      <c r="M16" s="139" t="s">
        <v>37</v>
      </c>
      <c r="N16" s="134"/>
      <c r="O16" s="134"/>
      <c r="P16" s="139" t="s">
        <v>83</v>
      </c>
      <c r="Q16" s="134"/>
      <c r="R16" s="134"/>
      <c r="S16" s="139"/>
      <c r="T16" s="134"/>
      <c r="U16" s="134"/>
      <c r="V16" s="156" t="s">
        <v>398</v>
      </c>
      <c r="W16" s="157"/>
      <c r="X16" s="157"/>
      <c r="Y16" s="157"/>
      <c r="Z16" s="157"/>
      <c r="AA16" s="160"/>
      <c r="AB16" s="147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9"/>
      <c r="AR16" s="139"/>
      <c r="AS16" s="134"/>
      <c r="AT16" s="134"/>
      <c r="AU16" s="134"/>
      <c r="AV16" s="134"/>
      <c r="AW16" s="135"/>
      <c r="AX16" s="156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  <c r="BT16" s="158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62" t="s">
        <v>376</v>
      </c>
      <c r="F17" s="163"/>
      <c r="G17" s="163"/>
      <c r="H17" s="163"/>
      <c r="I17" s="163"/>
      <c r="J17" s="163"/>
      <c r="K17" s="163"/>
      <c r="L17" s="164"/>
      <c r="M17" s="139" t="s">
        <v>46</v>
      </c>
      <c r="N17" s="134"/>
      <c r="O17" s="134"/>
      <c r="P17" s="139" t="s">
        <v>82</v>
      </c>
      <c r="Q17" s="134"/>
      <c r="R17" s="134"/>
      <c r="S17" s="139"/>
      <c r="T17" s="134"/>
      <c r="U17" s="134"/>
      <c r="V17" s="156" t="s">
        <v>388</v>
      </c>
      <c r="W17" s="157"/>
      <c r="X17" s="157"/>
      <c r="Y17" s="157"/>
      <c r="Z17" s="157"/>
      <c r="AA17" s="160"/>
      <c r="AB17" s="147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9"/>
      <c r="AR17" s="139"/>
      <c r="AS17" s="134"/>
      <c r="AT17" s="134"/>
      <c r="AU17" s="134"/>
      <c r="AV17" s="134"/>
      <c r="AW17" s="135"/>
      <c r="AX17" s="156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62" t="s">
        <v>377</v>
      </c>
      <c r="F18" s="163"/>
      <c r="G18" s="163"/>
      <c r="H18" s="163"/>
      <c r="I18" s="163"/>
      <c r="J18" s="163"/>
      <c r="K18" s="163"/>
      <c r="L18" s="164"/>
      <c r="M18" s="139" t="s">
        <v>46</v>
      </c>
      <c r="N18" s="134"/>
      <c r="O18" s="134"/>
      <c r="P18" s="139" t="s">
        <v>82</v>
      </c>
      <c r="Q18" s="134"/>
      <c r="R18" s="134"/>
      <c r="S18" s="139"/>
      <c r="T18" s="134"/>
      <c r="U18" s="134"/>
      <c r="V18" s="156" t="s">
        <v>389</v>
      </c>
      <c r="W18" s="157"/>
      <c r="X18" s="157"/>
      <c r="Y18" s="157"/>
      <c r="Z18" s="157"/>
      <c r="AA18" s="160"/>
      <c r="AB18" s="147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9"/>
      <c r="AR18" s="139" t="s">
        <v>87</v>
      </c>
      <c r="AS18" s="134"/>
      <c r="AT18" s="134"/>
      <c r="AU18" s="134"/>
      <c r="AV18" s="134"/>
      <c r="AW18" s="135"/>
      <c r="AX18" s="156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57"/>
      <c r="BP18" s="157"/>
      <c r="BQ18" s="157"/>
      <c r="BR18" s="157"/>
      <c r="BS18" s="157"/>
      <c r="BT18" s="158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62" t="s">
        <v>59</v>
      </c>
      <c r="F19" s="163"/>
      <c r="G19" s="163"/>
      <c r="H19" s="163"/>
      <c r="I19" s="163"/>
      <c r="J19" s="163"/>
      <c r="K19" s="163"/>
      <c r="L19" s="164"/>
      <c r="M19" s="139" t="s">
        <v>7</v>
      </c>
      <c r="N19" s="134"/>
      <c r="O19" s="134"/>
      <c r="P19" s="139" t="s">
        <v>82</v>
      </c>
      <c r="Q19" s="134"/>
      <c r="R19" s="134"/>
      <c r="S19" s="139"/>
      <c r="T19" s="134"/>
      <c r="U19" s="134"/>
      <c r="V19" s="156" t="s">
        <v>399</v>
      </c>
      <c r="W19" s="157"/>
      <c r="X19" s="157"/>
      <c r="Y19" s="157"/>
      <c r="Z19" s="157"/>
      <c r="AA19" s="160"/>
      <c r="AB19" s="147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9"/>
      <c r="AR19" s="139"/>
      <c r="AS19" s="134"/>
      <c r="AT19" s="134"/>
      <c r="AU19" s="134"/>
      <c r="AV19" s="134"/>
      <c r="AW19" s="135"/>
      <c r="AX19" s="156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  <c r="BM19" s="157"/>
      <c r="BN19" s="157"/>
      <c r="BO19" s="157"/>
      <c r="BP19" s="157"/>
      <c r="BQ19" s="157"/>
      <c r="BR19" s="157"/>
      <c r="BS19" s="157"/>
      <c r="BT19" s="158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62" t="s">
        <v>60</v>
      </c>
      <c r="F20" s="163"/>
      <c r="G20" s="163"/>
      <c r="H20" s="163"/>
      <c r="I20" s="163"/>
      <c r="J20" s="163"/>
      <c r="K20" s="163"/>
      <c r="L20" s="164"/>
      <c r="M20" s="139" t="s">
        <v>7</v>
      </c>
      <c r="N20" s="134"/>
      <c r="O20" s="134"/>
      <c r="P20" s="139" t="s">
        <v>82</v>
      </c>
      <c r="Q20" s="134"/>
      <c r="R20" s="134"/>
      <c r="S20" s="139"/>
      <c r="T20" s="134"/>
      <c r="U20" s="134"/>
      <c r="V20" s="156" t="s">
        <v>400</v>
      </c>
      <c r="W20" s="157"/>
      <c r="X20" s="157"/>
      <c r="Y20" s="157"/>
      <c r="Z20" s="157"/>
      <c r="AA20" s="160"/>
      <c r="AB20" s="147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9"/>
      <c r="AR20" s="139"/>
      <c r="AS20" s="134"/>
      <c r="AT20" s="134"/>
      <c r="AU20" s="134"/>
      <c r="AV20" s="134"/>
      <c r="AW20" s="135"/>
      <c r="AX20" s="156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57"/>
      <c r="BP20" s="157"/>
      <c r="BQ20" s="157"/>
      <c r="BR20" s="157"/>
      <c r="BS20" s="157"/>
      <c r="BT20" s="158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62" t="s">
        <v>61</v>
      </c>
      <c r="F21" s="163"/>
      <c r="G21" s="163"/>
      <c r="H21" s="163"/>
      <c r="I21" s="163"/>
      <c r="J21" s="163"/>
      <c r="K21" s="163"/>
      <c r="L21" s="164"/>
      <c r="M21" s="139" t="s">
        <v>46</v>
      </c>
      <c r="N21" s="134"/>
      <c r="O21" s="134"/>
      <c r="P21" s="139" t="s">
        <v>82</v>
      </c>
      <c r="Q21" s="134"/>
      <c r="R21" s="134"/>
      <c r="S21" s="139"/>
      <c r="T21" s="134"/>
      <c r="U21" s="134"/>
      <c r="V21" s="156" t="s">
        <v>390</v>
      </c>
      <c r="W21" s="157"/>
      <c r="X21" s="157"/>
      <c r="Y21" s="157"/>
      <c r="Z21" s="157"/>
      <c r="AA21" s="160"/>
      <c r="AB21" s="147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9"/>
      <c r="AR21" s="139">
        <v>9999</v>
      </c>
      <c r="AS21" s="134"/>
      <c r="AT21" s="134"/>
      <c r="AU21" s="134"/>
      <c r="AV21" s="134"/>
      <c r="AW21" s="135"/>
      <c r="AX21" s="156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  <c r="BM21" s="157"/>
      <c r="BN21" s="157"/>
      <c r="BO21" s="157"/>
      <c r="BP21" s="157"/>
      <c r="BQ21" s="157"/>
      <c r="BR21" s="157"/>
      <c r="BS21" s="157"/>
      <c r="BT21" s="158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62" t="s">
        <v>378</v>
      </c>
      <c r="F22" s="163"/>
      <c r="G22" s="163"/>
      <c r="H22" s="163"/>
      <c r="I22" s="163"/>
      <c r="J22" s="163"/>
      <c r="K22" s="163"/>
      <c r="L22" s="164"/>
      <c r="M22" s="139" t="s">
        <v>46</v>
      </c>
      <c r="N22" s="134"/>
      <c r="O22" s="134"/>
      <c r="P22" s="139" t="s">
        <v>82</v>
      </c>
      <c r="Q22" s="134"/>
      <c r="R22" s="134"/>
      <c r="S22" s="139"/>
      <c r="T22" s="134"/>
      <c r="U22" s="134"/>
      <c r="V22" s="156" t="s">
        <v>404</v>
      </c>
      <c r="W22" s="157"/>
      <c r="X22" s="157"/>
      <c r="Y22" s="157"/>
      <c r="Z22" s="157"/>
      <c r="AA22" s="160"/>
      <c r="AB22" s="147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9"/>
      <c r="AR22" s="139">
        <v>9999</v>
      </c>
      <c r="AS22" s="134"/>
      <c r="AT22" s="134"/>
      <c r="AU22" s="134"/>
      <c r="AV22" s="134"/>
      <c r="AW22" s="135"/>
      <c r="AX22" s="156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157"/>
      <c r="BK22" s="157"/>
      <c r="BL22" s="157"/>
      <c r="BM22" s="157"/>
      <c r="BN22" s="157"/>
      <c r="BO22" s="157"/>
      <c r="BP22" s="157"/>
      <c r="BQ22" s="157"/>
      <c r="BR22" s="157"/>
      <c r="BS22" s="157"/>
      <c r="BT22" s="158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62" t="s">
        <v>62</v>
      </c>
      <c r="F23" s="163"/>
      <c r="G23" s="163"/>
      <c r="H23" s="163"/>
      <c r="I23" s="163"/>
      <c r="J23" s="163"/>
      <c r="K23" s="163"/>
      <c r="L23" s="164"/>
      <c r="M23" s="139" t="s">
        <v>46</v>
      </c>
      <c r="N23" s="134"/>
      <c r="O23" s="134"/>
      <c r="P23" s="139" t="s">
        <v>82</v>
      </c>
      <c r="Q23" s="134"/>
      <c r="R23" s="134"/>
      <c r="S23" s="139"/>
      <c r="T23" s="134"/>
      <c r="U23" s="134"/>
      <c r="V23" s="156" t="s">
        <v>391</v>
      </c>
      <c r="W23" s="157"/>
      <c r="X23" s="157"/>
      <c r="Y23" s="157"/>
      <c r="Z23" s="157"/>
      <c r="AA23" s="160"/>
      <c r="AB23" s="147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9"/>
      <c r="AR23" s="139">
        <v>9999</v>
      </c>
      <c r="AS23" s="134"/>
      <c r="AT23" s="134"/>
      <c r="AU23" s="134"/>
      <c r="AV23" s="134"/>
      <c r="AW23" s="135"/>
      <c r="AX23" s="156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157"/>
      <c r="BK23" s="157"/>
      <c r="BL23" s="157"/>
      <c r="BM23" s="157"/>
      <c r="BN23" s="157"/>
      <c r="BO23" s="157"/>
      <c r="BP23" s="157"/>
      <c r="BQ23" s="157"/>
      <c r="BR23" s="157"/>
      <c r="BS23" s="157"/>
      <c r="BT23" s="158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62" t="s">
        <v>63</v>
      </c>
      <c r="F24" s="163"/>
      <c r="G24" s="163"/>
      <c r="H24" s="163"/>
      <c r="I24" s="163"/>
      <c r="J24" s="163"/>
      <c r="K24" s="163"/>
      <c r="L24" s="164"/>
      <c r="M24" s="139" t="s">
        <v>46</v>
      </c>
      <c r="N24" s="134"/>
      <c r="O24" s="134"/>
      <c r="P24" s="139" t="s">
        <v>82</v>
      </c>
      <c r="Q24" s="134"/>
      <c r="R24" s="134"/>
      <c r="S24" s="139"/>
      <c r="T24" s="134"/>
      <c r="U24" s="134"/>
      <c r="V24" s="156" t="s">
        <v>401</v>
      </c>
      <c r="W24" s="157"/>
      <c r="X24" s="157"/>
      <c r="Y24" s="157"/>
      <c r="Z24" s="157"/>
      <c r="AA24" s="160"/>
      <c r="AB24" s="147" t="s">
        <v>402</v>
      </c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9"/>
      <c r="AR24" s="139">
        <v>9999</v>
      </c>
      <c r="AS24" s="134"/>
      <c r="AT24" s="134"/>
      <c r="AU24" s="134"/>
      <c r="AV24" s="134"/>
      <c r="AW24" s="135"/>
      <c r="AX24" s="156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/>
      <c r="BJ24" s="157"/>
      <c r="BK24" s="157"/>
      <c r="BL24" s="157"/>
      <c r="BM24" s="157"/>
      <c r="BN24" s="157"/>
      <c r="BO24" s="157"/>
      <c r="BP24" s="157"/>
      <c r="BQ24" s="157"/>
      <c r="BR24" s="157"/>
      <c r="BS24" s="157"/>
      <c r="BT24" s="158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62" t="s">
        <v>379</v>
      </c>
      <c r="F25" s="163"/>
      <c r="G25" s="163"/>
      <c r="H25" s="163"/>
      <c r="I25" s="163"/>
      <c r="J25" s="163"/>
      <c r="K25" s="163"/>
      <c r="L25" s="164"/>
      <c r="M25" s="139" t="s">
        <v>46</v>
      </c>
      <c r="N25" s="134"/>
      <c r="O25" s="134"/>
      <c r="P25" s="139" t="s">
        <v>82</v>
      </c>
      <c r="Q25" s="134"/>
      <c r="R25" s="134"/>
      <c r="S25" s="139"/>
      <c r="T25" s="134"/>
      <c r="U25" s="134"/>
      <c r="V25" s="156" t="s">
        <v>403</v>
      </c>
      <c r="W25" s="157"/>
      <c r="X25" s="157"/>
      <c r="Y25" s="157"/>
      <c r="Z25" s="157"/>
      <c r="AA25" s="160"/>
      <c r="AB25" s="147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9"/>
      <c r="AR25" s="139">
        <v>9999</v>
      </c>
      <c r="AS25" s="134"/>
      <c r="AT25" s="134"/>
      <c r="AU25" s="134"/>
      <c r="AV25" s="134"/>
      <c r="AW25" s="135"/>
      <c r="AX25" s="156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157"/>
      <c r="BK25" s="157"/>
      <c r="BL25" s="157"/>
      <c r="BM25" s="157"/>
      <c r="BN25" s="157"/>
      <c r="BO25" s="157"/>
      <c r="BP25" s="157"/>
      <c r="BQ25" s="157"/>
      <c r="BR25" s="157"/>
      <c r="BS25" s="157"/>
      <c r="BT25" s="158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62" t="s">
        <v>64</v>
      </c>
      <c r="F26" s="163"/>
      <c r="G26" s="163"/>
      <c r="H26" s="163"/>
      <c r="I26" s="163"/>
      <c r="J26" s="163"/>
      <c r="K26" s="163"/>
      <c r="L26" s="164"/>
      <c r="M26" s="139" t="s">
        <v>46</v>
      </c>
      <c r="N26" s="134"/>
      <c r="O26" s="134"/>
      <c r="P26" s="139" t="s">
        <v>82</v>
      </c>
      <c r="Q26" s="134"/>
      <c r="R26" s="134"/>
      <c r="S26" s="139"/>
      <c r="T26" s="134"/>
      <c r="U26" s="134"/>
      <c r="V26" s="156" t="s">
        <v>392</v>
      </c>
      <c r="W26" s="157"/>
      <c r="X26" s="157"/>
      <c r="Y26" s="157"/>
      <c r="Z26" s="157"/>
      <c r="AA26" s="160"/>
      <c r="AB26" s="147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9"/>
      <c r="AR26" s="139">
        <v>9999</v>
      </c>
      <c r="AS26" s="134"/>
      <c r="AT26" s="134"/>
      <c r="AU26" s="134"/>
      <c r="AV26" s="134"/>
      <c r="AW26" s="135"/>
      <c r="AX26" s="156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7"/>
      <c r="BJ26" s="157"/>
      <c r="BK26" s="157"/>
      <c r="BL26" s="157"/>
      <c r="BM26" s="157"/>
      <c r="BN26" s="157"/>
      <c r="BO26" s="157"/>
      <c r="BP26" s="157"/>
      <c r="BQ26" s="157"/>
      <c r="BR26" s="157"/>
      <c r="BS26" s="157"/>
      <c r="BT26" s="158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62" t="s">
        <v>65</v>
      </c>
      <c r="F27" s="163"/>
      <c r="G27" s="163"/>
      <c r="H27" s="163"/>
      <c r="I27" s="163"/>
      <c r="J27" s="163"/>
      <c r="K27" s="163"/>
      <c r="L27" s="164"/>
      <c r="M27" s="139" t="s">
        <v>46</v>
      </c>
      <c r="N27" s="134"/>
      <c r="O27" s="134"/>
      <c r="P27" s="139" t="s">
        <v>82</v>
      </c>
      <c r="Q27" s="134"/>
      <c r="R27" s="134"/>
      <c r="S27" s="139"/>
      <c r="T27" s="134"/>
      <c r="U27" s="134"/>
      <c r="V27" s="156" t="s">
        <v>393</v>
      </c>
      <c r="W27" s="157"/>
      <c r="X27" s="157"/>
      <c r="Y27" s="157"/>
      <c r="Z27" s="157"/>
      <c r="AA27" s="160"/>
      <c r="AB27" s="147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9"/>
      <c r="AR27" s="139">
        <v>9999</v>
      </c>
      <c r="AS27" s="134"/>
      <c r="AT27" s="134"/>
      <c r="AU27" s="134"/>
      <c r="AV27" s="134"/>
      <c r="AW27" s="135"/>
      <c r="AX27" s="156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8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62" t="s">
        <v>66</v>
      </c>
      <c r="F28" s="163"/>
      <c r="G28" s="163"/>
      <c r="H28" s="163"/>
      <c r="I28" s="163"/>
      <c r="J28" s="163"/>
      <c r="K28" s="163"/>
      <c r="L28" s="164"/>
      <c r="M28" s="139" t="s">
        <v>46</v>
      </c>
      <c r="N28" s="134"/>
      <c r="O28" s="134"/>
      <c r="P28" s="139" t="s">
        <v>82</v>
      </c>
      <c r="Q28" s="134"/>
      <c r="R28" s="134"/>
      <c r="S28" s="139"/>
      <c r="T28" s="134"/>
      <c r="U28" s="134"/>
      <c r="V28" s="156" t="s">
        <v>394</v>
      </c>
      <c r="W28" s="157"/>
      <c r="X28" s="157"/>
      <c r="Y28" s="157"/>
      <c r="Z28" s="157"/>
      <c r="AA28" s="160"/>
      <c r="AB28" s="147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9"/>
      <c r="AR28" s="139">
        <v>9999</v>
      </c>
      <c r="AS28" s="134"/>
      <c r="AT28" s="134"/>
      <c r="AU28" s="134"/>
      <c r="AV28" s="134"/>
      <c r="AW28" s="135"/>
      <c r="AX28" s="156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7"/>
      <c r="BN28" s="157"/>
      <c r="BO28" s="157"/>
      <c r="BP28" s="157"/>
      <c r="BQ28" s="157"/>
      <c r="BR28" s="157"/>
      <c r="BS28" s="157"/>
      <c r="BT28" s="158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62" t="s">
        <v>380</v>
      </c>
      <c r="F29" s="163"/>
      <c r="G29" s="163"/>
      <c r="H29" s="163"/>
      <c r="I29" s="163"/>
      <c r="J29" s="163"/>
      <c r="K29" s="163"/>
      <c r="L29" s="164"/>
      <c r="M29" s="139" t="s">
        <v>46</v>
      </c>
      <c r="N29" s="134"/>
      <c r="O29" s="134"/>
      <c r="P29" s="139" t="s">
        <v>82</v>
      </c>
      <c r="Q29" s="134"/>
      <c r="R29" s="134"/>
      <c r="S29" s="139"/>
      <c r="T29" s="134"/>
      <c r="U29" s="134"/>
      <c r="V29" s="156" t="s">
        <v>405</v>
      </c>
      <c r="W29" s="157"/>
      <c r="X29" s="157"/>
      <c r="Y29" s="157"/>
      <c r="Z29" s="157"/>
      <c r="AA29" s="160"/>
      <c r="AB29" s="147" t="s">
        <v>406</v>
      </c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9"/>
      <c r="AR29" s="139">
        <v>9999</v>
      </c>
      <c r="AS29" s="134"/>
      <c r="AT29" s="134"/>
      <c r="AU29" s="134"/>
      <c r="AV29" s="134"/>
      <c r="AW29" s="135"/>
      <c r="AX29" s="156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8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168" t="s">
        <v>67</v>
      </c>
      <c r="F30" s="169"/>
      <c r="G30" s="169"/>
      <c r="H30" s="169"/>
      <c r="I30" s="169"/>
      <c r="J30" s="169"/>
      <c r="K30" s="169"/>
      <c r="L30" s="170"/>
      <c r="M30" s="141" t="s">
        <v>46</v>
      </c>
      <c r="N30" s="142"/>
      <c r="O30" s="143"/>
      <c r="P30" s="141" t="s">
        <v>82</v>
      </c>
      <c r="Q30" s="142"/>
      <c r="R30" s="142"/>
      <c r="S30" s="141"/>
      <c r="T30" s="142"/>
      <c r="U30" s="142"/>
      <c r="V30" s="153" t="s">
        <v>395</v>
      </c>
      <c r="W30" s="154"/>
      <c r="X30" s="154"/>
      <c r="Y30" s="154"/>
      <c r="Z30" s="154"/>
      <c r="AA30" s="161"/>
      <c r="AB30" s="150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2"/>
      <c r="AR30" s="141">
        <v>9999</v>
      </c>
      <c r="AS30" s="142"/>
      <c r="AT30" s="142"/>
      <c r="AU30" s="142"/>
      <c r="AV30" s="142"/>
      <c r="AW30" s="143"/>
      <c r="AX30" s="153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5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30"/>
      <c r="B31" s="44"/>
      <c r="C31" s="32"/>
      <c r="D31" s="37">
        <v>21</v>
      </c>
      <c r="E31" s="162" t="s">
        <v>68</v>
      </c>
      <c r="F31" s="163"/>
      <c r="G31" s="163"/>
      <c r="H31" s="163"/>
      <c r="I31" s="163"/>
      <c r="J31" s="163"/>
      <c r="K31" s="163"/>
      <c r="L31" s="164"/>
      <c r="M31" s="139" t="s">
        <v>7</v>
      </c>
      <c r="N31" s="134"/>
      <c r="O31" s="134"/>
      <c r="P31" s="139" t="s">
        <v>82</v>
      </c>
      <c r="Q31" s="134"/>
      <c r="R31" s="134"/>
      <c r="S31" s="139"/>
      <c r="T31" s="134"/>
      <c r="U31" s="134"/>
      <c r="V31" s="156" t="s">
        <v>408</v>
      </c>
      <c r="W31" s="157"/>
      <c r="X31" s="157"/>
      <c r="Y31" s="157"/>
      <c r="Z31" s="157"/>
      <c r="AA31" s="160"/>
      <c r="AB31" s="147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9"/>
      <c r="AR31" s="139" t="s">
        <v>88</v>
      </c>
      <c r="AS31" s="134"/>
      <c r="AT31" s="134"/>
      <c r="AU31" s="134"/>
      <c r="AV31" s="134"/>
      <c r="AW31" s="135"/>
      <c r="AX31" s="156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8"/>
      <c r="BU31" s="41"/>
      <c r="BV31" s="40"/>
      <c r="BW31" s="41"/>
      <c r="BX31" s="41"/>
      <c r="BY31" s="41"/>
      <c r="BZ31" s="41"/>
      <c r="CA31" s="41"/>
      <c r="CB31" s="30"/>
      <c r="CC31" s="30"/>
      <c r="CD31" s="30"/>
      <c r="CE31" s="30"/>
      <c r="CF31" s="30"/>
      <c r="CG31" s="30"/>
    </row>
    <row r="32" spans="1:85" s="5" customFormat="1" ht="20.100000000000001" customHeight="1" x14ac:dyDescent="0.45">
      <c r="A32" s="30"/>
      <c r="B32" s="44"/>
      <c r="C32" s="32"/>
      <c r="D32" s="37">
        <v>22</v>
      </c>
      <c r="E32" s="162" t="s">
        <v>69</v>
      </c>
      <c r="F32" s="163"/>
      <c r="G32" s="163"/>
      <c r="H32" s="163"/>
      <c r="I32" s="163"/>
      <c r="J32" s="163"/>
      <c r="K32" s="163"/>
      <c r="L32" s="164"/>
      <c r="M32" s="139" t="s">
        <v>46</v>
      </c>
      <c r="N32" s="134"/>
      <c r="O32" s="134"/>
      <c r="P32" s="139" t="s">
        <v>82</v>
      </c>
      <c r="Q32" s="134"/>
      <c r="R32" s="134"/>
      <c r="S32" s="139"/>
      <c r="T32" s="134"/>
      <c r="U32" s="134"/>
      <c r="V32" s="156" t="s">
        <v>409</v>
      </c>
      <c r="W32" s="157"/>
      <c r="X32" s="157"/>
      <c r="Y32" s="157"/>
      <c r="Z32" s="157"/>
      <c r="AA32" s="160"/>
      <c r="AB32" s="147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9"/>
      <c r="AR32" s="139"/>
      <c r="AS32" s="134"/>
      <c r="AT32" s="134"/>
      <c r="AU32" s="134"/>
      <c r="AV32" s="134"/>
      <c r="AW32" s="135"/>
      <c r="AX32" s="156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7"/>
      <c r="BN32" s="157"/>
      <c r="BO32" s="157"/>
      <c r="BP32" s="157"/>
      <c r="BQ32" s="157"/>
      <c r="BR32" s="157"/>
      <c r="BS32" s="157"/>
      <c r="BT32" s="158"/>
      <c r="BU32" s="41"/>
      <c r="BV32" s="40"/>
      <c r="BW32" s="41"/>
      <c r="BX32" s="41"/>
      <c r="BY32" s="41"/>
      <c r="BZ32" s="41"/>
      <c r="CA32" s="41"/>
      <c r="CB32" s="30"/>
      <c r="CC32" s="30"/>
      <c r="CD32" s="30"/>
      <c r="CE32" s="30"/>
      <c r="CF32" s="30"/>
      <c r="CG32" s="30"/>
    </row>
    <row r="33" spans="1:85" s="5" customFormat="1" ht="20.100000000000001" customHeight="1" x14ac:dyDescent="0.45">
      <c r="A33" s="30"/>
      <c r="B33" s="44"/>
      <c r="C33" s="36"/>
      <c r="D33" s="37">
        <v>23</v>
      </c>
      <c r="E33" s="162" t="s">
        <v>70</v>
      </c>
      <c r="F33" s="163"/>
      <c r="G33" s="163"/>
      <c r="H33" s="163"/>
      <c r="I33" s="163"/>
      <c r="J33" s="163"/>
      <c r="K33" s="163"/>
      <c r="L33" s="164"/>
      <c r="M33" s="139" t="s">
        <v>37</v>
      </c>
      <c r="N33" s="134"/>
      <c r="O33" s="134"/>
      <c r="P33" s="139" t="s">
        <v>83</v>
      </c>
      <c r="Q33" s="134"/>
      <c r="R33" s="134"/>
      <c r="S33" s="139"/>
      <c r="T33" s="134"/>
      <c r="U33" s="134"/>
      <c r="V33" s="156" t="s">
        <v>84</v>
      </c>
      <c r="W33" s="157"/>
      <c r="X33" s="157"/>
      <c r="Y33" s="157"/>
      <c r="Z33" s="157"/>
      <c r="AA33" s="160"/>
      <c r="AB33" s="147" t="s">
        <v>407</v>
      </c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9"/>
      <c r="AR33" s="139"/>
      <c r="AS33" s="134"/>
      <c r="AT33" s="134"/>
      <c r="AU33" s="134"/>
      <c r="AV33" s="134"/>
      <c r="AW33" s="135"/>
      <c r="AX33" s="156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8"/>
      <c r="BU33" s="41"/>
      <c r="BV33" s="40"/>
      <c r="BW33" s="41"/>
      <c r="BX33" s="41"/>
      <c r="BY33" s="41"/>
      <c r="BZ33" s="41"/>
      <c r="CA33" s="41"/>
      <c r="CB33" s="41"/>
      <c r="CC33" s="30"/>
      <c r="CD33" s="30"/>
      <c r="CE33" s="30"/>
      <c r="CF33" s="30"/>
      <c r="CG33" s="30"/>
    </row>
    <row r="34" spans="1:85" s="5" customFormat="1" ht="20.100000000000001" customHeight="1" x14ac:dyDescent="0.45">
      <c r="A34" s="30"/>
      <c r="B34" s="44"/>
      <c r="C34" s="36"/>
      <c r="D34" s="37">
        <v>24</v>
      </c>
      <c r="E34" s="162" t="s">
        <v>71</v>
      </c>
      <c r="F34" s="163"/>
      <c r="G34" s="163"/>
      <c r="H34" s="163"/>
      <c r="I34" s="163"/>
      <c r="J34" s="163"/>
      <c r="K34" s="163"/>
      <c r="L34" s="164"/>
      <c r="M34" s="139" t="s">
        <v>37</v>
      </c>
      <c r="N34" s="134"/>
      <c r="O34" s="134"/>
      <c r="P34" s="139" t="s">
        <v>83</v>
      </c>
      <c r="Q34" s="134"/>
      <c r="R34" s="134"/>
      <c r="S34" s="139"/>
      <c r="T34" s="134"/>
      <c r="U34" s="134"/>
      <c r="V34" s="156" t="s">
        <v>410</v>
      </c>
      <c r="W34" s="157"/>
      <c r="X34" s="157"/>
      <c r="Y34" s="157"/>
      <c r="Z34" s="157"/>
      <c r="AA34" s="160"/>
      <c r="AB34" s="147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9"/>
      <c r="AR34" s="139"/>
      <c r="AS34" s="134"/>
      <c r="AT34" s="134"/>
      <c r="AU34" s="134"/>
      <c r="AV34" s="134"/>
      <c r="AW34" s="135"/>
      <c r="AX34" s="156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8"/>
      <c r="BU34" s="41"/>
      <c r="BV34" s="40"/>
      <c r="BW34" s="41"/>
      <c r="BX34" s="41"/>
      <c r="BY34" s="41"/>
      <c r="BZ34" s="41"/>
      <c r="CA34" s="41"/>
      <c r="CB34" s="41"/>
      <c r="CC34" s="30"/>
      <c r="CD34" s="30"/>
      <c r="CE34" s="30"/>
      <c r="CF34" s="30"/>
      <c r="CG34" s="30"/>
    </row>
    <row r="35" spans="1:85" s="5" customFormat="1" ht="20.100000000000001" customHeight="1" x14ac:dyDescent="0.45">
      <c r="A35" s="30"/>
      <c r="B35" s="44"/>
      <c r="C35" s="36"/>
      <c r="D35" s="37">
        <v>25</v>
      </c>
      <c r="E35" s="162" t="s">
        <v>72</v>
      </c>
      <c r="F35" s="163"/>
      <c r="G35" s="163"/>
      <c r="H35" s="163"/>
      <c r="I35" s="163"/>
      <c r="J35" s="163"/>
      <c r="K35" s="163"/>
      <c r="L35" s="164"/>
      <c r="M35" s="139" t="s">
        <v>37</v>
      </c>
      <c r="N35" s="134"/>
      <c r="O35" s="134"/>
      <c r="P35" s="139" t="s">
        <v>83</v>
      </c>
      <c r="Q35" s="134"/>
      <c r="R35" s="134"/>
      <c r="S35" s="139"/>
      <c r="T35" s="134"/>
      <c r="U35" s="134"/>
      <c r="V35" s="156" t="s">
        <v>411</v>
      </c>
      <c r="W35" s="157"/>
      <c r="X35" s="157"/>
      <c r="Y35" s="157"/>
      <c r="Z35" s="157"/>
      <c r="AA35" s="160"/>
      <c r="AB35" s="147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9"/>
      <c r="AR35" s="139"/>
      <c r="AS35" s="134"/>
      <c r="AT35" s="134"/>
      <c r="AU35" s="134"/>
      <c r="AV35" s="134"/>
      <c r="AW35" s="135"/>
      <c r="AX35" s="156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7"/>
      <c r="BN35" s="157"/>
      <c r="BO35" s="157"/>
      <c r="BP35" s="157"/>
      <c r="BQ35" s="157"/>
      <c r="BR35" s="157"/>
      <c r="BS35" s="157"/>
      <c r="BT35" s="158"/>
      <c r="BU35" s="41"/>
      <c r="BV35" s="40"/>
      <c r="BW35" s="41"/>
      <c r="BX35" s="41"/>
      <c r="BY35" s="41"/>
      <c r="BZ35" s="41"/>
      <c r="CA35" s="41"/>
      <c r="CB35" s="41"/>
      <c r="CC35" s="30"/>
      <c r="CD35" s="30"/>
      <c r="CE35" s="30"/>
      <c r="CF35" s="30"/>
      <c r="CG35" s="30"/>
    </row>
    <row r="36" spans="1:85" s="5" customFormat="1" ht="20.100000000000001" customHeight="1" x14ac:dyDescent="0.45">
      <c r="A36" s="30"/>
      <c r="B36" s="44"/>
      <c r="C36" s="30"/>
      <c r="D36" s="37">
        <v>26</v>
      </c>
      <c r="E36" s="162" t="s">
        <v>73</v>
      </c>
      <c r="F36" s="163"/>
      <c r="G36" s="163"/>
      <c r="H36" s="163"/>
      <c r="I36" s="163"/>
      <c r="J36" s="163"/>
      <c r="K36" s="163"/>
      <c r="L36" s="164"/>
      <c r="M36" s="139" t="s">
        <v>37</v>
      </c>
      <c r="N36" s="134"/>
      <c r="O36" s="134"/>
      <c r="P36" s="139" t="s">
        <v>83</v>
      </c>
      <c r="Q36" s="134"/>
      <c r="R36" s="134"/>
      <c r="S36" s="139"/>
      <c r="T36" s="134"/>
      <c r="U36" s="134"/>
      <c r="V36" s="156" t="s">
        <v>412</v>
      </c>
      <c r="W36" s="157"/>
      <c r="X36" s="157"/>
      <c r="Y36" s="157"/>
      <c r="Z36" s="157"/>
      <c r="AA36" s="160"/>
      <c r="AB36" s="147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9"/>
      <c r="AR36" s="139"/>
      <c r="AS36" s="134"/>
      <c r="AT36" s="134"/>
      <c r="AU36" s="134"/>
      <c r="AV36" s="134"/>
      <c r="AW36" s="135"/>
      <c r="AX36" s="156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7"/>
      <c r="BN36" s="157"/>
      <c r="BO36" s="157"/>
      <c r="BP36" s="157"/>
      <c r="BQ36" s="157"/>
      <c r="BR36" s="157"/>
      <c r="BS36" s="157"/>
      <c r="BT36" s="158"/>
      <c r="BU36" s="41"/>
      <c r="BV36" s="40"/>
      <c r="BW36" s="41"/>
      <c r="BX36" s="41"/>
      <c r="BY36" s="41"/>
      <c r="BZ36" s="41"/>
      <c r="CA36" s="41"/>
      <c r="CB36" s="41"/>
      <c r="CC36" s="30"/>
      <c r="CD36" s="30"/>
      <c r="CE36" s="30"/>
      <c r="CF36" s="30"/>
      <c r="CG36" s="30"/>
    </row>
    <row r="37" spans="1:85" s="5" customFormat="1" ht="20.100000000000001" customHeight="1" x14ac:dyDescent="0.45">
      <c r="A37" s="30"/>
      <c r="B37" s="44"/>
      <c r="C37" s="29"/>
      <c r="D37" s="37">
        <v>27</v>
      </c>
      <c r="E37" s="162" t="s">
        <v>74</v>
      </c>
      <c r="F37" s="163"/>
      <c r="G37" s="163"/>
      <c r="H37" s="163"/>
      <c r="I37" s="163"/>
      <c r="J37" s="163"/>
      <c r="K37" s="163"/>
      <c r="L37" s="164"/>
      <c r="M37" s="139" t="s">
        <v>37</v>
      </c>
      <c r="N37" s="134"/>
      <c r="O37" s="134"/>
      <c r="P37" s="139" t="s">
        <v>83</v>
      </c>
      <c r="Q37" s="134"/>
      <c r="R37" s="134"/>
      <c r="S37" s="139"/>
      <c r="T37" s="134"/>
      <c r="U37" s="134"/>
      <c r="V37" s="156" t="s">
        <v>413</v>
      </c>
      <c r="W37" s="157"/>
      <c r="X37" s="157"/>
      <c r="Y37" s="157"/>
      <c r="Z37" s="157"/>
      <c r="AA37" s="160"/>
      <c r="AB37" s="147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9"/>
      <c r="AR37" s="139"/>
      <c r="AS37" s="134"/>
      <c r="AT37" s="134"/>
      <c r="AU37" s="134"/>
      <c r="AV37" s="134"/>
      <c r="AW37" s="135"/>
      <c r="AX37" s="156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7"/>
      <c r="BN37" s="157"/>
      <c r="BO37" s="157"/>
      <c r="BP37" s="157"/>
      <c r="BQ37" s="157"/>
      <c r="BR37" s="157"/>
      <c r="BS37" s="157"/>
      <c r="BT37" s="158"/>
      <c r="BU37" s="41"/>
      <c r="BV37" s="40"/>
      <c r="BW37" s="41"/>
      <c r="BX37" s="41"/>
      <c r="BY37" s="41"/>
      <c r="BZ37" s="41"/>
      <c r="CA37" s="41"/>
      <c r="CB37" s="41"/>
      <c r="CC37" s="30"/>
      <c r="CD37" s="30"/>
      <c r="CE37" s="30"/>
      <c r="CF37" s="30"/>
      <c r="CG37" s="30"/>
    </row>
    <row r="38" spans="1:85" s="5" customFormat="1" ht="20.100000000000001" customHeight="1" x14ac:dyDescent="0.45">
      <c r="A38" s="29"/>
      <c r="B38" s="35"/>
      <c r="C38" s="29"/>
      <c r="D38" s="37">
        <v>28</v>
      </c>
      <c r="E38" s="162" t="s">
        <v>75</v>
      </c>
      <c r="F38" s="163"/>
      <c r="G38" s="163"/>
      <c r="H38" s="163"/>
      <c r="I38" s="163"/>
      <c r="J38" s="163"/>
      <c r="K38" s="163"/>
      <c r="L38" s="164"/>
      <c r="M38" s="139" t="s">
        <v>37</v>
      </c>
      <c r="N38" s="134"/>
      <c r="O38" s="134"/>
      <c r="P38" s="139" t="s">
        <v>83</v>
      </c>
      <c r="Q38" s="134"/>
      <c r="R38" s="134"/>
      <c r="S38" s="139"/>
      <c r="T38" s="134"/>
      <c r="U38" s="134"/>
      <c r="V38" s="156" t="s">
        <v>414</v>
      </c>
      <c r="W38" s="157"/>
      <c r="X38" s="157"/>
      <c r="Y38" s="157"/>
      <c r="Z38" s="157"/>
      <c r="AA38" s="160"/>
      <c r="AB38" s="147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9"/>
      <c r="AR38" s="139" t="s">
        <v>415</v>
      </c>
      <c r="AS38" s="134"/>
      <c r="AT38" s="134"/>
      <c r="AU38" s="134"/>
      <c r="AV38" s="134"/>
      <c r="AW38" s="135"/>
      <c r="AX38" s="156" t="s">
        <v>89</v>
      </c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7"/>
      <c r="BN38" s="157"/>
      <c r="BO38" s="157"/>
      <c r="BP38" s="157"/>
      <c r="BQ38" s="157"/>
      <c r="BR38" s="157"/>
      <c r="BS38" s="157"/>
      <c r="BT38" s="158"/>
      <c r="BU38" s="29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31"/>
      <c r="CG38" s="31"/>
    </row>
    <row r="39" spans="1:85" s="5" customFormat="1" ht="20.100000000000001" customHeight="1" x14ac:dyDescent="0.45">
      <c r="A39" s="29"/>
      <c r="B39" s="35"/>
      <c r="C39" s="29"/>
      <c r="D39" s="37">
        <v>29</v>
      </c>
      <c r="E39" s="162" t="s">
        <v>76</v>
      </c>
      <c r="F39" s="163"/>
      <c r="G39" s="163"/>
      <c r="H39" s="163"/>
      <c r="I39" s="163"/>
      <c r="J39" s="163"/>
      <c r="K39" s="163"/>
      <c r="L39" s="164"/>
      <c r="M39" s="139" t="s">
        <v>46</v>
      </c>
      <c r="N39" s="134"/>
      <c r="O39" s="134"/>
      <c r="P39" s="139" t="s">
        <v>82</v>
      </c>
      <c r="Q39" s="134"/>
      <c r="R39" s="134"/>
      <c r="S39" s="139"/>
      <c r="T39" s="134"/>
      <c r="U39" s="134"/>
      <c r="V39" s="156" t="s">
        <v>416</v>
      </c>
      <c r="W39" s="157"/>
      <c r="X39" s="157"/>
      <c r="Y39" s="157"/>
      <c r="Z39" s="157"/>
      <c r="AA39" s="160"/>
      <c r="AB39" s="147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9"/>
      <c r="AR39" s="139"/>
      <c r="AS39" s="134"/>
      <c r="AT39" s="134"/>
      <c r="AU39" s="134"/>
      <c r="AV39" s="134"/>
      <c r="AW39" s="135"/>
      <c r="AX39" s="156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8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s="5" customFormat="1" ht="20.100000000000001" customHeight="1" x14ac:dyDescent="0.45">
      <c r="A40" s="29"/>
      <c r="B40" s="35"/>
      <c r="C40" s="29"/>
      <c r="D40" s="37">
        <v>30</v>
      </c>
      <c r="E40" s="162" t="s">
        <v>77</v>
      </c>
      <c r="F40" s="163"/>
      <c r="G40" s="163"/>
      <c r="H40" s="163"/>
      <c r="I40" s="163"/>
      <c r="J40" s="163"/>
      <c r="K40" s="163"/>
      <c r="L40" s="164"/>
      <c r="M40" s="139" t="s">
        <v>37</v>
      </c>
      <c r="N40" s="134"/>
      <c r="O40" s="134"/>
      <c r="P40" s="139" t="s">
        <v>83</v>
      </c>
      <c r="Q40" s="134"/>
      <c r="R40" s="134"/>
      <c r="S40" s="139"/>
      <c r="T40" s="134"/>
      <c r="U40" s="134"/>
      <c r="V40" s="156" t="s">
        <v>417</v>
      </c>
      <c r="W40" s="157"/>
      <c r="X40" s="157"/>
      <c r="Y40" s="157"/>
      <c r="Z40" s="157"/>
      <c r="AA40" s="160"/>
      <c r="AB40" s="147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9"/>
      <c r="AR40" s="139"/>
      <c r="AS40" s="134"/>
      <c r="AT40" s="134"/>
      <c r="AU40" s="134"/>
      <c r="AV40" s="134"/>
      <c r="AW40" s="135"/>
      <c r="AX40" s="156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  <c r="BM40" s="157"/>
      <c r="BN40" s="157"/>
      <c r="BO40" s="157"/>
      <c r="BP40" s="157"/>
      <c r="BQ40" s="157"/>
      <c r="BR40" s="157"/>
      <c r="BS40" s="157"/>
      <c r="BT40" s="158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162" t="s">
        <v>78</v>
      </c>
      <c r="F41" s="163"/>
      <c r="G41" s="163"/>
      <c r="H41" s="163"/>
      <c r="I41" s="163"/>
      <c r="J41" s="163"/>
      <c r="K41" s="163"/>
      <c r="L41" s="164"/>
      <c r="M41" s="139" t="s">
        <v>46</v>
      </c>
      <c r="N41" s="134"/>
      <c r="O41" s="134"/>
      <c r="P41" s="139" t="s">
        <v>82</v>
      </c>
      <c r="Q41" s="134"/>
      <c r="R41" s="134"/>
      <c r="S41" s="139"/>
      <c r="T41" s="134"/>
      <c r="U41" s="134"/>
      <c r="V41" s="156" t="s">
        <v>418</v>
      </c>
      <c r="W41" s="157"/>
      <c r="X41" s="157"/>
      <c r="Y41" s="157"/>
      <c r="Z41" s="157"/>
      <c r="AA41" s="160"/>
      <c r="AB41" s="147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9"/>
      <c r="AR41" s="139">
        <v>9999</v>
      </c>
      <c r="AS41" s="134"/>
      <c r="AT41" s="134"/>
      <c r="AU41" s="134"/>
      <c r="AV41" s="134"/>
      <c r="AW41" s="135"/>
      <c r="AX41" s="156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7"/>
      <c r="BK41" s="157"/>
      <c r="BL41" s="157"/>
      <c r="BM41" s="157"/>
      <c r="BN41" s="157"/>
      <c r="BO41" s="157"/>
      <c r="BP41" s="157"/>
      <c r="BQ41" s="157"/>
      <c r="BR41" s="157"/>
      <c r="BS41" s="157"/>
      <c r="BT41" s="158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s="5" customFormat="1" ht="20.100000000000001" customHeight="1" x14ac:dyDescent="0.45">
      <c r="A42" s="29"/>
      <c r="B42" s="35"/>
      <c r="C42" s="29"/>
      <c r="D42" s="37">
        <v>32</v>
      </c>
      <c r="E42" s="162" t="s">
        <v>381</v>
      </c>
      <c r="F42" s="163"/>
      <c r="G42" s="163"/>
      <c r="H42" s="163"/>
      <c r="I42" s="163"/>
      <c r="J42" s="163"/>
      <c r="K42" s="163"/>
      <c r="L42" s="164"/>
      <c r="M42" s="139" t="s">
        <v>46</v>
      </c>
      <c r="N42" s="134"/>
      <c r="O42" s="134"/>
      <c r="P42" s="139" t="s">
        <v>82</v>
      </c>
      <c r="Q42" s="134"/>
      <c r="R42" s="134"/>
      <c r="S42" s="139"/>
      <c r="T42" s="134"/>
      <c r="U42" s="134"/>
      <c r="V42" s="156" t="s">
        <v>420</v>
      </c>
      <c r="W42" s="157"/>
      <c r="X42" s="157"/>
      <c r="Y42" s="157"/>
      <c r="Z42" s="157"/>
      <c r="AA42" s="160"/>
      <c r="AB42" s="147" t="s">
        <v>421</v>
      </c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9"/>
      <c r="AR42" s="139">
        <v>9999</v>
      </c>
      <c r="AS42" s="134"/>
      <c r="AT42" s="134"/>
      <c r="AU42" s="134"/>
      <c r="AV42" s="134"/>
      <c r="AW42" s="135"/>
      <c r="AX42" s="156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7"/>
      <c r="BK42" s="157"/>
      <c r="BL42" s="157"/>
      <c r="BM42" s="157"/>
      <c r="BN42" s="157"/>
      <c r="BO42" s="157"/>
      <c r="BP42" s="157"/>
      <c r="BQ42" s="157"/>
      <c r="BR42" s="157"/>
      <c r="BS42" s="157"/>
      <c r="BT42" s="158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s="5" customFormat="1" ht="20.100000000000001" customHeight="1" x14ac:dyDescent="0.45">
      <c r="A43" s="29"/>
      <c r="B43" s="35"/>
      <c r="C43" s="29"/>
      <c r="D43" s="37">
        <v>33</v>
      </c>
      <c r="E43" s="162" t="s">
        <v>382</v>
      </c>
      <c r="F43" s="163"/>
      <c r="G43" s="163"/>
      <c r="H43" s="163"/>
      <c r="I43" s="163"/>
      <c r="J43" s="163"/>
      <c r="K43" s="163"/>
      <c r="L43" s="164"/>
      <c r="M43" s="139" t="s">
        <v>46</v>
      </c>
      <c r="N43" s="134"/>
      <c r="O43" s="134"/>
      <c r="P43" s="139" t="s">
        <v>82</v>
      </c>
      <c r="Q43" s="134"/>
      <c r="R43" s="134"/>
      <c r="S43" s="139"/>
      <c r="T43" s="134"/>
      <c r="U43" s="134"/>
      <c r="V43" s="156" t="s">
        <v>420</v>
      </c>
      <c r="W43" s="157"/>
      <c r="X43" s="157"/>
      <c r="Y43" s="157"/>
      <c r="Z43" s="157"/>
      <c r="AA43" s="160"/>
      <c r="AB43" s="147" t="s">
        <v>422</v>
      </c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9"/>
      <c r="AR43" s="139">
        <v>9999</v>
      </c>
      <c r="AS43" s="134"/>
      <c r="AT43" s="134"/>
      <c r="AU43" s="134"/>
      <c r="AV43" s="134"/>
      <c r="AW43" s="135"/>
      <c r="AX43" s="156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7"/>
      <c r="BJ43" s="157"/>
      <c r="BK43" s="157"/>
      <c r="BL43" s="157"/>
      <c r="BM43" s="157"/>
      <c r="BN43" s="157"/>
      <c r="BO43" s="157"/>
      <c r="BP43" s="157"/>
      <c r="BQ43" s="157"/>
      <c r="BR43" s="157"/>
      <c r="BS43" s="157"/>
      <c r="BT43" s="158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s="5" customFormat="1" ht="20.100000000000001" customHeight="1" x14ac:dyDescent="0.45">
      <c r="A44" s="29"/>
      <c r="B44" s="35"/>
      <c r="C44" s="29"/>
      <c r="D44" s="37">
        <v>34</v>
      </c>
      <c r="E44" s="162" t="s">
        <v>79</v>
      </c>
      <c r="F44" s="163"/>
      <c r="G44" s="163"/>
      <c r="H44" s="163"/>
      <c r="I44" s="163"/>
      <c r="J44" s="163"/>
      <c r="K44" s="163"/>
      <c r="L44" s="164"/>
      <c r="M44" s="139" t="s">
        <v>46</v>
      </c>
      <c r="N44" s="134"/>
      <c r="O44" s="134"/>
      <c r="P44" s="139" t="s">
        <v>82</v>
      </c>
      <c r="Q44" s="134"/>
      <c r="R44" s="134"/>
      <c r="S44" s="139"/>
      <c r="T44" s="134"/>
      <c r="U44" s="134"/>
      <c r="V44" s="156" t="s">
        <v>396</v>
      </c>
      <c r="W44" s="157"/>
      <c r="X44" s="157"/>
      <c r="Y44" s="157"/>
      <c r="Z44" s="157"/>
      <c r="AA44" s="160"/>
      <c r="AB44" s="147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9"/>
      <c r="AR44" s="139">
        <v>9999</v>
      </c>
      <c r="AS44" s="134"/>
      <c r="AT44" s="134"/>
      <c r="AU44" s="134"/>
      <c r="AV44" s="134"/>
      <c r="AW44" s="135"/>
      <c r="AX44" s="156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7"/>
      <c r="BQ44" s="157"/>
      <c r="BR44" s="157"/>
      <c r="BS44" s="157"/>
      <c r="BT44" s="158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s="5" customFormat="1" ht="20.100000000000001" customHeight="1" x14ac:dyDescent="0.45">
      <c r="A45" s="29"/>
      <c r="B45" s="35"/>
      <c r="C45" s="29"/>
      <c r="D45" s="37">
        <v>35</v>
      </c>
      <c r="E45" s="162" t="s">
        <v>80</v>
      </c>
      <c r="F45" s="163"/>
      <c r="G45" s="163"/>
      <c r="H45" s="163"/>
      <c r="I45" s="163"/>
      <c r="J45" s="163"/>
      <c r="K45" s="163"/>
      <c r="L45" s="164"/>
      <c r="M45" s="139" t="s">
        <v>46</v>
      </c>
      <c r="N45" s="134"/>
      <c r="O45" s="134"/>
      <c r="P45" s="139" t="s">
        <v>82</v>
      </c>
      <c r="Q45" s="134"/>
      <c r="R45" s="134"/>
      <c r="S45" s="139"/>
      <c r="T45" s="134"/>
      <c r="U45" s="134"/>
      <c r="V45" s="156" t="s">
        <v>423</v>
      </c>
      <c r="W45" s="157"/>
      <c r="X45" s="157"/>
      <c r="Y45" s="157"/>
      <c r="Z45" s="157"/>
      <c r="AA45" s="160"/>
      <c r="AB45" s="147" t="s">
        <v>426</v>
      </c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9"/>
      <c r="AR45" s="139">
        <v>9999</v>
      </c>
      <c r="AS45" s="134"/>
      <c r="AT45" s="134"/>
      <c r="AU45" s="134"/>
      <c r="AV45" s="134"/>
      <c r="AW45" s="135"/>
      <c r="AX45" s="156" t="s">
        <v>424</v>
      </c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157"/>
      <c r="BK45" s="157"/>
      <c r="BL45" s="157"/>
      <c r="BM45" s="157"/>
      <c r="BN45" s="157"/>
      <c r="BO45" s="157"/>
      <c r="BP45" s="157"/>
      <c r="BQ45" s="157"/>
      <c r="BR45" s="157"/>
      <c r="BS45" s="157"/>
      <c r="BT45" s="158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s="5" customFormat="1" ht="20.100000000000001" customHeight="1" x14ac:dyDescent="0.45">
      <c r="A46" s="29"/>
      <c r="B46" s="35"/>
      <c r="C46" s="29"/>
      <c r="D46" s="37">
        <v>36</v>
      </c>
      <c r="E46" s="162" t="s">
        <v>81</v>
      </c>
      <c r="F46" s="163"/>
      <c r="G46" s="163"/>
      <c r="H46" s="163"/>
      <c r="I46" s="163"/>
      <c r="J46" s="163"/>
      <c r="K46" s="163"/>
      <c r="L46" s="164"/>
      <c r="M46" s="139" t="s">
        <v>37</v>
      </c>
      <c r="N46" s="134"/>
      <c r="O46" s="134"/>
      <c r="P46" s="139" t="s">
        <v>83</v>
      </c>
      <c r="Q46" s="134"/>
      <c r="R46" s="134"/>
      <c r="S46" s="139"/>
      <c r="T46" s="134"/>
      <c r="U46" s="134"/>
      <c r="V46" s="156" t="s">
        <v>425</v>
      </c>
      <c r="W46" s="157"/>
      <c r="X46" s="157"/>
      <c r="Y46" s="157"/>
      <c r="Z46" s="157"/>
      <c r="AA46" s="160"/>
      <c r="AB46" s="147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9"/>
      <c r="AR46" s="139"/>
      <c r="AS46" s="134"/>
      <c r="AT46" s="134"/>
      <c r="AU46" s="134"/>
      <c r="AV46" s="134"/>
      <c r="AW46" s="135"/>
      <c r="AX46" s="156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Q46" s="157"/>
      <c r="BR46" s="157"/>
      <c r="BS46" s="157"/>
      <c r="BT46" s="158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20.100000000000001" customHeight="1" x14ac:dyDescent="0.45">
      <c r="A47" s="29"/>
      <c r="B47" s="44"/>
      <c r="C47" s="29"/>
      <c r="D47" s="37">
        <v>37</v>
      </c>
      <c r="E47" s="162" t="s">
        <v>383</v>
      </c>
      <c r="F47" s="163"/>
      <c r="G47" s="163"/>
      <c r="H47" s="163"/>
      <c r="I47" s="163"/>
      <c r="J47" s="163"/>
      <c r="K47" s="163"/>
      <c r="L47" s="164"/>
      <c r="M47" s="139" t="s">
        <v>46</v>
      </c>
      <c r="N47" s="134"/>
      <c r="O47" s="134"/>
      <c r="P47" s="139" t="s">
        <v>82</v>
      </c>
      <c r="Q47" s="134"/>
      <c r="R47" s="134"/>
      <c r="S47" s="139"/>
      <c r="T47" s="134"/>
      <c r="U47" s="134"/>
      <c r="V47" s="156" t="s">
        <v>419</v>
      </c>
      <c r="W47" s="157"/>
      <c r="X47" s="157"/>
      <c r="Y47" s="157"/>
      <c r="Z47" s="157"/>
      <c r="AA47" s="160"/>
      <c r="AB47" s="147" t="s">
        <v>427</v>
      </c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9"/>
      <c r="AR47" s="139">
        <v>9999</v>
      </c>
      <c r="AS47" s="134"/>
      <c r="AT47" s="134"/>
      <c r="AU47" s="134"/>
      <c r="AV47" s="134"/>
      <c r="AW47" s="135"/>
      <c r="AX47" s="156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8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9.5" customHeight="1" x14ac:dyDescent="0.45">
      <c r="A48" s="29"/>
      <c r="B48" s="44"/>
      <c r="C48" s="29"/>
      <c r="D48" s="37">
        <v>38</v>
      </c>
      <c r="E48" s="162" t="s">
        <v>66</v>
      </c>
      <c r="F48" s="163"/>
      <c r="G48" s="163"/>
      <c r="H48" s="163"/>
      <c r="I48" s="163"/>
      <c r="J48" s="163"/>
      <c r="K48" s="163"/>
      <c r="L48" s="164"/>
      <c r="M48" s="139" t="s">
        <v>46</v>
      </c>
      <c r="N48" s="134"/>
      <c r="O48" s="134"/>
      <c r="P48" s="139" t="s">
        <v>82</v>
      </c>
      <c r="Q48" s="134"/>
      <c r="R48" s="134"/>
      <c r="S48" s="139"/>
      <c r="T48" s="134"/>
      <c r="U48" s="134"/>
      <c r="V48" s="156" t="s">
        <v>419</v>
      </c>
      <c r="W48" s="157"/>
      <c r="X48" s="157"/>
      <c r="Y48" s="157"/>
      <c r="Z48" s="157"/>
      <c r="AA48" s="160"/>
      <c r="AB48" s="147" t="s">
        <v>428</v>
      </c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9"/>
      <c r="AR48" s="139">
        <v>9999</v>
      </c>
      <c r="AS48" s="134"/>
      <c r="AT48" s="134"/>
      <c r="AU48" s="134"/>
      <c r="AV48" s="134"/>
      <c r="AW48" s="135"/>
      <c r="AX48" s="156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8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85" ht="19.5" customHeight="1" thickBot="1" x14ac:dyDescent="0.5">
      <c r="A49" s="29"/>
      <c r="B49" s="44"/>
      <c r="C49" s="29"/>
      <c r="D49" s="37">
        <v>39</v>
      </c>
      <c r="E49" s="162" t="s">
        <v>384</v>
      </c>
      <c r="F49" s="163"/>
      <c r="G49" s="163"/>
      <c r="H49" s="163"/>
      <c r="I49" s="163"/>
      <c r="J49" s="163"/>
      <c r="K49" s="163"/>
      <c r="L49" s="164"/>
      <c r="M49" s="139" t="s">
        <v>46</v>
      </c>
      <c r="N49" s="134"/>
      <c r="O49" s="134"/>
      <c r="P49" s="139" t="s">
        <v>82</v>
      </c>
      <c r="Q49" s="134"/>
      <c r="R49" s="134"/>
      <c r="S49" s="139"/>
      <c r="T49" s="134"/>
      <c r="U49" s="134"/>
      <c r="V49" s="156" t="s">
        <v>419</v>
      </c>
      <c r="W49" s="157"/>
      <c r="X49" s="157"/>
      <c r="Y49" s="157"/>
      <c r="Z49" s="157"/>
      <c r="AA49" s="160"/>
      <c r="AB49" s="147" t="s">
        <v>429</v>
      </c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9"/>
      <c r="AR49" s="139">
        <v>9999</v>
      </c>
      <c r="AS49" s="134"/>
      <c r="AT49" s="134"/>
      <c r="AU49" s="134"/>
      <c r="AV49" s="134"/>
      <c r="AW49" s="135"/>
      <c r="AX49" s="156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8"/>
      <c r="BU49" s="41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</row>
    <row r="50" spans="1:85" ht="20.100000000000001" customHeight="1" thickTop="1" thickBot="1" x14ac:dyDescent="0.5">
      <c r="A50" s="29"/>
      <c r="B50" s="40"/>
      <c r="C50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46"/>
      <c r="BR50" s="46"/>
      <c r="BS50" s="46"/>
      <c r="BT50" s="46"/>
      <c r="BU50" s="28"/>
    </row>
    <row r="51" spans="1:85" ht="20.100000000000001" customHeight="1" thickTop="1" x14ac:dyDescent="0.45">
      <c r="A51" s="29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33"/>
      <c r="BD51" s="33"/>
      <c r="BE51" s="33"/>
      <c r="BF51" s="33"/>
      <c r="BG51" s="33"/>
      <c r="BH51" s="33"/>
      <c r="BI51" s="42"/>
      <c r="BJ51" s="42"/>
      <c r="BK51" s="42"/>
      <c r="BL51" s="42"/>
      <c r="BM51" s="42"/>
      <c r="BN51" s="42"/>
      <c r="BO51" s="42"/>
      <c r="BP51" s="41"/>
    </row>
    <row r="52" spans="1:85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</row>
    <row r="53" spans="1:85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85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85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85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85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85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85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85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85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85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85" ht="20.100000000000001" customHeight="1" x14ac:dyDescent="0.4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85" ht="20.100000000000001" customHeight="1" x14ac:dyDescent="0.45">
      <c r="B64" s="3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31"/>
      <c r="BP65" s="31"/>
    </row>
    <row r="66" spans="1:68" ht="20.100000000000001" customHeight="1" x14ac:dyDescent="0.4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31"/>
      <c r="BP66" s="31"/>
    </row>
    <row r="67" spans="1:68" ht="20.100000000000001" customHeight="1" x14ac:dyDescent="0.45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31"/>
      <c r="BP67" s="31"/>
    </row>
    <row r="68" spans="1:68" ht="20.100000000000001" customHeight="1" x14ac:dyDescent="0.45">
      <c r="A68" s="29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31"/>
      <c r="BP68" s="31"/>
    </row>
    <row r="69" spans="1:68" ht="20.100000000000001" customHeight="1" x14ac:dyDescent="0.45">
      <c r="A69" s="29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31"/>
      <c r="BP69" s="31"/>
    </row>
    <row r="70" spans="1:68" ht="20.100000000000001" customHeight="1" x14ac:dyDescent="0.4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</row>
    <row r="71" spans="1:68" ht="20.100000000000001" customHeight="1" x14ac:dyDescent="0.4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</row>
    <row r="72" spans="1:68" ht="20.100000000000001" customHeight="1" x14ac:dyDescent="0.4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</row>
  </sheetData>
  <mergeCells count="340">
    <mergeCell ref="E49:L49"/>
    <mergeCell ref="M49:O49"/>
    <mergeCell ref="P49:R49"/>
    <mergeCell ref="S49:U49"/>
    <mergeCell ref="V49:AA49"/>
    <mergeCell ref="AB49:AQ49"/>
    <mergeCell ref="AR49:AW49"/>
    <mergeCell ref="AX49:BT49"/>
    <mergeCell ref="E47:L47"/>
    <mergeCell ref="M47:O47"/>
    <mergeCell ref="P47:R47"/>
    <mergeCell ref="S47:U47"/>
    <mergeCell ref="V47:AA47"/>
    <mergeCell ref="AB47:AQ47"/>
    <mergeCell ref="AR47:AW47"/>
    <mergeCell ref="AX47:BT47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45:L45"/>
    <mergeCell ref="M45:O45"/>
    <mergeCell ref="P45:R45"/>
    <mergeCell ref="S45:U45"/>
    <mergeCell ref="V45:AA45"/>
    <mergeCell ref="AB45:AQ45"/>
    <mergeCell ref="AR45:AW45"/>
    <mergeCell ref="AX45:BT45"/>
    <mergeCell ref="E46:L46"/>
    <mergeCell ref="M46:O46"/>
    <mergeCell ref="P46:R46"/>
    <mergeCell ref="S46:U46"/>
    <mergeCell ref="V46:AA46"/>
    <mergeCell ref="AB46:AQ46"/>
    <mergeCell ref="AR46:AW46"/>
    <mergeCell ref="AX46:BT46"/>
    <mergeCell ref="E43:L43"/>
    <mergeCell ref="M43:O43"/>
    <mergeCell ref="P43:R43"/>
    <mergeCell ref="S43:U43"/>
    <mergeCell ref="V43:AA43"/>
    <mergeCell ref="AB43:AQ43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  <mergeCell ref="E41:L41"/>
    <mergeCell ref="M41:O41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65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17" width="3.59765625" style="6"/>
    <col min="18" max="18" width="5" style="6" bestFit="1" customWidth="1"/>
    <col min="19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80" t="s">
        <v>0</v>
      </c>
      <c r="C2" s="175"/>
      <c r="D2" s="175"/>
      <c r="E2" s="175"/>
      <c r="F2" s="175"/>
      <c r="G2" s="175"/>
      <c r="H2" s="175" t="s">
        <v>16</v>
      </c>
      <c r="I2" s="175"/>
      <c r="J2" s="175"/>
      <c r="K2" s="175"/>
      <c r="L2" s="175" t="s">
        <v>441</v>
      </c>
      <c r="M2" s="175"/>
      <c r="N2" s="175"/>
      <c r="O2" s="175"/>
      <c r="P2" s="175"/>
      <c r="Q2" s="175"/>
      <c r="R2" s="175" t="s">
        <v>1</v>
      </c>
      <c r="S2" s="175"/>
      <c r="T2" s="175"/>
      <c r="U2" s="175"/>
      <c r="V2" s="175"/>
      <c r="W2" s="175"/>
      <c r="X2" s="181" t="s">
        <v>2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31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75" t="s">
        <v>4</v>
      </c>
      <c r="AY2" s="175"/>
      <c r="AZ2" s="175"/>
      <c r="BA2" s="175"/>
      <c r="BB2" s="175" t="s">
        <v>3</v>
      </c>
      <c r="BC2" s="175"/>
      <c r="BD2" s="175"/>
      <c r="BE2" s="175"/>
      <c r="BF2" s="175" t="s">
        <v>5</v>
      </c>
      <c r="BG2" s="175"/>
      <c r="BH2" s="175"/>
      <c r="BI2" s="175"/>
      <c r="BJ2" s="175" t="s">
        <v>6</v>
      </c>
      <c r="BK2" s="175"/>
      <c r="BL2" s="175"/>
      <c r="BM2" s="176"/>
    </row>
    <row r="3" spans="2:65" ht="20.100000000000001" customHeight="1" x14ac:dyDescent="0.45">
      <c r="B3" s="184" t="str">
        <f>変更履歴!B3</f>
        <v>受発注システム</v>
      </c>
      <c r="C3" s="120"/>
      <c r="D3" s="120"/>
      <c r="E3" s="120"/>
      <c r="F3" s="120"/>
      <c r="G3" s="120"/>
      <c r="H3" s="120" t="str">
        <f ca="1">変更履歴!H3</f>
        <v>SK0100</v>
      </c>
      <c r="I3" s="120"/>
      <c r="J3" s="120"/>
      <c r="K3" s="120"/>
      <c r="L3" s="120" t="str">
        <f>変更履歴!L3</f>
        <v>受発注</v>
      </c>
      <c r="M3" s="120"/>
      <c r="N3" s="120"/>
      <c r="O3" s="120"/>
      <c r="P3" s="120"/>
      <c r="Q3" s="120"/>
      <c r="R3" s="120" t="str">
        <f ca="1">変更履歴!R3</f>
        <v>帳票設計書</v>
      </c>
      <c r="S3" s="120"/>
      <c r="T3" s="120"/>
      <c r="U3" s="120"/>
      <c r="V3" s="120"/>
      <c r="W3" s="120"/>
      <c r="X3" s="124" t="str">
        <f ca="1">変更履歴!X3</f>
        <v>SK0100_買掛金元帳_帳票設計書</v>
      </c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1"/>
      <c r="AK3" s="124" t="str">
        <f ca="1">変更履歴!AK3</f>
        <v>買掛金元帳</v>
      </c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1"/>
      <c r="AX3" s="131">
        <f>変更履歴!AX3</f>
        <v>45583</v>
      </c>
      <c r="AY3" s="131"/>
      <c r="AZ3" s="131"/>
      <c r="BA3" s="131"/>
      <c r="BB3" s="120" t="str">
        <f>変更履歴!BB3</f>
        <v>大谷</v>
      </c>
      <c r="BC3" s="120"/>
      <c r="BD3" s="120"/>
      <c r="BE3" s="120"/>
      <c r="BF3" s="131">
        <f>変更履歴!BF3</f>
        <v>45583</v>
      </c>
      <c r="BG3" s="131"/>
      <c r="BH3" s="131"/>
      <c r="BI3" s="131"/>
      <c r="BJ3" s="120" t="str">
        <f>変更履歴!BJ3</f>
        <v>大谷</v>
      </c>
      <c r="BK3" s="120"/>
      <c r="BL3" s="120"/>
      <c r="BM3" s="173"/>
    </row>
    <row r="4" spans="2:65" ht="20.100000000000001" customHeight="1" thickBot="1" x14ac:dyDescent="0.5">
      <c r="B4" s="185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7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9"/>
      <c r="AK4" s="177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9"/>
      <c r="AX4" s="171"/>
      <c r="AY4" s="171"/>
      <c r="AZ4" s="171"/>
      <c r="BA4" s="171"/>
      <c r="BB4" s="172"/>
      <c r="BC4" s="172"/>
      <c r="BD4" s="172"/>
      <c r="BE4" s="172"/>
      <c r="BF4" s="171"/>
      <c r="BG4" s="171"/>
      <c r="BH4" s="171"/>
      <c r="BI4" s="171"/>
      <c r="BJ4" s="172"/>
      <c r="BK4" s="172"/>
      <c r="BL4" s="172"/>
      <c r="BM4" s="174"/>
    </row>
    <row r="5" spans="2:65" ht="5.0999999999999996" customHeight="1" thickBot="1" x14ac:dyDescent="0.5"/>
    <row r="6" spans="2:65" ht="20.100000000000001" customHeight="1" x14ac:dyDescent="0.45">
      <c r="B6" s="89" t="s">
        <v>91</v>
      </c>
      <c r="C6" s="90"/>
      <c r="D6" s="90"/>
      <c r="E6" s="90"/>
      <c r="F6" s="90"/>
      <c r="G6" s="91"/>
      <c r="H6" s="92" t="s">
        <v>55</v>
      </c>
      <c r="I6" s="90"/>
      <c r="J6" s="105" t="s">
        <v>95</v>
      </c>
      <c r="K6" s="106"/>
      <c r="L6" s="106"/>
      <c r="M6" s="106"/>
      <c r="N6" s="106"/>
      <c r="O6" s="106"/>
      <c r="P6" s="106"/>
      <c r="Q6" s="107"/>
      <c r="R6" s="106" t="s">
        <v>103</v>
      </c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7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08"/>
      <c r="C7" s="31"/>
      <c r="D7" s="31"/>
      <c r="E7" s="31"/>
      <c r="F7" s="31"/>
      <c r="G7" s="96"/>
      <c r="H7" s="97"/>
      <c r="I7" s="31"/>
      <c r="J7" s="109" t="s">
        <v>96</v>
      </c>
      <c r="K7" s="52"/>
      <c r="L7" s="52"/>
      <c r="M7" s="52"/>
      <c r="N7" s="52"/>
      <c r="O7" s="52"/>
      <c r="P7" s="52"/>
      <c r="Q7" s="110"/>
      <c r="R7" s="52" t="s">
        <v>108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10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08"/>
      <c r="C8" s="31"/>
      <c r="D8" s="31"/>
      <c r="E8" s="31"/>
      <c r="F8" s="31"/>
      <c r="G8" s="96"/>
      <c r="H8" s="97"/>
      <c r="I8" s="31"/>
      <c r="J8" s="109" t="s">
        <v>97</v>
      </c>
      <c r="K8" s="52"/>
      <c r="L8" s="52"/>
      <c r="M8" s="52"/>
      <c r="N8" s="52"/>
      <c r="O8" s="52"/>
      <c r="P8" s="52"/>
      <c r="Q8" s="110"/>
      <c r="R8" s="52" t="s">
        <v>104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10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08"/>
      <c r="C9" s="31"/>
      <c r="D9" s="31"/>
      <c r="E9" s="31"/>
      <c r="F9" s="31"/>
      <c r="G9" s="96"/>
      <c r="H9" s="97"/>
      <c r="I9" s="31"/>
      <c r="J9" s="109" t="s">
        <v>99</v>
      </c>
      <c r="K9" s="52"/>
      <c r="L9" s="52"/>
      <c r="M9" s="52"/>
      <c r="N9" s="52"/>
      <c r="O9" s="52"/>
      <c r="P9" s="52"/>
      <c r="Q9" s="110"/>
      <c r="R9" s="52" t="s">
        <v>105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10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08"/>
      <c r="C10" s="31"/>
      <c r="D10" s="31"/>
      <c r="E10" s="31"/>
      <c r="F10" s="31"/>
      <c r="G10" s="96"/>
      <c r="H10" s="31"/>
      <c r="I10" s="31"/>
      <c r="J10" s="109" t="s">
        <v>101</v>
      </c>
      <c r="K10" s="52"/>
      <c r="L10" s="52"/>
      <c r="M10" s="52"/>
      <c r="N10" s="52"/>
      <c r="O10" s="52"/>
      <c r="P10" s="52"/>
      <c r="Q10" s="110"/>
      <c r="R10" s="52" t="s">
        <v>106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10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08"/>
      <c r="C11" s="31"/>
      <c r="D11" s="31"/>
      <c r="E11" s="31"/>
      <c r="F11" s="31"/>
      <c r="G11" s="96"/>
      <c r="H11" s="31"/>
      <c r="I11" s="31"/>
      <c r="J11" s="109" t="s">
        <v>102</v>
      </c>
      <c r="K11" s="52"/>
      <c r="L11" s="52"/>
      <c r="M11" s="52"/>
      <c r="N11" s="52"/>
      <c r="O11" s="52"/>
      <c r="P11" s="52"/>
      <c r="Q11" s="110"/>
      <c r="R11" s="52" t="s">
        <v>107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10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08"/>
      <c r="C12" s="31"/>
      <c r="D12" s="31"/>
      <c r="E12" s="31"/>
      <c r="F12" s="31"/>
      <c r="G12" s="96"/>
      <c r="H12" s="100" t="s">
        <v>52</v>
      </c>
      <c r="I12" s="55"/>
      <c r="J12" s="100" t="s">
        <v>90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101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102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100" t="s">
        <v>53</v>
      </c>
      <c r="I13" s="55"/>
      <c r="J13" s="100" t="s">
        <v>114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101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102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97"/>
      <c r="I14" s="31"/>
      <c r="J14" s="97"/>
      <c r="K14" s="31" t="s">
        <v>116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97"/>
      <c r="K15" s="31" t="s">
        <v>117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 t="s">
        <v>92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95"/>
      <c r="C17" s="31"/>
      <c r="D17" s="31"/>
      <c r="E17" s="31"/>
      <c r="F17" s="31"/>
      <c r="G17" s="96"/>
      <c r="H17" s="100" t="s">
        <v>54</v>
      </c>
      <c r="I17" s="55"/>
      <c r="J17" s="100" t="s">
        <v>109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101" t="s">
        <v>94</v>
      </c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102"/>
    </row>
    <row r="18" spans="2:61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 t="s">
        <v>110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7" t="s">
        <v>93</v>
      </c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19.8" customHeight="1" thickBot="1" x14ac:dyDescent="0.5">
      <c r="B19" s="95"/>
      <c r="C19" s="31"/>
      <c r="D19" s="31"/>
      <c r="E19" s="31"/>
      <c r="F19" s="31"/>
      <c r="G19" s="96"/>
      <c r="H19" s="100" t="s">
        <v>118</v>
      </c>
      <c r="I19" s="55"/>
      <c r="J19" s="100" t="s">
        <v>122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01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102"/>
    </row>
    <row r="20" spans="2:61" ht="20.100000000000001" customHeight="1" x14ac:dyDescent="0.45">
      <c r="B20" s="89" t="s">
        <v>111</v>
      </c>
      <c r="C20" s="90"/>
      <c r="D20" s="90"/>
      <c r="E20" s="90"/>
      <c r="F20" s="90"/>
      <c r="G20" s="91"/>
      <c r="H20" s="92" t="s">
        <v>55</v>
      </c>
      <c r="I20" s="90"/>
      <c r="J20" s="105" t="s">
        <v>95</v>
      </c>
      <c r="K20" s="106"/>
      <c r="L20" s="106"/>
      <c r="M20" s="106"/>
      <c r="N20" s="106"/>
      <c r="O20" s="106"/>
      <c r="P20" s="106"/>
      <c r="Q20" s="107"/>
      <c r="R20" s="106" t="s">
        <v>121</v>
      </c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7"/>
      <c r="AK20" s="93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4"/>
    </row>
    <row r="21" spans="2:61" ht="20.100000000000001" customHeight="1" x14ac:dyDescent="0.45">
      <c r="B21" s="108"/>
      <c r="C21" s="31"/>
      <c r="D21" s="31"/>
      <c r="E21" s="31"/>
      <c r="F21" s="31"/>
      <c r="G21" s="96"/>
      <c r="H21" s="97"/>
      <c r="I21" s="31"/>
      <c r="J21" s="109" t="s">
        <v>119</v>
      </c>
      <c r="K21" s="52"/>
      <c r="L21" s="52"/>
      <c r="M21" s="52"/>
      <c r="N21" s="52"/>
      <c r="O21" s="52"/>
      <c r="P21" s="52"/>
      <c r="Q21" s="110"/>
      <c r="R21" s="52" t="s">
        <v>120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10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19.8" customHeight="1" x14ac:dyDescent="0.45">
      <c r="B22" s="108"/>
      <c r="C22" s="31"/>
      <c r="D22" s="31"/>
      <c r="E22" s="31"/>
      <c r="F22" s="31"/>
      <c r="G22" s="96"/>
      <c r="H22" s="100" t="s">
        <v>52</v>
      </c>
      <c r="I22" s="55"/>
      <c r="J22" s="100" t="s">
        <v>112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101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102"/>
    </row>
    <row r="23" spans="2:61" ht="19.8" customHeight="1" thickBot="1" x14ac:dyDescent="0.5">
      <c r="B23" s="95"/>
      <c r="C23" s="31"/>
      <c r="D23" s="31"/>
      <c r="E23" s="31"/>
      <c r="F23" s="31"/>
      <c r="G23" s="96"/>
      <c r="H23" s="100" t="s">
        <v>113</v>
      </c>
      <c r="I23" s="55"/>
      <c r="J23" s="100" t="s">
        <v>115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101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102"/>
    </row>
    <row r="24" spans="2:61" ht="20.100000000000001" customHeight="1" x14ac:dyDescent="0.45">
      <c r="B24" s="89" t="s">
        <v>123</v>
      </c>
      <c r="C24" s="90"/>
      <c r="D24" s="90"/>
      <c r="E24" s="90"/>
      <c r="F24" s="90"/>
      <c r="G24" s="91"/>
      <c r="H24" s="92" t="s">
        <v>55</v>
      </c>
      <c r="I24" s="90"/>
      <c r="J24" s="105" t="s">
        <v>95</v>
      </c>
      <c r="K24" s="106"/>
      <c r="L24" s="106"/>
      <c r="M24" s="106"/>
      <c r="N24" s="106"/>
      <c r="O24" s="106"/>
      <c r="P24" s="106"/>
      <c r="Q24" s="107"/>
      <c r="R24" s="106" t="s">
        <v>140</v>
      </c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7"/>
      <c r="AK24" s="93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4"/>
    </row>
    <row r="25" spans="2:61" ht="20.100000000000001" customHeight="1" x14ac:dyDescent="0.45">
      <c r="B25" s="108"/>
      <c r="C25" s="31"/>
      <c r="D25" s="31"/>
      <c r="E25" s="31"/>
      <c r="F25" s="31"/>
      <c r="G25" s="96"/>
      <c r="H25" s="97"/>
      <c r="I25" s="31"/>
      <c r="J25" s="109" t="s">
        <v>119</v>
      </c>
      <c r="K25" s="52"/>
      <c r="L25" s="52"/>
      <c r="M25" s="52"/>
      <c r="N25" s="52"/>
      <c r="O25" s="52"/>
      <c r="P25" s="52"/>
      <c r="Q25" s="110"/>
      <c r="R25" s="52" t="s">
        <v>141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10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08"/>
      <c r="C26" s="31"/>
      <c r="D26" s="31"/>
      <c r="E26" s="31"/>
      <c r="F26" s="31"/>
      <c r="G26" s="96"/>
      <c r="H26" s="97"/>
      <c r="I26" s="31"/>
      <c r="J26" s="109" t="s">
        <v>99</v>
      </c>
      <c r="K26" s="52"/>
      <c r="L26" s="52"/>
      <c r="M26" s="52"/>
      <c r="N26" s="52"/>
      <c r="O26" s="52"/>
      <c r="P26" s="52"/>
      <c r="Q26" s="110"/>
      <c r="R26" s="52" t="s">
        <v>142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10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08"/>
      <c r="C27" s="31"/>
      <c r="D27" s="31"/>
      <c r="E27" s="31"/>
      <c r="F27" s="31"/>
      <c r="G27" s="96"/>
      <c r="H27" s="97"/>
      <c r="I27" s="31"/>
      <c r="J27" s="109" t="s">
        <v>101</v>
      </c>
      <c r="K27" s="52"/>
      <c r="L27" s="52"/>
      <c r="M27" s="52"/>
      <c r="N27" s="52"/>
      <c r="O27" s="52"/>
      <c r="P27" s="52"/>
      <c r="Q27" s="110"/>
      <c r="R27" s="52" t="s">
        <v>143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10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08"/>
      <c r="C28" s="31"/>
      <c r="D28" s="31"/>
      <c r="E28" s="31"/>
      <c r="F28" s="31"/>
      <c r="G28" s="96"/>
      <c r="H28" s="31"/>
      <c r="I28" s="31"/>
      <c r="J28" s="109" t="s">
        <v>96</v>
      </c>
      <c r="K28" s="52"/>
      <c r="L28" s="52"/>
      <c r="M28" s="52"/>
      <c r="N28" s="52"/>
      <c r="O28" s="52"/>
      <c r="P28" s="52"/>
      <c r="Q28" s="110"/>
      <c r="R28" s="52" t="s">
        <v>124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10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08"/>
      <c r="C29" s="31"/>
      <c r="D29" s="31"/>
      <c r="E29" s="31"/>
      <c r="F29" s="31"/>
      <c r="G29" s="96"/>
      <c r="H29" s="97"/>
      <c r="I29" s="31"/>
      <c r="J29" s="109" t="s">
        <v>131</v>
      </c>
      <c r="K29" s="52"/>
      <c r="L29" s="52"/>
      <c r="M29" s="52"/>
      <c r="N29" s="52"/>
      <c r="O29" s="52"/>
      <c r="P29" s="52"/>
      <c r="Q29" s="110"/>
      <c r="R29" s="52" t="s">
        <v>125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10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08"/>
      <c r="C30" s="31"/>
      <c r="D30" s="31"/>
      <c r="E30" s="31"/>
      <c r="F30" s="31"/>
      <c r="G30" s="96"/>
      <c r="H30" s="97"/>
      <c r="I30" s="31"/>
      <c r="J30" s="109" t="s">
        <v>126</v>
      </c>
      <c r="K30" s="52"/>
      <c r="L30" s="52"/>
      <c r="M30" s="52"/>
      <c r="N30" s="52"/>
      <c r="O30" s="52"/>
      <c r="P30" s="52"/>
      <c r="Q30" s="110"/>
      <c r="R30" s="52" t="s">
        <v>155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10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08"/>
      <c r="C31" s="31"/>
      <c r="D31" s="31"/>
      <c r="E31" s="31"/>
      <c r="F31" s="31"/>
      <c r="G31" s="96"/>
      <c r="H31" s="97"/>
      <c r="I31" s="31"/>
      <c r="J31" s="109" t="s">
        <v>127</v>
      </c>
      <c r="K31" s="52"/>
      <c r="L31" s="52"/>
      <c r="M31" s="52"/>
      <c r="N31" s="52"/>
      <c r="O31" s="52"/>
      <c r="P31" s="52"/>
      <c r="Q31" s="110"/>
      <c r="R31" s="52" t="s">
        <v>154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10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108"/>
      <c r="C32" s="31"/>
      <c r="D32" s="31"/>
      <c r="E32" s="31"/>
      <c r="F32" s="31"/>
      <c r="G32" s="96"/>
      <c r="H32" s="31"/>
      <c r="I32" s="31"/>
      <c r="J32" s="109" t="s">
        <v>128</v>
      </c>
      <c r="K32" s="52"/>
      <c r="L32" s="52"/>
      <c r="M32" s="52"/>
      <c r="N32" s="52"/>
      <c r="O32" s="52"/>
      <c r="P32" s="52"/>
      <c r="Q32" s="110"/>
      <c r="R32" s="52" t="s">
        <v>153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10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108"/>
      <c r="C33" s="31"/>
      <c r="D33" s="31"/>
      <c r="E33" s="31"/>
      <c r="F33" s="31"/>
      <c r="G33" s="96"/>
      <c r="H33" s="97"/>
      <c r="I33" s="31"/>
      <c r="J33" s="109" t="s">
        <v>129</v>
      </c>
      <c r="K33" s="52"/>
      <c r="L33" s="52"/>
      <c r="M33" s="52"/>
      <c r="N33" s="52"/>
      <c r="O33" s="52"/>
      <c r="P33" s="52"/>
      <c r="Q33" s="110"/>
      <c r="R33" s="52" t="s">
        <v>152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10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108"/>
      <c r="C34" s="31"/>
      <c r="D34" s="31"/>
      <c r="E34" s="31"/>
      <c r="F34" s="31"/>
      <c r="G34" s="96"/>
      <c r="H34" s="97"/>
      <c r="I34" s="31"/>
      <c r="J34" s="109" t="s">
        <v>98</v>
      </c>
      <c r="K34" s="52"/>
      <c r="L34" s="52"/>
      <c r="M34" s="52"/>
      <c r="N34" s="52"/>
      <c r="O34" s="52"/>
      <c r="P34" s="52"/>
      <c r="Q34" s="110"/>
      <c r="R34" s="52" t="s">
        <v>142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10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108"/>
      <c r="C35" s="31"/>
      <c r="D35" s="31"/>
      <c r="E35" s="31"/>
      <c r="F35" s="31"/>
      <c r="G35" s="96"/>
      <c r="H35" s="97"/>
      <c r="I35" s="31"/>
      <c r="J35" s="109" t="s">
        <v>100</v>
      </c>
      <c r="K35" s="52"/>
      <c r="L35" s="52"/>
      <c r="M35" s="52"/>
      <c r="N35" s="52"/>
      <c r="O35" s="52"/>
      <c r="P35" s="52"/>
      <c r="Q35" s="110"/>
      <c r="R35" s="52" t="s">
        <v>143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10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108"/>
      <c r="C36" s="31"/>
      <c r="D36" s="31"/>
      <c r="E36" s="31"/>
      <c r="F36" s="31"/>
      <c r="G36" s="96"/>
      <c r="H36" s="31"/>
      <c r="I36" s="31"/>
      <c r="J36" s="109" t="s">
        <v>132</v>
      </c>
      <c r="K36" s="52"/>
      <c r="L36" s="52"/>
      <c r="M36" s="52"/>
      <c r="N36" s="52"/>
      <c r="O36" s="52"/>
      <c r="P36" s="52"/>
      <c r="Q36" s="110"/>
      <c r="R36" s="52" t="s">
        <v>144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10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108"/>
      <c r="C37" s="31"/>
      <c r="D37" s="31"/>
      <c r="E37" s="31"/>
      <c r="F37" s="31"/>
      <c r="G37" s="96"/>
      <c r="H37" s="97"/>
      <c r="I37" s="31"/>
      <c r="J37" s="109" t="s">
        <v>133</v>
      </c>
      <c r="K37" s="52"/>
      <c r="L37" s="52"/>
      <c r="M37" s="52"/>
      <c r="N37" s="52"/>
      <c r="O37" s="52"/>
      <c r="P37" s="52"/>
      <c r="Q37" s="110"/>
      <c r="R37" s="52" t="s">
        <v>145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10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108"/>
      <c r="C38" s="31"/>
      <c r="D38" s="31"/>
      <c r="E38" s="31"/>
      <c r="F38" s="31"/>
      <c r="G38" s="96"/>
      <c r="H38" s="97"/>
      <c r="I38" s="31"/>
      <c r="J38" s="109" t="s">
        <v>134</v>
      </c>
      <c r="K38" s="52"/>
      <c r="L38" s="52"/>
      <c r="M38" s="52"/>
      <c r="N38" s="52"/>
      <c r="O38" s="52"/>
      <c r="P38" s="52"/>
      <c r="Q38" s="110"/>
      <c r="R38" s="52" t="s">
        <v>146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10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19.8" customHeight="1" x14ac:dyDescent="0.45">
      <c r="B39" s="108"/>
      <c r="C39" s="31"/>
      <c r="D39" s="31"/>
      <c r="E39" s="31"/>
      <c r="F39" s="31"/>
      <c r="G39" s="96"/>
      <c r="H39" s="97"/>
      <c r="I39" s="31"/>
      <c r="J39" s="109" t="s">
        <v>135</v>
      </c>
      <c r="K39" s="52"/>
      <c r="L39" s="52"/>
      <c r="M39" s="52"/>
      <c r="N39" s="52"/>
      <c r="O39" s="52"/>
      <c r="P39" s="52"/>
      <c r="Q39" s="110"/>
      <c r="R39" s="52" t="s">
        <v>147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10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108"/>
      <c r="C40" s="31"/>
      <c r="D40" s="31"/>
      <c r="E40" s="31"/>
      <c r="F40" s="31"/>
      <c r="G40" s="96"/>
      <c r="H40" s="31"/>
      <c r="I40" s="31"/>
      <c r="J40" s="109" t="s">
        <v>136</v>
      </c>
      <c r="K40" s="52"/>
      <c r="L40" s="52"/>
      <c r="M40" s="52"/>
      <c r="N40" s="52"/>
      <c r="O40" s="52"/>
      <c r="P40" s="52"/>
      <c r="Q40" s="110"/>
      <c r="R40" s="52" t="s">
        <v>148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10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108"/>
      <c r="C41" s="31"/>
      <c r="D41" s="31"/>
      <c r="E41" s="31"/>
      <c r="F41" s="31"/>
      <c r="G41" s="96"/>
      <c r="H41" s="97"/>
      <c r="I41" s="31"/>
      <c r="J41" s="109" t="s">
        <v>137</v>
      </c>
      <c r="K41" s="52"/>
      <c r="L41" s="52"/>
      <c r="M41" s="52"/>
      <c r="N41" s="52"/>
      <c r="O41" s="52"/>
      <c r="P41" s="52"/>
      <c r="Q41" s="110"/>
      <c r="R41" s="52" t="s">
        <v>149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10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19.8" customHeight="1" x14ac:dyDescent="0.45">
      <c r="B42" s="108"/>
      <c r="C42" s="31"/>
      <c r="D42" s="31"/>
      <c r="E42" s="31"/>
      <c r="F42" s="31"/>
      <c r="G42" s="96"/>
      <c r="H42" s="97"/>
      <c r="I42" s="31"/>
      <c r="J42" s="109" t="s">
        <v>138</v>
      </c>
      <c r="K42" s="52"/>
      <c r="L42" s="52"/>
      <c r="M42" s="52"/>
      <c r="N42" s="52"/>
      <c r="O42" s="52"/>
      <c r="P42" s="52"/>
      <c r="Q42" s="110"/>
      <c r="R42" s="52" t="s">
        <v>150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10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108"/>
      <c r="C43" s="31"/>
      <c r="D43" s="31"/>
      <c r="E43" s="31"/>
      <c r="F43" s="31"/>
      <c r="G43" s="96"/>
      <c r="H43" s="31"/>
      <c r="I43" s="31"/>
      <c r="J43" s="109" t="s">
        <v>139</v>
      </c>
      <c r="K43" s="52"/>
      <c r="L43" s="52"/>
      <c r="M43" s="52"/>
      <c r="N43" s="52"/>
      <c r="O43" s="52"/>
      <c r="P43" s="52"/>
      <c r="Q43" s="110"/>
      <c r="R43" s="52" t="s">
        <v>151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10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108"/>
      <c r="C44" s="31"/>
      <c r="D44" s="31"/>
      <c r="E44" s="31"/>
      <c r="F44" s="31"/>
      <c r="G44" s="96"/>
      <c r="H44" s="100" t="s">
        <v>52</v>
      </c>
      <c r="I44" s="55"/>
      <c r="J44" s="100" t="s">
        <v>130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101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102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100" t="s">
        <v>53</v>
      </c>
      <c r="I45" s="55"/>
      <c r="J45" s="100" t="s">
        <v>156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101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102"/>
    </row>
    <row r="46" spans="2:61" ht="20.100000000000001" customHeight="1" x14ac:dyDescent="0.45">
      <c r="B46" s="95"/>
      <c r="C46" s="31"/>
      <c r="D46" s="31"/>
      <c r="E46" s="31"/>
      <c r="F46" s="31"/>
      <c r="G46" s="96"/>
      <c r="H46" s="97"/>
      <c r="I46" s="31"/>
      <c r="J46" s="97"/>
      <c r="K46" s="31" t="s">
        <v>157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98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95"/>
      <c r="C47" s="31"/>
      <c r="D47" s="31"/>
      <c r="E47" s="31"/>
      <c r="F47" s="31"/>
      <c r="G47" s="96"/>
      <c r="H47" s="97"/>
      <c r="I47" s="31"/>
      <c r="J47" s="97"/>
      <c r="K47" s="31" t="s">
        <v>158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98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95"/>
      <c r="C48" s="31"/>
      <c r="D48" s="31"/>
      <c r="E48" s="31"/>
      <c r="F48" s="31"/>
      <c r="G48" s="96"/>
      <c r="H48" s="97"/>
      <c r="I48" s="31"/>
      <c r="J48" s="97"/>
      <c r="K48" s="31" t="s">
        <v>159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98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x14ac:dyDescent="0.45">
      <c r="B49" s="95"/>
      <c r="C49" s="31"/>
      <c r="D49" s="31"/>
      <c r="E49" s="31"/>
      <c r="F49" s="31"/>
      <c r="G49" s="96"/>
      <c r="H49" s="97"/>
      <c r="I49" s="31"/>
      <c r="J49" s="97"/>
      <c r="K49" s="31" t="s">
        <v>160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98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95"/>
      <c r="C50" s="31"/>
      <c r="D50" s="31"/>
      <c r="E50" s="31"/>
      <c r="F50" s="31"/>
      <c r="G50" s="96"/>
      <c r="H50" s="100" t="s">
        <v>54</v>
      </c>
      <c r="I50" s="55"/>
      <c r="J50" s="100" t="s">
        <v>161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101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102"/>
    </row>
    <row r="51" spans="2:61" ht="20.100000000000001" customHeight="1" x14ac:dyDescent="0.45">
      <c r="B51" s="95"/>
      <c r="C51" s="31"/>
      <c r="D51" s="31"/>
      <c r="E51" s="31"/>
      <c r="F51" s="31"/>
      <c r="G51" s="96"/>
      <c r="H51" s="97"/>
      <c r="I51" s="31"/>
      <c r="J51" s="97"/>
      <c r="K51" s="31" t="s">
        <v>162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97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95"/>
      <c r="C52" s="31"/>
      <c r="D52" s="31"/>
      <c r="E52" s="31"/>
      <c r="F52" s="31"/>
      <c r="G52" s="96"/>
      <c r="H52" s="97"/>
      <c r="I52" s="31"/>
      <c r="J52" s="97"/>
      <c r="K52" s="31" t="s">
        <v>164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97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95"/>
      <c r="C53" s="31"/>
      <c r="D53" s="31"/>
      <c r="E53" s="31"/>
      <c r="F53" s="31"/>
      <c r="G53" s="96"/>
      <c r="H53" s="97"/>
      <c r="I53" s="31"/>
      <c r="J53" s="97"/>
      <c r="K53" s="31" t="s">
        <v>165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97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95"/>
      <c r="C54" s="31"/>
      <c r="D54" s="31"/>
      <c r="E54" s="31"/>
      <c r="F54" s="31"/>
      <c r="G54" s="96"/>
      <c r="H54" s="97"/>
      <c r="I54" s="31"/>
      <c r="J54" s="97"/>
      <c r="K54" s="31" t="s">
        <v>163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97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95"/>
      <c r="C55" s="31"/>
      <c r="D55" s="31"/>
      <c r="E55" s="31"/>
      <c r="F55" s="31"/>
      <c r="G55" s="96"/>
      <c r="H55" s="97"/>
      <c r="I55" s="31"/>
      <c r="J55" s="97"/>
      <c r="K55" s="31"/>
      <c r="L55" s="31" t="s">
        <v>166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97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9"/>
    </row>
    <row r="56" spans="2:61" ht="20.100000000000001" customHeight="1" x14ac:dyDescent="0.45">
      <c r="B56" s="95"/>
      <c r="C56" s="31"/>
      <c r="D56" s="31"/>
      <c r="E56" s="31"/>
      <c r="F56" s="31"/>
      <c r="G56" s="96"/>
      <c r="H56" s="97"/>
      <c r="I56" s="31"/>
      <c r="J56" s="97"/>
      <c r="K56" s="31"/>
      <c r="L56" s="31" t="s">
        <v>167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97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 x14ac:dyDescent="0.45">
      <c r="B57" s="95"/>
      <c r="C57" s="31"/>
      <c r="D57" s="31"/>
      <c r="E57" s="31"/>
      <c r="F57" s="31"/>
      <c r="G57" s="96"/>
      <c r="H57" s="97"/>
      <c r="I57" s="31"/>
      <c r="J57" s="97"/>
      <c r="K57" s="31"/>
      <c r="L57" s="31" t="s">
        <v>168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97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95"/>
      <c r="C58" s="31"/>
      <c r="D58" s="31"/>
      <c r="E58" s="31"/>
      <c r="F58" s="31"/>
      <c r="G58" s="96"/>
      <c r="H58" s="97"/>
      <c r="I58" s="31"/>
      <c r="J58" s="97"/>
      <c r="K58" s="31"/>
      <c r="L58" s="31" t="s">
        <v>169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97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95"/>
      <c r="C59" s="31"/>
      <c r="D59" s="31"/>
      <c r="E59" s="31"/>
      <c r="F59" s="31"/>
      <c r="G59" s="96"/>
      <c r="H59" s="97"/>
      <c r="I59" s="31"/>
      <c r="J59" s="97"/>
      <c r="K59" s="31"/>
      <c r="L59" s="31" t="s">
        <v>170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97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95"/>
      <c r="C60" s="31"/>
      <c r="D60" s="31"/>
      <c r="E60" s="31"/>
      <c r="F60" s="31"/>
      <c r="G60" s="96"/>
      <c r="H60" s="97"/>
      <c r="I60" s="31"/>
      <c r="J60" s="97"/>
      <c r="K60" s="31"/>
      <c r="L60" s="31" t="s">
        <v>171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97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x14ac:dyDescent="0.45">
      <c r="B61" s="95"/>
      <c r="C61" s="31"/>
      <c r="D61" s="31"/>
      <c r="E61" s="31"/>
      <c r="F61" s="31"/>
      <c r="G61" s="96"/>
      <c r="H61" s="97"/>
      <c r="I61" s="31"/>
      <c r="J61" s="97"/>
      <c r="K61" s="31"/>
      <c r="L61" s="31" t="s">
        <v>172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97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95"/>
      <c r="C62" s="31"/>
      <c r="D62" s="31"/>
      <c r="E62" s="31"/>
      <c r="F62" s="31"/>
      <c r="G62" s="96"/>
      <c r="H62" s="97"/>
      <c r="I62" s="31"/>
      <c r="J62" s="97"/>
      <c r="K62" s="31"/>
      <c r="L62" s="31" t="s">
        <v>173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97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19.8" customHeight="1" thickBot="1" x14ac:dyDescent="0.5">
      <c r="B63" s="95"/>
      <c r="C63" s="31"/>
      <c r="D63" s="31"/>
      <c r="E63" s="31"/>
      <c r="F63" s="31"/>
      <c r="G63" s="96"/>
      <c r="H63" s="100" t="s">
        <v>118</v>
      </c>
      <c r="I63" s="55"/>
      <c r="J63" s="100" t="s">
        <v>174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101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102"/>
    </row>
    <row r="64" spans="2:61" ht="20.100000000000001" customHeight="1" x14ac:dyDescent="0.45">
      <c r="B64" s="89" t="s">
        <v>175</v>
      </c>
      <c r="C64" s="90"/>
      <c r="D64" s="90"/>
      <c r="E64" s="90"/>
      <c r="F64" s="90"/>
      <c r="G64" s="91"/>
      <c r="H64" s="92" t="s">
        <v>55</v>
      </c>
      <c r="I64" s="90"/>
      <c r="J64" s="105" t="s">
        <v>176</v>
      </c>
      <c r="K64" s="106"/>
      <c r="L64" s="106"/>
      <c r="M64" s="106"/>
      <c r="N64" s="106"/>
      <c r="O64" s="106"/>
      <c r="P64" s="106"/>
      <c r="Q64" s="107"/>
      <c r="R64" s="106" t="s">
        <v>185</v>
      </c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7"/>
      <c r="AK64" s="93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4"/>
    </row>
    <row r="65" spans="2:61" ht="20.100000000000001" customHeight="1" x14ac:dyDescent="0.45">
      <c r="B65" s="108"/>
      <c r="C65" s="31"/>
      <c r="D65" s="31"/>
      <c r="E65" s="31"/>
      <c r="F65" s="31"/>
      <c r="G65" s="96"/>
      <c r="H65" s="97"/>
      <c r="I65" s="31"/>
      <c r="J65" s="109" t="s">
        <v>177</v>
      </c>
      <c r="K65" s="52"/>
      <c r="L65" s="52"/>
      <c r="M65" s="52"/>
      <c r="N65" s="52"/>
      <c r="O65" s="52"/>
      <c r="P65" s="52"/>
      <c r="Q65" s="110"/>
      <c r="R65" s="52" t="s">
        <v>186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110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108"/>
      <c r="C66" s="31"/>
      <c r="D66" s="31"/>
      <c r="E66" s="31"/>
      <c r="F66" s="31"/>
      <c r="G66" s="96"/>
      <c r="H66" s="97"/>
      <c r="I66" s="31"/>
      <c r="J66" s="109" t="s">
        <v>178</v>
      </c>
      <c r="K66" s="52"/>
      <c r="L66" s="52"/>
      <c r="M66" s="52"/>
      <c r="N66" s="52"/>
      <c r="O66" s="52"/>
      <c r="P66" s="52"/>
      <c r="Q66" s="110"/>
      <c r="R66" s="52" t="s">
        <v>187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10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08"/>
      <c r="C67" s="31"/>
      <c r="D67" s="31"/>
      <c r="E67" s="31"/>
      <c r="F67" s="31"/>
      <c r="G67" s="96"/>
      <c r="H67" s="97"/>
      <c r="I67" s="31"/>
      <c r="J67" s="109" t="s">
        <v>179</v>
      </c>
      <c r="K67" s="52"/>
      <c r="L67" s="52"/>
      <c r="M67" s="52"/>
      <c r="N67" s="52"/>
      <c r="O67" s="52"/>
      <c r="P67" s="52"/>
      <c r="Q67" s="110"/>
      <c r="R67" s="52" t="s">
        <v>188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10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 x14ac:dyDescent="0.45">
      <c r="B68" s="108"/>
      <c r="C68" s="31"/>
      <c r="D68" s="31"/>
      <c r="E68" s="31"/>
      <c r="F68" s="31"/>
      <c r="G68" s="96"/>
      <c r="H68" s="31"/>
      <c r="I68" s="31"/>
      <c r="J68" s="109" t="s">
        <v>180</v>
      </c>
      <c r="K68" s="52"/>
      <c r="L68" s="52"/>
      <c r="M68" s="52"/>
      <c r="N68" s="52"/>
      <c r="O68" s="52"/>
      <c r="P68" s="52"/>
      <c r="Q68" s="110"/>
      <c r="R68" s="52" t="s">
        <v>189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10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 x14ac:dyDescent="0.45">
      <c r="B69" s="108"/>
      <c r="C69" s="31"/>
      <c r="D69" s="31"/>
      <c r="E69" s="31"/>
      <c r="F69" s="31"/>
      <c r="G69" s="96"/>
      <c r="H69" s="97"/>
      <c r="I69" s="31"/>
      <c r="J69" s="109" t="s">
        <v>181</v>
      </c>
      <c r="K69" s="52"/>
      <c r="L69" s="52"/>
      <c r="M69" s="52"/>
      <c r="N69" s="52"/>
      <c r="O69" s="52"/>
      <c r="P69" s="52"/>
      <c r="Q69" s="110"/>
      <c r="R69" s="52" t="s">
        <v>190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10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 x14ac:dyDescent="0.45">
      <c r="B70" s="108"/>
      <c r="C70" s="31"/>
      <c r="D70" s="31"/>
      <c r="E70" s="31"/>
      <c r="F70" s="31"/>
      <c r="G70" s="96"/>
      <c r="H70" s="97"/>
      <c r="I70" s="31"/>
      <c r="J70" s="109" t="s">
        <v>182</v>
      </c>
      <c r="K70" s="52"/>
      <c r="L70" s="52"/>
      <c r="M70" s="52"/>
      <c r="N70" s="52"/>
      <c r="O70" s="52"/>
      <c r="P70" s="52"/>
      <c r="Q70" s="110"/>
      <c r="R70" s="52" t="s">
        <v>191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10"/>
      <c r="AK70" s="9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99"/>
    </row>
    <row r="71" spans="2:61" ht="20.100000000000001" customHeight="1" thickBot="1" x14ac:dyDescent="0.5">
      <c r="B71" s="108"/>
      <c r="C71" s="31"/>
      <c r="D71" s="31"/>
      <c r="E71" s="31"/>
      <c r="F71" s="31"/>
      <c r="G71" s="96"/>
      <c r="H71" s="100" t="s">
        <v>183</v>
      </c>
      <c r="I71" s="55"/>
      <c r="J71" s="100" t="s">
        <v>184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101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102"/>
    </row>
    <row r="72" spans="2:61" ht="20.100000000000001" customHeight="1" x14ac:dyDescent="0.45">
      <c r="B72" s="89" t="s">
        <v>192</v>
      </c>
      <c r="C72" s="90"/>
      <c r="D72" s="90"/>
      <c r="E72" s="90"/>
      <c r="F72" s="90"/>
      <c r="G72" s="91"/>
      <c r="H72" s="92" t="s">
        <v>193</v>
      </c>
      <c r="I72" s="90"/>
      <c r="J72" s="105" t="s">
        <v>176</v>
      </c>
      <c r="K72" s="106"/>
      <c r="L72" s="106"/>
      <c r="M72" s="106"/>
      <c r="N72" s="106"/>
      <c r="O72" s="106"/>
      <c r="P72" s="106"/>
      <c r="Q72" s="107"/>
      <c r="R72" s="106" t="s">
        <v>234</v>
      </c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7"/>
      <c r="AK72" s="93" t="s">
        <v>194</v>
      </c>
      <c r="AL72" s="90"/>
      <c r="AM72" s="90"/>
      <c r="AN72" s="90"/>
      <c r="AO72" s="90"/>
      <c r="AP72" s="90"/>
      <c r="AQ72" s="90"/>
      <c r="AR72" s="90" t="s">
        <v>195</v>
      </c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4"/>
    </row>
    <row r="73" spans="2:61" ht="20.100000000000001" customHeight="1" x14ac:dyDescent="0.45">
      <c r="B73" s="108"/>
      <c r="C73" s="31"/>
      <c r="D73" s="31"/>
      <c r="E73" s="31"/>
      <c r="F73" s="31"/>
      <c r="G73" s="96"/>
      <c r="H73" s="97"/>
      <c r="I73" s="31"/>
      <c r="J73" s="109" t="s">
        <v>197</v>
      </c>
      <c r="K73" s="52"/>
      <c r="L73" s="52"/>
      <c r="M73" s="52"/>
      <c r="N73" s="52"/>
      <c r="O73" s="52"/>
      <c r="P73" s="52"/>
      <c r="Q73" s="110"/>
      <c r="R73" s="52" t="s">
        <v>235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10"/>
      <c r="AK73" s="9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99"/>
    </row>
    <row r="74" spans="2:61" ht="20.100000000000001" customHeight="1" x14ac:dyDescent="0.45">
      <c r="B74" s="108"/>
      <c r="C74" s="31"/>
      <c r="D74" s="31"/>
      <c r="E74" s="31"/>
      <c r="F74" s="31"/>
      <c r="G74" s="96"/>
      <c r="H74" s="97"/>
      <c r="I74" s="31"/>
      <c r="J74" s="109" t="s">
        <v>198</v>
      </c>
      <c r="K74" s="52"/>
      <c r="L74" s="52"/>
      <c r="M74" s="52"/>
      <c r="N74" s="52"/>
      <c r="O74" s="52"/>
      <c r="P74" s="52"/>
      <c r="Q74" s="110"/>
      <c r="R74" s="52" t="s">
        <v>196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10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08"/>
      <c r="C75" s="31"/>
      <c r="D75" s="31"/>
      <c r="E75" s="31"/>
      <c r="F75" s="31"/>
      <c r="G75" s="96"/>
      <c r="H75" s="97"/>
      <c r="I75" s="31"/>
      <c r="J75" s="109" t="s">
        <v>199</v>
      </c>
      <c r="K75" s="52"/>
      <c r="L75" s="52"/>
      <c r="M75" s="52"/>
      <c r="N75" s="52"/>
      <c r="O75" s="52"/>
      <c r="P75" s="52"/>
      <c r="Q75" s="110"/>
      <c r="R75" s="52" t="s">
        <v>236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10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08"/>
      <c r="C76" s="31"/>
      <c r="D76" s="31"/>
      <c r="E76" s="31"/>
      <c r="F76" s="31"/>
      <c r="G76" s="96"/>
      <c r="H76" s="31"/>
      <c r="I76" s="31"/>
      <c r="J76" s="109" t="s">
        <v>200</v>
      </c>
      <c r="K76" s="52"/>
      <c r="L76" s="52"/>
      <c r="M76" s="52"/>
      <c r="N76" s="52"/>
      <c r="O76" s="52"/>
      <c r="P76" s="52"/>
      <c r="Q76" s="110"/>
      <c r="R76" s="52" t="s">
        <v>237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10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108"/>
      <c r="C77" s="31"/>
      <c r="D77" s="31"/>
      <c r="E77" s="31"/>
      <c r="F77" s="31"/>
      <c r="G77" s="96"/>
      <c r="H77" s="97"/>
      <c r="I77" s="31"/>
      <c r="J77" s="109" t="s">
        <v>201</v>
      </c>
      <c r="K77" s="52"/>
      <c r="L77" s="52"/>
      <c r="M77" s="52"/>
      <c r="N77" s="52"/>
      <c r="O77" s="52"/>
      <c r="P77" s="52"/>
      <c r="Q77" s="110"/>
      <c r="R77" s="52" t="s">
        <v>238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10"/>
      <c r="AK77" s="98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 x14ac:dyDescent="0.45">
      <c r="B78" s="108"/>
      <c r="C78" s="31"/>
      <c r="D78" s="31"/>
      <c r="E78" s="31"/>
      <c r="F78" s="31"/>
      <c r="G78" s="96"/>
      <c r="H78" s="97"/>
      <c r="I78" s="31"/>
      <c r="J78" s="109" t="s">
        <v>202</v>
      </c>
      <c r="K78" s="52"/>
      <c r="L78" s="52"/>
      <c r="M78" s="52"/>
      <c r="N78" s="52"/>
      <c r="O78" s="52"/>
      <c r="P78" s="52"/>
      <c r="Q78" s="110"/>
      <c r="R78" s="52" t="s">
        <v>239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10"/>
      <c r="AK78" s="98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99"/>
    </row>
    <row r="79" spans="2:61" ht="20.100000000000001" customHeight="1" x14ac:dyDescent="0.45">
      <c r="B79" s="108"/>
      <c r="C79" s="31"/>
      <c r="D79" s="31"/>
      <c r="E79" s="31"/>
      <c r="F79" s="31"/>
      <c r="G79" s="96"/>
      <c r="H79" s="97"/>
      <c r="I79" s="31"/>
      <c r="J79" s="109" t="s">
        <v>203</v>
      </c>
      <c r="K79" s="52"/>
      <c r="L79" s="52"/>
      <c r="M79" s="52"/>
      <c r="N79" s="52"/>
      <c r="O79" s="52"/>
      <c r="P79" s="52"/>
      <c r="Q79" s="110"/>
      <c r="R79" s="52" t="s">
        <v>240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10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108"/>
      <c r="C80" s="31"/>
      <c r="D80" s="31"/>
      <c r="E80" s="31"/>
      <c r="F80" s="31"/>
      <c r="G80" s="96"/>
      <c r="H80" s="31"/>
      <c r="I80" s="31"/>
      <c r="J80" s="109" t="s">
        <v>204</v>
      </c>
      <c r="K80" s="52"/>
      <c r="L80" s="52"/>
      <c r="M80" s="52"/>
      <c r="N80" s="52"/>
      <c r="O80" s="52"/>
      <c r="P80" s="52"/>
      <c r="Q80" s="110"/>
      <c r="R80" s="52" t="s">
        <v>241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10"/>
      <c r="AK80" s="98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 x14ac:dyDescent="0.45">
      <c r="B81" s="108"/>
      <c r="C81" s="31"/>
      <c r="D81" s="31"/>
      <c r="E81" s="31"/>
      <c r="F81" s="31"/>
      <c r="G81" s="96"/>
      <c r="H81" s="97"/>
      <c r="I81" s="31"/>
      <c r="J81" s="109" t="s">
        <v>205</v>
      </c>
      <c r="K81" s="52"/>
      <c r="L81" s="52"/>
      <c r="M81" s="52"/>
      <c r="N81" s="52"/>
      <c r="O81" s="52"/>
      <c r="P81" s="52"/>
      <c r="Q81" s="110"/>
      <c r="R81" s="52" t="s">
        <v>242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10"/>
      <c r="AK81" s="98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108"/>
      <c r="C82" s="31"/>
      <c r="D82" s="31"/>
      <c r="E82" s="31"/>
      <c r="F82" s="31"/>
      <c r="G82" s="96"/>
      <c r="H82" s="97"/>
      <c r="I82" s="31"/>
      <c r="J82" s="109" t="s">
        <v>206</v>
      </c>
      <c r="K82" s="52"/>
      <c r="L82" s="52"/>
      <c r="M82" s="52"/>
      <c r="N82" s="52"/>
      <c r="O82" s="52"/>
      <c r="P82" s="52"/>
      <c r="Q82" s="110"/>
      <c r="R82" s="52" t="s">
        <v>243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10"/>
      <c r="AK82" s="98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 x14ac:dyDescent="0.45">
      <c r="B83" s="108"/>
      <c r="C83" s="31"/>
      <c r="D83" s="31"/>
      <c r="E83" s="31"/>
      <c r="F83" s="31"/>
      <c r="G83" s="96"/>
      <c r="H83" s="97"/>
      <c r="I83" s="31"/>
      <c r="J83" s="109" t="s">
        <v>207</v>
      </c>
      <c r="K83" s="52"/>
      <c r="L83" s="52"/>
      <c r="M83" s="52"/>
      <c r="N83" s="52"/>
      <c r="O83" s="52"/>
      <c r="P83" s="52"/>
      <c r="Q83" s="110"/>
      <c r="R83" s="52" t="s">
        <v>244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10"/>
      <c r="AK83" s="98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 x14ac:dyDescent="0.45">
      <c r="B84" s="108"/>
      <c r="C84" s="31"/>
      <c r="D84" s="31"/>
      <c r="E84" s="31"/>
      <c r="F84" s="31"/>
      <c r="G84" s="96"/>
      <c r="H84" s="31"/>
      <c r="I84" s="31"/>
      <c r="J84" s="109" t="s">
        <v>208</v>
      </c>
      <c r="K84" s="52"/>
      <c r="L84" s="52"/>
      <c r="M84" s="52"/>
      <c r="N84" s="52"/>
      <c r="O84" s="52"/>
      <c r="P84" s="52"/>
      <c r="Q84" s="110"/>
      <c r="R84" s="52" t="s">
        <v>245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10"/>
      <c r="AK84" s="98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 x14ac:dyDescent="0.45">
      <c r="B85" s="108"/>
      <c r="C85" s="31"/>
      <c r="D85" s="31"/>
      <c r="E85" s="31"/>
      <c r="F85" s="31"/>
      <c r="G85" s="96"/>
      <c r="H85" s="97"/>
      <c r="I85" s="31"/>
      <c r="J85" s="109" t="s">
        <v>209</v>
      </c>
      <c r="K85" s="52"/>
      <c r="L85" s="52"/>
      <c r="M85" s="52"/>
      <c r="N85" s="52"/>
      <c r="O85" s="52"/>
      <c r="P85" s="52"/>
      <c r="Q85" s="110"/>
      <c r="R85" s="52" t="s">
        <v>246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10"/>
      <c r="AK85" s="98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 x14ac:dyDescent="0.45">
      <c r="B86" s="108"/>
      <c r="C86" s="31"/>
      <c r="D86" s="31"/>
      <c r="E86" s="31"/>
      <c r="F86" s="31"/>
      <c r="G86" s="96"/>
      <c r="H86" s="97"/>
      <c r="I86" s="31"/>
      <c r="J86" s="109" t="s">
        <v>210</v>
      </c>
      <c r="K86" s="52"/>
      <c r="L86" s="52"/>
      <c r="M86" s="52"/>
      <c r="N86" s="52"/>
      <c r="O86" s="52"/>
      <c r="P86" s="52"/>
      <c r="Q86" s="110"/>
      <c r="R86" s="52" t="s">
        <v>247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10"/>
      <c r="AK86" s="98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19.8" customHeight="1" x14ac:dyDescent="0.45">
      <c r="B87" s="108"/>
      <c r="C87" s="31"/>
      <c r="D87" s="31"/>
      <c r="E87" s="31"/>
      <c r="F87" s="31"/>
      <c r="G87" s="96"/>
      <c r="H87" s="97"/>
      <c r="I87" s="31"/>
      <c r="J87" s="109" t="s">
        <v>211</v>
      </c>
      <c r="K87" s="52"/>
      <c r="L87" s="52"/>
      <c r="M87" s="52"/>
      <c r="N87" s="52"/>
      <c r="O87" s="52"/>
      <c r="P87" s="52"/>
      <c r="Q87" s="110"/>
      <c r="R87" s="52" t="s">
        <v>248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10"/>
      <c r="AK87" s="98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99"/>
    </row>
    <row r="88" spans="2:61" ht="20.100000000000001" customHeight="1" x14ac:dyDescent="0.45">
      <c r="B88" s="108"/>
      <c r="C88" s="31"/>
      <c r="D88" s="31"/>
      <c r="E88" s="31"/>
      <c r="F88" s="31"/>
      <c r="G88" s="96"/>
      <c r="H88" s="31"/>
      <c r="I88" s="31"/>
      <c r="J88" s="109" t="s">
        <v>212</v>
      </c>
      <c r="K88" s="52"/>
      <c r="L88" s="52"/>
      <c r="M88" s="52"/>
      <c r="N88" s="52"/>
      <c r="O88" s="52"/>
      <c r="P88" s="52"/>
      <c r="Q88" s="110"/>
      <c r="R88" s="52" t="s">
        <v>249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10"/>
      <c r="AK88" s="98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x14ac:dyDescent="0.45">
      <c r="B89" s="108"/>
      <c r="C89" s="31"/>
      <c r="D89" s="31"/>
      <c r="E89" s="31"/>
      <c r="F89" s="31"/>
      <c r="G89" s="96"/>
      <c r="H89" s="97"/>
      <c r="I89" s="31"/>
      <c r="J89" s="109" t="s">
        <v>213</v>
      </c>
      <c r="K89" s="52"/>
      <c r="L89" s="52"/>
      <c r="M89" s="52"/>
      <c r="N89" s="52"/>
      <c r="O89" s="52"/>
      <c r="P89" s="52"/>
      <c r="Q89" s="110"/>
      <c r="R89" s="52" t="s">
        <v>250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10"/>
      <c r="AK89" s="98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19.8" customHeight="1" x14ac:dyDescent="0.45">
      <c r="B90" s="108"/>
      <c r="C90" s="31"/>
      <c r="D90" s="31"/>
      <c r="E90" s="31"/>
      <c r="F90" s="31"/>
      <c r="G90" s="96"/>
      <c r="H90" s="97"/>
      <c r="I90" s="31"/>
      <c r="J90" s="109" t="s">
        <v>214</v>
      </c>
      <c r="K90" s="52"/>
      <c r="L90" s="52"/>
      <c r="M90" s="52"/>
      <c r="N90" s="52"/>
      <c r="O90" s="52"/>
      <c r="P90" s="52"/>
      <c r="Q90" s="110"/>
      <c r="R90" s="52" t="s">
        <v>251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10"/>
      <c r="AK90" s="98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 x14ac:dyDescent="0.45">
      <c r="B91" s="108"/>
      <c r="C91" s="31"/>
      <c r="D91" s="31"/>
      <c r="E91" s="31"/>
      <c r="F91" s="31"/>
      <c r="G91" s="96"/>
      <c r="H91" s="31"/>
      <c r="I91" s="31"/>
      <c r="J91" s="109" t="s">
        <v>215</v>
      </c>
      <c r="K91" s="52"/>
      <c r="L91" s="52"/>
      <c r="M91" s="52"/>
      <c r="N91" s="52"/>
      <c r="O91" s="52"/>
      <c r="P91" s="52"/>
      <c r="Q91" s="110"/>
      <c r="R91" s="52" t="s">
        <v>252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10"/>
      <c r="AK91" s="98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 x14ac:dyDescent="0.45">
      <c r="B92" s="108"/>
      <c r="C92" s="31"/>
      <c r="D92" s="31"/>
      <c r="E92" s="31"/>
      <c r="F92" s="31"/>
      <c r="G92" s="96"/>
      <c r="H92" s="97"/>
      <c r="I92" s="31"/>
      <c r="J92" s="109" t="s">
        <v>216</v>
      </c>
      <c r="K92" s="52"/>
      <c r="L92" s="52"/>
      <c r="M92" s="52"/>
      <c r="N92" s="52"/>
      <c r="O92" s="52"/>
      <c r="P92" s="52"/>
      <c r="Q92" s="110"/>
      <c r="R92" s="52" t="s">
        <v>253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10"/>
      <c r="AK92" s="98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 x14ac:dyDescent="0.45">
      <c r="B93" s="108"/>
      <c r="C93" s="31"/>
      <c r="D93" s="31"/>
      <c r="E93" s="31"/>
      <c r="F93" s="31"/>
      <c r="G93" s="96"/>
      <c r="H93" s="97"/>
      <c r="I93" s="31"/>
      <c r="J93" s="109" t="s">
        <v>217</v>
      </c>
      <c r="K93" s="52"/>
      <c r="L93" s="52"/>
      <c r="M93" s="52"/>
      <c r="N93" s="52"/>
      <c r="O93" s="52"/>
      <c r="P93" s="52"/>
      <c r="Q93" s="110"/>
      <c r="R93" s="52" t="s">
        <v>254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10"/>
      <c r="AK93" s="98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19.8" customHeight="1" x14ac:dyDescent="0.45">
      <c r="B94" s="108"/>
      <c r="C94" s="31"/>
      <c r="D94" s="31"/>
      <c r="E94" s="31"/>
      <c r="F94" s="31"/>
      <c r="G94" s="96"/>
      <c r="H94" s="97"/>
      <c r="I94" s="31"/>
      <c r="J94" s="109" t="s">
        <v>218</v>
      </c>
      <c r="K94" s="52"/>
      <c r="L94" s="52"/>
      <c r="M94" s="52"/>
      <c r="N94" s="52"/>
      <c r="O94" s="52"/>
      <c r="P94" s="52"/>
      <c r="Q94" s="110"/>
      <c r="R94" s="52" t="s">
        <v>255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10"/>
      <c r="AK94" s="98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99"/>
    </row>
    <row r="95" spans="2:61" ht="20.100000000000001" customHeight="1" x14ac:dyDescent="0.45">
      <c r="B95" s="108"/>
      <c r="C95" s="31"/>
      <c r="D95" s="31"/>
      <c r="E95" s="31"/>
      <c r="F95" s="31"/>
      <c r="G95" s="96"/>
      <c r="H95" s="31"/>
      <c r="I95" s="31"/>
      <c r="J95" s="109" t="s">
        <v>219</v>
      </c>
      <c r="K95" s="52"/>
      <c r="L95" s="52"/>
      <c r="M95" s="52"/>
      <c r="N95" s="52"/>
      <c r="O95" s="52"/>
      <c r="P95" s="52"/>
      <c r="Q95" s="110"/>
      <c r="R95" s="52" t="s">
        <v>256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10"/>
      <c r="AK95" s="98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x14ac:dyDescent="0.45">
      <c r="B96" s="108"/>
      <c r="C96" s="31"/>
      <c r="D96" s="31"/>
      <c r="E96" s="31"/>
      <c r="F96" s="31"/>
      <c r="G96" s="96"/>
      <c r="H96" s="97"/>
      <c r="I96" s="31"/>
      <c r="J96" s="109" t="s">
        <v>220</v>
      </c>
      <c r="K96" s="52"/>
      <c r="L96" s="52"/>
      <c r="M96" s="52"/>
      <c r="N96" s="52"/>
      <c r="O96" s="52"/>
      <c r="P96" s="52"/>
      <c r="Q96" s="110"/>
      <c r="R96" s="52" t="s">
        <v>257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10"/>
      <c r="AK96" s="98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99"/>
    </row>
    <row r="97" spans="2:61" ht="19.8" customHeight="1" x14ac:dyDescent="0.45">
      <c r="B97" s="108"/>
      <c r="C97" s="31"/>
      <c r="D97" s="31"/>
      <c r="E97" s="31"/>
      <c r="F97" s="31"/>
      <c r="G97" s="96"/>
      <c r="H97" s="97"/>
      <c r="I97" s="31"/>
      <c r="J97" s="109" t="s">
        <v>221</v>
      </c>
      <c r="K97" s="52"/>
      <c r="L97" s="52"/>
      <c r="M97" s="52"/>
      <c r="N97" s="52"/>
      <c r="O97" s="52"/>
      <c r="P97" s="52"/>
      <c r="Q97" s="110"/>
      <c r="R97" s="52" t="s">
        <v>258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10"/>
      <c r="AK97" s="98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99"/>
    </row>
    <row r="98" spans="2:61" ht="20.100000000000001" customHeight="1" x14ac:dyDescent="0.45">
      <c r="B98" s="108"/>
      <c r="C98" s="31"/>
      <c r="D98" s="31"/>
      <c r="E98" s="31"/>
      <c r="F98" s="31"/>
      <c r="G98" s="96"/>
      <c r="H98" s="31"/>
      <c r="I98" s="31"/>
      <c r="J98" s="109" t="s">
        <v>222</v>
      </c>
      <c r="K98" s="52"/>
      <c r="L98" s="52"/>
      <c r="M98" s="52"/>
      <c r="N98" s="52"/>
      <c r="O98" s="52"/>
      <c r="P98" s="52"/>
      <c r="Q98" s="110"/>
      <c r="R98" s="6" t="s">
        <v>259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10"/>
      <c r="AK98" s="98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99"/>
    </row>
    <row r="99" spans="2:61" ht="20.100000000000001" customHeight="1" x14ac:dyDescent="0.45">
      <c r="B99" s="108"/>
      <c r="C99" s="31"/>
      <c r="D99" s="31"/>
      <c r="E99" s="31"/>
      <c r="F99" s="31"/>
      <c r="G99" s="96"/>
      <c r="H99" s="97"/>
      <c r="I99" s="31"/>
      <c r="J99" s="109" t="s">
        <v>223</v>
      </c>
      <c r="K99" s="52"/>
      <c r="L99" s="52"/>
      <c r="M99" s="52"/>
      <c r="N99" s="52"/>
      <c r="O99" s="52"/>
      <c r="P99" s="52"/>
      <c r="Q99" s="110"/>
      <c r="R99" s="52" t="s">
        <v>260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10"/>
      <c r="AK99" s="98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99"/>
    </row>
    <row r="100" spans="2:61" ht="20.100000000000001" customHeight="1" x14ac:dyDescent="0.45">
      <c r="B100" s="108"/>
      <c r="C100" s="31"/>
      <c r="D100" s="31"/>
      <c r="E100" s="31"/>
      <c r="F100" s="31"/>
      <c r="G100" s="96"/>
      <c r="H100" s="100" t="s">
        <v>183</v>
      </c>
      <c r="I100" s="55"/>
      <c r="J100" s="100" t="s">
        <v>224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101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102"/>
    </row>
    <row r="101" spans="2:61" ht="20.100000000000001" customHeight="1" x14ac:dyDescent="0.45">
      <c r="B101" s="95"/>
      <c r="C101" s="31"/>
      <c r="D101" s="31"/>
      <c r="E101" s="31"/>
      <c r="F101" s="31"/>
      <c r="G101" s="96"/>
      <c r="H101" s="100" t="s">
        <v>225</v>
      </c>
      <c r="I101" s="55"/>
      <c r="J101" s="100" t="s">
        <v>226</v>
      </c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101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102"/>
    </row>
    <row r="102" spans="2:61" ht="20.100000000000001" customHeight="1" x14ac:dyDescent="0.45">
      <c r="B102" s="95"/>
      <c r="C102" s="31"/>
      <c r="D102" s="31"/>
      <c r="E102" s="31"/>
      <c r="F102" s="31"/>
      <c r="G102" s="96"/>
      <c r="H102" s="97"/>
      <c r="I102" s="31"/>
      <c r="J102" s="97"/>
      <c r="K102" s="31" t="s">
        <v>227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98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99"/>
    </row>
    <row r="103" spans="2:61" ht="20.100000000000001" customHeight="1" x14ac:dyDescent="0.45">
      <c r="B103" s="95"/>
      <c r="C103" s="31"/>
      <c r="D103" s="31"/>
      <c r="E103" s="31"/>
      <c r="F103" s="31"/>
      <c r="G103" s="96"/>
      <c r="H103" s="97"/>
      <c r="I103" s="31"/>
      <c r="J103" s="97" t="s">
        <v>228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98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99"/>
    </row>
    <row r="104" spans="2:61" ht="20.100000000000001" customHeight="1" x14ac:dyDescent="0.45">
      <c r="B104" s="95"/>
      <c r="C104" s="31"/>
      <c r="D104" s="31"/>
      <c r="E104" s="31"/>
      <c r="F104" s="31"/>
      <c r="G104" s="96"/>
      <c r="H104" s="97"/>
      <c r="I104" s="31"/>
      <c r="J104" s="97"/>
      <c r="K104" s="31" t="s">
        <v>229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98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99"/>
    </row>
    <row r="105" spans="2:61" ht="20.100000000000001" customHeight="1" x14ac:dyDescent="0.45">
      <c r="B105" s="95"/>
      <c r="C105" s="31"/>
      <c r="D105" s="31"/>
      <c r="E105" s="31"/>
      <c r="F105" s="31"/>
      <c r="G105" s="96"/>
      <c r="H105" s="100" t="s">
        <v>230</v>
      </c>
      <c r="I105" s="55"/>
      <c r="J105" s="100" t="s">
        <v>231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01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102"/>
    </row>
    <row r="106" spans="2:61" ht="20.100000000000001" customHeight="1" x14ac:dyDescent="0.45">
      <c r="B106" s="95"/>
      <c r="C106" s="31"/>
      <c r="D106" s="31"/>
      <c r="E106" s="31"/>
      <c r="F106" s="31"/>
      <c r="G106" s="96"/>
      <c r="H106" s="97"/>
      <c r="I106" s="31"/>
      <c r="J106" s="97"/>
      <c r="K106" s="31" t="s">
        <v>232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97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99"/>
    </row>
    <row r="107" spans="2:61" ht="20.100000000000001" customHeight="1" thickBot="1" x14ac:dyDescent="0.5">
      <c r="B107" s="95"/>
      <c r="C107" s="31"/>
      <c r="D107" s="31"/>
      <c r="E107" s="31"/>
      <c r="F107" s="31"/>
      <c r="G107" s="96"/>
      <c r="H107" s="97"/>
      <c r="I107" s="31"/>
      <c r="J107" s="97"/>
      <c r="K107" s="31" t="s">
        <v>233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97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99"/>
    </row>
    <row r="108" spans="2:61" ht="20.100000000000001" customHeight="1" x14ac:dyDescent="0.45">
      <c r="B108" s="89" t="s">
        <v>261</v>
      </c>
      <c r="C108" s="90"/>
      <c r="D108" s="90"/>
      <c r="E108" s="90"/>
      <c r="F108" s="90"/>
      <c r="G108" s="91"/>
      <c r="H108" s="92" t="s">
        <v>193</v>
      </c>
      <c r="I108" s="90"/>
      <c r="J108" s="105" t="s">
        <v>176</v>
      </c>
      <c r="K108" s="106"/>
      <c r="L108" s="106"/>
      <c r="M108" s="106"/>
      <c r="N108" s="106"/>
      <c r="O108" s="106"/>
      <c r="P108" s="106"/>
      <c r="Q108" s="107"/>
      <c r="R108" s="106" t="s">
        <v>234</v>
      </c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7"/>
      <c r="AK108" s="93" t="s">
        <v>194</v>
      </c>
      <c r="AL108" s="90"/>
      <c r="AM108" s="90"/>
      <c r="AN108" s="90"/>
      <c r="AO108" s="90"/>
      <c r="AP108" s="90"/>
      <c r="AQ108" s="90"/>
      <c r="AR108" s="90" t="s">
        <v>262</v>
      </c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4"/>
    </row>
    <row r="109" spans="2:61" ht="20.100000000000001" customHeight="1" x14ac:dyDescent="0.45">
      <c r="B109" s="108"/>
      <c r="C109" s="31"/>
      <c r="D109" s="31"/>
      <c r="E109" s="31"/>
      <c r="F109" s="31"/>
      <c r="G109" s="96"/>
      <c r="H109" s="97"/>
      <c r="I109" s="31"/>
      <c r="J109" s="109" t="s">
        <v>197</v>
      </c>
      <c r="K109" s="52"/>
      <c r="L109" s="52"/>
      <c r="M109" s="52"/>
      <c r="N109" s="52"/>
      <c r="O109" s="52"/>
      <c r="P109" s="52"/>
      <c r="Q109" s="110"/>
      <c r="R109" s="52" t="s">
        <v>235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110"/>
      <c r="AK109" s="98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99"/>
    </row>
    <row r="110" spans="2:61" ht="20.100000000000001" customHeight="1" x14ac:dyDescent="0.45">
      <c r="B110" s="108"/>
      <c r="C110" s="31"/>
      <c r="D110" s="31"/>
      <c r="E110" s="31"/>
      <c r="F110" s="31"/>
      <c r="G110" s="96"/>
      <c r="H110" s="97"/>
      <c r="I110" s="31"/>
      <c r="J110" s="109" t="s">
        <v>198</v>
      </c>
      <c r="K110" s="52"/>
      <c r="L110" s="52"/>
      <c r="M110" s="52"/>
      <c r="N110" s="52"/>
      <c r="O110" s="52"/>
      <c r="P110" s="52"/>
      <c r="Q110" s="110"/>
      <c r="R110" s="52" t="s">
        <v>263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10"/>
      <c r="AK110" s="98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99"/>
    </row>
    <row r="111" spans="2:61" ht="20.100000000000001" customHeight="1" x14ac:dyDescent="0.45">
      <c r="B111" s="108"/>
      <c r="C111" s="31"/>
      <c r="D111" s="31"/>
      <c r="E111" s="31"/>
      <c r="F111" s="31"/>
      <c r="G111" s="96"/>
      <c r="H111" s="97"/>
      <c r="I111" s="31"/>
      <c r="J111" s="109" t="s">
        <v>199</v>
      </c>
      <c r="K111" s="52"/>
      <c r="L111" s="52"/>
      <c r="M111" s="52"/>
      <c r="N111" s="52"/>
      <c r="O111" s="52"/>
      <c r="P111" s="52"/>
      <c r="Q111" s="110"/>
      <c r="R111" s="52" t="s">
        <v>236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10"/>
      <c r="AK111" s="98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99"/>
    </row>
    <row r="112" spans="2:61" ht="20.100000000000001" customHeight="1" x14ac:dyDescent="0.45">
      <c r="B112" s="108"/>
      <c r="C112" s="31"/>
      <c r="D112" s="31"/>
      <c r="E112" s="31"/>
      <c r="F112" s="31"/>
      <c r="G112" s="96"/>
      <c r="H112" s="31"/>
      <c r="I112" s="31"/>
      <c r="J112" s="109" t="s">
        <v>200</v>
      </c>
      <c r="K112" s="52"/>
      <c r="L112" s="52"/>
      <c r="M112" s="52"/>
      <c r="N112" s="52"/>
      <c r="O112" s="52"/>
      <c r="P112" s="52"/>
      <c r="Q112" s="110"/>
      <c r="R112" s="52" t="s">
        <v>237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10"/>
      <c r="AK112" s="98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99"/>
    </row>
    <row r="113" spans="2:61" ht="20.100000000000001" customHeight="1" x14ac:dyDescent="0.45">
      <c r="B113" s="108"/>
      <c r="C113" s="31"/>
      <c r="D113" s="31"/>
      <c r="E113" s="31"/>
      <c r="F113" s="31"/>
      <c r="G113" s="96"/>
      <c r="H113" s="97"/>
      <c r="I113" s="31"/>
      <c r="J113" s="109" t="s">
        <v>201</v>
      </c>
      <c r="K113" s="52"/>
      <c r="L113" s="52"/>
      <c r="M113" s="52"/>
      <c r="N113" s="52"/>
      <c r="O113" s="52"/>
      <c r="P113" s="52"/>
      <c r="Q113" s="110"/>
      <c r="R113" s="52" t="s">
        <v>264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110"/>
      <c r="AK113" s="98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99"/>
    </row>
    <row r="114" spans="2:61" ht="20.100000000000001" customHeight="1" x14ac:dyDescent="0.45">
      <c r="B114" s="108"/>
      <c r="C114" s="31"/>
      <c r="D114" s="31"/>
      <c r="E114" s="31"/>
      <c r="F114" s="31"/>
      <c r="G114" s="96"/>
      <c r="H114" s="97"/>
      <c r="I114" s="31"/>
      <c r="J114" s="109" t="s">
        <v>202</v>
      </c>
      <c r="K114" s="52"/>
      <c r="L114" s="52"/>
      <c r="M114" s="52"/>
      <c r="N114" s="52"/>
      <c r="O114" s="52"/>
      <c r="P114" s="52"/>
      <c r="Q114" s="110"/>
      <c r="R114" s="52" t="s">
        <v>265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10"/>
      <c r="AK114" s="98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99"/>
    </row>
    <row r="115" spans="2:61" ht="20.100000000000001" customHeight="1" x14ac:dyDescent="0.45">
      <c r="B115" s="108"/>
      <c r="C115" s="31"/>
      <c r="D115" s="31"/>
      <c r="E115" s="31"/>
      <c r="F115" s="31"/>
      <c r="G115" s="96"/>
      <c r="H115" s="97"/>
      <c r="I115" s="31"/>
      <c r="J115" s="109" t="s">
        <v>203</v>
      </c>
      <c r="K115" s="52"/>
      <c r="L115" s="52"/>
      <c r="M115" s="52"/>
      <c r="N115" s="52"/>
      <c r="O115" s="52"/>
      <c r="P115" s="52"/>
      <c r="Q115" s="110"/>
      <c r="R115" s="52" t="s">
        <v>267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10"/>
      <c r="AK115" s="98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99"/>
    </row>
    <row r="116" spans="2:61" ht="20.100000000000001" customHeight="1" x14ac:dyDescent="0.45">
      <c r="B116" s="108"/>
      <c r="C116" s="31"/>
      <c r="D116" s="31"/>
      <c r="E116" s="31"/>
      <c r="F116" s="31"/>
      <c r="G116" s="96"/>
      <c r="H116" s="31"/>
      <c r="I116" s="31"/>
      <c r="J116" s="109" t="s">
        <v>204</v>
      </c>
      <c r="K116" s="52"/>
      <c r="L116" s="52"/>
      <c r="M116" s="52"/>
      <c r="N116" s="52"/>
      <c r="O116" s="52"/>
      <c r="P116" s="52"/>
      <c r="Q116" s="110"/>
      <c r="R116" s="52" t="s">
        <v>267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110"/>
      <c r="AK116" s="98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99"/>
    </row>
    <row r="117" spans="2:61" ht="20.100000000000001" customHeight="1" x14ac:dyDescent="0.45">
      <c r="B117" s="108"/>
      <c r="C117" s="31"/>
      <c r="D117" s="31"/>
      <c r="E117" s="31"/>
      <c r="F117" s="31"/>
      <c r="G117" s="96"/>
      <c r="H117" s="97"/>
      <c r="I117" s="31"/>
      <c r="J117" s="109" t="s">
        <v>205</v>
      </c>
      <c r="K117" s="52"/>
      <c r="L117" s="52"/>
      <c r="M117" s="52"/>
      <c r="N117" s="52"/>
      <c r="O117" s="52"/>
      <c r="P117" s="52"/>
      <c r="Q117" s="110"/>
      <c r="R117" s="52" t="s">
        <v>267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110"/>
      <c r="AK117" s="98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99"/>
    </row>
    <row r="118" spans="2:61" ht="20.100000000000001" customHeight="1" x14ac:dyDescent="0.45">
      <c r="B118" s="108"/>
      <c r="C118" s="31"/>
      <c r="D118" s="31"/>
      <c r="E118" s="31"/>
      <c r="F118" s="31"/>
      <c r="G118" s="96"/>
      <c r="H118" s="97"/>
      <c r="I118" s="31"/>
      <c r="J118" s="109" t="s">
        <v>206</v>
      </c>
      <c r="K118" s="52"/>
      <c r="L118" s="52"/>
      <c r="M118" s="52"/>
      <c r="N118" s="52"/>
      <c r="O118" s="52"/>
      <c r="P118" s="52"/>
      <c r="Q118" s="110"/>
      <c r="R118" s="52" t="s">
        <v>267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110"/>
      <c r="AK118" s="98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99"/>
    </row>
    <row r="119" spans="2:61" ht="20.100000000000001" customHeight="1" x14ac:dyDescent="0.45">
      <c r="B119" s="108"/>
      <c r="C119" s="31"/>
      <c r="D119" s="31"/>
      <c r="E119" s="31"/>
      <c r="F119" s="31"/>
      <c r="G119" s="96"/>
      <c r="H119" s="97"/>
      <c r="I119" s="31"/>
      <c r="J119" s="109" t="s">
        <v>207</v>
      </c>
      <c r="K119" s="52"/>
      <c r="L119" s="52"/>
      <c r="M119" s="52"/>
      <c r="N119" s="52"/>
      <c r="O119" s="52"/>
      <c r="P119" s="52"/>
      <c r="Q119" s="110"/>
      <c r="R119" s="112" t="s">
        <v>266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110"/>
      <c r="AK119" s="98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99"/>
    </row>
    <row r="120" spans="2:61" ht="20.100000000000001" customHeight="1" x14ac:dyDescent="0.45">
      <c r="B120" s="108"/>
      <c r="C120" s="31"/>
      <c r="D120" s="31"/>
      <c r="E120" s="31"/>
      <c r="F120" s="31"/>
      <c r="G120" s="96"/>
      <c r="H120" s="31"/>
      <c r="I120" s="31"/>
      <c r="J120" s="109" t="s">
        <v>208</v>
      </c>
      <c r="K120" s="52"/>
      <c r="L120" s="52"/>
      <c r="M120" s="52"/>
      <c r="N120" s="52"/>
      <c r="O120" s="52"/>
      <c r="P120" s="52"/>
      <c r="Q120" s="110"/>
      <c r="R120" s="52" t="s">
        <v>267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110"/>
      <c r="AK120" s="98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99"/>
    </row>
    <row r="121" spans="2:61" ht="20.100000000000001" customHeight="1" x14ac:dyDescent="0.45">
      <c r="B121" s="108"/>
      <c r="C121" s="31"/>
      <c r="D121" s="31"/>
      <c r="E121" s="31"/>
      <c r="F121" s="31"/>
      <c r="G121" s="96"/>
      <c r="H121" s="97"/>
      <c r="I121" s="31"/>
      <c r="J121" s="109" t="s">
        <v>209</v>
      </c>
      <c r="K121" s="52"/>
      <c r="L121" s="52"/>
      <c r="M121" s="52"/>
      <c r="N121" s="52"/>
      <c r="O121" s="52"/>
      <c r="P121" s="52"/>
      <c r="Q121" s="110"/>
      <c r="R121" s="52" t="s">
        <v>267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110"/>
      <c r="AK121" s="98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99"/>
    </row>
    <row r="122" spans="2:61" ht="20.100000000000001" customHeight="1" x14ac:dyDescent="0.45">
      <c r="B122" s="108"/>
      <c r="C122" s="31"/>
      <c r="D122" s="31"/>
      <c r="E122" s="31"/>
      <c r="F122" s="31"/>
      <c r="G122" s="96"/>
      <c r="H122" s="97"/>
      <c r="I122" s="31"/>
      <c r="J122" s="109" t="s">
        <v>210</v>
      </c>
      <c r="K122" s="52"/>
      <c r="L122" s="52"/>
      <c r="M122" s="52"/>
      <c r="N122" s="52"/>
      <c r="O122" s="52"/>
      <c r="P122" s="52"/>
      <c r="Q122" s="110"/>
      <c r="R122" s="52" t="s">
        <v>267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110"/>
      <c r="AK122" s="98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99"/>
    </row>
    <row r="123" spans="2:61" ht="19.8" customHeight="1" x14ac:dyDescent="0.45">
      <c r="B123" s="108"/>
      <c r="C123" s="31"/>
      <c r="D123" s="31"/>
      <c r="E123" s="31"/>
      <c r="F123" s="31"/>
      <c r="G123" s="96"/>
      <c r="H123" s="97"/>
      <c r="I123" s="31"/>
      <c r="J123" s="109" t="s">
        <v>211</v>
      </c>
      <c r="K123" s="52"/>
      <c r="L123" s="52"/>
      <c r="M123" s="52"/>
      <c r="N123" s="52"/>
      <c r="O123" s="52"/>
      <c r="P123" s="52"/>
      <c r="Q123" s="110"/>
      <c r="R123" s="52" t="s">
        <v>267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10"/>
      <c r="AK123" s="98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99"/>
    </row>
    <row r="124" spans="2:61" ht="20.100000000000001" customHeight="1" x14ac:dyDescent="0.45">
      <c r="B124" s="108"/>
      <c r="C124" s="31"/>
      <c r="D124" s="31"/>
      <c r="E124" s="31"/>
      <c r="F124" s="31"/>
      <c r="G124" s="96"/>
      <c r="H124" s="31"/>
      <c r="I124" s="31"/>
      <c r="J124" s="109" t="s">
        <v>212</v>
      </c>
      <c r="K124" s="52"/>
      <c r="L124" s="52"/>
      <c r="M124" s="52"/>
      <c r="N124" s="52"/>
      <c r="O124" s="52"/>
      <c r="P124" s="52"/>
      <c r="Q124" s="110"/>
      <c r="R124" s="52" t="s">
        <v>267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10"/>
      <c r="AK124" s="98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99"/>
    </row>
    <row r="125" spans="2:61" ht="20.100000000000001" customHeight="1" x14ac:dyDescent="0.45">
      <c r="B125" s="108"/>
      <c r="C125" s="31"/>
      <c r="D125" s="31"/>
      <c r="E125" s="31"/>
      <c r="F125" s="31"/>
      <c r="G125" s="96"/>
      <c r="H125" s="97"/>
      <c r="I125" s="31"/>
      <c r="J125" s="109" t="s">
        <v>213</v>
      </c>
      <c r="K125" s="52"/>
      <c r="L125" s="52"/>
      <c r="M125" s="52"/>
      <c r="N125" s="52"/>
      <c r="O125" s="52"/>
      <c r="P125" s="52"/>
      <c r="Q125" s="110"/>
      <c r="R125" s="52" t="s">
        <v>267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10"/>
      <c r="AK125" s="98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99"/>
    </row>
    <row r="126" spans="2:61" ht="19.8" customHeight="1" x14ac:dyDescent="0.45">
      <c r="B126" s="108"/>
      <c r="C126" s="31"/>
      <c r="D126" s="31"/>
      <c r="E126" s="31"/>
      <c r="F126" s="31"/>
      <c r="G126" s="96"/>
      <c r="H126" s="97"/>
      <c r="I126" s="31"/>
      <c r="J126" s="109" t="s">
        <v>214</v>
      </c>
      <c r="K126" s="52"/>
      <c r="L126" s="52"/>
      <c r="M126" s="52"/>
      <c r="N126" s="52"/>
      <c r="O126" s="52"/>
      <c r="P126" s="52"/>
      <c r="Q126" s="110"/>
      <c r="R126" s="52" t="s">
        <v>267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10"/>
      <c r="AK126" s="98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99"/>
    </row>
    <row r="127" spans="2:61" ht="20.100000000000001" customHeight="1" x14ac:dyDescent="0.45">
      <c r="B127" s="108"/>
      <c r="C127" s="31"/>
      <c r="D127" s="31"/>
      <c r="E127" s="31"/>
      <c r="F127" s="31"/>
      <c r="G127" s="96"/>
      <c r="H127" s="31"/>
      <c r="I127" s="31"/>
      <c r="J127" s="109" t="s">
        <v>215</v>
      </c>
      <c r="K127" s="52"/>
      <c r="L127" s="52"/>
      <c r="M127" s="52"/>
      <c r="N127" s="52"/>
      <c r="O127" s="52"/>
      <c r="P127" s="52"/>
      <c r="Q127" s="110"/>
      <c r="R127" s="52" t="s">
        <v>267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10"/>
      <c r="AK127" s="98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99"/>
    </row>
    <row r="128" spans="2:61" ht="20.100000000000001" customHeight="1" x14ac:dyDescent="0.45">
      <c r="B128" s="108"/>
      <c r="C128" s="31"/>
      <c r="D128" s="31"/>
      <c r="E128" s="31"/>
      <c r="F128" s="31"/>
      <c r="G128" s="96"/>
      <c r="H128" s="97"/>
      <c r="I128" s="31"/>
      <c r="J128" s="109" t="s">
        <v>216</v>
      </c>
      <c r="K128" s="52"/>
      <c r="L128" s="52"/>
      <c r="M128" s="52"/>
      <c r="N128" s="52"/>
      <c r="O128" s="52"/>
      <c r="P128" s="52"/>
      <c r="Q128" s="110"/>
      <c r="R128" s="52" t="s">
        <v>267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10"/>
      <c r="AK128" s="98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99"/>
    </row>
    <row r="129" spans="2:61" ht="20.100000000000001" customHeight="1" x14ac:dyDescent="0.45">
      <c r="B129" s="108"/>
      <c r="C129" s="31"/>
      <c r="D129" s="31"/>
      <c r="E129" s="31"/>
      <c r="F129" s="31"/>
      <c r="G129" s="96"/>
      <c r="H129" s="97"/>
      <c r="I129" s="31"/>
      <c r="J129" s="109" t="s">
        <v>217</v>
      </c>
      <c r="K129" s="52"/>
      <c r="L129" s="52"/>
      <c r="M129" s="52"/>
      <c r="N129" s="52"/>
      <c r="O129" s="52"/>
      <c r="P129" s="52"/>
      <c r="Q129" s="110"/>
      <c r="R129" s="52" t="s">
        <v>267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10"/>
      <c r="AK129" s="98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99"/>
    </row>
    <row r="130" spans="2:61" ht="19.8" customHeight="1" x14ac:dyDescent="0.45">
      <c r="B130" s="108"/>
      <c r="C130" s="31"/>
      <c r="D130" s="31"/>
      <c r="E130" s="31"/>
      <c r="F130" s="31"/>
      <c r="G130" s="96"/>
      <c r="H130" s="97"/>
      <c r="I130" s="31"/>
      <c r="J130" s="109" t="s">
        <v>218</v>
      </c>
      <c r="K130" s="52"/>
      <c r="L130" s="52"/>
      <c r="M130" s="52"/>
      <c r="N130" s="52"/>
      <c r="O130" s="52"/>
      <c r="P130" s="52"/>
      <c r="Q130" s="110"/>
      <c r="R130" s="52" t="s">
        <v>275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10"/>
      <c r="AK130" s="98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99"/>
    </row>
    <row r="131" spans="2:61" ht="20.100000000000001" customHeight="1" x14ac:dyDescent="0.45">
      <c r="B131" s="108"/>
      <c r="C131" s="31"/>
      <c r="D131" s="31"/>
      <c r="E131" s="31"/>
      <c r="F131" s="31"/>
      <c r="G131" s="96"/>
      <c r="H131" s="31"/>
      <c r="I131" s="31"/>
      <c r="J131" s="109" t="s">
        <v>219</v>
      </c>
      <c r="K131" s="52"/>
      <c r="L131" s="52"/>
      <c r="M131" s="52"/>
      <c r="N131" s="52"/>
      <c r="O131" s="52"/>
      <c r="P131" s="52"/>
      <c r="Q131" s="110"/>
      <c r="R131" s="52" t="s">
        <v>267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10"/>
      <c r="AK131" s="98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99"/>
    </row>
    <row r="132" spans="2:61" ht="20.100000000000001" customHeight="1" x14ac:dyDescent="0.45">
      <c r="B132" s="108"/>
      <c r="C132" s="31"/>
      <c r="D132" s="31"/>
      <c r="E132" s="31"/>
      <c r="F132" s="31"/>
      <c r="G132" s="96"/>
      <c r="H132" s="97"/>
      <c r="I132" s="31"/>
      <c r="J132" s="109" t="s">
        <v>220</v>
      </c>
      <c r="K132" s="52"/>
      <c r="L132" s="52"/>
      <c r="M132" s="52"/>
      <c r="N132" s="52"/>
      <c r="O132" s="52"/>
      <c r="P132" s="52"/>
      <c r="Q132" s="110"/>
      <c r="R132" s="52" t="s">
        <v>257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10"/>
      <c r="AK132" s="98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99"/>
    </row>
    <row r="133" spans="2:61" ht="19.8" customHeight="1" x14ac:dyDescent="0.45">
      <c r="B133" s="108"/>
      <c r="C133" s="31"/>
      <c r="D133" s="31"/>
      <c r="E133" s="31"/>
      <c r="F133" s="31"/>
      <c r="G133" s="96"/>
      <c r="H133" s="97"/>
      <c r="I133" s="31"/>
      <c r="J133" s="109" t="s">
        <v>221</v>
      </c>
      <c r="K133" s="52"/>
      <c r="L133" s="52"/>
      <c r="M133" s="52"/>
      <c r="N133" s="52"/>
      <c r="O133" s="52"/>
      <c r="P133" s="52"/>
      <c r="Q133" s="110"/>
      <c r="R133" s="52" t="s">
        <v>258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10"/>
      <c r="AK133" s="98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99"/>
    </row>
    <row r="134" spans="2:61" ht="20.100000000000001" customHeight="1" x14ac:dyDescent="0.45">
      <c r="B134" s="108"/>
      <c r="C134" s="31"/>
      <c r="D134" s="31"/>
      <c r="E134" s="31"/>
      <c r="F134" s="31"/>
      <c r="G134" s="96"/>
      <c r="H134" s="31"/>
      <c r="I134" s="31"/>
      <c r="J134" s="109" t="s">
        <v>222</v>
      </c>
      <c r="K134" s="52"/>
      <c r="L134" s="52"/>
      <c r="M134" s="52"/>
      <c r="N134" s="52"/>
      <c r="O134" s="52"/>
      <c r="P134" s="52"/>
      <c r="Q134" s="110"/>
      <c r="R134" s="6" t="s">
        <v>259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10"/>
      <c r="AK134" s="98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99"/>
    </row>
    <row r="135" spans="2:61" ht="20.100000000000001" customHeight="1" x14ac:dyDescent="0.45">
      <c r="B135" s="108"/>
      <c r="C135" s="31"/>
      <c r="D135" s="31"/>
      <c r="E135" s="31"/>
      <c r="F135" s="31"/>
      <c r="G135" s="96"/>
      <c r="H135" s="97"/>
      <c r="I135" s="31"/>
      <c r="J135" s="109" t="s">
        <v>223</v>
      </c>
      <c r="K135" s="52"/>
      <c r="L135" s="52"/>
      <c r="M135" s="52"/>
      <c r="N135" s="52"/>
      <c r="O135" s="52"/>
      <c r="P135" s="52"/>
      <c r="Q135" s="110"/>
      <c r="R135" s="52" t="s">
        <v>260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10"/>
      <c r="AK135" s="98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99"/>
    </row>
    <row r="136" spans="2:61" ht="20.100000000000001" customHeight="1" x14ac:dyDescent="0.45">
      <c r="B136" s="108"/>
      <c r="C136" s="31"/>
      <c r="D136" s="31"/>
      <c r="E136" s="31"/>
      <c r="F136" s="31"/>
      <c r="G136" s="96"/>
      <c r="H136" s="100" t="s">
        <v>183</v>
      </c>
      <c r="I136" s="55"/>
      <c r="J136" s="100" t="s">
        <v>224</v>
      </c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101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102"/>
    </row>
    <row r="137" spans="2:61" ht="20.100000000000001" customHeight="1" x14ac:dyDescent="0.45">
      <c r="B137" s="95"/>
      <c r="C137" s="31"/>
      <c r="D137" s="31"/>
      <c r="E137" s="31"/>
      <c r="F137" s="31"/>
      <c r="G137" s="96"/>
      <c r="H137" s="100" t="s">
        <v>225</v>
      </c>
      <c r="I137" s="55"/>
      <c r="J137" s="100" t="s">
        <v>228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101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102"/>
    </row>
    <row r="138" spans="2:61" ht="20.100000000000001" customHeight="1" x14ac:dyDescent="0.45">
      <c r="B138" s="95"/>
      <c r="C138" s="31"/>
      <c r="D138" s="31"/>
      <c r="E138" s="31"/>
      <c r="F138" s="31"/>
      <c r="G138" s="96"/>
      <c r="H138" s="97"/>
      <c r="I138" s="31"/>
      <c r="J138" s="97"/>
      <c r="K138" s="31" t="s">
        <v>229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98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99"/>
    </row>
    <row r="139" spans="2:61" ht="20.100000000000001" customHeight="1" x14ac:dyDescent="0.45">
      <c r="B139" s="95"/>
      <c r="C139" s="31"/>
      <c r="D139" s="31"/>
      <c r="E139" s="31"/>
      <c r="F139" s="31"/>
      <c r="G139" s="96"/>
      <c r="H139" s="100" t="s">
        <v>230</v>
      </c>
      <c r="I139" s="55"/>
      <c r="J139" s="100" t="s">
        <v>231</v>
      </c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101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102"/>
    </row>
    <row r="140" spans="2:61" ht="20.100000000000001" customHeight="1" x14ac:dyDescent="0.45">
      <c r="B140" s="95"/>
      <c r="C140" s="31"/>
      <c r="D140" s="31"/>
      <c r="E140" s="31"/>
      <c r="F140" s="31"/>
      <c r="G140" s="96"/>
      <c r="H140" s="97"/>
      <c r="I140" s="31"/>
      <c r="J140" s="97"/>
      <c r="K140" s="31" t="s">
        <v>232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97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99"/>
    </row>
    <row r="141" spans="2:61" ht="20.100000000000001" customHeight="1" thickBot="1" x14ac:dyDescent="0.5">
      <c r="B141" s="95"/>
      <c r="C141" s="31"/>
      <c r="D141" s="31"/>
      <c r="E141" s="31"/>
      <c r="F141" s="31"/>
      <c r="G141" s="96"/>
      <c r="H141" s="97"/>
      <c r="I141" s="31"/>
      <c r="J141" s="97"/>
      <c r="K141" s="31" t="s">
        <v>233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97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99"/>
    </row>
    <row r="142" spans="2:61" ht="20.100000000000001" customHeight="1" x14ac:dyDescent="0.45">
      <c r="B142" s="89" t="s">
        <v>268</v>
      </c>
      <c r="C142" s="90"/>
      <c r="D142" s="90"/>
      <c r="E142" s="90"/>
      <c r="F142" s="90"/>
      <c r="G142" s="91"/>
      <c r="H142" s="92" t="s">
        <v>193</v>
      </c>
      <c r="I142" s="90"/>
      <c r="J142" s="105" t="s">
        <v>176</v>
      </c>
      <c r="K142" s="106"/>
      <c r="L142" s="106"/>
      <c r="M142" s="106"/>
      <c r="N142" s="106"/>
      <c r="O142" s="106"/>
      <c r="P142" s="106"/>
      <c r="Q142" s="107"/>
      <c r="R142" s="106" t="s">
        <v>234</v>
      </c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7"/>
      <c r="AK142" s="93" t="s">
        <v>194</v>
      </c>
      <c r="AL142" s="90"/>
      <c r="AM142" s="90"/>
      <c r="AN142" s="90"/>
      <c r="AO142" s="90"/>
      <c r="AP142" s="90"/>
      <c r="AQ142" s="90"/>
      <c r="AR142" s="90" t="s">
        <v>269</v>
      </c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4"/>
    </row>
    <row r="143" spans="2:61" ht="20.100000000000001" customHeight="1" x14ac:dyDescent="0.45">
      <c r="B143" s="108"/>
      <c r="C143" s="31"/>
      <c r="D143" s="31"/>
      <c r="E143" s="31"/>
      <c r="F143" s="31"/>
      <c r="G143" s="96"/>
      <c r="H143" s="97"/>
      <c r="I143" s="31"/>
      <c r="J143" s="109" t="s">
        <v>197</v>
      </c>
      <c r="K143" s="52"/>
      <c r="L143" s="52"/>
      <c r="M143" s="52"/>
      <c r="N143" s="52"/>
      <c r="O143" s="52"/>
      <c r="P143" s="52"/>
      <c r="Q143" s="110"/>
      <c r="R143" s="52" t="s">
        <v>235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10"/>
      <c r="AK143" s="98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99"/>
    </row>
    <row r="144" spans="2:61" ht="20.100000000000001" customHeight="1" x14ac:dyDescent="0.45">
      <c r="B144" s="108"/>
      <c r="C144" s="31"/>
      <c r="D144" s="31"/>
      <c r="E144" s="31"/>
      <c r="F144" s="31"/>
      <c r="G144" s="96"/>
      <c r="H144" s="97"/>
      <c r="I144" s="31"/>
      <c r="J144" s="109" t="s">
        <v>198</v>
      </c>
      <c r="K144" s="52"/>
      <c r="L144" s="52"/>
      <c r="M144" s="52"/>
      <c r="N144" s="52"/>
      <c r="O144" s="52"/>
      <c r="P144" s="52"/>
      <c r="Q144" s="110"/>
      <c r="R144" s="52" t="s">
        <v>263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10"/>
      <c r="AK144" s="98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99"/>
    </row>
    <row r="145" spans="2:61" ht="20.100000000000001" customHeight="1" x14ac:dyDescent="0.45">
      <c r="B145" s="108"/>
      <c r="C145" s="31"/>
      <c r="D145" s="31"/>
      <c r="E145" s="31"/>
      <c r="F145" s="31"/>
      <c r="G145" s="96"/>
      <c r="H145" s="97"/>
      <c r="I145" s="31"/>
      <c r="J145" s="109" t="s">
        <v>199</v>
      </c>
      <c r="K145" s="52"/>
      <c r="L145" s="52"/>
      <c r="M145" s="52"/>
      <c r="N145" s="52"/>
      <c r="O145" s="52"/>
      <c r="P145" s="52"/>
      <c r="Q145" s="110"/>
      <c r="R145" s="52" t="s">
        <v>236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10"/>
      <c r="AK145" s="98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99"/>
    </row>
    <row r="146" spans="2:61" ht="20.100000000000001" customHeight="1" x14ac:dyDescent="0.45">
      <c r="B146" s="108"/>
      <c r="C146" s="31"/>
      <c r="D146" s="31"/>
      <c r="E146" s="31"/>
      <c r="F146" s="31"/>
      <c r="G146" s="96"/>
      <c r="H146" s="31"/>
      <c r="I146" s="31"/>
      <c r="J146" s="109" t="s">
        <v>200</v>
      </c>
      <c r="K146" s="52"/>
      <c r="L146" s="52"/>
      <c r="M146" s="52"/>
      <c r="N146" s="52"/>
      <c r="O146" s="52"/>
      <c r="P146" s="52"/>
      <c r="Q146" s="110"/>
      <c r="R146" s="52" t="s">
        <v>237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10"/>
      <c r="AK146" s="98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99"/>
    </row>
    <row r="147" spans="2:61" ht="20.100000000000001" customHeight="1" x14ac:dyDescent="0.45">
      <c r="B147" s="108"/>
      <c r="C147" s="31"/>
      <c r="D147" s="31"/>
      <c r="E147" s="31"/>
      <c r="F147" s="31"/>
      <c r="G147" s="96"/>
      <c r="H147" s="97"/>
      <c r="I147" s="31"/>
      <c r="J147" s="109" t="s">
        <v>201</v>
      </c>
      <c r="K147" s="52"/>
      <c r="L147" s="52"/>
      <c r="M147" s="52"/>
      <c r="N147" s="52"/>
      <c r="O147" s="52"/>
      <c r="P147" s="52"/>
      <c r="Q147" s="110"/>
      <c r="R147" s="52" t="s">
        <v>270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10"/>
      <c r="AK147" s="98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99"/>
    </row>
    <row r="148" spans="2:61" ht="20.100000000000001" customHeight="1" x14ac:dyDescent="0.45">
      <c r="B148" s="108"/>
      <c r="C148" s="31"/>
      <c r="D148" s="31"/>
      <c r="E148" s="31"/>
      <c r="F148" s="31"/>
      <c r="G148" s="96"/>
      <c r="H148" s="97"/>
      <c r="I148" s="31"/>
      <c r="J148" s="109" t="s">
        <v>202</v>
      </c>
      <c r="K148" s="52"/>
      <c r="L148" s="52"/>
      <c r="M148" s="52"/>
      <c r="N148" s="52"/>
      <c r="O148" s="52"/>
      <c r="P148" s="52"/>
      <c r="Q148" s="110"/>
      <c r="R148" s="52" t="s">
        <v>271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10"/>
      <c r="AK148" s="98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99"/>
    </row>
    <row r="149" spans="2:61" ht="20.100000000000001" customHeight="1" x14ac:dyDescent="0.45">
      <c r="B149" s="108"/>
      <c r="C149" s="31"/>
      <c r="D149" s="31"/>
      <c r="E149" s="31"/>
      <c r="F149" s="31"/>
      <c r="G149" s="96"/>
      <c r="H149" s="97"/>
      <c r="I149" s="31"/>
      <c r="J149" s="109" t="s">
        <v>203</v>
      </c>
      <c r="K149" s="52"/>
      <c r="L149" s="52"/>
      <c r="M149" s="52"/>
      <c r="N149" s="52"/>
      <c r="O149" s="52"/>
      <c r="P149" s="52"/>
      <c r="Q149" s="110"/>
      <c r="R149" s="52" t="s">
        <v>267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10"/>
      <c r="AK149" s="98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99"/>
    </row>
    <row r="150" spans="2:61" ht="20.100000000000001" customHeight="1" x14ac:dyDescent="0.45">
      <c r="B150" s="108"/>
      <c r="C150" s="31"/>
      <c r="D150" s="31"/>
      <c r="E150" s="31"/>
      <c r="F150" s="31"/>
      <c r="G150" s="96"/>
      <c r="H150" s="31"/>
      <c r="I150" s="31"/>
      <c r="J150" s="109" t="s">
        <v>204</v>
      </c>
      <c r="K150" s="52"/>
      <c r="L150" s="52"/>
      <c r="M150" s="52"/>
      <c r="N150" s="52"/>
      <c r="O150" s="52"/>
      <c r="P150" s="52"/>
      <c r="Q150" s="110"/>
      <c r="R150" s="52" t="s">
        <v>267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10"/>
      <c r="AK150" s="98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99"/>
    </row>
    <row r="151" spans="2:61" ht="20.100000000000001" customHeight="1" x14ac:dyDescent="0.45">
      <c r="B151" s="108"/>
      <c r="C151" s="31"/>
      <c r="D151" s="31"/>
      <c r="E151" s="31"/>
      <c r="F151" s="31"/>
      <c r="G151" s="96"/>
      <c r="H151" s="97"/>
      <c r="I151" s="31"/>
      <c r="J151" s="109" t="s">
        <v>205</v>
      </c>
      <c r="K151" s="52"/>
      <c r="L151" s="52"/>
      <c r="M151" s="52"/>
      <c r="N151" s="52"/>
      <c r="O151" s="52"/>
      <c r="P151" s="52"/>
      <c r="Q151" s="110"/>
      <c r="R151" s="52" t="s">
        <v>267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10"/>
      <c r="AK151" s="98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99"/>
    </row>
    <row r="152" spans="2:61" ht="20.100000000000001" customHeight="1" x14ac:dyDescent="0.45">
      <c r="B152" s="108"/>
      <c r="C152" s="31"/>
      <c r="D152" s="31"/>
      <c r="E152" s="31"/>
      <c r="F152" s="31"/>
      <c r="G152" s="96"/>
      <c r="H152" s="97"/>
      <c r="I152" s="31"/>
      <c r="J152" s="109" t="s">
        <v>206</v>
      </c>
      <c r="K152" s="52"/>
      <c r="L152" s="52"/>
      <c r="M152" s="52"/>
      <c r="N152" s="52"/>
      <c r="O152" s="52"/>
      <c r="P152" s="52"/>
      <c r="Q152" s="110"/>
      <c r="R152" s="52" t="s">
        <v>267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10"/>
      <c r="AK152" s="98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99"/>
    </row>
    <row r="153" spans="2:61" ht="20.100000000000001" customHeight="1" x14ac:dyDescent="0.45">
      <c r="B153" s="108"/>
      <c r="C153" s="31"/>
      <c r="D153" s="31"/>
      <c r="E153" s="31"/>
      <c r="F153" s="31"/>
      <c r="G153" s="96"/>
      <c r="H153" s="97"/>
      <c r="I153" s="31"/>
      <c r="J153" s="109" t="s">
        <v>207</v>
      </c>
      <c r="K153" s="52"/>
      <c r="L153" s="52"/>
      <c r="M153" s="52"/>
      <c r="N153" s="52"/>
      <c r="O153" s="52"/>
      <c r="P153" s="52"/>
      <c r="Q153" s="110"/>
      <c r="R153" s="112" t="s">
        <v>272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10"/>
      <c r="AK153" s="98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99"/>
    </row>
    <row r="154" spans="2:61" ht="20.100000000000001" customHeight="1" x14ac:dyDescent="0.45">
      <c r="B154" s="108"/>
      <c r="C154" s="31"/>
      <c r="D154" s="31"/>
      <c r="E154" s="31"/>
      <c r="F154" s="31"/>
      <c r="G154" s="96"/>
      <c r="H154" s="31"/>
      <c r="I154" s="31"/>
      <c r="J154" s="109" t="s">
        <v>208</v>
      </c>
      <c r="K154" s="52"/>
      <c r="L154" s="52"/>
      <c r="M154" s="52"/>
      <c r="N154" s="52"/>
      <c r="O154" s="52"/>
      <c r="P154" s="52"/>
      <c r="Q154" s="110"/>
      <c r="R154" s="52" t="s">
        <v>267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110"/>
      <c r="AK154" s="98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99"/>
    </row>
    <row r="155" spans="2:61" ht="20.100000000000001" customHeight="1" x14ac:dyDescent="0.45">
      <c r="B155" s="108"/>
      <c r="C155" s="31"/>
      <c r="D155" s="31"/>
      <c r="E155" s="31"/>
      <c r="F155" s="31"/>
      <c r="G155" s="96"/>
      <c r="H155" s="97"/>
      <c r="I155" s="31"/>
      <c r="J155" s="109" t="s">
        <v>209</v>
      </c>
      <c r="K155" s="52"/>
      <c r="L155" s="52"/>
      <c r="M155" s="52"/>
      <c r="N155" s="52"/>
      <c r="O155" s="52"/>
      <c r="P155" s="52"/>
      <c r="Q155" s="110"/>
      <c r="R155" s="52" t="s">
        <v>267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110"/>
      <c r="AK155" s="98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99"/>
    </row>
    <row r="156" spans="2:61" ht="20.100000000000001" customHeight="1" x14ac:dyDescent="0.45">
      <c r="B156" s="108"/>
      <c r="C156" s="31"/>
      <c r="D156" s="31"/>
      <c r="E156" s="31"/>
      <c r="F156" s="31"/>
      <c r="G156" s="96"/>
      <c r="H156" s="97"/>
      <c r="I156" s="31"/>
      <c r="J156" s="109" t="s">
        <v>210</v>
      </c>
      <c r="K156" s="52"/>
      <c r="L156" s="52"/>
      <c r="M156" s="52"/>
      <c r="N156" s="52"/>
      <c r="O156" s="52"/>
      <c r="P156" s="52"/>
      <c r="Q156" s="110"/>
      <c r="R156" s="52" t="s">
        <v>267</v>
      </c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110"/>
      <c r="AK156" s="98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99"/>
    </row>
    <row r="157" spans="2:61" ht="19.8" customHeight="1" x14ac:dyDescent="0.45">
      <c r="B157" s="108"/>
      <c r="C157" s="31"/>
      <c r="D157" s="31"/>
      <c r="E157" s="31"/>
      <c r="F157" s="31"/>
      <c r="G157" s="96"/>
      <c r="H157" s="97"/>
      <c r="I157" s="31"/>
      <c r="J157" s="109" t="s">
        <v>211</v>
      </c>
      <c r="K157" s="52"/>
      <c r="L157" s="52"/>
      <c r="M157" s="52"/>
      <c r="N157" s="52"/>
      <c r="O157" s="52"/>
      <c r="P157" s="52"/>
      <c r="Q157" s="110"/>
      <c r="R157" s="52" t="s">
        <v>267</v>
      </c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110"/>
      <c r="AK157" s="98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99"/>
    </row>
    <row r="158" spans="2:61" ht="20.100000000000001" customHeight="1" x14ac:dyDescent="0.45">
      <c r="B158" s="108"/>
      <c r="C158" s="31"/>
      <c r="D158" s="31"/>
      <c r="E158" s="31"/>
      <c r="F158" s="31"/>
      <c r="G158" s="96"/>
      <c r="H158" s="31"/>
      <c r="I158" s="31"/>
      <c r="J158" s="109" t="s">
        <v>212</v>
      </c>
      <c r="K158" s="52"/>
      <c r="L158" s="52"/>
      <c r="M158" s="52"/>
      <c r="N158" s="52"/>
      <c r="O158" s="52"/>
      <c r="P158" s="52"/>
      <c r="Q158" s="110"/>
      <c r="R158" s="52" t="s">
        <v>267</v>
      </c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110"/>
      <c r="AK158" s="98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99"/>
    </row>
    <row r="159" spans="2:61" ht="20.100000000000001" customHeight="1" x14ac:dyDescent="0.45">
      <c r="B159" s="108"/>
      <c r="C159" s="31"/>
      <c r="D159" s="31"/>
      <c r="E159" s="31"/>
      <c r="F159" s="31"/>
      <c r="G159" s="96"/>
      <c r="H159" s="97"/>
      <c r="I159" s="31"/>
      <c r="J159" s="109" t="s">
        <v>213</v>
      </c>
      <c r="K159" s="52"/>
      <c r="L159" s="52"/>
      <c r="M159" s="52"/>
      <c r="N159" s="52"/>
      <c r="O159" s="52"/>
      <c r="P159" s="52"/>
      <c r="Q159" s="110"/>
      <c r="R159" s="52" t="s">
        <v>267</v>
      </c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110"/>
      <c r="AK159" s="98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99"/>
    </row>
    <row r="160" spans="2:61" ht="19.8" customHeight="1" x14ac:dyDescent="0.45">
      <c r="B160" s="108"/>
      <c r="C160" s="31"/>
      <c r="D160" s="31"/>
      <c r="E160" s="31"/>
      <c r="F160" s="31"/>
      <c r="G160" s="96"/>
      <c r="H160" s="97"/>
      <c r="I160" s="31"/>
      <c r="J160" s="109" t="s">
        <v>214</v>
      </c>
      <c r="K160" s="52"/>
      <c r="L160" s="52"/>
      <c r="M160" s="52"/>
      <c r="N160" s="52"/>
      <c r="O160" s="52"/>
      <c r="P160" s="52"/>
      <c r="Q160" s="110"/>
      <c r="R160" s="52" t="s">
        <v>267</v>
      </c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110"/>
      <c r="AK160" s="98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99"/>
    </row>
    <row r="161" spans="2:61" ht="20.100000000000001" customHeight="1" x14ac:dyDescent="0.45">
      <c r="B161" s="108"/>
      <c r="C161" s="31"/>
      <c r="D161" s="31"/>
      <c r="E161" s="31"/>
      <c r="F161" s="31"/>
      <c r="G161" s="96"/>
      <c r="H161" s="31"/>
      <c r="I161" s="31"/>
      <c r="J161" s="109" t="s">
        <v>215</v>
      </c>
      <c r="K161" s="52"/>
      <c r="L161" s="52"/>
      <c r="M161" s="52"/>
      <c r="N161" s="52"/>
      <c r="O161" s="52"/>
      <c r="P161" s="52"/>
      <c r="Q161" s="110"/>
      <c r="R161" s="52" t="s">
        <v>267</v>
      </c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110"/>
      <c r="AK161" s="98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99"/>
    </row>
    <row r="162" spans="2:61" ht="20.100000000000001" customHeight="1" x14ac:dyDescent="0.45">
      <c r="B162" s="108"/>
      <c r="C162" s="31"/>
      <c r="D162" s="31"/>
      <c r="E162" s="31"/>
      <c r="F162" s="31"/>
      <c r="G162" s="96"/>
      <c r="H162" s="97"/>
      <c r="I162" s="31"/>
      <c r="J162" s="109" t="s">
        <v>216</v>
      </c>
      <c r="K162" s="52"/>
      <c r="L162" s="52"/>
      <c r="M162" s="52"/>
      <c r="N162" s="52"/>
      <c r="O162" s="52"/>
      <c r="P162" s="52"/>
      <c r="Q162" s="110"/>
      <c r="R162" s="52" t="s">
        <v>267</v>
      </c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110"/>
      <c r="AK162" s="98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99"/>
    </row>
    <row r="163" spans="2:61" ht="20.100000000000001" customHeight="1" x14ac:dyDescent="0.45">
      <c r="B163" s="108"/>
      <c r="C163" s="31"/>
      <c r="D163" s="31"/>
      <c r="E163" s="31"/>
      <c r="F163" s="31"/>
      <c r="G163" s="96"/>
      <c r="H163" s="97"/>
      <c r="I163" s="31"/>
      <c r="J163" s="109" t="s">
        <v>217</v>
      </c>
      <c r="K163" s="52"/>
      <c r="L163" s="52"/>
      <c r="M163" s="52"/>
      <c r="N163" s="52"/>
      <c r="O163" s="52"/>
      <c r="P163" s="52"/>
      <c r="Q163" s="110"/>
      <c r="R163" s="52" t="s">
        <v>267</v>
      </c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110"/>
      <c r="AK163" s="98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99"/>
    </row>
    <row r="164" spans="2:61" ht="19.8" customHeight="1" x14ac:dyDescent="0.45">
      <c r="B164" s="108"/>
      <c r="C164" s="31"/>
      <c r="D164" s="31"/>
      <c r="E164" s="31"/>
      <c r="F164" s="31"/>
      <c r="G164" s="96"/>
      <c r="H164" s="97"/>
      <c r="I164" s="31"/>
      <c r="J164" s="109" t="s">
        <v>218</v>
      </c>
      <c r="K164" s="52"/>
      <c r="L164" s="52"/>
      <c r="M164" s="52"/>
      <c r="N164" s="52"/>
      <c r="O164" s="52"/>
      <c r="P164" s="52"/>
      <c r="Q164" s="110"/>
      <c r="R164" s="52" t="s">
        <v>273</v>
      </c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110"/>
      <c r="AK164" s="98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99"/>
    </row>
    <row r="165" spans="2:61" ht="20.100000000000001" customHeight="1" x14ac:dyDescent="0.45">
      <c r="B165" s="108"/>
      <c r="C165" s="31"/>
      <c r="D165" s="31"/>
      <c r="E165" s="31"/>
      <c r="F165" s="31"/>
      <c r="G165" s="96"/>
      <c r="H165" s="31"/>
      <c r="I165" s="31"/>
      <c r="J165" s="109" t="s">
        <v>219</v>
      </c>
      <c r="K165" s="52"/>
      <c r="L165" s="52"/>
      <c r="M165" s="52"/>
      <c r="N165" s="52"/>
      <c r="O165" s="52"/>
      <c r="P165" s="52"/>
      <c r="Q165" s="110"/>
      <c r="R165" s="52" t="s">
        <v>267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110"/>
      <c r="AK165" s="98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99"/>
    </row>
    <row r="166" spans="2:61" ht="20.100000000000001" customHeight="1" x14ac:dyDescent="0.45">
      <c r="B166" s="108"/>
      <c r="C166" s="31"/>
      <c r="D166" s="31"/>
      <c r="E166" s="31"/>
      <c r="F166" s="31"/>
      <c r="G166" s="96"/>
      <c r="H166" s="97"/>
      <c r="I166" s="31"/>
      <c r="J166" s="109" t="s">
        <v>220</v>
      </c>
      <c r="K166" s="52"/>
      <c r="L166" s="52"/>
      <c r="M166" s="52"/>
      <c r="N166" s="52"/>
      <c r="O166" s="52"/>
      <c r="P166" s="52"/>
      <c r="Q166" s="110"/>
      <c r="R166" s="52" t="s">
        <v>257</v>
      </c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110"/>
      <c r="AK166" s="98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99"/>
    </row>
    <row r="167" spans="2:61" ht="19.8" customHeight="1" x14ac:dyDescent="0.45">
      <c r="B167" s="108"/>
      <c r="C167" s="31"/>
      <c r="D167" s="31"/>
      <c r="E167" s="31"/>
      <c r="F167" s="31"/>
      <c r="G167" s="96"/>
      <c r="H167" s="97"/>
      <c r="I167" s="31"/>
      <c r="J167" s="109" t="s">
        <v>221</v>
      </c>
      <c r="K167" s="52"/>
      <c r="L167" s="52"/>
      <c r="M167" s="52"/>
      <c r="N167" s="52"/>
      <c r="O167" s="52"/>
      <c r="P167" s="52"/>
      <c r="Q167" s="110"/>
      <c r="R167" s="52" t="s">
        <v>258</v>
      </c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110"/>
      <c r="AK167" s="98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99"/>
    </row>
    <row r="168" spans="2:61" ht="20.100000000000001" customHeight="1" x14ac:dyDescent="0.45">
      <c r="B168" s="108"/>
      <c r="C168" s="31"/>
      <c r="D168" s="31"/>
      <c r="E168" s="31"/>
      <c r="F168" s="31"/>
      <c r="G168" s="96"/>
      <c r="H168" s="31"/>
      <c r="I168" s="31"/>
      <c r="J168" s="109" t="s">
        <v>222</v>
      </c>
      <c r="K168" s="52"/>
      <c r="L168" s="52"/>
      <c r="M168" s="52"/>
      <c r="N168" s="52"/>
      <c r="O168" s="52"/>
      <c r="P168" s="52"/>
      <c r="Q168" s="110"/>
      <c r="R168" s="6" t="s">
        <v>259</v>
      </c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110"/>
      <c r="AK168" s="98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99"/>
    </row>
    <row r="169" spans="2:61" ht="20.100000000000001" customHeight="1" x14ac:dyDescent="0.45">
      <c r="B169" s="108"/>
      <c r="C169" s="31"/>
      <c r="D169" s="31"/>
      <c r="E169" s="31"/>
      <c r="F169" s="31"/>
      <c r="G169" s="96"/>
      <c r="H169" s="97"/>
      <c r="I169" s="31"/>
      <c r="J169" s="109" t="s">
        <v>223</v>
      </c>
      <c r="K169" s="52"/>
      <c r="L169" s="52"/>
      <c r="M169" s="52"/>
      <c r="N169" s="52"/>
      <c r="O169" s="52"/>
      <c r="P169" s="52"/>
      <c r="Q169" s="110"/>
      <c r="R169" s="52" t="s">
        <v>260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110"/>
      <c r="AK169" s="98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99"/>
    </row>
    <row r="170" spans="2:61" ht="20.100000000000001" customHeight="1" x14ac:dyDescent="0.45">
      <c r="B170" s="108"/>
      <c r="C170" s="31"/>
      <c r="D170" s="31"/>
      <c r="E170" s="31"/>
      <c r="F170" s="31"/>
      <c r="G170" s="96"/>
      <c r="H170" s="100" t="s">
        <v>183</v>
      </c>
      <c r="I170" s="55"/>
      <c r="J170" s="100" t="s">
        <v>224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01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02"/>
    </row>
    <row r="171" spans="2:61" ht="20.100000000000001" customHeight="1" x14ac:dyDescent="0.45">
      <c r="B171" s="95"/>
      <c r="C171" s="31"/>
      <c r="D171" s="31"/>
      <c r="E171" s="31"/>
      <c r="F171" s="31"/>
      <c r="G171" s="96"/>
      <c r="H171" s="100" t="s">
        <v>225</v>
      </c>
      <c r="I171" s="55"/>
      <c r="J171" s="100" t="s">
        <v>228</v>
      </c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101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102"/>
    </row>
    <row r="172" spans="2:61" ht="20.100000000000001" customHeight="1" x14ac:dyDescent="0.45">
      <c r="B172" s="95"/>
      <c r="C172" s="31"/>
      <c r="D172" s="31"/>
      <c r="E172" s="31"/>
      <c r="F172" s="31"/>
      <c r="G172" s="96"/>
      <c r="H172" s="97"/>
      <c r="I172" s="31"/>
      <c r="J172" s="97"/>
      <c r="K172" s="31" t="s">
        <v>229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98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99"/>
    </row>
    <row r="173" spans="2:61" ht="20.100000000000001" customHeight="1" x14ac:dyDescent="0.45">
      <c r="B173" s="95"/>
      <c r="C173" s="31"/>
      <c r="D173" s="31"/>
      <c r="E173" s="31"/>
      <c r="F173" s="31"/>
      <c r="G173" s="96"/>
      <c r="H173" s="100" t="s">
        <v>230</v>
      </c>
      <c r="I173" s="55"/>
      <c r="J173" s="100" t="s">
        <v>231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101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102"/>
    </row>
    <row r="174" spans="2:61" ht="20.100000000000001" customHeight="1" x14ac:dyDescent="0.45">
      <c r="B174" s="95"/>
      <c r="C174" s="31"/>
      <c r="D174" s="31"/>
      <c r="E174" s="31"/>
      <c r="F174" s="31"/>
      <c r="G174" s="96"/>
      <c r="H174" s="97"/>
      <c r="I174" s="31"/>
      <c r="J174" s="97"/>
      <c r="K174" s="31" t="s">
        <v>232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97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99"/>
    </row>
    <row r="175" spans="2:61" ht="20.100000000000001" customHeight="1" x14ac:dyDescent="0.45">
      <c r="B175" s="95"/>
      <c r="C175" s="31"/>
      <c r="D175" s="31"/>
      <c r="E175" s="31"/>
      <c r="F175" s="31"/>
      <c r="G175" s="96"/>
      <c r="H175" s="97"/>
      <c r="I175" s="31"/>
      <c r="J175" s="97"/>
      <c r="K175" s="31" t="s">
        <v>233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97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99"/>
    </row>
    <row r="176" spans="2:61" ht="20.100000000000001" customHeight="1" thickBot="1" x14ac:dyDescent="0.5">
      <c r="B176" s="95"/>
      <c r="C176" s="31"/>
      <c r="D176" s="31"/>
      <c r="E176" s="31"/>
      <c r="F176" s="31"/>
      <c r="G176" s="96"/>
      <c r="H176" s="97"/>
      <c r="I176" s="31"/>
      <c r="J176" s="97"/>
      <c r="K176" s="31" t="s">
        <v>274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97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99"/>
    </row>
    <row r="177" spans="2:61" ht="20.100000000000001" customHeight="1" x14ac:dyDescent="0.45">
      <c r="B177" s="89" t="s">
        <v>276</v>
      </c>
      <c r="C177" s="90"/>
      <c r="D177" s="90"/>
      <c r="E177" s="90"/>
      <c r="F177" s="90"/>
      <c r="G177" s="91"/>
      <c r="H177" s="92" t="s">
        <v>193</v>
      </c>
      <c r="I177" s="90"/>
      <c r="J177" s="105" t="s">
        <v>176</v>
      </c>
      <c r="K177" s="106"/>
      <c r="L177" s="106"/>
      <c r="M177" s="106"/>
      <c r="N177" s="106"/>
      <c r="O177" s="106"/>
      <c r="P177" s="106"/>
      <c r="Q177" s="107"/>
      <c r="R177" s="106" t="s">
        <v>234</v>
      </c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7"/>
      <c r="AK177" s="93" t="s">
        <v>194</v>
      </c>
      <c r="AL177" s="90"/>
      <c r="AM177" s="90"/>
      <c r="AN177" s="90"/>
      <c r="AO177" s="90"/>
      <c r="AP177" s="90"/>
      <c r="AQ177" s="90"/>
      <c r="AR177" s="90" t="s">
        <v>277</v>
      </c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4"/>
    </row>
    <row r="178" spans="2:61" ht="20.100000000000001" customHeight="1" x14ac:dyDescent="0.45">
      <c r="B178" s="108"/>
      <c r="C178" s="31"/>
      <c r="D178" s="31"/>
      <c r="E178" s="31"/>
      <c r="F178" s="31"/>
      <c r="G178" s="96"/>
      <c r="H178" s="97"/>
      <c r="I178" s="31"/>
      <c r="J178" s="109" t="s">
        <v>197</v>
      </c>
      <c r="K178" s="52"/>
      <c r="L178" s="52"/>
      <c r="M178" s="52"/>
      <c r="N178" s="52"/>
      <c r="O178" s="52"/>
      <c r="P178" s="52"/>
      <c r="Q178" s="110"/>
      <c r="R178" s="52" t="s">
        <v>235</v>
      </c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110"/>
      <c r="AK178" s="98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99"/>
    </row>
    <row r="179" spans="2:61" ht="20.100000000000001" customHeight="1" x14ac:dyDescent="0.45">
      <c r="B179" s="108"/>
      <c r="C179" s="31"/>
      <c r="D179" s="31"/>
      <c r="E179" s="31"/>
      <c r="F179" s="31"/>
      <c r="G179" s="96"/>
      <c r="H179" s="97"/>
      <c r="I179" s="31"/>
      <c r="J179" s="109" t="s">
        <v>198</v>
      </c>
      <c r="K179" s="52"/>
      <c r="L179" s="52"/>
      <c r="M179" s="52"/>
      <c r="N179" s="52"/>
      <c r="O179" s="52"/>
      <c r="P179" s="52"/>
      <c r="Q179" s="110"/>
      <c r="R179" s="52" t="s">
        <v>263</v>
      </c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110"/>
      <c r="AK179" s="98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99"/>
    </row>
    <row r="180" spans="2:61" ht="20.100000000000001" customHeight="1" x14ac:dyDescent="0.45">
      <c r="B180" s="108"/>
      <c r="C180" s="31"/>
      <c r="D180" s="31"/>
      <c r="E180" s="31"/>
      <c r="F180" s="31"/>
      <c r="G180" s="96"/>
      <c r="H180" s="97"/>
      <c r="I180" s="31"/>
      <c r="J180" s="109" t="s">
        <v>199</v>
      </c>
      <c r="K180" s="52"/>
      <c r="L180" s="52"/>
      <c r="M180" s="52"/>
      <c r="N180" s="52"/>
      <c r="O180" s="52"/>
      <c r="P180" s="52"/>
      <c r="Q180" s="110"/>
      <c r="R180" s="52" t="s">
        <v>236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10"/>
      <c r="AK180" s="98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99"/>
    </row>
    <row r="181" spans="2:61" ht="20.100000000000001" customHeight="1" x14ac:dyDescent="0.45">
      <c r="B181" s="108"/>
      <c r="C181" s="31"/>
      <c r="D181" s="31"/>
      <c r="E181" s="31"/>
      <c r="F181" s="31"/>
      <c r="G181" s="96"/>
      <c r="H181" s="31"/>
      <c r="I181" s="31"/>
      <c r="J181" s="109" t="s">
        <v>200</v>
      </c>
      <c r="K181" s="52"/>
      <c r="L181" s="52"/>
      <c r="M181" s="52"/>
      <c r="N181" s="52"/>
      <c r="O181" s="52"/>
      <c r="P181" s="52"/>
      <c r="Q181" s="110"/>
      <c r="R181" s="52" t="s">
        <v>237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10"/>
      <c r="AK181" s="98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99"/>
    </row>
    <row r="182" spans="2:61" ht="20.100000000000001" customHeight="1" x14ac:dyDescent="0.45">
      <c r="B182" s="108"/>
      <c r="C182" s="31"/>
      <c r="D182" s="31"/>
      <c r="E182" s="31"/>
      <c r="F182" s="31"/>
      <c r="G182" s="96"/>
      <c r="H182" s="97"/>
      <c r="I182" s="31"/>
      <c r="J182" s="109" t="s">
        <v>201</v>
      </c>
      <c r="K182" s="52"/>
      <c r="L182" s="52"/>
      <c r="M182" s="52"/>
      <c r="N182" s="52"/>
      <c r="O182" s="52"/>
      <c r="P182" s="52"/>
      <c r="Q182" s="110"/>
      <c r="R182" s="52" t="s">
        <v>278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10"/>
      <c r="AK182" s="98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99"/>
    </row>
    <row r="183" spans="2:61" ht="20.100000000000001" customHeight="1" x14ac:dyDescent="0.45">
      <c r="B183" s="108"/>
      <c r="C183" s="31"/>
      <c r="D183" s="31"/>
      <c r="E183" s="31"/>
      <c r="F183" s="31"/>
      <c r="G183" s="96"/>
      <c r="H183" s="97"/>
      <c r="I183" s="31"/>
      <c r="J183" s="109" t="s">
        <v>202</v>
      </c>
      <c r="K183" s="52"/>
      <c r="L183" s="52"/>
      <c r="M183" s="52"/>
      <c r="N183" s="52"/>
      <c r="O183" s="52"/>
      <c r="P183" s="52"/>
      <c r="Q183" s="110"/>
      <c r="R183" s="52" t="s">
        <v>279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10"/>
      <c r="AK183" s="98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99"/>
    </row>
    <row r="184" spans="2:61" ht="20.100000000000001" customHeight="1" x14ac:dyDescent="0.45">
      <c r="B184" s="108"/>
      <c r="C184" s="31"/>
      <c r="D184" s="31"/>
      <c r="E184" s="31"/>
      <c r="F184" s="31"/>
      <c r="G184" s="96"/>
      <c r="H184" s="97"/>
      <c r="I184" s="31"/>
      <c r="J184" s="109" t="s">
        <v>203</v>
      </c>
      <c r="K184" s="52"/>
      <c r="L184" s="52"/>
      <c r="M184" s="52"/>
      <c r="N184" s="52"/>
      <c r="O184" s="52"/>
      <c r="P184" s="52"/>
      <c r="Q184" s="110"/>
      <c r="R184" s="52" t="s">
        <v>267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10"/>
      <c r="AK184" s="98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99"/>
    </row>
    <row r="185" spans="2:61" ht="20.100000000000001" customHeight="1" x14ac:dyDescent="0.45">
      <c r="B185" s="108"/>
      <c r="C185" s="31"/>
      <c r="D185" s="31"/>
      <c r="E185" s="31"/>
      <c r="F185" s="31"/>
      <c r="G185" s="96"/>
      <c r="H185" s="31"/>
      <c r="I185" s="31"/>
      <c r="J185" s="109" t="s">
        <v>204</v>
      </c>
      <c r="K185" s="52"/>
      <c r="L185" s="52"/>
      <c r="M185" s="52"/>
      <c r="N185" s="52"/>
      <c r="O185" s="52"/>
      <c r="P185" s="52"/>
      <c r="Q185" s="110"/>
      <c r="R185" s="52" t="s">
        <v>267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110"/>
      <c r="AK185" s="98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99"/>
    </row>
    <row r="186" spans="2:61" ht="20.100000000000001" customHeight="1" x14ac:dyDescent="0.45">
      <c r="B186" s="108"/>
      <c r="C186" s="31"/>
      <c r="D186" s="31"/>
      <c r="E186" s="31"/>
      <c r="F186" s="31"/>
      <c r="G186" s="96"/>
      <c r="H186" s="97"/>
      <c r="I186" s="31"/>
      <c r="J186" s="109" t="s">
        <v>205</v>
      </c>
      <c r="K186" s="52"/>
      <c r="L186" s="52"/>
      <c r="M186" s="52"/>
      <c r="N186" s="52"/>
      <c r="O186" s="52"/>
      <c r="P186" s="52"/>
      <c r="Q186" s="110"/>
      <c r="R186" s="52" t="s">
        <v>267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110"/>
      <c r="AK186" s="98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99"/>
    </row>
    <row r="187" spans="2:61" ht="20.100000000000001" customHeight="1" x14ac:dyDescent="0.45">
      <c r="B187" s="108"/>
      <c r="C187" s="31"/>
      <c r="D187" s="31"/>
      <c r="E187" s="31"/>
      <c r="F187" s="31"/>
      <c r="G187" s="96"/>
      <c r="H187" s="97"/>
      <c r="I187" s="31"/>
      <c r="J187" s="109" t="s">
        <v>206</v>
      </c>
      <c r="K187" s="52"/>
      <c r="L187" s="52"/>
      <c r="M187" s="52"/>
      <c r="N187" s="52"/>
      <c r="O187" s="52"/>
      <c r="P187" s="52"/>
      <c r="Q187" s="110"/>
      <c r="R187" s="52" t="s">
        <v>267</v>
      </c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110"/>
      <c r="AK187" s="98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99"/>
    </row>
    <row r="188" spans="2:61" ht="20.100000000000001" customHeight="1" x14ac:dyDescent="0.45">
      <c r="B188" s="108"/>
      <c r="C188" s="31"/>
      <c r="D188" s="31"/>
      <c r="E188" s="31"/>
      <c r="F188" s="31"/>
      <c r="G188" s="96"/>
      <c r="H188" s="97"/>
      <c r="I188" s="31"/>
      <c r="J188" s="109" t="s">
        <v>207</v>
      </c>
      <c r="K188" s="52"/>
      <c r="L188" s="52"/>
      <c r="M188" s="52"/>
      <c r="N188" s="52"/>
      <c r="O188" s="52"/>
      <c r="P188" s="52"/>
      <c r="Q188" s="110"/>
      <c r="R188" s="112" t="s">
        <v>280</v>
      </c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110"/>
      <c r="AK188" s="98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99"/>
    </row>
    <row r="189" spans="2:61" ht="20.100000000000001" customHeight="1" x14ac:dyDescent="0.45">
      <c r="B189" s="108"/>
      <c r="C189" s="31"/>
      <c r="D189" s="31"/>
      <c r="E189" s="31"/>
      <c r="F189" s="31"/>
      <c r="G189" s="96"/>
      <c r="H189" s="31"/>
      <c r="I189" s="31"/>
      <c r="J189" s="109" t="s">
        <v>208</v>
      </c>
      <c r="K189" s="52"/>
      <c r="L189" s="52"/>
      <c r="M189" s="52"/>
      <c r="N189" s="52"/>
      <c r="O189" s="52"/>
      <c r="P189" s="52"/>
      <c r="Q189" s="110"/>
      <c r="R189" s="52" t="s">
        <v>267</v>
      </c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110"/>
      <c r="AK189" s="98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99"/>
    </row>
    <row r="190" spans="2:61" ht="20.100000000000001" customHeight="1" x14ac:dyDescent="0.45">
      <c r="B190" s="108"/>
      <c r="C190" s="31"/>
      <c r="D190" s="31"/>
      <c r="E190" s="31"/>
      <c r="F190" s="31"/>
      <c r="G190" s="96"/>
      <c r="H190" s="97"/>
      <c r="I190" s="31"/>
      <c r="J190" s="109" t="s">
        <v>209</v>
      </c>
      <c r="K190" s="52"/>
      <c r="L190" s="52"/>
      <c r="M190" s="52"/>
      <c r="N190" s="52"/>
      <c r="O190" s="52"/>
      <c r="P190" s="52"/>
      <c r="Q190" s="110"/>
      <c r="R190" s="52" t="s">
        <v>267</v>
      </c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110"/>
      <c r="AK190" s="98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99"/>
    </row>
    <row r="191" spans="2:61" ht="20.100000000000001" customHeight="1" x14ac:dyDescent="0.45">
      <c r="B191" s="108"/>
      <c r="C191" s="31"/>
      <c r="D191" s="31"/>
      <c r="E191" s="31"/>
      <c r="F191" s="31"/>
      <c r="G191" s="96"/>
      <c r="H191" s="97"/>
      <c r="I191" s="31"/>
      <c r="J191" s="109" t="s">
        <v>210</v>
      </c>
      <c r="K191" s="52"/>
      <c r="L191" s="52"/>
      <c r="M191" s="52"/>
      <c r="N191" s="52"/>
      <c r="O191" s="52"/>
      <c r="P191" s="52"/>
      <c r="Q191" s="110"/>
      <c r="R191" s="52" t="s">
        <v>267</v>
      </c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110"/>
      <c r="AK191" s="98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99"/>
    </row>
    <row r="192" spans="2:61" ht="19.8" customHeight="1" x14ac:dyDescent="0.45">
      <c r="B192" s="108"/>
      <c r="C192" s="31"/>
      <c r="D192" s="31"/>
      <c r="E192" s="31"/>
      <c r="F192" s="31"/>
      <c r="G192" s="96"/>
      <c r="H192" s="97"/>
      <c r="I192" s="31"/>
      <c r="J192" s="109" t="s">
        <v>211</v>
      </c>
      <c r="K192" s="52"/>
      <c r="L192" s="52"/>
      <c r="M192" s="52"/>
      <c r="N192" s="52"/>
      <c r="O192" s="52"/>
      <c r="P192" s="52"/>
      <c r="Q192" s="110"/>
      <c r="R192" s="52" t="s">
        <v>267</v>
      </c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110"/>
      <c r="AK192" s="98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99"/>
    </row>
    <row r="193" spans="2:61" ht="20.100000000000001" customHeight="1" x14ac:dyDescent="0.45">
      <c r="B193" s="108"/>
      <c r="C193" s="31"/>
      <c r="D193" s="31"/>
      <c r="E193" s="31"/>
      <c r="F193" s="31"/>
      <c r="G193" s="96"/>
      <c r="H193" s="31"/>
      <c r="I193" s="31"/>
      <c r="J193" s="109" t="s">
        <v>212</v>
      </c>
      <c r="K193" s="52"/>
      <c r="L193" s="52"/>
      <c r="M193" s="52"/>
      <c r="N193" s="52"/>
      <c r="O193" s="52"/>
      <c r="P193" s="52"/>
      <c r="Q193" s="110"/>
      <c r="R193" s="52" t="s">
        <v>267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10"/>
      <c r="AK193" s="98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99"/>
    </row>
    <row r="194" spans="2:61" ht="20.100000000000001" customHeight="1" x14ac:dyDescent="0.45">
      <c r="B194" s="108"/>
      <c r="C194" s="31"/>
      <c r="D194" s="31"/>
      <c r="E194" s="31"/>
      <c r="F194" s="31"/>
      <c r="G194" s="96"/>
      <c r="H194" s="97"/>
      <c r="I194" s="31"/>
      <c r="J194" s="109" t="s">
        <v>213</v>
      </c>
      <c r="K194" s="52"/>
      <c r="L194" s="52"/>
      <c r="M194" s="52"/>
      <c r="N194" s="52"/>
      <c r="O194" s="52"/>
      <c r="P194" s="52"/>
      <c r="Q194" s="110"/>
      <c r="R194" s="52" t="s">
        <v>267</v>
      </c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110"/>
      <c r="AK194" s="98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99"/>
    </row>
    <row r="195" spans="2:61" ht="19.8" customHeight="1" x14ac:dyDescent="0.45">
      <c r="B195" s="108"/>
      <c r="C195" s="31"/>
      <c r="D195" s="31"/>
      <c r="E195" s="31"/>
      <c r="F195" s="31"/>
      <c r="G195" s="96"/>
      <c r="H195" s="97"/>
      <c r="I195" s="31"/>
      <c r="J195" s="109" t="s">
        <v>214</v>
      </c>
      <c r="K195" s="52"/>
      <c r="L195" s="52"/>
      <c r="M195" s="52"/>
      <c r="N195" s="52"/>
      <c r="O195" s="52"/>
      <c r="P195" s="52"/>
      <c r="Q195" s="110"/>
      <c r="R195" s="52" t="s">
        <v>267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110"/>
      <c r="AK195" s="98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99"/>
    </row>
    <row r="196" spans="2:61" ht="20.100000000000001" customHeight="1" x14ac:dyDescent="0.45">
      <c r="B196" s="108"/>
      <c r="C196" s="31"/>
      <c r="D196" s="31"/>
      <c r="E196" s="31"/>
      <c r="F196" s="31"/>
      <c r="G196" s="96"/>
      <c r="H196" s="31"/>
      <c r="I196" s="31"/>
      <c r="J196" s="109" t="s">
        <v>215</v>
      </c>
      <c r="K196" s="52"/>
      <c r="L196" s="52"/>
      <c r="M196" s="52"/>
      <c r="N196" s="52"/>
      <c r="O196" s="52"/>
      <c r="P196" s="52"/>
      <c r="Q196" s="110"/>
      <c r="R196" s="52" t="s">
        <v>267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110"/>
      <c r="AK196" s="98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99"/>
    </row>
    <row r="197" spans="2:61" ht="20.100000000000001" customHeight="1" x14ac:dyDescent="0.45">
      <c r="B197" s="108"/>
      <c r="C197" s="31"/>
      <c r="D197" s="31"/>
      <c r="E197" s="31"/>
      <c r="F197" s="31"/>
      <c r="G197" s="96"/>
      <c r="H197" s="97"/>
      <c r="I197" s="31"/>
      <c r="J197" s="109" t="s">
        <v>216</v>
      </c>
      <c r="K197" s="52"/>
      <c r="L197" s="52"/>
      <c r="M197" s="52"/>
      <c r="N197" s="52"/>
      <c r="O197" s="52"/>
      <c r="P197" s="52"/>
      <c r="Q197" s="110"/>
      <c r="R197" s="52" t="s">
        <v>267</v>
      </c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110"/>
      <c r="AK197" s="98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99"/>
    </row>
    <row r="198" spans="2:61" ht="20.100000000000001" customHeight="1" x14ac:dyDescent="0.45">
      <c r="B198" s="108"/>
      <c r="C198" s="31"/>
      <c r="D198" s="31"/>
      <c r="E198" s="31"/>
      <c r="F198" s="31"/>
      <c r="G198" s="96"/>
      <c r="H198" s="97"/>
      <c r="I198" s="31"/>
      <c r="J198" s="109" t="s">
        <v>217</v>
      </c>
      <c r="K198" s="52"/>
      <c r="L198" s="52"/>
      <c r="M198" s="52"/>
      <c r="N198" s="52"/>
      <c r="O198" s="52"/>
      <c r="P198" s="52"/>
      <c r="Q198" s="110"/>
      <c r="R198" s="52" t="s">
        <v>267</v>
      </c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110"/>
      <c r="AK198" s="98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99"/>
    </row>
    <row r="199" spans="2:61" ht="19.8" customHeight="1" x14ac:dyDescent="0.45">
      <c r="B199" s="108"/>
      <c r="C199" s="31"/>
      <c r="D199" s="31"/>
      <c r="E199" s="31"/>
      <c r="F199" s="31"/>
      <c r="G199" s="96"/>
      <c r="H199" s="97"/>
      <c r="I199" s="31"/>
      <c r="J199" s="109" t="s">
        <v>218</v>
      </c>
      <c r="K199" s="52"/>
      <c r="L199" s="52"/>
      <c r="M199" s="52"/>
      <c r="N199" s="52"/>
      <c r="O199" s="52"/>
      <c r="P199" s="52"/>
      <c r="Q199" s="110"/>
      <c r="R199" s="52" t="s">
        <v>281</v>
      </c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110"/>
      <c r="AK199" s="98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99"/>
    </row>
    <row r="200" spans="2:61" ht="20.100000000000001" customHeight="1" x14ac:dyDescent="0.45">
      <c r="B200" s="108"/>
      <c r="C200" s="31"/>
      <c r="D200" s="31"/>
      <c r="E200" s="31"/>
      <c r="F200" s="31"/>
      <c r="G200" s="96"/>
      <c r="H200" s="31"/>
      <c r="I200" s="31"/>
      <c r="J200" s="109" t="s">
        <v>219</v>
      </c>
      <c r="K200" s="52"/>
      <c r="L200" s="52"/>
      <c r="M200" s="52"/>
      <c r="N200" s="52"/>
      <c r="O200" s="52"/>
      <c r="P200" s="52"/>
      <c r="Q200" s="110"/>
      <c r="R200" s="52" t="s">
        <v>267</v>
      </c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110"/>
      <c r="AK200" s="98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99"/>
    </row>
    <row r="201" spans="2:61" ht="20.100000000000001" customHeight="1" x14ac:dyDescent="0.45">
      <c r="B201" s="108"/>
      <c r="C201" s="31"/>
      <c r="D201" s="31"/>
      <c r="E201" s="31"/>
      <c r="F201" s="31"/>
      <c r="G201" s="96"/>
      <c r="H201" s="97"/>
      <c r="I201" s="31"/>
      <c r="J201" s="109" t="s">
        <v>220</v>
      </c>
      <c r="K201" s="52"/>
      <c r="L201" s="52"/>
      <c r="M201" s="52"/>
      <c r="N201" s="52"/>
      <c r="O201" s="52"/>
      <c r="P201" s="52"/>
      <c r="Q201" s="110"/>
      <c r="R201" s="52" t="s">
        <v>257</v>
      </c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110"/>
      <c r="AK201" s="98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99"/>
    </row>
    <row r="202" spans="2:61" ht="19.8" customHeight="1" x14ac:dyDescent="0.45">
      <c r="B202" s="108"/>
      <c r="C202" s="31"/>
      <c r="D202" s="31"/>
      <c r="E202" s="31"/>
      <c r="F202" s="31"/>
      <c r="G202" s="96"/>
      <c r="H202" s="97"/>
      <c r="I202" s="31"/>
      <c r="J202" s="109" t="s">
        <v>221</v>
      </c>
      <c r="K202" s="52"/>
      <c r="L202" s="52"/>
      <c r="M202" s="52"/>
      <c r="N202" s="52"/>
      <c r="O202" s="52"/>
      <c r="P202" s="52"/>
      <c r="Q202" s="110"/>
      <c r="R202" s="52" t="s">
        <v>258</v>
      </c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110"/>
      <c r="AK202" s="98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99"/>
    </row>
    <row r="203" spans="2:61" ht="20.100000000000001" customHeight="1" x14ac:dyDescent="0.45">
      <c r="B203" s="108"/>
      <c r="C203" s="31"/>
      <c r="D203" s="31"/>
      <c r="E203" s="31"/>
      <c r="F203" s="31"/>
      <c r="G203" s="96"/>
      <c r="H203" s="31"/>
      <c r="I203" s="31"/>
      <c r="J203" s="109" t="s">
        <v>222</v>
      </c>
      <c r="K203" s="52"/>
      <c r="L203" s="52"/>
      <c r="M203" s="52"/>
      <c r="N203" s="52"/>
      <c r="O203" s="52"/>
      <c r="P203" s="52"/>
      <c r="Q203" s="110"/>
      <c r="R203" s="6" t="s">
        <v>259</v>
      </c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110"/>
      <c r="AK203" s="98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99"/>
    </row>
    <row r="204" spans="2:61" ht="20.100000000000001" customHeight="1" x14ac:dyDescent="0.45">
      <c r="B204" s="108"/>
      <c r="C204" s="31"/>
      <c r="D204" s="31"/>
      <c r="E204" s="31"/>
      <c r="F204" s="31"/>
      <c r="G204" s="96"/>
      <c r="H204" s="97"/>
      <c r="I204" s="31"/>
      <c r="J204" s="109" t="s">
        <v>223</v>
      </c>
      <c r="K204" s="52"/>
      <c r="L204" s="52"/>
      <c r="M204" s="52"/>
      <c r="N204" s="52"/>
      <c r="O204" s="52"/>
      <c r="P204" s="52"/>
      <c r="Q204" s="110"/>
      <c r="R204" s="52" t="s">
        <v>260</v>
      </c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110"/>
      <c r="AK204" s="98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99"/>
    </row>
    <row r="205" spans="2:61" ht="20.100000000000001" customHeight="1" x14ac:dyDescent="0.45">
      <c r="B205" s="108"/>
      <c r="C205" s="31"/>
      <c r="D205" s="31"/>
      <c r="E205" s="31"/>
      <c r="F205" s="31"/>
      <c r="G205" s="96"/>
      <c r="H205" s="100" t="s">
        <v>183</v>
      </c>
      <c r="I205" s="55"/>
      <c r="J205" s="100" t="s">
        <v>224</v>
      </c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101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102"/>
    </row>
    <row r="206" spans="2:61" ht="20.100000000000001" customHeight="1" x14ac:dyDescent="0.45">
      <c r="B206" s="95"/>
      <c r="C206" s="31"/>
      <c r="D206" s="31"/>
      <c r="E206" s="31"/>
      <c r="F206" s="31"/>
      <c r="G206" s="96"/>
      <c r="H206" s="100" t="s">
        <v>225</v>
      </c>
      <c r="I206" s="55"/>
      <c r="J206" s="100" t="s">
        <v>228</v>
      </c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101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102"/>
    </row>
    <row r="207" spans="2:61" ht="20.100000000000001" customHeight="1" x14ac:dyDescent="0.45">
      <c r="B207" s="95"/>
      <c r="C207" s="31"/>
      <c r="D207" s="31"/>
      <c r="E207" s="31"/>
      <c r="F207" s="31"/>
      <c r="G207" s="96"/>
      <c r="H207" s="97"/>
      <c r="I207" s="31"/>
      <c r="J207" s="97"/>
      <c r="K207" s="31" t="s">
        <v>229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98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99"/>
    </row>
    <row r="208" spans="2:61" ht="20.100000000000001" customHeight="1" x14ac:dyDescent="0.45">
      <c r="B208" s="95"/>
      <c r="C208" s="31"/>
      <c r="D208" s="31"/>
      <c r="E208" s="31"/>
      <c r="F208" s="31"/>
      <c r="G208" s="96"/>
      <c r="H208" s="100" t="s">
        <v>230</v>
      </c>
      <c r="I208" s="55"/>
      <c r="J208" s="100" t="s">
        <v>231</v>
      </c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101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102"/>
    </row>
    <row r="209" spans="2:61" ht="20.100000000000001" customHeight="1" x14ac:dyDescent="0.45">
      <c r="B209" s="95"/>
      <c r="C209" s="31"/>
      <c r="D209" s="31"/>
      <c r="E209" s="31"/>
      <c r="F209" s="31"/>
      <c r="G209" s="96"/>
      <c r="H209" s="97"/>
      <c r="I209" s="31"/>
      <c r="J209" s="97"/>
      <c r="K209" s="31" t="s">
        <v>232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97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99"/>
    </row>
    <row r="210" spans="2:61" ht="20.100000000000001" customHeight="1" x14ac:dyDescent="0.45">
      <c r="B210" s="95"/>
      <c r="C210" s="31"/>
      <c r="D210" s="31"/>
      <c r="E210" s="31"/>
      <c r="F210" s="31"/>
      <c r="G210" s="96"/>
      <c r="H210" s="97"/>
      <c r="I210" s="31"/>
      <c r="J210" s="97"/>
      <c r="K210" s="31" t="s">
        <v>233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97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99"/>
    </row>
    <row r="211" spans="2:61" ht="20.100000000000001" customHeight="1" thickBot="1" x14ac:dyDescent="0.5">
      <c r="B211" s="95"/>
      <c r="C211" s="31"/>
      <c r="D211" s="31"/>
      <c r="E211" s="31"/>
      <c r="F211" s="31"/>
      <c r="G211" s="96"/>
      <c r="H211" s="97"/>
      <c r="I211" s="31"/>
      <c r="J211" s="97"/>
      <c r="K211" s="31" t="s">
        <v>274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97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99"/>
    </row>
    <row r="212" spans="2:61" ht="20.100000000000001" customHeight="1" x14ac:dyDescent="0.45">
      <c r="B212" s="89" t="s">
        <v>282</v>
      </c>
      <c r="C212" s="90"/>
      <c r="D212" s="90"/>
      <c r="E212" s="90"/>
      <c r="F212" s="90"/>
      <c r="G212" s="91"/>
      <c r="H212" s="92" t="s">
        <v>193</v>
      </c>
      <c r="I212" s="90"/>
      <c r="J212" s="105" t="s">
        <v>176</v>
      </c>
      <c r="K212" s="106"/>
      <c r="L212" s="106"/>
      <c r="M212" s="106"/>
      <c r="N212" s="106"/>
      <c r="O212" s="106"/>
      <c r="P212" s="106"/>
      <c r="Q212" s="107"/>
      <c r="R212" s="106" t="s">
        <v>285</v>
      </c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7"/>
      <c r="AK212" s="93" t="s">
        <v>194</v>
      </c>
      <c r="AL212" s="90"/>
      <c r="AM212" s="90"/>
      <c r="AN212" s="90"/>
      <c r="AO212" s="90"/>
      <c r="AP212" s="90"/>
      <c r="AQ212" s="90"/>
      <c r="AR212" s="90" t="s">
        <v>283</v>
      </c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4"/>
    </row>
    <row r="213" spans="2:61" ht="20.100000000000001" customHeight="1" x14ac:dyDescent="0.45">
      <c r="B213" s="108"/>
      <c r="C213" s="31"/>
      <c r="D213" s="31"/>
      <c r="E213" s="31"/>
      <c r="F213" s="31"/>
      <c r="G213" s="96"/>
      <c r="H213" s="97"/>
      <c r="I213" s="31"/>
      <c r="J213" s="109" t="s">
        <v>197</v>
      </c>
      <c r="K213" s="52"/>
      <c r="L213" s="52"/>
      <c r="M213" s="52"/>
      <c r="N213" s="52"/>
      <c r="O213" s="52"/>
      <c r="P213" s="52"/>
      <c r="Q213" s="110"/>
      <c r="R213" s="52" t="s">
        <v>286</v>
      </c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110"/>
      <c r="AK213" s="98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99"/>
    </row>
    <row r="214" spans="2:61" ht="20.100000000000001" customHeight="1" x14ac:dyDescent="0.45">
      <c r="B214" s="108"/>
      <c r="C214" s="31"/>
      <c r="D214" s="31"/>
      <c r="E214" s="31"/>
      <c r="F214" s="31"/>
      <c r="G214" s="96"/>
      <c r="H214" s="97"/>
      <c r="I214" s="31"/>
      <c r="J214" s="109" t="s">
        <v>198</v>
      </c>
      <c r="K214" s="52"/>
      <c r="L214" s="52"/>
      <c r="M214" s="52"/>
      <c r="N214" s="52"/>
      <c r="O214" s="52"/>
      <c r="P214" s="52"/>
      <c r="Q214" s="110"/>
      <c r="R214" s="52" t="s">
        <v>287</v>
      </c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110"/>
      <c r="AK214" s="98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99"/>
    </row>
    <row r="215" spans="2:61" ht="20.100000000000001" customHeight="1" x14ac:dyDescent="0.45">
      <c r="B215" s="108"/>
      <c r="C215" s="31"/>
      <c r="D215" s="31"/>
      <c r="E215" s="31"/>
      <c r="F215" s="31"/>
      <c r="G215" s="96"/>
      <c r="H215" s="97"/>
      <c r="I215" s="31"/>
      <c r="J215" s="109" t="s">
        <v>199</v>
      </c>
      <c r="K215" s="52"/>
      <c r="L215" s="52"/>
      <c r="M215" s="52"/>
      <c r="N215" s="52"/>
      <c r="O215" s="52"/>
      <c r="P215" s="52"/>
      <c r="Q215" s="110"/>
      <c r="R215" s="52" t="s">
        <v>288</v>
      </c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110"/>
      <c r="AK215" s="98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99"/>
    </row>
    <row r="216" spans="2:61" ht="20.100000000000001" customHeight="1" x14ac:dyDescent="0.45">
      <c r="B216" s="108"/>
      <c r="C216" s="31"/>
      <c r="D216" s="31"/>
      <c r="E216" s="31"/>
      <c r="F216" s="31"/>
      <c r="G216" s="96"/>
      <c r="H216" s="31"/>
      <c r="I216" s="31"/>
      <c r="J216" s="109" t="s">
        <v>200</v>
      </c>
      <c r="K216" s="52"/>
      <c r="L216" s="52"/>
      <c r="M216" s="52"/>
      <c r="N216" s="52"/>
      <c r="O216" s="52"/>
      <c r="P216" s="52"/>
      <c r="Q216" s="110"/>
      <c r="R216" s="52" t="s">
        <v>288</v>
      </c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110"/>
      <c r="AK216" s="98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99"/>
    </row>
    <row r="217" spans="2:61" ht="20.100000000000001" customHeight="1" x14ac:dyDescent="0.45">
      <c r="B217" s="108"/>
      <c r="C217" s="31"/>
      <c r="D217" s="31"/>
      <c r="E217" s="31"/>
      <c r="F217" s="31"/>
      <c r="G217" s="96"/>
      <c r="H217" s="97"/>
      <c r="I217" s="31"/>
      <c r="J217" s="109" t="s">
        <v>201</v>
      </c>
      <c r="K217" s="52"/>
      <c r="L217" s="52"/>
      <c r="M217" s="52"/>
      <c r="N217" s="52"/>
      <c r="O217" s="52"/>
      <c r="P217" s="52"/>
      <c r="Q217" s="110"/>
      <c r="R217" s="52" t="s">
        <v>292</v>
      </c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110"/>
      <c r="AK217" s="98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99"/>
    </row>
    <row r="218" spans="2:61" ht="20.100000000000001" customHeight="1" x14ac:dyDescent="0.45">
      <c r="B218" s="108"/>
      <c r="C218" s="31"/>
      <c r="D218" s="31"/>
      <c r="E218" s="31"/>
      <c r="F218" s="31"/>
      <c r="G218" s="96"/>
      <c r="H218" s="97"/>
      <c r="I218" s="31"/>
      <c r="J218" s="109" t="s">
        <v>202</v>
      </c>
      <c r="K218" s="52"/>
      <c r="L218" s="52"/>
      <c r="M218" s="52"/>
      <c r="N218" s="52"/>
      <c r="O218" s="52"/>
      <c r="P218" s="52"/>
      <c r="Q218" s="110"/>
      <c r="R218" s="52" t="s">
        <v>292</v>
      </c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110"/>
      <c r="AK218" s="98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99"/>
    </row>
    <row r="219" spans="2:61" ht="20.100000000000001" customHeight="1" x14ac:dyDescent="0.45">
      <c r="B219" s="108"/>
      <c r="C219" s="31"/>
      <c r="D219" s="31"/>
      <c r="E219" s="31"/>
      <c r="F219" s="31"/>
      <c r="G219" s="96"/>
      <c r="H219" s="97"/>
      <c r="I219" s="31"/>
      <c r="J219" s="109" t="s">
        <v>203</v>
      </c>
      <c r="K219" s="52"/>
      <c r="L219" s="52"/>
      <c r="M219" s="52"/>
      <c r="N219" s="52"/>
      <c r="O219" s="52"/>
      <c r="P219" s="52"/>
      <c r="Q219" s="110"/>
      <c r="R219" s="52" t="s">
        <v>267</v>
      </c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110"/>
      <c r="AK219" s="98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99"/>
    </row>
    <row r="220" spans="2:61" ht="20.100000000000001" customHeight="1" x14ac:dyDescent="0.45">
      <c r="B220" s="108"/>
      <c r="C220" s="31"/>
      <c r="D220" s="31"/>
      <c r="E220" s="31"/>
      <c r="F220" s="31"/>
      <c r="G220" s="96"/>
      <c r="H220" s="31"/>
      <c r="I220" s="31"/>
      <c r="J220" s="109" t="s">
        <v>204</v>
      </c>
      <c r="K220" s="52"/>
      <c r="L220" s="52"/>
      <c r="M220" s="52"/>
      <c r="N220" s="52"/>
      <c r="O220" s="52"/>
      <c r="P220" s="52"/>
      <c r="Q220" s="110"/>
      <c r="R220" s="52" t="s">
        <v>267</v>
      </c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110"/>
      <c r="AK220" s="98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99"/>
    </row>
    <row r="221" spans="2:61" ht="20.100000000000001" customHeight="1" x14ac:dyDescent="0.45">
      <c r="B221" s="108"/>
      <c r="C221" s="31"/>
      <c r="D221" s="31"/>
      <c r="E221" s="31"/>
      <c r="F221" s="31"/>
      <c r="G221" s="96"/>
      <c r="H221" s="97"/>
      <c r="I221" s="31"/>
      <c r="J221" s="109" t="s">
        <v>205</v>
      </c>
      <c r="K221" s="52"/>
      <c r="L221" s="52"/>
      <c r="M221" s="52"/>
      <c r="N221" s="52"/>
      <c r="O221" s="52"/>
      <c r="P221" s="52"/>
      <c r="Q221" s="110"/>
      <c r="R221" s="52" t="s">
        <v>267</v>
      </c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110"/>
      <c r="AK221" s="98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99"/>
    </row>
    <row r="222" spans="2:61" ht="20.100000000000001" customHeight="1" x14ac:dyDescent="0.45">
      <c r="B222" s="108"/>
      <c r="C222" s="31"/>
      <c r="D222" s="31"/>
      <c r="E222" s="31"/>
      <c r="F222" s="31"/>
      <c r="G222" s="96"/>
      <c r="H222" s="97"/>
      <c r="I222" s="31"/>
      <c r="J222" s="109" t="s">
        <v>206</v>
      </c>
      <c r="K222" s="52"/>
      <c r="L222" s="52"/>
      <c r="M222" s="52"/>
      <c r="N222" s="52"/>
      <c r="O222" s="52"/>
      <c r="P222" s="52"/>
      <c r="Q222" s="110"/>
      <c r="R222" s="52" t="s">
        <v>289</v>
      </c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110"/>
      <c r="AK222" s="98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99"/>
    </row>
    <row r="223" spans="2:61" ht="20.100000000000001" customHeight="1" x14ac:dyDescent="0.45">
      <c r="B223" s="108"/>
      <c r="C223" s="31"/>
      <c r="D223" s="31"/>
      <c r="E223" s="31"/>
      <c r="F223" s="31"/>
      <c r="G223" s="96"/>
      <c r="H223" s="97"/>
      <c r="I223" s="31"/>
      <c r="J223" s="109" t="s">
        <v>207</v>
      </c>
      <c r="K223" s="52"/>
      <c r="L223" s="52"/>
      <c r="M223" s="52"/>
      <c r="N223" s="52"/>
      <c r="O223" s="52"/>
      <c r="P223" s="52"/>
      <c r="Q223" s="110"/>
      <c r="R223" s="112" t="s">
        <v>290</v>
      </c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110"/>
      <c r="AK223" s="98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99"/>
    </row>
    <row r="224" spans="2:61" ht="20.100000000000001" customHeight="1" x14ac:dyDescent="0.45">
      <c r="B224" s="108"/>
      <c r="C224" s="31"/>
      <c r="D224" s="31"/>
      <c r="E224" s="31"/>
      <c r="F224" s="31"/>
      <c r="G224" s="96"/>
      <c r="H224" s="31"/>
      <c r="I224" s="31"/>
      <c r="J224" s="109" t="s">
        <v>208</v>
      </c>
      <c r="K224" s="52"/>
      <c r="L224" s="52"/>
      <c r="M224" s="52"/>
      <c r="N224" s="52"/>
      <c r="O224" s="52"/>
      <c r="P224" s="52"/>
      <c r="Q224" s="110"/>
      <c r="R224" s="52" t="s">
        <v>267</v>
      </c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110"/>
      <c r="AK224" s="98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99"/>
    </row>
    <row r="225" spans="2:61" ht="20.100000000000001" customHeight="1" x14ac:dyDescent="0.45">
      <c r="B225" s="108"/>
      <c r="C225" s="31"/>
      <c r="D225" s="31"/>
      <c r="E225" s="31"/>
      <c r="F225" s="31"/>
      <c r="G225" s="96"/>
      <c r="H225" s="97"/>
      <c r="I225" s="31"/>
      <c r="J225" s="109" t="s">
        <v>209</v>
      </c>
      <c r="K225" s="52"/>
      <c r="L225" s="52"/>
      <c r="M225" s="52"/>
      <c r="N225" s="52"/>
      <c r="O225" s="52"/>
      <c r="P225" s="52"/>
      <c r="Q225" s="110"/>
      <c r="R225" s="52" t="s">
        <v>267</v>
      </c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110"/>
      <c r="AK225" s="98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99"/>
    </row>
    <row r="226" spans="2:61" ht="20.100000000000001" customHeight="1" x14ac:dyDescent="0.45">
      <c r="B226" s="108"/>
      <c r="C226" s="31"/>
      <c r="D226" s="31"/>
      <c r="E226" s="31"/>
      <c r="F226" s="31"/>
      <c r="G226" s="96"/>
      <c r="H226" s="97"/>
      <c r="I226" s="31"/>
      <c r="J226" s="109" t="s">
        <v>210</v>
      </c>
      <c r="K226" s="52"/>
      <c r="L226" s="52"/>
      <c r="M226" s="52"/>
      <c r="N226" s="52"/>
      <c r="O226" s="52"/>
      <c r="P226" s="52"/>
      <c r="Q226" s="110"/>
      <c r="R226" s="52" t="s">
        <v>267</v>
      </c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110"/>
      <c r="AK226" s="98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99"/>
    </row>
    <row r="227" spans="2:61" ht="19.8" customHeight="1" x14ac:dyDescent="0.45">
      <c r="B227" s="108"/>
      <c r="C227" s="31"/>
      <c r="D227" s="31"/>
      <c r="E227" s="31"/>
      <c r="F227" s="31"/>
      <c r="G227" s="96"/>
      <c r="H227" s="97"/>
      <c r="I227" s="31"/>
      <c r="J227" s="109" t="s">
        <v>211</v>
      </c>
      <c r="K227" s="52"/>
      <c r="L227" s="52"/>
      <c r="M227" s="52"/>
      <c r="N227" s="52"/>
      <c r="O227" s="52"/>
      <c r="P227" s="52"/>
      <c r="Q227" s="110"/>
      <c r="R227" s="52" t="s">
        <v>267</v>
      </c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110"/>
      <c r="AK227" s="98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99"/>
    </row>
    <row r="228" spans="2:61" ht="20.100000000000001" customHeight="1" x14ac:dyDescent="0.45">
      <c r="B228" s="108"/>
      <c r="C228" s="31"/>
      <c r="D228" s="31"/>
      <c r="E228" s="31"/>
      <c r="F228" s="31"/>
      <c r="G228" s="96"/>
      <c r="H228" s="31"/>
      <c r="I228" s="31"/>
      <c r="J228" s="109" t="s">
        <v>212</v>
      </c>
      <c r="K228" s="52"/>
      <c r="L228" s="52"/>
      <c r="M228" s="52"/>
      <c r="N228" s="52"/>
      <c r="O228" s="52"/>
      <c r="P228" s="52"/>
      <c r="Q228" s="110"/>
      <c r="R228" s="52" t="s">
        <v>267</v>
      </c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110"/>
      <c r="AK228" s="98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99"/>
    </row>
    <row r="229" spans="2:61" ht="20.100000000000001" customHeight="1" x14ac:dyDescent="0.45">
      <c r="B229" s="108"/>
      <c r="C229" s="31"/>
      <c r="D229" s="31"/>
      <c r="E229" s="31"/>
      <c r="F229" s="31"/>
      <c r="G229" s="96"/>
      <c r="H229" s="97"/>
      <c r="I229" s="31"/>
      <c r="J229" s="109" t="s">
        <v>213</v>
      </c>
      <c r="K229" s="52"/>
      <c r="L229" s="52"/>
      <c r="M229" s="52"/>
      <c r="N229" s="52"/>
      <c r="O229" s="52"/>
      <c r="P229" s="52"/>
      <c r="Q229" s="110"/>
      <c r="R229" s="52" t="s">
        <v>267</v>
      </c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110"/>
      <c r="AK229" s="98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99"/>
    </row>
    <row r="230" spans="2:61" ht="19.8" customHeight="1" x14ac:dyDescent="0.45">
      <c r="B230" s="108"/>
      <c r="C230" s="31"/>
      <c r="D230" s="31"/>
      <c r="E230" s="31"/>
      <c r="F230" s="31"/>
      <c r="G230" s="96"/>
      <c r="H230" s="97"/>
      <c r="I230" s="31"/>
      <c r="J230" s="109" t="s">
        <v>214</v>
      </c>
      <c r="K230" s="52"/>
      <c r="L230" s="52"/>
      <c r="M230" s="52"/>
      <c r="N230" s="52"/>
      <c r="O230" s="52"/>
      <c r="P230" s="52"/>
      <c r="Q230" s="110"/>
      <c r="R230" s="52" t="s">
        <v>267</v>
      </c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110"/>
      <c r="AK230" s="98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99"/>
    </row>
    <row r="231" spans="2:61" ht="20.100000000000001" customHeight="1" x14ac:dyDescent="0.45">
      <c r="B231" s="108"/>
      <c r="C231" s="31"/>
      <c r="D231" s="31"/>
      <c r="E231" s="31"/>
      <c r="F231" s="31"/>
      <c r="G231" s="96"/>
      <c r="H231" s="31"/>
      <c r="I231" s="31"/>
      <c r="J231" s="109" t="s">
        <v>215</v>
      </c>
      <c r="K231" s="52"/>
      <c r="L231" s="52"/>
      <c r="M231" s="52"/>
      <c r="N231" s="52"/>
      <c r="O231" s="52"/>
      <c r="P231" s="52"/>
      <c r="Q231" s="110"/>
      <c r="R231" s="52" t="s">
        <v>267</v>
      </c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110"/>
      <c r="AK231" s="98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99"/>
    </row>
    <row r="232" spans="2:61" ht="20.100000000000001" customHeight="1" x14ac:dyDescent="0.45">
      <c r="B232" s="108"/>
      <c r="C232" s="31"/>
      <c r="D232" s="31"/>
      <c r="E232" s="31"/>
      <c r="F232" s="31"/>
      <c r="G232" s="96"/>
      <c r="H232" s="97"/>
      <c r="I232" s="31"/>
      <c r="J232" s="109" t="s">
        <v>216</v>
      </c>
      <c r="K232" s="52"/>
      <c r="L232" s="52"/>
      <c r="M232" s="52"/>
      <c r="N232" s="52"/>
      <c r="O232" s="52"/>
      <c r="P232" s="52"/>
      <c r="Q232" s="110"/>
      <c r="R232" s="52" t="s">
        <v>267</v>
      </c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110"/>
      <c r="AK232" s="98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99"/>
    </row>
    <row r="233" spans="2:61" ht="20.100000000000001" customHeight="1" x14ac:dyDescent="0.45">
      <c r="B233" s="108"/>
      <c r="C233" s="31"/>
      <c r="D233" s="31"/>
      <c r="E233" s="31"/>
      <c r="F233" s="31"/>
      <c r="G233" s="96"/>
      <c r="H233" s="97"/>
      <c r="I233" s="31"/>
      <c r="J233" s="109" t="s">
        <v>217</v>
      </c>
      <c r="K233" s="52"/>
      <c r="L233" s="52"/>
      <c r="M233" s="52"/>
      <c r="N233" s="52"/>
      <c r="O233" s="52"/>
      <c r="P233" s="52"/>
      <c r="Q233" s="110"/>
      <c r="R233" s="52" t="s">
        <v>267</v>
      </c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110"/>
      <c r="AK233" s="98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99"/>
    </row>
    <row r="234" spans="2:61" ht="19.8" customHeight="1" x14ac:dyDescent="0.45">
      <c r="B234" s="108"/>
      <c r="C234" s="31"/>
      <c r="D234" s="31"/>
      <c r="E234" s="31"/>
      <c r="F234" s="31"/>
      <c r="G234" s="96"/>
      <c r="H234" s="97"/>
      <c r="I234" s="31"/>
      <c r="J234" s="109" t="s">
        <v>218</v>
      </c>
      <c r="K234" s="52"/>
      <c r="L234" s="52"/>
      <c r="M234" s="52"/>
      <c r="N234" s="52"/>
      <c r="O234" s="52"/>
      <c r="P234" s="52"/>
      <c r="Q234" s="110"/>
      <c r="R234" s="52" t="s">
        <v>293</v>
      </c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110"/>
      <c r="AK234" s="98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99"/>
    </row>
    <row r="235" spans="2:61" ht="20.100000000000001" customHeight="1" x14ac:dyDescent="0.45">
      <c r="B235" s="108"/>
      <c r="C235" s="31"/>
      <c r="D235" s="31"/>
      <c r="E235" s="31"/>
      <c r="F235" s="31"/>
      <c r="G235" s="96"/>
      <c r="H235" s="31"/>
      <c r="I235" s="31"/>
      <c r="J235" s="109" t="s">
        <v>219</v>
      </c>
      <c r="K235" s="52"/>
      <c r="L235" s="52"/>
      <c r="M235" s="52"/>
      <c r="N235" s="52"/>
      <c r="O235" s="52"/>
      <c r="P235" s="52"/>
      <c r="Q235" s="110"/>
      <c r="R235" s="52" t="s">
        <v>267</v>
      </c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110"/>
      <c r="AK235" s="98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99"/>
    </row>
    <row r="236" spans="2:61" ht="20.100000000000001" customHeight="1" x14ac:dyDescent="0.45">
      <c r="B236" s="108"/>
      <c r="C236" s="31"/>
      <c r="D236" s="31"/>
      <c r="E236" s="31"/>
      <c r="F236" s="31"/>
      <c r="G236" s="96"/>
      <c r="H236" s="97"/>
      <c r="I236" s="31"/>
      <c r="J236" s="109" t="s">
        <v>220</v>
      </c>
      <c r="K236" s="52"/>
      <c r="L236" s="52"/>
      <c r="M236" s="52"/>
      <c r="N236" s="52"/>
      <c r="O236" s="52"/>
      <c r="P236" s="52"/>
      <c r="Q236" s="110"/>
      <c r="R236" s="52" t="s">
        <v>267</v>
      </c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110"/>
      <c r="AK236" s="98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99"/>
    </row>
    <row r="237" spans="2:61" ht="19.8" customHeight="1" x14ac:dyDescent="0.45">
      <c r="B237" s="108"/>
      <c r="C237" s="31"/>
      <c r="D237" s="31"/>
      <c r="E237" s="31"/>
      <c r="F237" s="31"/>
      <c r="G237" s="96"/>
      <c r="H237" s="97"/>
      <c r="I237" s="31"/>
      <c r="J237" s="109" t="s">
        <v>221</v>
      </c>
      <c r="K237" s="52"/>
      <c r="L237" s="52"/>
      <c r="M237" s="52"/>
      <c r="N237" s="52"/>
      <c r="O237" s="52"/>
      <c r="P237" s="52"/>
      <c r="Q237" s="110"/>
      <c r="R237" s="52" t="s">
        <v>267</v>
      </c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110"/>
      <c r="AK237" s="98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99"/>
    </row>
    <row r="238" spans="2:61" ht="20.100000000000001" customHeight="1" x14ac:dyDescent="0.45">
      <c r="B238" s="108"/>
      <c r="C238" s="31"/>
      <c r="D238" s="31"/>
      <c r="E238" s="31"/>
      <c r="F238" s="31"/>
      <c r="G238" s="96"/>
      <c r="H238" s="31"/>
      <c r="I238" s="31"/>
      <c r="J238" s="109" t="s">
        <v>222</v>
      </c>
      <c r="K238" s="52"/>
      <c r="L238" s="52"/>
      <c r="M238" s="52"/>
      <c r="N238" s="52"/>
      <c r="O238" s="52"/>
      <c r="P238" s="52"/>
      <c r="Q238" s="110"/>
      <c r="R238" s="52" t="s">
        <v>267</v>
      </c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110"/>
      <c r="AK238" s="98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99"/>
    </row>
    <row r="239" spans="2:61" ht="20.100000000000001" customHeight="1" x14ac:dyDescent="0.45">
      <c r="B239" s="108"/>
      <c r="C239" s="31"/>
      <c r="D239" s="31"/>
      <c r="E239" s="31"/>
      <c r="F239" s="31"/>
      <c r="G239" s="96"/>
      <c r="H239" s="97"/>
      <c r="I239" s="31"/>
      <c r="J239" s="109" t="s">
        <v>223</v>
      </c>
      <c r="K239" s="52"/>
      <c r="L239" s="52"/>
      <c r="M239" s="52"/>
      <c r="N239" s="52"/>
      <c r="O239" s="52"/>
      <c r="P239" s="52"/>
      <c r="Q239" s="110"/>
      <c r="R239" s="52" t="s">
        <v>267</v>
      </c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110"/>
      <c r="AK239" s="98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99"/>
    </row>
    <row r="240" spans="2:61" ht="20.100000000000001" customHeight="1" x14ac:dyDescent="0.45">
      <c r="B240" s="108"/>
      <c r="C240" s="31"/>
      <c r="D240" s="31"/>
      <c r="E240" s="31"/>
      <c r="F240" s="31"/>
      <c r="G240" s="96"/>
      <c r="H240" s="100" t="s">
        <v>183</v>
      </c>
      <c r="I240" s="55"/>
      <c r="J240" s="100" t="s">
        <v>284</v>
      </c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101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102"/>
    </row>
    <row r="241" spans="2:61" ht="20.100000000000001" customHeight="1" x14ac:dyDescent="0.45">
      <c r="B241" s="95"/>
      <c r="C241" s="31"/>
      <c r="D241" s="31"/>
      <c r="E241" s="31"/>
      <c r="F241" s="31"/>
      <c r="G241" s="96"/>
      <c r="H241" s="100" t="s">
        <v>230</v>
      </c>
      <c r="I241" s="55"/>
      <c r="J241" s="100" t="s">
        <v>291</v>
      </c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101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102"/>
    </row>
    <row r="242" spans="2:61" ht="20.100000000000001" customHeight="1" x14ac:dyDescent="0.45">
      <c r="B242" s="95"/>
      <c r="C242" s="31"/>
      <c r="D242" s="31"/>
      <c r="E242" s="31"/>
      <c r="F242" s="31"/>
      <c r="G242" s="96"/>
      <c r="H242" s="97"/>
      <c r="I242" s="31"/>
      <c r="J242" s="97"/>
      <c r="K242" s="31" t="s">
        <v>232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97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99"/>
    </row>
    <row r="243" spans="2:61" ht="20.100000000000001" customHeight="1" thickBot="1" x14ac:dyDescent="0.5">
      <c r="B243" s="95"/>
      <c r="C243" s="31"/>
      <c r="D243" s="31"/>
      <c r="E243" s="31"/>
      <c r="F243" s="31"/>
      <c r="G243" s="96"/>
      <c r="H243" s="97"/>
      <c r="I243" s="31"/>
      <c r="J243" s="97"/>
      <c r="K243" s="31" t="s">
        <v>233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97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99"/>
    </row>
    <row r="244" spans="2:61" ht="20.100000000000001" customHeight="1" x14ac:dyDescent="0.45">
      <c r="B244" s="89" t="s">
        <v>294</v>
      </c>
      <c r="C244" s="90"/>
      <c r="D244" s="90"/>
      <c r="E244" s="90"/>
      <c r="F244" s="90"/>
      <c r="G244" s="91"/>
      <c r="H244" s="92" t="s">
        <v>193</v>
      </c>
      <c r="I244" s="90"/>
      <c r="J244" s="105" t="s">
        <v>176</v>
      </c>
      <c r="K244" s="106"/>
      <c r="L244" s="106"/>
      <c r="M244" s="106"/>
      <c r="N244" s="106"/>
      <c r="O244" s="106"/>
      <c r="P244" s="106"/>
      <c r="Q244" s="107"/>
      <c r="R244" s="106" t="s">
        <v>234</v>
      </c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7"/>
      <c r="AK244" s="93" t="s">
        <v>194</v>
      </c>
      <c r="AL244" s="90"/>
      <c r="AM244" s="90"/>
      <c r="AN244" s="90"/>
      <c r="AO244" s="90"/>
      <c r="AP244" s="90"/>
      <c r="AQ244" s="90"/>
      <c r="AR244" s="90" t="s">
        <v>295</v>
      </c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4"/>
    </row>
    <row r="245" spans="2:61" ht="20.100000000000001" customHeight="1" x14ac:dyDescent="0.45">
      <c r="B245" s="108"/>
      <c r="C245" s="31"/>
      <c r="D245" s="31"/>
      <c r="E245" s="31"/>
      <c r="F245" s="31"/>
      <c r="G245" s="96"/>
      <c r="H245" s="97"/>
      <c r="I245" s="31"/>
      <c r="J245" s="109" t="s">
        <v>197</v>
      </c>
      <c r="K245" s="52"/>
      <c r="L245" s="52"/>
      <c r="M245" s="52"/>
      <c r="N245" s="52"/>
      <c r="O245" s="52"/>
      <c r="P245" s="52"/>
      <c r="Q245" s="110"/>
      <c r="R245" s="52" t="s">
        <v>296</v>
      </c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110"/>
      <c r="AK245" s="98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99"/>
    </row>
    <row r="246" spans="2:61" ht="20.100000000000001" customHeight="1" x14ac:dyDescent="0.45">
      <c r="B246" s="108"/>
      <c r="C246" s="31"/>
      <c r="D246" s="31"/>
      <c r="E246" s="31"/>
      <c r="F246" s="31"/>
      <c r="G246" s="96"/>
      <c r="H246" s="97"/>
      <c r="I246" s="31"/>
      <c r="J246" s="109" t="s">
        <v>198</v>
      </c>
      <c r="K246" s="52"/>
      <c r="L246" s="52"/>
      <c r="M246" s="52"/>
      <c r="N246" s="52"/>
      <c r="O246" s="52"/>
      <c r="P246" s="52"/>
      <c r="Q246" s="110"/>
      <c r="R246" s="52" t="s">
        <v>297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110"/>
      <c r="AK246" s="98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99"/>
    </row>
    <row r="247" spans="2:61" ht="20.100000000000001" customHeight="1" x14ac:dyDescent="0.45">
      <c r="B247" s="108"/>
      <c r="C247" s="31"/>
      <c r="D247" s="31"/>
      <c r="E247" s="31"/>
      <c r="F247" s="31"/>
      <c r="G247" s="96"/>
      <c r="H247" s="97"/>
      <c r="I247" s="31"/>
      <c r="J247" s="109" t="s">
        <v>199</v>
      </c>
      <c r="K247" s="52"/>
      <c r="L247" s="52"/>
      <c r="M247" s="52"/>
      <c r="N247" s="52"/>
      <c r="O247" s="52"/>
      <c r="P247" s="52"/>
      <c r="Q247" s="110"/>
      <c r="R247" s="52" t="s">
        <v>298</v>
      </c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110"/>
      <c r="AK247" s="98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99"/>
    </row>
    <row r="248" spans="2:61" ht="20.100000000000001" customHeight="1" x14ac:dyDescent="0.45">
      <c r="B248" s="108"/>
      <c r="C248" s="31"/>
      <c r="D248" s="31"/>
      <c r="E248" s="31"/>
      <c r="F248" s="31"/>
      <c r="G248" s="96"/>
      <c r="H248" s="31"/>
      <c r="I248" s="31"/>
      <c r="J248" s="109" t="s">
        <v>200</v>
      </c>
      <c r="K248" s="52"/>
      <c r="L248" s="52"/>
      <c r="M248" s="52"/>
      <c r="N248" s="52"/>
      <c r="O248" s="52"/>
      <c r="P248" s="52"/>
      <c r="Q248" s="110"/>
      <c r="R248" s="52" t="s">
        <v>299</v>
      </c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110"/>
      <c r="AK248" s="98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99"/>
    </row>
    <row r="249" spans="2:61" ht="20.100000000000001" customHeight="1" x14ac:dyDescent="0.45">
      <c r="B249" s="108"/>
      <c r="C249" s="31"/>
      <c r="D249" s="31"/>
      <c r="E249" s="31"/>
      <c r="F249" s="31"/>
      <c r="G249" s="96"/>
      <c r="H249" s="97"/>
      <c r="I249" s="31"/>
      <c r="J249" s="109" t="s">
        <v>201</v>
      </c>
      <c r="K249" s="52"/>
      <c r="L249" s="52"/>
      <c r="M249" s="52"/>
      <c r="N249" s="52"/>
      <c r="O249" s="52"/>
      <c r="P249" s="52"/>
      <c r="Q249" s="110"/>
      <c r="R249" s="52" t="s">
        <v>270</v>
      </c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110"/>
      <c r="AK249" s="98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99"/>
    </row>
    <row r="250" spans="2:61" ht="20.100000000000001" customHeight="1" x14ac:dyDescent="0.45">
      <c r="B250" s="108"/>
      <c r="C250" s="31"/>
      <c r="D250" s="31"/>
      <c r="E250" s="31"/>
      <c r="F250" s="31"/>
      <c r="G250" s="96"/>
      <c r="H250" s="97"/>
      <c r="I250" s="31"/>
      <c r="J250" s="109" t="s">
        <v>202</v>
      </c>
      <c r="K250" s="52"/>
      <c r="L250" s="52"/>
      <c r="M250" s="52"/>
      <c r="N250" s="52"/>
      <c r="O250" s="52"/>
      <c r="P250" s="52"/>
      <c r="Q250" s="110"/>
      <c r="R250" s="52" t="s">
        <v>271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110"/>
      <c r="AK250" s="98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99"/>
    </row>
    <row r="251" spans="2:61" ht="20.100000000000001" customHeight="1" x14ac:dyDescent="0.45">
      <c r="B251" s="108"/>
      <c r="C251" s="31"/>
      <c r="D251" s="31"/>
      <c r="E251" s="31"/>
      <c r="F251" s="31"/>
      <c r="G251" s="96"/>
      <c r="H251" s="97"/>
      <c r="I251" s="31"/>
      <c r="J251" s="109" t="s">
        <v>203</v>
      </c>
      <c r="K251" s="52"/>
      <c r="L251" s="52"/>
      <c r="M251" s="52"/>
      <c r="N251" s="52"/>
      <c r="O251" s="52"/>
      <c r="P251" s="52"/>
      <c r="Q251" s="110"/>
      <c r="R251" s="52" t="s">
        <v>267</v>
      </c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110"/>
      <c r="AK251" s="98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99"/>
    </row>
    <row r="252" spans="2:61" ht="20.100000000000001" customHeight="1" x14ac:dyDescent="0.45">
      <c r="B252" s="108"/>
      <c r="C252" s="31"/>
      <c r="D252" s="31"/>
      <c r="E252" s="31"/>
      <c r="F252" s="31"/>
      <c r="G252" s="96"/>
      <c r="H252" s="31"/>
      <c r="I252" s="31"/>
      <c r="J252" s="109" t="s">
        <v>204</v>
      </c>
      <c r="K252" s="52"/>
      <c r="L252" s="52"/>
      <c r="M252" s="52"/>
      <c r="N252" s="52"/>
      <c r="O252" s="52"/>
      <c r="P252" s="52"/>
      <c r="Q252" s="110"/>
      <c r="R252" s="52" t="s">
        <v>267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110"/>
      <c r="AK252" s="98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99"/>
    </row>
    <row r="253" spans="2:61" ht="20.100000000000001" customHeight="1" x14ac:dyDescent="0.45">
      <c r="B253" s="108"/>
      <c r="C253" s="31"/>
      <c r="D253" s="31"/>
      <c r="E253" s="31"/>
      <c r="F253" s="31"/>
      <c r="G253" s="96"/>
      <c r="H253" s="97"/>
      <c r="I253" s="31"/>
      <c r="J253" s="109" t="s">
        <v>205</v>
      </c>
      <c r="K253" s="52"/>
      <c r="L253" s="52"/>
      <c r="M253" s="52"/>
      <c r="N253" s="52"/>
      <c r="O253" s="52"/>
      <c r="P253" s="52"/>
      <c r="Q253" s="110"/>
      <c r="R253" s="52" t="s">
        <v>267</v>
      </c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110"/>
      <c r="AK253" s="98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99"/>
    </row>
    <row r="254" spans="2:61" ht="20.100000000000001" customHeight="1" x14ac:dyDescent="0.45">
      <c r="B254" s="108"/>
      <c r="C254" s="31"/>
      <c r="D254" s="31"/>
      <c r="E254" s="31"/>
      <c r="F254" s="31"/>
      <c r="G254" s="96"/>
      <c r="H254" s="97"/>
      <c r="I254" s="31"/>
      <c r="J254" s="109" t="s">
        <v>206</v>
      </c>
      <c r="K254" s="52"/>
      <c r="L254" s="52"/>
      <c r="M254" s="52"/>
      <c r="N254" s="52"/>
      <c r="O254" s="52"/>
      <c r="P254" s="52"/>
      <c r="Q254" s="110"/>
      <c r="R254" s="52" t="s">
        <v>267</v>
      </c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110"/>
      <c r="AK254" s="98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99"/>
    </row>
    <row r="255" spans="2:61" ht="20.100000000000001" customHeight="1" x14ac:dyDescent="0.45">
      <c r="B255" s="108"/>
      <c r="C255" s="31"/>
      <c r="D255" s="31"/>
      <c r="E255" s="31"/>
      <c r="F255" s="31"/>
      <c r="G255" s="96"/>
      <c r="H255" s="97"/>
      <c r="I255" s="31"/>
      <c r="J255" s="109" t="s">
        <v>207</v>
      </c>
      <c r="K255" s="52"/>
      <c r="L255" s="52"/>
      <c r="M255" s="52"/>
      <c r="N255" s="52"/>
      <c r="O255" s="52"/>
      <c r="P255" s="52"/>
      <c r="Q255" s="110"/>
      <c r="R255" s="112" t="s">
        <v>272</v>
      </c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110"/>
      <c r="AK255" s="98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99"/>
    </row>
    <row r="256" spans="2:61" ht="20.100000000000001" customHeight="1" x14ac:dyDescent="0.45">
      <c r="B256" s="108"/>
      <c r="C256" s="31"/>
      <c r="D256" s="31"/>
      <c r="E256" s="31"/>
      <c r="F256" s="31"/>
      <c r="G256" s="96"/>
      <c r="H256" s="31"/>
      <c r="I256" s="31"/>
      <c r="J256" s="109" t="s">
        <v>208</v>
      </c>
      <c r="K256" s="52"/>
      <c r="L256" s="52"/>
      <c r="M256" s="52"/>
      <c r="N256" s="52"/>
      <c r="O256" s="52"/>
      <c r="P256" s="52"/>
      <c r="Q256" s="110"/>
      <c r="R256" s="52" t="s">
        <v>267</v>
      </c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110"/>
      <c r="AK256" s="98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99"/>
    </row>
    <row r="257" spans="2:61" ht="20.100000000000001" customHeight="1" x14ac:dyDescent="0.45">
      <c r="B257" s="108"/>
      <c r="C257" s="31"/>
      <c r="D257" s="31"/>
      <c r="E257" s="31"/>
      <c r="F257" s="31"/>
      <c r="G257" s="96"/>
      <c r="H257" s="97"/>
      <c r="I257" s="31"/>
      <c r="J257" s="109" t="s">
        <v>209</v>
      </c>
      <c r="K257" s="52"/>
      <c r="L257" s="52"/>
      <c r="M257" s="52"/>
      <c r="N257" s="52"/>
      <c r="O257" s="52"/>
      <c r="P257" s="52"/>
      <c r="Q257" s="110"/>
      <c r="R257" s="52" t="s">
        <v>267</v>
      </c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110"/>
      <c r="AK257" s="98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99"/>
    </row>
    <row r="258" spans="2:61" ht="20.100000000000001" customHeight="1" x14ac:dyDescent="0.45">
      <c r="B258" s="108"/>
      <c r="C258" s="31"/>
      <c r="D258" s="31"/>
      <c r="E258" s="31"/>
      <c r="F258" s="31"/>
      <c r="G258" s="96"/>
      <c r="H258" s="97"/>
      <c r="I258" s="31"/>
      <c r="J258" s="109" t="s">
        <v>210</v>
      </c>
      <c r="K258" s="52"/>
      <c r="L258" s="52"/>
      <c r="M258" s="52"/>
      <c r="N258" s="52"/>
      <c r="O258" s="52"/>
      <c r="P258" s="52"/>
      <c r="Q258" s="110"/>
      <c r="R258" s="52" t="s">
        <v>267</v>
      </c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110"/>
      <c r="AK258" s="98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99"/>
    </row>
    <row r="259" spans="2:61" ht="19.8" customHeight="1" x14ac:dyDescent="0.45">
      <c r="B259" s="108"/>
      <c r="C259" s="31"/>
      <c r="D259" s="31"/>
      <c r="E259" s="31"/>
      <c r="F259" s="31"/>
      <c r="G259" s="96"/>
      <c r="H259" s="97"/>
      <c r="I259" s="31"/>
      <c r="J259" s="109" t="s">
        <v>211</v>
      </c>
      <c r="K259" s="52"/>
      <c r="L259" s="52"/>
      <c r="M259" s="52"/>
      <c r="N259" s="52"/>
      <c r="O259" s="52"/>
      <c r="P259" s="52"/>
      <c r="Q259" s="110"/>
      <c r="R259" s="52" t="s">
        <v>267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110"/>
      <c r="AK259" s="98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99"/>
    </row>
    <row r="260" spans="2:61" ht="20.100000000000001" customHeight="1" x14ac:dyDescent="0.45">
      <c r="B260" s="108"/>
      <c r="C260" s="31"/>
      <c r="D260" s="31"/>
      <c r="E260" s="31"/>
      <c r="F260" s="31"/>
      <c r="G260" s="96"/>
      <c r="H260" s="31"/>
      <c r="I260" s="31"/>
      <c r="J260" s="109" t="s">
        <v>212</v>
      </c>
      <c r="K260" s="52"/>
      <c r="L260" s="52"/>
      <c r="M260" s="52"/>
      <c r="N260" s="52"/>
      <c r="O260" s="52"/>
      <c r="P260" s="52"/>
      <c r="Q260" s="110"/>
      <c r="R260" s="52" t="s">
        <v>267</v>
      </c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110"/>
      <c r="AK260" s="98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99"/>
    </row>
    <row r="261" spans="2:61" ht="20.100000000000001" customHeight="1" x14ac:dyDescent="0.45">
      <c r="B261" s="108"/>
      <c r="C261" s="31"/>
      <c r="D261" s="31"/>
      <c r="E261" s="31"/>
      <c r="F261" s="31"/>
      <c r="G261" s="96"/>
      <c r="H261" s="97"/>
      <c r="I261" s="31"/>
      <c r="J261" s="109" t="s">
        <v>213</v>
      </c>
      <c r="K261" s="52"/>
      <c r="L261" s="52"/>
      <c r="M261" s="52"/>
      <c r="N261" s="52"/>
      <c r="O261" s="52"/>
      <c r="P261" s="52"/>
      <c r="Q261" s="110"/>
      <c r="R261" s="52" t="s">
        <v>267</v>
      </c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110"/>
      <c r="AK261" s="98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99"/>
    </row>
    <row r="262" spans="2:61" ht="19.8" customHeight="1" x14ac:dyDescent="0.45">
      <c r="B262" s="108"/>
      <c r="C262" s="31"/>
      <c r="D262" s="31"/>
      <c r="E262" s="31"/>
      <c r="F262" s="31"/>
      <c r="G262" s="96"/>
      <c r="H262" s="97"/>
      <c r="I262" s="31"/>
      <c r="J262" s="109" t="s">
        <v>214</v>
      </c>
      <c r="K262" s="52"/>
      <c r="L262" s="52"/>
      <c r="M262" s="52"/>
      <c r="N262" s="52"/>
      <c r="O262" s="52"/>
      <c r="P262" s="52"/>
      <c r="Q262" s="110"/>
      <c r="R262" s="52" t="s">
        <v>267</v>
      </c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110"/>
      <c r="AK262" s="98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99"/>
    </row>
    <row r="263" spans="2:61" ht="20.100000000000001" customHeight="1" x14ac:dyDescent="0.45">
      <c r="B263" s="108"/>
      <c r="C263" s="31"/>
      <c r="D263" s="31"/>
      <c r="E263" s="31"/>
      <c r="F263" s="31"/>
      <c r="G263" s="96"/>
      <c r="H263" s="31"/>
      <c r="I263" s="31"/>
      <c r="J263" s="109" t="s">
        <v>215</v>
      </c>
      <c r="K263" s="52"/>
      <c r="L263" s="52"/>
      <c r="M263" s="52"/>
      <c r="N263" s="52"/>
      <c r="O263" s="52"/>
      <c r="P263" s="52"/>
      <c r="Q263" s="110"/>
      <c r="R263" s="52" t="s">
        <v>267</v>
      </c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110"/>
      <c r="AK263" s="98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99"/>
    </row>
    <row r="264" spans="2:61" ht="20.100000000000001" customHeight="1" x14ac:dyDescent="0.45">
      <c r="B264" s="108"/>
      <c r="C264" s="31"/>
      <c r="D264" s="31"/>
      <c r="E264" s="31"/>
      <c r="F264" s="31"/>
      <c r="G264" s="96"/>
      <c r="H264" s="97"/>
      <c r="I264" s="31"/>
      <c r="J264" s="109" t="s">
        <v>216</v>
      </c>
      <c r="K264" s="52"/>
      <c r="L264" s="52"/>
      <c r="M264" s="52"/>
      <c r="N264" s="52"/>
      <c r="O264" s="52"/>
      <c r="P264" s="52"/>
      <c r="Q264" s="110"/>
      <c r="R264" s="52" t="s">
        <v>267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110"/>
      <c r="AK264" s="98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99"/>
    </row>
    <row r="265" spans="2:61" ht="20.100000000000001" customHeight="1" x14ac:dyDescent="0.45">
      <c r="B265" s="108"/>
      <c r="C265" s="31"/>
      <c r="D265" s="31"/>
      <c r="E265" s="31"/>
      <c r="F265" s="31"/>
      <c r="G265" s="96"/>
      <c r="H265" s="97"/>
      <c r="I265" s="31"/>
      <c r="J265" s="109" t="s">
        <v>217</v>
      </c>
      <c r="K265" s="52"/>
      <c r="L265" s="52"/>
      <c r="M265" s="52"/>
      <c r="N265" s="52"/>
      <c r="O265" s="52"/>
      <c r="P265" s="52"/>
      <c r="Q265" s="110"/>
      <c r="R265" s="52" t="s">
        <v>267</v>
      </c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110"/>
      <c r="AK265" s="98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99"/>
    </row>
    <row r="266" spans="2:61" ht="19.8" customHeight="1" x14ac:dyDescent="0.45">
      <c r="B266" s="108"/>
      <c r="C266" s="31"/>
      <c r="D266" s="31"/>
      <c r="E266" s="31"/>
      <c r="F266" s="31"/>
      <c r="G266" s="96"/>
      <c r="H266" s="97"/>
      <c r="I266" s="31"/>
      <c r="J266" s="109" t="s">
        <v>218</v>
      </c>
      <c r="K266" s="52"/>
      <c r="L266" s="52"/>
      <c r="M266" s="52"/>
      <c r="N266" s="52"/>
      <c r="O266" s="52"/>
      <c r="P266" s="52"/>
      <c r="Q266" s="110"/>
      <c r="R266" s="52" t="s">
        <v>300</v>
      </c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110"/>
      <c r="AK266" s="98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99"/>
    </row>
    <row r="267" spans="2:61" ht="20.100000000000001" customHeight="1" x14ac:dyDescent="0.45">
      <c r="B267" s="108"/>
      <c r="C267" s="31"/>
      <c r="D267" s="31"/>
      <c r="E267" s="31"/>
      <c r="F267" s="31"/>
      <c r="G267" s="96"/>
      <c r="H267" s="31"/>
      <c r="I267" s="31"/>
      <c r="J267" s="109" t="s">
        <v>219</v>
      </c>
      <c r="K267" s="52"/>
      <c r="L267" s="52"/>
      <c r="M267" s="52"/>
      <c r="N267" s="52"/>
      <c r="O267" s="52"/>
      <c r="P267" s="52"/>
      <c r="Q267" s="110"/>
      <c r="R267" s="52" t="s">
        <v>267</v>
      </c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110"/>
      <c r="AK267" s="98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99"/>
    </row>
    <row r="268" spans="2:61" ht="20.100000000000001" customHeight="1" x14ac:dyDescent="0.45">
      <c r="B268" s="108"/>
      <c r="C268" s="31"/>
      <c r="D268" s="31"/>
      <c r="E268" s="31"/>
      <c r="F268" s="31"/>
      <c r="G268" s="96"/>
      <c r="H268" s="97"/>
      <c r="I268" s="31"/>
      <c r="J268" s="109" t="s">
        <v>220</v>
      </c>
      <c r="K268" s="52"/>
      <c r="L268" s="52"/>
      <c r="M268" s="52"/>
      <c r="N268" s="52"/>
      <c r="O268" s="52"/>
      <c r="P268" s="52"/>
      <c r="Q268" s="110"/>
      <c r="R268" s="52" t="s">
        <v>267</v>
      </c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110"/>
      <c r="AK268" s="98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99"/>
    </row>
    <row r="269" spans="2:61" ht="19.8" customHeight="1" x14ac:dyDescent="0.45">
      <c r="B269" s="108"/>
      <c r="C269" s="31"/>
      <c r="D269" s="31"/>
      <c r="E269" s="31"/>
      <c r="F269" s="31"/>
      <c r="G269" s="96"/>
      <c r="H269" s="97"/>
      <c r="I269" s="31"/>
      <c r="J269" s="109" t="s">
        <v>221</v>
      </c>
      <c r="K269" s="52"/>
      <c r="L269" s="52"/>
      <c r="M269" s="52"/>
      <c r="N269" s="52"/>
      <c r="O269" s="52"/>
      <c r="P269" s="52"/>
      <c r="Q269" s="110"/>
      <c r="R269" s="52" t="s">
        <v>267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110"/>
      <c r="AK269" s="98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99"/>
    </row>
    <row r="270" spans="2:61" ht="20.100000000000001" customHeight="1" x14ac:dyDescent="0.45">
      <c r="B270" s="108"/>
      <c r="C270" s="31"/>
      <c r="D270" s="31"/>
      <c r="E270" s="31"/>
      <c r="F270" s="31"/>
      <c r="G270" s="96"/>
      <c r="H270" s="31"/>
      <c r="I270" s="31"/>
      <c r="J270" s="109" t="s">
        <v>222</v>
      </c>
      <c r="K270" s="52"/>
      <c r="L270" s="52"/>
      <c r="M270" s="52"/>
      <c r="N270" s="52"/>
      <c r="O270" s="52"/>
      <c r="P270" s="52"/>
      <c r="Q270" s="110"/>
      <c r="R270" s="52" t="s">
        <v>267</v>
      </c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110"/>
      <c r="AK270" s="98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99"/>
    </row>
    <row r="271" spans="2:61" ht="20.100000000000001" customHeight="1" x14ac:dyDescent="0.45">
      <c r="B271" s="108"/>
      <c r="C271" s="31"/>
      <c r="D271" s="31"/>
      <c r="E271" s="31"/>
      <c r="F271" s="31"/>
      <c r="G271" s="96"/>
      <c r="H271" s="97"/>
      <c r="I271" s="31"/>
      <c r="J271" s="109" t="s">
        <v>223</v>
      </c>
      <c r="K271" s="52"/>
      <c r="L271" s="52"/>
      <c r="M271" s="52"/>
      <c r="N271" s="52"/>
      <c r="O271" s="52"/>
      <c r="P271" s="52"/>
      <c r="Q271" s="110"/>
      <c r="R271" s="52" t="s">
        <v>267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110"/>
      <c r="AK271" s="98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99"/>
    </row>
    <row r="272" spans="2:61" ht="20.100000000000001" customHeight="1" x14ac:dyDescent="0.45">
      <c r="B272" s="108"/>
      <c r="C272" s="31"/>
      <c r="D272" s="31"/>
      <c r="E272" s="31"/>
      <c r="F272" s="31"/>
      <c r="G272" s="96"/>
      <c r="H272" s="100" t="s">
        <v>183</v>
      </c>
      <c r="I272" s="55"/>
      <c r="J272" s="100" t="s">
        <v>301</v>
      </c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101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  <c r="BI272" s="102"/>
    </row>
    <row r="273" spans="2:61" ht="20.100000000000001" customHeight="1" x14ac:dyDescent="0.45">
      <c r="B273" s="108"/>
      <c r="C273" s="31"/>
      <c r="D273" s="31"/>
      <c r="E273" s="31"/>
      <c r="F273" s="31"/>
      <c r="G273" s="96"/>
      <c r="H273" s="97"/>
      <c r="I273" s="31"/>
      <c r="J273" s="97"/>
      <c r="K273" s="31" t="s">
        <v>302</v>
      </c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98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99"/>
    </row>
    <row r="274" spans="2:61" ht="20.100000000000001" customHeight="1" x14ac:dyDescent="0.45">
      <c r="B274" s="108"/>
      <c r="C274" s="31"/>
      <c r="D274" s="31"/>
      <c r="E274" s="31"/>
      <c r="F274" s="31"/>
      <c r="G274" s="96"/>
      <c r="H274" s="97"/>
      <c r="I274" s="31"/>
      <c r="J274" s="97"/>
      <c r="K274" s="31" t="s">
        <v>303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98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99"/>
    </row>
    <row r="275" spans="2:61" ht="20.100000000000001" customHeight="1" x14ac:dyDescent="0.45">
      <c r="B275" s="95"/>
      <c r="C275" s="31"/>
      <c r="D275" s="31"/>
      <c r="E275" s="31"/>
      <c r="F275" s="31"/>
      <c r="G275" s="96"/>
      <c r="H275" s="100" t="s">
        <v>225</v>
      </c>
      <c r="I275" s="55"/>
      <c r="J275" s="100" t="s">
        <v>304</v>
      </c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101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  <c r="BI275" s="102"/>
    </row>
    <row r="276" spans="2:61" ht="20.100000000000001" customHeight="1" x14ac:dyDescent="0.45">
      <c r="B276" s="95"/>
      <c r="C276" s="31"/>
      <c r="D276" s="31"/>
      <c r="E276" s="31"/>
      <c r="F276" s="31"/>
      <c r="G276" s="96"/>
      <c r="H276" s="97"/>
      <c r="I276" s="31"/>
      <c r="J276" s="97"/>
      <c r="K276" s="31" t="s">
        <v>157</v>
      </c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98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99"/>
    </row>
    <row r="277" spans="2:61" ht="20.100000000000001" customHeight="1" x14ac:dyDescent="0.45">
      <c r="B277" s="95"/>
      <c r="C277" s="31"/>
      <c r="D277" s="31"/>
      <c r="E277" s="31"/>
      <c r="F277" s="31"/>
      <c r="G277" s="96"/>
      <c r="H277" s="97"/>
      <c r="I277" s="31"/>
      <c r="J277" s="97"/>
      <c r="K277" s="31" t="s">
        <v>306</v>
      </c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98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99"/>
    </row>
    <row r="278" spans="2:61" ht="20.100000000000001" customHeight="1" x14ac:dyDescent="0.45">
      <c r="B278" s="95"/>
      <c r="C278" s="31"/>
      <c r="D278" s="31"/>
      <c r="E278" s="31"/>
      <c r="F278" s="31"/>
      <c r="G278" s="96"/>
      <c r="H278" s="97"/>
      <c r="I278" s="31"/>
      <c r="J278" s="97"/>
      <c r="K278" s="31" t="s">
        <v>305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98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99"/>
    </row>
    <row r="279" spans="2:61" ht="20.100000000000001" customHeight="1" x14ac:dyDescent="0.45">
      <c r="B279" s="95"/>
      <c r="C279" s="31"/>
      <c r="D279" s="31"/>
      <c r="E279" s="31"/>
      <c r="F279" s="31"/>
      <c r="G279" s="96"/>
      <c r="H279" s="97"/>
      <c r="I279" s="31"/>
      <c r="J279" s="97"/>
      <c r="K279" s="31" t="s">
        <v>307</v>
      </c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98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99"/>
    </row>
    <row r="280" spans="2:61" ht="20.100000000000001" customHeight="1" x14ac:dyDescent="0.45">
      <c r="B280" s="95"/>
      <c r="C280" s="31"/>
      <c r="D280" s="31"/>
      <c r="E280" s="31"/>
      <c r="F280" s="31"/>
      <c r="G280" s="96"/>
      <c r="H280" s="97"/>
      <c r="I280" s="31"/>
      <c r="J280" s="97" t="s">
        <v>304</v>
      </c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98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99"/>
    </row>
    <row r="281" spans="2:61" ht="20.100000000000001" customHeight="1" x14ac:dyDescent="0.45">
      <c r="B281" s="95"/>
      <c r="C281" s="31"/>
      <c r="D281" s="31"/>
      <c r="E281" s="31"/>
      <c r="F281" s="31"/>
      <c r="G281" s="96"/>
      <c r="H281" s="97"/>
      <c r="I281" s="31"/>
      <c r="J281" s="97"/>
      <c r="K281" s="31" t="s">
        <v>157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98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99"/>
    </row>
    <row r="282" spans="2:61" ht="20.100000000000001" customHeight="1" x14ac:dyDescent="0.45">
      <c r="B282" s="95"/>
      <c r="C282" s="31"/>
      <c r="D282" s="31"/>
      <c r="E282" s="31"/>
      <c r="F282" s="31"/>
      <c r="G282" s="96"/>
      <c r="H282" s="97"/>
      <c r="I282" s="31"/>
      <c r="J282" s="97"/>
      <c r="K282" s="31" t="s">
        <v>308</v>
      </c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98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99"/>
    </row>
    <row r="283" spans="2:61" ht="20.100000000000001" customHeight="1" x14ac:dyDescent="0.45">
      <c r="B283" s="95"/>
      <c r="C283" s="31"/>
      <c r="D283" s="31"/>
      <c r="E283" s="31"/>
      <c r="F283" s="31"/>
      <c r="G283" s="96"/>
      <c r="H283" s="97"/>
      <c r="I283" s="31"/>
      <c r="J283" s="97"/>
      <c r="K283" s="31" t="s">
        <v>309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98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99"/>
    </row>
    <row r="284" spans="2:61" ht="20.100000000000001" customHeight="1" x14ac:dyDescent="0.45">
      <c r="B284" s="95"/>
      <c r="C284" s="31"/>
      <c r="D284" s="31"/>
      <c r="E284" s="31"/>
      <c r="F284" s="31"/>
      <c r="G284" s="96"/>
      <c r="H284" s="97"/>
      <c r="I284" s="31"/>
      <c r="J284" s="97"/>
      <c r="K284" s="31" t="s">
        <v>310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98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99"/>
    </row>
    <row r="285" spans="2:61" ht="20.100000000000001" customHeight="1" x14ac:dyDescent="0.45">
      <c r="B285" s="95"/>
      <c r="C285" s="31"/>
      <c r="D285" s="31"/>
      <c r="E285" s="31"/>
      <c r="F285" s="31"/>
      <c r="G285" s="96"/>
      <c r="H285" s="100" t="s">
        <v>230</v>
      </c>
      <c r="I285" s="55"/>
      <c r="J285" s="100" t="s">
        <v>231</v>
      </c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101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  <c r="BI285" s="102"/>
    </row>
    <row r="286" spans="2:61" ht="20.100000000000001" customHeight="1" thickBot="1" x14ac:dyDescent="0.5">
      <c r="B286" s="95"/>
      <c r="C286" s="31"/>
      <c r="D286" s="31"/>
      <c r="E286" s="31"/>
      <c r="F286" s="31"/>
      <c r="G286" s="96"/>
      <c r="H286" s="97"/>
      <c r="I286" s="31"/>
      <c r="J286" s="97"/>
      <c r="K286" s="31" t="s">
        <v>311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97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99"/>
    </row>
    <row r="287" spans="2:61" ht="20.100000000000001" customHeight="1" x14ac:dyDescent="0.45">
      <c r="B287" s="89" t="s">
        <v>312</v>
      </c>
      <c r="C287" s="90"/>
      <c r="D287" s="90"/>
      <c r="E287" s="90"/>
      <c r="F287" s="90"/>
      <c r="G287" s="91"/>
      <c r="H287" s="92" t="s">
        <v>55</v>
      </c>
      <c r="I287" s="90"/>
      <c r="J287" s="105" t="s">
        <v>176</v>
      </c>
      <c r="K287" s="106"/>
      <c r="L287" s="106"/>
      <c r="M287" s="106"/>
      <c r="N287" s="106"/>
      <c r="O287" s="106"/>
      <c r="P287" s="106"/>
      <c r="Q287" s="107"/>
      <c r="R287" s="106" t="s">
        <v>321</v>
      </c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7"/>
      <c r="AK287" s="93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4"/>
    </row>
    <row r="288" spans="2:61" ht="20.100000000000001" customHeight="1" x14ac:dyDescent="0.45">
      <c r="B288" s="108"/>
      <c r="C288" s="31"/>
      <c r="D288" s="31"/>
      <c r="E288" s="31"/>
      <c r="F288" s="31"/>
      <c r="G288" s="96"/>
      <c r="H288" s="100" t="s">
        <v>183</v>
      </c>
      <c r="I288" s="55"/>
      <c r="J288" s="100" t="s">
        <v>313</v>
      </c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101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55"/>
      <c r="BI288" s="102"/>
    </row>
    <row r="289" spans="2:61" ht="20.100000000000001" customHeight="1" x14ac:dyDescent="0.45">
      <c r="B289" s="95"/>
      <c r="C289" s="31"/>
      <c r="D289" s="31"/>
      <c r="E289" s="31"/>
      <c r="F289" s="31"/>
      <c r="G289" s="96"/>
      <c r="H289" s="100" t="s">
        <v>230</v>
      </c>
      <c r="I289" s="55"/>
      <c r="J289" s="100" t="s">
        <v>231</v>
      </c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101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  <c r="BI289" s="102"/>
    </row>
    <row r="290" spans="2:61" ht="20.100000000000001" customHeight="1" x14ac:dyDescent="0.45">
      <c r="B290" s="95"/>
      <c r="C290" s="31"/>
      <c r="D290" s="31"/>
      <c r="E290" s="31"/>
      <c r="F290" s="31"/>
      <c r="G290" s="96"/>
      <c r="H290" s="97"/>
      <c r="I290" s="31"/>
      <c r="J290" s="97"/>
      <c r="K290" s="31" t="s">
        <v>317</v>
      </c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98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99"/>
    </row>
    <row r="291" spans="2:61" ht="20.100000000000001" customHeight="1" x14ac:dyDescent="0.45">
      <c r="B291" s="95"/>
      <c r="C291" s="31"/>
      <c r="D291" s="31"/>
      <c r="E291" s="31"/>
      <c r="F291" s="31"/>
      <c r="G291" s="96"/>
      <c r="H291" s="97"/>
      <c r="I291" s="31"/>
      <c r="J291" s="97"/>
      <c r="K291" s="31" t="s">
        <v>314</v>
      </c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98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99"/>
    </row>
    <row r="292" spans="2:61" ht="20.100000000000001" customHeight="1" thickBot="1" x14ac:dyDescent="0.5">
      <c r="B292" s="95"/>
      <c r="C292" s="31"/>
      <c r="D292" s="31"/>
      <c r="E292" s="31"/>
      <c r="F292" s="31"/>
      <c r="G292" s="96"/>
      <c r="H292" s="100" t="s">
        <v>315</v>
      </c>
      <c r="I292" s="55"/>
      <c r="J292" s="100" t="s">
        <v>316</v>
      </c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101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102"/>
    </row>
    <row r="293" spans="2:61" ht="20.100000000000001" customHeight="1" x14ac:dyDescent="0.45">
      <c r="B293" s="89" t="s">
        <v>318</v>
      </c>
      <c r="C293" s="90"/>
      <c r="D293" s="90"/>
      <c r="E293" s="90"/>
      <c r="F293" s="90"/>
      <c r="G293" s="91"/>
      <c r="H293" s="92" t="s">
        <v>55</v>
      </c>
      <c r="I293" s="90"/>
      <c r="J293" s="105" t="s">
        <v>176</v>
      </c>
      <c r="K293" s="106"/>
      <c r="L293" s="106"/>
      <c r="M293" s="106"/>
      <c r="N293" s="106"/>
      <c r="O293" s="106"/>
      <c r="P293" s="106"/>
      <c r="Q293" s="107"/>
      <c r="R293" s="106" t="s">
        <v>320</v>
      </c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7"/>
      <c r="AK293" s="93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4"/>
    </row>
    <row r="294" spans="2:61" ht="20.100000000000001" customHeight="1" x14ac:dyDescent="0.45">
      <c r="B294" s="108"/>
      <c r="C294" s="31"/>
      <c r="D294" s="31"/>
      <c r="E294" s="31"/>
      <c r="F294" s="31"/>
      <c r="G294" s="96"/>
      <c r="H294" s="97"/>
      <c r="I294" s="31"/>
      <c r="J294" s="103" t="s">
        <v>319</v>
      </c>
      <c r="K294" s="104"/>
      <c r="L294" s="104"/>
      <c r="M294" s="104"/>
      <c r="N294" s="104"/>
      <c r="O294" s="104"/>
      <c r="P294" s="104"/>
      <c r="Q294" s="111"/>
      <c r="R294" s="104" t="s">
        <v>320</v>
      </c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11"/>
      <c r="AK294" s="98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99"/>
    </row>
    <row r="295" spans="2:61" ht="20.100000000000001" customHeight="1" x14ac:dyDescent="0.45">
      <c r="B295" s="108"/>
      <c r="C295" s="31"/>
      <c r="D295" s="31"/>
      <c r="E295" s="31"/>
      <c r="F295" s="31"/>
      <c r="G295" s="96"/>
      <c r="H295" s="100" t="s">
        <v>183</v>
      </c>
      <c r="I295" s="55"/>
      <c r="J295" s="100" t="s">
        <v>322</v>
      </c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101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  <c r="BI295" s="102"/>
    </row>
    <row r="296" spans="2:61" ht="20.100000000000001" customHeight="1" x14ac:dyDescent="0.45">
      <c r="B296" s="95"/>
      <c r="C296" s="31"/>
      <c r="D296" s="31"/>
      <c r="E296" s="31"/>
      <c r="F296" s="31"/>
      <c r="G296" s="96"/>
      <c r="H296" s="100" t="s">
        <v>230</v>
      </c>
      <c r="I296" s="55"/>
      <c r="J296" s="100" t="s">
        <v>323</v>
      </c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101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  <c r="BI296" s="102"/>
    </row>
    <row r="297" spans="2:61" ht="20.100000000000001" customHeight="1" x14ac:dyDescent="0.45">
      <c r="B297" s="95"/>
      <c r="C297" s="31"/>
      <c r="D297" s="31"/>
      <c r="E297" s="31"/>
      <c r="F297" s="31"/>
      <c r="G297" s="96"/>
      <c r="H297" s="97"/>
      <c r="I297" s="31"/>
      <c r="J297" s="97"/>
      <c r="K297" s="31" t="s">
        <v>324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98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99"/>
    </row>
    <row r="298" spans="2:61" ht="20.100000000000001" customHeight="1" thickBot="1" x14ac:dyDescent="0.5">
      <c r="B298" s="95"/>
      <c r="C298" s="31"/>
      <c r="D298" s="31"/>
      <c r="E298" s="31"/>
      <c r="F298" s="31"/>
      <c r="G298" s="96"/>
      <c r="H298" s="97"/>
      <c r="I298" s="31"/>
      <c r="J298" s="97"/>
      <c r="K298" s="31" t="s">
        <v>325</v>
      </c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98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99"/>
    </row>
    <row r="299" spans="2:61" ht="20.100000000000001" customHeight="1" x14ac:dyDescent="0.45">
      <c r="B299" s="89" t="s">
        <v>326</v>
      </c>
      <c r="C299" s="90"/>
      <c r="D299" s="90"/>
      <c r="E299" s="90"/>
      <c r="F299" s="90"/>
      <c r="G299" s="91"/>
      <c r="H299" s="92" t="s">
        <v>55</v>
      </c>
      <c r="I299" s="90"/>
      <c r="J299" s="105" t="s">
        <v>176</v>
      </c>
      <c r="K299" s="106"/>
      <c r="L299" s="106"/>
      <c r="M299" s="106"/>
      <c r="N299" s="106"/>
      <c r="O299" s="106"/>
      <c r="P299" s="106"/>
      <c r="Q299" s="107"/>
      <c r="R299" s="106" t="s">
        <v>321</v>
      </c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7"/>
      <c r="AK299" s="93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4"/>
    </row>
    <row r="300" spans="2:61" ht="20.100000000000001" customHeight="1" x14ac:dyDescent="0.45">
      <c r="B300" s="108"/>
      <c r="C300" s="31"/>
      <c r="D300" s="31"/>
      <c r="E300" s="31"/>
      <c r="F300" s="31"/>
      <c r="G300" s="96"/>
      <c r="H300" s="97"/>
      <c r="I300" s="31"/>
      <c r="J300" s="103" t="s">
        <v>328</v>
      </c>
      <c r="K300" s="104"/>
      <c r="L300" s="104"/>
      <c r="M300" s="104"/>
      <c r="N300" s="104"/>
      <c r="O300" s="104"/>
      <c r="P300" s="104"/>
      <c r="Q300" s="111"/>
      <c r="R300" s="104" t="s">
        <v>333</v>
      </c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11"/>
      <c r="AK300" s="98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99"/>
    </row>
    <row r="301" spans="2:61" ht="20.100000000000001" customHeight="1" x14ac:dyDescent="0.45">
      <c r="B301" s="108"/>
      <c r="C301" s="31"/>
      <c r="D301" s="31"/>
      <c r="E301" s="31"/>
      <c r="F301" s="31"/>
      <c r="G301" s="96"/>
      <c r="H301" s="100" t="s">
        <v>183</v>
      </c>
      <c r="I301" s="55"/>
      <c r="J301" s="100" t="s">
        <v>327</v>
      </c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101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  <c r="BI301" s="102"/>
    </row>
    <row r="302" spans="2:61" ht="20.100000000000001" customHeight="1" x14ac:dyDescent="0.45">
      <c r="B302" s="95"/>
      <c r="C302" s="31"/>
      <c r="D302" s="31"/>
      <c r="E302" s="31"/>
      <c r="F302" s="31"/>
      <c r="G302" s="96"/>
      <c r="H302" s="100" t="s">
        <v>230</v>
      </c>
      <c r="I302" s="55"/>
      <c r="J302" s="100" t="s">
        <v>231</v>
      </c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101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  <c r="BI302" s="102"/>
    </row>
    <row r="303" spans="2:61" ht="20.100000000000001" customHeight="1" x14ac:dyDescent="0.45">
      <c r="B303" s="95"/>
      <c r="C303" s="31"/>
      <c r="D303" s="31"/>
      <c r="E303" s="31"/>
      <c r="F303" s="31"/>
      <c r="G303" s="96"/>
      <c r="H303" s="97"/>
      <c r="I303" s="31"/>
      <c r="J303" s="97"/>
      <c r="K303" s="31" t="s">
        <v>317</v>
      </c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98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99"/>
    </row>
    <row r="304" spans="2:61" ht="20.100000000000001" customHeight="1" x14ac:dyDescent="0.45">
      <c r="B304" s="95"/>
      <c r="C304" s="31"/>
      <c r="D304" s="31"/>
      <c r="E304" s="31"/>
      <c r="F304" s="31"/>
      <c r="G304" s="96"/>
      <c r="H304" s="97"/>
      <c r="I304" s="31"/>
      <c r="J304" s="97"/>
      <c r="K304" s="31" t="s">
        <v>329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98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99"/>
    </row>
    <row r="305" spans="2:61" ht="20.100000000000001" customHeight="1" x14ac:dyDescent="0.45">
      <c r="B305" s="95"/>
      <c r="C305" s="31"/>
      <c r="D305" s="31"/>
      <c r="E305" s="31"/>
      <c r="F305" s="31"/>
      <c r="G305" s="96"/>
      <c r="H305" s="97"/>
      <c r="I305" s="31"/>
      <c r="J305" s="97"/>
      <c r="K305" s="31" t="s">
        <v>330</v>
      </c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98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99"/>
    </row>
    <row r="306" spans="2:61" ht="20.100000000000001" customHeight="1" x14ac:dyDescent="0.45">
      <c r="B306" s="95"/>
      <c r="C306" s="31"/>
      <c r="D306" s="31"/>
      <c r="E306" s="31"/>
      <c r="F306" s="31"/>
      <c r="G306" s="96"/>
      <c r="H306" s="100" t="s">
        <v>315</v>
      </c>
      <c r="I306" s="55"/>
      <c r="J306" s="100" t="s">
        <v>316</v>
      </c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101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102"/>
    </row>
    <row r="307" spans="2:61" ht="20.100000000000001" customHeight="1" thickBot="1" x14ac:dyDescent="0.5">
      <c r="B307" s="95"/>
      <c r="C307" s="31"/>
      <c r="D307" s="31"/>
      <c r="E307" s="31"/>
      <c r="F307" s="31"/>
      <c r="G307" s="96"/>
      <c r="H307" s="100" t="s">
        <v>331</v>
      </c>
      <c r="I307" s="55"/>
      <c r="J307" s="100" t="s">
        <v>332</v>
      </c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101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  <c r="BI307" s="102"/>
    </row>
    <row r="308" spans="2:61" ht="20.100000000000001" customHeight="1" x14ac:dyDescent="0.45">
      <c r="B308" s="89" t="s">
        <v>334</v>
      </c>
      <c r="C308" s="90"/>
      <c r="D308" s="90"/>
      <c r="E308" s="90"/>
      <c r="F308" s="90"/>
      <c r="G308" s="91"/>
      <c r="H308" s="92" t="s">
        <v>193</v>
      </c>
      <c r="I308" s="90"/>
      <c r="J308" s="105" t="s">
        <v>176</v>
      </c>
      <c r="K308" s="106"/>
      <c r="L308" s="106"/>
      <c r="M308" s="106"/>
      <c r="N308" s="106"/>
      <c r="O308" s="106"/>
      <c r="P308" s="106"/>
      <c r="Q308" s="107"/>
      <c r="R308" s="106" t="s">
        <v>336</v>
      </c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7"/>
      <c r="AK308" s="93" t="s">
        <v>194</v>
      </c>
      <c r="AL308" s="90"/>
      <c r="AM308" s="90"/>
      <c r="AN308" s="90"/>
      <c r="AO308" s="90"/>
      <c r="AP308" s="90"/>
      <c r="AQ308" s="90"/>
      <c r="AR308" s="90" t="s">
        <v>335</v>
      </c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4"/>
    </row>
    <row r="309" spans="2:61" ht="20.100000000000001" customHeight="1" x14ac:dyDescent="0.45">
      <c r="B309" s="108"/>
      <c r="C309" s="31"/>
      <c r="D309" s="31"/>
      <c r="E309" s="31"/>
      <c r="F309" s="31"/>
      <c r="G309" s="96"/>
      <c r="H309" s="97"/>
      <c r="I309" s="31"/>
      <c r="J309" s="109" t="s">
        <v>197</v>
      </c>
      <c r="K309" s="52"/>
      <c r="L309" s="52"/>
      <c r="M309" s="52"/>
      <c r="N309" s="52"/>
      <c r="O309" s="52"/>
      <c r="P309" s="52"/>
      <c r="Q309" s="110"/>
      <c r="R309" s="52" t="s">
        <v>296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110"/>
      <c r="AK309" s="98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99"/>
    </row>
    <row r="310" spans="2:61" ht="20.100000000000001" customHeight="1" x14ac:dyDescent="0.45">
      <c r="B310" s="108"/>
      <c r="C310" s="31"/>
      <c r="D310" s="31"/>
      <c r="E310" s="31"/>
      <c r="F310" s="31"/>
      <c r="G310" s="96"/>
      <c r="H310" s="97"/>
      <c r="I310" s="31"/>
      <c r="J310" s="109" t="s">
        <v>198</v>
      </c>
      <c r="K310" s="52"/>
      <c r="L310" s="52"/>
      <c r="M310" s="52"/>
      <c r="N310" s="52"/>
      <c r="O310" s="52"/>
      <c r="P310" s="52"/>
      <c r="Q310" s="110"/>
      <c r="R310" s="52">
        <v>3</v>
      </c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110"/>
      <c r="AK310" s="98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99"/>
    </row>
    <row r="311" spans="2:61" ht="20.100000000000001" customHeight="1" x14ac:dyDescent="0.45">
      <c r="B311" s="108"/>
      <c r="C311" s="31"/>
      <c r="D311" s="31"/>
      <c r="E311" s="31"/>
      <c r="F311" s="31"/>
      <c r="G311" s="96"/>
      <c r="H311" s="97"/>
      <c r="I311" s="31"/>
      <c r="J311" s="109" t="s">
        <v>199</v>
      </c>
      <c r="K311" s="52"/>
      <c r="L311" s="52"/>
      <c r="M311" s="52"/>
      <c r="N311" s="52"/>
      <c r="O311" s="52"/>
      <c r="P311" s="52"/>
      <c r="Q311" s="110"/>
      <c r="R311" s="52">
        <v>0</v>
      </c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110"/>
      <c r="AK311" s="98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99"/>
    </row>
    <row r="312" spans="2:61" ht="20.100000000000001" customHeight="1" x14ac:dyDescent="0.45">
      <c r="B312" s="108"/>
      <c r="C312" s="31"/>
      <c r="D312" s="31"/>
      <c r="E312" s="31"/>
      <c r="F312" s="31"/>
      <c r="G312" s="96"/>
      <c r="H312" s="31"/>
      <c r="I312" s="31"/>
      <c r="J312" s="109" t="s">
        <v>200</v>
      </c>
      <c r="K312" s="52"/>
      <c r="L312" s="52"/>
      <c r="M312" s="52"/>
      <c r="N312" s="52"/>
      <c r="O312" s="52"/>
      <c r="P312" s="52"/>
      <c r="Q312" s="110"/>
      <c r="R312" s="52">
        <v>0</v>
      </c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110"/>
      <c r="AK312" s="98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99"/>
    </row>
    <row r="313" spans="2:61" ht="20.100000000000001" customHeight="1" x14ac:dyDescent="0.45">
      <c r="B313" s="108"/>
      <c r="C313" s="31"/>
      <c r="D313" s="31"/>
      <c r="E313" s="31"/>
      <c r="F313" s="31"/>
      <c r="G313" s="96"/>
      <c r="H313" s="97"/>
      <c r="I313" s="31"/>
      <c r="J313" s="109" t="s">
        <v>201</v>
      </c>
      <c r="K313" s="52"/>
      <c r="L313" s="52"/>
      <c r="M313" s="52"/>
      <c r="N313" s="52"/>
      <c r="O313" s="52"/>
      <c r="P313" s="52"/>
      <c r="Q313" s="110"/>
      <c r="R313" s="52">
        <v>9000</v>
      </c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110"/>
      <c r="AK313" s="98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99"/>
    </row>
    <row r="314" spans="2:61" ht="20.100000000000001" customHeight="1" x14ac:dyDescent="0.45">
      <c r="B314" s="108"/>
      <c r="C314" s="31"/>
      <c r="D314" s="31"/>
      <c r="E314" s="31"/>
      <c r="F314" s="31"/>
      <c r="G314" s="96"/>
      <c r="H314" s="97"/>
      <c r="I314" s="31"/>
      <c r="J314" s="109" t="s">
        <v>202</v>
      </c>
      <c r="K314" s="52"/>
      <c r="L314" s="52"/>
      <c r="M314" s="52"/>
      <c r="N314" s="52"/>
      <c r="O314" s="52"/>
      <c r="P314" s="52"/>
      <c r="Q314" s="110"/>
      <c r="R314" s="52">
        <v>9000</v>
      </c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110"/>
      <c r="AK314" s="98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99"/>
    </row>
    <row r="315" spans="2:61" ht="20.100000000000001" customHeight="1" x14ac:dyDescent="0.45">
      <c r="B315" s="108"/>
      <c r="C315" s="31"/>
      <c r="D315" s="31"/>
      <c r="E315" s="31"/>
      <c r="F315" s="31"/>
      <c r="G315" s="96"/>
      <c r="H315" s="97"/>
      <c r="I315" s="31"/>
      <c r="J315" s="109" t="s">
        <v>203</v>
      </c>
      <c r="K315" s="52"/>
      <c r="L315" s="52"/>
      <c r="M315" s="52"/>
      <c r="N315" s="52"/>
      <c r="O315" s="52"/>
      <c r="P315" s="52"/>
      <c r="Q315" s="110"/>
      <c r="R315" s="52" t="s">
        <v>267</v>
      </c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110"/>
      <c r="AK315" s="98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99"/>
    </row>
    <row r="316" spans="2:61" ht="20.100000000000001" customHeight="1" x14ac:dyDescent="0.45">
      <c r="B316" s="108"/>
      <c r="C316" s="31"/>
      <c r="D316" s="31"/>
      <c r="E316" s="31"/>
      <c r="F316" s="31"/>
      <c r="G316" s="96"/>
      <c r="H316" s="31"/>
      <c r="I316" s="31"/>
      <c r="J316" s="109" t="s">
        <v>204</v>
      </c>
      <c r="K316" s="52"/>
      <c r="L316" s="52"/>
      <c r="M316" s="52"/>
      <c r="N316" s="52"/>
      <c r="O316" s="52"/>
      <c r="P316" s="52"/>
      <c r="Q316" s="110"/>
      <c r="R316" s="52" t="s">
        <v>267</v>
      </c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110"/>
      <c r="AK316" s="98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99"/>
    </row>
    <row r="317" spans="2:61" ht="20.100000000000001" customHeight="1" x14ac:dyDescent="0.45">
      <c r="B317" s="108"/>
      <c r="C317" s="31"/>
      <c r="D317" s="31"/>
      <c r="E317" s="31"/>
      <c r="F317" s="31"/>
      <c r="G317" s="96"/>
      <c r="H317" s="97"/>
      <c r="I317" s="31"/>
      <c r="J317" s="109" t="s">
        <v>205</v>
      </c>
      <c r="K317" s="52"/>
      <c r="L317" s="52"/>
      <c r="M317" s="52"/>
      <c r="N317" s="52"/>
      <c r="O317" s="52"/>
      <c r="P317" s="52"/>
      <c r="Q317" s="110"/>
      <c r="R317" s="52" t="s">
        <v>267</v>
      </c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110"/>
      <c r="AK317" s="98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99"/>
    </row>
    <row r="318" spans="2:61" ht="20.100000000000001" customHeight="1" x14ac:dyDescent="0.45">
      <c r="B318" s="108"/>
      <c r="C318" s="31"/>
      <c r="D318" s="31"/>
      <c r="E318" s="31"/>
      <c r="F318" s="31"/>
      <c r="G318" s="96"/>
      <c r="H318" s="97"/>
      <c r="I318" s="31"/>
      <c r="J318" s="109" t="s">
        <v>206</v>
      </c>
      <c r="K318" s="52"/>
      <c r="L318" s="52"/>
      <c r="M318" s="52"/>
      <c r="N318" s="52"/>
      <c r="O318" s="52"/>
      <c r="P318" s="52"/>
      <c r="Q318" s="110"/>
      <c r="R318" s="52" t="s">
        <v>267</v>
      </c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110"/>
      <c r="AK318" s="98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99"/>
    </row>
    <row r="319" spans="2:61" ht="20.100000000000001" customHeight="1" x14ac:dyDescent="0.45">
      <c r="B319" s="108"/>
      <c r="C319" s="31"/>
      <c r="D319" s="31"/>
      <c r="E319" s="31"/>
      <c r="F319" s="31"/>
      <c r="G319" s="96"/>
      <c r="H319" s="97"/>
      <c r="I319" s="31"/>
      <c r="J319" s="109" t="s">
        <v>207</v>
      </c>
      <c r="K319" s="52"/>
      <c r="L319" s="52"/>
      <c r="M319" s="52"/>
      <c r="N319" s="52"/>
      <c r="O319" s="52"/>
      <c r="P319" s="52"/>
      <c r="Q319" s="110"/>
      <c r="R319" s="112" t="s">
        <v>267</v>
      </c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110"/>
      <c r="AK319" s="98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99"/>
    </row>
    <row r="320" spans="2:61" ht="20.100000000000001" customHeight="1" x14ac:dyDescent="0.45">
      <c r="B320" s="108"/>
      <c r="C320" s="31"/>
      <c r="D320" s="31"/>
      <c r="E320" s="31"/>
      <c r="F320" s="31"/>
      <c r="G320" s="96"/>
      <c r="H320" s="31"/>
      <c r="I320" s="31"/>
      <c r="J320" s="109" t="s">
        <v>208</v>
      </c>
      <c r="K320" s="52"/>
      <c r="L320" s="52"/>
      <c r="M320" s="52"/>
      <c r="N320" s="52"/>
      <c r="O320" s="52"/>
      <c r="P320" s="52"/>
      <c r="Q320" s="110"/>
      <c r="R320" s="52" t="s">
        <v>267</v>
      </c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110"/>
      <c r="AK320" s="98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99"/>
    </row>
    <row r="321" spans="2:61" ht="20.100000000000001" customHeight="1" x14ac:dyDescent="0.45">
      <c r="B321" s="108"/>
      <c r="C321" s="31"/>
      <c r="D321" s="31"/>
      <c r="E321" s="31"/>
      <c r="F321" s="31"/>
      <c r="G321" s="96"/>
      <c r="H321" s="97"/>
      <c r="I321" s="31"/>
      <c r="J321" s="109" t="s">
        <v>209</v>
      </c>
      <c r="K321" s="52"/>
      <c r="L321" s="52"/>
      <c r="M321" s="52"/>
      <c r="N321" s="52"/>
      <c r="O321" s="52"/>
      <c r="P321" s="52"/>
      <c r="Q321" s="110"/>
      <c r="R321" s="52" t="s">
        <v>267</v>
      </c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110"/>
      <c r="AK321" s="98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99"/>
    </row>
    <row r="322" spans="2:61" ht="20.100000000000001" customHeight="1" x14ac:dyDescent="0.45">
      <c r="B322" s="108"/>
      <c r="C322" s="31"/>
      <c r="D322" s="31"/>
      <c r="E322" s="31"/>
      <c r="F322" s="31"/>
      <c r="G322" s="96"/>
      <c r="H322" s="97"/>
      <c r="I322" s="31"/>
      <c r="J322" s="109" t="s">
        <v>210</v>
      </c>
      <c r="K322" s="52"/>
      <c r="L322" s="52"/>
      <c r="M322" s="52"/>
      <c r="N322" s="52"/>
      <c r="O322" s="52"/>
      <c r="P322" s="52"/>
      <c r="Q322" s="110"/>
      <c r="R322" s="52" t="s">
        <v>267</v>
      </c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110"/>
      <c r="AK322" s="98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99"/>
    </row>
    <row r="323" spans="2:61" ht="19.8" customHeight="1" x14ac:dyDescent="0.45">
      <c r="B323" s="108"/>
      <c r="C323" s="31"/>
      <c r="D323" s="31"/>
      <c r="E323" s="31"/>
      <c r="F323" s="31"/>
      <c r="G323" s="96"/>
      <c r="H323" s="97"/>
      <c r="I323" s="31"/>
      <c r="J323" s="109" t="s">
        <v>211</v>
      </c>
      <c r="K323" s="52"/>
      <c r="L323" s="52"/>
      <c r="M323" s="52"/>
      <c r="N323" s="52"/>
      <c r="O323" s="52"/>
      <c r="P323" s="52"/>
      <c r="Q323" s="110"/>
      <c r="R323" s="52" t="s">
        <v>267</v>
      </c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110"/>
      <c r="AK323" s="98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99"/>
    </row>
    <row r="324" spans="2:61" ht="20.100000000000001" customHeight="1" x14ac:dyDescent="0.45">
      <c r="B324" s="108"/>
      <c r="C324" s="31"/>
      <c r="D324" s="31"/>
      <c r="E324" s="31"/>
      <c r="F324" s="31"/>
      <c r="G324" s="96"/>
      <c r="H324" s="31"/>
      <c r="I324" s="31"/>
      <c r="J324" s="109" t="s">
        <v>212</v>
      </c>
      <c r="K324" s="52"/>
      <c r="L324" s="52"/>
      <c r="M324" s="52"/>
      <c r="N324" s="52"/>
      <c r="O324" s="52"/>
      <c r="P324" s="52"/>
      <c r="Q324" s="110"/>
      <c r="R324" s="52" t="s">
        <v>267</v>
      </c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110"/>
      <c r="AK324" s="98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99"/>
    </row>
    <row r="325" spans="2:61" ht="20.100000000000001" customHeight="1" x14ac:dyDescent="0.45">
      <c r="B325" s="108"/>
      <c r="C325" s="31"/>
      <c r="D325" s="31"/>
      <c r="E325" s="31"/>
      <c r="F325" s="31"/>
      <c r="G325" s="96"/>
      <c r="H325" s="97"/>
      <c r="I325" s="31"/>
      <c r="J325" s="109" t="s">
        <v>213</v>
      </c>
      <c r="K325" s="52"/>
      <c r="L325" s="52"/>
      <c r="M325" s="52"/>
      <c r="N325" s="52"/>
      <c r="O325" s="52"/>
      <c r="P325" s="52"/>
      <c r="Q325" s="110"/>
      <c r="R325" s="52" t="s">
        <v>267</v>
      </c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110"/>
      <c r="AK325" s="98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99"/>
    </row>
    <row r="326" spans="2:61" ht="19.8" customHeight="1" x14ac:dyDescent="0.45">
      <c r="B326" s="108"/>
      <c r="C326" s="31"/>
      <c r="D326" s="31"/>
      <c r="E326" s="31"/>
      <c r="F326" s="31"/>
      <c r="G326" s="96"/>
      <c r="H326" s="97"/>
      <c r="I326" s="31"/>
      <c r="J326" s="109" t="s">
        <v>214</v>
      </c>
      <c r="K326" s="52"/>
      <c r="L326" s="52"/>
      <c r="M326" s="52"/>
      <c r="N326" s="52"/>
      <c r="O326" s="52"/>
      <c r="P326" s="52"/>
      <c r="Q326" s="110"/>
      <c r="R326" s="52" t="s">
        <v>267</v>
      </c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110"/>
      <c r="AK326" s="98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99"/>
    </row>
    <row r="327" spans="2:61" ht="20.100000000000001" customHeight="1" x14ac:dyDescent="0.45">
      <c r="B327" s="108"/>
      <c r="C327" s="31"/>
      <c r="D327" s="31"/>
      <c r="E327" s="31"/>
      <c r="F327" s="31"/>
      <c r="G327" s="96"/>
      <c r="H327" s="31"/>
      <c r="I327" s="31"/>
      <c r="J327" s="109" t="s">
        <v>215</v>
      </c>
      <c r="K327" s="52"/>
      <c r="L327" s="52"/>
      <c r="M327" s="52"/>
      <c r="N327" s="52"/>
      <c r="O327" s="52"/>
      <c r="P327" s="52"/>
      <c r="Q327" s="110"/>
      <c r="R327" s="52" t="s">
        <v>267</v>
      </c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110"/>
      <c r="AK327" s="98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99"/>
    </row>
    <row r="328" spans="2:61" ht="20.100000000000001" customHeight="1" x14ac:dyDescent="0.45">
      <c r="B328" s="108"/>
      <c r="C328" s="31"/>
      <c r="D328" s="31"/>
      <c r="E328" s="31"/>
      <c r="F328" s="31"/>
      <c r="G328" s="96"/>
      <c r="H328" s="97"/>
      <c r="I328" s="31"/>
      <c r="J328" s="109" t="s">
        <v>216</v>
      </c>
      <c r="K328" s="52"/>
      <c r="L328" s="52"/>
      <c r="M328" s="52"/>
      <c r="N328" s="52"/>
      <c r="O328" s="52"/>
      <c r="P328" s="52"/>
      <c r="Q328" s="110"/>
      <c r="R328" s="52" t="s">
        <v>267</v>
      </c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110"/>
      <c r="AK328" s="98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99"/>
    </row>
    <row r="329" spans="2:61" ht="20.100000000000001" customHeight="1" x14ac:dyDescent="0.45">
      <c r="B329" s="108"/>
      <c r="C329" s="31"/>
      <c r="D329" s="31"/>
      <c r="E329" s="31"/>
      <c r="F329" s="31"/>
      <c r="G329" s="96"/>
      <c r="H329" s="97"/>
      <c r="I329" s="31"/>
      <c r="J329" s="109" t="s">
        <v>217</v>
      </c>
      <c r="K329" s="52"/>
      <c r="L329" s="52"/>
      <c r="M329" s="52"/>
      <c r="N329" s="52"/>
      <c r="O329" s="52"/>
      <c r="P329" s="52"/>
      <c r="Q329" s="110"/>
      <c r="R329" s="52" t="s">
        <v>267</v>
      </c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110"/>
      <c r="AK329" s="98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99"/>
    </row>
    <row r="330" spans="2:61" ht="19.8" customHeight="1" x14ac:dyDescent="0.45">
      <c r="B330" s="108"/>
      <c r="C330" s="31"/>
      <c r="D330" s="31"/>
      <c r="E330" s="31"/>
      <c r="F330" s="31"/>
      <c r="G330" s="96"/>
      <c r="H330" s="97"/>
      <c r="I330" s="31"/>
      <c r="J330" s="109" t="s">
        <v>218</v>
      </c>
      <c r="K330" s="52"/>
      <c r="L330" s="52"/>
      <c r="M330" s="52"/>
      <c r="N330" s="52"/>
      <c r="O330" s="52"/>
      <c r="P330" s="52"/>
      <c r="Q330" s="110"/>
      <c r="R330" s="52" t="s">
        <v>267</v>
      </c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110"/>
      <c r="AK330" s="98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99"/>
    </row>
    <row r="331" spans="2:61" ht="20.100000000000001" customHeight="1" x14ac:dyDescent="0.45">
      <c r="B331" s="108"/>
      <c r="C331" s="31"/>
      <c r="D331" s="31"/>
      <c r="E331" s="31"/>
      <c r="F331" s="31"/>
      <c r="G331" s="96"/>
      <c r="H331" s="31"/>
      <c r="I331" s="31"/>
      <c r="J331" s="109" t="s">
        <v>219</v>
      </c>
      <c r="K331" s="52"/>
      <c r="L331" s="52"/>
      <c r="M331" s="52"/>
      <c r="N331" s="52"/>
      <c r="O331" s="52"/>
      <c r="P331" s="52"/>
      <c r="Q331" s="110"/>
      <c r="R331" s="52" t="s">
        <v>267</v>
      </c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110"/>
      <c r="AK331" s="98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99"/>
    </row>
    <row r="332" spans="2:61" ht="20.100000000000001" customHeight="1" x14ac:dyDescent="0.45">
      <c r="B332" s="108"/>
      <c r="C332" s="31"/>
      <c r="D332" s="31"/>
      <c r="E332" s="31"/>
      <c r="F332" s="31"/>
      <c r="G332" s="96"/>
      <c r="H332" s="97"/>
      <c r="I332" s="31"/>
      <c r="J332" s="109" t="s">
        <v>220</v>
      </c>
      <c r="K332" s="52"/>
      <c r="L332" s="52"/>
      <c r="M332" s="52"/>
      <c r="N332" s="52"/>
      <c r="O332" s="52"/>
      <c r="P332" s="52"/>
      <c r="Q332" s="110"/>
      <c r="R332" s="52" t="s">
        <v>267</v>
      </c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110"/>
      <c r="AK332" s="98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99"/>
    </row>
    <row r="333" spans="2:61" ht="19.8" customHeight="1" x14ac:dyDescent="0.45">
      <c r="B333" s="108"/>
      <c r="C333" s="31"/>
      <c r="D333" s="31"/>
      <c r="E333" s="31"/>
      <c r="F333" s="31"/>
      <c r="G333" s="96"/>
      <c r="H333" s="97"/>
      <c r="I333" s="31"/>
      <c r="J333" s="109" t="s">
        <v>221</v>
      </c>
      <c r="K333" s="52"/>
      <c r="L333" s="52"/>
      <c r="M333" s="52"/>
      <c r="N333" s="52"/>
      <c r="O333" s="52"/>
      <c r="P333" s="52"/>
      <c r="Q333" s="110"/>
      <c r="R333" s="52" t="s">
        <v>267</v>
      </c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110"/>
      <c r="AK333" s="98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99"/>
    </row>
    <row r="334" spans="2:61" ht="20.100000000000001" customHeight="1" x14ac:dyDescent="0.45">
      <c r="B334" s="108"/>
      <c r="C334" s="31"/>
      <c r="D334" s="31"/>
      <c r="E334" s="31"/>
      <c r="F334" s="31"/>
      <c r="G334" s="96"/>
      <c r="H334" s="31"/>
      <c r="I334" s="31"/>
      <c r="J334" s="109" t="s">
        <v>222</v>
      </c>
      <c r="K334" s="52"/>
      <c r="L334" s="52"/>
      <c r="M334" s="52"/>
      <c r="N334" s="52"/>
      <c r="O334" s="52"/>
      <c r="P334" s="52"/>
      <c r="Q334" s="110"/>
      <c r="R334" s="52" t="s">
        <v>267</v>
      </c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110"/>
      <c r="AK334" s="98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99"/>
    </row>
    <row r="335" spans="2:61" ht="20.100000000000001" customHeight="1" thickBot="1" x14ac:dyDescent="0.5">
      <c r="B335" s="108"/>
      <c r="C335" s="31"/>
      <c r="D335" s="31"/>
      <c r="E335" s="31"/>
      <c r="F335" s="31"/>
      <c r="G335" s="96"/>
      <c r="H335" s="97"/>
      <c r="I335" s="31"/>
      <c r="J335" s="109" t="s">
        <v>223</v>
      </c>
      <c r="K335" s="52"/>
      <c r="L335" s="52"/>
      <c r="M335" s="52"/>
      <c r="N335" s="52"/>
      <c r="O335" s="52"/>
      <c r="P335" s="52"/>
      <c r="Q335" s="110"/>
      <c r="R335" s="52" t="s">
        <v>267</v>
      </c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110"/>
      <c r="AK335" s="98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99"/>
    </row>
    <row r="336" spans="2:61" ht="20.100000000000001" customHeight="1" x14ac:dyDescent="0.45">
      <c r="B336" s="89" t="s">
        <v>337</v>
      </c>
      <c r="C336" s="90"/>
      <c r="D336" s="90"/>
      <c r="E336" s="90"/>
      <c r="F336" s="90"/>
      <c r="G336" s="91"/>
      <c r="H336" s="92" t="s">
        <v>55</v>
      </c>
      <c r="I336" s="90"/>
      <c r="J336" s="105" t="s">
        <v>176</v>
      </c>
      <c r="K336" s="106"/>
      <c r="L336" s="106"/>
      <c r="M336" s="106"/>
      <c r="N336" s="106"/>
      <c r="O336" s="106"/>
      <c r="P336" s="106"/>
      <c r="Q336" s="107"/>
      <c r="R336" s="106" t="s">
        <v>339</v>
      </c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7"/>
      <c r="AK336" s="93" t="s">
        <v>338</v>
      </c>
      <c r="AL336" s="90"/>
      <c r="AM336" s="90"/>
      <c r="AN336" s="90"/>
      <c r="AO336" s="90"/>
      <c r="AP336" s="90"/>
      <c r="AQ336" s="90"/>
      <c r="AR336" s="90" t="s">
        <v>295</v>
      </c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4"/>
    </row>
    <row r="337" spans="2:61" ht="20.100000000000001" customHeight="1" x14ac:dyDescent="0.45">
      <c r="B337" s="108"/>
      <c r="C337" s="31"/>
      <c r="D337" s="31"/>
      <c r="E337" s="31"/>
      <c r="F337" s="31"/>
      <c r="G337" s="96"/>
      <c r="H337" s="97"/>
      <c r="I337" s="31"/>
      <c r="J337" s="109" t="s">
        <v>197</v>
      </c>
      <c r="K337" s="52"/>
      <c r="L337" s="52"/>
      <c r="M337" s="52"/>
      <c r="N337" s="52"/>
      <c r="O337" s="52"/>
      <c r="P337" s="52"/>
      <c r="Q337" s="110"/>
      <c r="R337" s="52" t="s">
        <v>340</v>
      </c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110"/>
      <c r="AK337" s="98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99"/>
    </row>
    <row r="338" spans="2:61" ht="20.100000000000001" customHeight="1" x14ac:dyDescent="0.45">
      <c r="B338" s="108"/>
      <c r="C338" s="31"/>
      <c r="D338" s="31"/>
      <c r="E338" s="31"/>
      <c r="F338" s="31"/>
      <c r="G338" s="96"/>
      <c r="H338" s="97"/>
      <c r="I338" s="31"/>
      <c r="J338" s="109" t="s">
        <v>198</v>
      </c>
      <c r="K338" s="52"/>
      <c r="L338" s="52"/>
      <c r="M338" s="52"/>
      <c r="N338" s="52"/>
      <c r="O338" s="52"/>
      <c r="P338" s="52"/>
      <c r="Q338" s="110"/>
      <c r="R338" s="52" t="s">
        <v>341</v>
      </c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110"/>
      <c r="AK338" s="98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99"/>
    </row>
    <row r="339" spans="2:61" ht="20.100000000000001" customHeight="1" x14ac:dyDescent="0.45">
      <c r="B339" s="108"/>
      <c r="C339" s="31"/>
      <c r="D339" s="31"/>
      <c r="E339" s="31"/>
      <c r="F339" s="31"/>
      <c r="G339" s="96"/>
      <c r="H339" s="97"/>
      <c r="I339" s="31"/>
      <c r="J339" s="109" t="s">
        <v>199</v>
      </c>
      <c r="K339" s="52"/>
      <c r="L339" s="52"/>
      <c r="M339" s="52"/>
      <c r="N339" s="52"/>
      <c r="O339" s="52"/>
      <c r="P339" s="52"/>
      <c r="Q339" s="110"/>
      <c r="R339" s="52" t="s">
        <v>342</v>
      </c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110"/>
      <c r="AK339" s="98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99"/>
    </row>
    <row r="340" spans="2:61" ht="20.100000000000001" customHeight="1" x14ac:dyDescent="0.45">
      <c r="B340" s="108"/>
      <c r="C340" s="31"/>
      <c r="D340" s="31"/>
      <c r="E340" s="31"/>
      <c r="F340" s="31"/>
      <c r="G340" s="96"/>
      <c r="H340" s="31"/>
      <c r="I340" s="31"/>
      <c r="J340" s="109" t="s">
        <v>200</v>
      </c>
      <c r="K340" s="52"/>
      <c r="L340" s="52"/>
      <c r="M340" s="52"/>
      <c r="N340" s="52"/>
      <c r="O340" s="52"/>
      <c r="P340" s="52"/>
      <c r="Q340" s="110"/>
      <c r="R340" s="52" t="s">
        <v>343</v>
      </c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110"/>
      <c r="AK340" s="98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99"/>
    </row>
    <row r="341" spans="2:61" ht="20.100000000000001" customHeight="1" x14ac:dyDescent="0.45">
      <c r="B341" s="108"/>
      <c r="C341" s="31"/>
      <c r="D341" s="31"/>
      <c r="E341" s="31"/>
      <c r="F341" s="31"/>
      <c r="G341" s="96"/>
      <c r="H341" s="97"/>
      <c r="I341" s="31"/>
      <c r="J341" s="109" t="s">
        <v>201</v>
      </c>
      <c r="K341" s="52"/>
      <c r="L341" s="52"/>
      <c r="M341" s="52"/>
      <c r="N341" s="52"/>
      <c r="O341" s="52"/>
      <c r="P341" s="52"/>
      <c r="Q341" s="110"/>
      <c r="R341" s="52" t="s">
        <v>344</v>
      </c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110"/>
      <c r="AK341" s="98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99"/>
    </row>
    <row r="342" spans="2:61" ht="20.100000000000001" customHeight="1" x14ac:dyDescent="0.45">
      <c r="B342" s="108"/>
      <c r="C342" s="31"/>
      <c r="D342" s="31"/>
      <c r="E342" s="31"/>
      <c r="F342" s="31"/>
      <c r="G342" s="96"/>
      <c r="H342" s="97"/>
      <c r="I342" s="31"/>
      <c r="J342" s="109" t="s">
        <v>202</v>
      </c>
      <c r="K342" s="52"/>
      <c r="L342" s="52"/>
      <c r="M342" s="52"/>
      <c r="N342" s="52"/>
      <c r="O342" s="52"/>
      <c r="P342" s="52"/>
      <c r="Q342" s="110"/>
      <c r="R342" s="52" t="s">
        <v>345</v>
      </c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110"/>
      <c r="AK342" s="98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99"/>
    </row>
    <row r="343" spans="2:61" ht="20.100000000000001" customHeight="1" x14ac:dyDescent="0.45">
      <c r="B343" s="108"/>
      <c r="C343" s="31"/>
      <c r="D343" s="31"/>
      <c r="E343" s="31"/>
      <c r="F343" s="31"/>
      <c r="G343" s="96"/>
      <c r="H343" s="97"/>
      <c r="I343" s="31"/>
      <c r="J343" s="109" t="s">
        <v>203</v>
      </c>
      <c r="K343" s="52"/>
      <c r="L343" s="52"/>
      <c r="M343" s="52"/>
      <c r="N343" s="52"/>
      <c r="O343" s="52"/>
      <c r="P343" s="52"/>
      <c r="Q343" s="110"/>
      <c r="R343" s="52" t="s">
        <v>346</v>
      </c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110"/>
      <c r="AK343" s="98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99"/>
    </row>
    <row r="344" spans="2:61" ht="20.100000000000001" customHeight="1" x14ac:dyDescent="0.45">
      <c r="B344" s="108"/>
      <c r="C344" s="31"/>
      <c r="D344" s="31"/>
      <c r="E344" s="31"/>
      <c r="F344" s="31"/>
      <c r="G344" s="96"/>
      <c r="H344" s="31"/>
      <c r="I344" s="31"/>
      <c r="J344" s="109" t="s">
        <v>204</v>
      </c>
      <c r="K344" s="52"/>
      <c r="L344" s="52"/>
      <c r="M344" s="52"/>
      <c r="N344" s="52"/>
      <c r="O344" s="52"/>
      <c r="P344" s="52"/>
      <c r="Q344" s="110"/>
      <c r="R344" s="52" t="s">
        <v>347</v>
      </c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110"/>
      <c r="AK344" s="98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99"/>
    </row>
    <row r="345" spans="2:61" ht="20.100000000000001" customHeight="1" x14ac:dyDescent="0.45">
      <c r="B345" s="108"/>
      <c r="C345" s="31"/>
      <c r="D345" s="31"/>
      <c r="E345" s="31"/>
      <c r="F345" s="31"/>
      <c r="G345" s="96"/>
      <c r="H345" s="97"/>
      <c r="I345" s="31"/>
      <c r="J345" s="109" t="s">
        <v>205</v>
      </c>
      <c r="K345" s="52"/>
      <c r="L345" s="52"/>
      <c r="M345" s="52"/>
      <c r="N345" s="52"/>
      <c r="O345" s="52"/>
      <c r="P345" s="52"/>
      <c r="Q345" s="110"/>
      <c r="R345" s="52" t="s">
        <v>348</v>
      </c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110"/>
      <c r="AK345" s="98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99"/>
    </row>
    <row r="346" spans="2:61" ht="20.100000000000001" customHeight="1" x14ac:dyDescent="0.45">
      <c r="B346" s="108"/>
      <c r="C346" s="31"/>
      <c r="D346" s="31"/>
      <c r="E346" s="31"/>
      <c r="F346" s="31"/>
      <c r="G346" s="96"/>
      <c r="H346" s="97"/>
      <c r="I346" s="31"/>
      <c r="J346" s="109" t="s">
        <v>206</v>
      </c>
      <c r="K346" s="52"/>
      <c r="L346" s="52"/>
      <c r="M346" s="52"/>
      <c r="N346" s="52"/>
      <c r="O346" s="52"/>
      <c r="P346" s="52"/>
      <c r="Q346" s="110"/>
      <c r="R346" s="52" t="s">
        <v>349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110"/>
      <c r="AK346" s="98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99"/>
    </row>
    <row r="347" spans="2:61" ht="20.100000000000001" customHeight="1" x14ac:dyDescent="0.45">
      <c r="B347" s="108"/>
      <c r="C347" s="31"/>
      <c r="D347" s="31"/>
      <c r="E347" s="31"/>
      <c r="F347" s="31"/>
      <c r="G347" s="96"/>
      <c r="H347" s="97"/>
      <c r="I347" s="31"/>
      <c r="J347" s="109" t="s">
        <v>207</v>
      </c>
      <c r="K347" s="52"/>
      <c r="L347" s="52"/>
      <c r="M347" s="52"/>
      <c r="N347" s="52"/>
      <c r="O347" s="52"/>
      <c r="P347" s="52"/>
      <c r="Q347" s="110"/>
      <c r="R347" s="112" t="s">
        <v>350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110"/>
      <c r="AK347" s="98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99"/>
    </row>
    <row r="348" spans="2:61" ht="20.100000000000001" customHeight="1" x14ac:dyDescent="0.45">
      <c r="B348" s="108"/>
      <c r="C348" s="31"/>
      <c r="D348" s="31"/>
      <c r="E348" s="31"/>
      <c r="F348" s="31"/>
      <c r="G348" s="96"/>
      <c r="H348" s="31"/>
      <c r="I348" s="31"/>
      <c r="J348" s="109" t="s">
        <v>208</v>
      </c>
      <c r="K348" s="52"/>
      <c r="L348" s="52"/>
      <c r="M348" s="52"/>
      <c r="N348" s="52"/>
      <c r="O348" s="52"/>
      <c r="P348" s="52"/>
      <c r="Q348" s="110"/>
      <c r="R348" s="52" t="s">
        <v>351</v>
      </c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110"/>
      <c r="AK348" s="98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99"/>
    </row>
    <row r="349" spans="2:61" ht="20.100000000000001" customHeight="1" x14ac:dyDescent="0.45">
      <c r="B349" s="108"/>
      <c r="C349" s="31"/>
      <c r="D349" s="31"/>
      <c r="E349" s="31"/>
      <c r="F349" s="31"/>
      <c r="G349" s="96"/>
      <c r="H349" s="97"/>
      <c r="I349" s="31"/>
      <c r="J349" s="109" t="s">
        <v>209</v>
      </c>
      <c r="K349" s="52"/>
      <c r="L349" s="52"/>
      <c r="M349" s="52"/>
      <c r="N349" s="52"/>
      <c r="O349" s="52"/>
      <c r="P349" s="52"/>
      <c r="Q349" s="110"/>
      <c r="R349" s="52" t="s">
        <v>352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110"/>
      <c r="AK349" s="98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99"/>
    </row>
    <row r="350" spans="2:61" ht="20.100000000000001" customHeight="1" x14ac:dyDescent="0.45">
      <c r="B350" s="108"/>
      <c r="C350" s="31"/>
      <c r="D350" s="31"/>
      <c r="E350" s="31"/>
      <c r="F350" s="31"/>
      <c r="G350" s="96"/>
      <c r="H350" s="97"/>
      <c r="I350" s="31"/>
      <c r="J350" s="109" t="s">
        <v>210</v>
      </c>
      <c r="K350" s="52"/>
      <c r="L350" s="52"/>
      <c r="M350" s="52"/>
      <c r="N350" s="52"/>
      <c r="O350" s="52"/>
      <c r="P350" s="52"/>
      <c r="Q350" s="110"/>
      <c r="R350" s="52" t="s">
        <v>353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110"/>
      <c r="AK350" s="98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99"/>
    </row>
    <row r="351" spans="2:61" ht="19.8" customHeight="1" x14ac:dyDescent="0.45">
      <c r="B351" s="108"/>
      <c r="C351" s="31"/>
      <c r="D351" s="31"/>
      <c r="E351" s="31"/>
      <c r="F351" s="31"/>
      <c r="G351" s="96"/>
      <c r="H351" s="97"/>
      <c r="I351" s="31"/>
      <c r="J351" s="109" t="s">
        <v>211</v>
      </c>
      <c r="K351" s="52"/>
      <c r="L351" s="52"/>
      <c r="M351" s="52"/>
      <c r="N351" s="52"/>
      <c r="O351" s="52"/>
      <c r="P351" s="52"/>
      <c r="Q351" s="110"/>
      <c r="R351" s="52" t="s">
        <v>354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110"/>
      <c r="AK351" s="98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99"/>
    </row>
    <row r="352" spans="2:61" ht="20.100000000000001" customHeight="1" x14ac:dyDescent="0.45">
      <c r="B352" s="108"/>
      <c r="C352" s="31"/>
      <c r="D352" s="31"/>
      <c r="E352" s="31"/>
      <c r="F352" s="31"/>
      <c r="G352" s="96"/>
      <c r="H352" s="31"/>
      <c r="I352" s="31"/>
      <c r="J352" s="109" t="s">
        <v>212</v>
      </c>
      <c r="K352" s="52"/>
      <c r="L352" s="52"/>
      <c r="M352" s="52"/>
      <c r="N352" s="52"/>
      <c r="O352" s="52"/>
      <c r="P352" s="52"/>
      <c r="Q352" s="110"/>
      <c r="R352" s="52" t="s">
        <v>355</v>
      </c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110"/>
      <c r="AK352" s="98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99"/>
    </row>
    <row r="353" spans="2:61" ht="20.100000000000001" customHeight="1" x14ac:dyDescent="0.45">
      <c r="B353" s="108"/>
      <c r="C353" s="31"/>
      <c r="D353" s="31"/>
      <c r="E353" s="31"/>
      <c r="F353" s="31"/>
      <c r="G353" s="96"/>
      <c r="H353" s="97"/>
      <c r="I353" s="31"/>
      <c r="J353" s="109" t="s">
        <v>213</v>
      </c>
      <c r="K353" s="52"/>
      <c r="L353" s="52"/>
      <c r="M353" s="52"/>
      <c r="N353" s="52"/>
      <c r="O353" s="52"/>
      <c r="P353" s="52"/>
      <c r="Q353" s="110"/>
      <c r="R353" s="52" t="s">
        <v>356</v>
      </c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110"/>
      <c r="AK353" s="98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99"/>
    </row>
    <row r="354" spans="2:61" ht="19.8" customHeight="1" x14ac:dyDescent="0.45">
      <c r="B354" s="108"/>
      <c r="C354" s="31"/>
      <c r="D354" s="31"/>
      <c r="E354" s="31"/>
      <c r="F354" s="31"/>
      <c r="G354" s="96"/>
      <c r="H354" s="97"/>
      <c r="I354" s="31"/>
      <c r="J354" s="109" t="s">
        <v>214</v>
      </c>
      <c r="K354" s="52"/>
      <c r="L354" s="52"/>
      <c r="M354" s="52"/>
      <c r="N354" s="52"/>
      <c r="O354" s="52"/>
      <c r="P354" s="52"/>
      <c r="Q354" s="110"/>
      <c r="R354" s="52" t="s">
        <v>357</v>
      </c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110"/>
      <c r="AK354" s="98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99"/>
    </row>
    <row r="355" spans="2:61" ht="20.100000000000001" customHeight="1" x14ac:dyDescent="0.45">
      <c r="B355" s="108"/>
      <c r="C355" s="31"/>
      <c r="D355" s="31"/>
      <c r="E355" s="31"/>
      <c r="F355" s="31"/>
      <c r="G355" s="96"/>
      <c r="H355" s="31"/>
      <c r="I355" s="31"/>
      <c r="J355" s="109" t="s">
        <v>215</v>
      </c>
      <c r="K355" s="52"/>
      <c r="L355" s="52"/>
      <c r="M355" s="52"/>
      <c r="N355" s="52"/>
      <c r="O355" s="52"/>
      <c r="P355" s="52"/>
      <c r="Q355" s="110"/>
      <c r="R355" s="52" t="s">
        <v>358</v>
      </c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110"/>
      <c r="AK355" s="98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99"/>
    </row>
    <row r="356" spans="2:61" ht="20.100000000000001" customHeight="1" x14ac:dyDescent="0.45">
      <c r="B356" s="108"/>
      <c r="C356" s="31"/>
      <c r="D356" s="31"/>
      <c r="E356" s="31"/>
      <c r="F356" s="31"/>
      <c r="G356" s="96"/>
      <c r="H356" s="97"/>
      <c r="I356" s="31"/>
      <c r="J356" s="109" t="s">
        <v>216</v>
      </c>
      <c r="K356" s="52"/>
      <c r="L356" s="52"/>
      <c r="M356" s="52"/>
      <c r="N356" s="52"/>
      <c r="O356" s="52"/>
      <c r="P356" s="52"/>
      <c r="Q356" s="110"/>
      <c r="R356" s="52" t="s">
        <v>359</v>
      </c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110"/>
      <c r="AK356" s="98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99"/>
    </row>
    <row r="357" spans="2:61" ht="20.100000000000001" customHeight="1" x14ac:dyDescent="0.45">
      <c r="B357" s="108"/>
      <c r="C357" s="31"/>
      <c r="D357" s="31"/>
      <c r="E357" s="31"/>
      <c r="F357" s="31"/>
      <c r="G357" s="96"/>
      <c r="H357" s="97"/>
      <c r="I357" s="31"/>
      <c r="J357" s="109" t="s">
        <v>217</v>
      </c>
      <c r="K357" s="52"/>
      <c r="L357" s="52"/>
      <c r="M357" s="52"/>
      <c r="N357" s="52"/>
      <c r="O357" s="52"/>
      <c r="P357" s="52"/>
      <c r="Q357" s="110"/>
      <c r="R357" s="52" t="s">
        <v>360</v>
      </c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110"/>
      <c r="AK357" s="98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99"/>
    </row>
    <row r="358" spans="2:61" ht="19.8" customHeight="1" x14ac:dyDescent="0.45">
      <c r="B358" s="108"/>
      <c r="C358" s="31"/>
      <c r="D358" s="31"/>
      <c r="E358" s="31"/>
      <c r="F358" s="31"/>
      <c r="G358" s="96"/>
      <c r="H358" s="97"/>
      <c r="I358" s="31"/>
      <c r="J358" s="109" t="s">
        <v>218</v>
      </c>
      <c r="K358" s="52"/>
      <c r="L358" s="52"/>
      <c r="M358" s="52"/>
      <c r="N358" s="52"/>
      <c r="O358" s="52"/>
      <c r="P358" s="52"/>
      <c r="Q358" s="110"/>
      <c r="R358" s="52" t="s">
        <v>361</v>
      </c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110"/>
      <c r="AK358" s="98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99"/>
    </row>
    <row r="359" spans="2:61" ht="20.100000000000001" customHeight="1" x14ac:dyDescent="0.45">
      <c r="B359" s="108"/>
      <c r="C359" s="31"/>
      <c r="D359" s="31"/>
      <c r="E359" s="31"/>
      <c r="F359" s="31"/>
      <c r="G359" s="96"/>
      <c r="H359" s="31"/>
      <c r="I359" s="31"/>
      <c r="J359" s="109" t="s">
        <v>219</v>
      </c>
      <c r="K359" s="52"/>
      <c r="L359" s="52"/>
      <c r="M359" s="52"/>
      <c r="N359" s="52"/>
      <c r="O359" s="52"/>
      <c r="P359" s="52"/>
      <c r="Q359" s="110"/>
      <c r="R359" s="52" t="s">
        <v>362</v>
      </c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110"/>
      <c r="AK359" s="98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99"/>
    </row>
    <row r="360" spans="2:61" ht="20.100000000000001" customHeight="1" x14ac:dyDescent="0.45">
      <c r="B360" s="108"/>
      <c r="C360" s="31"/>
      <c r="D360" s="31"/>
      <c r="E360" s="31"/>
      <c r="F360" s="31"/>
      <c r="G360" s="96"/>
      <c r="H360" s="97"/>
      <c r="I360" s="31"/>
      <c r="J360" s="109" t="s">
        <v>220</v>
      </c>
      <c r="K360" s="52"/>
      <c r="L360" s="52"/>
      <c r="M360" s="52"/>
      <c r="N360" s="52"/>
      <c r="O360" s="52"/>
      <c r="P360" s="52"/>
      <c r="Q360" s="110"/>
      <c r="R360" s="52" t="s">
        <v>363</v>
      </c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110"/>
      <c r="AK360" s="98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99"/>
    </row>
    <row r="361" spans="2:61" ht="19.8" customHeight="1" x14ac:dyDescent="0.45">
      <c r="B361" s="108"/>
      <c r="C361" s="31"/>
      <c r="D361" s="31"/>
      <c r="E361" s="31"/>
      <c r="F361" s="31"/>
      <c r="G361" s="96"/>
      <c r="H361" s="97"/>
      <c r="I361" s="31"/>
      <c r="J361" s="109" t="s">
        <v>221</v>
      </c>
      <c r="K361" s="52"/>
      <c r="L361" s="52"/>
      <c r="M361" s="52"/>
      <c r="N361" s="52"/>
      <c r="O361" s="52"/>
      <c r="P361" s="52"/>
      <c r="Q361" s="110"/>
      <c r="R361" s="52" t="s">
        <v>364</v>
      </c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110"/>
      <c r="AK361" s="98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99"/>
    </row>
    <row r="362" spans="2:61" ht="20.100000000000001" customHeight="1" x14ac:dyDescent="0.45">
      <c r="B362" s="108"/>
      <c r="C362" s="31"/>
      <c r="D362" s="31"/>
      <c r="E362" s="31"/>
      <c r="F362" s="31"/>
      <c r="G362" s="96"/>
      <c r="H362" s="31"/>
      <c r="I362" s="31"/>
      <c r="J362" s="109" t="s">
        <v>222</v>
      </c>
      <c r="K362" s="52"/>
      <c r="L362" s="52"/>
      <c r="M362" s="52"/>
      <c r="N362" s="52"/>
      <c r="O362" s="52"/>
      <c r="P362" s="52"/>
      <c r="Q362" s="110"/>
      <c r="R362" s="52" t="s">
        <v>365</v>
      </c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110"/>
      <c r="AK362" s="98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99"/>
    </row>
    <row r="363" spans="2:61" ht="20.100000000000001" customHeight="1" x14ac:dyDescent="0.45">
      <c r="B363" s="108"/>
      <c r="C363" s="31"/>
      <c r="D363" s="31"/>
      <c r="E363" s="31"/>
      <c r="F363" s="31"/>
      <c r="G363" s="96"/>
      <c r="H363" s="97"/>
      <c r="I363" s="31"/>
      <c r="J363" s="109" t="s">
        <v>223</v>
      </c>
      <c r="K363" s="52"/>
      <c r="L363" s="52"/>
      <c r="M363" s="52"/>
      <c r="N363" s="52"/>
      <c r="O363" s="52"/>
      <c r="P363" s="52"/>
      <c r="Q363" s="110"/>
      <c r="R363" s="52" t="s">
        <v>366</v>
      </c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110"/>
      <c r="AK363" s="98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99"/>
    </row>
    <row r="364" spans="2:61" ht="20.100000000000001" customHeight="1" thickBot="1" x14ac:dyDescent="0.5">
      <c r="B364" s="95"/>
      <c r="C364" s="31"/>
      <c r="D364" s="31"/>
      <c r="E364" s="31"/>
      <c r="F364" s="31"/>
      <c r="G364" s="96"/>
      <c r="H364" s="100" t="s">
        <v>367</v>
      </c>
      <c r="I364" s="55"/>
      <c r="J364" s="100" t="s">
        <v>368</v>
      </c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101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  <c r="BI364" s="102"/>
    </row>
    <row r="365" spans="2:61" ht="5.0999999999999996" customHeight="1" x14ac:dyDescent="0.45"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1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26.19921875" style="29" bestFit="1" customWidth="1"/>
    <col min="5" max="5" width="51.69921875" style="29" bestFit="1" customWidth="1"/>
    <col min="6" max="6" width="51.69921875" style="29" customWidth="1"/>
    <col min="7" max="16384" width="8.796875" style="29"/>
  </cols>
  <sheetData>
    <row r="2" spans="2:7" ht="19.2" thickBot="1" x14ac:dyDescent="0.5">
      <c r="B2" s="87" t="s">
        <v>47</v>
      </c>
    </row>
    <row r="3" spans="2:7" ht="18.600000000000001" thickTop="1" x14ac:dyDescent="0.45">
      <c r="B3" s="38" t="s">
        <v>18</v>
      </c>
      <c r="C3" s="77" t="s">
        <v>48</v>
      </c>
      <c r="D3" s="77" t="s">
        <v>49</v>
      </c>
      <c r="E3" s="74" t="s">
        <v>20</v>
      </c>
      <c r="F3" s="113" t="s">
        <v>435</v>
      </c>
      <c r="G3" s="78" t="s">
        <v>50</v>
      </c>
    </row>
    <row r="4" spans="2:7" x14ac:dyDescent="0.45">
      <c r="B4" s="37">
        <v>1</v>
      </c>
      <c r="C4" s="79" t="s">
        <v>430</v>
      </c>
      <c r="D4" s="79" t="s">
        <v>433</v>
      </c>
      <c r="E4" s="80" t="s">
        <v>434</v>
      </c>
      <c r="F4" s="80" t="s">
        <v>436</v>
      </c>
      <c r="G4" s="81" t="s">
        <v>437</v>
      </c>
    </row>
    <row r="5" spans="2:7" x14ac:dyDescent="0.45">
      <c r="B5" s="37">
        <v>2</v>
      </c>
      <c r="C5" s="79" t="s">
        <v>430</v>
      </c>
      <c r="D5" s="79" t="s">
        <v>432</v>
      </c>
      <c r="E5" s="80" t="s">
        <v>431</v>
      </c>
      <c r="F5" s="80" t="s">
        <v>436</v>
      </c>
      <c r="G5" s="81" t="s">
        <v>437</v>
      </c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46</v>
      </c>
    </row>
    <row r="2" spans="1:1" x14ac:dyDescent="0.45">
      <c r="A2" s="71" t="s">
        <v>36</v>
      </c>
    </row>
    <row r="3" spans="1:1" x14ac:dyDescent="0.45">
      <c r="A3" s="70" t="s">
        <v>37</v>
      </c>
    </row>
    <row r="4" spans="1:1" x14ac:dyDescent="0.45">
      <c r="A4" s="70" t="s">
        <v>40</v>
      </c>
    </row>
    <row r="5" spans="1:1" x14ac:dyDescent="0.45">
      <c r="A5" s="70" t="s">
        <v>38</v>
      </c>
    </row>
    <row r="6" spans="1:1" x14ac:dyDescent="0.45">
      <c r="A6" s="70" t="s">
        <v>39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10</vt:i4>
      </vt:variant>
    </vt:vector>
  </HeadingPairs>
  <TitlesOfParts>
    <vt:vector size="18" baseType="lpstr">
      <vt:lpstr>変更履歴</vt:lpstr>
      <vt:lpstr>概要</vt:lpstr>
      <vt:lpstr>帳票レイアウト</vt:lpstr>
      <vt:lpstr>項目一覧</vt:lpstr>
      <vt:lpstr>処理詳細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2025-05-24T05:31:10Z</dcterms:modified>
</cp:coreProperties>
</file>