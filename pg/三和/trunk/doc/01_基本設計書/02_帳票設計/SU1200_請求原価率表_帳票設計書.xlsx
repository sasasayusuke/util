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040" windowHeight="8976" firstSheet="1" activeTab="1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7" r:id="rId5"/>
    <sheet name="処理詳細_書き方" sheetId="18" state="hidden" r:id="rId6"/>
    <sheet name="確認事項" sheetId="15" r:id="rId7"/>
    <sheet name="別紙_テンプレート" sheetId="16" r:id="rId8"/>
    <sheet name="別紙_印刷レイアウト" sheetId="19" r:id="rId9"/>
    <sheet name="参照" sheetId="12" state="hidden" r:id="rId10"/>
  </sheets>
  <definedNames>
    <definedName name="CoreCells">別紙_テンプレート!$A$6:$J$6</definedName>
    <definedName name="_xlnm.Print_Area" localSheetId="3">項目一覧!$A$1:$BX$57</definedName>
    <definedName name="_xlnm.Print_Area" localSheetId="4">処理詳細!$A$1:$BR$83</definedName>
    <definedName name="_xlnm.Print_Area" localSheetId="5">処理詳細_書き方!$A$1:$BR$29</definedName>
    <definedName name="_xlnm.Print_Area" localSheetId="2">帳票レイアウト!$A$1:$BN$48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7">別紙_テンプレート!$1:$4</definedName>
    <definedName name="_xlnm.Print_Titles" localSheetId="0">変更履歴!$1:$5</definedName>
    <definedName name="作成日">別紙_テンプレート!$I$1</definedName>
    <definedName name="得意先">別紙_テンプレート!$A$2</definedName>
    <definedName name="日付範囲">別紙_テンプレート!$A$3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18" l="1"/>
  <c r="BF3" i="18"/>
  <c r="BB3" i="18"/>
  <c r="AX3" i="18"/>
  <c r="L3" i="18"/>
  <c r="B3" i="18"/>
  <c r="BJ3" i="17"/>
  <c r="BF3" i="17"/>
  <c r="BB3" i="17"/>
  <c r="AX3" i="17"/>
  <c r="L3" i="17"/>
  <c r="B3" i="17"/>
  <c r="H5" i="16" l="1"/>
  <c r="G5" i="16"/>
  <c r="I5" i="16" l="1"/>
  <c r="BJ3" i="14"/>
  <c r="BF3" i="14"/>
  <c r="BB3" i="14"/>
  <c r="AX3" i="14"/>
  <c r="L3" i="14"/>
  <c r="B3" i="14"/>
  <c r="X3" i="1" l="1"/>
  <c r="X3" i="18" s="1"/>
  <c r="X3" i="14" l="1"/>
  <c r="X3" i="17"/>
  <c r="H3" i="1"/>
  <c r="H3" i="18" s="1"/>
  <c r="R3" i="1"/>
  <c r="R3" i="18" s="1"/>
  <c r="AK3" i="1"/>
  <c r="AK3" i="18" s="1"/>
  <c r="AK3" i="14" l="1"/>
  <c r="H7" i="14" s="1"/>
  <c r="AK3" i="17"/>
  <c r="R3" i="14"/>
  <c r="R3" i="17"/>
  <c r="H3" i="14"/>
  <c r="H3" i="17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<sst xmlns="http://schemas.openxmlformats.org/spreadsheetml/2006/main" count="401" uniqueCount="244">
  <si>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</si>
  <si>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</si>
  <si>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</si>
  <si>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</si>
  <si>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</si>
  <si>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</si>
  <si>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</si>
  <si>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</si>
  <si>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</si>
  <si>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</si>
  <si>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</si>
  <si>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</si>
  <si>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</si>
  <si>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</si>
  <si>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</si>
  <si>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</si>
  <si>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</si>
  <si>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</si>
  <si>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</si>
  <si>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</si>
  <si>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</si>
  <si>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</si>
  <si>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</si>
  <si>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</si>
  <si>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</si>
  <si>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</si>
  <si>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</si>
  <si>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</si>
  <si>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</si>
  <si>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</si>
  <si>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</si>
  <si>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</si>
  <si>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</si>
  <si>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</si>
  <si>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</si>
  <si>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</si>
  <si>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</si>
  <si>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</si>
  <si>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</si>
  <si>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</si>
  <si>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</si>
  <si>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</si>
  <si>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</si>
  <si>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</si>
  <si>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</si>
  <si>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</si>
  <si>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</si>
  <si>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</si>
  <si>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</si>
  <si>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</si>
  <si>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</si>
  <si>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</si>
  <si>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</si>
  <si>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Temp請求原価率表.xlsx</t>
    <phoneticPr fontId="2"/>
  </si>
  <si>
    <t>Excel</t>
    <phoneticPr fontId="2"/>
  </si>
  <si>
    <t>xlsx</t>
    <phoneticPr fontId="2"/>
  </si>
  <si>
    <t>-</t>
    <phoneticPr fontId="2"/>
  </si>
  <si>
    <t>請求原価率表</t>
    <rPh sb="0" eb="2">
      <t>セイキュウ</t>
    </rPh>
    <rPh sb="2" eb="4">
      <t>ゲンカ</t>
    </rPh>
    <rPh sb="4" eb="5">
      <t>リツ</t>
    </rPh>
    <rPh sb="5" eb="6">
      <t>ヒョウ</t>
    </rPh>
    <phoneticPr fontId="10"/>
  </si>
  <si>
    <t>2013/04/26～2013/05/25</t>
    <phoneticPr fontId="10"/>
  </si>
  <si>
    <t>請求日</t>
    <rPh sb="0" eb="2">
      <t>セイキュウ</t>
    </rPh>
    <rPh sb="2" eb="3">
      <t>ヒ</t>
    </rPh>
    <phoneticPr fontId="10"/>
  </si>
  <si>
    <t>見積番号</t>
    <rPh sb="0" eb="2">
      <t>ミツモリ</t>
    </rPh>
    <rPh sb="2" eb="4">
      <t>バンゴウ</t>
    </rPh>
    <phoneticPr fontId="10"/>
  </si>
  <si>
    <t>見積件名</t>
    <rPh sb="0" eb="2">
      <t>ミツモリ</t>
    </rPh>
    <rPh sb="2" eb="4">
      <t>ケンメイ</t>
    </rPh>
    <phoneticPr fontId="10"/>
  </si>
  <si>
    <t>得CD</t>
    <rPh sb="0" eb="1">
      <t>トク</t>
    </rPh>
    <phoneticPr fontId="10"/>
  </si>
  <si>
    <t>物種CD</t>
    <rPh sb="0" eb="1">
      <t>モノ</t>
    </rPh>
    <rPh sb="1" eb="2">
      <t>シュ</t>
    </rPh>
    <phoneticPr fontId="10"/>
  </si>
  <si>
    <t>物件種別</t>
    <rPh sb="0" eb="2">
      <t>ブッケン</t>
    </rPh>
    <rPh sb="2" eb="4">
      <t>シュベツ</t>
    </rPh>
    <phoneticPr fontId="10"/>
  </si>
  <si>
    <t>売上金額</t>
    <rPh sb="0" eb="2">
      <t>ウリアゲ</t>
    </rPh>
    <rPh sb="2" eb="4">
      <t>キンガク</t>
    </rPh>
    <phoneticPr fontId="10"/>
  </si>
  <si>
    <t>仕入金額</t>
    <rPh sb="0" eb="2">
      <t>シイレ</t>
    </rPh>
    <rPh sb="2" eb="4">
      <t>キンガク</t>
    </rPh>
    <phoneticPr fontId="10"/>
  </si>
  <si>
    <t>原価率</t>
    <rPh sb="0" eb="2">
      <t>ゲンカ</t>
    </rPh>
    <rPh sb="2" eb="3">
      <t>リツ</t>
    </rPh>
    <phoneticPr fontId="10"/>
  </si>
  <si>
    <t>標準原価率</t>
    <rPh sb="0" eb="2">
      <t>ヒョウジュン</t>
    </rPh>
    <rPh sb="2" eb="5">
      <t>ゲンカリツ</t>
    </rPh>
    <phoneticPr fontId="10"/>
  </si>
  <si>
    <t>計</t>
    <rPh sb="0" eb="1">
      <t>ケイ</t>
    </rPh>
    <phoneticPr fontId="10"/>
  </si>
  <si>
    <t>作成日</t>
    <rPh sb="0" eb="3">
      <t>サクセイビ</t>
    </rPh>
    <phoneticPr fontId="1"/>
  </si>
  <si>
    <t>期間from</t>
    <rPh sb="0" eb="2">
      <t>キカン</t>
    </rPh>
    <phoneticPr fontId="1"/>
  </si>
  <si>
    <t>期間to</t>
    <rPh sb="0" eb="2">
      <t>キカン</t>
    </rPh>
    <phoneticPr fontId="1"/>
  </si>
  <si>
    <t>請求日</t>
    <rPh sb="0" eb="3">
      <t>セイキュウビ</t>
    </rPh>
    <phoneticPr fontId="1"/>
  </si>
  <si>
    <t>見積番号</t>
    <rPh sb="0" eb="2">
      <t>ミツモリ</t>
    </rPh>
    <rPh sb="2" eb="4">
      <t>バンゴウ</t>
    </rPh>
    <phoneticPr fontId="1"/>
  </si>
  <si>
    <t>見積件名</t>
    <rPh sb="0" eb="4">
      <t>ミツモリケンメイ</t>
    </rPh>
    <phoneticPr fontId="1"/>
  </si>
  <si>
    <t>得CD</t>
    <rPh sb="0" eb="1">
      <t>トク</t>
    </rPh>
    <phoneticPr fontId="1"/>
  </si>
  <si>
    <t>物種CD</t>
    <rPh sb="0" eb="2">
      <t>ブツシュ</t>
    </rPh>
    <phoneticPr fontId="1"/>
  </si>
  <si>
    <t>物件種別</t>
    <rPh sb="0" eb="4">
      <t>ブッケンシュベツ</t>
    </rPh>
    <phoneticPr fontId="1"/>
  </si>
  <si>
    <t>売上金額</t>
    <rPh sb="0" eb="4">
      <t>ウリアゲキンガク</t>
    </rPh>
    <phoneticPr fontId="1"/>
  </si>
  <si>
    <t>仕入金額</t>
    <rPh sb="0" eb="4">
      <t>シイレキンガク</t>
    </rPh>
    <phoneticPr fontId="1"/>
  </si>
  <si>
    <t>原価率</t>
    <rPh sb="0" eb="3">
      <t>ゲンカリツ</t>
    </rPh>
    <phoneticPr fontId="1"/>
  </si>
  <si>
    <t>標準原価率</t>
    <rPh sb="0" eb="5">
      <t>ヒョウジュンゲンカリツ</t>
    </rPh>
    <phoneticPr fontId="1"/>
  </si>
  <si>
    <t>半角</t>
    <rPh sb="0" eb="2">
      <t>ハンカク</t>
    </rPh>
    <phoneticPr fontId="1"/>
  </si>
  <si>
    <t>現在日付</t>
    <rPh sb="0" eb="4">
      <t>ゲンザイヒヅケ</t>
    </rPh>
    <phoneticPr fontId="1"/>
  </si>
  <si>
    <t>画面.請求日付開始日</t>
    <rPh sb="0" eb="2">
      <t>ガメン</t>
    </rPh>
    <rPh sb="3" eb="7">
      <t>セイキュウヒヅケ</t>
    </rPh>
    <rPh sb="7" eb="10">
      <t>カイシビ</t>
    </rPh>
    <phoneticPr fontId="1"/>
  </si>
  <si>
    <t>画面.請求日付終了日</t>
    <rPh sb="0" eb="2">
      <t>ガメン</t>
    </rPh>
    <rPh sb="3" eb="7">
      <t>セイキュウヒヅケ</t>
    </rPh>
    <rPh sb="7" eb="10">
      <t>シュウリョウビ</t>
    </rPh>
    <phoneticPr fontId="1"/>
  </si>
  <si>
    <t>項目一覧</t>
    <rPh sb="0" eb="4">
      <t>コウモクイチラン</t>
    </rPh>
    <phoneticPr fontId="2"/>
  </si>
  <si>
    <t>縮小して全体表示</t>
    <rPh sb="0" eb="2">
      <t>シュクショウ</t>
    </rPh>
    <rPh sb="4" eb="8">
      <t>ゼンタイヒョウジ</t>
    </rPh>
    <phoneticPr fontId="1"/>
  </si>
  <si>
    <t>全角</t>
    <rPh sb="0" eb="2">
      <t>ゼンカク</t>
    </rPh>
    <phoneticPr fontId="1"/>
  </si>
  <si>
    <t>「計」</t>
    <rPh sb="1" eb="2">
      <t>ケイ</t>
    </rPh>
    <phoneticPr fontId="1"/>
  </si>
  <si>
    <t>[20.売上金額]の合計</t>
    <phoneticPr fontId="1"/>
  </si>
  <si>
    <t>[21.仕入金額]</t>
    <rPh sb="4" eb="6">
      <t>シイレ</t>
    </rPh>
    <phoneticPr fontId="1"/>
  </si>
  <si>
    <t>[21.仕入金額]の合計</t>
    <rPh sb="4" eb="6">
      <t>シイレ</t>
    </rPh>
    <phoneticPr fontId="1"/>
  </si>
  <si>
    <t>[20.売上金額]</t>
    <phoneticPr fontId="1"/>
  </si>
  <si>
    <t>請求日_1行目</t>
    <rPh sb="0" eb="3">
      <t>セイキュウビ</t>
    </rPh>
    <rPh sb="5" eb="7">
      <t>ギョウメ</t>
    </rPh>
    <phoneticPr fontId="1"/>
  </si>
  <si>
    <t>見積番号_1行目</t>
    <rPh sb="0" eb="2">
      <t>ミツモリ</t>
    </rPh>
    <rPh sb="2" eb="4">
      <t>バンゴウ</t>
    </rPh>
    <phoneticPr fontId="1"/>
  </si>
  <si>
    <t>見積件名_1行目</t>
    <rPh sb="0" eb="4">
      <t>ミツモリケンメイ</t>
    </rPh>
    <phoneticPr fontId="1"/>
  </si>
  <si>
    <t>得CD_1行目</t>
    <rPh sb="0" eb="1">
      <t>トク</t>
    </rPh>
    <phoneticPr fontId="1"/>
  </si>
  <si>
    <t>物種CD_1行目</t>
    <rPh sb="0" eb="2">
      <t>ブツシュ</t>
    </rPh>
    <phoneticPr fontId="1"/>
  </si>
  <si>
    <t>物件種別_1行目</t>
    <rPh sb="0" eb="4">
      <t>ブッケンシュベツ</t>
    </rPh>
    <phoneticPr fontId="1"/>
  </si>
  <si>
    <t>売上金額_1行目</t>
    <rPh sb="0" eb="4">
      <t>ウリアゲキンガク</t>
    </rPh>
    <phoneticPr fontId="1"/>
  </si>
  <si>
    <t>仕入金額_1行目</t>
    <rPh sb="0" eb="4">
      <t>シイレキンガク</t>
    </rPh>
    <phoneticPr fontId="1"/>
  </si>
  <si>
    <t>原価率_1行目</t>
    <rPh sb="0" eb="3">
      <t>ゲンカリツ</t>
    </rPh>
    <phoneticPr fontId="1"/>
  </si>
  <si>
    <t>[10.売上金額_1行目],[11.仕入金額_1行目]</t>
  </si>
  <si>
    <t>[11.仕入金額_1行目]を[10.売上金額_1行目]で割って100を掛けた値</t>
    <rPh sb="28" eb="29">
      <t>ワ</t>
    </rPh>
    <rPh sb="35" eb="36">
      <t>カ</t>
    </rPh>
    <rPh sb="38" eb="39">
      <t>アタイ</t>
    </rPh>
    <phoneticPr fontId="1"/>
  </si>
  <si>
    <t>標準原価率_1行目</t>
    <rPh sb="0" eb="5">
      <t>ヒョウジュンゲンカリツ</t>
    </rPh>
    <phoneticPr fontId="1"/>
  </si>
  <si>
    <t>空欄</t>
    <phoneticPr fontId="1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</si>
  <si>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</si>
  <si>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</si>
  <si>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</si>
  <si>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</si>
  <si>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</si>
  <si>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</si>
  <si>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</si>
  <si>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</si>
  <si>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</si>
  <si>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</si>
  <si>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</si>
  <si>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</si>
  <si>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</si>
  <si>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</si>
  <si>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</si>
  <si>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</si>
  <si>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</si>
  <si>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</si>
  <si>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</si>
  <si>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</si>
  <si>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</si>
  <si>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</si>
  <si>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</si>
  <si>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</si>
  <si>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</si>
  <si>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</si>
  <si>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</si>
  <si>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</si>
  <si>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</si>
  <si>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</si>
  <si>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from</t>
    <phoneticPr fontId="2"/>
  </si>
  <si>
    <t>select</t>
    <phoneticPr fontId="2"/>
  </si>
  <si>
    <t>データ作成</t>
    <rPh sb="3" eb="5">
      <t>サクセイ</t>
    </rPh>
    <phoneticPr fontId="2"/>
  </si>
  <si>
    <t>SQL2</t>
    <phoneticPr fontId="2"/>
  </si>
  <si>
    <t>SQL2.見積番号</t>
  </si>
  <si>
    <t>SQL2.請求日付</t>
  </si>
  <si>
    <t>SQL2.物件種別</t>
  </si>
  <si>
    <t>SQL2.得意先CD</t>
  </si>
  <si>
    <t>SQL2.見積件名</t>
  </si>
  <si>
    <t>SQL2.売上金額</t>
  </si>
  <si>
    <t>SQL2.仕入金額</t>
  </si>
  <si>
    <t>SQL2.原価率</t>
  </si>
  <si>
    <t>見積番号</t>
  </si>
  <si>
    <t>請求日付</t>
  </si>
  <si>
    <t>物件種別</t>
  </si>
  <si>
    <t>得意先CD</t>
  </si>
  <si>
    <t>見積件名</t>
  </si>
  <si>
    <t>売上金額</t>
  </si>
  <si>
    <t>仕入金額</t>
  </si>
  <si>
    <t>原価率</t>
  </si>
  <si>
    <t>見積番号</t>
    <phoneticPr fontId="2"/>
  </si>
  <si>
    <t>売上金額</t>
    <phoneticPr fontId="2"/>
  </si>
  <si>
    <t>請求日付</t>
    <phoneticPr fontId="2"/>
  </si>
  <si>
    <t>物件種別</t>
    <phoneticPr fontId="2"/>
  </si>
  <si>
    <t>得意先CD</t>
    <phoneticPr fontId="2"/>
  </si>
  <si>
    <t>見積件名</t>
    <phoneticPr fontId="2"/>
  </si>
  <si>
    <t>仕入金額</t>
    <phoneticPr fontId="2"/>
  </si>
  <si>
    <t>原価率</t>
    <phoneticPr fontId="2"/>
  </si>
  <si>
    <t>TD売上請求H</t>
    <phoneticPr fontId="2"/>
  </si>
  <si>
    <t>TD売上v2</t>
    <phoneticPr fontId="2"/>
  </si>
  <si>
    <t>TD売上明細v2</t>
    <phoneticPr fontId="2"/>
  </si>
  <si>
    <t>TD見積</t>
    <phoneticPr fontId="2"/>
  </si>
  <si>
    <t>TD見積シートM</t>
    <phoneticPr fontId="2"/>
  </si>
  <si>
    <t>INNER JOIN</t>
    <phoneticPr fontId="2"/>
  </si>
  <si>
    <t>TD売上v2</t>
    <phoneticPr fontId="2"/>
  </si>
  <si>
    <t>TD売上明細v2</t>
    <phoneticPr fontId="2"/>
  </si>
  <si>
    <t>TD見積</t>
    <phoneticPr fontId="2"/>
  </si>
  <si>
    <t>AND</t>
    <phoneticPr fontId="2"/>
  </si>
  <si>
    <t>(</t>
    <phoneticPr fontId="2"/>
  </si>
  <si>
    <t>OR</t>
    <phoneticPr fontId="2"/>
  </si>
  <si>
    <t>)</t>
    <phoneticPr fontId="2"/>
  </si>
  <si>
    <t>SQL2</t>
    <phoneticPr fontId="2"/>
  </si>
  <si>
    <t>LEFT JOIN</t>
    <phoneticPr fontId="2"/>
  </si>
  <si>
    <t>@TBL</t>
    <phoneticPr fontId="2"/>
  </si>
  <si>
    <t>order by</t>
    <phoneticPr fontId="2"/>
  </si>
  <si>
    <t>[SQL2.見積番号]の昇順</t>
    <rPh sb="6" eb="10">
      <t>ミツモリバンゴウ</t>
    </rPh>
    <rPh sb="12" eb="14">
      <t>ショウジュン</t>
    </rPh>
    <phoneticPr fontId="2"/>
  </si>
  <si>
    <t>No</t>
    <phoneticPr fontId="2"/>
  </si>
  <si>
    <t>見積番号</t>
    <phoneticPr fontId="2"/>
  </si>
  <si>
    <t>insert</t>
    <phoneticPr fontId="2"/>
  </si>
  <si>
    <t>1から始まる連番</t>
    <rPh sb="3" eb="4">
      <t>ハジ</t>
    </rPh>
    <rPh sb="6" eb="8">
      <t>レンバン</t>
    </rPh>
    <phoneticPr fontId="2"/>
  </si>
  <si>
    <t>SQL3</t>
    <phoneticPr fontId="2"/>
  </si>
  <si>
    <t>[SQL3.No]の昇順</t>
    <rPh sb="10" eb="12">
      <t>ショウジュン</t>
    </rPh>
    <phoneticPr fontId="2"/>
  </si>
  <si>
    <t>SQL3</t>
    <phoneticPr fontId="2"/>
  </si>
  <si>
    <t>NOT EXISTS(SELECT 見積番号 FROM [SQL3])</t>
    <phoneticPr fontId="2"/>
  </si>
  <si>
    <t>[SQL2.見積番号] = [SQL3.見積番号]</t>
    <phoneticPr fontId="2"/>
  </si>
  <si>
    <t>TD売上請求H.見積番号</t>
  </si>
  <si>
    <t>TD売上請求H.請求日付</t>
  </si>
  <si>
    <t>TD売上請求H.請求日付 &gt;= [画面.請求日付開始日]</t>
  </si>
  <si>
    <t>TD売上請求H.請求日付 &lt;= [画面.請求日付終了日]</t>
    <rPh sb="24" eb="26">
      <t>シュウリョウ</t>
    </rPh>
    <phoneticPr fontId="2"/>
  </si>
  <si>
    <t>TD売上請求H.見積番号 IN (SELECT 見積番号 FROM [SQL3])</t>
  </si>
  <si>
    <t>TD売上請求H.見積番号 = TD売上v2.見積番号</t>
  </si>
  <si>
    <t>[TD売上明細v2.売上金額]の合計</t>
    <rPh sb="16" eb="18">
      <t>ゴウケイ</t>
    </rPh>
    <phoneticPr fontId="2"/>
  </si>
  <si>
    <t>TD売上v2.売上番号 = TD売上明細v2.売上番号</t>
  </si>
  <si>
    <t>TD見積.物件種別</t>
  </si>
  <si>
    <t>TD見積.得意先CD</t>
  </si>
  <si>
    <t>TD見積.見積件名</t>
  </si>
  <si>
    <t>TD売上請求H.見積番号 = TD見積.見積番号</t>
  </si>
  <si>
    <t>TD売上明細v2.見積明細連番 = TD見積シートM.見積明細連番</t>
  </si>
  <si>
    <t>[TD見積シートM.仕入先CD]が'9999'ではない[TD売上明細v2.仕入金額]の合計</t>
    <rPh sb="43" eb="45">
      <t>ゴウケイ</t>
    </rPh>
    <phoneticPr fontId="2"/>
  </si>
  <si>
    <t>[TD見積シートM.仕入先CD]が'9999'ではない[TD売上明細v2.仕入金額]の合計に100をかけて[TD売上明細v2.売上金額]の合計で割った値を少数第二位までで四捨五入した値</t>
    <rPh sb="43" eb="45">
      <t>ゴウケイ</t>
    </rPh>
    <rPh sb="72" eb="73">
      <t>ワ</t>
    </rPh>
    <rPh sb="75" eb="76">
      <t>アタイ</t>
    </rPh>
    <rPh sb="77" eb="82">
      <t>ショウスウダイニイ</t>
    </rPh>
    <rPh sb="85" eb="89">
      <t>シシャゴニュウ</t>
    </rPh>
    <rPh sb="91" eb="92">
      <t>アタイ</t>
    </rPh>
    <phoneticPr fontId="2"/>
  </si>
  <si>
    <t>カンマ区切りの見積番号リストを１つずつ抽出して設定する(例：164932,164931,164924)</t>
    <rPh sb="28" eb="29">
      <t>レイ</t>
    </rPh>
    <phoneticPr fontId="2"/>
  </si>
  <si>
    <t>[画面.見積番号]</t>
    <rPh sb="4" eb="8">
      <t>ミツモリバンゴウ</t>
    </rPh>
    <phoneticPr fontId="2"/>
  </si>
  <si>
    <t>SQL1</t>
    <phoneticPr fontId="2"/>
  </si>
  <si>
    <t>SQL1.請求日付</t>
    <rPh sb="5" eb="8">
      <t>セイキュウビ</t>
    </rPh>
    <rPh sb="8" eb="9">
      <t>ツ</t>
    </rPh>
    <phoneticPr fontId="1"/>
  </si>
  <si>
    <t>SQL1.見積番号</t>
    <rPh sb="5" eb="9">
      <t>ミツモリバンゴウ</t>
    </rPh>
    <phoneticPr fontId="1"/>
  </si>
  <si>
    <t>SQL1.見積件名</t>
    <rPh sb="5" eb="9">
      <t>ミツモリケンメイ</t>
    </rPh>
    <phoneticPr fontId="1"/>
  </si>
  <si>
    <t>SQL1.得意先CD</t>
    <rPh sb="5" eb="8">
      <t>トクイサキ</t>
    </rPh>
    <phoneticPr fontId="1"/>
  </si>
  <si>
    <t>SQL1.物件種別</t>
    <rPh sb="5" eb="9">
      <t>ブッケンシュベツ</t>
    </rPh>
    <phoneticPr fontId="1"/>
  </si>
  <si>
    <t>SQL1.売上金額</t>
    <rPh sb="5" eb="9">
      <t>ウリアゲキンガク</t>
    </rPh>
    <phoneticPr fontId="1"/>
  </si>
  <si>
    <t>SQL1.仕入金額</t>
    <phoneticPr fontId="1"/>
  </si>
  <si>
    <t>SQL1.原価率</t>
    <rPh sb="5" eb="8">
      <t>ゲンカリツ</t>
    </rPh>
    <phoneticPr fontId="1"/>
  </si>
  <si>
    <t>[SQL1.物件種別]が０の場合"新店"
1の場合"改装"
2の場合"ﾒﾝﾃ"
3の場合"補充"
4の場合"内装"
5の場合"その他"
6の場合"委託"</t>
    <rPh sb="14" eb="16">
      <t>バアイ</t>
    </rPh>
    <rPh sb="17" eb="19">
      <t>シンテン</t>
    </rPh>
    <rPh sb="26" eb="28">
      <t>カイソウ</t>
    </rPh>
    <rPh sb="45" eb="47">
      <t>ホジュウ</t>
    </rPh>
    <rPh sb="54" eb="56">
      <t>ナイソウ</t>
    </rPh>
    <rPh sb="65" eb="66">
      <t>タ</t>
    </rPh>
    <rPh sb="73" eb="75">
      <t>イタク</t>
    </rPh>
    <phoneticPr fontId="1"/>
  </si>
  <si>
    <t>No23.標準原価率にデータを入れている処理が見受けられないが空欄でよいか</t>
    <rPh sb="5" eb="10">
      <t>ヒョウジュンゲンカリツ</t>
    </rPh>
    <rPh sb="15" eb="16">
      <t>イ</t>
    </rPh>
    <rPh sb="20" eb="22">
      <t>ショリ</t>
    </rPh>
    <rPh sb="23" eb="25">
      <t>ミウ</t>
    </rPh>
    <rPh sb="31" eb="33">
      <t>クウラン</t>
    </rPh>
    <phoneticPr fontId="2"/>
  </si>
  <si>
    <t>回答</t>
    <rPh sb="0" eb="2">
      <t>カイトウ</t>
    </rPh>
    <phoneticPr fontId="2"/>
  </si>
  <si>
    <t>指定した月を含まない6か月前の原価率の平均を表示
作業区分1以外のもので同じ得意先CDのデータを集計する
検証確認を行う</t>
    <rPh sb="0" eb="2">
      <t>シテイ</t>
    </rPh>
    <rPh sb="4" eb="5">
      <t>ツキ</t>
    </rPh>
    <rPh sb="6" eb="7">
      <t>フク</t>
    </rPh>
    <rPh sb="12" eb="14">
      <t>ゲツマエ</t>
    </rPh>
    <rPh sb="15" eb="18">
      <t>ゲンカリツ</t>
    </rPh>
    <rPh sb="19" eb="21">
      <t>ヘイキン</t>
    </rPh>
    <rPh sb="22" eb="24">
      <t>ヒョウジ</t>
    </rPh>
    <rPh sb="25" eb="29">
      <t>サギョウクブン</t>
    </rPh>
    <rPh sb="30" eb="32">
      <t>イガイ</t>
    </rPh>
    <rPh sb="36" eb="37">
      <t>オナ</t>
    </rPh>
    <rPh sb="38" eb="41">
      <t>トクイサキ</t>
    </rPh>
    <rPh sb="48" eb="50">
      <t>シュウケイ</t>
    </rPh>
    <rPh sb="53" eb="57">
      <t>ケンショウカクニン</t>
    </rPh>
    <rPh sb="58" eb="59">
      <t>オコナ</t>
    </rPh>
    <phoneticPr fontId="2"/>
  </si>
  <si>
    <t>画面で指定する見積番号の件数に制限なし</t>
    <rPh sb="0" eb="2">
      <t>ガメン</t>
    </rPh>
    <rPh sb="3" eb="5">
      <t>シテイ</t>
    </rPh>
    <rPh sb="7" eb="11">
      <t>ミツモリバンゴウ</t>
    </rPh>
    <rPh sb="12" eb="14">
      <t>ケンスウ</t>
    </rPh>
    <rPh sb="15" eb="17">
      <t>セイゲン</t>
    </rPh>
    <phoneticPr fontId="2"/>
  </si>
  <si>
    <t>指定した月を含まない6か月前の原価率の平均を表示</t>
    <phoneticPr fontId="1"/>
  </si>
  <si>
    <t>SQL4</t>
    <phoneticPr fontId="2"/>
  </si>
  <si>
    <t>LEFT JOIN</t>
    <phoneticPr fontId="2"/>
  </si>
  <si>
    <t>[SQL2.得意先CD] = [SQL4.得意先CD]</t>
    <rPh sb="6" eb="9">
      <t>トクイサキ</t>
    </rPh>
    <rPh sb="21" eb="24">
      <t>トクイサキ</t>
    </rPh>
    <phoneticPr fontId="2"/>
  </si>
  <si>
    <t>SQL4</t>
    <phoneticPr fontId="2"/>
  </si>
  <si>
    <t>TD売上請求H.請求日付 &lt;= [画面.請求日付開始日]の前月</t>
    <rPh sb="29" eb="31">
      <t>ゼンゲツ</t>
    </rPh>
    <phoneticPr fontId="2"/>
  </si>
  <si>
    <t>TD売上請求H.請求日付 &gt;= [画面.請求日付開始日]の前月の6か月前</t>
    <rPh sb="34" eb="36">
      <t>ゲツマエ</t>
    </rPh>
    <phoneticPr fontId="2"/>
  </si>
  <si>
    <t>group by</t>
    <phoneticPr fontId="2"/>
  </si>
  <si>
    <t>TD見積.得意先CD</t>
    <phoneticPr fontId="2"/>
  </si>
  <si>
    <t>A4縦</t>
    <rPh sb="2" eb="3">
      <t>タテ</t>
    </rPh>
    <phoneticPr fontId="2"/>
  </si>
  <si>
    <t>得意先別原価率</t>
    <rPh sb="0" eb="4">
      <t>トクイサキベツ</t>
    </rPh>
    <phoneticPr fontId="2"/>
  </si>
  <si>
    <t>得意先別仕入金額</t>
    <phoneticPr fontId="2"/>
  </si>
  <si>
    <t>得意先別売上金額</t>
    <phoneticPr fontId="2"/>
  </si>
  <si>
    <t>得意先別原価率</t>
    <phoneticPr fontId="2"/>
  </si>
  <si>
    <t>SQL4.得意先別原価率</t>
    <phoneticPr fontId="2"/>
  </si>
  <si>
    <t>SQL1.得意先別原価率</t>
    <rPh sb="5" eb="9">
      <t>トクイサキベツ</t>
    </rPh>
    <rPh sb="9" eb="12">
      <t>ゲンカリツ</t>
    </rPh>
    <phoneticPr fontId="1"/>
  </si>
  <si>
    <t>受発注システム</t>
    <phoneticPr fontId="2"/>
  </si>
  <si>
    <t>受発注</t>
    <phoneticPr fontId="2"/>
  </si>
  <si>
    <t>システム分類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</si>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</sst>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_ "/>
    <numFmt numFmtId="177" formatCode="[$-F800]dddd\,\ mmmm\ dd\,\ yyyy"/>
    <numFmt numFmtId="178" formatCode="yyyy/m/d;@"/>
    <numFmt numFmtId="179" formatCode="0_ "/>
  </numFmts>
  <fonts count="1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16"/>
      <color theme="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12"/>
      <color theme="0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7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25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9" fillId="6" borderId="0" xfId="2" applyFont="1" applyFill="1" applyAlignment="1"/>
    <xf numFmtId="0" fontId="11" fillId="6" borderId="0" xfId="2" applyFont="1" applyFill="1">
      <alignment vertical="center"/>
    </xf>
    <xf numFmtId="0" fontId="11" fillId="6" borderId="0" xfId="2" applyFont="1" applyFill="1" applyAlignment="1">
      <alignment vertical="center"/>
    </xf>
    <xf numFmtId="0" fontId="11" fillId="6" borderId="0" xfId="2" applyFont="1" applyFill="1" applyAlignment="1">
      <alignment horizontal="center" vertical="center"/>
    </xf>
    <xf numFmtId="177" fontId="13" fillId="0" borderId="0" xfId="2" applyNumberFormat="1" applyFont="1" applyFill="1" applyBorder="1" applyAlignment="1">
      <alignment shrinkToFit="1"/>
    </xf>
    <xf numFmtId="0" fontId="4" fillId="0" borderId="0" xfId="2" applyFont="1" applyFill="1">
      <alignment vertical="center"/>
    </xf>
    <xf numFmtId="0" fontId="11" fillId="6" borderId="0" xfId="2" applyFont="1" applyFill="1" applyAlignment="1">
      <alignment vertical="center" shrinkToFit="1"/>
    </xf>
    <xf numFmtId="0" fontId="11" fillId="6" borderId="0" xfId="2" applyFont="1" applyFill="1" applyBorder="1" applyAlignment="1">
      <alignment horizontal="right" vertical="center"/>
    </xf>
    <xf numFmtId="0" fontId="11" fillId="6" borderId="0" xfId="2" applyFont="1" applyFill="1" applyBorder="1" applyAlignment="1">
      <alignment vertical="center" shrinkToFit="1"/>
    </xf>
    <xf numFmtId="0" fontId="4" fillId="0" borderId="42" xfId="2" applyFont="1" applyFill="1" applyBorder="1" applyAlignment="1">
      <alignment horizontal="center" vertical="center" shrinkToFit="1"/>
    </xf>
    <xf numFmtId="0" fontId="4" fillId="0" borderId="0" xfId="2" applyFont="1" applyFill="1" applyBorder="1">
      <alignment vertical="center"/>
    </xf>
    <xf numFmtId="0" fontId="4" fillId="0" borderId="43" xfId="2" applyFont="1" applyFill="1" applyBorder="1" applyAlignment="1">
      <alignment horizontal="center" vertical="center" shrinkToFit="1"/>
    </xf>
    <xf numFmtId="0" fontId="4" fillId="0" borderId="43" xfId="2" applyFont="1" applyFill="1" applyBorder="1" applyAlignment="1">
      <alignment horizontal="right" vertical="center" shrinkToFit="1"/>
    </xf>
    <xf numFmtId="38" fontId="4" fillId="0" borderId="43" xfId="2" applyNumberFormat="1" applyFont="1" applyFill="1" applyBorder="1" applyAlignment="1">
      <alignment vertical="center" shrinkToFit="1"/>
    </xf>
    <xf numFmtId="40" fontId="4" fillId="0" borderId="43" xfId="2" applyNumberFormat="1" applyFont="1" applyFill="1" applyBorder="1" applyAlignment="1">
      <alignment vertical="center" shrinkToFit="1"/>
    </xf>
    <xf numFmtId="178" fontId="4" fillId="0" borderId="9" xfId="2" applyNumberFormat="1" applyFont="1" applyBorder="1" applyAlignment="1">
      <alignment horizontal="center" vertical="center" shrinkToFit="1"/>
    </xf>
    <xf numFmtId="179" fontId="4" fillId="0" borderId="9" xfId="2" applyNumberFormat="1" applyFont="1" applyBorder="1" applyAlignment="1">
      <alignment vertical="center" shrinkToFit="1"/>
    </xf>
    <xf numFmtId="0" fontId="4" fillId="0" borderId="9" xfId="2" applyFont="1" applyBorder="1" applyAlignment="1">
      <alignment vertical="center" shrinkToFit="1"/>
    </xf>
    <xf numFmtId="38" fontId="4" fillId="0" borderId="9" xfId="3" applyFont="1" applyBorder="1" applyAlignment="1">
      <alignment vertical="center" shrinkToFit="1"/>
    </xf>
    <xf numFmtId="40" fontId="4" fillId="0" borderId="9" xfId="3" applyNumberFormat="1" applyFont="1" applyBorder="1" applyAlignment="1">
      <alignment vertical="center" shrinkToFit="1"/>
    </xf>
    <xf numFmtId="178" fontId="4" fillId="0" borderId="1" xfId="2" applyNumberFormat="1" applyFont="1" applyBorder="1" applyAlignment="1">
      <alignment horizontal="center" vertical="center" shrinkToFit="1"/>
    </xf>
    <xf numFmtId="179" fontId="4" fillId="0" borderId="1" xfId="2" applyNumberFormat="1" applyFont="1" applyBorder="1" applyAlignment="1">
      <alignment vertical="center" shrinkToFit="1"/>
    </xf>
    <xf numFmtId="0" fontId="4" fillId="0" borderId="1" xfId="2" applyFont="1" applyBorder="1" applyAlignment="1">
      <alignment vertical="center" shrinkToFit="1"/>
    </xf>
    <xf numFmtId="38" fontId="4" fillId="0" borderId="1" xfId="3" applyFont="1" applyFill="1" applyBorder="1" applyAlignment="1">
      <alignment vertical="center" shrinkToFit="1"/>
    </xf>
    <xf numFmtId="40" fontId="4" fillId="0" borderId="1" xfId="3" applyNumberFormat="1" applyFont="1" applyFill="1" applyBorder="1" applyAlignment="1">
      <alignment vertical="center" shrinkToFit="1"/>
    </xf>
    <xf numFmtId="40" fontId="4" fillId="0" borderId="9" xfId="3" applyNumberFormat="1" applyFont="1" applyFill="1" applyBorder="1" applyAlignment="1">
      <alignment vertical="center" shrinkToFit="1"/>
    </xf>
    <xf numFmtId="0" fontId="4" fillId="0" borderId="0" xfId="2" applyFont="1" applyFill="1" applyAlignment="1">
      <alignment vertical="center"/>
    </xf>
    <xf numFmtId="0" fontId="4" fillId="0" borderId="0" xfId="2" applyFont="1" applyFill="1" applyAlignment="1">
      <alignment horizontal="center" vertical="center"/>
    </xf>
    <xf numFmtId="0" fontId="3" fillId="2" borderId="58" xfId="0" applyFont="1" applyFill="1" applyBorder="1" applyAlignment="1">
      <alignment horizontal="left"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1" xfId="0" quotePrefix="1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65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7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41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14" fillId="2" borderId="61" xfId="0" applyFont="1" applyFill="1" applyBorder="1">
      <alignment vertical="center"/>
    </xf>
    <xf numFmtId="0" fontId="15" fillId="2" borderId="2" xfId="0" applyFont="1" applyFill="1" applyBorder="1">
      <alignment vertical="center"/>
    </xf>
    <xf numFmtId="0" fontId="15" fillId="2" borderId="65" xfId="0" applyFont="1" applyFill="1" applyBorder="1">
      <alignment vertical="center"/>
    </xf>
    <xf numFmtId="0" fontId="14" fillId="2" borderId="0" xfId="0" applyFont="1" applyFill="1" applyBorder="1">
      <alignment vertical="center"/>
    </xf>
    <xf numFmtId="0" fontId="14" fillId="2" borderId="0" xfId="0" applyFont="1" applyFill="1" applyBorder="1" applyAlignment="1">
      <alignment horizontal="center" vertical="center"/>
    </xf>
    <xf numFmtId="0" fontId="14" fillId="2" borderId="65" xfId="0" applyFont="1" applyFill="1" applyBorder="1">
      <alignment vertical="center"/>
    </xf>
    <xf numFmtId="0" fontId="14" fillId="2" borderId="65" xfId="0" quotePrefix="1" applyFont="1" applyFill="1" applyBorder="1">
      <alignment vertical="center"/>
    </xf>
    <xf numFmtId="0" fontId="3" fillId="2" borderId="65" xfId="0" quotePrefix="1" applyFont="1" applyFill="1" applyBorder="1" applyAlignment="1">
      <alignment vertical="center"/>
    </xf>
    <xf numFmtId="0" fontId="3" fillId="2" borderId="69" xfId="0" applyFont="1" applyFill="1" applyBorder="1">
      <alignment vertical="center"/>
    </xf>
    <xf numFmtId="0" fontId="3" fillId="2" borderId="55" xfId="0" applyFont="1" applyFill="1" applyBorder="1">
      <alignment vertical="center"/>
    </xf>
    <xf numFmtId="0" fontId="3" fillId="2" borderId="56" xfId="0" applyFont="1" applyFill="1" applyBorder="1">
      <alignment vertical="center"/>
    </xf>
    <xf numFmtId="0" fontId="3" fillId="2" borderId="54" xfId="0" applyFont="1" applyFill="1" applyBorder="1">
      <alignment vertical="center"/>
    </xf>
    <xf numFmtId="0" fontId="3" fillId="2" borderId="70" xfId="0" applyFont="1" applyFill="1" applyBorder="1">
      <alignment vertical="center"/>
    </xf>
    <xf numFmtId="0" fontId="14" fillId="2" borderId="0" xfId="0" applyFont="1" applyFill="1">
      <alignment vertical="center"/>
    </xf>
    <xf numFmtId="0" fontId="3" fillId="2" borderId="46" xfId="0" applyFont="1" applyFill="1" applyBorder="1">
      <alignment vertical="center"/>
    </xf>
    <xf numFmtId="0" fontId="3" fillId="2" borderId="47" xfId="0" applyFont="1" applyFill="1" applyBorder="1">
      <alignment vertical="center"/>
    </xf>
    <xf numFmtId="0" fontId="3" fillId="2" borderId="48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46" xfId="0" applyFont="1" applyFill="1" applyBorder="1" applyAlignment="1">
      <alignment vertical="center"/>
    </xf>
    <xf numFmtId="0" fontId="3" fillId="2" borderId="0" xfId="0" quotePrefix="1" applyFont="1" applyFill="1" applyBorder="1">
      <alignment vertical="center"/>
    </xf>
    <xf numFmtId="0" fontId="3" fillId="2" borderId="63" xfId="0" quotePrefix="1" applyFont="1" applyFill="1" applyBorder="1">
      <alignment vertical="center"/>
    </xf>
    <xf numFmtId="0" fontId="3" fillId="2" borderId="46" xfId="0" quotePrefix="1" applyFont="1" applyFill="1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8" fillId="2" borderId="65" xfId="0" quotePrefix="1" applyFont="1" applyFill="1" applyBorder="1">
      <alignment vertical="center"/>
    </xf>
    <xf numFmtId="0" fontId="8" fillId="2" borderId="65" xfId="0" applyFont="1" applyFill="1" applyBorder="1">
      <alignment vertical="center"/>
    </xf>
    <xf numFmtId="0" fontId="8" fillId="2" borderId="0" xfId="0" applyFont="1" applyFill="1" applyBorder="1">
      <alignment vertical="center"/>
    </xf>
    <xf numFmtId="0" fontId="8" fillId="2" borderId="46" xfId="0" applyFont="1" applyFill="1" applyBorder="1">
      <alignment vertical="center"/>
    </xf>
    <xf numFmtId="0" fontId="8" fillId="2" borderId="47" xfId="0" applyFont="1" applyFill="1" applyBorder="1">
      <alignment vertical="center"/>
    </xf>
    <xf numFmtId="0" fontId="8" fillId="2" borderId="5" xfId="0" applyFont="1" applyFill="1" applyBorder="1">
      <alignment vertical="center"/>
    </xf>
    <xf numFmtId="0" fontId="8" fillId="2" borderId="6" xfId="0" applyFont="1" applyFill="1" applyBorder="1">
      <alignment vertical="center"/>
    </xf>
    <xf numFmtId="0" fontId="8" fillId="2" borderId="2" xfId="0" applyFont="1" applyFill="1" applyBorder="1">
      <alignment vertical="center"/>
    </xf>
    <xf numFmtId="0" fontId="8" fillId="2" borderId="3" xfId="0" applyFont="1" applyFill="1" applyBorder="1">
      <alignment vertical="center"/>
    </xf>
    <xf numFmtId="0" fontId="8" fillId="2" borderId="5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3" fontId="3" fillId="2" borderId="5" xfId="0" applyNumberFormat="1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left" vertical="center"/>
    </xf>
    <xf numFmtId="0" fontId="8" fillId="0" borderId="6" xfId="0" applyFont="1" applyFill="1" applyBorder="1" applyAlignment="1">
      <alignment horizontal="left" vertical="center"/>
    </xf>
    <xf numFmtId="0" fontId="8" fillId="0" borderId="7" xfId="0" applyFont="1" applyFill="1" applyBorder="1" applyAlignment="1">
      <alignment horizontal="left" vertical="center"/>
    </xf>
    <xf numFmtId="0" fontId="3" fillId="2" borderId="54" xfId="0" applyFont="1" applyFill="1" applyBorder="1" applyAlignment="1">
      <alignment horizontal="center" vertical="center" shrinkToFit="1"/>
    </xf>
    <xf numFmtId="0" fontId="3" fillId="2" borderId="55" xfId="0" applyFont="1" applyFill="1" applyBorder="1" applyAlignment="1">
      <alignment horizontal="center" vertical="center" shrinkToFit="1"/>
    </xf>
    <xf numFmtId="0" fontId="3" fillId="2" borderId="56" xfId="0" applyFont="1" applyFill="1" applyBorder="1" applyAlignment="1">
      <alignment horizontal="center" vertical="center" shrinkToFit="1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14" fontId="3" fillId="2" borderId="53" xfId="0" applyNumberFormat="1" applyFont="1" applyFill="1" applyBorder="1" applyAlignment="1">
      <alignment horizontal="center" vertical="center" shrinkToFit="1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57" xfId="0" applyFont="1" applyFill="1" applyBorder="1" applyAlignment="1">
      <alignment horizontal="center" vertical="center" shrinkToFit="1"/>
    </xf>
    <xf numFmtId="0" fontId="3" fillId="3" borderId="49" xfId="0" applyFont="1" applyFill="1" applyBorder="1" applyAlignment="1">
      <alignment horizontal="center" vertical="center"/>
    </xf>
    <xf numFmtId="177" fontId="12" fillId="6" borderId="0" xfId="2" applyNumberFormat="1" applyFont="1" applyFill="1" applyBorder="1" applyAlignment="1">
      <alignment horizontal="right" shrinkToFit="1"/>
    </xf>
    <xf numFmtId="0" fontId="11" fillId="6" borderId="0" xfId="2" applyFont="1" applyFill="1" applyAlignment="1">
      <alignment vertical="center" shrinkToFit="1"/>
    </xf>
    <xf numFmtId="0" fontId="11" fillId="6" borderId="41" xfId="2" applyFont="1" applyFill="1" applyBorder="1" applyAlignment="1">
      <alignment vertical="center" shrinkToFit="1"/>
    </xf>
  </cellXfs>
  <cellStyles count="4">
    <cellStyle name="桁区切り 2" xfId="3"/>
    <cellStyle name="標準" xfId="0" builtinId="0"/>
    <cellStyle name="標準 2" xfId="2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215153</xdr:colOff>
      <xdr:row>6</xdr:row>
      <xdr:rowOff>161365</xdr:rowOff>
    </xdr:from>
    <xdr:to>
      <xdr:col>49</xdr:col>
      <xdr:colOff>259976</xdr:colOff>
      <xdr:row>44</xdr:row>
      <xdr:rowOff>109398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9553" y="1290918"/>
          <a:ext cx="12550588" cy="9486480"/>
        </a:xfrm>
        <a:prstGeom prst="rect">
          <a:avLst/>
        </a:prstGeom>
      </xdr:spPr>
    </xdr:pic>
    <xdr:clientData/>
  </xdr:twoCellAnchor>
  <xdr:twoCellAnchor>
    <xdr:from>
      <xdr:col>13</xdr:col>
      <xdr:colOff>161364</xdr:colOff>
      <xdr:row>12</xdr:row>
      <xdr:rowOff>242048</xdr:rowOff>
    </xdr:from>
    <xdr:to>
      <xdr:col>14</xdr:col>
      <xdr:colOff>224116</xdr:colOff>
      <xdr:row>14</xdr:row>
      <xdr:rowOff>62755</xdr:rowOff>
    </xdr:to>
    <xdr:sp macro="" textlink="">
      <xdr:nvSpPr>
        <xdr:cNvPr id="3" name="正方形/長方形 2"/>
        <xdr:cNvSpPr/>
      </xdr:nvSpPr>
      <xdr:spPr>
        <a:xfrm>
          <a:off x="3576917" y="287767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10</xdr:col>
      <xdr:colOff>35859</xdr:colOff>
      <xdr:row>12</xdr:row>
      <xdr:rowOff>242047</xdr:rowOff>
    </xdr:from>
    <xdr:to>
      <xdr:col>11</xdr:col>
      <xdr:colOff>98611</xdr:colOff>
      <xdr:row>14</xdr:row>
      <xdr:rowOff>62754</xdr:rowOff>
    </xdr:to>
    <xdr:sp macro="" textlink="">
      <xdr:nvSpPr>
        <xdr:cNvPr id="5" name="正方形/長方形 4"/>
        <xdr:cNvSpPr/>
      </xdr:nvSpPr>
      <xdr:spPr>
        <a:xfrm>
          <a:off x="2617694" y="287767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6</xdr:col>
      <xdr:colOff>98611</xdr:colOff>
      <xdr:row>12</xdr:row>
      <xdr:rowOff>242048</xdr:rowOff>
    </xdr:from>
    <xdr:to>
      <xdr:col>7</xdr:col>
      <xdr:colOff>161363</xdr:colOff>
      <xdr:row>14</xdr:row>
      <xdr:rowOff>62755</xdr:rowOff>
    </xdr:to>
    <xdr:sp macro="" textlink="">
      <xdr:nvSpPr>
        <xdr:cNvPr id="6" name="正方形/長方形 5"/>
        <xdr:cNvSpPr/>
      </xdr:nvSpPr>
      <xdr:spPr>
        <a:xfrm>
          <a:off x="1568823" y="287767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125506</xdr:colOff>
      <xdr:row>9</xdr:row>
      <xdr:rowOff>53789</xdr:rowOff>
    </xdr:from>
    <xdr:to>
      <xdr:col>12</xdr:col>
      <xdr:colOff>188258</xdr:colOff>
      <xdr:row>10</xdr:row>
      <xdr:rowOff>125507</xdr:rowOff>
    </xdr:to>
    <xdr:sp macro="" textlink="">
      <xdr:nvSpPr>
        <xdr:cNvPr id="7" name="正方形/長方形 6"/>
        <xdr:cNvSpPr/>
      </xdr:nvSpPr>
      <xdr:spPr>
        <a:xfrm>
          <a:off x="2985247" y="193637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6</xdr:col>
      <xdr:colOff>143435</xdr:colOff>
      <xdr:row>9</xdr:row>
      <xdr:rowOff>53789</xdr:rowOff>
    </xdr:from>
    <xdr:to>
      <xdr:col>7</xdr:col>
      <xdr:colOff>206187</xdr:colOff>
      <xdr:row>10</xdr:row>
      <xdr:rowOff>125507</xdr:rowOff>
    </xdr:to>
    <xdr:sp macro="" textlink="">
      <xdr:nvSpPr>
        <xdr:cNvPr id="8" name="正方形/長方形 7"/>
        <xdr:cNvSpPr/>
      </xdr:nvSpPr>
      <xdr:spPr>
        <a:xfrm>
          <a:off x="1613647" y="193637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42</xdr:col>
      <xdr:colOff>8964</xdr:colOff>
      <xdr:row>7</xdr:row>
      <xdr:rowOff>179294</xdr:rowOff>
    </xdr:from>
    <xdr:to>
      <xdr:col>43</xdr:col>
      <xdr:colOff>71717</xdr:colOff>
      <xdr:row>9</xdr:row>
      <xdr:rowOff>1</xdr:rowOff>
    </xdr:to>
    <xdr:sp macro="" textlink="">
      <xdr:nvSpPr>
        <xdr:cNvPr id="9" name="正方形/長方形 8"/>
        <xdr:cNvSpPr/>
      </xdr:nvSpPr>
      <xdr:spPr>
        <a:xfrm>
          <a:off x="11483788" y="155985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44</xdr:col>
      <xdr:colOff>53789</xdr:colOff>
      <xdr:row>12</xdr:row>
      <xdr:rowOff>242047</xdr:rowOff>
    </xdr:from>
    <xdr:to>
      <xdr:col>45</xdr:col>
      <xdr:colOff>116541</xdr:colOff>
      <xdr:row>14</xdr:row>
      <xdr:rowOff>62754</xdr:rowOff>
    </xdr:to>
    <xdr:sp macro="" textlink="">
      <xdr:nvSpPr>
        <xdr:cNvPr id="10" name="正方形/長方形 9"/>
        <xdr:cNvSpPr/>
      </xdr:nvSpPr>
      <xdr:spPr>
        <a:xfrm>
          <a:off x="12084424" y="287767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268940</xdr:colOff>
      <xdr:row>12</xdr:row>
      <xdr:rowOff>242047</xdr:rowOff>
    </xdr:from>
    <xdr:to>
      <xdr:col>41</xdr:col>
      <xdr:colOff>53786</xdr:colOff>
      <xdr:row>14</xdr:row>
      <xdr:rowOff>62754</xdr:rowOff>
    </xdr:to>
    <xdr:sp macro="" textlink="">
      <xdr:nvSpPr>
        <xdr:cNvPr id="11" name="正方形/長方形 10"/>
        <xdr:cNvSpPr/>
      </xdr:nvSpPr>
      <xdr:spPr>
        <a:xfrm>
          <a:off x="10910046" y="287767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35</xdr:col>
      <xdr:colOff>188259</xdr:colOff>
      <xdr:row>13</xdr:row>
      <xdr:rowOff>2</xdr:rowOff>
    </xdr:from>
    <xdr:to>
      <xdr:col>36</xdr:col>
      <xdr:colOff>251011</xdr:colOff>
      <xdr:row>14</xdr:row>
      <xdr:rowOff>71720</xdr:rowOff>
    </xdr:to>
    <xdr:sp macro="" textlink="">
      <xdr:nvSpPr>
        <xdr:cNvPr id="12" name="正方形/長方形 11"/>
        <xdr:cNvSpPr/>
      </xdr:nvSpPr>
      <xdr:spPr>
        <a:xfrm>
          <a:off x="9717741" y="288663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31</xdr:col>
      <xdr:colOff>26894</xdr:colOff>
      <xdr:row>13</xdr:row>
      <xdr:rowOff>1</xdr:rowOff>
    </xdr:from>
    <xdr:to>
      <xdr:col>32</xdr:col>
      <xdr:colOff>89646</xdr:colOff>
      <xdr:row>14</xdr:row>
      <xdr:rowOff>71719</xdr:rowOff>
    </xdr:to>
    <xdr:sp macro="" textlink="">
      <xdr:nvSpPr>
        <xdr:cNvPr id="13" name="正方形/長方形 12"/>
        <xdr:cNvSpPr/>
      </xdr:nvSpPr>
      <xdr:spPr>
        <a:xfrm>
          <a:off x="8444753" y="288663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13</xdr:col>
      <xdr:colOff>161364</xdr:colOff>
      <xdr:row>14</xdr:row>
      <xdr:rowOff>80683</xdr:rowOff>
    </xdr:from>
    <xdr:to>
      <xdr:col>14</xdr:col>
      <xdr:colOff>224116</xdr:colOff>
      <xdr:row>15</xdr:row>
      <xdr:rowOff>152401</xdr:rowOff>
    </xdr:to>
    <xdr:sp macro="" textlink="">
      <xdr:nvSpPr>
        <xdr:cNvPr id="14" name="正方形/長方形 13"/>
        <xdr:cNvSpPr/>
      </xdr:nvSpPr>
      <xdr:spPr>
        <a:xfrm>
          <a:off x="3576917" y="3218330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10</xdr:col>
      <xdr:colOff>35859</xdr:colOff>
      <xdr:row>14</xdr:row>
      <xdr:rowOff>80682</xdr:rowOff>
    </xdr:from>
    <xdr:to>
      <xdr:col>11</xdr:col>
      <xdr:colOff>98611</xdr:colOff>
      <xdr:row>15</xdr:row>
      <xdr:rowOff>152400</xdr:rowOff>
    </xdr:to>
    <xdr:sp macro="" textlink="">
      <xdr:nvSpPr>
        <xdr:cNvPr id="15" name="正方形/長方形 14"/>
        <xdr:cNvSpPr/>
      </xdr:nvSpPr>
      <xdr:spPr>
        <a:xfrm>
          <a:off x="2617694" y="321832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6</xdr:col>
      <xdr:colOff>98611</xdr:colOff>
      <xdr:row>14</xdr:row>
      <xdr:rowOff>80683</xdr:rowOff>
    </xdr:from>
    <xdr:to>
      <xdr:col>7</xdr:col>
      <xdr:colOff>161363</xdr:colOff>
      <xdr:row>15</xdr:row>
      <xdr:rowOff>152401</xdr:rowOff>
    </xdr:to>
    <xdr:sp macro="" textlink="">
      <xdr:nvSpPr>
        <xdr:cNvPr id="16" name="正方形/長方形 15"/>
        <xdr:cNvSpPr/>
      </xdr:nvSpPr>
      <xdr:spPr>
        <a:xfrm>
          <a:off x="1568823" y="3218330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44</xdr:col>
      <xdr:colOff>53789</xdr:colOff>
      <xdr:row>14</xdr:row>
      <xdr:rowOff>80682</xdr:rowOff>
    </xdr:from>
    <xdr:to>
      <xdr:col>45</xdr:col>
      <xdr:colOff>116541</xdr:colOff>
      <xdr:row>15</xdr:row>
      <xdr:rowOff>152400</xdr:rowOff>
    </xdr:to>
    <xdr:sp macro="" textlink="">
      <xdr:nvSpPr>
        <xdr:cNvPr id="17" name="正方形/長方形 16"/>
        <xdr:cNvSpPr/>
      </xdr:nvSpPr>
      <xdr:spPr>
        <a:xfrm>
          <a:off x="12084424" y="321832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268940</xdr:colOff>
      <xdr:row>14</xdr:row>
      <xdr:rowOff>80682</xdr:rowOff>
    </xdr:from>
    <xdr:to>
      <xdr:col>41</xdr:col>
      <xdr:colOff>53786</xdr:colOff>
      <xdr:row>15</xdr:row>
      <xdr:rowOff>152400</xdr:rowOff>
    </xdr:to>
    <xdr:sp macro="" textlink="">
      <xdr:nvSpPr>
        <xdr:cNvPr id="18" name="正方形/長方形 17"/>
        <xdr:cNvSpPr/>
      </xdr:nvSpPr>
      <xdr:spPr>
        <a:xfrm>
          <a:off x="10910046" y="321832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35</xdr:col>
      <xdr:colOff>188259</xdr:colOff>
      <xdr:row>14</xdr:row>
      <xdr:rowOff>89648</xdr:rowOff>
    </xdr:from>
    <xdr:to>
      <xdr:col>36</xdr:col>
      <xdr:colOff>251011</xdr:colOff>
      <xdr:row>15</xdr:row>
      <xdr:rowOff>161366</xdr:rowOff>
    </xdr:to>
    <xdr:sp macro="" textlink="">
      <xdr:nvSpPr>
        <xdr:cNvPr id="19" name="正方形/長方形 18"/>
        <xdr:cNvSpPr/>
      </xdr:nvSpPr>
      <xdr:spPr>
        <a:xfrm>
          <a:off x="9717741" y="322729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31</xdr:col>
      <xdr:colOff>26894</xdr:colOff>
      <xdr:row>14</xdr:row>
      <xdr:rowOff>89647</xdr:rowOff>
    </xdr:from>
    <xdr:to>
      <xdr:col>32</xdr:col>
      <xdr:colOff>89646</xdr:colOff>
      <xdr:row>15</xdr:row>
      <xdr:rowOff>161365</xdr:rowOff>
    </xdr:to>
    <xdr:sp macro="" textlink="">
      <xdr:nvSpPr>
        <xdr:cNvPr id="20" name="正方形/長方形 19"/>
        <xdr:cNvSpPr/>
      </xdr:nvSpPr>
      <xdr:spPr>
        <a:xfrm>
          <a:off x="8444753" y="322729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439147</xdr:colOff>
      <xdr:row>45</xdr:row>
      <xdr:rowOff>68088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7144747" cy="10126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69" t="s">
        <v>0</v>
      </c>
      <c r="C2" s="170"/>
      <c r="D2" s="170"/>
      <c r="E2" s="170"/>
      <c r="F2" s="170"/>
      <c r="G2" s="170"/>
      <c r="H2" s="170" t="s">
        <v>17</v>
      </c>
      <c r="I2" s="170"/>
      <c r="J2" s="170"/>
      <c r="K2" s="170"/>
      <c r="L2" s="170" t="s">
        <v>242</v>
      </c>
      <c r="M2" s="170"/>
      <c r="N2" s="170"/>
      <c r="O2" s="170"/>
      <c r="P2" s="170"/>
      <c r="Q2" s="170"/>
      <c r="R2" s="170" t="s">
        <v>2</v>
      </c>
      <c r="S2" s="170"/>
      <c r="T2" s="170"/>
      <c r="U2" s="170"/>
      <c r="V2" s="170"/>
      <c r="W2" s="170"/>
      <c r="X2" s="171" t="s">
        <v>3</v>
      </c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3"/>
      <c r="AK2" s="171" t="s">
        <v>31</v>
      </c>
      <c r="AL2" s="172"/>
      <c r="AM2" s="172"/>
      <c r="AN2" s="172"/>
      <c r="AO2" s="172"/>
      <c r="AP2" s="172"/>
      <c r="AQ2" s="172"/>
      <c r="AR2" s="172"/>
      <c r="AS2" s="172"/>
      <c r="AT2" s="172"/>
      <c r="AU2" s="172"/>
      <c r="AV2" s="172"/>
      <c r="AW2" s="173"/>
      <c r="AX2" s="170" t="s">
        <v>5</v>
      </c>
      <c r="AY2" s="170"/>
      <c r="AZ2" s="170"/>
      <c r="BA2" s="170"/>
      <c r="BB2" s="170" t="s">
        <v>4</v>
      </c>
      <c r="BC2" s="170"/>
      <c r="BD2" s="170"/>
      <c r="BE2" s="170"/>
      <c r="BF2" s="170" t="s">
        <v>6</v>
      </c>
      <c r="BG2" s="170"/>
      <c r="BH2" s="170"/>
      <c r="BI2" s="170"/>
      <c r="BJ2" s="170" t="s">
        <v>7</v>
      </c>
      <c r="BK2" s="170"/>
      <c r="BL2" s="170"/>
      <c r="BM2" s="184"/>
      <c r="BN2" s="14"/>
    </row>
    <row r="3" spans="1:66" ht="20.100000000000001" customHeight="1" x14ac:dyDescent="0.45">
      <c r="A3" s="8"/>
      <c r="B3" s="174" t="s">
        <v>240</v>
      </c>
      <c r="C3" s="175"/>
      <c r="D3" s="175"/>
      <c r="E3" s="175"/>
      <c r="F3" s="175"/>
      <c r="G3" s="175"/>
      <c r="H3" s="175" t="str">
        <f ca="1">LEFT($X$3,FIND("_",$X$3)-1)</f>
        <v>SU1200</v>
      </c>
      <c r="I3" s="175"/>
      <c r="J3" s="175"/>
      <c r="K3" s="175"/>
      <c r="L3" s="175" t="s">
        <v>241</v>
      </c>
      <c r="M3" s="175"/>
      <c r="N3" s="175"/>
      <c r="O3" s="175"/>
      <c r="P3" s="175"/>
      <c r="Q3" s="175"/>
      <c r="R3" s="178" t="str">
        <f ca="1">MID($X$3,FIND("_",$X$3,FIND("_",$X$3)+1)+1,LEN($X$3)-FIND("_",$X$3,FIND("_",$X$3)+1))</f>
        <v>帳票設計書</v>
      </c>
      <c r="S3" s="175"/>
      <c r="T3" s="175"/>
      <c r="U3" s="175"/>
      <c r="V3" s="175"/>
      <c r="W3" s="175"/>
      <c r="X3" s="179" t="str">
        <f ca="1">REPLACE(LEFT(CELL("filename",$B$2),FIND(".x",CELL("filename",$B$2))-1),1,FIND("[",CELL("filename",$B$2)),)</f>
        <v>SU1200_請求原価率表_帳票設計書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76"/>
      <c r="AK3" s="179" t="str">
        <f ca="1">MID($X$3,FIND("_",$X$3)+1,FIND("_",$X$3,FIND("_",$X$3)+1)-FIND("_",$X$3)-1)</f>
        <v>請求原価率表</v>
      </c>
      <c r="AL3" s="180"/>
      <c r="AM3" s="180"/>
      <c r="AN3" s="180"/>
      <c r="AO3" s="180"/>
      <c r="AP3" s="180"/>
      <c r="AQ3" s="180"/>
      <c r="AR3" s="180"/>
      <c r="AS3" s="180"/>
      <c r="AT3" s="180"/>
      <c r="AU3" s="180"/>
      <c r="AV3" s="180"/>
      <c r="AW3" s="176"/>
      <c r="AX3" s="186">
        <v>45581</v>
      </c>
      <c r="AY3" s="175"/>
      <c r="AZ3" s="175"/>
      <c r="BA3" s="175"/>
      <c r="BB3" s="175" t="s">
        <v>243</v>
      </c>
      <c r="BC3" s="175"/>
      <c r="BD3" s="175"/>
      <c r="BE3" s="175"/>
      <c r="BF3" s="186">
        <v>45581</v>
      </c>
      <c r="BG3" s="175"/>
      <c r="BH3" s="175"/>
      <c r="BI3" s="175"/>
      <c r="BJ3" s="175" t="s">
        <v>243</v>
      </c>
      <c r="BK3" s="175"/>
      <c r="BL3" s="175"/>
      <c r="BM3" s="187"/>
      <c r="BN3" s="14"/>
    </row>
    <row r="4" spans="1:66" ht="20.100000000000001" customHeight="1" thickBot="1" x14ac:dyDescent="0.5">
      <c r="A4" s="8"/>
      <c r="B4" s="176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81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3"/>
      <c r="AK4" s="181"/>
      <c r="AL4" s="182"/>
      <c r="AM4" s="182"/>
      <c r="AN4" s="182"/>
      <c r="AO4" s="182"/>
      <c r="AP4" s="182"/>
      <c r="AQ4" s="182"/>
      <c r="AR4" s="182"/>
      <c r="AS4" s="182"/>
      <c r="AT4" s="182"/>
      <c r="AU4" s="182"/>
      <c r="AV4" s="182"/>
      <c r="AW4" s="183"/>
      <c r="AX4" s="177"/>
      <c r="AY4" s="177"/>
      <c r="AZ4" s="177"/>
      <c r="BA4" s="177"/>
      <c r="BB4" s="177"/>
      <c r="BC4" s="177"/>
      <c r="BD4" s="177"/>
      <c r="BE4" s="177"/>
      <c r="BF4" s="177"/>
      <c r="BG4" s="177"/>
      <c r="BH4" s="177"/>
      <c r="BI4" s="177"/>
      <c r="BJ4" s="177"/>
      <c r="BK4" s="177"/>
      <c r="BL4" s="177"/>
      <c r="BM4" s="179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85" t="s">
        <v>8</v>
      </c>
      <c r="D8" s="185"/>
      <c r="E8" s="185"/>
      <c r="F8" s="185"/>
      <c r="G8" s="185" t="s">
        <v>9</v>
      </c>
      <c r="H8" s="185"/>
      <c r="I8" s="185"/>
      <c r="J8" s="185"/>
      <c r="K8" s="185" t="s">
        <v>10</v>
      </c>
      <c r="L8" s="185"/>
      <c r="M8" s="185"/>
      <c r="N8" s="185"/>
      <c r="O8" s="185" t="s">
        <v>11</v>
      </c>
      <c r="P8" s="185"/>
      <c r="Q8" s="185"/>
      <c r="R8" s="185"/>
      <c r="S8" s="185"/>
      <c r="T8" s="185"/>
      <c r="U8" s="185"/>
      <c r="V8" s="185"/>
      <c r="W8" s="185"/>
      <c r="X8" s="185"/>
      <c r="Y8" s="185" t="s">
        <v>12</v>
      </c>
      <c r="Z8" s="185"/>
      <c r="AA8" s="185"/>
      <c r="AB8" s="185"/>
      <c r="AC8" s="185"/>
      <c r="AD8" s="185"/>
      <c r="AE8" s="185"/>
      <c r="AF8" s="185"/>
      <c r="AG8" s="185"/>
      <c r="AH8" s="185"/>
      <c r="AI8" s="185"/>
      <c r="AJ8" s="185"/>
      <c r="AK8" s="185"/>
      <c r="AL8" s="185"/>
      <c r="AM8" s="185"/>
      <c r="AN8" s="185"/>
      <c r="AO8" s="185"/>
      <c r="AP8" s="185"/>
      <c r="AQ8" s="185"/>
      <c r="AR8" s="185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/>
      <c r="BD8" s="185"/>
      <c r="BE8" s="185"/>
      <c r="BF8" s="185"/>
      <c r="BG8" s="185"/>
      <c r="BH8" s="185"/>
      <c r="BI8" s="185"/>
      <c r="BJ8" s="185"/>
      <c r="BK8" s="185"/>
      <c r="BL8" s="185"/>
      <c r="BM8" s="7"/>
      <c r="BN8" s="14"/>
    </row>
    <row r="9" spans="1:66" ht="20.100000000000001" customHeight="1" x14ac:dyDescent="0.45">
      <c r="A9" s="8"/>
      <c r="B9" s="7"/>
      <c r="C9" s="188">
        <v>45581</v>
      </c>
      <c r="D9" s="189"/>
      <c r="E9" s="189"/>
      <c r="F9" s="190"/>
      <c r="G9" s="191" t="s">
        <v>16</v>
      </c>
      <c r="H9" s="192"/>
      <c r="I9" s="192"/>
      <c r="J9" s="193"/>
      <c r="K9" s="194" t="s">
        <v>243</v>
      </c>
      <c r="L9" s="189"/>
      <c r="M9" s="189"/>
      <c r="N9" s="190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88"/>
      <c r="D10" s="189"/>
      <c r="E10" s="189"/>
      <c r="F10" s="190"/>
      <c r="G10" s="191"/>
      <c r="H10" s="192"/>
      <c r="I10" s="192"/>
      <c r="J10" s="193"/>
      <c r="K10" s="194"/>
      <c r="L10" s="189"/>
      <c r="M10" s="189"/>
      <c r="N10" s="190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88"/>
      <c r="D11" s="189"/>
      <c r="E11" s="189"/>
      <c r="F11" s="190"/>
      <c r="G11" s="191"/>
      <c r="H11" s="192"/>
      <c r="I11" s="192"/>
      <c r="J11" s="193"/>
      <c r="K11" s="194"/>
      <c r="L11" s="189"/>
      <c r="M11" s="189"/>
      <c r="N11" s="190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88"/>
      <c r="D36" s="189"/>
      <c r="E36" s="189"/>
      <c r="F36" s="190"/>
      <c r="G36" s="191"/>
      <c r="H36" s="192"/>
      <c r="I36" s="192"/>
      <c r="J36" s="193"/>
      <c r="K36" s="194"/>
      <c r="L36" s="189"/>
      <c r="M36" s="189"/>
      <c r="N36" s="190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88"/>
      <c r="D37" s="189"/>
      <c r="E37" s="189"/>
      <c r="F37" s="190"/>
      <c r="G37" s="191"/>
      <c r="H37" s="192"/>
      <c r="I37" s="192"/>
      <c r="J37" s="193"/>
      <c r="K37" s="194"/>
      <c r="L37" s="189"/>
      <c r="M37" s="189"/>
      <c r="N37" s="190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88"/>
      <c r="D38" s="189"/>
      <c r="E38" s="189"/>
      <c r="F38" s="190"/>
      <c r="G38" s="191"/>
      <c r="H38" s="192"/>
      <c r="I38" s="192"/>
      <c r="J38" s="193"/>
      <c r="K38" s="194"/>
      <c r="L38" s="189"/>
      <c r="M38" s="189"/>
      <c r="N38" s="190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88"/>
      <c r="D39" s="189"/>
      <c r="E39" s="189"/>
      <c r="F39" s="190"/>
      <c r="G39" s="191"/>
      <c r="H39" s="192"/>
      <c r="I39" s="192"/>
      <c r="J39" s="193"/>
      <c r="K39" s="194"/>
      <c r="L39" s="189"/>
      <c r="M39" s="189"/>
      <c r="N39" s="190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88"/>
      <c r="D40" s="189"/>
      <c r="E40" s="189"/>
      <c r="F40" s="190"/>
      <c r="G40" s="191"/>
      <c r="H40" s="192"/>
      <c r="I40" s="192"/>
      <c r="J40" s="193"/>
      <c r="K40" s="194"/>
      <c r="L40" s="189"/>
      <c r="M40" s="189"/>
      <c r="N40" s="190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88"/>
      <c r="D41" s="189"/>
      <c r="E41" s="189"/>
      <c r="F41" s="190"/>
      <c r="G41" s="191"/>
      <c r="H41" s="192"/>
      <c r="I41" s="192"/>
      <c r="J41" s="193"/>
      <c r="K41" s="194"/>
      <c r="L41" s="189"/>
      <c r="M41" s="189"/>
      <c r="N41" s="190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88"/>
      <c r="D42" s="189"/>
      <c r="E42" s="189"/>
      <c r="F42" s="190"/>
      <c r="G42" s="191"/>
      <c r="H42" s="192"/>
      <c r="I42" s="192"/>
      <c r="J42" s="193"/>
      <c r="K42" s="194"/>
      <c r="L42" s="189"/>
      <c r="M42" s="189"/>
      <c r="N42" s="190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88"/>
      <c r="D43" s="189"/>
      <c r="E43" s="189"/>
      <c r="F43" s="190"/>
      <c r="G43" s="191"/>
      <c r="H43" s="192"/>
      <c r="I43" s="192"/>
      <c r="J43" s="193"/>
      <c r="K43" s="194"/>
      <c r="L43" s="189"/>
      <c r="M43" s="189"/>
      <c r="N43" s="190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88"/>
      <c r="D44" s="189"/>
      <c r="E44" s="189"/>
      <c r="F44" s="190"/>
      <c r="G44" s="191"/>
      <c r="H44" s="192"/>
      <c r="I44" s="192"/>
      <c r="J44" s="193"/>
      <c r="K44" s="194"/>
      <c r="L44" s="189"/>
      <c r="M44" s="189"/>
      <c r="N44" s="190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88"/>
      <c r="D45" s="189"/>
      <c r="E45" s="189"/>
      <c r="F45" s="190"/>
      <c r="G45" s="191"/>
      <c r="H45" s="192"/>
      <c r="I45" s="192"/>
      <c r="J45" s="193"/>
      <c r="K45" s="194"/>
      <c r="L45" s="189"/>
      <c r="M45" s="189"/>
      <c r="N45" s="190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88"/>
      <c r="D46" s="189"/>
      <c r="E46" s="189"/>
      <c r="F46" s="190"/>
      <c r="G46" s="191"/>
      <c r="H46" s="192"/>
      <c r="I46" s="192"/>
      <c r="J46" s="193"/>
      <c r="K46" s="194"/>
      <c r="L46" s="189"/>
      <c r="M46" s="189"/>
      <c r="N46" s="190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88"/>
      <c r="D47" s="189"/>
      <c r="E47" s="189"/>
      <c r="F47" s="190"/>
      <c r="G47" s="191"/>
      <c r="H47" s="192"/>
      <c r="I47" s="192"/>
      <c r="J47" s="193"/>
      <c r="K47" s="194"/>
      <c r="L47" s="189"/>
      <c r="M47" s="189"/>
      <c r="N47" s="190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69" t="s">
        <v>0</v>
      </c>
      <c r="C2" s="170"/>
      <c r="D2" s="170"/>
      <c r="E2" s="170"/>
      <c r="F2" s="170"/>
      <c r="G2" s="170"/>
      <c r="H2" s="170" t="s">
        <v>17</v>
      </c>
      <c r="I2" s="170"/>
      <c r="J2" s="170"/>
      <c r="K2" s="170"/>
      <c r="L2" s="170" t="s">
        <v>242</v>
      </c>
      <c r="M2" s="170"/>
      <c r="N2" s="170"/>
      <c r="O2" s="170"/>
      <c r="P2" s="170"/>
      <c r="Q2" s="170"/>
      <c r="R2" s="170" t="s">
        <v>2</v>
      </c>
      <c r="S2" s="170"/>
      <c r="T2" s="170"/>
      <c r="U2" s="170"/>
      <c r="V2" s="170"/>
      <c r="W2" s="170"/>
      <c r="X2" s="171" t="s">
        <v>3</v>
      </c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3"/>
      <c r="AK2" s="171" t="s">
        <v>32</v>
      </c>
      <c r="AL2" s="172"/>
      <c r="AM2" s="172"/>
      <c r="AN2" s="172"/>
      <c r="AO2" s="172"/>
      <c r="AP2" s="172"/>
      <c r="AQ2" s="172"/>
      <c r="AR2" s="172"/>
      <c r="AS2" s="172"/>
      <c r="AT2" s="172"/>
      <c r="AU2" s="172"/>
      <c r="AV2" s="172"/>
      <c r="AW2" s="173"/>
      <c r="AX2" s="170" t="s">
        <v>5</v>
      </c>
      <c r="AY2" s="170"/>
      <c r="AZ2" s="170"/>
      <c r="BA2" s="170"/>
      <c r="BB2" s="170" t="s">
        <v>4</v>
      </c>
      <c r="BC2" s="170"/>
      <c r="BD2" s="170"/>
      <c r="BE2" s="170"/>
      <c r="BF2" s="170" t="s">
        <v>6</v>
      </c>
      <c r="BG2" s="170"/>
      <c r="BH2" s="170"/>
      <c r="BI2" s="170"/>
      <c r="BJ2" s="170" t="s">
        <v>7</v>
      </c>
      <c r="BK2" s="170"/>
      <c r="BL2" s="170"/>
      <c r="BM2" s="184"/>
      <c r="BN2" s="35"/>
    </row>
    <row r="3" spans="1:66" ht="20.100000000000001" customHeight="1" x14ac:dyDescent="0.45">
      <c r="A3" s="32"/>
      <c r="B3" s="174" t="str">
        <f>変更履歴!B3</f>
        <v>受発注システム</v>
      </c>
      <c r="C3" s="175"/>
      <c r="D3" s="175"/>
      <c r="E3" s="175"/>
      <c r="F3" s="175"/>
      <c r="G3" s="175"/>
      <c r="H3" s="175" t="str">
        <f ca="1">変更履歴!H3</f>
        <v>SU1200</v>
      </c>
      <c r="I3" s="175"/>
      <c r="J3" s="175"/>
      <c r="K3" s="175"/>
      <c r="L3" s="175" t="str">
        <f>変更履歴!L3</f>
        <v>受発注</v>
      </c>
      <c r="M3" s="175"/>
      <c r="N3" s="175"/>
      <c r="O3" s="175"/>
      <c r="P3" s="175"/>
      <c r="Q3" s="175"/>
      <c r="R3" s="175" t="str">
        <f ca="1">変更履歴!R3</f>
        <v>帳票設計書</v>
      </c>
      <c r="S3" s="175"/>
      <c r="T3" s="175"/>
      <c r="U3" s="175"/>
      <c r="V3" s="175"/>
      <c r="W3" s="175"/>
      <c r="X3" s="179" t="str">
        <f ca="1">変更履歴!X3</f>
        <v>SU1200_請求原価率表_帳票設計書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76"/>
      <c r="AK3" s="179" t="str">
        <f ca="1">変更履歴!AK3</f>
        <v>請求原価率表</v>
      </c>
      <c r="AL3" s="180"/>
      <c r="AM3" s="180"/>
      <c r="AN3" s="180"/>
      <c r="AO3" s="180"/>
      <c r="AP3" s="180"/>
      <c r="AQ3" s="180"/>
      <c r="AR3" s="180"/>
      <c r="AS3" s="180"/>
      <c r="AT3" s="180"/>
      <c r="AU3" s="180"/>
      <c r="AV3" s="180"/>
      <c r="AW3" s="176"/>
      <c r="AX3" s="186">
        <f>変更履歴!AX3</f>
        <v>45581</v>
      </c>
      <c r="AY3" s="186"/>
      <c r="AZ3" s="186"/>
      <c r="BA3" s="186"/>
      <c r="BB3" s="175" t="str">
        <f>変更履歴!BB3</f>
        <v>大谷</v>
      </c>
      <c r="BC3" s="175"/>
      <c r="BD3" s="175"/>
      <c r="BE3" s="175"/>
      <c r="BF3" s="186">
        <f>変更履歴!BF3</f>
        <v>45581</v>
      </c>
      <c r="BG3" s="186"/>
      <c r="BH3" s="186"/>
      <c r="BI3" s="186"/>
      <c r="BJ3" s="175" t="str">
        <f>変更履歴!BJ3</f>
        <v>大谷</v>
      </c>
      <c r="BK3" s="175"/>
      <c r="BL3" s="175"/>
      <c r="BM3" s="187"/>
      <c r="BN3" s="35"/>
    </row>
    <row r="4" spans="1:66" ht="20.100000000000001" customHeight="1" thickBot="1" x14ac:dyDescent="0.5">
      <c r="A4" s="32"/>
      <c r="B4" s="176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81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3"/>
      <c r="AK4" s="181"/>
      <c r="AL4" s="182"/>
      <c r="AM4" s="182"/>
      <c r="AN4" s="182"/>
      <c r="AO4" s="182"/>
      <c r="AP4" s="182"/>
      <c r="AQ4" s="182"/>
      <c r="AR4" s="182"/>
      <c r="AS4" s="182"/>
      <c r="AT4" s="182"/>
      <c r="AU4" s="182"/>
      <c r="AV4" s="182"/>
      <c r="AW4" s="183"/>
      <c r="AX4" s="195"/>
      <c r="AY4" s="195"/>
      <c r="AZ4" s="195"/>
      <c r="BA4" s="195"/>
      <c r="BB4" s="177"/>
      <c r="BC4" s="177"/>
      <c r="BD4" s="177"/>
      <c r="BE4" s="177"/>
      <c r="BF4" s="195"/>
      <c r="BG4" s="195"/>
      <c r="BH4" s="195"/>
      <c r="BI4" s="195"/>
      <c r="BJ4" s="177"/>
      <c r="BK4" s="177"/>
      <c r="BL4" s="177"/>
      <c r="BM4" s="179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請求原価率表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53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54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55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56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56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56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56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233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 t="s">
        <v>223</v>
      </c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69" t="s">
        <v>0</v>
      </c>
      <c r="C2" s="170"/>
      <c r="D2" s="170"/>
      <c r="E2" s="170"/>
      <c r="F2" s="170"/>
      <c r="G2" s="170"/>
      <c r="H2" s="170" t="s">
        <v>17</v>
      </c>
      <c r="I2" s="170"/>
      <c r="J2" s="170"/>
      <c r="K2" s="170"/>
      <c r="L2" s="170" t="s">
        <v>242</v>
      </c>
      <c r="M2" s="170"/>
      <c r="N2" s="170"/>
      <c r="O2" s="170"/>
      <c r="P2" s="170"/>
      <c r="Q2" s="170"/>
      <c r="R2" s="170" t="s">
        <v>2</v>
      </c>
      <c r="S2" s="170"/>
      <c r="T2" s="170"/>
      <c r="U2" s="170"/>
      <c r="V2" s="170"/>
      <c r="W2" s="170"/>
      <c r="X2" s="171" t="s">
        <v>3</v>
      </c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3"/>
      <c r="AK2" s="171" t="s">
        <v>32</v>
      </c>
      <c r="AL2" s="172"/>
      <c r="AM2" s="172"/>
      <c r="AN2" s="172"/>
      <c r="AO2" s="172"/>
      <c r="AP2" s="172"/>
      <c r="AQ2" s="172"/>
      <c r="AR2" s="172"/>
      <c r="AS2" s="172"/>
      <c r="AT2" s="172"/>
      <c r="AU2" s="172"/>
      <c r="AV2" s="172"/>
      <c r="AW2" s="173"/>
      <c r="AX2" s="170" t="s">
        <v>5</v>
      </c>
      <c r="AY2" s="170"/>
      <c r="AZ2" s="170"/>
      <c r="BA2" s="170"/>
      <c r="BB2" s="170" t="s">
        <v>4</v>
      </c>
      <c r="BC2" s="170"/>
      <c r="BD2" s="170"/>
      <c r="BE2" s="170"/>
      <c r="BF2" s="170" t="s">
        <v>6</v>
      </c>
      <c r="BG2" s="170"/>
      <c r="BH2" s="170"/>
      <c r="BI2" s="170"/>
      <c r="BJ2" s="170" t="s">
        <v>7</v>
      </c>
      <c r="BK2" s="170"/>
      <c r="BL2" s="170"/>
      <c r="BM2" s="184"/>
      <c r="BN2" s="15"/>
    </row>
    <row r="3" spans="1:66" ht="20.100000000000001" customHeight="1" x14ac:dyDescent="0.45">
      <c r="A3" s="9"/>
      <c r="B3" s="174" t="str">
        <f>変更履歴!B3</f>
        <v>受発注システム</v>
      </c>
      <c r="C3" s="175"/>
      <c r="D3" s="175"/>
      <c r="E3" s="175"/>
      <c r="F3" s="175"/>
      <c r="G3" s="175"/>
      <c r="H3" s="175" t="str">
        <f ca="1">変更履歴!H3</f>
        <v>SU1200</v>
      </c>
      <c r="I3" s="175"/>
      <c r="J3" s="175"/>
      <c r="K3" s="175"/>
      <c r="L3" s="175" t="str">
        <f>変更履歴!L3</f>
        <v>受発注</v>
      </c>
      <c r="M3" s="175"/>
      <c r="N3" s="175"/>
      <c r="O3" s="175"/>
      <c r="P3" s="175"/>
      <c r="Q3" s="175"/>
      <c r="R3" s="175" t="str">
        <f ca="1">変更履歴!R3</f>
        <v>帳票設計書</v>
      </c>
      <c r="S3" s="175"/>
      <c r="T3" s="175"/>
      <c r="U3" s="175"/>
      <c r="V3" s="175"/>
      <c r="W3" s="175"/>
      <c r="X3" s="179" t="str">
        <f ca="1">変更履歴!X3</f>
        <v>SU1200_請求原価率表_帳票設計書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76"/>
      <c r="AK3" s="179" t="str">
        <f ca="1">変更履歴!AK3</f>
        <v>請求原価率表</v>
      </c>
      <c r="AL3" s="180"/>
      <c r="AM3" s="180"/>
      <c r="AN3" s="180"/>
      <c r="AO3" s="180"/>
      <c r="AP3" s="180"/>
      <c r="AQ3" s="180"/>
      <c r="AR3" s="180"/>
      <c r="AS3" s="180"/>
      <c r="AT3" s="180"/>
      <c r="AU3" s="180"/>
      <c r="AV3" s="180"/>
      <c r="AW3" s="176"/>
      <c r="AX3" s="186">
        <f>変更履歴!AX3</f>
        <v>45581</v>
      </c>
      <c r="AY3" s="186"/>
      <c r="AZ3" s="186"/>
      <c r="BA3" s="186"/>
      <c r="BB3" s="175" t="str">
        <f>変更履歴!BB3</f>
        <v>大谷</v>
      </c>
      <c r="BC3" s="175"/>
      <c r="BD3" s="175"/>
      <c r="BE3" s="175"/>
      <c r="BF3" s="186">
        <f>変更履歴!BF3</f>
        <v>45581</v>
      </c>
      <c r="BG3" s="186"/>
      <c r="BH3" s="186"/>
      <c r="BI3" s="186"/>
      <c r="BJ3" s="175" t="str">
        <f>変更履歴!BJ3</f>
        <v>大谷</v>
      </c>
      <c r="BK3" s="175"/>
      <c r="BL3" s="175"/>
      <c r="BM3" s="187"/>
      <c r="BN3" s="15"/>
    </row>
    <row r="4" spans="1:66" ht="20.100000000000001" customHeight="1" thickBot="1" x14ac:dyDescent="0.5">
      <c r="A4" s="9"/>
      <c r="B4" s="176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81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3"/>
      <c r="AK4" s="181"/>
      <c r="AL4" s="182"/>
      <c r="AM4" s="182"/>
      <c r="AN4" s="182"/>
      <c r="AO4" s="182"/>
      <c r="AP4" s="182"/>
      <c r="AQ4" s="182"/>
      <c r="AR4" s="182"/>
      <c r="AS4" s="182"/>
      <c r="AT4" s="182"/>
      <c r="AU4" s="182"/>
      <c r="AV4" s="182"/>
      <c r="AW4" s="183"/>
      <c r="AX4" s="195"/>
      <c r="AY4" s="195"/>
      <c r="AZ4" s="195"/>
      <c r="BA4" s="195"/>
      <c r="BB4" s="177"/>
      <c r="BC4" s="177"/>
      <c r="BD4" s="177"/>
      <c r="BE4" s="177"/>
      <c r="BF4" s="195"/>
      <c r="BG4" s="195"/>
      <c r="BH4" s="195"/>
      <c r="BI4" s="195"/>
      <c r="BJ4" s="177"/>
      <c r="BK4" s="177"/>
      <c r="BL4" s="177"/>
      <c r="BM4" s="179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J3:BM4"/>
    <mergeCell ref="BF3:BI4"/>
    <mergeCell ref="BB3:BE4"/>
    <mergeCell ref="AX3:BA4"/>
    <mergeCell ref="R3:W4"/>
    <mergeCell ref="X3:AJ4"/>
    <mergeCell ref="AK3:AW4"/>
    <mergeCell ref="B2:G2"/>
    <mergeCell ref="B3:G4"/>
    <mergeCell ref="H2:K2"/>
    <mergeCell ref="L2:Q2"/>
    <mergeCell ref="R2:W2"/>
    <mergeCell ref="L3:Q4"/>
    <mergeCell ref="H3:K4"/>
    <mergeCell ref="BB2:BE2"/>
    <mergeCell ref="BF2:BI2"/>
    <mergeCell ref="BJ2:BM2"/>
    <mergeCell ref="AX2:BA2"/>
    <mergeCell ref="X2:AJ2"/>
    <mergeCell ref="AK2:AW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58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69" t="s">
        <v>0</v>
      </c>
      <c r="C2" s="170"/>
      <c r="D2" s="170"/>
      <c r="E2" s="170"/>
      <c r="F2" s="170"/>
      <c r="G2" s="170"/>
      <c r="H2" s="170" t="s">
        <v>17</v>
      </c>
      <c r="I2" s="170"/>
      <c r="J2" s="170"/>
      <c r="K2" s="170"/>
      <c r="L2" s="170" t="s">
        <v>242</v>
      </c>
      <c r="M2" s="170"/>
      <c r="N2" s="170"/>
      <c r="O2" s="170"/>
      <c r="P2" s="170"/>
      <c r="Q2" s="170"/>
      <c r="R2" s="170" t="s">
        <v>2</v>
      </c>
      <c r="S2" s="170"/>
      <c r="T2" s="170"/>
      <c r="U2" s="170"/>
      <c r="V2" s="170"/>
      <c r="W2" s="170"/>
      <c r="X2" s="171" t="s">
        <v>3</v>
      </c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3"/>
      <c r="AK2" s="171" t="s">
        <v>32</v>
      </c>
      <c r="AL2" s="172"/>
      <c r="AM2" s="172"/>
      <c r="AN2" s="172"/>
      <c r="AO2" s="172"/>
      <c r="AP2" s="172"/>
      <c r="AQ2" s="172"/>
      <c r="AR2" s="172"/>
      <c r="AS2" s="172"/>
      <c r="AT2" s="172"/>
      <c r="AU2" s="172"/>
      <c r="AV2" s="172"/>
      <c r="AW2" s="173"/>
      <c r="AX2" s="170" t="s">
        <v>5</v>
      </c>
      <c r="AY2" s="170"/>
      <c r="AZ2" s="170"/>
      <c r="BA2" s="170"/>
      <c r="BB2" s="170" t="s">
        <v>4</v>
      </c>
      <c r="BC2" s="170"/>
      <c r="BD2" s="170"/>
      <c r="BE2" s="170"/>
      <c r="BF2" s="170" t="s">
        <v>6</v>
      </c>
      <c r="BG2" s="170"/>
      <c r="BH2" s="170"/>
      <c r="BI2" s="170"/>
      <c r="BJ2" s="170" t="s">
        <v>7</v>
      </c>
      <c r="BK2" s="170"/>
      <c r="BL2" s="170"/>
      <c r="BM2" s="184"/>
      <c r="BN2" s="15"/>
    </row>
    <row r="3" spans="1:85" ht="20.100000000000001" customHeight="1" x14ac:dyDescent="0.45">
      <c r="A3" s="9"/>
      <c r="B3" s="174" t="str">
        <f>変更履歴!B3</f>
        <v>受発注システム</v>
      </c>
      <c r="C3" s="175"/>
      <c r="D3" s="175"/>
      <c r="E3" s="175"/>
      <c r="F3" s="175"/>
      <c r="G3" s="175"/>
      <c r="H3" s="175" t="str">
        <f ca="1">変更履歴!H3</f>
        <v>SU1200</v>
      </c>
      <c r="I3" s="175"/>
      <c r="J3" s="175"/>
      <c r="K3" s="175"/>
      <c r="L3" s="175" t="str">
        <f>変更履歴!L3</f>
        <v>受発注</v>
      </c>
      <c r="M3" s="175"/>
      <c r="N3" s="175"/>
      <c r="O3" s="175"/>
      <c r="P3" s="175"/>
      <c r="Q3" s="175"/>
      <c r="R3" s="175" t="str">
        <f ca="1">変更履歴!R3</f>
        <v>帳票設計書</v>
      </c>
      <c r="S3" s="175"/>
      <c r="T3" s="175"/>
      <c r="U3" s="175"/>
      <c r="V3" s="175"/>
      <c r="W3" s="175"/>
      <c r="X3" s="179" t="str">
        <f ca="1">変更履歴!X3</f>
        <v>SU1200_請求原価率表_帳票設計書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76"/>
      <c r="AK3" s="179" t="str">
        <f ca="1">変更履歴!AK3</f>
        <v>請求原価率表</v>
      </c>
      <c r="AL3" s="180"/>
      <c r="AM3" s="180"/>
      <c r="AN3" s="180"/>
      <c r="AO3" s="180"/>
      <c r="AP3" s="180"/>
      <c r="AQ3" s="180"/>
      <c r="AR3" s="180"/>
      <c r="AS3" s="180"/>
      <c r="AT3" s="180"/>
      <c r="AU3" s="180"/>
      <c r="AV3" s="180"/>
      <c r="AW3" s="176"/>
      <c r="AX3" s="186">
        <f>変更履歴!AX3</f>
        <v>45581</v>
      </c>
      <c r="AY3" s="186"/>
      <c r="AZ3" s="186"/>
      <c r="BA3" s="186"/>
      <c r="BB3" s="175" t="str">
        <f>変更履歴!BB3</f>
        <v>大谷</v>
      </c>
      <c r="BC3" s="175"/>
      <c r="BD3" s="175"/>
      <c r="BE3" s="175"/>
      <c r="BF3" s="186">
        <f>変更履歴!BF3</f>
        <v>45581</v>
      </c>
      <c r="BG3" s="186"/>
      <c r="BH3" s="186"/>
      <c r="BI3" s="186"/>
      <c r="BJ3" s="175" t="str">
        <f>変更履歴!BJ3</f>
        <v>大谷</v>
      </c>
      <c r="BK3" s="175"/>
      <c r="BL3" s="175"/>
      <c r="BM3" s="187"/>
      <c r="BN3" s="15"/>
    </row>
    <row r="4" spans="1:85" ht="20.100000000000001" customHeight="1" thickBot="1" x14ac:dyDescent="0.5">
      <c r="A4" s="9"/>
      <c r="B4" s="176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81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3"/>
      <c r="AK4" s="181"/>
      <c r="AL4" s="182"/>
      <c r="AM4" s="182"/>
      <c r="AN4" s="182"/>
      <c r="AO4" s="182"/>
      <c r="AP4" s="182"/>
      <c r="AQ4" s="182"/>
      <c r="AR4" s="182"/>
      <c r="AS4" s="182"/>
      <c r="AT4" s="182"/>
      <c r="AU4" s="182"/>
      <c r="AV4" s="182"/>
      <c r="AW4" s="183"/>
      <c r="AX4" s="195"/>
      <c r="AY4" s="195"/>
      <c r="AZ4" s="195"/>
      <c r="BA4" s="195"/>
      <c r="BB4" s="177"/>
      <c r="BC4" s="177"/>
      <c r="BD4" s="177"/>
      <c r="BE4" s="177"/>
      <c r="BF4" s="195"/>
      <c r="BG4" s="195"/>
      <c r="BH4" s="195"/>
      <c r="BI4" s="195"/>
      <c r="BJ4" s="177"/>
      <c r="BK4" s="177"/>
      <c r="BL4" s="177"/>
      <c r="BM4" s="179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7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216" t="s">
        <v>20</v>
      </c>
      <c r="F10" s="217"/>
      <c r="G10" s="217"/>
      <c r="H10" s="217"/>
      <c r="I10" s="217"/>
      <c r="J10" s="217"/>
      <c r="K10" s="217"/>
      <c r="L10" s="218"/>
      <c r="M10" s="197" t="s">
        <v>24</v>
      </c>
      <c r="N10" s="198"/>
      <c r="O10" s="198"/>
      <c r="P10" s="197" t="s">
        <v>33</v>
      </c>
      <c r="Q10" s="198"/>
      <c r="R10" s="198"/>
      <c r="S10" s="197" t="s">
        <v>34</v>
      </c>
      <c r="T10" s="198"/>
      <c r="U10" s="198"/>
      <c r="V10" s="197" t="s">
        <v>36</v>
      </c>
      <c r="W10" s="198"/>
      <c r="X10" s="198"/>
      <c r="Y10" s="198"/>
      <c r="Z10" s="198"/>
      <c r="AA10" s="199"/>
      <c r="AB10" s="197" t="s">
        <v>35</v>
      </c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9"/>
      <c r="AR10" s="197" t="s">
        <v>42</v>
      </c>
      <c r="AS10" s="198"/>
      <c r="AT10" s="198"/>
      <c r="AU10" s="198"/>
      <c r="AV10" s="198"/>
      <c r="AW10" s="199"/>
      <c r="AX10" s="197" t="s">
        <v>43</v>
      </c>
      <c r="AY10" s="198"/>
      <c r="AZ10" s="198"/>
      <c r="BA10" s="198"/>
      <c r="BB10" s="198"/>
      <c r="BC10" s="198"/>
      <c r="BD10" s="198"/>
      <c r="BE10" s="198"/>
      <c r="BF10" s="198"/>
      <c r="BG10" s="198"/>
      <c r="BH10" s="198"/>
      <c r="BI10" s="198"/>
      <c r="BJ10" s="198"/>
      <c r="BK10" s="198"/>
      <c r="BL10" s="198"/>
      <c r="BM10" s="198"/>
      <c r="BN10" s="198"/>
      <c r="BO10" s="198"/>
      <c r="BP10" s="198"/>
      <c r="BQ10" s="198"/>
      <c r="BR10" s="198"/>
      <c r="BS10" s="198"/>
      <c r="BT10" s="210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213" t="s">
        <v>70</v>
      </c>
      <c r="F11" s="214"/>
      <c r="G11" s="214"/>
      <c r="H11" s="214"/>
      <c r="I11" s="214"/>
      <c r="J11" s="214"/>
      <c r="K11" s="214"/>
      <c r="L11" s="215"/>
      <c r="M11" s="194" t="s">
        <v>8</v>
      </c>
      <c r="N11" s="189"/>
      <c r="O11" s="189"/>
      <c r="P11" s="194" t="s">
        <v>83</v>
      </c>
      <c r="Q11" s="189"/>
      <c r="R11" s="189"/>
      <c r="S11" s="194">
        <v>8</v>
      </c>
      <c r="T11" s="189"/>
      <c r="U11" s="189"/>
      <c r="V11" s="207" t="s">
        <v>84</v>
      </c>
      <c r="W11" s="208"/>
      <c r="X11" s="208"/>
      <c r="Y11" s="208"/>
      <c r="Z11" s="208"/>
      <c r="AA11" s="211"/>
      <c r="AB11" s="203"/>
      <c r="AC11" s="201"/>
      <c r="AD11" s="201"/>
      <c r="AE11" s="201"/>
      <c r="AF11" s="201"/>
      <c r="AG11" s="201"/>
      <c r="AH11" s="201"/>
      <c r="AI11" s="201"/>
      <c r="AJ11" s="201"/>
      <c r="AK11" s="201"/>
      <c r="AL11" s="201"/>
      <c r="AM11" s="201"/>
      <c r="AN11" s="201"/>
      <c r="AO11" s="201"/>
      <c r="AP11" s="201"/>
      <c r="AQ11" s="202"/>
      <c r="AR11" s="194"/>
      <c r="AS11" s="189"/>
      <c r="AT11" s="189"/>
      <c r="AU11" s="189"/>
      <c r="AV11" s="189"/>
      <c r="AW11" s="190"/>
      <c r="AX11" s="207"/>
      <c r="AY11" s="208"/>
      <c r="AZ11" s="208"/>
      <c r="BA11" s="208"/>
      <c r="BB11" s="208"/>
      <c r="BC11" s="208"/>
      <c r="BD11" s="208"/>
      <c r="BE11" s="208"/>
      <c r="BF11" s="208"/>
      <c r="BG11" s="208"/>
      <c r="BH11" s="208"/>
      <c r="BI11" s="208"/>
      <c r="BJ11" s="208"/>
      <c r="BK11" s="208"/>
      <c r="BL11" s="208"/>
      <c r="BM11" s="208"/>
      <c r="BN11" s="208"/>
      <c r="BO11" s="208"/>
      <c r="BP11" s="208"/>
      <c r="BQ11" s="208"/>
      <c r="BR11" s="208"/>
      <c r="BS11" s="208"/>
      <c r="BT11" s="209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213" t="s">
        <v>71</v>
      </c>
      <c r="F12" s="214"/>
      <c r="G12" s="214"/>
      <c r="H12" s="214"/>
      <c r="I12" s="214"/>
      <c r="J12" s="214"/>
      <c r="K12" s="214"/>
      <c r="L12" s="215"/>
      <c r="M12" s="194" t="s">
        <v>8</v>
      </c>
      <c r="N12" s="189"/>
      <c r="O12" s="189"/>
      <c r="P12" s="194" t="s">
        <v>83</v>
      </c>
      <c r="Q12" s="189"/>
      <c r="R12" s="189"/>
      <c r="S12" s="194">
        <v>8</v>
      </c>
      <c r="T12" s="189"/>
      <c r="U12" s="189"/>
      <c r="V12" s="207" t="s">
        <v>85</v>
      </c>
      <c r="W12" s="208"/>
      <c r="X12" s="208"/>
      <c r="Y12" s="208"/>
      <c r="Z12" s="208"/>
      <c r="AA12" s="211"/>
      <c r="AB12" s="203"/>
      <c r="AC12" s="201"/>
      <c r="AD12" s="201"/>
      <c r="AE12" s="201"/>
      <c r="AF12" s="201"/>
      <c r="AG12" s="201"/>
      <c r="AH12" s="201"/>
      <c r="AI12" s="201"/>
      <c r="AJ12" s="201"/>
      <c r="AK12" s="201"/>
      <c r="AL12" s="201"/>
      <c r="AM12" s="201"/>
      <c r="AN12" s="201"/>
      <c r="AO12" s="201"/>
      <c r="AP12" s="201"/>
      <c r="AQ12" s="202"/>
      <c r="AR12" s="194"/>
      <c r="AS12" s="189"/>
      <c r="AT12" s="189"/>
      <c r="AU12" s="189"/>
      <c r="AV12" s="189"/>
      <c r="AW12" s="190"/>
      <c r="AX12" s="207"/>
      <c r="AY12" s="208"/>
      <c r="AZ12" s="208"/>
      <c r="BA12" s="208"/>
      <c r="BB12" s="208"/>
      <c r="BC12" s="208"/>
      <c r="BD12" s="208"/>
      <c r="BE12" s="208"/>
      <c r="BF12" s="208"/>
      <c r="BG12" s="208"/>
      <c r="BH12" s="208"/>
      <c r="BI12" s="208"/>
      <c r="BJ12" s="208"/>
      <c r="BK12" s="208"/>
      <c r="BL12" s="208"/>
      <c r="BM12" s="208"/>
      <c r="BN12" s="208"/>
      <c r="BO12" s="208"/>
      <c r="BP12" s="208"/>
      <c r="BQ12" s="208"/>
      <c r="BR12" s="208"/>
      <c r="BS12" s="208"/>
      <c r="BT12" s="209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213" t="s">
        <v>72</v>
      </c>
      <c r="F13" s="214"/>
      <c r="G13" s="214"/>
      <c r="H13" s="214"/>
      <c r="I13" s="214"/>
      <c r="J13" s="214"/>
      <c r="K13" s="214"/>
      <c r="L13" s="215"/>
      <c r="M13" s="194" t="s">
        <v>8</v>
      </c>
      <c r="N13" s="189"/>
      <c r="O13" s="189"/>
      <c r="P13" s="194" t="s">
        <v>83</v>
      </c>
      <c r="Q13" s="189"/>
      <c r="R13" s="189"/>
      <c r="S13" s="194">
        <v>8</v>
      </c>
      <c r="T13" s="189"/>
      <c r="U13" s="189"/>
      <c r="V13" s="207" t="s">
        <v>86</v>
      </c>
      <c r="W13" s="208"/>
      <c r="X13" s="208"/>
      <c r="Y13" s="208"/>
      <c r="Z13" s="208"/>
      <c r="AA13" s="211"/>
      <c r="AB13" s="203"/>
      <c r="AC13" s="201"/>
      <c r="AD13" s="201"/>
      <c r="AE13" s="201"/>
      <c r="AF13" s="201"/>
      <c r="AG13" s="201"/>
      <c r="AH13" s="201"/>
      <c r="AI13" s="201"/>
      <c r="AJ13" s="201"/>
      <c r="AK13" s="201"/>
      <c r="AL13" s="201"/>
      <c r="AM13" s="201"/>
      <c r="AN13" s="201"/>
      <c r="AO13" s="201"/>
      <c r="AP13" s="201"/>
      <c r="AQ13" s="202"/>
      <c r="AR13" s="194"/>
      <c r="AS13" s="189"/>
      <c r="AT13" s="189"/>
      <c r="AU13" s="189"/>
      <c r="AV13" s="189"/>
      <c r="AW13" s="190"/>
      <c r="AX13" s="207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9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213" t="s">
        <v>95</v>
      </c>
      <c r="F14" s="214"/>
      <c r="G14" s="214"/>
      <c r="H14" s="214"/>
      <c r="I14" s="214"/>
      <c r="J14" s="214"/>
      <c r="K14" s="214"/>
      <c r="L14" s="215"/>
      <c r="M14" s="194" t="s">
        <v>8</v>
      </c>
      <c r="N14" s="189"/>
      <c r="O14" s="189"/>
      <c r="P14" s="194" t="s">
        <v>83</v>
      </c>
      <c r="Q14" s="189"/>
      <c r="R14" s="189"/>
      <c r="S14" s="194"/>
      <c r="T14" s="189"/>
      <c r="U14" s="189"/>
      <c r="V14" s="207" t="s">
        <v>107</v>
      </c>
      <c r="W14" s="208"/>
      <c r="X14" s="208"/>
      <c r="Y14" s="208"/>
      <c r="Z14" s="208"/>
      <c r="AA14" s="211"/>
      <c r="AB14" s="203"/>
      <c r="AC14" s="201"/>
      <c r="AD14" s="201"/>
      <c r="AE14" s="201"/>
      <c r="AF14" s="201"/>
      <c r="AG14" s="201"/>
      <c r="AH14" s="201"/>
      <c r="AI14" s="201"/>
      <c r="AJ14" s="201"/>
      <c r="AK14" s="201"/>
      <c r="AL14" s="201"/>
      <c r="AM14" s="201"/>
      <c r="AN14" s="201"/>
      <c r="AO14" s="201"/>
      <c r="AP14" s="201"/>
      <c r="AQ14" s="202"/>
      <c r="AR14" s="194"/>
      <c r="AS14" s="189"/>
      <c r="AT14" s="189"/>
      <c r="AU14" s="189"/>
      <c r="AV14" s="189"/>
      <c r="AW14" s="190"/>
      <c r="AX14" s="207"/>
      <c r="AY14" s="208"/>
      <c r="AZ14" s="208"/>
      <c r="BA14" s="208"/>
      <c r="BB14" s="208"/>
      <c r="BC14" s="208"/>
      <c r="BD14" s="208"/>
      <c r="BE14" s="208"/>
      <c r="BF14" s="208"/>
      <c r="BG14" s="208"/>
      <c r="BH14" s="208"/>
      <c r="BI14" s="208"/>
      <c r="BJ14" s="208"/>
      <c r="BK14" s="208"/>
      <c r="BL14" s="208"/>
      <c r="BM14" s="208"/>
      <c r="BN14" s="208"/>
      <c r="BO14" s="208"/>
      <c r="BP14" s="208"/>
      <c r="BQ14" s="208"/>
      <c r="BR14" s="208"/>
      <c r="BS14" s="208"/>
      <c r="BT14" s="209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213" t="s">
        <v>96</v>
      </c>
      <c r="F15" s="214"/>
      <c r="G15" s="214"/>
      <c r="H15" s="214"/>
      <c r="I15" s="214"/>
      <c r="J15" s="214"/>
      <c r="K15" s="214"/>
      <c r="L15" s="215"/>
      <c r="M15" s="194" t="s">
        <v>47</v>
      </c>
      <c r="N15" s="189"/>
      <c r="O15" s="189"/>
      <c r="P15" s="194" t="s">
        <v>83</v>
      </c>
      <c r="Q15" s="189"/>
      <c r="R15" s="189"/>
      <c r="S15" s="187"/>
      <c r="T15" s="212"/>
      <c r="U15" s="212"/>
      <c r="V15" s="207" t="s">
        <v>107</v>
      </c>
      <c r="W15" s="208"/>
      <c r="X15" s="208"/>
      <c r="Y15" s="208"/>
      <c r="Z15" s="208"/>
      <c r="AA15" s="211"/>
      <c r="AB15" s="203"/>
      <c r="AC15" s="201"/>
      <c r="AD15" s="201"/>
      <c r="AE15" s="201"/>
      <c r="AF15" s="201"/>
      <c r="AG15" s="201"/>
      <c r="AH15" s="201"/>
      <c r="AI15" s="201"/>
      <c r="AJ15" s="201"/>
      <c r="AK15" s="201"/>
      <c r="AL15" s="201"/>
      <c r="AM15" s="201"/>
      <c r="AN15" s="201"/>
      <c r="AO15" s="201"/>
      <c r="AP15" s="201"/>
      <c r="AQ15" s="202"/>
      <c r="AR15" s="194"/>
      <c r="AS15" s="189"/>
      <c r="AT15" s="189"/>
      <c r="AU15" s="189"/>
      <c r="AV15" s="189"/>
      <c r="AW15" s="190"/>
      <c r="AX15" s="207"/>
      <c r="AY15" s="208"/>
      <c r="AZ15" s="208"/>
      <c r="BA15" s="208"/>
      <c r="BB15" s="208"/>
      <c r="BC15" s="208"/>
      <c r="BD15" s="208"/>
      <c r="BE15" s="208"/>
      <c r="BF15" s="208"/>
      <c r="BG15" s="208"/>
      <c r="BH15" s="208"/>
      <c r="BI15" s="208"/>
      <c r="BJ15" s="208"/>
      <c r="BK15" s="208"/>
      <c r="BL15" s="208"/>
      <c r="BM15" s="208"/>
      <c r="BN15" s="208"/>
      <c r="BO15" s="208"/>
      <c r="BP15" s="208"/>
      <c r="BQ15" s="208"/>
      <c r="BR15" s="208"/>
      <c r="BS15" s="208"/>
      <c r="BT15" s="209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>
        <v>6</v>
      </c>
      <c r="E16" s="213" t="s">
        <v>97</v>
      </c>
      <c r="F16" s="214"/>
      <c r="G16" s="214"/>
      <c r="H16" s="214"/>
      <c r="I16" s="214"/>
      <c r="J16" s="214"/>
      <c r="K16" s="214"/>
      <c r="L16" s="215"/>
      <c r="M16" s="194" t="s">
        <v>38</v>
      </c>
      <c r="N16" s="189"/>
      <c r="O16" s="189"/>
      <c r="P16" s="194" t="s">
        <v>89</v>
      </c>
      <c r="Q16" s="189"/>
      <c r="R16" s="189"/>
      <c r="S16" s="187">
        <v>1</v>
      </c>
      <c r="T16" s="212"/>
      <c r="U16" s="212"/>
      <c r="V16" s="207" t="s">
        <v>90</v>
      </c>
      <c r="W16" s="208"/>
      <c r="X16" s="208"/>
      <c r="Y16" s="208"/>
      <c r="Z16" s="208"/>
      <c r="AA16" s="211"/>
      <c r="AB16" s="203"/>
      <c r="AC16" s="201"/>
      <c r="AD16" s="201"/>
      <c r="AE16" s="201"/>
      <c r="AF16" s="201"/>
      <c r="AG16" s="201"/>
      <c r="AH16" s="201"/>
      <c r="AI16" s="201"/>
      <c r="AJ16" s="201"/>
      <c r="AK16" s="201"/>
      <c r="AL16" s="201"/>
      <c r="AM16" s="201"/>
      <c r="AN16" s="201"/>
      <c r="AO16" s="201"/>
      <c r="AP16" s="201"/>
      <c r="AQ16" s="202"/>
      <c r="AR16" s="194"/>
      <c r="AS16" s="189"/>
      <c r="AT16" s="189"/>
      <c r="AU16" s="189"/>
      <c r="AV16" s="189"/>
      <c r="AW16" s="190"/>
      <c r="AX16" s="207"/>
      <c r="AY16" s="208"/>
      <c r="AZ16" s="208"/>
      <c r="BA16" s="208"/>
      <c r="BB16" s="208"/>
      <c r="BC16" s="208"/>
      <c r="BD16" s="208"/>
      <c r="BE16" s="208"/>
      <c r="BF16" s="208"/>
      <c r="BG16" s="208"/>
      <c r="BH16" s="208"/>
      <c r="BI16" s="208"/>
      <c r="BJ16" s="208"/>
      <c r="BK16" s="208"/>
      <c r="BL16" s="208"/>
      <c r="BM16" s="208"/>
      <c r="BN16" s="208"/>
      <c r="BO16" s="208"/>
      <c r="BP16" s="208"/>
      <c r="BQ16" s="208"/>
      <c r="BR16" s="208"/>
      <c r="BS16" s="208"/>
      <c r="BT16" s="209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37">
        <v>7</v>
      </c>
      <c r="E17" s="213" t="s">
        <v>98</v>
      </c>
      <c r="F17" s="214"/>
      <c r="G17" s="214"/>
      <c r="H17" s="214"/>
      <c r="I17" s="214"/>
      <c r="J17" s="214"/>
      <c r="K17" s="214"/>
      <c r="L17" s="215"/>
      <c r="M17" s="194" t="s">
        <v>47</v>
      </c>
      <c r="N17" s="189"/>
      <c r="O17" s="189"/>
      <c r="P17" s="194" t="s">
        <v>83</v>
      </c>
      <c r="Q17" s="189"/>
      <c r="R17" s="189"/>
      <c r="S17" s="187"/>
      <c r="T17" s="212"/>
      <c r="U17" s="212"/>
      <c r="V17" s="207" t="s">
        <v>107</v>
      </c>
      <c r="W17" s="208"/>
      <c r="X17" s="208"/>
      <c r="Y17" s="208"/>
      <c r="Z17" s="208"/>
      <c r="AA17" s="211"/>
      <c r="AB17" s="203"/>
      <c r="AC17" s="201"/>
      <c r="AD17" s="201"/>
      <c r="AE17" s="201"/>
      <c r="AF17" s="201"/>
      <c r="AG17" s="201"/>
      <c r="AH17" s="201"/>
      <c r="AI17" s="201"/>
      <c r="AJ17" s="201"/>
      <c r="AK17" s="201"/>
      <c r="AL17" s="201"/>
      <c r="AM17" s="201"/>
      <c r="AN17" s="201"/>
      <c r="AO17" s="201"/>
      <c r="AP17" s="201"/>
      <c r="AQ17" s="202"/>
      <c r="AR17" s="194"/>
      <c r="AS17" s="189"/>
      <c r="AT17" s="189"/>
      <c r="AU17" s="189"/>
      <c r="AV17" s="189"/>
      <c r="AW17" s="190"/>
      <c r="AX17" s="207"/>
      <c r="AY17" s="208"/>
      <c r="AZ17" s="208"/>
      <c r="BA17" s="208"/>
      <c r="BB17" s="208"/>
      <c r="BC17" s="208"/>
      <c r="BD17" s="208"/>
      <c r="BE17" s="208"/>
      <c r="BF17" s="208"/>
      <c r="BG17" s="208"/>
      <c r="BH17" s="208"/>
      <c r="BI17" s="208"/>
      <c r="BJ17" s="208"/>
      <c r="BK17" s="208"/>
      <c r="BL17" s="208"/>
      <c r="BM17" s="208"/>
      <c r="BN17" s="208"/>
      <c r="BO17" s="208"/>
      <c r="BP17" s="208"/>
      <c r="BQ17" s="208"/>
      <c r="BR17" s="208"/>
      <c r="BS17" s="208"/>
      <c r="BT17" s="209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37">
        <v>8</v>
      </c>
      <c r="E18" s="213" t="s">
        <v>99</v>
      </c>
      <c r="F18" s="214"/>
      <c r="G18" s="214"/>
      <c r="H18" s="214"/>
      <c r="I18" s="214"/>
      <c r="J18" s="214"/>
      <c r="K18" s="214"/>
      <c r="L18" s="215"/>
      <c r="M18" s="194" t="s">
        <v>47</v>
      </c>
      <c r="N18" s="189"/>
      <c r="O18" s="189"/>
      <c r="P18" s="194" t="s">
        <v>83</v>
      </c>
      <c r="Q18" s="189"/>
      <c r="R18" s="189"/>
      <c r="S18" s="187"/>
      <c r="T18" s="212"/>
      <c r="U18" s="212"/>
      <c r="V18" s="207" t="s">
        <v>107</v>
      </c>
      <c r="W18" s="208"/>
      <c r="X18" s="208"/>
      <c r="Y18" s="208"/>
      <c r="Z18" s="208"/>
      <c r="AA18" s="211"/>
      <c r="AB18" s="203"/>
      <c r="AC18" s="201"/>
      <c r="AD18" s="201"/>
      <c r="AE18" s="201"/>
      <c r="AF18" s="201"/>
      <c r="AG18" s="201"/>
      <c r="AH18" s="201"/>
      <c r="AI18" s="201"/>
      <c r="AJ18" s="201"/>
      <c r="AK18" s="201"/>
      <c r="AL18" s="201"/>
      <c r="AM18" s="201"/>
      <c r="AN18" s="201"/>
      <c r="AO18" s="201"/>
      <c r="AP18" s="201"/>
      <c r="AQ18" s="202"/>
      <c r="AR18" s="194"/>
      <c r="AS18" s="189"/>
      <c r="AT18" s="189"/>
      <c r="AU18" s="189"/>
      <c r="AV18" s="189"/>
      <c r="AW18" s="190"/>
      <c r="AX18" s="207"/>
      <c r="AY18" s="208"/>
      <c r="AZ18" s="208"/>
      <c r="BA18" s="208"/>
      <c r="BB18" s="208"/>
      <c r="BC18" s="208"/>
      <c r="BD18" s="208"/>
      <c r="BE18" s="208"/>
      <c r="BF18" s="208"/>
      <c r="BG18" s="208"/>
      <c r="BH18" s="208"/>
      <c r="BI18" s="208"/>
      <c r="BJ18" s="208"/>
      <c r="BK18" s="208"/>
      <c r="BL18" s="208"/>
      <c r="BM18" s="208"/>
      <c r="BN18" s="208"/>
      <c r="BO18" s="208"/>
      <c r="BP18" s="208"/>
      <c r="BQ18" s="208"/>
      <c r="BR18" s="208"/>
      <c r="BS18" s="208"/>
      <c r="BT18" s="209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37">
        <v>9</v>
      </c>
      <c r="E19" s="213" t="s">
        <v>100</v>
      </c>
      <c r="F19" s="214"/>
      <c r="G19" s="214"/>
      <c r="H19" s="214"/>
      <c r="I19" s="214"/>
      <c r="J19" s="214"/>
      <c r="K19" s="214"/>
      <c r="L19" s="215"/>
      <c r="M19" s="194" t="s">
        <v>38</v>
      </c>
      <c r="N19" s="189"/>
      <c r="O19" s="189"/>
      <c r="P19" s="194" t="s">
        <v>89</v>
      </c>
      <c r="Q19" s="189"/>
      <c r="R19" s="189"/>
      <c r="S19" s="187"/>
      <c r="T19" s="212"/>
      <c r="U19" s="212"/>
      <c r="V19" s="207" t="s">
        <v>107</v>
      </c>
      <c r="W19" s="208"/>
      <c r="X19" s="208"/>
      <c r="Y19" s="208"/>
      <c r="Z19" s="208"/>
      <c r="AA19" s="211"/>
      <c r="AB19" s="203"/>
      <c r="AC19" s="201"/>
      <c r="AD19" s="201"/>
      <c r="AE19" s="201"/>
      <c r="AF19" s="201"/>
      <c r="AG19" s="201"/>
      <c r="AH19" s="201"/>
      <c r="AI19" s="201"/>
      <c r="AJ19" s="201"/>
      <c r="AK19" s="201"/>
      <c r="AL19" s="201"/>
      <c r="AM19" s="201"/>
      <c r="AN19" s="201"/>
      <c r="AO19" s="201"/>
      <c r="AP19" s="201"/>
      <c r="AQ19" s="202"/>
      <c r="AR19" s="194"/>
      <c r="AS19" s="189"/>
      <c r="AT19" s="189"/>
      <c r="AU19" s="189"/>
      <c r="AV19" s="189"/>
      <c r="AW19" s="190"/>
      <c r="AX19" s="207"/>
      <c r="AY19" s="208"/>
      <c r="AZ19" s="208"/>
      <c r="BA19" s="208"/>
      <c r="BB19" s="208"/>
      <c r="BC19" s="208"/>
      <c r="BD19" s="208"/>
      <c r="BE19" s="208"/>
      <c r="BF19" s="208"/>
      <c r="BG19" s="208"/>
      <c r="BH19" s="208"/>
      <c r="BI19" s="208"/>
      <c r="BJ19" s="208"/>
      <c r="BK19" s="208"/>
      <c r="BL19" s="208"/>
      <c r="BM19" s="208"/>
      <c r="BN19" s="208"/>
      <c r="BO19" s="208"/>
      <c r="BP19" s="208"/>
      <c r="BQ19" s="208"/>
      <c r="BR19" s="208"/>
      <c r="BS19" s="208"/>
      <c r="BT19" s="209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 x14ac:dyDescent="0.45">
      <c r="A20" s="29"/>
      <c r="B20" s="35"/>
      <c r="C20"/>
      <c r="D20" s="37">
        <v>10</v>
      </c>
      <c r="E20" s="213" t="s">
        <v>101</v>
      </c>
      <c r="F20" s="214"/>
      <c r="G20" s="214"/>
      <c r="H20" s="214"/>
      <c r="I20" s="214"/>
      <c r="J20" s="214"/>
      <c r="K20" s="214"/>
      <c r="L20" s="215"/>
      <c r="M20" s="194" t="s">
        <v>47</v>
      </c>
      <c r="N20" s="189"/>
      <c r="O20" s="189"/>
      <c r="P20" s="194" t="s">
        <v>83</v>
      </c>
      <c r="Q20" s="189"/>
      <c r="R20" s="189"/>
      <c r="S20" s="187"/>
      <c r="T20" s="212"/>
      <c r="U20" s="212"/>
      <c r="V20" s="207" t="s">
        <v>94</v>
      </c>
      <c r="W20" s="208"/>
      <c r="X20" s="208"/>
      <c r="Y20" s="208"/>
      <c r="Z20" s="208"/>
      <c r="AA20" s="211"/>
      <c r="AB20" s="203" t="s">
        <v>91</v>
      </c>
      <c r="AC20" s="201"/>
      <c r="AD20" s="201"/>
      <c r="AE20" s="201"/>
      <c r="AF20" s="201"/>
      <c r="AG20" s="201"/>
      <c r="AH20" s="201"/>
      <c r="AI20" s="201"/>
      <c r="AJ20" s="201"/>
      <c r="AK20" s="201"/>
      <c r="AL20" s="201"/>
      <c r="AM20" s="201"/>
      <c r="AN20" s="201"/>
      <c r="AO20" s="201"/>
      <c r="AP20" s="201"/>
      <c r="AQ20" s="202"/>
      <c r="AR20" s="196">
        <v>9999</v>
      </c>
      <c r="AS20" s="189"/>
      <c r="AT20" s="189"/>
      <c r="AU20" s="189"/>
      <c r="AV20" s="189"/>
      <c r="AW20" s="190"/>
      <c r="AX20" s="207"/>
      <c r="AY20" s="208"/>
      <c r="AZ20" s="208"/>
      <c r="BA20" s="208"/>
      <c r="BB20" s="208"/>
      <c r="BC20" s="208"/>
      <c r="BD20" s="208"/>
      <c r="BE20" s="208"/>
      <c r="BF20" s="208"/>
      <c r="BG20" s="208"/>
      <c r="BH20" s="208"/>
      <c r="BI20" s="208"/>
      <c r="BJ20" s="208"/>
      <c r="BK20" s="208"/>
      <c r="BL20" s="208"/>
      <c r="BM20" s="208"/>
      <c r="BN20" s="208"/>
      <c r="BO20" s="208"/>
      <c r="BP20" s="208"/>
      <c r="BQ20" s="208"/>
      <c r="BR20" s="208"/>
      <c r="BS20" s="208"/>
      <c r="BT20" s="209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213" t="s">
        <v>102</v>
      </c>
      <c r="F21" s="214"/>
      <c r="G21" s="214"/>
      <c r="H21" s="214"/>
      <c r="I21" s="214"/>
      <c r="J21" s="214"/>
      <c r="K21" s="214"/>
      <c r="L21" s="215"/>
      <c r="M21" s="194" t="s">
        <v>47</v>
      </c>
      <c r="N21" s="189"/>
      <c r="O21" s="189"/>
      <c r="P21" s="194" t="s">
        <v>83</v>
      </c>
      <c r="Q21" s="189"/>
      <c r="R21" s="189"/>
      <c r="S21" s="187"/>
      <c r="T21" s="212"/>
      <c r="U21" s="212"/>
      <c r="V21" s="207" t="s">
        <v>92</v>
      </c>
      <c r="W21" s="208"/>
      <c r="X21" s="208"/>
      <c r="Y21" s="208"/>
      <c r="Z21" s="208"/>
      <c r="AA21" s="211"/>
      <c r="AB21" s="203" t="s">
        <v>93</v>
      </c>
      <c r="AC21" s="201"/>
      <c r="AD21" s="201"/>
      <c r="AE21" s="201"/>
      <c r="AF21" s="201"/>
      <c r="AG21" s="201"/>
      <c r="AH21" s="201"/>
      <c r="AI21" s="201"/>
      <c r="AJ21" s="201"/>
      <c r="AK21" s="201"/>
      <c r="AL21" s="201"/>
      <c r="AM21" s="201"/>
      <c r="AN21" s="201"/>
      <c r="AO21" s="201"/>
      <c r="AP21" s="201"/>
      <c r="AQ21" s="202"/>
      <c r="AR21" s="196">
        <v>9999</v>
      </c>
      <c r="AS21" s="189"/>
      <c r="AT21" s="189"/>
      <c r="AU21" s="189"/>
      <c r="AV21" s="189"/>
      <c r="AW21" s="190"/>
      <c r="AX21" s="207"/>
      <c r="AY21" s="208"/>
      <c r="AZ21" s="208"/>
      <c r="BA21" s="208"/>
      <c r="BB21" s="208"/>
      <c r="BC21" s="208"/>
      <c r="BD21" s="208"/>
      <c r="BE21" s="208"/>
      <c r="BF21" s="208"/>
      <c r="BG21" s="208"/>
      <c r="BH21" s="208"/>
      <c r="BI21" s="208"/>
      <c r="BJ21" s="208"/>
      <c r="BK21" s="208"/>
      <c r="BL21" s="208"/>
      <c r="BM21" s="208"/>
      <c r="BN21" s="208"/>
      <c r="BO21" s="208"/>
      <c r="BP21" s="208"/>
      <c r="BQ21" s="208"/>
      <c r="BR21" s="208"/>
      <c r="BS21" s="208"/>
      <c r="BT21" s="209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213" t="s">
        <v>103</v>
      </c>
      <c r="F22" s="214"/>
      <c r="G22" s="214"/>
      <c r="H22" s="214"/>
      <c r="I22" s="214"/>
      <c r="J22" s="214"/>
      <c r="K22" s="214"/>
      <c r="L22" s="215"/>
      <c r="M22" s="194" t="s">
        <v>47</v>
      </c>
      <c r="N22" s="189"/>
      <c r="O22" s="189"/>
      <c r="P22" s="194" t="s">
        <v>83</v>
      </c>
      <c r="Q22" s="189"/>
      <c r="R22" s="189"/>
      <c r="S22" s="187"/>
      <c r="T22" s="212"/>
      <c r="U22" s="212"/>
      <c r="V22" s="207" t="s">
        <v>104</v>
      </c>
      <c r="W22" s="208"/>
      <c r="X22" s="208"/>
      <c r="Y22" s="208"/>
      <c r="Z22" s="208"/>
      <c r="AA22" s="211"/>
      <c r="AB22" s="203" t="s">
        <v>105</v>
      </c>
      <c r="AC22" s="201"/>
      <c r="AD22" s="201"/>
      <c r="AE22" s="201"/>
      <c r="AF22" s="201"/>
      <c r="AG22" s="201"/>
      <c r="AH22" s="201"/>
      <c r="AI22" s="201"/>
      <c r="AJ22" s="201"/>
      <c r="AK22" s="201"/>
      <c r="AL22" s="201"/>
      <c r="AM22" s="201"/>
      <c r="AN22" s="201"/>
      <c r="AO22" s="201"/>
      <c r="AP22" s="201"/>
      <c r="AQ22" s="202"/>
      <c r="AR22" s="194">
        <v>9.99</v>
      </c>
      <c r="AS22" s="189"/>
      <c r="AT22" s="189"/>
      <c r="AU22" s="189"/>
      <c r="AV22" s="189"/>
      <c r="AW22" s="190"/>
      <c r="AX22" s="207"/>
      <c r="AY22" s="208"/>
      <c r="AZ22" s="208"/>
      <c r="BA22" s="208"/>
      <c r="BB22" s="208"/>
      <c r="BC22" s="208"/>
      <c r="BD22" s="208"/>
      <c r="BE22" s="208"/>
      <c r="BF22" s="208"/>
      <c r="BG22" s="208"/>
      <c r="BH22" s="208"/>
      <c r="BI22" s="208"/>
      <c r="BJ22" s="208"/>
      <c r="BK22" s="208"/>
      <c r="BL22" s="208"/>
      <c r="BM22" s="208"/>
      <c r="BN22" s="208"/>
      <c r="BO22" s="208"/>
      <c r="BP22" s="208"/>
      <c r="BQ22" s="208"/>
      <c r="BR22" s="208"/>
      <c r="BS22" s="208"/>
      <c r="BT22" s="209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213" t="s">
        <v>106</v>
      </c>
      <c r="F23" s="214"/>
      <c r="G23" s="214"/>
      <c r="H23" s="214"/>
      <c r="I23" s="214"/>
      <c r="J23" s="214"/>
      <c r="K23" s="214"/>
      <c r="L23" s="215"/>
      <c r="M23" s="194" t="s">
        <v>47</v>
      </c>
      <c r="N23" s="189"/>
      <c r="O23" s="189"/>
      <c r="P23" s="194" t="s">
        <v>83</v>
      </c>
      <c r="Q23" s="189"/>
      <c r="R23" s="189"/>
      <c r="S23" s="187"/>
      <c r="T23" s="212"/>
      <c r="U23" s="212"/>
      <c r="V23" s="207" t="s">
        <v>107</v>
      </c>
      <c r="W23" s="208"/>
      <c r="X23" s="208"/>
      <c r="Y23" s="208"/>
      <c r="Z23" s="208"/>
      <c r="AA23" s="211"/>
      <c r="AB23" s="203"/>
      <c r="AC23" s="201"/>
      <c r="AD23" s="201"/>
      <c r="AE23" s="201"/>
      <c r="AF23" s="201"/>
      <c r="AG23" s="201"/>
      <c r="AH23" s="201"/>
      <c r="AI23" s="201"/>
      <c r="AJ23" s="201"/>
      <c r="AK23" s="201"/>
      <c r="AL23" s="201"/>
      <c r="AM23" s="201"/>
      <c r="AN23" s="201"/>
      <c r="AO23" s="201"/>
      <c r="AP23" s="201"/>
      <c r="AQ23" s="202"/>
      <c r="AR23" s="194"/>
      <c r="AS23" s="189"/>
      <c r="AT23" s="189"/>
      <c r="AU23" s="189"/>
      <c r="AV23" s="189"/>
      <c r="AW23" s="190"/>
      <c r="AX23" s="207"/>
      <c r="AY23" s="208"/>
      <c r="AZ23" s="208"/>
      <c r="BA23" s="208"/>
      <c r="BB23" s="208"/>
      <c r="BC23" s="208"/>
      <c r="BD23" s="208"/>
      <c r="BE23" s="208"/>
      <c r="BF23" s="208"/>
      <c r="BG23" s="208"/>
      <c r="BH23" s="208"/>
      <c r="BI23" s="208"/>
      <c r="BJ23" s="208"/>
      <c r="BK23" s="208"/>
      <c r="BL23" s="208"/>
      <c r="BM23" s="208"/>
      <c r="BN23" s="208"/>
      <c r="BO23" s="208"/>
      <c r="BP23" s="208"/>
      <c r="BQ23" s="208"/>
      <c r="BR23" s="208"/>
      <c r="BS23" s="208"/>
      <c r="BT23" s="209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213" t="s">
        <v>73</v>
      </c>
      <c r="F24" s="214"/>
      <c r="G24" s="214"/>
      <c r="H24" s="214"/>
      <c r="I24" s="214"/>
      <c r="J24" s="214"/>
      <c r="K24" s="214"/>
      <c r="L24" s="215"/>
      <c r="M24" s="194" t="s">
        <v>8</v>
      </c>
      <c r="N24" s="189"/>
      <c r="O24" s="189"/>
      <c r="P24" s="194" t="s">
        <v>83</v>
      </c>
      <c r="Q24" s="189"/>
      <c r="R24" s="189"/>
      <c r="S24" s="194">
        <v>8</v>
      </c>
      <c r="T24" s="189"/>
      <c r="U24" s="189"/>
      <c r="V24" s="207" t="s">
        <v>211</v>
      </c>
      <c r="W24" s="208"/>
      <c r="X24" s="208"/>
      <c r="Y24" s="208"/>
      <c r="Z24" s="208"/>
      <c r="AA24" s="211"/>
      <c r="AB24" s="203"/>
      <c r="AC24" s="201"/>
      <c r="AD24" s="201"/>
      <c r="AE24" s="201"/>
      <c r="AF24" s="201"/>
      <c r="AG24" s="201"/>
      <c r="AH24" s="201"/>
      <c r="AI24" s="201"/>
      <c r="AJ24" s="201"/>
      <c r="AK24" s="201"/>
      <c r="AL24" s="201"/>
      <c r="AM24" s="201"/>
      <c r="AN24" s="201"/>
      <c r="AO24" s="201"/>
      <c r="AP24" s="201"/>
      <c r="AQ24" s="202"/>
      <c r="AR24" s="194"/>
      <c r="AS24" s="189"/>
      <c r="AT24" s="189"/>
      <c r="AU24" s="189"/>
      <c r="AV24" s="189"/>
      <c r="AW24" s="190"/>
      <c r="AX24" s="207"/>
      <c r="AY24" s="208"/>
      <c r="AZ24" s="208"/>
      <c r="BA24" s="208"/>
      <c r="BB24" s="208"/>
      <c r="BC24" s="208"/>
      <c r="BD24" s="208"/>
      <c r="BE24" s="208"/>
      <c r="BF24" s="208"/>
      <c r="BG24" s="208"/>
      <c r="BH24" s="208"/>
      <c r="BI24" s="208"/>
      <c r="BJ24" s="208"/>
      <c r="BK24" s="208"/>
      <c r="BL24" s="208"/>
      <c r="BM24" s="208"/>
      <c r="BN24" s="208"/>
      <c r="BO24" s="208"/>
      <c r="BP24" s="208"/>
      <c r="BQ24" s="208"/>
      <c r="BR24" s="208"/>
      <c r="BS24" s="208"/>
      <c r="BT24" s="209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213" t="s">
        <v>74</v>
      </c>
      <c r="F25" s="214"/>
      <c r="G25" s="214"/>
      <c r="H25" s="214"/>
      <c r="I25" s="214"/>
      <c r="J25" s="214"/>
      <c r="K25" s="214"/>
      <c r="L25" s="215"/>
      <c r="M25" s="194" t="s">
        <v>47</v>
      </c>
      <c r="N25" s="189"/>
      <c r="O25" s="189"/>
      <c r="P25" s="194" t="s">
        <v>83</v>
      </c>
      <c r="Q25" s="189"/>
      <c r="R25" s="189"/>
      <c r="S25" s="187" t="s">
        <v>88</v>
      </c>
      <c r="T25" s="212"/>
      <c r="U25" s="212"/>
      <c r="V25" s="207" t="s">
        <v>212</v>
      </c>
      <c r="W25" s="208"/>
      <c r="X25" s="208"/>
      <c r="Y25" s="208"/>
      <c r="Z25" s="208"/>
      <c r="AA25" s="211"/>
      <c r="AB25" s="203"/>
      <c r="AC25" s="201"/>
      <c r="AD25" s="201"/>
      <c r="AE25" s="201"/>
      <c r="AF25" s="201"/>
      <c r="AG25" s="201"/>
      <c r="AH25" s="201"/>
      <c r="AI25" s="201"/>
      <c r="AJ25" s="201"/>
      <c r="AK25" s="201"/>
      <c r="AL25" s="201"/>
      <c r="AM25" s="201"/>
      <c r="AN25" s="201"/>
      <c r="AO25" s="201"/>
      <c r="AP25" s="201"/>
      <c r="AQ25" s="202"/>
      <c r="AR25" s="194"/>
      <c r="AS25" s="189"/>
      <c r="AT25" s="189"/>
      <c r="AU25" s="189"/>
      <c r="AV25" s="189"/>
      <c r="AW25" s="190"/>
      <c r="AX25" s="207"/>
      <c r="AY25" s="208"/>
      <c r="AZ25" s="208"/>
      <c r="BA25" s="208"/>
      <c r="BB25" s="208"/>
      <c r="BC25" s="208"/>
      <c r="BD25" s="208"/>
      <c r="BE25" s="208"/>
      <c r="BF25" s="208"/>
      <c r="BG25" s="208"/>
      <c r="BH25" s="208"/>
      <c r="BI25" s="208"/>
      <c r="BJ25" s="208"/>
      <c r="BK25" s="208"/>
      <c r="BL25" s="208"/>
      <c r="BM25" s="208"/>
      <c r="BN25" s="208"/>
      <c r="BO25" s="208"/>
      <c r="BP25" s="208"/>
      <c r="BQ25" s="208"/>
      <c r="BR25" s="208"/>
      <c r="BS25" s="208"/>
      <c r="BT25" s="209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213" t="s">
        <v>75</v>
      </c>
      <c r="F26" s="214"/>
      <c r="G26" s="214"/>
      <c r="H26" s="214"/>
      <c r="I26" s="214"/>
      <c r="J26" s="214"/>
      <c r="K26" s="214"/>
      <c r="L26" s="215"/>
      <c r="M26" s="194" t="s">
        <v>38</v>
      </c>
      <c r="N26" s="189"/>
      <c r="O26" s="189"/>
      <c r="P26" s="194" t="s">
        <v>89</v>
      </c>
      <c r="Q26" s="189"/>
      <c r="R26" s="189"/>
      <c r="S26" s="187" t="s">
        <v>88</v>
      </c>
      <c r="T26" s="212"/>
      <c r="U26" s="212"/>
      <c r="V26" s="207" t="s">
        <v>213</v>
      </c>
      <c r="W26" s="208"/>
      <c r="X26" s="208"/>
      <c r="Y26" s="208"/>
      <c r="Z26" s="208"/>
      <c r="AA26" s="211"/>
      <c r="AB26" s="203"/>
      <c r="AC26" s="201"/>
      <c r="AD26" s="201"/>
      <c r="AE26" s="201"/>
      <c r="AF26" s="201"/>
      <c r="AG26" s="201"/>
      <c r="AH26" s="201"/>
      <c r="AI26" s="201"/>
      <c r="AJ26" s="201"/>
      <c r="AK26" s="201"/>
      <c r="AL26" s="201"/>
      <c r="AM26" s="201"/>
      <c r="AN26" s="201"/>
      <c r="AO26" s="201"/>
      <c r="AP26" s="201"/>
      <c r="AQ26" s="202"/>
      <c r="AR26" s="194"/>
      <c r="AS26" s="189"/>
      <c r="AT26" s="189"/>
      <c r="AU26" s="189"/>
      <c r="AV26" s="189"/>
      <c r="AW26" s="190"/>
      <c r="AX26" s="207"/>
      <c r="AY26" s="208"/>
      <c r="AZ26" s="208"/>
      <c r="BA26" s="208"/>
      <c r="BB26" s="208"/>
      <c r="BC26" s="208"/>
      <c r="BD26" s="208"/>
      <c r="BE26" s="208"/>
      <c r="BF26" s="208"/>
      <c r="BG26" s="208"/>
      <c r="BH26" s="208"/>
      <c r="BI26" s="208"/>
      <c r="BJ26" s="208"/>
      <c r="BK26" s="208"/>
      <c r="BL26" s="208"/>
      <c r="BM26" s="208"/>
      <c r="BN26" s="208"/>
      <c r="BO26" s="208"/>
      <c r="BP26" s="208"/>
      <c r="BQ26" s="208"/>
      <c r="BR26" s="208"/>
      <c r="BS26" s="208"/>
      <c r="BT26" s="209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ht="20.100000000000001" customHeight="1" x14ac:dyDescent="0.45">
      <c r="A27" s="29"/>
      <c r="B27" s="44"/>
      <c r="C27"/>
      <c r="D27" s="37">
        <v>17</v>
      </c>
      <c r="E27" s="213" t="s">
        <v>76</v>
      </c>
      <c r="F27" s="214"/>
      <c r="G27" s="214"/>
      <c r="H27" s="214"/>
      <c r="I27" s="214"/>
      <c r="J27" s="214"/>
      <c r="K27" s="214"/>
      <c r="L27" s="215"/>
      <c r="M27" s="194" t="s">
        <v>47</v>
      </c>
      <c r="N27" s="189"/>
      <c r="O27" s="189"/>
      <c r="P27" s="194" t="s">
        <v>83</v>
      </c>
      <c r="Q27" s="189"/>
      <c r="R27" s="189"/>
      <c r="S27" s="187" t="s">
        <v>88</v>
      </c>
      <c r="T27" s="212"/>
      <c r="U27" s="212"/>
      <c r="V27" s="207" t="s">
        <v>214</v>
      </c>
      <c r="W27" s="208"/>
      <c r="X27" s="208"/>
      <c r="Y27" s="208"/>
      <c r="Z27" s="208"/>
      <c r="AA27" s="211"/>
      <c r="AB27" s="203"/>
      <c r="AC27" s="201"/>
      <c r="AD27" s="201"/>
      <c r="AE27" s="201"/>
      <c r="AF27" s="201"/>
      <c r="AG27" s="201"/>
      <c r="AH27" s="201"/>
      <c r="AI27" s="201"/>
      <c r="AJ27" s="201"/>
      <c r="AK27" s="201"/>
      <c r="AL27" s="201"/>
      <c r="AM27" s="201"/>
      <c r="AN27" s="201"/>
      <c r="AO27" s="201"/>
      <c r="AP27" s="201"/>
      <c r="AQ27" s="202"/>
      <c r="AR27" s="194"/>
      <c r="AS27" s="189"/>
      <c r="AT27" s="189"/>
      <c r="AU27" s="189"/>
      <c r="AV27" s="189"/>
      <c r="AW27" s="190"/>
      <c r="AX27" s="207"/>
      <c r="AY27" s="208"/>
      <c r="AZ27" s="208"/>
      <c r="BA27" s="208"/>
      <c r="BB27" s="208"/>
      <c r="BC27" s="208"/>
      <c r="BD27" s="208"/>
      <c r="BE27" s="208"/>
      <c r="BF27" s="208"/>
      <c r="BG27" s="208"/>
      <c r="BH27" s="208"/>
      <c r="BI27" s="208"/>
      <c r="BJ27" s="208"/>
      <c r="BK27" s="208"/>
      <c r="BL27" s="208"/>
      <c r="BM27" s="208"/>
      <c r="BN27" s="208"/>
      <c r="BO27" s="208"/>
      <c r="BP27" s="208"/>
      <c r="BQ27" s="208"/>
      <c r="BR27" s="208"/>
      <c r="BS27" s="208"/>
      <c r="BT27" s="209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19.5" customHeight="1" x14ac:dyDescent="0.45">
      <c r="A28" s="29"/>
      <c r="B28" s="44"/>
      <c r="C28"/>
      <c r="D28" s="37">
        <v>18</v>
      </c>
      <c r="E28" s="213" t="s">
        <v>77</v>
      </c>
      <c r="F28" s="214"/>
      <c r="G28" s="214"/>
      <c r="H28" s="214"/>
      <c r="I28" s="214"/>
      <c r="J28" s="214"/>
      <c r="K28" s="214"/>
      <c r="L28" s="215"/>
      <c r="M28" s="194" t="s">
        <v>47</v>
      </c>
      <c r="N28" s="189"/>
      <c r="O28" s="189"/>
      <c r="P28" s="194" t="s">
        <v>83</v>
      </c>
      <c r="Q28" s="189"/>
      <c r="R28" s="189"/>
      <c r="S28" s="187" t="s">
        <v>88</v>
      </c>
      <c r="T28" s="212"/>
      <c r="U28" s="212"/>
      <c r="V28" s="207" t="s">
        <v>215</v>
      </c>
      <c r="W28" s="208"/>
      <c r="X28" s="208"/>
      <c r="Y28" s="208"/>
      <c r="Z28" s="208"/>
      <c r="AA28" s="211"/>
      <c r="AB28" s="203"/>
      <c r="AC28" s="201"/>
      <c r="AD28" s="201"/>
      <c r="AE28" s="201"/>
      <c r="AF28" s="201"/>
      <c r="AG28" s="201"/>
      <c r="AH28" s="201"/>
      <c r="AI28" s="201"/>
      <c r="AJ28" s="201"/>
      <c r="AK28" s="201"/>
      <c r="AL28" s="201"/>
      <c r="AM28" s="201"/>
      <c r="AN28" s="201"/>
      <c r="AO28" s="201"/>
      <c r="AP28" s="201"/>
      <c r="AQ28" s="202"/>
      <c r="AR28" s="194"/>
      <c r="AS28" s="189"/>
      <c r="AT28" s="189"/>
      <c r="AU28" s="189"/>
      <c r="AV28" s="189"/>
      <c r="AW28" s="190"/>
      <c r="AX28" s="207"/>
      <c r="AY28" s="208"/>
      <c r="AZ28" s="208"/>
      <c r="BA28" s="208"/>
      <c r="BB28" s="208"/>
      <c r="BC28" s="208"/>
      <c r="BD28" s="208"/>
      <c r="BE28" s="208"/>
      <c r="BF28" s="208"/>
      <c r="BG28" s="208"/>
      <c r="BH28" s="208"/>
      <c r="BI28" s="208"/>
      <c r="BJ28" s="208"/>
      <c r="BK28" s="208"/>
      <c r="BL28" s="208"/>
      <c r="BM28" s="208"/>
      <c r="BN28" s="208"/>
      <c r="BO28" s="208"/>
      <c r="BP28" s="208"/>
      <c r="BQ28" s="208"/>
      <c r="BR28" s="208"/>
      <c r="BS28" s="208"/>
      <c r="BT28" s="209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 x14ac:dyDescent="0.45">
      <c r="A29" s="29"/>
      <c r="B29" s="44"/>
      <c r="C29"/>
      <c r="D29" s="37">
        <v>19</v>
      </c>
      <c r="E29" s="213" t="s">
        <v>78</v>
      </c>
      <c r="F29" s="214"/>
      <c r="G29" s="214"/>
      <c r="H29" s="214"/>
      <c r="I29" s="214"/>
      <c r="J29" s="214"/>
      <c r="K29" s="214"/>
      <c r="L29" s="215"/>
      <c r="M29" s="194" t="s">
        <v>38</v>
      </c>
      <c r="N29" s="189"/>
      <c r="O29" s="189"/>
      <c r="P29" s="194" t="s">
        <v>89</v>
      </c>
      <c r="Q29" s="189"/>
      <c r="R29" s="189"/>
      <c r="S29" s="187" t="s">
        <v>88</v>
      </c>
      <c r="T29" s="212"/>
      <c r="U29" s="212"/>
      <c r="V29" s="207" t="s">
        <v>215</v>
      </c>
      <c r="W29" s="208"/>
      <c r="X29" s="208"/>
      <c r="Y29" s="208"/>
      <c r="Z29" s="208"/>
      <c r="AA29" s="211"/>
      <c r="AB29" s="200" t="s">
        <v>219</v>
      </c>
      <c r="AC29" s="201"/>
      <c r="AD29" s="201"/>
      <c r="AE29" s="201"/>
      <c r="AF29" s="201"/>
      <c r="AG29" s="201"/>
      <c r="AH29" s="201"/>
      <c r="AI29" s="201"/>
      <c r="AJ29" s="201"/>
      <c r="AK29" s="201"/>
      <c r="AL29" s="201"/>
      <c r="AM29" s="201"/>
      <c r="AN29" s="201"/>
      <c r="AO29" s="201"/>
      <c r="AP29" s="201"/>
      <c r="AQ29" s="202"/>
      <c r="AR29" s="194"/>
      <c r="AS29" s="189"/>
      <c r="AT29" s="189"/>
      <c r="AU29" s="189"/>
      <c r="AV29" s="189"/>
      <c r="AW29" s="190"/>
      <c r="AX29" s="207"/>
      <c r="AY29" s="208"/>
      <c r="AZ29" s="208"/>
      <c r="BA29" s="208"/>
      <c r="BB29" s="208"/>
      <c r="BC29" s="208"/>
      <c r="BD29" s="208"/>
      <c r="BE29" s="208"/>
      <c r="BF29" s="208"/>
      <c r="BG29" s="208"/>
      <c r="BH29" s="208"/>
      <c r="BI29" s="208"/>
      <c r="BJ29" s="208"/>
      <c r="BK29" s="208"/>
      <c r="BL29" s="208"/>
      <c r="BM29" s="208"/>
      <c r="BN29" s="208"/>
      <c r="BO29" s="208"/>
      <c r="BP29" s="208"/>
      <c r="BQ29" s="208"/>
      <c r="BR29" s="208"/>
      <c r="BS29" s="208"/>
      <c r="BT29" s="209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20.100000000000001" customHeight="1" x14ac:dyDescent="0.45">
      <c r="A30" s="29"/>
      <c r="B30" s="44"/>
      <c r="C30"/>
      <c r="D30" s="37">
        <v>20</v>
      </c>
      <c r="E30" s="213" t="s">
        <v>79</v>
      </c>
      <c r="F30" s="214"/>
      <c r="G30" s="214"/>
      <c r="H30" s="214"/>
      <c r="I30" s="214"/>
      <c r="J30" s="214"/>
      <c r="K30" s="214"/>
      <c r="L30" s="215"/>
      <c r="M30" s="194" t="s">
        <v>47</v>
      </c>
      <c r="N30" s="189"/>
      <c r="O30" s="189"/>
      <c r="P30" s="194" t="s">
        <v>83</v>
      </c>
      <c r="Q30" s="189"/>
      <c r="R30" s="189"/>
      <c r="S30" s="187" t="s">
        <v>88</v>
      </c>
      <c r="T30" s="212"/>
      <c r="U30" s="212"/>
      <c r="V30" s="207" t="s">
        <v>216</v>
      </c>
      <c r="W30" s="208"/>
      <c r="X30" s="208"/>
      <c r="Y30" s="208"/>
      <c r="Z30" s="208"/>
      <c r="AA30" s="211"/>
      <c r="AB30" s="203"/>
      <c r="AC30" s="201"/>
      <c r="AD30" s="201"/>
      <c r="AE30" s="201"/>
      <c r="AF30" s="201"/>
      <c r="AG30" s="201"/>
      <c r="AH30" s="201"/>
      <c r="AI30" s="201"/>
      <c r="AJ30" s="201"/>
      <c r="AK30" s="201"/>
      <c r="AL30" s="201"/>
      <c r="AM30" s="201"/>
      <c r="AN30" s="201"/>
      <c r="AO30" s="201"/>
      <c r="AP30" s="201"/>
      <c r="AQ30" s="202"/>
      <c r="AR30" s="196">
        <v>9999</v>
      </c>
      <c r="AS30" s="189"/>
      <c r="AT30" s="189"/>
      <c r="AU30" s="189"/>
      <c r="AV30" s="189"/>
      <c r="AW30" s="190"/>
      <c r="AX30" s="204"/>
      <c r="AY30" s="205"/>
      <c r="AZ30" s="205"/>
      <c r="BA30" s="205"/>
      <c r="BB30" s="205"/>
      <c r="BC30" s="205"/>
      <c r="BD30" s="205"/>
      <c r="BE30" s="205"/>
      <c r="BF30" s="205"/>
      <c r="BG30" s="205"/>
      <c r="BH30" s="205"/>
      <c r="BI30" s="205"/>
      <c r="BJ30" s="205"/>
      <c r="BK30" s="205"/>
      <c r="BL30" s="205"/>
      <c r="BM30" s="205"/>
      <c r="BN30" s="205"/>
      <c r="BO30" s="205"/>
      <c r="BP30" s="205"/>
      <c r="BQ30" s="205"/>
      <c r="BR30" s="205"/>
      <c r="BS30" s="205"/>
      <c r="BT30" s="206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s="5" customFormat="1" ht="20.100000000000001" customHeight="1" x14ac:dyDescent="0.45">
      <c r="A31" s="29"/>
      <c r="B31" s="35"/>
      <c r="C31" s="29"/>
      <c r="D31" s="37">
        <v>21</v>
      </c>
      <c r="E31" s="213" t="s">
        <v>80</v>
      </c>
      <c r="F31" s="214"/>
      <c r="G31" s="214"/>
      <c r="H31" s="214"/>
      <c r="I31" s="214"/>
      <c r="J31" s="214"/>
      <c r="K31" s="214"/>
      <c r="L31" s="215"/>
      <c r="M31" s="194" t="s">
        <v>47</v>
      </c>
      <c r="N31" s="189"/>
      <c r="O31" s="189"/>
      <c r="P31" s="194" t="s">
        <v>83</v>
      </c>
      <c r="Q31" s="189"/>
      <c r="R31" s="189"/>
      <c r="S31" s="187" t="s">
        <v>88</v>
      </c>
      <c r="T31" s="212"/>
      <c r="U31" s="212"/>
      <c r="V31" s="207" t="s">
        <v>217</v>
      </c>
      <c r="W31" s="208"/>
      <c r="X31" s="208"/>
      <c r="Y31" s="208"/>
      <c r="Z31" s="208"/>
      <c r="AA31" s="211"/>
      <c r="AB31" s="203"/>
      <c r="AC31" s="201"/>
      <c r="AD31" s="201"/>
      <c r="AE31" s="201"/>
      <c r="AF31" s="201"/>
      <c r="AG31" s="201"/>
      <c r="AH31" s="201"/>
      <c r="AI31" s="201"/>
      <c r="AJ31" s="201"/>
      <c r="AK31" s="201"/>
      <c r="AL31" s="201"/>
      <c r="AM31" s="201"/>
      <c r="AN31" s="201"/>
      <c r="AO31" s="201"/>
      <c r="AP31" s="201"/>
      <c r="AQ31" s="202"/>
      <c r="AR31" s="196">
        <v>9999</v>
      </c>
      <c r="AS31" s="189"/>
      <c r="AT31" s="189"/>
      <c r="AU31" s="189"/>
      <c r="AV31" s="189"/>
      <c r="AW31" s="190"/>
      <c r="AX31" s="207"/>
      <c r="AY31" s="208"/>
      <c r="AZ31" s="208"/>
      <c r="BA31" s="208"/>
      <c r="BB31" s="208"/>
      <c r="BC31" s="208"/>
      <c r="BD31" s="208"/>
      <c r="BE31" s="208"/>
      <c r="BF31" s="208"/>
      <c r="BG31" s="208"/>
      <c r="BH31" s="208"/>
      <c r="BI31" s="208"/>
      <c r="BJ31" s="208"/>
      <c r="BK31" s="208"/>
      <c r="BL31" s="208"/>
      <c r="BM31" s="208"/>
      <c r="BN31" s="208"/>
      <c r="BO31" s="208"/>
      <c r="BP31" s="208"/>
      <c r="BQ31" s="208"/>
      <c r="BR31" s="208"/>
      <c r="BS31" s="208"/>
      <c r="BT31" s="209"/>
      <c r="BU31" s="41"/>
      <c r="BV31" s="40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</row>
    <row r="32" spans="1:85" ht="20.100000000000001" customHeight="1" x14ac:dyDescent="0.45">
      <c r="A32" s="29"/>
      <c r="B32" s="44"/>
      <c r="C32" s="29"/>
      <c r="D32" s="37">
        <v>22</v>
      </c>
      <c r="E32" s="213" t="s">
        <v>81</v>
      </c>
      <c r="F32" s="214"/>
      <c r="G32" s="214"/>
      <c r="H32" s="214"/>
      <c r="I32" s="214"/>
      <c r="J32" s="214"/>
      <c r="K32" s="214"/>
      <c r="L32" s="215"/>
      <c r="M32" s="194" t="s">
        <v>47</v>
      </c>
      <c r="N32" s="189"/>
      <c r="O32" s="189"/>
      <c r="P32" s="194" t="s">
        <v>83</v>
      </c>
      <c r="Q32" s="189"/>
      <c r="R32" s="189"/>
      <c r="S32" s="187" t="s">
        <v>88</v>
      </c>
      <c r="T32" s="212"/>
      <c r="U32" s="212"/>
      <c r="V32" s="207" t="s">
        <v>218</v>
      </c>
      <c r="W32" s="208"/>
      <c r="X32" s="208"/>
      <c r="Y32" s="208"/>
      <c r="Z32" s="208"/>
      <c r="AA32" s="211"/>
      <c r="AB32" s="203"/>
      <c r="AC32" s="201"/>
      <c r="AD32" s="201"/>
      <c r="AE32" s="201"/>
      <c r="AF32" s="201"/>
      <c r="AG32" s="201"/>
      <c r="AH32" s="201"/>
      <c r="AI32" s="201"/>
      <c r="AJ32" s="201"/>
      <c r="AK32" s="201"/>
      <c r="AL32" s="201"/>
      <c r="AM32" s="201"/>
      <c r="AN32" s="201"/>
      <c r="AO32" s="201"/>
      <c r="AP32" s="201"/>
      <c r="AQ32" s="202"/>
      <c r="AR32" s="194">
        <v>9.99</v>
      </c>
      <c r="AS32" s="189"/>
      <c r="AT32" s="189"/>
      <c r="AU32" s="189"/>
      <c r="AV32" s="189"/>
      <c r="AW32" s="190"/>
      <c r="AX32" s="207"/>
      <c r="AY32" s="208"/>
      <c r="AZ32" s="208"/>
      <c r="BA32" s="208"/>
      <c r="BB32" s="208"/>
      <c r="BC32" s="208"/>
      <c r="BD32" s="208"/>
      <c r="BE32" s="208"/>
      <c r="BF32" s="208"/>
      <c r="BG32" s="208"/>
      <c r="BH32" s="208"/>
      <c r="BI32" s="208"/>
      <c r="BJ32" s="208"/>
      <c r="BK32" s="208"/>
      <c r="BL32" s="208"/>
      <c r="BM32" s="208"/>
      <c r="BN32" s="208"/>
      <c r="BO32" s="208"/>
      <c r="BP32" s="208"/>
      <c r="BQ32" s="208"/>
      <c r="BR32" s="208"/>
      <c r="BS32" s="208"/>
      <c r="BT32" s="209"/>
      <c r="BU32" s="41"/>
      <c r="BV32" s="40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</row>
    <row r="33" spans="1:85" ht="19.5" customHeight="1" x14ac:dyDescent="0.45">
      <c r="A33" s="29"/>
      <c r="B33" s="44"/>
      <c r="C33" s="29"/>
      <c r="D33" s="37">
        <v>23</v>
      </c>
      <c r="E33" s="213" t="s">
        <v>82</v>
      </c>
      <c r="F33" s="214"/>
      <c r="G33" s="214"/>
      <c r="H33" s="214"/>
      <c r="I33" s="214"/>
      <c r="J33" s="214"/>
      <c r="K33" s="214"/>
      <c r="L33" s="215"/>
      <c r="M33" s="194" t="s">
        <v>47</v>
      </c>
      <c r="N33" s="189"/>
      <c r="O33" s="189"/>
      <c r="P33" s="194" t="s">
        <v>83</v>
      </c>
      <c r="Q33" s="189"/>
      <c r="R33" s="189"/>
      <c r="S33" s="187" t="s">
        <v>88</v>
      </c>
      <c r="T33" s="212"/>
      <c r="U33" s="212"/>
      <c r="V33" s="229" t="s">
        <v>239</v>
      </c>
      <c r="W33" s="230"/>
      <c r="X33" s="230"/>
      <c r="Y33" s="230"/>
      <c r="Z33" s="230"/>
      <c r="AA33" s="231"/>
      <c r="AB33" s="229" t="s">
        <v>224</v>
      </c>
      <c r="AC33" s="201"/>
      <c r="AD33" s="201"/>
      <c r="AE33" s="201"/>
      <c r="AF33" s="201"/>
      <c r="AG33" s="201"/>
      <c r="AH33" s="201"/>
      <c r="AI33" s="201"/>
      <c r="AJ33" s="201"/>
      <c r="AK33" s="201"/>
      <c r="AL33" s="201"/>
      <c r="AM33" s="201"/>
      <c r="AN33" s="201"/>
      <c r="AO33" s="201"/>
      <c r="AP33" s="201"/>
      <c r="AQ33" s="202"/>
      <c r="AR33" s="194">
        <v>9.99</v>
      </c>
      <c r="AS33" s="189"/>
      <c r="AT33" s="189"/>
      <c r="AU33" s="189"/>
      <c r="AV33" s="189"/>
      <c r="AW33" s="190"/>
      <c r="AX33" s="207"/>
      <c r="AY33" s="208"/>
      <c r="AZ33" s="208"/>
      <c r="BA33" s="208"/>
      <c r="BB33" s="208"/>
      <c r="BC33" s="208"/>
      <c r="BD33" s="208"/>
      <c r="BE33" s="208"/>
      <c r="BF33" s="208"/>
      <c r="BG33" s="208"/>
      <c r="BH33" s="208"/>
      <c r="BI33" s="208"/>
      <c r="BJ33" s="208"/>
      <c r="BK33" s="208"/>
      <c r="BL33" s="208"/>
      <c r="BM33" s="208"/>
      <c r="BN33" s="208"/>
      <c r="BO33" s="208"/>
      <c r="BP33" s="208"/>
      <c r="BQ33" s="208"/>
      <c r="BR33" s="208"/>
      <c r="BS33" s="208"/>
      <c r="BT33" s="209"/>
      <c r="BU33" s="41"/>
      <c r="BV33" s="40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</row>
    <row r="34" spans="1:85" ht="19.5" customHeight="1" x14ac:dyDescent="0.45">
      <c r="A34" s="29"/>
      <c r="B34" s="44"/>
      <c r="C34" s="29"/>
      <c r="D34" s="37">
        <v>24</v>
      </c>
      <c r="E34" s="213"/>
      <c r="F34" s="214"/>
      <c r="G34" s="214"/>
      <c r="H34" s="214"/>
      <c r="I34" s="214"/>
      <c r="J34" s="214"/>
      <c r="K34" s="214"/>
      <c r="L34" s="215"/>
      <c r="M34" s="194"/>
      <c r="N34" s="189"/>
      <c r="O34" s="189"/>
      <c r="P34" s="194"/>
      <c r="Q34" s="189"/>
      <c r="R34" s="189"/>
      <c r="S34" s="194"/>
      <c r="T34" s="189"/>
      <c r="U34" s="189"/>
      <c r="V34" s="207"/>
      <c r="W34" s="208"/>
      <c r="X34" s="208"/>
      <c r="Y34" s="208"/>
      <c r="Z34" s="208"/>
      <c r="AA34" s="211"/>
      <c r="AB34" s="203"/>
      <c r="AC34" s="201"/>
      <c r="AD34" s="201"/>
      <c r="AE34" s="201"/>
      <c r="AF34" s="201"/>
      <c r="AG34" s="201"/>
      <c r="AH34" s="201"/>
      <c r="AI34" s="201"/>
      <c r="AJ34" s="201"/>
      <c r="AK34" s="201"/>
      <c r="AL34" s="201"/>
      <c r="AM34" s="201"/>
      <c r="AN34" s="201"/>
      <c r="AO34" s="201"/>
      <c r="AP34" s="201"/>
      <c r="AQ34" s="202"/>
      <c r="AR34" s="194"/>
      <c r="AS34" s="189"/>
      <c r="AT34" s="189"/>
      <c r="AU34" s="189"/>
      <c r="AV34" s="189"/>
      <c r="AW34" s="190"/>
      <c r="AX34" s="207"/>
      <c r="AY34" s="208"/>
      <c r="AZ34" s="208"/>
      <c r="BA34" s="208"/>
      <c r="BB34" s="208"/>
      <c r="BC34" s="208"/>
      <c r="BD34" s="208"/>
      <c r="BE34" s="208"/>
      <c r="BF34" s="208"/>
      <c r="BG34" s="208"/>
      <c r="BH34" s="208"/>
      <c r="BI34" s="208"/>
      <c r="BJ34" s="208"/>
      <c r="BK34" s="208"/>
      <c r="BL34" s="208"/>
      <c r="BM34" s="208"/>
      <c r="BN34" s="208"/>
      <c r="BO34" s="208"/>
      <c r="BP34" s="208"/>
      <c r="BQ34" s="208"/>
      <c r="BR34" s="208"/>
      <c r="BS34" s="208"/>
      <c r="BT34" s="209"/>
      <c r="BU34" s="41"/>
      <c r="BV34" s="40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</row>
    <row r="35" spans="1:85" ht="20.100000000000001" customHeight="1" thickBot="1" x14ac:dyDescent="0.5">
      <c r="A35" s="29"/>
      <c r="B35" s="44"/>
      <c r="C35" s="29"/>
      <c r="D35" s="37">
        <v>25</v>
      </c>
      <c r="E35" s="219"/>
      <c r="F35" s="220"/>
      <c r="G35" s="220"/>
      <c r="H35" s="220"/>
      <c r="I35" s="220"/>
      <c r="J35" s="220"/>
      <c r="K35" s="220"/>
      <c r="L35" s="221"/>
      <c r="M35" s="222"/>
      <c r="N35" s="223"/>
      <c r="O35" s="224"/>
      <c r="P35" s="222"/>
      <c r="Q35" s="223"/>
      <c r="R35" s="223"/>
      <c r="S35" s="222"/>
      <c r="T35" s="223"/>
      <c r="U35" s="223"/>
      <c r="V35" s="204"/>
      <c r="W35" s="205"/>
      <c r="X35" s="205"/>
      <c r="Y35" s="205"/>
      <c r="Z35" s="205"/>
      <c r="AA35" s="225"/>
      <c r="AB35" s="226"/>
      <c r="AC35" s="227"/>
      <c r="AD35" s="227"/>
      <c r="AE35" s="227"/>
      <c r="AF35" s="227"/>
      <c r="AG35" s="227"/>
      <c r="AH35" s="227"/>
      <c r="AI35" s="227"/>
      <c r="AJ35" s="227"/>
      <c r="AK35" s="227"/>
      <c r="AL35" s="227"/>
      <c r="AM35" s="227"/>
      <c r="AN35" s="227"/>
      <c r="AO35" s="227"/>
      <c r="AP35" s="227"/>
      <c r="AQ35" s="228"/>
      <c r="AR35" s="222"/>
      <c r="AS35" s="223"/>
      <c r="AT35" s="223"/>
      <c r="AU35" s="223"/>
      <c r="AV35" s="223"/>
      <c r="AW35" s="224"/>
      <c r="AX35" s="204"/>
      <c r="AY35" s="205"/>
      <c r="AZ35" s="205"/>
      <c r="BA35" s="205"/>
      <c r="BB35" s="205"/>
      <c r="BC35" s="205"/>
      <c r="BD35" s="205"/>
      <c r="BE35" s="205"/>
      <c r="BF35" s="205"/>
      <c r="BG35" s="205"/>
      <c r="BH35" s="205"/>
      <c r="BI35" s="205"/>
      <c r="BJ35" s="205"/>
      <c r="BK35" s="205"/>
      <c r="BL35" s="205"/>
      <c r="BM35" s="205"/>
      <c r="BN35" s="205"/>
      <c r="BO35" s="205"/>
      <c r="BP35" s="205"/>
      <c r="BQ35" s="205"/>
      <c r="BR35" s="205"/>
      <c r="BS35" s="205"/>
      <c r="BT35" s="206"/>
      <c r="BU35" s="41"/>
      <c r="BV35" s="40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</row>
    <row r="36" spans="1:85" ht="20.100000000000001" customHeight="1" thickTop="1" thickBot="1" x14ac:dyDescent="0.5">
      <c r="A36" s="29"/>
      <c r="B36" s="40"/>
      <c r="C36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  <c r="BM36" s="73"/>
      <c r="BN36" s="73"/>
      <c r="BO36" s="73"/>
      <c r="BP36" s="73"/>
      <c r="BQ36" s="46"/>
      <c r="BR36" s="46"/>
      <c r="BS36" s="46"/>
      <c r="BT36" s="46"/>
      <c r="BU36" s="28"/>
    </row>
    <row r="37" spans="1:85" ht="20.100000000000001" customHeight="1" thickTop="1" x14ac:dyDescent="0.45">
      <c r="A37" s="29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33"/>
      <c r="BD37" s="33"/>
      <c r="BE37" s="33"/>
      <c r="BF37" s="33"/>
      <c r="BG37" s="33"/>
      <c r="BH37" s="33"/>
      <c r="BI37" s="42"/>
      <c r="BJ37" s="42"/>
      <c r="BK37" s="42"/>
      <c r="BL37" s="42"/>
      <c r="BM37" s="42"/>
      <c r="BN37" s="42"/>
      <c r="BO37" s="42"/>
      <c r="BP37" s="41"/>
    </row>
    <row r="38" spans="1:85" ht="20.100000000000001" customHeight="1" x14ac:dyDescent="0.45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</row>
    <row r="39" spans="1:85" ht="20.100000000000001" customHeight="1" x14ac:dyDescent="0.45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31"/>
      <c r="BH39" s="31"/>
      <c r="BI39" s="31"/>
      <c r="BJ39" s="31"/>
      <c r="BK39" s="31"/>
      <c r="BL39" s="31"/>
      <c r="BM39" s="31"/>
      <c r="BN39" s="31"/>
      <c r="BO39" s="31"/>
      <c r="BP39" s="31"/>
    </row>
    <row r="40" spans="1:85" ht="20.100000000000001" customHeight="1" x14ac:dyDescent="0.45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31"/>
      <c r="BH40" s="31"/>
      <c r="BI40" s="31"/>
      <c r="BJ40" s="31"/>
      <c r="BK40" s="31"/>
      <c r="BL40" s="31"/>
      <c r="BM40" s="31"/>
      <c r="BN40" s="31"/>
      <c r="BO40" s="31"/>
      <c r="BP40" s="31"/>
    </row>
    <row r="41" spans="1:85" ht="20.100000000000001" customHeight="1" x14ac:dyDescent="0.45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31"/>
      <c r="BH41" s="31"/>
      <c r="BI41" s="31"/>
      <c r="BJ41" s="31"/>
      <c r="BK41" s="31"/>
      <c r="BL41" s="31"/>
      <c r="BM41" s="31"/>
      <c r="BN41" s="31"/>
      <c r="BO41" s="31"/>
      <c r="BP41" s="31"/>
    </row>
    <row r="42" spans="1:85" ht="20.100000000000001" customHeight="1" x14ac:dyDescent="0.45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31"/>
      <c r="BH42" s="31"/>
      <c r="BI42" s="31"/>
      <c r="BJ42" s="31"/>
      <c r="BK42" s="31"/>
      <c r="BL42" s="31"/>
      <c r="BM42" s="31"/>
      <c r="BN42" s="31"/>
      <c r="BO42" s="31"/>
      <c r="BP42" s="31"/>
    </row>
    <row r="43" spans="1:85" ht="20.100000000000001" customHeight="1" x14ac:dyDescent="0.4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31"/>
      <c r="BH43" s="31"/>
      <c r="BI43" s="31"/>
      <c r="BJ43" s="31"/>
      <c r="BK43" s="31"/>
      <c r="BL43" s="31"/>
      <c r="BM43" s="31"/>
      <c r="BN43" s="31"/>
      <c r="BO43" s="31"/>
      <c r="BP43" s="31"/>
    </row>
    <row r="44" spans="1:85" ht="20.100000000000001" customHeight="1" x14ac:dyDescent="0.45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31"/>
      <c r="BH44" s="31"/>
      <c r="BI44" s="31"/>
      <c r="BJ44" s="31"/>
      <c r="BK44" s="31"/>
      <c r="BL44" s="31"/>
      <c r="BM44" s="31"/>
      <c r="BN44" s="31"/>
      <c r="BO44" s="31"/>
      <c r="BP44" s="31"/>
    </row>
    <row r="45" spans="1:85" ht="20.100000000000001" customHeight="1" x14ac:dyDescent="0.45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31"/>
      <c r="BH45" s="31"/>
      <c r="BI45" s="31"/>
      <c r="BJ45" s="31"/>
      <c r="BK45" s="31"/>
      <c r="BL45" s="31"/>
      <c r="BM45" s="31"/>
      <c r="BN45" s="31"/>
      <c r="BO45" s="31"/>
      <c r="BP45" s="31"/>
    </row>
    <row r="46" spans="1:85" ht="20.100000000000001" customHeight="1" x14ac:dyDescent="0.45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31"/>
      <c r="BH46" s="31"/>
      <c r="BI46" s="31"/>
      <c r="BJ46" s="31"/>
      <c r="BK46" s="31"/>
      <c r="BL46" s="31"/>
      <c r="BM46" s="31"/>
      <c r="BN46" s="31"/>
      <c r="BO46" s="31"/>
      <c r="BP46" s="31"/>
    </row>
    <row r="47" spans="1:85" ht="20.100000000000001" customHeight="1" x14ac:dyDescent="0.45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31"/>
      <c r="BH47" s="31"/>
      <c r="BI47" s="31"/>
      <c r="BJ47" s="31"/>
      <c r="BK47" s="31"/>
      <c r="BL47" s="31"/>
      <c r="BM47" s="31"/>
      <c r="BN47" s="31"/>
      <c r="BO47" s="31"/>
      <c r="BP47" s="31"/>
    </row>
    <row r="48" spans="1:85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31"/>
      <c r="BH48" s="31"/>
      <c r="BI48" s="31"/>
      <c r="BJ48" s="31"/>
      <c r="BK48" s="31"/>
      <c r="BL48" s="31"/>
      <c r="BM48" s="31"/>
      <c r="BN48" s="31"/>
      <c r="BO48" s="31"/>
      <c r="BP48" s="31"/>
    </row>
    <row r="49" spans="1:68" ht="20.100000000000001" customHeight="1" x14ac:dyDescent="0.45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</row>
    <row r="50" spans="1:68" ht="20.100000000000001" customHeight="1" x14ac:dyDescent="0.45">
      <c r="B50" s="3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</row>
    <row r="51" spans="1:68" ht="20.100000000000001" customHeight="1" x14ac:dyDescent="0.45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31"/>
      <c r="BP51" s="31"/>
    </row>
    <row r="52" spans="1:68" ht="20.100000000000001" customHeight="1" x14ac:dyDescent="0.45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31"/>
      <c r="BP52" s="31"/>
    </row>
    <row r="53" spans="1:68" ht="20.100000000000001" customHeight="1" x14ac:dyDescent="0.45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31"/>
      <c r="BP53" s="31"/>
    </row>
    <row r="54" spans="1:68" ht="20.100000000000001" customHeight="1" x14ac:dyDescent="0.45">
      <c r="A54" s="29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31"/>
      <c r="BP54" s="31"/>
    </row>
    <row r="55" spans="1:68" ht="20.100000000000001" customHeight="1" x14ac:dyDescent="0.45">
      <c r="A55" s="29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31"/>
      <c r="BP55" s="31"/>
    </row>
    <row r="56" spans="1:68" ht="20.100000000000001" customHeight="1" x14ac:dyDescent="0.4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</row>
    <row r="57" spans="1:68" ht="20.100000000000001" customHeight="1" x14ac:dyDescent="0.4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</row>
    <row r="58" spans="1:68" ht="20.100000000000001" customHeight="1" x14ac:dyDescent="0.45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</row>
  </sheetData>
  <mergeCells count="228">
    <mergeCell ref="E35:L35"/>
    <mergeCell ref="M35:O35"/>
    <mergeCell ref="P35:R35"/>
    <mergeCell ref="S35:U35"/>
    <mergeCell ref="V35:AA35"/>
    <mergeCell ref="AB35:AQ35"/>
    <mergeCell ref="AR35:AW35"/>
    <mergeCell ref="AX35:BT35"/>
    <mergeCell ref="E33:L33"/>
    <mergeCell ref="M33:O33"/>
    <mergeCell ref="P33:R33"/>
    <mergeCell ref="S33:U33"/>
    <mergeCell ref="V33:AA33"/>
    <mergeCell ref="AB33:AQ33"/>
    <mergeCell ref="AR33:AW33"/>
    <mergeCell ref="AX33:BT33"/>
    <mergeCell ref="E34:L34"/>
    <mergeCell ref="M34:O34"/>
    <mergeCell ref="P34:R34"/>
    <mergeCell ref="S34:U34"/>
    <mergeCell ref="V34:AA34"/>
    <mergeCell ref="AB34:AQ34"/>
    <mergeCell ref="AR34:AW34"/>
    <mergeCell ref="AX34:BT34"/>
    <mergeCell ref="E31:L31"/>
    <mergeCell ref="M31:O31"/>
    <mergeCell ref="P31:R31"/>
    <mergeCell ref="S31:U31"/>
    <mergeCell ref="V31:AA31"/>
    <mergeCell ref="AB31:AQ31"/>
    <mergeCell ref="AR31:AW31"/>
    <mergeCell ref="AX31:BT31"/>
    <mergeCell ref="E32:L32"/>
    <mergeCell ref="M32:O32"/>
    <mergeCell ref="P32:R32"/>
    <mergeCell ref="S32:U32"/>
    <mergeCell ref="V32:AA32"/>
    <mergeCell ref="AB32:AQ32"/>
    <mergeCell ref="AR32:AW32"/>
    <mergeCell ref="AX32:BT32"/>
    <mergeCell ref="E30:L30"/>
    <mergeCell ref="M26:O26"/>
    <mergeCell ref="M27:O27"/>
    <mergeCell ref="M28:O28"/>
    <mergeCell ref="M29:O29"/>
    <mergeCell ref="M30:O30"/>
    <mergeCell ref="E23:L23"/>
    <mergeCell ref="E26:L26"/>
    <mergeCell ref="E27:L27"/>
    <mergeCell ref="E28:L28"/>
    <mergeCell ref="E29:L29"/>
    <mergeCell ref="E25:L25"/>
    <mergeCell ref="E24:L24"/>
    <mergeCell ref="M24:O24"/>
    <mergeCell ref="M25:O25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E20:L20"/>
    <mergeCell ref="E21:L21"/>
    <mergeCell ref="E22:L22"/>
    <mergeCell ref="E14:L14"/>
    <mergeCell ref="E15:L15"/>
    <mergeCell ref="M10:O10"/>
    <mergeCell ref="M11:O11"/>
    <mergeCell ref="M12:O12"/>
    <mergeCell ref="M13:O13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V24:AA24"/>
    <mergeCell ref="V25:AA25"/>
    <mergeCell ref="V26:AA26"/>
    <mergeCell ref="V27:AA27"/>
    <mergeCell ref="V28:AA28"/>
    <mergeCell ref="P19:R19"/>
    <mergeCell ref="P20:R20"/>
    <mergeCell ref="P21:R21"/>
    <mergeCell ref="P22:R22"/>
    <mergeCell ref="P23:R23"/>
    <mergeCell ref="V23:AA23"/>
    <mergeCell ref="V19:AA19"/>
    <mergeCell ref="V20:AA20"/>
    <mergeCell ref="V21:AA21"/>
    <mergeCell ref="V22:AA22"/>
    <mergeCell ref="P29:R29"/>
    <mergeCell ref="P30:R3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P24:R24"/>
    <mergeCell ref="P25:R25"/>
    <mergeCell ref="P26:R26"/>
    <mergeCell ref="P27:R27"/>
    <mergeCell ref="P28:R28"/>
    <mergeCell ref="AX10:BT10"/>
    <mergeCell ref="AX11:BT11"/>
    <mergeCell ref="AX12:BT12"/>
    <mergeCell ref="AX13:BT13"/>
    <mergeCell ref="AX14:BT14"/>
    <mergeCell ref="V29:AA29"/>
    <mergeCell ref="V30:AA30"/>
    <mergeCell ref="S10:U10"/>
    <mergeCell ref="S24:U24"/>
    <mergeCell ref="S25:U25"/>
    <mergeCell ref="S26:U26"/>
    <mergeCell ref="S27:U27"/>
    <mergeCell ref="S28:U28"/>
    <mergeCell ref="S29:U29"/>
    <mergeCell ref="V10:AA10"/>
    <mergeCell ref="S30:U30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AX27:BT27"/>
    <mergeCell ref="AX28:BT28"/>
    <mergeCell ref="AX29:BT29"/>
    <mergeCell ref="AX20:BT20"/>
    <mergeCell ref="AX21:BT21"/>
    <mergeCell ref="AX22:BT22"/>
    <mergeCell ref="AX23:BT23"/>
    <mergeCell ref="AX24:BT24"/>
    <mergeCell ref="AX15:BT15"/>
    <mergeCell ref="AX16:BT16"/>
    <mergeCell ref="AX17:BT17"/>
    <mergeCell ref="AX18:BT18"/>
    <mergeCell ref="AX19:BT19"/>
    <mergeCell ref="AB29:AQ29"/>
    <mergeCell ref="AB30:AQ30"/>
    <mergeCell ref="AB24:AQ24"/>
    <mergeCell ref="AB25:AQ25"/>
    <mergeCell ref="AB26:AQ26"/>
    <mergeCell ref="AB27:AQ27"/>
    <mergeCell ref="AB28:AQ28"/>
    <mergeCell ref="AX30:BT30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X25:BT25"/>
    <mergeCell ref="AX26:BT26"/>
    <mergeCell ref="AR30:AW30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29:AW29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M11:O35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83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35" t="s">
        <v>0</v>
      </c>
      <c r="C2" s="236"/>
      <c r="D2" s="236"/>
      <c r="E2" s="236"/>
      <c r="F2" s="236"/>
      <c r="G2" s="236"/>
      <c r="H2" s="236" t="s">
        <v>17</v>
      </c>
      <c r="I2" s="236"/>
      <c r="J2" s="236"/>
      <c r="K2" s="236"/>
      <c r="L2" s="236" t="s">
        <v>242</v>
      </c>
      <c r="M2" s="236"/>
      <c r="N2" s="236"/>
      <c r="O2" s="236"/>
      <c r="P2" s="236"/>
      <c r="Q2" s="236"/>
      <c r="R2" s="236" t="s">
        <v>2</v>
      </c>
      <c r="S2" s="236"/>
      <c r="T2" s="236"/>
      <c r="U2" s="236"/>
      <c r="V2" s="236"/>
      <c r="W2" s="236"/>
      <c r="X2" s="237" t="s">
        <v>3</v>
      </c>
      <c r="Y2" s="238"/>
      <c r="Z2" s="238"/>
      <c r="AA2" s="238"/>
      <c r="AB2" s="238"/>
      <c r="AC2" s="238"/>
      <c r="AD2" s="238"/>
      <c r="AE2" s="238"/>
      <c r="AF2" s="238"/>
      <c r="AG2" s="238"/>
      <c r="AH2" s="238"/>
      <c r="AI2" s="238"/>
      <c r="AJ2" s="239"/>
      <c r="AK2" s="237" t="s">
        <v>32</v>
      </c>
      <c r="AL2" s="238"/>
      <c r="AM2" s="238"/>
      <c r="AN2" s="238"/>
      <c r="AO2" s="238"/>
      <c r="AP2" s="238"/>
      <c r="AQ2" s="238"/>
      <c r="AR2" s="238"/>
      <c r="AS2" s="238"/>
      <c r="AT2" s="238"/>
      <c r="AU2" s="238"/>
      <c r="AV2" s="238"/>
      <c r="AW2" s="239"/>
      <c r="AX2" s="236" t="s">
        <v>5</v>
      </c>
      <c r="AY2" s="236"/>
      <c r="AZ2" s="236"/>
      <c r="BA2" s="236"/>
      <c r="BB2" s="236" t="s">
        <v>4</v>
      </c>
      <c r="BC2" s="236"/>
      <c r="BD2" s="236"/>
      <c r="BE2" s="236"/>
      <c r="BF2" s="236" t="s">
        <v>6</v>
      </c>
      <c r="BG2" s="236"/>
      <c r="BH2" s="236"/>
      <c r="BI2" s="236"/>
      <c r="BJ2" s="236" t="s">
        <v>7</v>
      </c>
      <c r="BK2" s="236"/>
      <c r="BL2" s="236"/>
      <c r="BM2" s="246"/>
    </row>
    <row r="3" spans="2:65" ht="20.100000000000001" customHeight="1" x14ac:dyDescent="0.45">
      <c r="B3" s="240" t="str">
        <f>変更履歴!B3</f>
        <v>受発注システム</v>
      </c>
      <c r="C3" s="175"/>
      <c r="D3" s="175"/>
      <c r="E3" s="175"/>
      <c r="F3" s="175"/>
      <c r="G3" s="175"/>
      <c r="H3" s="175" t="str">
        <f ca="1">変更履歴!H3</f>
        <v>SU1200</v>
      </c>
      <c r="I3" s="175"/>
      <c r="J3" s="175"/>
      <c r="K3" s="175"/>
      <c r="L3" s="175" t="str">
        <f>変更履歴!L3</f>
        <v>受発注</v>
      </c>
      <c r="M3" s="175"/>
      <c r="N3" s="175"/>
      <c r="O3" s="175"/>
      <c r="P3" s="175"/>
      <c r="Q3" s="175"/>
      <c r="R3" s="175" t="str">
        <f ca="1">変更履歴!R3</f>
        <v>帳票設計書</v>
      </c>
      <c r="S3" s="175"/>
      <c r="T3" s="175"/>
      <c r="U3" s="175"/>
      <c r="V3" s="175"/>
      <c r="W3" s="175"/>
      <c r="X3" s="179" t="str">
        <f ca="1">変更履歴!X3</f>
        <v>SU1200_請求原価率表_帳票設計書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76"/>
      <c r="AK3" s="179" t="str">
        <f ca="1">変更履歴!AK3</f>
        <v>請求原価率表</v>
      </c>
      <c r="AL3" s="180"/>
      <c r="AM3" s="180"/>
      <c r="AN3" s="180"/>
      <c r="AO3" s="180"/>
      <c r="AP3" s="180"/>
      <c r="AQ3" s="180"/>
      <c r="AR3" s="180"/>
      <c r="AS3" s="180"/>
      <c r="AT3" s="180"/>
      <c r="AU3" s="180"/>
      <c r="AV3" s="180"/>
      <c r="AW3" s="176"/>
      <c r="AX3" s="186">
        <f>変更履歴!AX3</f>
        <v>45581</v>
      </c>
      <c r="AY3" s="186"/>
      <c r="AZ3" s="186"/>
      <c r="BA3" s="186"/>
      <c r="BB3" s="175" t="str">
        <f>変更履歴!BB3</f>
        <v>大谷</v>
      </c>
      <c r="BC3" s="175"/>
      <c r="BD3" s="175"/>
      <c r="BE3" s="175"/>
      <c r="BF3" s="186">
        <f>変更履歴!BF3</f>
        <v>45581</v>
      </c>
      <c r="BG3" s="186"/>
      <c r="BH3" s="186"/>
      <c r="BI3" s="186"/>
      <c r="BJ3" s="175" t="str">
        <f>変更履歴!BJ3</f>
        <v>大谷</v>
      </c>
      <c r="BK3" s="175"/>
      <c r="BL3" s="175"/>
      <c r="BM3" s="244"/>
    </row>
    <row r="4" spans="2:65" ht="20.100000000000001" customHeight="1" thickBot="1" x14ac:dyDescent="0.5">
      <c r="B4" s="241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32"/>
      <c r="Y4" s="233"/>
      <c r="Z4" s="233"/>
      <c r="AA4" s="233"/>
      <c r="AB4" s="233"/>
      <c r="AC4" s="233"/>
      <c r="AD4" s="233"/>
      <c r="AE4" s="233"/>
      <c r="AF4" s="233"/>
      <c r="AG4" s="233"/>
      <c r="AH4" s="233"/>
      <c r="AI4" s="233"/>
      <c r="AJ4" s="234"/>
      <c r="AK4" s="232"/>
      <c r="AL4" s="233"/>
      <c r="AM4" s="233"/>
      <c r="AN4" s="233"/>
      <c r="AO4" s="233"/>
      <c r="AP4" s="233"/>
      <c r="AQ4" s="233"/>
      <c r="AR4" s="233"/>
      <c r="AS4" s="233"/>
      <c r="AT4" s="233"/>
      <c r="AU4" s="233"/>
      <c r="AV4" s="233"/>
      <c r="AW4" s="234"/>
      <c r="AX4" s="243"/>
      <c r="AY4" s="243"/>
      <c r="AZ4" s="243"/>
      <c r="BA4" s="243"/>
      <c r="BB4" s="242"/>
      <c r="BC4" s="242"/>
      <c r="BD4" s="242"/>
      <c r="BE4" s="242"/>
      <c r="BF4" s="243"/>
      <c r="BG4" s="243"/>
      <c r="BH4" s="243"/>
      <c r="BI4" s="243"/>
      <c r="BJ4" s="242"/>
      <c r="BK4" s="242"/>
      <c r="BL4" s="242"/>
      <c r="BM4" s="245"/>
    </row>
    <row r="5" spans="2:65" ht="5.0999999999999996" customHeight="1" thickBot="1" x14ac:dyDescent="0.5"/>
    <row r="6" spans="2:65" ht="20.100000000000001" customHeight="1" x14ac:dyDescent="0.45">
      <c r="B6" s="116" t="s">
        <v>210</v>
      </c>
      <c r="C6" s="117"/>
      <c r="D6" s="117"/>
      <c r="E6" s="117"/>
      <c r="F6" s="117"/>
      <c r="G6" s="118"/>
      <c r="H6" s="119" t="s">
        <v>139</v>
      </c>
      <c r="I6" s="117"/>
      <c r="J6" s="153" t="s">
        <v>150</v>
      </c>
      <c r="K6" s="149"/>
      <c r="L6" s="149"/>
      <c r="M6" s="149"/>
      <c r="N6" s="149"/>
      <c r="O6" s="149"/>
      <c r="P6" s="149"/>
      <c r="Q6" s="149"/>
      <c r="R6" s="148" t="s">
        <v>142</v>
      </c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50"/>
      <c r="AK6" s="120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17"/>
      <c r="BF6" s="117"/>
      <c r="BG6" s="117"/>
      <c r="BH6" s="117"/>
      <c r="BI6" s="121"/>
    </row>
    <row r="7" spans="2:65" ht="20.100000000000001" customHeight="1" x14ac:dyDescent="0.45">
      <c r="B7" s="122" t="s">
        <v>140</v>
      </c>
      <c r="C7" s="31"/>
      <c r="D7" s="31"/>
      <c r="E7" s="31"/>
      <c r="F7" s="31"/>
      <c r="G7" s="123"/>
      <c r="H7" s="124"/>
      <c r="I7" s="31"/>
      <c r="J7" s="151" t="s">
        <v>151</v>
      </c>
      <c r="K7" s="52"/>
      <c r="L7" s="52"/>
      <c r="M7" s="52"/>
      <c r="N7" s="52"/>
      <c r="O7" s="52"/>
      <c r="P7" s="52"/>
      <c r="Q7" s="52"/>
      <c r="R7" s="151" t="s">
        <v>143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52"/>
      <c r="AK7" s="125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126"/>
    </row>
    <row r="8" spans="2:65" ht="20.100000000000001" customHeight="1" x14ac:dyDescent="0.45">
      <c r="B8" s="122"/>
      <c r="C8" s="31"/>
      <c r="D8" s="31"/>
      <c r="E8" s="31"/>
      <c r="F8" s="31"/>
      <c r="G8" s="123"/>
      <c r="H8" s="124"/>
      <c r="I8" s="31"/>
      <c r="J8" s="151" t="s">
        <v>152</v>
      </c>
      <c r="K8" s="52"/>
      <c r="L8" s="52"/>
      <c r="M8" s="52"/>
      <c r="N8" s="52"/>
      <c r="O8" s="52"/>
      <c r="P8" s="52"/>
      <c r="Q8" s="52"/>
      <c r="R8" s="151" t="s">
        <v>144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52"/>
      <c r="AK8" s="125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26"/>
    </row>
    <row r="9" spans="2:65" ht="20.100000000000001" customHeight="1" x14ac:dyDescent="0.45">
      <c r="B9" s="122"/>
      <c r="C9" s="31"/>
      <c r="D9" s="31"/>
      <c r="E9" s="31"/>
      <c r="F9" s="31"/>
      <c r="G9" s="123"/>
      <c r="H9" s="124"/>
      <c r="I9" s="31"/>
      <c r="J9" s="151" t="s">
        <v>153</v>
      </c>
      <c r="K9" s="52"/>
      <c r="L9" s="52"/>
      <c r="M9" s="52"/>
      <c r="N9" s="52"/>
      <c r="O9" s="52"/>
      <c r="P9" s="52"/>
      <c r="Q9" s="52"/>
      <c r="R9" s="151" t="s">
        <v>145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52"/>
      <c r="AK9" s="125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126"/>
    </row>
    <row r="10" spans="2:65" ht="20.100000000000001" customHeight="1" x14ac:dyDescent="0.45">
      <c r="B10" s="122"/>
      <c r="C10" s="31"/>
      <c r="D10" s="31"/>
      <c r="E10" s="31"/>
      <c r="F10" s="31"/>
      <c r="G10" s="123"/>
      <c r="H10" s="124"/>
      <c r="I10" s="31"/>
      <c r="J10" s="151" t="s">
        <v>154</v>
      </c>
      <c r="K10" s="52"/>
      <c r="L10" s="52"/>
      <c r="M10" s="52"/>
      <c r="N10" s="52"/>
      <c r="O10" s="52"/>
      <c r="P10" s="52"/>
      <c r="Q10" s="52"/>
      <c r="R10" s="151" t="s">
        <v>146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52"/>
      <c r="AK10" s="125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26"/>
    </row>
    <row r="11" spans="2:65" ht="20.100000000000001" customHeight="1" x14ac:dyDescent="0.45">
      <c r="B11" s="122"/>
      <c r="C11" s="31"/>
      <c r="D11" s="31"/>
      <c r="E11" s="31"/>
      <c r="F11" s="31"/>
      <c r="G11" s="123"/>
      <c r="H11" s="124"/>
      <c r="I11" s="31"/>
      <c r="J11" s="151" t="s">
        <v>155</v>
      </c>
      <c r="K11" s="52"/>
      <c r="L11" s="52"/>
      <c r="M11" s="52"/>
      <c r="N11" s="52"/>
      <c r="O11" s="52"/>
      <c r="P11" s="52"/>
      <c r="Q11" s="52"/>
      <c r="R11" s="151" t="s">
        <v>147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52"/>
      <c r="AK11" s="125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26"/>
    </row>
    <row r="12" spans="2:65" ht="20.100000000000001" customHeight="1" x14ac:dyDescent="0.45">
      <c r="B12" s="122"/>
      <c r="C12" s="31"/>
      <c r="D12" s="31"/>
      <c r="E12" s="31"/>
      <c r="F12" s="31"/>
      <c r="G12" s="123"/>
      <c r="H12" s="124"/>
      <c r="I12" s="31"/>
      <c r="J12" s="151" t="s">
        <v>156</v>
      </c>
      <c r="K12" s="52"/>
      <c r="L12" s="52"/>
      <c r="M12" s="52"/>
      <c r="N12" s="52"/>
      <c r="O12" s="52"/>
      <c r="P12" s="52"/>
      <c r="Q12" s="52"/>
      <c r="R12" s="151" t="s">
        <v>148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52"/>
      <c r="AK12" s="125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26"/>
    </row>
    <row r="13" spans="2:65" ht="20.100000000000001" customHeight="1" x14ac:dyDescent="0.45">
      <c r="B13" s="122"/>
      <c r="C13" s="31"/>
      <c r="D13" s="31"/>
      <c r="E13" s="31"/>
      <c r="F13" s="31"/>
      <c r="G13" s="123"/>
      <c r="H13" s="124"/>
      <c r="I13" s="31"/>
      <c r="J13" s="151" t="s">
        <v>157</v>
      </c>
      <c r="K13" s="52"/>
      <c r="L13" s="52"/>
      <c r="M13" s="52"/>
      <c r="N13" s="52"/>
      <c r="O13" s="52"/>
      <c r="P13" s="52"/>
      <c r="Q13" s="52"/>
      <c r="R13" s="151" t="s">
        <v>149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52"/>
      <c r="AK13" s="125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26"/>
    </row>
    <row r="14" spans="2:65" ht="20.100000000000001" customHeight="1" x14ac:dyDescent="0.45">
      <c r="B14" s="122"/>
      <c r="C14" s="31"/>
      <c r="D14" s="31"/>
      <c r="E14" s="31"/>
      <c r="F14" s="31"/>
      <c r="G14" s="123"/>
      <c r="H14" s="124"/>
      <c r="I14" s="31"/>
      <c r="J14" s="166" t="s">
        <v>237</v>
      </c>
      <c r="K14" s="55"/>
      <c r="L14" s="55"/>
      <c r="M14" s="55"/>
      <c r="N14" s="55"/>
      <c r="O14" s="55"/>
      <c r="P14" s="55"/>
      <c r="Q14" s="152"/>
      <c r="R14" s="167" t="s">
        <v>238</v>
      </c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25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126"/>
    </row>
    <row r="15" spans="2:65" ht="20.100000000000001" customHeight="1" x14ac:dyDescent="0.45">
      <c r="B15" s="122"/>
      <c r="C15" s="31"/>
      <c r="D15" s="31"/>
      <c r="E15" s="31"/>
      <c r="F15" s="31"/>
      <c r="G15" s="123"/>
      <c r="H15" s="127" t="s">
        <v>138</v>
      </c>
      <c r="I15" s="55"/>
      <c r="J15" s="127" t="s">
        <v>179</v>
      </c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128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129"/>
    </row>
    <row r="16" spans="2:65" ht="20.100000000000001" customHeight="1" x14ac:dyDescent="0.45">
      <c r="B16" s="122"/>
      <c r="C16" s="31"/>
      <c r="D16" s="31"/>
      <c r="E16" s="31"/>
      <c r="F16" s="31"/>
      <c r="G16" s="123"/>
      <c r="H16" s="124"/>
      <c r="I16" s="31"/>
      <c r="J16" s="125" t="s">
        <v>188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125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26"/>
    </row>
    <row r="17" spans="2:61" ht="20.100000000000001" customHeight="1" x14ac:dyDescent="0.45">
      <c r="B17" s="122"/>
      <c r="C17" s="31"/>
      <c r="D17" s="31"/>
      <c r="E17" s="31"/>
      <c r="F17" s="31"/>
      <c r="G17" s="123"/>
      <c r="H17" s="124"/>
      <c r="I17" s="31"/>
      <c r="J17" s="159" t="s">
        <v>225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125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26"/>
    </row>
    <row r="18" spans="2:61" ht="20.100000000000001" customHeight="1" x14ac:dyDescent="0.45">
      <c r="B18" s="122"/>
      <c r="C18" s="31"/>
      <c r="D18" s="31"/>
      <c r="E18" s="31"/>
      <c r="F18" s="31"/>
      <c r="G18" s="123"/>
      <c r="H18" s="127" t="s">
        <v>108</v>
      </c>
      <c r="I18" s="55"/>
      <c r="J18" s="127" t="s">
        <v>180</v>
      </c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128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129"/>
    </row>
    <row r="19" spans="2:61" ht="20.100000000000001" customHeight="1" x14ac:dyDescent="0.45">
      <c r="B19" s="122"/>
      <c r="C19" s="31"/>
      <c r="D19" s="31"/>
      <c r="E19" s="31"/>
      <c r="F19" s="31"/>
      <c r="G19" s="123"/>
      <c r="H19" s="124"/>
      <c r="I19" s="31"/>
      <c r="J19" s="124"/>
      <c r="K19" s="154" t="s">
        <v>188</v>
      </c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125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26"/>
    </row>
    <row r="20" spans="2:61" ht="20.100000000000001" customHeight="1" x14ac:dyDescent="0.45">
      <c r="B20" s="122"/>
      <c r="C20" s="31"/>
      <c r="D20" s="31"/>
      <c r="E20" s="31"/>
      <c r="F20" s="31"/>
      <c r="G20" s="123"/>
      <c r="H20" s="124"/>
      <c r="I20" s="31"/>
      <c r="J20" s="124"/>
      <c r="K20" s="31"/>
      <c r="L20" s="31"/>
      <c r="M20" s="31" t="s">
        <v>192</v>
      </c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125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26"/>
    </row>
    <row r="21" spans="2:61" ht="20.100000000000001" customHeight="1" x14ac:dyDescent="0.45">
      <c r="B21" s="122"/>
      <c r="C21" s="31"/>
      <c r="D21" s="31"/>
      <c r="E21" s="31"/>
      <c r="F21" s="31"/>
      <c r="G21" s="123"/>
      <c r="H21" s="124"/>
      <c r="I21" s="31"/>
      <c r="J21" s="160" t="s">
        <v>226</v>
      </c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125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26"/>
    </row>
    <row r="22" spans="2:61" ht="20.100000000000001" customHeight="1" x14ac:dyDescent="0.45">
      <c r="B22" s="122"/>
      <c r="C22" s="31"/>
      <c r="D22" s="31"/>
      <c r="E22" s="31"/>
      <c r="F22" s="31"/>
      <c r="G22" s="123"/>
      <c r="H22" s="124"/>
      <c r="I22" s="31"/>
      <c r="J22" s="124"/>
      <c r="K22" s="161" t="s">
        <v>225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125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126"/>
    </row>
    <row r="23" spans="2:61" ht="20.100000000000001" customHeight="1" x14ac:dyDescent="0.45">
      <c r="B23" s="122"/>
      <c r="C23" s="31"/>
      <c r="D23" s="31"/>
      <c r="E23" s="31"/>
      <c r="F23" s="31"/>
      <c r="G23" s="123"/>
      <c r="H23" s="124"/>
      <c r="I23" s="31"/>
      <c r="J23" s="124"/>
      <c r="K23" s="31"/>
      <c r="L23" s="31"/>
      <c r="M23" s="161" t="s">
        <v>227</v>
      </c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25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26"/>
    </row>
    <row r="24" spans="2:61" ht="20.100000000000001" customHeight="1" x14ac:dyDescent="0.45">
      <c r="B24" s="122"/>
      <c r="C24" s="31"/>
      <c r="D24" s="31"/>
      <c r="E24" s="31"/>
      <c r="F24" s="31"/>
      <c r="G24" s="123"/>
      <c r="H24" s="127" t="s">
        <v>182</v>
      </c>
      <c r="I24" s="55"/>
      <c r="J24" s="127" t="s">
        <v>189</v>
      </c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128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129"/>
    </row>
    <row r="25" spans="2:61" ht="20.100000000000001" customHeight="1" thickBot="1" x14ac:dyDescent="0.5">
      <c r="B25" s="122"/>
      <c r="C25" s="31"/>
      <c r="D25" s="31"/>
      <c r="E25" s="31"/>
      <c r="F25" s="31"/>
      <c r="G25" s="123"/>
      <c r="H25" s="130"/>
      <c r="I25" s="131"/>
      <c r="J25" s="130" t="s">
        <v>183</v>
      </c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2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  <c r="AX25" s="131"/>
      <c r="AY25" s="131"/>
      <c r="AZ25" s="131"/>
      <c r="BA25" s="131"/>
      <c r="BB25" s="131"/>
      <c r="BC25" s="131"/>
      <c r="BD25" s="131"/>
      <c r="BE25" s="131"/>
      <c r="BF25" s="131"/>
      <c r="BG25" s="131"/>
      <c r="BH25" s="131"/>
      <c r="BI25" s="133"/>
    </row>
    <row r="26" spans="2:61" ht="20.100000000000001" customHeight="1" x14ac:dyDescent="0.45">
      <c r="B26" s="116" t="s">
        <v>141</v>
      </c>
      <c r="C26" s="117"/>
      <c r="D26" s="117"/>
      <c r="E26" s="117"/>
      <c r="F26" s="117"/>
      <c r="G26" s="118"/>
      <c r="H26" s="119" t="s">
        <v>139</v>
      </c>
      <c r="I26" s="117"/>
      <c r="J26" s="148" t="s">
        <v>158</v>
      </c>
      <c r="K26" s="149"/>
      <c r="L26" s="149"/>
      <c r="M26" s="149"/>
      <c r="N26" s="149"/>
      <c r="O26" s="149"/>
      <c r="P26" s="149"/>
      <c r="Q26" s="149"/>
      <c r="R26" s="148" t="s">
        <v>193</v>
      </c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49"/>
      <c r="AI26" s="149"/>
      <c r="AJ26" s="150"/>
      <c r="AK26" s="120"/>
      <c r="AL26" s="117"/>
      <c r="AM26" s="117"/>
      <c r="AN26" s="117"/>
      <c r="AO26" s="117"/>
      <c r="AP26" s="117"/>
      <c r="AQ26" s="117"/>
      <c r="AR26" s="117"/>
      <c r="AS26" s="117"/>
      <c r="AT26" s="117"/>
      <c r="AU26" s="117"/>
      <c r="AV26" s="117"/>
      <c r="AW26" s="117"/>
      <c r="AX26" s="117"/>
      <c r="AY26" s="117"/>
      <c r="AZ26" s="117"/>
      <c r="BA26" s="117"/>
      <c r="BB26" s="117"/>
      <c r="BC26" s="117"/>
      <c r="BD26" s="117"/>
      <c r="BE26" s="117"/>
      <c r="BF26" s="117"/>
      <c r="BG26" s="117"/>
      <c r="BH26" s="117"/>
      <c r="BI26" s="121"/>
    </row>
    <row r="27" spans="2:61" ht="20.100000000000001" customHeight="1" x14ac:dyDescent="0.45">
      <c r="B27" s="122"/>
      <c r="C27" s="31"/>
      <c r="D27" s="31"/>
      <c r="E27" s="31"/>
      <c r="F27" s="31"/>
      <c r="G27" s="123"/>
      <c r="H27" s="124"/>
      <c r="I27" s="31"/>
      <c r="J27" s="151" t="s">
        <v>160</v>
      </c>
      <c r="K27" s="52"/>
      <c r="L27" s="52"/>
      <c r="M27" s="52"/>
      <c r="N27" s="52"/>
      <c r="O27" s="52"/>
      <c r="P27" s="52"/>
      <c r="Q27" s="52"/>
      <c r="R27" s="151" t="s">
        <v>194</v>
      </c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152"/>
      <c r="AK27" s="125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26"/>
    </row>
    <row r="28" spans="2:61" ht="20.100000000000001" customHeight="1" x14ac:dyDescent="0.45">
      <c r="B28" s="122"/>
      <c r="C28" s="31"/>
      <c r="D28" s="31"/>
      <c r="E28" s="31"/>
      <c r="F28" s="31"/>
      <c r="G28" s="123"/>
      <c r="H28" s="124"/>
      <c r="I28" s="31"/>
      <c r="J28" s="151" t="s">
        <v>161</v>
      </c>
      <c r="K28" s="52"/>
      <c r="L28" s="52"/>
      <c r="M28" s="52"/>
      <c r="N28" s="52"/>
      <c r="O28" s="52"/>
      <c r="P28" s="52"/>
      <c r="Q28" s="52"/>
      <c r="R28" s="151" t="s">
        <v>201</v>
      </c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152"/>
      <c r="AK28" s="125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26"/>
    </row>
    <row r="29" spans="2:61" ht="20.100000000000001" customHeight="1" x14ac:dyDescent="0.45">
      <c r="B29" s="122"/>
      <c r="C29" s="31"/>
      <c r="D29" s="31"/>
      <c r="E29" s="31"/>
      <c r="F29" s="31"/>
      <c r="G29" s="123"/>
      <c r="H29" s="124"/>
      <c r="I29" s="31"/>
      <c r="J29" s="151" t="s">
        <v>162</v>
      </c>
      <c r="K29" s="52"/>
      <c r="L29" s="52"/>
      <c r="M29" s="52"/>
      <c r="N29" s="52"/>
      <c r="O29" s="52"/>
      <c r="P29" s="52"/>
      <c r="Q29" s="52"/>
      <c r="R29" s="151" t="s">
        <v>202</v>
      </c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152"/>
      <c r="AK29" s="125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26"/>
    </row>
    <row r="30" spans="2:61" ht="20.100000000000001" customHeight="1" x14ac:dyDescent="0.45">
      <c r="B30" s="122"/>
      <c r="C30" s="31"/>
      <c r="D30" s="31"/>
      <c r="E30" s="31"/>
      <c r="F30" s="31"/>
      <c r="G30" s="123"/>
      <c r="H30" s="124"/>
      <c r="I30" s="31"/>
      <c r="J30" s="151" t="s">
        <v>163</v>
      </c>
      <c r="K30" s="52"/>
      <c r="L30" s="52"/>
      <c r="M30" s="52"/>
      <c r="N30" s="52"/>
      <c r="O30" s="52"/>
      <c r="P30" s="52"/>
      <c r="Q30" s="52"/>
      <c r="R30" s="151" t="s">
        <v>203</v>
      </c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152"/>
      <c r="AK30" s="125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26"/>
    </row>
    <row r="31" spans="2:61" ht="20.100000000000001" customHeight="1" x14ac:dyDescent="0.45">
      <c r="B31" s="122"/>
      <c r="C31" s="31"/>
      <c r="D31" s="31"/>
      <c r="E31" s="31"/>
      <c r="F31" s="31"/>
      <c r="G31" s="123"/>
      <c r="H31" s="124"/>
      <c r="I31" s="31"/>
      <c r="J31" s="151" t="s">
        <v>159</v>
      </c>
      <c r="K31" s="52"/>
      <c r="L31" s="52"/>
      <c r="M31" s="52"/>
      <c r="N31" s="52"/>
      <c r="O31" s="52"/>
      <c r="P31" s="52"/>
      <c r="Q31" s="52"/>
      <c r="R31" s="151" t="s">
        <v>199</v>
      </c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152"/>
      <c r="AK31" s="125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126"/>
    </row>
    <row r="32" spans="2:61" ht="20.100000000000001" customHeight="1" x14ac:dyDescent="0.45">
      <c r="B32" s="122"/>
      <c r="C32" s="31"/>
      <c r="D32" s="31"/>
      <c r="E32" s="31"/>
      <c r="F32" s="31"/>
      <c r="G32" s="123"/>
      <c r="H32" s="124"/>
      <c r="I32" s="31"/>
      <c r="J32" s="151" t="s">
        <v>164</v>
      </c>
      <c r="K32" s="52"/>
      <c r="L32" s="52"/>
      <c r="M32" s="52"/>
      <c r="N32" s="52"/>
      <c r="O32" s="52"/>
      <c r="P32" s="52"/>
      <c r="Q32" s="52"/>
      <c r="R32" s="151" t="s">
        <v>206</v>
      </c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152"/>
      <c r="AK32" s="125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26"/>
    </row>
    <row r="33" spans="2:61" ht="20.100000000000001" customHeight="1" x14ac:dyDescent="0.45">
      <c r="B33" s="122"/>
      <c r="C33" s="31"/>
      <c r="D33" s="31"/>
      <c r="E33" s="31"/>
      <c r="F33" s="31"/>
      <c r="G33" s="123"/>
      <c r="H33" s="124"/>
      <c r="I33" s="31"/>
      <c r="J33" s="151" t="s">
        <v>165</v>
      </c>
      <c r="K33" s="52"/>
      <c r="L33" s="52"/>
      <c r="M33" s="52"/>
      <c r="N33" s="52"/>
      <c r="O33" s="52"/>
      <c r="P33" s="52"/>
      <c r="Q33" s="52"/>
      <c r="R33" s="151" t="s">
        <v>207</v>
      </c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152"/>
      <c r="AK33" s="125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26"/>
    </row>
    <row r="34" spans="2:61" ht="20.100000000000001" customHeight="1" x14ac:dyDescent="0.45">
      <c r="B34" s="122"/>
      <c r="C34" s="31"/>
      <c r="D34" s="31"/>
      <c r="E34" s="31"/>
      <c r="F34" s="31"/>
      <c r="G34" s="123"/>
      <c r="H34" s="127" t="s">
        <v>138</v>
      </c>
      <c r="I34" s="55"/>
      <c r="J34" s="127" t="s">
        <v>166</v>
      </c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128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129"/>
    </row>
    <row r="35" spans="2:61" ht="20.100000000000001" customHeight="1" x14ac:dyDescent="0.45">
      <c r="B35" s="122"/>
      <c r="C35" s="31"/>
      <c r="D35" s="31"/>
      <c r="E35" s="31"/>
      <c r="F35" s="31"/>
      <c r="G35" s="123"/>
      <c r="H35" s="124"/>
      <c r="I35" s="31"/>
      <c r="J35" s="124" t="s">
        <v>167</v>
      </c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125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126"/>
    </row>
    <row r="36" spans="2:61" ht="20.100000000000001" customHeight="1" x14ac:dyDescent="0.45">
      <c r="B36" s="122"/>
      <c r="C36" s="31"/>
      <c r="D36" s="31"/>
      <c r="E36" s="31"/>
      <c r="F36" s="31"/>
      <c r="G36" s="123"/>
      <c r="H36" s="124"/>
      <c r="I36" s="31"/>
      <c r="J36" s="124" t="s">
        <v>168</v>
      </c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125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126"/>
    </row>
    <row r="37" spans="2:61" ht="20.100000000000001" customHeight="1" x14ac:dyDescent="0.45">
      <c r="B37" s="122"/>
      <c r="C37" s="31"/>
      <c r="D37" s="31"/>
      <c r="E37" s="31"/>
      <c r="F37" s="31"/>
      <c r="G37" s="123"/>
      <c r="H37" s="124"/>
      <c r="I37" s="31"/>
      <c r="J37" s="124" t="s">
        <v>169</v>
      </c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125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126"/>
    </row>
    <row r="38" spans="2:61" ht="20.100000000000001" customHeight="1" x14ac:dyDescent="0.45">
      <c r="B38" s="122"/>
      <c r="C38" s="31"/>
      <c r="D38" s="31"/>
      <c r="E38" s="31"/>
      <c r="F38" s="31"/>
      <c r="G38" s="123"/>
      <c r="H38" s="124"/>
      <c r="I38" s="31"/>
      <c r="J38" s="124" t="s">
        <v>170</v>
      </c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125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126"/>
    </row>
    <row r="39" spans="2:61" ht="20.100000000000001" customHeight="1" x14ac:dyDescent="0.45">
      <c r="B39" s="122"/>
      <c r="C39" s="31"/>
      <c r="D39" s="31"/>
      <c r="E39" s="31"/>
      <c r="F39" s="31"/>
      <c r="G39" s="123"/>
      <c r="H39" s="127" t="s">
        <v>108</v>
      </c>
      <c r="I39" s="55"/>
      <c r="J39" s="127" t="s">
        <v>171</v>
      </c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128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129"/>
    </row>
    <row r="40" spans="2:61" ht="20.100000000000001" customHeight="1" x14ac:dyDescent="0.45">
      <c r="B40" s="122"/>
      <c r="C40" s="31"/>
      <c r="D40" s="31"/>
      <c r="E40" s="31"/>
      <c r="F40" s="31"/>
      <c r="G40" s="123"/>
      <c r="H40" s="124"/>
      <c r="I40" s="31"/>
      <c r="J40" s="124"/>
      <c r="K40" s="31" t="s">
        <v>172</v>
      </c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125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126"/>
    </row>
    <row r="41" spans="2:61" ht="20.100000000000001" customHeight="1" x14ac:dyDescent="0.45">
      <c r="B41" s="122"/>
      <c r="C41" s="31"/>
      <c r="D41" s="31"/>
      <c r="E41" s="31"/>
      <c r="F41" s="31"/>
      <c r="G41" s="123"/>
      <c r="H41" s="124"/>
      <c r="I41" s="31"/>
      <c r="J41" s="124"/>
      <c r="K41" s="31"/>
      <c r="L41" s="31"/>
      <c r="M41" s="31" t="s">
        <v>198</v>
      </c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125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126"/>
    </row>
    <row r="42" spans="2:61" ht="20.100000000000001" customHeight="1" x14ac:dyDescent="0.45">
      <c r="B42" s="122"/>
      <c r="C42" s="31"/>
      <c r="D42" s="31"/>
      <c r="E42" s="31"/>
      <c r="F42" s="31"/>
      <c r="G42" s="123"/>
      <c r="H42" s="124"/>
      <c r="I42" s="31"/>
      <c r="J42" s="124" t="s">
        <v>171</v>
      </c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125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126"/>
    </row>
    <row r="43" spans="2:61" ht="20.100000000000001" customHeight="1" x14ac:dyDescent="0.45">
      <c r="B43" s="122"/>
      <c r="C43" s="31"/>
      <c r="D43" s="31"/>
      <c r="E43" s="31"/>
      <c r="F43" s="31"/>
      <c r="G43" s="123"/>
      <c r="H43" s="124"/>
      <c r="I43" s="31"/>
      <c r="J43" s="124"/>
      <c r="K43" s="31" t="s">
        <v>173</v>
      </c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125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126"/>
    </row>
    <row r="44" spans="2:61" ht="20.100000000000001" customHeight="1" x14ac:dyDescent="0.45">
      <c r="B44" s="122"/>
      <c r="C44" s="31"/>
      <c r="D44" s="31"/>
      <c r="E44" s="31"/>
      <c r="F44" s="31"/>
      <c r="G44" s="123"/>
      <c r="H44" s="124"/>
      <c r="I44" s="31"/>
      <c r="J44" s="124"/>
      <c r="K44" s="31"/>
      <c r="L44" s="31"/>
      <c r="M44" s="31" t="s">
        <v>200</v>
      </c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125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126"/>
    </row>
    <row r="45" spans="2:61" ht="20.100000000000001" customHeight="1" x14ac:dyDescent="0.45">
      <c r="B45" s="122"/>
      <c r="C45" s="31"/>
      <c r="D45" s="31"/>
      <c r="E45" s="31"/>
      <c r="F45" s="31"/>
      <c r="G45" s="123"/>
      <c r="H45" s="124"/>
      <c r="I45" s="31"/>
      <c r="J45" s="124" t="s">
        <v>171</v>
      </c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125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126"/>
    </row>
    <row r="46" spans="2:61" ht="20.100000000000001" customHeight="1" x14ac:dyDescent="0.45">
      <c r="B46" s="122"/>
      <c r="C46" s="31"/>
      <c r="D46" s="31"/>
      <c r="E46" s="31"/>
      <c r="F46" s="31"/>
      <c r="G46" s="123"/>
      <c r="H46" s="124"/>
      <c r="I46" s="31"/>
      <c r="J46" s="124"/>
      <c r="K46" s="31" t="s">
        <v>174</v>
      </c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125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126"/>
    </row>
    <row r="47" spans="2:61" ht="20.100000000000001" customHeight="1" x14ac:dyDescent="0.45">
      <c r="B47" s="122"/>
      <c r="C47" s="31"/>
      <c r="D47" s="31"/>
      <c r="E47" s="31"/>
      <c r="F47" s="31"/>
      <c r="G47" s="123"/>
      <c r="H47" s="124"/>
      <c r="I47" s="31"/>
      <c r="J47" s="124"/>
      <c r="K47" s="31"/>
      <c r="L47" s="31"/>
      <c r="M47" s="31" t="s">
        <v>204</v>
      </c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125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126"/>
    </row>
    <row r="48" spans="2:61" ht="20.100000000000001" customHeight="1" x14ac:dyDescent="0.45">
      <c r="B48" s="122"/>
      <c r="C48" s="31"/>
      <c r="D48" s="31"/>
      <c r="E48" s="31"/>
      <c r="F48" s="31"/>
      <c r="G48" s="123"/>
      <c r="H48" s="124"/>
      <c r="I48" s="31"/>
      <c r="J48" s="124" t="s">
        <v>171</v>
      </c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125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126"/>
    </row>
    <row r="49" spans="2:61" ht="20.100000000000001" customHeight="1" x14ac:dyDescent="0.45">
      <c r="B49" s="122"/>
      <c r="C49" s="31"/>
      <c r="D49" s="31"/>
      <c r="E49" s="31"/>
      <c r="F49" s="31"/>
      <c r="G49" s="123"/>
      <c r="H49" s="124"/>
      <c r="I49" s="31"/>
      <c r="J49" s="124"/>
      <c r="K49" s="31" t="s">
        <v>170</v>
      </c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125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126"/>
    </row>
    <row r="50" spans="2:61" ht="20.100000000000001" customHeight="1" x14ac:dyDescent="0.45">
      <c r="B50" s="122"/>
      <c r="C50" s="31"/>
      <c r="D50" s="31"/>
      <c r="E50" s="31"/>
      <c r="F50" s="31"/>
      <c r="G50" s="123"/>
      <c r="H50" s="124"/>
      <c r="I50" s="31"/>
      <c r="J50" s="124"/>
      <c r="K50" s="31"/>
      <c r="L50" s="31"/>
      <c r="M50" s="31" t="s">
        <v>205</v>
      </c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125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126"/>
    </row>
    <row r="51" spans="2:61" ht="20.100000000000001" customHeight="1" x14ac:dyDescent="0.45">
      <c r="B51" s="122"/>
      <c r="C51" s="31"/>
      <c r="D51" s="31"/>
      <c r="E51" s="31"/>
      <c r="F51" s="31"/>
      <c r="G51" s="123"/>
      <c r="H51" s="127" t="s">
        <v>109</v>
      </c>
      <c r="I51" s="55"/>
      <c r="J51" s="127"/>
      <c r="K51" s="55" t="s">
        <v>195</v>
      </c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128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55"/>
      <c r="BE51" s="55"/>
      <c r="BF51" s="55"/>
      <c r="BG51" s="55"/>
      <c r="BH51" s="55"/>
      <c r="BI51" s="129"/>
    </row>
    <row r="52" spans="2:61" ht="20.100000000000001" customHeight="1" x14ac:dyDescent="0.45">
      <c r="B52" s="122"/>
      <c r="C52" s="31"/>
      <c r="D52" s="31"/>
      <c r="E52" s="31"/>
      <c r="F52" s="31"/>
      <c r="G52" s="123"/>
      <c r="H52" s="124"/>
      <c r="I52" s="31"/>
      <c r="J52" s="124" t="s">
        <v>175</v>
      </c>
      <c r="K52" s="31" t="s">
        <v>196</v>
      </c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124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126"/>
    </row>
    <row r="53" spans="2:61" ht="20.100000000000001" customHeight="1" x14ac:dyDescent="0.45">
      <c r="B53" s="122"/>
      <c r="C53" s="31"/>
      <c r="D53" s="31"/>
      <c r="E53" s="31"/>
      <c r="F53" s="31"/>
      <c r="G53" s="123"/>
      <c r="H53" s="124"/>
      <c r="I53" s="31"/>
      <c r="J53" s="124" t="s">
        <v>175</v>
      </c>
      <c r="K53" s="31" t="s">
        <v>176</v>
      </c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124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126"/>
    </row>
    <row r="54" spans="2:61" ht="20.100000000000001" customHeight="1" x14ac:dyDescent="0.45">
      <c r="B54" s="122"/>
      <c r="C54" s="31"/>
      <c r="D54" s="31"/>
      <c r="E54" s="31"/>
      <c r="F54" s="31"/>
      <c r="G54" s="123"/>
      <c r="H54" s="124"/>
      <c r="I54" s="31"/>
      <c r="J54" s="124"/>
      <c r="K54" s="31"/>
      <c r="L54" s="31"/>
      <c r="M54" s="31" t="s">
        <v>197</v>
      </c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124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126"/>
    </row>
    <row r="55" spans="2:61" ht="20.100000000000001" customHeight="1" x14ac:dyDescent="0.45">
      <c r="B55" s="122"/>
      <c r="C55" s="31"/>
      <c r="D55" s="31"/>
      <c r="E55" s="31"/>
      <c r="F55" s="31"/>
      <c r="G55" s="123"/>
      <c r="H55" s="124"/>
      <c r="I55" s="31"/>
      <c r="J55" s="124"/>
      <c r="K55" s="31"/>
      <c r="L55" s="31" t="s">
        <v>177</v>
      </c>
      <c r="M55" s="31" t="s">
        <v>191</v>
      </c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124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126"/>
    </row>
    <row r="56" spans="2:61" ht="20.100000000000001" customHeight="1" thickBot="1" x14ac:dyDescent="0.5">
      <c r="B56" s="122"/>
      <c r="C56" s="31"/>
      <c r="D56" s="31"/>
      <c r="E56" s="31"/>
      <c r="F56" s="31"/>
      <c r="G56" s="123"/>
      <c r="H56" s="124"/>
      <c r="I56" s="31"/>
      <c r="J56" s="124"/>
      <c r="K56" s="31" t="s">
        <v>178</v>
      </c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124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126"/>
    </row>
    <row r="57" spans="2:61" ht="20.100000000000001" customHeight="1" x14ac:dyDescent="0.45">
      <c r="B57" s="116" t="s">
        <v>190</v>
      </c>
      <c r="C57" s="117"/>
      <c r="D57" s="117"/>
      <c r="E57" s="117"/>
      <c r="F57" s="117"/>
      <c r="G57" s="118"/>
      <c r="H57" s="119" t="s">
        <v>186</v>
      </c>
      <c r="I57" s="117"/>
      <c r="J57" s="148" t="s">
        <v>184</v>
      </c>
      <c r="K57" s="149"/>
      <c r="L57" s="149"/>
      <c r="M57" s="149"/>
      <c r="N57" s="149"/>
      <c r="O57" s="149"/>
      <c r="P57" s="149"/>
      <c r="Q57" s="149"/>
      <c r="R57" s="156" t="s">
        <v>187</v>
      </c>
      <c r="S57" s="149"/>
      <c r="T57" s="149"/>
      <c r="U57" s="149"/>
      <c r="V57" s="149"/>
      <c r="W57" s="149"/>
      <c r="X57" s="149"/>
      <c r="Y57" s="149"/>
      <c r="Z57" s="149"/>
      <c r="AA57" s="149"/>
      <c r="AB57" s="149"/>
      <c r="AC57" s="149"/>
      <c r="AD57" s="149"/>
      <c r="AE57" s="149"/>
      <c r="AF57" s="149"/>
      <c r="AG57" s="149"/>
      <c r="AH57" s="149"/>
      <c r="AI57" s="149"/>
      <c r="AJ57" s="150"/>
      <c r="AK57" s="120"/>
      <c r="AL57" s="117"/>
      <c r="AM57" s="117"/>
      <c r="AN57" s="117"/>
      <c r="AO57" s="117"/>
      <c r="AP57" s="117"/>
      <c r="AQ57" s="117"/>
      <c r="AR57" s="117"/>
      <c r="AS57" s="117"/>
      <c r="AT57" s="117"/>
      <c r="AU57" s="117"/>
      <c r="AV57" s="117"/>
      <c r="AW57" s="117"/>
      <c r="AX57" s="117"/>
      <c r="AY57" s="117"/>
      <c r="AZ57" s="117"/>
      <c r="BA57" s="117"/>
      <c r="BB57" s="117"/>
      <c r="BC57" s="117"/>
      <c r="BD57" s="117"/>
      <c r="BE57" s="117"/>
      <c r="BF57" s="117"/>
      <c r="BG57" s="117"/>
      <c r="BH57" s="117"/>
      <c r="BI57" s="121"/>
    </row>
    <row r="58" spans="2:61" ht="20.100000000000001" customHeight="1" thickBot="1" x14ac:dyDescent="0.5">
      <c r="B58" s="155" t="s">
        <v>181</v>
      </c>
      <c r="C58" s="31"/>
      <c r="D58" s="31"/>
      <c r="E58" s="31"/>
      <c r="F58" s="31"/>
      <c r="G58" s="123"/>
      <c r="H58" s="124"/>
      <c r="I58" s="31"/>
      <c r="J58" s="127" t="s">
        <v>185</v>
      </c>
      <c r="K58" s="55"/>
      <c r="L58" s="55"/>
      <c r="M58" s="55"/>
      <c r="N58" s="55"/>
      <c r="O58" s="55"/>
      <c r="P58" s="55"/>
      <c r="Q58" s="55"/>
      <c r="R58" s="127" t="s">
        <v>209</v>
      </c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152"/>
      <c r="AK58" s="125" t="s">
        <v>208</v>
      </c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126"/>
    </row>
    <row r="59" spans="2:61" ht="20.100000000000001" customHeight="1" x14ac:dyDescent="0.45">
      <c r="B59" s="168" t="s">
        <v>228</v>
      </c>
      <c r="C59" s="117"/>
      <c r="D59" s="117"/>
      <c r="E59" s="117"/>
      <c r="F59" s="117"/>
      <c r="G59" s="118"/>
      <c r="H59" s="119" t="s">
        <v>139</v>
      </c>
      <c r="I59" s="117"/>
      <c r="J59" s="162" t="s">
        <v>162</v>
      </c>
      <c r="K59" s="163"/>
      <c r="L59" s="163"/>
      <c r="M59" s="163"/>
      <c r="N59" s="163"/>
      <c r="O59" s="163"/>
      <c r="P59" s="163"/>
      <c r="Q59" s="163"/>
      <c r="R59" s="162" t="s">
        <v>232</v>
      </c>
      <c r="S59" s="163"/>
      <c r="T59" s="163"/>
      <c r="U59" s="163"/>
      <c r="V59" s="163"/>
      <c r="W59" s="163"/>
      <c r="X59" s="163"/>
      <c r="Y59" s="163"/>
      <c r="Z59" s="149"/>
      <c r="AA59" s="149"/>
      <c r="AB59" s="149"/>
      <c r="AC59" s="149"/>
      <c r="AD59" s="149"/>
      <c r="AE59" s="149"/>
      <c r="AF59" s="149"/>
      <c r="AG59" s="149"/>
      <c r="AH59" s="149"/>
      <c r="AI59" s="149"/>
      <c r="AJ59" s="150"/>
      <c r="AK59" s="120"/>
      <c r="AL59" s="117"/>
      <c r="AM59" s="117"/>
      <c r="AN59" s="117"/>
      <c r="AO59" s="117"/>
      <c r="AP59" s="117"/>
      <c r="AQ59" s="117"/>
      <c r="AR59" s="117"/>
      <c r="AS59" s="117"/>
      <c r="AT59" s="117"/>
      <c r="AU59" s="117"/>
      <c r="AV59" s="117"/>
      <c r="AW59" s="117"/>
      <c r="AX59" s="117"/>
      <c r="AY59" s="117"/>
      <c r="AZ59" s="117"/>
      <c r="BA59" s="117"/>
      <c r="BB59" s="117"/>
      <c r="BC59" s="117"/>
      <c r="BD59" s="117"/>
      <c r="BE59" s="117"/>
      <c r="BF59" s="117"/>
      <c r="BG59" s="117"/>
      <c r="BH59" s="117"/>
      <c r="BI59" s="121"/>
    </row>
    <row r="60" spans="2:61" ht="20.100000000000001" customHeight="1" x14ac:dyDescent="0.45">
      <c r="B60" s="122"/>
      <c r="C60" s="31"/>
      <c r="D60" s="31"/>
      <c r="E60" s="31"/>
      <c r="F60" s="31"/>
      <c r="G60" s="123"/>
      <c r="H60" s="124"/>
      <c r="I60" s="31"/>
      <c r="J60" s="164" t="s">
        <v>236</v>
      </c>
      <c r="K60" s="165"/>
      <c r="L60" s="165"/>
      <c r="M60" s="165"/>
      <c r="N60" s="165"/>
      <c r="O60" s="165"/>
      <c r="P60" s="165"/>
      <c r="Q60" s="165"/>
      <c r="R60" s="164" t="s">
        <v>199</v>
      </c>
      <c r="S60" s="165"/>
      <c r="T60" s="165"/>
      <c r="U60" s="165"/>
      <c r="V60" s="165"/>
      <c r="W60" s="165"/>
      <c r="X60" s="165"/>
      <c r="Y60" s="165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152"/>
      <c r="AK60" s="125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126"/>
    </row>
    <row r="61" spans="2:61" ht="20.100000000000001" customHeight="1" x14ac:dyDescent="0.45">
      <c r="B61" s="122"/>
      <c r="C61" s="31"/>
      <c r="D61" s="31"/>
      <c r="E61" s="31"/>
      <c r="F61" s="31"/>
      <c r="G61" s="123"/>
      <c r="H61" s="124"/>
      <c r="I61" s="31"/>
      <c r="J61" s="164" t="s">
        <v>235</v>
      </c>
      <c r="K61" s="165"/>
      <c r="L61" s="165"/>
      <c r="M61" s="165"/>
      <c r="N61" s="165"/>
      <c r="O61" s="165"/>
      <c r="P61" s="165"/>
      <c r="Q61" s="165"/>
      <c r="R61" s="164" t="s">
        <v>206</v>
      </c>
      <c r="S61" s="165"/>
      <c r="T61" s="165"/>
      <c r="U61" s="165"/>
      <c r="V61" s="165"/>
      <c r="W61" s="165"/>
      <c r="X61" s="165"/>
      <c r="Y61" s="165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152"/>
      <c r="AK61" s="125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126"/>
    </row>
    <row r="62" spans="2:61" ht="20.100000000000001" customHeight="1" x14ac:dyDescent="0.45">
      <c r="B62" s="122"/>
      <c r="C62" s="31"/>
      <c r="D62" s="31"/>
      <c r="E62" s="31"/>
      <c r="F62" s="31"/>
      <c r="G62" s="123"/>
      <c r="H62" s="124"/>
      <c r="I62" s="31"/>
      <c r="J62" s="164" t="s">
        <v>234</v>
      </c>
      <c r="K62" s="165"/>
      <c r="L62" s="165"/>
      <c r="M62" s="165"/>
      <c r="N62" s="165"/>
      <c r="O62" s="165"/>
      <c r="P62" s="165"/>
      <c r="Q62" s="165"/>
      <c r="R62" s="164" t="s">
        <v>207</v>
      </c>
      <c r="S62" s="165"/>
      <c r="T62" s="165"/>
      <c r="U62" s="165"/>
      <c r="V62" s="165"/>
      <c r="W62" s="165"/>
      <c r="X62" s="165"/>
      <c r="Y62" s="165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152"/>
      <c r="AK62" s="125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126"/>
    </row>
    <row r="63" spans="2:61" ht="20.100000000000001" customHeight="1" x14ac:dyDescent="0.45">
      <c r="B63" s="122"/>
      <c r="C63" s="31"/>
      <c r="D63" s="31"/>
      <c r="E63" s="31"/>
      <c r="F63" s="31"/>
      <c r="G63" s="123"/>
      <c r="H63" s="127" t="s">
        <v>138</v>
      </c>
      <c r="I63" s="55"/>
      <c r="J63" s="166" t="s">
        <v>166</v>
      </c>
      <c r="K63" s="167"/>
      <c r="L63" s="167"/>
      <c r="M63" s="167"/>
      <c r="N63" s="167"/>
      <c r="O63" s="167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128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  <c r="BD63" s="55"/>
      <c r="BE63" s="55"/>
      <c r="BF63" s="55"/>
      <c r="BG63" s="55"/>
      <c r="BH63" s="55"/>
      <c r="BI63" s="129"/>
    </row>
    <row r="64" spans="2:61" ht="20.100000000000001" customHeight="1" x14ac:dyDescent="0.45">
      <c r="B64" s="122"/>
      <c r="C64" s="31"/>
      <c r="D64" s="31"/>
      <c r="E64" s="31"/>
      <c r="F64" s="31"/>
      <c r="G64" s="123"/>
      <c r="H64" s="124"/>
      <c r="I64" s="31"/>
      <c r="J64" s="160" t="s">
        <v>167</v>
      </c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125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126"/>
    </row>
    <row r="65" spans="2:61" ht="20.100000000000001" customHeight="1" x14ac:dyDescent="0.45">
      <c r="B65" s="122"/>
      <c r="C65" s="31"/>
      <c r="D65" s="31"/>
      <c r="E65" s="31"/>
      <c r="F65" s="31"/>
      <c r="G65" s="123"/>
      <c r="H65" s="124"/>
      <c r="I65" s="31"/>
      <c r="J65" s="160" t="s">
        <v>168</v>
      </c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125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126"/>
    </row>
    <row r="66" spans="2:61" ht="20.100000000000001" customHeight="1" x14ac:dyDescent="0.45">
      <c r="B66" s="122"/>
      <c r="C66" s="31"/>
      <c r="D66" s="31"/>
      <c r="E66" s="31"/>
      <c r="F66" s="31"/>
      <c r="G66" s="123"/>
      <c r="H66" s="124"/>
      <c r="I66" s="31"/>
      <c r="J66" s="160" t="s">
        <v>169</v>
      </c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  <c r="X66" s="161"/>
      <c r="Y66" s="16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125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126"/>
    </row>
    <row r="67" spans="2:61" ht="20.100000000000001" customHeight="1" x14ac:dyDescent="0.45">
      <c r="B67" s="122"/>
      <c r="C67" s="31"/>
      <c r="D67" s="31"/>
      <c r="E67" s="31"/>
      <c r="F67" s="31"/>
      <c r="G67" s="123"/>
      <c r="H67" s="124"/>
      <c r="I67" s="31"/>
      <c r="J67" s="160" t="s">
        <v>170</v>
      </c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1"/>
      <c r="Y67" s="16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125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126"/>
    </row>
    <row r="68" spans="2:61" ht="20.100000000000001" customHeight="1" x14ac:dyDescent="0.45">
      <c r="B68" s="122"/>
      <c r="C68" s="31"/>
      <c r="D68" s="31"/>
      <c r="E68" s="31"/>
      <c r="F68" s="31"/>
      <c r="G68" s="123"/>
      <c r="H68" s="127" t="s">
        <v>108</v>
      </c>
      <c r="I68" s="55"/>
      <c r="J68" s="166" t="s">
        <v>171</v>
      </c>
      <c r="K68" s="167"/>
      <c r="L68" s="167"/>
      <c r="M68" s="167"/>
      <c r="N68" s="167"/>
      <c r="O68" s="167"/>
      <c r="P68" s="167"/>
      <c r="Q68" s="167"/>
      <c r="R68" s="167"/>
      <c r="S68" s="167"/>
      <c r="T68" s="167"/>
      <c r="U68" s="167"/>
      <c r="V68" s="167"/>
      <c r="W68" s="167"/>
      <c r="X68" s="167"/>
      <c r="Y68" s="167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128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55"/>
      <c r="BE68" s="55"/>
      <c r="BF68" s="55"/>
      <c r="BG68" s="55"/>
      <c r="BH68" s="55"/>
      <c r="BI68" s="129"/>
    </row>
    <row r="69" spans="2:61" ht="20.100000000000001" customHeight="1" x14ac:dyDescent="0.45">
      <c r="B69" s="122"/>
      <c r="C69" s="31"/>
      <c r="D69" s="31"/>
      <c r="E69" s="31"/>
      <c r="F69" s="31"/>
      <c r="G69" s="123"/>
      <c r="H69" s="124"/>
      <c r="I69" s="31"/>
      <c r="J69" s="160"/>
      <c r="K69" s="161" t="s">
        <v>167</v>
      </c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1"/>
      <c r="Y69" s="16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125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126"/>
    </row>
    <row r="70" spans="2:61" ht="20.100000000000001" customHeight="1" x14ac:dyDescent="0.45">
      <c r="B70" s="122"/>
      <c r="C70" s="31"/>
      <c r="D70" s="31"/>
      <c r="E70" s="31"/>
      <c r="F70" s="31"/>
      <c r="G70" s="123"/>
      <c r="H70" s="124"/>
      <c r="I70" s="31"/>
      <c r="J70" s="160"/>
      <c r="K70" s="161"/>
      <c r="L70" s="161"/>
      <c r="M70" s="161" t="s">
        <v>198</v>
      </c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125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126"/>
    </row>
    <row r="71" spans="2:61" ht="20.100000000000001" customHeight="1" x14ac:dyDescent="0.45">
      <c r="B71" s="122"/>
      <c r="C71" s="31"/>
      <c r="D71" s="31"/>
      <c r="E71" s="31"/>
      <c r="F71" s="31"/>
      <c r="G71" s="123"/>
      <c r="H71" s="124"/>
      <c r="I71" s="31"/>
      <c r="J71" s="160" t="s">
        <v>171</v>
      </c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125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126"/>
    </row>
    <row r="72" spans="2:61" ht="20.100000000000001" customHeight="1" x14ac:dyDescent="0.45">
      <c r="B72" s="122"/>
      <c r="C72" s="31"/>
      <c r="D72" s="31"/>
      <c r="E72" s="31"/>
      <c r="F72" s="31"/>
      <c r="G72" s="123"/>
      <c r="H72" s="124"/>
      <c r="I72" s="31"/>
      <c r="J72" s="160"/>
      <c r="K72" s="161" t="s">
        <v>168</v>
      </c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125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126"/>
    </row>
    <row r="73" spans="2:61" ht="20.100000000000001" customHeight="1" x14ac:dyDescent="0.45">
      <c r="B73" s="122"/>
      <c r="C73" s="31"/>
      <c r="D73" s="31"/>
      <c r="E73" s="31"/>
      <c r="F73" s="31"/>
      <c r="G73" s="123"/>
      <c r="H73" s="124"/>
      <c r="I73" s="31"/>
      <c r="J73" s="160"/>
      <c r="K73" s="161"/>
      <c r="L73" s="161"/>
      <c r="M73" s="161" t="s">
        <v>200</v>
      </c>
      <c r="N73" s="161"/>
      <c r="O73" s="161"/>
      <c r="P73" s="161"/>
      <c r="Q73" s="161"/>
      <c r="R73" s="161"/>
      <c r="S73" s="161"/>
      <c r="T73" s="161"/>
      <c r="U73" s="161"/>
      <c r="V73" s="161"/>
      <c r="W73" s="161"/>
      <c r="X73" s="161"/>
      <c r="Y73" s="16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125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126"/>
    </row>
    <row r="74" spans="2:61" ht="20.100000000000001" customHeight="1" x14ac:dyDescent="0.45">
      <c r="B74" s="122"/>
      <c r="C74" s="31"/>
      <c r="D74" s="31"/>
      <c r="E74" s="31"/>
      <c r="F74" s="31"/>
      <c r="G74" s="123"/>
      <c r="H74" s="124"/>
      <c r="I74" s="31"/>
      <c r="J74" s="160" t="s">
        <v>171</v>
      </c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125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126"/>
    </row>
    <row r="75" spans="2:61" ht="20.100000000000001" customHeight="1" x14ac:dyDescent="0.45">
      <c r="B75" s="122"/>
      <c r="C75" s="31"/>
      <c r="D75" s="31"/>
      <c r="E75" s="31"/>
      <c r="F75" s="31"/>
      <c r="G75" s="123"/>
      <c r="H75" s="124"/>
      <c r="I75" s="31"/>
      <c r="J75" s="160"/>
      <c r="K75" s="161" t="s">
        <v>169</v>
      </c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1"/>
      <c r="Y75" s="16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125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126"/>
    </row>
    <row r="76" spans="2:61" ht="20.100000000000001" customHeight="1" x14ac:dyDescent="0.45">
      <c r="B76" s="122"/>
      <c r="C76" s="31"/>
      <c r="D76" s="31"/>
      <c r="E76" s="31"/>
      <c r="F76" s="31"/>
      <c r="G76" s="123"/>
      <c r="H76" s="124"/>
      <c r="I76" s="31"/>
      <c r="J76" s="160"/>
      <c r="K76" s="161"/>
      <c r="L76" s="161"/>
      <c r="M76" s="161" t="s">
        <v>204</v>
      </c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125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126"/>
    </row>
    <row r="77" spans="2:61" ht="20.100000000000001" customHeight="1" x14ac:dyDescent="0.45">
      <c r="B77" s="122"/>
      <c r="C77" s="31"/>
      <c r="D77" s="31"/>
      <c r="E77" s="31"/>
      <c r="F77" s="31"/>
      <c r="G77" s="123"/>
      <c r="H77" s="124"/>
      <c r="I77" s="31"/>
      <c r="J77" s="160" t="s">
        <v>171</v>
      </c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125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126"/>
    </row>
    <row r="78" spans="2:61" ht="20.100000000000001" customHeight="1" x14ac:dyDescent="0.45">
      <c r="B78" s="122"/>
      <c r="C78" s="31"/>
      <c r="D78" s="31"/>
      <c r="E78" s="31"/>
      <c r="F78" s="31"/>
      <c r="G78" s="123"/>
      <c r="H78" s="124"/>
      <c r="I78" s="31"/>
      <c r="J78" s="160"/>
      <c r="K78" s="161" t="s">
        <v>170</v>
      </c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125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126"/>
    </row>
    <row r="79" spans="2:61" ht="20.100000000000001" customHeight="1" x14ac:dyDescent="0.45">
      <c r="B79" s="122"/>
      <c r="C79" s="31"/>
      <c r="D79" s="31"/>
      <c r="E79" s="31"/>
      <c r="F79" s="31"/>
      <c r="G79" s="123"/>
      <c r="H79" s="124"/>
      <c r="I79" s="31"/>
      <c r="J79" s="160"/>
      <c r="K79" s="161"/>
      <c r="L79" s="161"/>
      <c r="M79" s="161" t="s">
        <v>205</v>
      </c>
      <c r="N79" s="161"/>
      <c r="O79" s="161"/>
      <c r="P79" s="161"/>
      <c r="Q79" s="161"/>
      <c r="R79" s="161"/>
      <c r="S79" s="161"/>
      <c r="T79" s="161"/>
      <c r="U79" s="161"/>
      <c r="V79" s="161"/>
      <c r="W79" s="161"/>
      <c r="X79" s="161"/>
      <c r="Y79" s="16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125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126"/>
    </row>
    <row r="80" spans="2:61" ht="20.100000000000001" customHeight="1" x14ac:dyDescent="0.45">
      <c r="B80" s="122"/>
      <c r="C80" s="31"/>
      <c r="D80" s="31"/>
      <c r="E80" s="31"/>
      <c r="F80" s="31"/>
      <c r="G80" s="123"/>
      <c r="H80" s="127" t="s">
        <v>109</v>
      </c>
      <c r="I80" s="55"/>
      <c r="J80" s="166"/>
      <c r="K80" s="167" t="s">
        <v>230</v>
      </c>
      <c r="L80" s="167"/>
      <c r="M80" s="167"/>
      <c r="N80" s="167"/>
      <c r="O80" s="167"/>
      <c r="P80" s="167"/>
      <c r="Q80" s="167"/>
      <c r="R80" s="167"/>
      <c r="S80" s="167"/>
      <c r="T80" s="167"/>
      <c r="U80" s="167"/>
      <c r="V80" s="167"/>
      <c r="W80" s="167"/>
      <c r="X80" s="167"/>
      <c r="Y80" s="167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128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5"/>
      <c r="BD80" s="55"/>
      <c r="BE80" s="55"/>
      <c r="BF80" s="55"/>
      <c r="BG80" s="55"/>
      <c r="BH80" s="55"/>
      <c r="BI80" s="129"/>
    </row>
    <row r="81" spans="2:61" ht="20.100000000000001" customHeight="1" x14ac:dyDescent="0.45">
      <c r="B81" s="122"/>
      <c r="C81" s="31"/>
      <c r="D81" s="31"/>
      <c r="E81" s="31"/>
      <c r="F81" s="31"/>
      <c r="G81" s="123"/>
      <c r="H81" s="124"/>
      <c r="I81" s="31"/>
      <c r="J81" s="160" t="s">
        <v>175</v>
      </c>
      <c r="K81" s="161" t="s">
        <v>229</v>
      </c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124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126"/>
    </row>
    <row r="82" spans="2:61" ht="20.100000000000001" customHeight="1" thickBot="1" x14ac:dyDescent="0.5">
      <c r="B82" s="122"/>
      <c r="C82" s="31"/>
      <c r="D82" s="31"/>
      <c r="E82" s="31"/>
      <c r="F82" s="31"/>
      <c r="G82" s="123"/>
      <c r="H82" s="127" t="s">
        <v>231</v>
      </c>
      <c r="I82" s="55"/>
      <c r="J82" s="166" t="s">
        <v>232</v>
      </c>
      <c r="K82" s="167"/>
      <c r="L82" s="167"/>
      <c r="M82" s="167"/>
      <c r="N82" s="167"/>
      <c r="O82" s="167"/>
      <c r="P82" s="167"/>
      <c r="Q82" s="167"/>
      <c r="R82" s="167"/>
      <c r="S82" s="167"/>
      <c r="T82" s="167"/>
      <c r="U82" s="167"/>
      <c r="V82" s="167"/>
      <c r="W82" s="167"/>
      <c r="X82" s="167"/>
      <c r="Y82" s="167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127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  <c r="BB82" s="55"/>
      <c r="BC82" s="55"/>
      <c r="BD82" s="55"/>
      <c r="BE82" s="55"/>
      <c r="BF82" s="55"/>
      <c r="BG82" s="55"/>
      <c r="BH82" s="55"/>
      <c r="BI82" s="129"/>
    </row>
    <row r="83" spans="2:61" ht="5.0999999999999996" customHeight="1" x14ac:dyDescent="0.45"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  <c r="AA83" s="117"/>
      <c r="AB83" s="117"/>
      <c r="AC83" s="117"/>
      <c r="AD83" s="117"/>
      <c r="AE83" s="117"/>
      <c r="AF83" s="117"/>
      <c r="AG83" s="117"/>
      <c r="AH83" s="117"/>
      <c r="AI83" s="117"/>
      <c r="AJ83" s="117"/>
      <c r="AK83" s="117"/>
      <c r="AL83" s="117"/>
      <c r="AM83" s="117"/>
      <c r="AN83" s="117"/>
      <c r="AO83" s="117"/>
      <c r="AP83" s="117"/>
      <c r="AQ83" s="117"/>
      <c r="AR83" s="117"/>
      <c r="AS83" s="117"/>
      <c r="AT83" s="117"/>
      <c r="AU83" s="117"/>
      <c r="AV83" s="117"/>
      <c r="AW83" s="117"/>
      <c r="AX83" s="117"/>
      <c r="AY83" s="117"/>
      <c r="AZ83" s="117"/>
      <c r="BA83" s="117"/>
      <c r="BB83" s="117"/>
      <c r="BC83" s="117"/>
      <c r="BD83" s="117"/>
      <c r="BE83" s="117"/>
      <c r="BF83" s="117"/>
      <c r="BG83" s="117"/>
      <c r="BH83" s="117"/>
      <c r="BI83" s="117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B1:BM32"/>
  <sheetViews>
    <sheetView showGridLines="0" topLeftCell="H1" zoomScaleNormal="100" zoomScaleSheetLayoutView="100" workbookViewId="0">
      <selection activeCell="AC14" sqref="AB14:AC14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35" t="s">
        <v>0</v>
      </c>
      <c r="C2" s="236"/>
      <c r="D2" s="236"/>
      <c r="E2" s="236"/>
      <c r="F2" s="236"/>
      <c r="G2" s="236"/>
      <c r="H2" s="236" t="s">
        <v>17</v>
      </c>
      <c r="I2" s="236"/>
      <c r="J2" s="236"/>
      <c r="K2" s="236"/>
      <c r="L2" s="236" t="s">
        <v>1</v>
      </c>
      <c r="M2" s="236"/>
      <c r="N2" s="236"/>
      <c r="O2" s="236"/>
      <c r="P2" s="236"/>
      <c r="Q2" s="236"/>
      <c r="R2" s="236" t="s">
        <v>2</v>
      </c>
      <c r="S2" s="236"/>
      <c r="T2" s="236"/>
      <c r="U2" s="236"/>
      <c r="V2" s="236"/>
      <c r="W2" s="236"/>
      <c r="X2" s="237" t="s">
        <v>3</v>
      </c>
      <c r="Y2" s="238"/>
      <c r="Z2" s="238"/>
      <c r="AA2" s="238"/>
      <c r="AB2" s="238"/>
      <c r="AC2" s="238"/>
      <c r="AD2" s="238"/>
      <c r="AE2" s="238"/>
      <c r="AF2" s="238"/>
      <c r="AG2" s="238"/>
      <c r="AH2" s="238"/>
      <c r="AI2" s="238"/>
      <c r="AJ2" s="239"/>
      <c r="AK2" s="237" t="s">
        <v>32</v>
      </c>
      <c r="AL2" s="238"/>
      <c r="AM2" s="238"/>
      <c r="AN2" s="238"/>
      <c r="AO2" s="238"/>
      <c r="AP2" s="238"/>
      <c r="AQ2" s="238"/>
      <c r="AR2" s="238"/>
      <c r="AS2" s="238"/>
      <c r="AT2" s="238"/>
      <c r="AU2" s="238"/>
      <c r="AV2" s="238"/>
      <c r="AW2" s="239"/>
      <c r="AX2" s="236" t="s">
        <v>5</v>
      </c>
      <c r="AY2" s="236"/>
      <c r="AZ2" s="236"/>
      <c r="BA2" s="236"/>
      <c r="BB2" s="236" t="s">
        <v>4</v>
      </c>
      <c r="BC2" s="236"/>
      <c r="BD2" s="236"/>
      <c r="BE2" s="236"/>
      <c r="BF2" s="236" t="s">
        <v>6</v>
      </c>
      <c r="BG2" s="236"/>
      <c r="BH2" s="236"/>
      <c r="BI2" s="236"/>
      <c r="BJ2" s="236" t="s">
        <v>7</v>
      </c>
      <c r="BK2" s="236"/>
      <c r="BL2" s="236"/>
      <c r="BM2" s="246"/>
    </row>
    <row r="3" spans="2:65" ht="20.100000000000001" customHeight="1" x14ac:dyDescent="0.45">
      <c r="B3" s="240" t="str">
        <f>変更履歴!B3</f>
        <v>受発注システム</v>
      </c>
      <c r="C3" s="175"/>
      <c r="D3" s="175"/>
      <c r="E3" s="175"/>
      <c r="F3" s="175"/>
      <c r="G3" s="175"/>
      <c r="H3" s="175" t="str">
        <f ca="1">変更履歴!H3</f>
        <v>SU1200</v>
      </c>
      <c r="I3" s="175"/>
      <c r="J3" s="175"/>
      <c r="K3" s="175"/>
      <c r="L3" s="175" t="str">
        <f>変更履歴!L3</f>
        <v>受発注</v>
      </c>
      <c r="M3" s="175"/>
      <c r="N3" s="175"/>
      <c r="O3" s="175"/>
      <c r="P3" s="175"/>
      <c r="Q3" s="175"/>
      <c r="R3" s="175" t="str">
        <f ca="1">変更履歴!R3</f>
        <v>帳票設計書</v>
      </c>
      <c r="S3" s="175"/>
      <c r="T3" s="175"/>
      <c r="U3" s="175"/>
      <c r="V3" s="175"/>
      <c r="W3" s="175"/>
      <c r="X3" s="179" t="str">
        <f ca="1">変更履歴!X3</f>
        <v>SU1200_請求原価率表_帳票設計書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76"/>
      <c r="AK3" s="179" t="str">
        <f ca="1">変更履歴!AK3</f>
        <v>請求原価率表</v>
      </c>
      <c r="AL3" s="180"/>
      <c r="AM3" s="180"/>
      <c r="AN3" s="180"/>
      <c r="AO3" s="180"/>
      <c r="AP3" s="180"/>
      <c r="AQ3" s="180"/>
      <c r="AR3" s="180"/>
      <c r="AS3" s="180"/>
      <c r="AT3" s="180"/>
      <c r="AU3" s="180"/>
      <c r="AV3" s="180"/>
      <c r="AW3" s="176"/>
      <c r="AX3" s="186">
        <f>変更履歴!AX3</f>
        <v>45581</v>
      </c>
      <c r="AY3" s="186"/>
      <c r="AZ3" s="186"/>
      <c r="BA3" s="186"/>
      <c r="BB3" s="175" t="str">
        <f>変更履歴!BB3</f>
        <v>大谷</v>
      </c>
      <c r="BC3" s="175"/>
      <c r="BD3" s="175"/>
      <c r="BE3" s="175"/>
      <c r="BF3" s="186">
        <f>変更履歴!BF3</f>
        <v>45581</v>
      </c>
      <c r="BG3" s="186"/>
      <c r="BH3" s="186"/>
      <c r="BI3" s="186"/>
      <c r="BJ3" s="175" t="str">
        <f>変更履歴!BJ3</f>
        <v>大谷</v>
      </c>
      <c r="BK3" s="175"/>
      <c r="BL3" s="175"/>
      <c r="BM3" s="244"/>
    </row>
    <row r="4" spans="2:65" ht="20.100000000000001" customHeight="1" thickBot="1" x14ac:dyDescent="0.5">
      <c r="B4" s="241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32"/>
      <c r="Y4" s="233"/>
      <c r="Z4" s="233"/>
      <c r="AA4" s="233"/>
      <c r="AB4" s="233"/>
      <c r="AC4" s="233"/>
      <c r="AD4" s="233"/>
      <c r="AE4" s="233"/>
      <c r="AF4" s="233"/>
      <c r="AG4" s="233"/>
      <c r="AH4" s="233"/>
      <c r="AI4" s="233"/>
      <c r="AJ4" s="234"/>
      <c r="AK4" s="232"/>
      <c r="AL4" s="233"/>
      <c r="AM4" s="233"/>
      <c r="AN4" s="233"/>
      <c r="AO4" s="233"/>
      <c r="AP4" s="233"/>
      <c r="AQ4" s="233"/>
      <c r="AR4" s="233"/>
      <c r="AS4" s="233"/>
      <c r="AT4" s="233"/>
      <c r="AU4" s="233"/>
      <c r="AV4" s="233"/>
      <c r="AW4" s="234"/>
      <c r="AX4" s="243"/>
      <c r="AY4" s="243"/>
      <c r="AZ4" s="243"/>
      <c r="BA4" s="243"/>
      <c r="BB4" s="242"/>
      <c r="BC4" s="242"/>
      <c r="BD4" s="242"/>
      <c r="BE4" s="242"/>
      <c r="BF4" s="243"/>
      <c r="BG4" s="243"/>
      <c r="BH4" s="243"/>
      <c r="BI4" s="243"/>
      <c r="BJ4" s="242"/>
      <c r="BK4" s="242"/>
      <c r="BL4" s="242"/>
      <c r="BM4" s="245"/>
    </row>
    <row r="5" spans="2:65" ht="5.0999999999999996" customHeight="1" thickBot="1" x14ac:dyDescent="0.5"/>
    <row r="6" spans="2:65" ht="20.100000000000001" customHeight="1" x14ac:dyDescent="0.45">
      <c r="B6" s="116" t="s">
        <v>110</v>
      </c>
      <c r="C6" s="117"/>
      <c r="D6" s="117"/>
      <c r="E6" s="117"/>
      <c r="F6" s="117"/>
      <c r="G6" s="118"/>
      <c r="H6" s="119" t="s">
        <v>111</v>
      </c>
      <c r="I6" s="117"/>
      <c r="J6" s="134" t="s">
        <v>112</v>
      </c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20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17"/>
      <c r="BF6" s="117"/>
      <c r="BG6" s="117"/>
      <c r="BH6" s="117"/>
      <c r="BI6" s="121"/>
      <c r="BJ6" s="29"/>
      <c r="BK6" s="29"/>
      <c r="BL6" s="29"/>
      <c r="BM6" s="29"/>
    </row>
    <row r="7" spans="2:65" ht="20.100000000000001" customHeight="1" x14ac:dyDescent="0.45">
      <c r="B7" s="122"/>
      <c r="C7" s="31"/>
      <c r="D7" s="31"/>
      <c r="E7" s="31"/>
      <c r="F7" s="31"/>
      <c r="G7" s="123"/>
      <c r="H7" s="124"/>
      <c r="I7" s="31"/>
      <c r="J7" s="124" t="s">
        <v>113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125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126"/>
      <c r="BJ7" s="29"/>
      <c r="BK7" s="29"/>
      <c r="BL7" s="29"/>
      <c r="BM7" s="29"/>
    </row>
    <row r="8" spans="2:65" ht="20.100000000000001" customHeight="1" x14ac:dyDescent="0.45">
      <c r="B8" s="122"/>
      <c r="C8" s="31"/>
      <c r="D8" s="31"/>
      <c r="E8" s="31"/>
      <c r="F8" s="31"/>
      <c r="G8" s="123"/>
      <c r="H8" s="124"/>
      <c r="I8" s="31"/>
      <c r="J8" s="124" t="s">
        <v>114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125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26"/>
      <c r="BJ8" s="29"/>
      <c r="BK8" s="29"/>
      <c r="BL8" s="29"/>
      <c r="BM8" s="29"/>
    </row>
    <row r="9" spans="2:65" ht="20.100000000000001" customHeight="1" x14ac:dyDescent="0.45">
      <c r="B9" s="122"/>
      <c r="C9" s="31"/>
      <c r="D9" s="31"/>
      <c r="E9" s="31"/>
      <c r="F9" s="31"/>
      <c r="G9" s="123"/>
      <c r="H9" s="124"/>
      <c r="I9" s="31"/>
      <c r="J9" s="124" t="s">
        <v>115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125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126"/>
      <c r="BJ9" s="29"/>
      <c r="BK9" s="29"/>
      <c r="BL9" s="29"/>
      <c r="BM9" s="29"/>
    </row>
    <row r="10" spans="2:65" ht="20.100000000000001" customHeight="1" x14ac:dyDescent="0.45">
      <c r="B10" s="122"/>
      <c r="C10" s="31"/>
      <c r="D10" s="31"/>
      <c r="E10" s="31"/>
      <c r="F10" s="31"/>
      <c r="G10" s="123"/>
      <c r="H10" s="127" t="s">
        <v>116</v>
      </c>
      <c r="I10" s="55"/>
      <c r="J10" s="135" t="s">
        <v>117</v>
      </c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128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129"/>
      <c r="BJ10" s="29"/>
      <c r="BK10" s="29"/>
      <c r="BL10" s="29"/>
      <c r="BM10" s="29"/>
    </row>
    <row r="11" spans="2:65" ht="20.100000000000001" customHeight="1" x14ac:dyDescent="0.45">
      <c r="B11" s="122"/>
      <c r="C11" s="31"/>
      <c r="D11" s="31"/>
      <c r="E11" s="31"/>
      <c r="F11" s="31"/>
      <c r="G11" s="123"/>
      <c r="H11" s="124"/>
      <c r="I11" s="31"/>
      <c r="J11" s="136"/>
      <c r="K11" s="137" t="s">
        <v>118</v>
      </c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125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26"/>
      <c r="BJ11" s="29"/>
      <c r="BK11" s="29"/>
      <c r="BL11" s="29"/>
      <c r="BM11" s="29"/>
    </row>
    <row r="12" spans="2:65" ht="20.100000000000001" customHeight="1" x14ac:dyDescent="0.45">
      <c r="B12" s="122"/>
      <c r="C12" s="31"/>
      <c r="D12" s="31"/>
      <c r="E12" s="31"/>
      <c r="F12" s="31"/>
      <c r="G12" s="123"/>
      <c r="H12" s="124"/>
      <c r="I12" s="31"/>
      <c r="J12" s="124"/>
      <c r="K12" s="29"/>
      <c r="L12" s="138"/>
      <c r="M12" s="137" t="s">
        <v>119</v>
      </c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125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26"/>
      <c r="BJ12" s="29"/>
      <c r="BK12" s="29"/>
      <c r="BL12" s="29"/>
      <c r="BM12" s="29"/>
    </row>
    <row r="13" spans="2:65" ht="20.100000000000001" customHeight="1" x14ac:dyDescent="0.45">
      <c r="B13" s="122"/>
      <c r="C13" s="31"/>
      <c r="D13" s="31"/>
      <c r="E13" s="31"/>
      <c r="F13" s="31"/>
      <c r="G13" s="123"/>
      <c r="H13" s="124"/>
      <c r="I13" s="31"/>
      <c r="J13" s="124"/>
      <c r="K13" s="29"/>
      <c r="L13" s="138" t="s">
        <v>120</v>
      </c>
      <c r="M13" s="137" t="s">
        <v>119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125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26"/>
      <c r="BJ13" s="29"/>
      <c r="BK13" s="29"/>
      <c r="BL13" s="29"/>
      <c r="BM13" s="29"/>
    </row>
    <row r="14" spans="2:65" ht="20.100000000000001" customHeight="1" x14ac:dyDescent="0.45">
      <c r="B14" s="122"/>
      <c r="C14" s="31"/>
      <c r="D14" s="31"/>
      <c r="E14" s="31"/>
      <c r="F14" s="31"/>
      <c r="G14" s="123"/>
      <c r="H14" s="124"/>
      <c r="I14" s="31"/>
      <c r="J14" s="124"/>
      <c r="K14" s="29"/>
      <c r="L14" s="138" t="s">
        <v>121</v>
      </c>
      <c r="M14" s="137" t="s">
        <v>119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125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126"/>
      <c r="BJ14" s="29"/>
      <c r="BK14" s="29"/>
      <c r="BL14" s="29"/>
      <c r="BM14" s="29"/>
    </row>
    <row r="15" spans="2:65" ht="20.100000000000001" customHeight="1" x14ac:dyDescent="0.45">
      <c r="B15" s="122"/>
      <c r="C15" s="31"/>
      <c r="D15" s="31"/>
      <c r="E15" s="31"/>
      <c r="F15" s="31"/>
      <c r="G15" s="123"/>
      <c r="H15" s="124"/>
      <c r="I15" s="31"/>
      <c r="J15" s="124" t="s">
        <v>122</v>
      </c>
      <c r="K15" s="138"/>
      <c r="L15" s="137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125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26"/>
      <c r="BJ15" s="29"/>
      <c r="BK15" s="29"/>
      <c r="BL15" s="29"/>
      <c r="BM15" s="29"/>
    </row>
    <row r="16" spans="2:65" ht="20.100000000000001" customHeight="1" x14ac:dyDescent="0.45">
      <c r="B16" s="122"/>
      <c r="C16" s="31"/>
      <c r="D16" s="31"/>
      <c r="E16" s="31"/>
      <c r="F16" s="31"/>
      <c r="G16" s="123"/>
      <c r="H16" s="124"/>
      <c r="I16" s="31"/>
      <c r="J16" s="124"/>
      <c r="K16" s="31" t="s">
        <v>123</v>
      </c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125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26"/>
      <c r="BJ16" s="29"/>
      <c r="BK16" s="29"/>
      <c r="BL16" s="29"/>
      <c r="BM16" s="29"/>
    </row>
    <row r="17" spans="2:61" ht="20.100000000000001" customHeight="1" x14ac:dyDescent="0.45">
      <c r="B17" s="122"/>
      <c r="C17" s="31"/>
      <c r="D17" s="31"/>
      <c r="E17" s="31"/>
      <c r="F17" s="31"/>
      <c r="G17" s="123"/>
      <c r="H17" s="124"/>
      <c r="I17" s="31"/>
      <c r="J17" s="124"/>
      <c r="K17" s="29"/>
      <c r="L17" s="31"/>
      <c r="M17" s="31" t="s">
        <v>124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125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26"/>
    </row>
    <row r="18" spans="2:61" ht="20.100000000000001" customHeight="1" x14ac:dyDescent="0.45">
      <c r="B18" s="122"/>
      <c r="C18" s="31"/>
      <c r="D18" s="31"/>
      <c r="E18" s="31"/>
      <c r="F18" s="31"/>
      <c r="G18" s="123"/>
      <c r="H18" s="130"/>
      <c r="I18" s="131"/>
      <c r="J18" s="130"/>
      <c r="K18" s="131"/>
      <c r="L18" s="131" t="s">
        <v>120</v>
      </c>
      <c r="M18" s="131" t="s">
        <v>125</v>
      </c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1"/>
      <c r="AK18" s="132"/>
      <c r="AL18" s="131"/>
      <c r="AM18" s="131"/>
      <c r="AN18" s="131"/>
      <c r="AO18" s="131"/>
      <c r="AP18" s="131"/>
      <c r="AQ18" s="131"/>
      <c r="AR18" s="131"/>
      <c r="AS18" s="131"/>
      <c r="AT18" s="131"/>
      <c r="AU18" s="131"/>
      <c r="AV18" s="131"/>
      <c r="AW18" s="131"/>
      <c r="AX18" s="131"/>
      <c r="AY18" s="131"/>
      <c r="AZ18" s="131"/>
      <c r="BA18" s="131"/>
      <c r="BB18" s="131"/>
      <c r="BC18" s="131"/>
      <c r="BD18" s="131"/>
      <c r="BE18" s="131"/>
      <c r="BF18" s="131"/>
      <c r="BG18" s="131"/>
      <c r="BH18" s="131"/>
      <c r="BI18" s="133"/>
    </row>
    <row r="19" spans="2:61" ht="20.100000000000001" customHeight="1" x14ac:dyDescent="0.45">
      <c r="B19" s="122"/>
      <c r="C19" s="31"/>
      <c r="D19" s="31"/>
      <c r="E19" s="31"/>
      <c r="F19" s="31"/>
      <c r="G19" s="123"/>
      <c r="H19" s="124" t="s">
        <v>126</v>
      </c>
      <c r="I19" s="31"/>
      <c r="J19" s="139"/>
      <c r="K19" s="137" t="s">
        <v>127</v>
      </c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140" t="s">
        <v>128</v>
      </c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26"/>
    </row>
    <row r="20" spans="2:61" ht="20.100000000000001" customHeight="1" x14ac:dyDescent="0.45">
      <c r="B20" s="122"/>
      <c r="C20" s="31"/>
      <c r="D20" s="31"/>
      <c r="E20" s="31"/>
      <c r="F20" s="31"/>
      <c r="G20" s="123"/>
      <c r="H20" s="124"/>
      <c r="I20" s="31"/>
      <c r="J20" s="139" t="s">
        <v>120</v>
      </c>
      <c r="K20" s="137" t="s">
        <v>129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125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26"/>
    </row>
    <row r="21" spans="2:61" ht="20.100000000000001" customHeight="1" x14ac:dyDescent="0.45">
      <c r="B21" s="122"/>
      <c r="C21" s="31"/>
      <c r="D21" s="31"/>
      <c r="E21" s="31"/>
      <c r="F21" s="31"/>
      <c r="G21" s="123"/>
      <c r="H21" s="124"/>
      <c r="I21" s="31"/>
      <c r="J21" s="139" t="s">
        <v>121</v>
      </c>
      <c r="K21" s="137" t="s">
        <v>129</v>
      </c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125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26"/>
    </row>
    <row r="22" spans="2:61" ht="20.100000000000001" customHeight="1" x14ac:dyDescent="0.45">
      <c r="B22" s="122"/>
      <c r="C22" s="31"/>
      <c r="D22" s="31"/>
      <c r="E22" s="31"/>
      <c r="F22" s="31"/>
      <c r="G22" s="123"/>
      <c r="H22" s="124"/>
      <c r="I22" s="31"/>
      <c r="J22" s="139" t="s">
        <v>130</v>
      </c>
      <c r="K22" s="137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125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126"/>
    </row>
    <row r="23" spans="2:61" ht="20.100000000000001" customHeight="1" x14ac:dyDescent="0.45">
      <c r="B23" s="122"/>
      <c r="C23" s="31"/>
      <c r="D23" s="31"/>
      <c r="E23" s="31"/>
      <c r="F23" s="31"/>
      <c r="G23" s="123"/>
      <c r="H23" s="124"/>
      <c r="I23" s="31"/>
      <c r="J23" s="124"/>
      <c r="K23" s="31" t="s">
        <v>131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41" t="s">
        <v>132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26"/>
    </row>
    <row r="24" spans="2:61" ht="20.100000000000001" customHeight="1" x14ac:dyDescent="0.45">
      <c r="B24" s="122"/>
      <c r="C24" s="31"/>
      <c r="D24" s="31"/>
      <c r="E24" s="31"/>
      <c r="F24" s="31"/>
      <c r="G24" s="123"/>
      <c r="H24" s="124"/>
      <c r="I24" s="31"/>
      <c r="J24" s="124" t="s">
        <v>120</v>
      </c>
      <c r="K24" s="31" t="s">
        <v>133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124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26"/>
    </row>
    <row r="25" spans="2:61" ht="20.100000000000001" customHeight="1" x14ac:dyDescent="0.45">
      <c r="B25" s="122"/>
      <c r="C25" s="31"/>
      <c r="D25" s="31"/>
      <c r="E25" s="31"/>
      <c r="F25" s="31"/>
      <c r="G25" s="123"/>
      <c r="H25" s="124"/>
      <c r="I25" s="31"/>
      <c r="J25" s="139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124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26"/>
    </row>
    <row r="26" spans="2:61" ht="20.100000000000001" customHeight="1" x14ac:dyDescent="0.45">
      <c r="B26" s="122"/>
      <c r="C26" s="31"/>
      <c r="D26" s="31"/>
      <c r="E26" s="31"/>
      <c r="F26" s="31"/>
      <c r="G26" s="123"/>
      <c r="H26" s="124"/>
      <c r="I26" s="31"/>
      <c r="J26" s="124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124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26"/>
    </row>
    <row r="27" spans="2:61" ht="20.100000000000001" customHeight="1" x14ac:dyDescent="0.45">
      <c r="B27" s="122"/>
      <c r="C27" s="31"/>
      <c r="D27" s="31"/>
      <c r="E27" s="31"/>
      <c r="F27" s="31"/>
      <c r="G27" s="123"/>
      <c r="H27" s="130"/>
      <c r="I27" s="131"/>
      <c r="J27" s="130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0"/>
      <c r="AL27" s="131"/>
      <c r="AM27" s="131"/>
      <c r="AN27" s="131"/>
      <c r="AO27" s="131"/>
      <c r="AP27" s="131"/>
      <c r="AQ27" s="131"/>
      <c r="AR27" s="131"/>
      <c r="AS27" s="131"/>
      <c r="AT27" s="131"/>
      <c r="AU27" s="131"/>
      <c r="AV27" s="131"/>
      <c r="AW27" s="131"/>
      <c r="AX27" s="131"/>
      <c r="AY27" s="131"/>
      <c r="AZ27" s="131"/>
      <c r="BA27" s="131"/>
      <c r="BB27" s="131"/>
      <c r="BC27" s="131"/>
      <c r="BD27" s="131"/>
      <c r="BE27" s="131"/>
      <c r="BF27" s="131"/>
      <c r="BG27" s="131"/>
      <c r="BH27" s="131"/>
      <c r="BI27" s="133"/>
    </row>
    <row r="28" spans="2:61" ht="20.100000000000001" customHeight="1" x14ac:dyDescent="0.45">
      <c r="B28" s="122"/>
      <c r="C28" s="31"/>
      <c r="D28" s="31"/>
      <c r="E28" s="31"/>
      <c r="F28" s="31"/>
      <c r="G28" s="123"/>
      <c r="H28" s="124" t="s">
        <v>134</v>
      </c>
      <c r="I28" s="31"/>
      <c r="J28" s="139" t="s">
        <v>135</v>
      </c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124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26"/>
    </row>
    <row r="29" spans="2:61" ht="20.100000000000001" customHeight="1" x14ac:dyDescent="0.45">
      <c r="B29" s="122"/>
      <c r="C29" s="31"/>
      <c r="D29" s="31"/>
      <c r="E29" s="31"/>
      <c r="F29" s="31"/>
      <c r="G29" s="123"/>
      <c r="H29" s="124"/>
      <c r="I29" s="31"/>
      <c r="J29" s="139" t="s">
        <v>136</v>
      </c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124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26"/>
    </row>
    <row r="30" spans="2:61" ht="20.100000000000001" customHeight="1" thickBot="1" x14ac:dyDescent="0.5">
      <c r="B30" s="142"/>
      <c r="C30" s="143"/>
      <c r="D30" s="143"/>
      <c r="E30" s="143"/>
      <c r="F30" s="143"/>
      <c r="G30" s="144"/>
      <c r="H30" s="145"/>
      <c r="I30" s="143"/>
      <c r="J30" s="145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5"/>
      <c r="AL30" s="143"/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  <c r="BD30" s="143"/>
      <c r="BE30" s="143"/>
      <c r="BF30" s="143"/>
      <c r="BG30" s="143"/>
      <c r="BH30" s="143"/>
      <c r="BI30" s="146"/>
    </row>
    <row r="31" spans="2:61" ht="20.100000000000001" customHeight="1" x14ac:dyDescent="0.45"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</row>
    <row r="32" spans="2:61" ht="20.100000000000001" customHeight="1" x14ac:dyDescent="0.45">
      <c r="B32" s="29"/>
      <c r="C32" s="29"/>
      <c r="D32" s="29"/>
      <c r="E32" s="29"/>
      <c r="F32" s="29"/>
      <c r="G32" s="29"/>
      <c r="H32" s="147" t="s">
        <v>137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G55"/>
  <sheetViews>
    <sheetView workbookViewId="0"/>
  </sheetViews>
  <sheetFormatPr defaultRowHeight="18" x14ac:dyDescent="0.45"/>
  <cols>
    <col min="1" max="2" width="8.796875" style="29"/>
    <col min="3" max="3" width="8.59765625" style="29" bestFit="1" customWidth="1"/>
    <col min="4" max="4" width="20.69921875" style="29" customWidth="1"/>
    <col min="5" max="5" width="76.8984375" style="29" customWidth="1"/>
    <col min="6" max="6" width="49.19921875" style="29" customWidth="1"/>
    <col min="7" max="16384" width="8.796875" style="29"/>
  </cols>
  <sheetData>
    <row r="2" spans="2:7" ht="19.2" thickBot="1" x14ac:dyDescent="0.5">
      <c r="B2" s="86" t="s">
        <v>48</v>
      </c>
    </row>
    <row r="3" spans="2:7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157" t="s">
        <v>221</v>
      </c>
      <c r="G3" s="78" t="s">
        <v>51</v>
      </c>
    </row>
    <row r="4" spans="2:7" ht="54" x14ac:dyDescent="0.45">
      <c r="B4" s="37">
        <v>1</v>
      </c>
      <c r="C4" s="79" t="s">
        <v>87</v>
      </c>
      <c r="D4" s="79"/>
      <c r="E4" s="81" t="s">
        <v>220</v>
      </c>
      <c r="F4" s="158" t="s">
        <v>222</v>
      </c>
      <c r="G4" s="80"/>
    </row>
    <row r="5" spans="2:7" x14ac:dyDescent="0.45">
      <c r="B5" s="37">
        <v>2</v>
      </c>
      <c r="C5" s="79"/>
      <c r="D5" s="79"/>
      <c r="E5" s="81"/>
      <c r="F5" s="81"/>
      <c r="G5" s="80"/>
    </row>
    <row r="6" spans="2:7" x14ac:dyDescent="0.45">
      <c r="B6" s="37">
        <v>3</v>
      </c>
      <c r="C6" s="79"/>
      <c r="D6" s="79"/>
      <c r="E6" s="81"/>
      <c r="F6" s="81"/>
      <c r="G6" s="80"/>
    </row>
    <row r="7" spans="2:7" x14ac:dyDescent="0.45">
      <c r="B7" s="37">
        <v>4</v>
      </c>
      <c r="C7" s="79"/>
      <c r="D7" s="79"/>
      <c r="E7" s="81"/>
      <c r="F7" s="81"/>
      <c r="G7" s="80"/>
    </row>
    <row r="8" spans="2:7" x14ac:dyDescent="0.45">
      <c r="B8" s="37">
        <v>5</v>
      </c>
      <c r="C8" s="79"/>
      <c r="D8" s="79"/>
      <c r="E8" s="81"/>
      <c r="F8" s="81"/>
      <c r="G8" s="80"/>
    </row>
    <row r="9" spans="2:7" x14ac:dyDescent="0.45">
      <c r="B9" s="37">
        <v>6</v>
      </c>
      <c r="C9" s="79"/>
      <c r="D9" s="79"/>
      <c r="E9" s="81"/>
      <c r="F9" s="81"/>
      <c r="G9" s="80"/>
    </row>
    <row r="10" spans="2:7" x14ac:dyDescent="0.45">
      <c r="B10" s="37">
        <v>7</v>
      </c>
      <c r="C10" s="79"/>
      <c r="D10" s="79"/>
      <c r="E10" s="81"/>
      <c r="F10" s="81"/>
      <c r="G10" s="80"/>
    </row>
    <row r="11" spans="2:7" x14ac:dyDescent="0.45">
      <c r="B11" s="37">
        <v>8</v>
      </c>
      <c r="C11" s="79"/>
      <c r="D11" s="79"/>
      <c r="E11" s="81"/>
      <c r="F11" s="81"/>
      <c r="G11" s="80"/>
    </row>
    <row r="12" spans="2:7" x14ac:dyDescent="0.45">
      <c r="B12" s="37">
        <v>9</v>
      </c>
      <c r="C12" s="79"/>
      <c r="D12" s="79"/>
      <c r="E12" s="81"/>
      <c r="F12" s="81"/>
      <c r="G12" s="80"/>
    </row>
    <row r="13" spans="2:7" x14ac:dyDescent="0.45">
      <c r="B13" s="37">
        <v>10</v>
      </c>
      <c r="C13" s="79"/>
      <c r="D13" s="79"/>
      <c r="E13" s="81"/>
      <c r="F13" s="81"/>
      <c r="G13" s="80"/>
    </row>
    <row r="14" spans="2:7" x14ac:dyDescent="0.45">
      <c r="B14" s="37">
        <v>11</v>
      </c>
      <c r="C14" s="79"/>
      <c r="D14" s="79"/>
      <c r="E14" s="81"/>
      <c r="F14" s="81"/>
      <c r="G14" s="80"/>
    </row>
    <row r="15" spans="2:7" x14ac:dyDescent="0.45">
      <c r="B15" s="37">
        <v>12</v>
      </c>
      <c r="C15" s="79"/>
      <c r="D15" s="79"/>
      <c r="E15" s="81"/>
      <c r="F15" s="81"/>
      <c r="G15" s="80"/>
    </row>
    <row r="16" spans="2:7" x14ac:dyDescent="0.45">
      <c r="B16" s="37">
        <v>13</v>
      </c>
      <c r="C16" s="79"/>
      <c r="D16" s="79"/>
      <c r="E16" s="81"/>
      <c r="F16" s="81"/>
      <c r="G16" s="80"/>
    </row>
    <row r="17" spans="2:7" x14ac:dyDescent="0.45">
      <c r="B17" s="37">
        <v>14</v>
      </c>
      <c r="C17" s="79"/>
      <c r="D17" s="79"/>
      <c r="E17" s="81"/>
      <c r="F17" s="81"/>
      <c r="G17" s="80"/>
    </row>
    <row r="18" spans="2:7" x14ac:dyDescent="0.45">
      <c r="B18" s="37">
        <v>15</v>
      </c>
      <c r="C18" s="79"/>
      <c r="D18" s="79"/>
      <c r="E18" s="81"/>
      <c r="F18" s="81"/>
      <c r="G18" s="80"/>
    </row>
    <row r="19" spans="2:7" x14ac:dyDescent="0.45">
      <c r="B19" s="37">
        <v>16</v>
      </c>
      <c r="C19" s="79"/>
      <c r="D19" s="79"/>
      <c r="E19" s="81"/>
      <c r="F19" s="81"/>
      <c r="G19" s="80"/>
    </row>
    <row r="20" spans="2:7" x14ac:dyDescent="0.45">
      <c r="B20" s="37">
        <v>17</v>
      </c>
      <c r="C20" s="79"/>
      <c r="D20" s="79"/>
      <c r="E20" s="81"/>
      <c r="F20" s="81"/>
      <c r="G20" s="80"/>
    </row>
    <row r="21" spans="2:7" x14ac:dyDescent="0.45">
      <c r="B21" s="37">
        <v>18</v>
      </c>
      <c r="C21" s="79"/>
      <c r="D21" s="79"/>
      <c r="E21" s="81"/>
      <c r="F21" s="81"/>
      <c r="G21" s="80"/>
    </row>
    <row r="22" spans="2:7" x14ac:dyDescent="0.45">
      <c r="B22" s="37">
        <v>19</v>
      </c>
      <c r="C22" s="79"/>
      <c r="D22" s="79"/>
      <c r="E22" s="81"/>
      <c r="F22" s="81"/>
      <c r="G22" s="80"/>
    </row>
    <row r="23" spans="2:7" x14ac:dyDescent="0.45">
      <c r="B23" s="37">
        <v>20</v>
      </c>
      <c r="C23" s="79"/>
      <c r="D23" s="79"/>
      <c r="E23" s="81"/>
      <c r="F23" s="81"/>
      <c r="G23" s="80"/>
    </row>
    <row r="24" spans="2:7" x14ac:dyDescent="0.45">
      <c r="B24" s="37">
        <v>21</v>
      </c>
      <c r="C24" s="79"/>
      <c r="D24" s="79"/>
      <c r="E24" s="81"/>
      <c r="F24" s="81"/>
      <c r="G24" s="80"/>
    </row>
    <row r="25" spans="2:7" x14ac:dyDescent="0.45">
      <c r="B25" s="37">
        <v>22</v>
      </c>
      <c r="C25" s="79"/>
      <c r="D25" s="79"/>
      <c r="E25" s="81"/>
      <c r="F25" s="81"/>
      <c r="G25" s="80"/>
    </row>
    <row r="26" spans="2:7" x14ac:dyDescent="0.45">
      <c r="B26" s="37">
        <v>23</v>
      </c>
      <c r="C26" s="79"/>
      <c r="D26" s="79"/>
      <c r="E26" s="81"/>
      <c r="F26" s="81"/>
      <c r="G26" s="80"/>
    </row>
    <row r="27" spans="2:7" x14ac:dyDescent="0.45">
      <c r="B27" s="37">
        <v>24</v>
      </c>
      <c r="C27" s="79"/>
      <c r="D27" s="79"/>
      <c r="E27" s="81"/>
      <c r="F27" s="81"/>
      <c r="G27" s="80"/>
    </row>
    <row r="28" spans="2:7" x14ac:dyDescent="0.45">
      <c r="B28" s="37">
        <v>25</v>
      </c>
      <c r="C28" s="79"/>
      <c r="D28" s="79"/>
      <c r="E28" s="81"/>
      <c r="F28" s="81"/>
      <c r="G28" s="80"/>
    </row>
    <row r="29" spans="2:7" x14ac:dyDescent="0.45">
      <c r="B29" s="37">
        <v>26</v>
      </c>
      <c r="C29" s="79"/>
      <c r="D29" s="79"/>
      <c r="E29" s="81"/>
      <c r="F29" s="81"/>
      <c r="G29" s="80"/>
    </row>
    <row r="30" spans="2:7" x14ac:dyDescent="0.45">
      <c r="B30" s="37">
        <v>27</v>
      </c>
      <c r="C30" s="79"/>
      <c r="D30" s="79"/>
      <c r="E30" s="81"/>
      <c r="F30" s="81"/>
      <c r="G30" s="80"/>
    </row>
    <row r="31" spans="2:7" x14ac:dyDescent="0.45">
      <c r="B31" s="37">
        <v>28</v>
      </c>
      <c r="C31" s="79"/>
      <c r="D31" s="79"/>
      <c r="E31" s="81"/>
      <c r="F31" s="81"/>
      <c r="G31" s="80"/>
    </row>
    <row r="32" spans="2:7" x14ac:dyDescent="0.45">
      <c r="B32" s="37">
        <v>29</v>
      </c>
      <c r="C32" s="79"/>
      <c r="D32" s="79"/>
      <c r="E32" s="81"/>
      <c r="F32" s="81"/>
      <c r="G32" s="80"/>
    </row>
    <row r="33" spans="2:7" x14ac:dyDescent="0.45">
      <c r="B33" s="37">
        <v>30</v>
      </c>
      <c r="C33" s="79"/>
      <c r="D33" s="79"/>
      <c r="E33" s="81"/>
      <c r="F33" s="81"/>
      <c r="G33" s="80"/>
    </row>
    <row r="34" spans="2:7" x14ac:dyDescent="0.45">
      <c r="B34" s="37">
        <v>31</v>
      </c>
      <c r="C34" s="79"/>
      <c r="D34" s="79"/>
      <c r="E34" s="81"/>
      <c r="F34" s="81"/>
      <c r="G34" s="80"/>
    </row>
    <row r="35" spans="2:7" x14ac:dyDescent="0.45">
      <c r="B35" s="37">
        <v>32</v>
      </c>
      <c r="C35" s="79"/>
      <c r="D35" s="79"/>
      <c r="E35" s="81"/>
      <c r="F35" s="81"/>
      <c r="G35" s="80"/>
    </row>
    <row r="36" spans="2:7" x14ac:dyDescent="0.45">
      <c r="B36" s="37">
        <v>33</v>
      </c>
      <c r="C36" s="79"/>
      <c r="D36" s="79"/>
      <c r="E36" s="81"/>
      <c r="F36" s="81"/>
      <c r="G36" s="80"/>
    </row>
    <row r="37" spans="2:7" x14ac:dyDescent="0.45">
      <c r="B37" s="37">
        <v>34</v>
      </c>
      <c r="C37" s="79"/>
      <c r="D37" s="79"/>
      <c r="E37" s="81"/>
      <c r="F37" s="81"/>
      <c r="G37" s="80"/>
    </row>
    <row r="38" spans="2:7" x14ac:dyDescent="0.45">
      <c r="B38" s="37">
        <v>35</v>
      </c>
      <c r="C38" s="79"/>
      <c r="D38" s="79"/>
      <c r="E38" s="81"/>
      <c r="F38" s="81"/>
      <c r="G38" s="80"/>
    </row>
    <row r="39" spans="2:7" x14ac:dyDescent="0.45">
      <c r="B39" s="37">
        <v>36</v>
      </c>
      <c r="C39" s="79"/>
      <c r="D39" s="79"/>
      <c r="E39" s="81"/>
      <c r="F39" s="81"/>
      <c r="G39" s="80"/>
    </row>
    <row r="40" spans="2:7" x14ac:dyDescent="0.45">
      <c r="B40" s="37">
        <v>37</v>
      </c>
      <c r="C40" s="79"/>
      <c r="D40" s="79"/>
      <c r="E40" s="81"/>
      <c r="F40" s="81"/>
      <c r="G40" s="80"/>
    </row>
    <row r="41" spans="2:7" x14ac:dyDescent="0.45">
      <c r="B41" s="37">
        <v>38</v>
      </c>
      <c r="C41" s="79"/>
      <c r="D41" s="79"/>
      <c r="E41" s="81"/>
      <c r="F41" s="81"/>
      <c r="G41" s="80"/>
    </row>
    <row r="42" spans="2:7" x14ac:dyDescent="0.45">
      <c r="B42" s="37">
        <v>39</v>
      </c>
      <c r="C42" s="79"/>
      <c r="D42" s="79"/>
      <c r="E42" s="81"/>
      <c r="F42" s="81"/>
      <c r="G42" s="80"/>
    </row>
    <row r="43" spans="2:7" x14ac:dyDescent="0.45">
      <c r="B43" s="37">
        <v>40</v>
      </c>
      <c r="C43" s="79"/>
      <c r="D43" s="79"/>
      <c r="E43" s="81"/>
      <c r="F43" s="81"/>
      <c r="G43" s="80"/>
    </row>
    <row r="44" spans="2:7" x14ac:dyDescent="0.45">
      <c r="B44" s="37">
        <v>41</v>
      </c>
      <c r="C44" s="79"/>
      <c r="D44" s="79"/>
      <c r="E44" s="81"/>
      <c r="F44" s="81"/>
      <c r="G44" s="80"/>
    </row>
    <row r="45" spans="2:7" x14ac:dyDescent="0.45">
      <c r="B45" s="37">
        <v>42</v>
      </c>
      <c r="C45" s="79"/>
      <c r="D45" s="79"/>
      <c r="E45" s="81"/>
      <c r="F45" s="81"/>
      <c r="G45" s="80"/>
    </row>
    <row r="46" spans="2:7" x14ac:dyDescent="0.45">
      <c r="B46" s="37">
        <v>43</v>
      </c>
      <c r="C46" s="79"/>
      <c r="D46" s="79"/>
      <c r="E46" s="81"/>
      <c r="F46" s="81"/>
      <c r="G46" s="80"/>
    </row>
    <row r="47" spans="2:7" x14ac:dyDescent="0.45">
      <c r="B47" s="37">
        <v>44</v>
      </c>
      <c r="C47" s="79"/>
      <c r="D47" s="79"/>
      <c r="E47" s="81"/>
      <c r="F47" s="81"/>
      <c r="G47" s="80"/>
    </row>
    <row r="48" spans="2:7" x14ac:dyDescent="0.45">
      <c r="B48" s="37">
        <v>45</v>
      </c>
      <c r="C48" s="79"/>
      <c r="D48" s="79"/>
      <c r="E48" s="81"/>
      <c r="F48" s="81"/>
      <c r="G48" s="80"/>
    </row>
    <row r="49" spans="2:7" x14ac:dyDescent="0.45">
      <c r="B49" s="37">
        <v>46</v>
      </c>
      <c r="C49" s="79"/>
      <c r="D49" s="79"/>
      <c r="E49" s="81"/>
      <c r="F49" s="81"/>
      <c r="G49" s="80"/>
    </row>
    <row r="50" spans="2:7" x14ac:dyDescent="0.45">
      <c r="B50" s="37">
        <v>47</v>
      </c>
      <c r="C50" s="79"/>
      <c r="D50" s="79"/>
      <c r="E50" s="81"/>
      <c r="F50" s="81"/>
      <c r="G50" s="80"/>
    </row>
    <row r="51" spans="2:7" x14ac:dyDescent="0.45">
      <c r="B51" s="37">
        <v>48</v>
      </c>
      <c r="C51" s="79"/>
      <c r="D51" s="79"/>
      <c r="E51" s="81"/>
      <c r="F51" s="81"/>
      <c r="G51" s="80"/>
    </row>
    <row r="52" spans="2:7" x14ac:dyDescent="0.45">
      <c r="B52" s="37">
        <v>49</v>
      </c>
      <c r="C52" s="79"/>
      <c r="D52" s="79"/>
      <c r="E52" s="81"/>
      <c r="F52" s="81"/>
      <c r="G52" s="80"/>
    </row>
    <row r="53" spans="2:7" x14ac:dyDescent="0.45">
      <c r="B53" s="37">
        <v>50</v>
      </c>
      <c r="C53" s="79"/>
      <c r="D53" s="79"/>
      <c r="E53" s="81"/>
      <c r="F53" s="81"/>
      <c r="G53" s="80"/>
    </row>
    <row r="54" spans="2:7" ht="18.600000000000001" thickBot="1" x14ac:dyDescent="0.5">
      <c r="B54" s="82">
        <v>51</v>
      </c>
      <c r="C54" s="83"/>
      <c r="D54" s="83"/>
      <c r="E54" s="84"/>
      <c r="F54" s="84"/>
      <c r="G54" s="85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33"/>
  <sheetViews>
    <sheetView showWhiteSpace="0" zoomScaleNormal="100" zoomScaleSheetLayoutView="100" workbookViewId="0">
      <selection activeCell="I5" sqref="I5"/>
    </sheetView>
  </sheetViews>
  <sheetFormatPr defaultColWidth="8.09765625" defaultRowHeight="13.5" customHeight="1" x14ac:dyDescent="0.45"/>
  <cols>
    <col min="1" max="1" width="9" style="93" customWidth="1"/>
    <col min="2" max="2" width="8.09765625" style="93"/>
    <col min="3" max="3" width="41.5" style="114" customWidth="1"/>
    <col min="4" max="5" width="5.3984375" style="114" hidden="1" customWidth="1"/>
    <col min="6" max="6" width="10.8984375" style="114" customWidth="1"/>
    <col min="7" max="7" width="10.09765625" style="115" customWidth="1"/>
    <col min="8" max="8" width="8.09765625" style="115" hidden="1" customWidth="1"/>
    <col min="9" max="10" width="10.09765625" style="115" customWidth="1"/>
    <col min="11" max="11" width="0.69921875" style="93" customWidth="1"/>
    <col min="12" max="256" width="8.09765625" style="93"/>
    <col min="257" max="257" width="9" style="93" customWidth="1"/>
    <col min="258" max="258" width="8.09765625" style="93"/>
    <col min="259" max="259" width="41.5" style="93" customWidth="1"/>
    <col min="260" max="261" width="0" style="93" hidden="1" customWidth="1"/>
    <col min="262" max="262" width="10.8984375" style="93" customWidth="1"/>
    <col min="263" max="263" width="10.09765625" style="93" customWidth="1"/>
    <col min="264" max="264" width="0" style="93" hidden="1" customWidth="1"/>
    <col min="265" max="266" width="10.09765625" style="93" customWidth="1"/>
    <col min="267" max="267" width="0.69921875" style="93" customWidth="1"/>
    <col min="268" max="512" width="8.09765625" style="93"/>
    <col min="513" max="513" width="9" style="93" customWidth="1"/>
    <col min="514" max="514" width="8.09765625" style="93"/>
    <col min="515" max="515" width="41.5" style="93" customWidth="1"/>
    <col min="516" max="517" width="0" style="93" hidden="1" customWidth="1"/>
    <col min="518" max="518" width="10.8984375" style="93" customWidth="1"/>
    <col min="519" max="519" width="10.09765625" style="93" customWidth="1"/>
    <col min="520" max="520" width="0" style="93" hidden="1" customWidth="1"/>
    <col min="521" max="522" width="10.09765625" style="93" customWidth="1"/>
    <col min="523" max="523" width="0.69921875" style="93" customWidth="1"/>
    <col min="524" max="768" width="8.09765625" style="93"/>
    <col min="769" max="769" width="9" style="93" customWidth="1"/>
    <col min="770" max="770" width="8.09765625" style="93"/>
    <col min="771" max="771" width="41.5" style="93" customWidth="1"/>
    <col min="772" max="773" width="0" style="93" hidden="1" customWidth="1"/>
    <col min="774" max="774" width="10.8984375" style="93" customWidth="1"/>
    <col min="775" max="775" width="10.09765625" style="93" customWidth="1"/>
    <col min="776" max="776" width="0" style="93" hidden="1" customWidth="1"/>
    <col min="777" max="778" width="10.09765625" style="93" customWidth="1"/>
    <col min="779" max="779" width="0.69921875" style="93" customWidth="1"/>
    <col min="780" max="1024" width="8.09765625" style="93"/>
    <col min="1025" max="1025" width="9" style="93" customWidth="1"/>
    <col min="1026" max="1026" width="8.09765625" style="93"/>
    <col min="1027" max="1027" width="41.5" style="93" customWidth="1"/>
    <col min="1028" max="1029" width="0" style="93" hidden="1" customWidth="1"/>
    <col min="1030" max="1030" width="10.8984375" style="93" customWidth="1"/>
    <col min="1031" max="1031" width="10.09765625" style="93" customWidth="1"/>
    <col min="1032" max="1032" width="0" style="93" hidden="1" customWidth="1"/>
    <col min="1033" max="1034" width="10.09765625" style="93" customWidth="1"/>
    <col min="1035" max="1035" width="0.69921875" style="93" customWidth="1"/>
    <col min="1036" max="1280" width="8.09765625" style="93"/>
    <col min="1281" max="1281" width="9" style="93" customWidth="1"/>
    <col min="1282" max="1282" width="8.09765625" style="93"/>
    <col min="1283" max="1283" width="41.5" style="93" customWidth="1"/>
    <col min="1284" max="1285" width="0" style="93" hidden="1" customWidth="1"/>
    <col min="1286" max="1286" width="10.8984375" style="93" customWidth="1"/>
    <col min="1287" max="1287" width="10.09765625" style="93" customWidth="1"/>
    <col min="1288" max="1288" width="0" style="93" hidden="1" customWidth="1"/>
    <col min="1289" max="1290" width="10.09765625" style="93" customWidth="1"/>
    <col min="1291" max="1291" width="0.69921875" style="93" customWidth="1"/>
    <col min="1292" max="1536" width="8.09765625" style="93"/>
    <col min="1537" max="1537" width="9" style="93" customWidth="1"/>
    <col min="1538" max="1538" width="8.09765625" style="93"/>
    <col min="1539" max="1539" width="41.5" style="93" customWidth="1"/>
    <col min="1540" max="1541" width="0" style="93" hidden="1" customWidth="1"/>
    <col min="1542" max="1542" width="10.8984375" style="93" customWidth="1"/>
    <col min="1543" max="1543" width="10.09765625" style="93" customWidth="1"/>
    <col min="1544" max="1544" width="0" style="93" hidden="1" customWidth="1"/>
    <col min="1545" max="1546" width="10.09765625" style="93" customWidth="1"/>
    <col min="1547" max="1547" width="0.69921875" style="93" customWidth="1"/>
    <col min="1548" max="1792" width="8.09765625" style="93"/>
    <col min="1793" max="1793" width="9" style="93" customWidth="1"/>
    <col min="1794" max="1794" width="8.09765625" style="93"/>
    <col min="1795" max="1795" width="41.5" style="93" customWidth="1"/>
    <col min="1796" max="1797" width="0" style="93" hidden="1" customWidth="1"/>
    <col min="1798" max="1798" width="10.8984375" style="93" customWidth="1"/>
    <col min="1799" max="1799" width="10.09765625" style="93" customWidth="1"/>
    <col min="1800" max="1800" width="0" style="93" hidden="1" customWidth="1"/>
    <col min="1801" max="1802" width="10.09765625" style="93" customWidth="1"/>
    <col min="1803" max="1803" width="0.69921875" style="93" customWidth="1"/>
    <col min="1804" max="2048" width="8.09765625" style="93"/>
    <col min="2049" max="2049" width="9" style="93" customWidth="1"/>
    <col min="2050" max="2050" width="8.09765625" style="93"/>
    <col min="2051" max="2051" width="41.5" style="93" customWidth="1"/>
    <col min="2052" max="2053" width="0" style="93" hidden="1" customWidth="1"/>
    <col min="2054" max="2054" width="10.8984375" style="93" customWidth="1"/>
    <col min="2055" max="2055" width="10.09765625" style="93" customWidth="1"/>
    <col min="2056" max="2056" width="0" style="93" hidden="1" customWidth="1"/>
    <col min="2057" max="2058" width="10.09765625" style="93" customWidth="1"/>
    <col min="2059" max="2059" width="0.69921875" style="93" customWidth="1"/>
    <col min="2060" max="2304" width="8.09765625" style="93"/>
    <col min="2305" max="2305" width="9" style="93" customWidth="1"/>
    <col min="2306" max="2306" width="8.09765625" style="93"/>
    <col min="2307" max="2307" width="41.5" style="93" customWidth="1"/>
    <col min="2308" max="2309" width="0" style="93" hidden="1" customWidth="1"/>
    <col min="2310" max="2310" width="10.8984375" style="93" customWidth="1"/>
    <col min="2311" max="2311" width="10.09765625" style="93" customWidth="1"/>
    <col min="2312" max="2312" width="0" style="93" hidden="1" customWidth="1"/>
    <col min="2313" max="2314" width="10.09765625" style="93" customWidth="1"/>
    <col min="2315" max="2315" width="0.69921875" style="93" customWidth="1"/>
    <col min="2316" max="2560" width="8.09765625" style="93"/>
    <col min="2561" max="2561" width="9" style="93" customWidth="1"/>
    <col min="2562" max="2562" width="8.09765625" style="93"/>
    <col min="2563" max="2563" width="41.5" style="93" customWidth="1"/>
    <col min="2564" max="2565" width="0" style="93" hidden="1" customWidth="1"/>
    <col min="2566" max="2566" width="10.8984375" style="93" customWidth="1"/>
    <col min="2567" max="2567" width="10.09765625" style="93" customWidth="1"/>
    <col min="2568" max="2568" width="0" style="93" hidden="1" customWidth="1"/>
    <col min="2569" max="2570" width="10.09765625" style="93" customWidth="1"/>
    <col min="2571" max="2571" width="0.69921875" style="93" customWidth="1"/>
    <col min="2572" max="2816" width="8.09765625" style="93"/>
    <col min="2817" max="2817" width="9" style="93" customWidth="1"/>
    <col min="2818" max="2818" width="8.09765625" style="93"/>
    <col min="2819" max="2819" width="41.5" style="93" customWidth="1"/>
    <col min="2820" max="2821" width="0" style="93" hidden="1" customWidth="1"/>
    <col min="2822" max="2822" width="10.8984375" style="93" customWidth="1"/>
    <col min="2823" max="2823" width="10.09765625" style="93" customWidth="1"/>
    <col min="2824" max="2824" width="0" style="93" hidden="1" customWidth="1"/>
    <col min="2825" max="2826" width="10.09765625" style="93" customWidth="1"/>
    <col min="2827" max="2827" width="0.69921875" style="93" customWidth="1"/>
    <col min="2828" max="3072" width="8.09765625" style="93"/>
    <col min="3073" max="3073" width="9" style="93" customWidth="1"/>
    <col min="3074" max="3074" width="8.09765625" style="93"/>
    <col min="3075" max="3075" width="41.5" style="93" customWidth="1"/>
    <col min="3076" max="3077" width="0" style="93" hidden="1" customWidth="1"/>
    <col min="3078" max="3078" width="10.8984375" style="93" customWidth="1"/>
    <col min="3079" max="3079" width="10.09765625" style="93" customWidth="1"/>
    <col min="3080" max="3080" width="0" style="93" hidden="1" customWidth="1"/>
    <col min="3081" max="3082" width="10.09765625" style="93" customWidth="1"/>
    <col min="3083" max="3083" width="0.69921875" style="93" customWidth="1"/>
    <col min="3084" max="3328" width="8.09765625" style="93"/>
    <col min="3329" max="3329" width="9" style="93" customWidth="1"/>
    <col min="3330" max="3330" width="8.09765625" style="93"/>
    <col min="3331" max="3331" width="41.5" style="93" customWidth="1"/>
    <col min="3332" max="3333" width="0" style="93" hidden="1" customWidth="1"/>
    <col min="3334" max="3334" width="10.8984375" style="93" customWidth="1"/>
    <col min="3335" max="3335" width="10.09765625" style="93" customWidth="1"/>
    <col min="3336" max="3336" width="0" style="93" hidden="1" customWidth="1"/>
    <col min="3337" max="3338" width="10.09765625" style="93" customWidth="1"/>
    <col min="3339" max="3339" width="0.69921875" style="93" customWidth="1"/>
    <col min="3340" max="3584" width="8.09765625" style="93"/>
    <col min="3585" max="3585" width="9" style="93" customWidth="1"/>
    <col min="3586" max="3586" width="8.09765625" style="93"/>
    <col min="3587" max="3587" width="41.5" style="93" customWidth="1"/>
    <col min="3588" max="3589" width="0" style="93" hidden="1" customWidth="1"/>
    <col min="3590" max="3590" width="10.8984375" style="93" customWidth="1"/>
    <col min="3591" max="3591" width="10.09765625" style="93" customWidth="1"/>
    <col min="3592" max="3592" width="0" style="93" hidden="1" customWidth="1"/>
    <col min="3593" max="3594" width="10.09765625" style="93" customWidth="1"/>
    <col min="3595" max="3595" width="0.69921875" style="93" customWidth="1"/>
    <col min="3596" max="3840" width="8.09765625" style="93"/>
    <col min="3841" max="3841" width="9" style="93" customWidth="1"/>
    <col min="3842" max="3842" width="8.09765625" style="93"/>
    <col min="3843" max="3843" width="41.5" style="93" customWidth="1"/>
    <col min="3844" max="3845" width="0" style="93" hidden="1" customWidth="1"/>
    <col min="3846" max="3846" width="10.8984375" style="93" customWidth="1"/>
    <col min="3847" max="3847" width="10.09765625" style="93" customWidth="1"/>
    <col min="3848" max="3848" width="0" style="93" hidden="1" customWidth="1"/>
    <col min="3849" max="3850" width="10.09765625" style="93" customWidth="1"/>
    <col min="3851" max="3851" width="0.69921875" style="93" customWidth="1"/>
    <col min="3852" max="4096" width="8.09765625" style="93"/>
    <col min="4097" max="4097" width="9" style="93" customWidth="1"/>
    <col min="4098" max="4098" width="8.09765625" style="93"/>
    <col min="4099" max="4099" width="41.5" style="93" customWidth="1"/>
    <col min="4100" max="4101" width="0" style="93" hidden="1" customWidth="1"/>
    <col min="4102" max="4102" width="10.8984375" style="93" customWidth="1"/>
    <col min="4103" max="4103" width="10.09765625" style="93" customWidth="1"/>
    <col min="4104" max="4104" width="0" style="93" hidden="1" customWidth="1"/>
    <col min="4105" max="4106" width="10.09765625" style="93" customWidth="1"/>
    <col min="4107" max="4107" width="0.69921875" style="93" customWidth="1"/>
    <col min="4108" max="4352" width="8.09765625" style="93"/>
    <col min="4353" max="4353" width="9" style="93" customWidth="1"/>
    <col min="4354" max="4354" width="8.09765625" style="93"/>
    <col min="4355" max="4355" width="41.5" style="93" customWidth="1"/>
    <col min="4356" max="4357" width="0" style="93" hidden="1" customWidth="1"/>
    <col min="4358" max="4358" width="10.8984375" style="93" customWidth="1"/>
    <col min="4359" max="4359" width="10.09765625" style="93" customWidth="1"/>
    <col min="4360" max="4360" width="0" style="93" hidden="1" customWidth="1"/>
    <col min="4361" max="4362" width="10.09765625" style="93" customWidth="1"/>
    <col min="4363" max="4363" width="0.69921875" style="93" customWidth="1"/>
    <col min="4364" max="4608" width="8.09765625" style="93"/>
    <col min="4609" max="4609" width="9" style="93" customWidth="1"/>
    <col min="4610" max="4610" width="8.09765625" style="93"/>
    <col min="4611" max="4611" width="41.5" style="93" customWidth="1"/>
    <col min="4612" max="4613" width="0" style="93" hidden="1" customWidth="1"/>
    <col min="4614" max="4614" width="10.8984375" style="93" customWidth="1"/>
    <col min="4615" max="4615" width="10.09765625" style="93" customWidth="1"/>
    <col min="4616" max="4616" width="0" style="93" hidden="1" customWidth="1"/>
    <col min="4617" max="4618" width="10.09765625" style="93" customWidth="1"/>
    <col min="4619" max="4619" width="0.69921875" style="93" customWidth="1"/>
    <col min="4620" max="4864" width="8.09765625" style="93"/>
    <col min="4865" max="4865" width="9" style="93" customWidth="1"/>
    <col min="4866" max="4866" width="8.09765625" style="93"/>
    <col min="4867" max="4867" width="41.5" style="93" customWidth="1"/>
    <col min="4868" max="4869" width="0" style="93" hidden="1" customWidth="1"/>
    <col min="4870" max="4870" width="10.8984375" style="93" customWidth="1"/>
    <col min="4871" max="4871" width="10.09765625" style="93" customWidth="1"/>
    <col min="4872" max="4872" width="0" style="93" hidden="1" customWidth="1"/>
    <col min="4873" max="4874" width="10.09765625" style="93" customWidth="1"/>
    <col min="4875" max="4875" width="0.69921875" style="93" customWidth="1"/>
    <col min="4876" max="5120" width="8.09765625" style="93"/>
    <col min="5121" max="5121" width="9" style="93" customWidth="1"/>
    <col min="5122" max="5122" width="8.09765625" style="93"/>
    <col min="5123" max="5123" width="41.5" style="93" customWidth="1"/>
    <col min="5124" max="5125" width="0" style="93" hidden="1" customWidth="1"/>
    <col min="5126" max="5126" width="10.8984375" style="93" customWidth="1"/>
    <col min="5127" max="5127" width="10.09765625" style="93" customWidth="1"/>
    <col min="5128" max="5128" width="0" style="93" hidden="1" customWidth="1"/>
    <col min="5129" max="5130" width="10.09765625" style="93" customWidth="1"/>
    <col min="5131" max="5131" width="0.69921875" style="93" customWidth="1"/>
    <col min="5132" max="5376" width="8.09765625" style="93"/>
    <col min="5377" max="5377" width="9" style="93" customWidth="1"/>
    <col min="5378" max="5378" width="8.09765625" style="93"/>
    <col min="5379" max="5379" width="41.5" style="93" customWidth="1"/>
    <col min="5380" max="5381" width="0" style="93" hidden="1" customWidth="1"/>
    <col min="5382" max="5382" width="10.8984375" style="93" customWidth="1"/>
    <col min="5383" max="5383" width="10.09765625" style="93" customWidth="1"/>
    <col min="5384" max="5384" width="0" style="93" hidden="1" customWidth="1"/>
    <col min="5385" max="5386" width="10.09765625" style="93" customWidth="1"/>
    <col min="5387" max="5387" width="0.69921875" style="93" customWidth="1"/>
    <col min="5388" max="5632" width="8.09765625" style="93"/>
    <col min="5633" max="5633" width="9" style="93" customWidth="1"/>
    <col min="5634" max="5634" width="8.09765625" style="93"/>
    <col min="5635" max="5635" width="41.5" style="93" customWidth="1"/>
    <col min="5636" max="5637" width="0" style="93" hidden="1" customWidth="1"/>
    <col min="5638" max="5638" width="10.8984375" style="93" customWidth="1"/>
    <col min="5639" max="5639" width="10.09765625" style="93" customWidth="1"/>
    <col min="5640" max="5640" width="0" style="93" hidden="1" customWidth="1"/>
    <col min="5641" max="5642" width="10.09765625" style="93" customWidth="1"/>
    <col min="5643" max="5643" width="0.69921875" style="93" customWidth="1"/>
    <col min="5644" max="5888" width="8.09765625" style="93"/>
    <col min="5889" max="5889" width="9" style="93" customWidth="1"/>
    <col min="5890" max="5890" width="8.09765625" style="93"/>
    <col min="5891" max="5891" width="41.5" style="93" customWidth="1"/>
    <col min="5892" max="5893" width="0" style="93" hidden="1" customWidth="1"/>
    <col min="5894" max="5894" width="10.8984375" style="93" customWidth="1"/>
    <col min="5895" max="5895" width="10.09765625" style="93" customWidth="1"/>
    <col min="5896" max="5896" width="0" style="93" hidden="1" customWidth="1"/>
    <col min="5897" max="5898" width="10.09765625" style="93" customWidth="1"/>
    <col min="5899" max="5899" width="0.69921875" style="93" customWidth="1"/>
    <col min="5900" max="6144" width="8.09765625" style="93"/>
    <col min="6145" max="6145" width="9" style="93" customWidth="1"/>
    <col min="6146" max="6146" width="8.09765625" style="93"/>
    <col min="6147" max="6147" width="41.5" style="93" customWidth="1"/>
    <col min="6148" max="6149" width="0" style="93" hidden="1" customWidth="1"/>
    <col min="6150" max="6150" width="10.8984375" style="93" customWidth="1"/>
    <col min="6151" max="6151" width="10.09765625" style="93" customWidth="1"/>
    <col min="6152" max="6152" width="0" style="93" hidden="1" customWidth="1"/>
    <col min="6153" max="6154" width="10.09765625" style="93" customWidth="1"/>
    <col min="6155" max="6155" width="0.69921875" style="93" customWidth="1"/>
    <col min="6156" max="6400" width="8.09765625" style="93"/>
    <col min="6401" max="6401" width="9" style="93" customWidth="1"/>
    <col min="6402" max="6402" width="8.09765625" style="93"/>
    <col min="6403" max="6403" width="41.5" style="93" customWidth="1"/>
    <col min="6404" max="6405" width="0" style="93" hidden="1" customWidth="1"/>
    <col min="6406" max="6406" width="10.8984375" style="93" customWidth="1"/>
    <col min="6407" max="6407" width="10.09765625" style="93" customWidth="1"/>
    <col min="6408" max="6408" width="0" style="93" hidden="1" customWidth="1"/>
    <col min="6409" max="6410" width="10.09765625" style="93" customWidth="1"/>
    <col min="6411" max="6411" width="0.69921875" style="93" customWidth="1"/>
    <col min="6412" max="6656" width="8.09765625" style="93"/>
    <col min="6657" max="6657" width="9" style="93" customWidth="1"/>
    <col min="6658" max="6658" width="8.09765625" style="93"/>
    <col min="6659" max="6659" width="41.5" style="93" customWidth="1"/>
    <col min="6660" max="6661" width="0" style="93" hidden="1" customWidth="1"/>
    <col min="6662" max="6662" width="10.8984375" style="93" customWidth="1"/>
    <col min="6663" max="6663" width="10.09765625" style="93" customWidth="1"/>
    <col min="6664" max="6664" width="0" style="93" hidden="1" customWidth="1"/>
    <col min="6665" max="6666" width="10.09765625" style="93" customWidth="1"/>
    <col min="6667" max="6667" width="0.69921875" style="93" customWidth="1"/>
    <col min="6668" max="6912" width="8.09765625" style="93"/>
    <col min="6913" max="6913" width="9" style="93" customWidth="1"/>
    <col min="6914" max="6914" width="8.09765625" style="93"/>
    <col min="6915" max="6915" width="41.5" style="93" customWidth="1"/>
    <col min="6916" max="6917" width="0" style="93" hidden="1" customWidth="1"/>
    <col min="6918" max="6918" width="10.8984375" style="93" customWidth="1"/>
    <col min="6919" max="6919" width="10.09765625" style="93" customWidth="1"/>
    <col min="6920" max="6920" width="0" style="93" hidden="1" customWidth="1"/>
    <col min="6921" max="6922" width="10.09765625" style="93" customWidth="1"/>
    <col min="6923" max="6923" width="0.69921875" style="93" customWidth="1"/>
    <col min="6924" max="7168" width="8.09765625" style="93"/>
    <col min="7169" max="7169" width="9" style="93" customWidth="1"/>
    <col min="7170" max="7170" width="8.09765625" style="93"/>
    <col min="7171" max="7171" width="41.5" style="93" customWidth="1"/>
    <col min="7172" max="7173" width="0" style="93" hidden="1" customWidth="1"/>
    <col min="7174" max="7174" width="10.8984375" style="93" customWidth="1"/>
    <col min="7175" max="7175" width="10.09765625" style="93" customWidth="1"/>
    <col min="7176" max="7176" width="0" style="93" hidden="1" customWidth="1"/>
    <col min="7177" max="7178" width="10.09765625" style="93" customWidth="1"/>
    <col min="7179" max="7179" width="0.69921875" style="93" customWidth="1"/>
    <col min="7180" max="7424" width="8.09765625" style="93"/>
    <col min="7425" max="7425" width="9" style="93" customWidth="1"/>
    <col min="7426" max="7426" width="8.09765625" style="93"/>
    <col min="7427" max="7427" width="41.5" style="93" customWidth="1"/>
    <col min="7428" max="7429" width="0" style="93" hidden="1" customWidth="1"/>
    <col min="7430" max="7430" width="10.8984375" style="93" customWidth="1"/>
    <col min="7431" max="7431" width="10.09765625" style="93" customWidth="1"/>
    <col min="7432" max="7432" width="0" style="93" hidden="1" customWidth="1"/>
    <col min="7433" max="7434" width="10.09765625" style="93" customWidth="1"/>
    <col min="7435" max="7435" width="0.69921875" style="93" customWidth="1"/>
    <col min="7436" max="7680" width="8.09765625" style="93"/>
    <col min="7681" max="7681" width="9" style="93" customWidth="1"/>
    <col min="7682" max="7682" width="8.09765625" style="93"/>
    <col min="7683" max="7683" width="41.5" style="93" customWidth="1"/>
    <col min="7684" max="7685" width="0" style="93" hidden="1" customWidth="1"/>
    <col min="7686" max="7686" width="10.8984375" style="93" customWidth="1"/>
    <col min="7687" max="7687" width="10.09765625" style="93" customWidth="1"/>
    <col min="7688" max="7688" width="0" style="93" hidden="1" customWidth="1"/>
    <col min="7689" max="7690" width="10.09765625" style="93" customWidth="1"/>
    <col min="7691" max="7691" width="0.69921875" style="93" customWidth="1"/>
    <col min="7692" max="7936" width="8.09765625" style="93"/>
    <col min="7937" max="7937" width="9" style="93" customWidth="1"/>
    <col min="7938" max="7938" width="8.09765625" style="93"/>
    <col min="7939" max="7939" width="41.5" style="93" customWidth="1"/>
    <col min="7940" max="7941" width="0" style="93" hidden="1" customWidth="1"/>
    <col min="7942" max="7942" width="10.8984375" style="93" customWidth="1"/>
    <col min="7943" max="7943" width="10.09765625" style="93" customWidth="1"/>
    <col min="7944" max="7944" width="0" style="93" hidden="1" customWidth="1"/>
    <col min="7945" max="7946" width="10.09765625" style="93" customWidth="1"/>
    <col min="7947" max="7947" width="0.69921875" style="93" customWidth="1"/>
    <col min="7948" max="8192" width="8.09765625" style="93"/>
    <col min="8193" max="8193" width="9" style="93" customWidth="1"/>
    <col min="8194" max="8194" width="8.09765625" style="93"/>
    <col min="8195" max="8195" width="41.5" style="93" customWidth="1"/>
    <col min="8196" max="8197" width="0" style="93" hidden="1" customWidth="1"/>
    <col min="8198" max="8198" width="10.8984375" style="93" customWidth="1"/>
    <col min="8199" max="8199" width="10.09765625" style="93" customWidth="1"/>
    <col min="8200" max="8200" width="0" style="93" hidden="1" customWidth="1"/>
    <col min="8201" max="8202" width="10.09765625" style="93" customWidth="1"/>
    <col min="8203" max="8203" width="0.69921875" style="93" customWidth="1"/>
    <col min="8204" max="8448" width="8.09765625" style="93"/>
    <col min="8449" max="8449" width="9" style="93" customWidth="1"/>
    <col min="8450" max="8450" width="8.09765625" style="93"/>
    <col min="8451" max="8451" width="41.5" style="93" customWidth="1"/>
    <col min="8452" max="8453" width="0" style="93" hidden="1" customWidth="1"/>
    <col min="8454" max="8454" width="10.8984375" style="93" customWidth="1"/>
    <col min="8455" max="8455" width="10.09765625" style="93" customWidth="1"/>
    <col min="8456" max="8456" width="0" style="93" hidden="1" customWidth="1"/>
    <col min="8457" max="8458" width="10.09765625" style="93" customWidth="1"/>
    <col min="8459" max="8459" width="0.69921875" style="93" customWidth="1"/>
    <col min="8460" max="8704" width="8.09765625" style="93"/>
    <col min="8705" max="8705" width="9" style="93" customWidth="1"/>
    <col min="8706" max="8706" width="8.09765625" style="93"/>
    <col min="8707" max="8707" width="41.5" style="93" customWidth="1"/>
    <col min="8708" max="8709" width="0" style="93" hidden="1" customWidth="1"/>
    <col min="8710" max="8710" width="10.8984375" style="93" customWidth="1"/>
    <col min="8711" max="8711" width="10.09765625" style="93" customWidth="1"/>
    <col min="8712" max="8712" width="0" style="93" hidden="1" customWidth="1"/>
    <col min="8713" max="8714" width="10.09765625" style="93" customWidth="1"/>
    <col min="8715" max="8715" width="0.69921875" style="93" customWidth="1"/>
    <col min="8716" max="8960" width="8.09765625" style="93"/>
    <col min="8961" max="8961" width="9" style="93" customWidth="1"/>
    <col min="8962" max="8962" width="8.09765625" style="93"/>
    <col min="8963" max="8963" width="41.5" style="93" customWidth="1"/>
    <col min="8964" max="8965" width="0" style="93" hidden="1" customWidth="1"/>
    <col min="8966" max="8966" width="10.8984375" style="93" customWidth="1"/>
    <col min="8967" max="8967" width="10.09765625" style="93" customWidth="1"/>
    <col min="8968" max="8968" width="0" style="93" hidden="1" customWidth="1"/>
    <col min="8969" max="8970" width="10.09765625" style="93" customWidth="1"/>
    <col min="8971" max="8971" width="0.69921875" style="93" customWidth="1"/>
    <col min="8972" max="9216" width="8.09765625" style="93"/>
    <col min="9217" max="9217" width="9" style="93" customWidth="1"/>
    <col min="9218" max="9218" width="8.09765625" style="93"/>
    <col min="9219" max="9219" width="41.5" style="93" customWidth="1"/>
    <col min="9220" max="9221" width="0" style="93" hidden="1" customWidth="1"/>
    <col min="9222" max="9222" width="10.8984375" style="93" customWidth="1"/>
    <col min="9223" max="9223" width="10.09765625" style="93" customWidth="1"/>
    <col min="9224" max="9224" width="0" style="93" hidden="1" customWidth="1"/>
    <col min="9225" max="9226" width="10.09765625" style="93" customWidth="1"/>
    <col min="9227" max="9227" width="0.69921875" style="93" customWidth="1"/>
    <col min="9228" max="9472" width="8.09765625" style="93"/>
    <col min="9473" max="9473" width="9" style="93" customWidth="1"/>
    <col min="9474" max="9474" width="8.09765625" style="93"/>
    <col min="9475" max="9475" width="41.5" style="93" customWidth="1"/>
    <col min="9476" max="9477" width="0" style="93" hidden="1" customWidth="1"/>
    <col min="9478" max="9478" width="10.8984375" style="93" customWidth="1"/>
    <col min="9479" max="9479" width="10.09765625" style="93" customWidth="1"/>
    <col min="9480" max="9480" width="0" style="93" hidden="1" customWidth="1"/>
    <col min="9481" max="9482" width="10.09765625" style="93" customWidth="1"/>
    <col min="9483" max="9483" width="0.69921875" style="93" customWidth="1"/>
    <col min="9484" max="9728" width="8.09765625" style="93"/>
    <col min="9729" max="9729" width="9" style="93" customWidth="1"/>
    <col min="9730" max="9730" width="8.09765625" style="93"/>
    <col min="9731" max="9731" width="41.5" style="93" customWidth="1"/>
    <col min="9732" max="9733" width="0" style="93" hidden="1" customWidth="1"/>
    <col min="9734" max="9734" width="10.8984375" style="93" customWidth="1"/>
    <col min="9735" max="9735" width="10.09765625" style="93" customWidth="1"/>
    <col min="9736" max="9736" width="0" style="93" hidden="1" customWidth="1"/>
    <col min="9737" max="9738" width="10.09765625" style="93" customWidth="1"/>
    <col min="9739" max="9739" width="0.69921875" style="93" customWidth="1"/>
    <col min="9740" max="9984" width="8.09765625" style="93"/>
    <col min="9985" max="9985" width="9" style="93" customWidth="1"/>
    <col min="9986" max="9986" width="8.09765625" style="93"/>
    <col min="9987" max="9987" width="41.5" style="93" customWidth="1"/>
    <col min="9988" max="9989" width="0" style="93" hidden="1" customWidth="1"/>
    <col min="9990" max="9990" width="10.8984375" style="93" customWidth="1"/>
    <col min="9991" max="9991" width="10.09765625" style="93" customWidth="1"/>
    <col min="9992" max="9992" width="0" style="93" hidden="1" customWidth="1"/>
    <col min="9993" max="9994" width="10.09765625" style="93" customWidth="1"/>
    <col min="9995" max="9995" width="0.69921875" style="93" customWidth="1"/>
    <col min="9996" max="10240" width="8.09765625" style="93"/>
    <col min="10241" max="10241" width="9" style="93" customWidth="1"/>
    <col min="10242" max="10242" width="8.09765625" style="93"/>
    <col min="10243" max="10243" width="41.5" style="93" customWidth="1"/>
    <col min="10244" max="10245" width="0" style="93" hidden="1" customWidth="1"/>
    <col min="10246" max="10246" width="10.8984375" style="93" customWidth="1"/>
    <col min="10247" max="10247" width="10.09765625" style="93" customWidth="1"/>
    <col min="10248" max="10248" width="0" style="93" hidden="1" customWidth="1"/>
    <col min="10249" max="10250" width="10.09765625" style="93" customWidth="1"/>
    <col min="10251" max="10251" width="0.69921875" style="93" customWidth="1"/>
    <col min="10252" max="10496" width="8.09765625" style="93"/>
    <col min="10497" max="10497" width="9" style="93" customWidth="1"/>
    <col min="10498" max="10498" width="8.09765625" style="93"/>
    <col min="10499" max="10499" width="41.5" style="93" customWidth="1"/>
    <col min="10500" max="10501" width="0" style="93" hidden="1" customWidth="1"/>
    <col min="10502" max="10502" width="10.8984375" style="93" customWidth="1"/>
    <col min="10503" max="10503" width="10.09765625" style="93" customWidth="1"/>
    <col min="10504" max="10504" width="0" style="93" hidden="1" customWidth="1"/>
    <col min="10505" max="10506" width="10.09765625" style="93" customWidth="1"/>
    <col min="10507" max="10507" width="0.69921875" style="93" customWidth="1"/>
    <col min="10508" max="10752" width="8.09765625" style="93"/>
    <col min="10753" max="10753" width="9" style="93" customWidth="1"/>
    <col min="10754" max="10754" width="8.09765625" style="93"/>
    <col min="10755" max="10755" width="41.5" style="93" customWidth="1"/>
    <col min="10756" max="10757" width="0" style="93" hidden="1" customWidth="1"/>
    <col min="10758" max="10758" width="10.8984375" style="93" customWidth="1"/>
    <col min="10759" max="10759" width="10.09765625" style="93" customWidth="1"/>
    <col min="10760" max="10760" width="0" style="93" hidden="1" customWidth="1"/>
    <col min="10761" max="10762" width="10.09765625" style="93" customWidth="1"/>
    <col min="10763" max="10763" width="0.69921875" style="93" customWidth="1"/>
    <col min="10764" max="11008" width="8.09765625" style="93"/>
    <col min="11009" max="11009" width="9" style="93" customWidth="1"/>
    <col min="11010" max="11010" width="8.09765625" style="93"/>
    <col min="11011" max="11011" width="41.5" style="93" customWidth="1"/>
    <col min="11012" max="11013" width="0" style="93" hidden="1" customWidth="1"/>
    <col min="11014" max="11014" width="10.8984375" style="93" customWidth="1"/>
    <col min="11015" max="11015" width="10.09765625" style="93" customWidth="1"/>
    <col min="11016" max="11016" width="0" style="93" hidden="1" customWidth="1"/>
    <col min="11017" max="11018" width="10.09765625" style="93" customWidth="1"/>
    <col min="11019" max="11019" width="0.69921875" style="93" customWidth="1"/>
    <col min="11020" max="11264" width="8.09765625" style="93"/>
    <col min="11265" max="11265" width="9" style="93" customWidth="1"/>
    <col min="11266" max="11266" width="8.09765625" style="93"/>
    <col min="11267" max="11267" width="41.5" style="93" customWidth="1"/>
    <col min="11268" max="11269" width="0" style="93" hidden="1" customWidth="1"/>
    <col min="11270" max="11270" width="10.8984375" style="93" customWidth="1"/>
    <col min="11271" max="11271" width="10.09765625" style="93" customWidth="1"/>
    <col min="11272" max="11272" width="0" style="93" hidden="1" customWidth="1"/>
    <col min="11273" max="11274" width="10.09765625" style="93" customWidth="1"/>
    <col min="11275" max="11275" width="0.69921875" style="93" customWidth="1"/>
    <col min="11276" max="11520" width="8.09765625" style="93"/>
    <col min="11521" max="11521" width="9" style="93" customWidth="1"/>
    <col min="11522" max="11522" width="8.09765625" style="93"/>
    <col min="11523" max="11523" width="41.5" style="93" customWidth="1"/>
    <col min="11524" max="11525" width="0" style="93" hidden="1" customWidth="1"/>
    <col min="11526" max="11526" width="10.8984375" style="93" customWidth="1"/>
    <col min="11527" max="11527" width="10.09765625" style="93" customWidth="1"/>
    <col min="11528" max="11528" width="0" style="93" hidden="1" customWidth="1"/>
    <col min="11529" max="11530" width="10.09765625" style="93" customWidth="1"/>
    <col min="11531" max="11531" width="0.69921875" style="93" customWidth="1"/>
    <col min="11532" max="11776" width="8.09765625" style="93"/>
    <col min="11777" max="11777" width="9" style="93" customWidth="1"/>
    <col min="11778" max="11778" width="8.09765625" style="93"/>
    <col min="11779" max="11779" width="41.5" style="93" customWidth="1"/>
    <col min="11780" max="11781" width="0" style="93" hidden="1" customWidth="1"/>
    <col min="11782" max="11782" width="10.8984375" style="93" customWidth="1"/>
    <col min="11783" max="11783" width="10.09765625" style="93" customWidth="1"/>
    <col min="11784" max="11784" width="0" style="93" hidden="1" customWidth="1"/>
    <col min="11785" max="11786" width="10.09765625" style="93" customWidth="1"/>
    <col min="11787" max="11787" width="0.69921875" style="93" customWidth="1"/>
    <col min="11788" max="12032" width="8.09765625" style="93"/>
    <col min="12033" max="12033" width="9" style="93" customWidth="1"/>
    <col min="12034" max="12034" width="8.09765625" style="93"/>
    <col min="12035" max="12035" width="41.5" style="93" customWidth="1"/>
    <col min="12036" max="12037" width="0" style="93" hidden="1" customWidth="1"/>
    <col min="12038" max="12038" width="10.8984375" style="93" customWidth="1"/>
    <col min="12039" max="12039" width="10.09765625" style="93" customWidth="1"/>
    <col min="12040" max="12040" width="0" style="93" hidden="1" customWidth="1"/>
    <col min="12041" max="12042" width="10.09765625" style="93" customWidth="1"/>
    <col min="12043" max="12043" width="0.69921875" style="93" customWidth="1"/>
    <col min="12044" max="12288" width="8.09765625" style="93"/>
    <col min="12289" max="12289" width="9" style="93" customWidth="1"/>
    <col min="12290" max="12290" width="8.09765625" style="93"/>
    <col min="12291" max="12291" width="41.5" style="93" customWidth="1"/>
    <col min="12292" max="12293" width="0" style="93" hidden="1" customWidth="1"/>
    <col min="12294" max="12294" width="10.8984375" style="93" customWidth="1"/>
    <col min="12295" max="12295" width="10.09765625" style="93" customWidth="1"/>
    <col min="12296" max="12296" width="0" style="93" hidden="1" customWidth="1"/>
    <col min="12297" max="12298" width="10.09765625" style="93" customWidth="1"/>
    <col min="12299" max="12299" width="0.69921875" style="93" customWidth="1"/>
    <col min="12300" max="12544" width="8.09765625" style="93"/>
    <col min="12545" max="12545" width="9" style="93" customWidth="1"/>
    <col min="12546" max="12546" width="8.09765625" style="93"/>
    <col min="12547" max="12547" width="41.5" style="93" customWidth="1"/>
    <col min="12548" max="12549" width="0" style="93" hidden="1" customWidth="1"/>
    <col min="12550" max="12550" width="10.8984375" style="93" customWidth="1"/>
    <col min="12551" max="12551" width="10.09765625" style="93" customWidth="1"/>
    <col min="12552" max="12552" width="0" style="93" hidden="1" customWidth="1"/>
    <col min="12553" max="12554" width="10.09765625" style="93" customWidth="1"/>
    <col min="12555" max="12555" width="0.69921875" style="93" customWidth="1"/>
    <col min="12556" max="12800" width="8.09765625" style="93"/>
    <col min="12801" max="12801" width="9" style="93" customWidth="1"/>
    <col min="12802" max="12802" width="8.09765625" style="93"/>
    <col min="12803" max="12803" width="41.5" style="93" customWidth="1"/>
    <col min="12804" max="12805" width="0" style="93" hidden="1" customWidth="1"/>
    <col min="12806" max="12806" width="10.8984375" style="93" customWidth="1"/>
    <col min="12807" max="12807" width="10.09765625" style="93" customWidth="1"/>
    <col min="12808" max="12808" width="0" style="93" hidden="1" customWidth="1"/>
    <col min="12809" max="12810" width="10.09765625" style="93" customWidth="1"/>
    <col min="12811" max="12811" width="0.69921875" style="93" customWidth="1"/>
    <col min="12812" max="13056" width="8.09765625" style="93"/>
    <col min="13057" max="13057" width="9" style="93" customWidth="1"/>
    <col min="13058" max="13058" width="8.09765625" style="93"/>
    <col min="13059" max="13059" width="41.5" style="93" customWidth="1"/>
    <col min="13060" max="13061" width="0" style="93" hidden="1" customWidth="1"/>
    <col min="13062" max="13062" width="10.8984375" style="93" customWidth="1"/>
    <col min="13063" max="13063" width="10.09765625" style="93" customWidth="1"/>
    <col min="13064" max="13064" width="0" style="93" hidden="1" customWidth="1"/>
    <col min="13065" max="13066" width="10.09765625" style="93" customWidth="1"/>
    <col min="13067" max="13067" width="0.69921875" style="93" customWidth="1"/>
    <col min="13068" max="13312" width="8.09765625" style="93"/>
    <col min="13313" max="13313" width="9" style="93" customWidth="1"/>
    <col min="13314" max="13314" width="8.09765625" style="93"/>
    <col min="13315" max="13315" width="41.5" style="93" customWidth="1"/>
    <col min="13316" max="13317" width="0" style="93" hidden="1" customWidth="1"/>
    <col min="13318" max="13318" width="10.8984375" style="93" customWidth="1"/>
    <col min="13319" max="13319" width="10.09765625" style="93" customWidth="1"/>
    <col min="13320" max="13320" width="0" style="93" hidden="1" customWidth="1"/>
    <col min="13321" max="13322" width="10.09765625" style="93" customWidth="1"/>
    <col min="13323" max="13323" width="0.69921875" style="93" customWidth="1"/>
    <col min="13324" max="13568" width="8.09765625" style="93"/>
    <col min="13569" max="13569" width="9" style="93" customWidth="1"/>
    <col min="13570" max="13570" width="8.09765625" style="93"/>
    <col min="13571" max="13571" width="41.5" style="93" customWidth="1"/>
    <col min="13572" max="13573" width="0" style="93" hidden="1" customWidth="1"/>
    <col min="13574" max="13574" width="10.8984375" style="93" customWidth="1"/>
    <col min="13575" max="13575" width="10.09765625" style="93" customWidth="1"/>
    <col min="13576" max="13576" width="0" style="93" hidden="1" customWidth="1"/>
    <col min="13577" max="13578" width="10.09765625" style="93" customWidth="1"/>
    <col min="13579" max="13579" width="0.69921875" style="93" customWidth="1"/>
    <col min="13580" max="13824" width="8.09765625" style="93"/>
    <col min="13825" max="13825" width="9" style="93" customWidth="1"/>
    <col min="13826" max="13826" width="8.09765625" style="93"/>
    <col min="13827" max="13827" width="41.5" style="93" customWidth="1"/>
    <col min="13828" max="13829" width="0" style="93" hidden="1" customWidth="1"/>
    <col min="13830" max="13830" width="10.8984375" style="93" customWidth="1"/>
    <col min="13831" max="13831" width="10.09765625" style="93" customWidth="1"/>
    <col min="13832" max="13832" width="0" style="93" hidden="1" customWidth="1"/>
    <col min="13833" max="13834" width="10.09765625" style="93" customWidth="1"/>
    <col min="13835" max="13835" width="0.69921875" style="93" customWidth="1"/>
    <col min="13836" max="14080" width="8.09765625" style="93"/>
    <col min="14081" max="14081" width="9" style="93" customWidth="1"/>
    <col min="14082" max="14082" width="8.09765625" style="93"/>
    <col min="14083" max="14083" width="41.5" style="93" customWidth="1"/>
    <col min="14084" max="14085" width="0" style="93" hidden="1" customWidth="1"/>
    <col min="14086" max="14086" width="10.8984375" style="93" customWidth="1"/>
    <col min="14087" max="14087" width="10.09765625" style="93" customWidth="1"/>
    <col min="14088" max="14088" width="0" style="93" hidden="1" customWidth="1"/>
    <col min="14089" max="14090" width="10.09765625" style="93" customWidth="1"/>
    <col min="14091" max="14091" width="0.69921875" style="93" customWidth="1"/>
    <col min="14092" max="14336" width="8.09765625" style="93"/>
    <col min="14337" max="14337" width="9" style="93" customWidth="1"/>
    <col min="14338" max="14338" width="8.09765625" style="93"/>
    <col min="14339" max="14339" width="41.5" style="93" customWidth="1"/>
    <col min="14340" max="14341" width="0" style="93" hidden="1" customWidth="1"/>
    <col min="14342" max="14342" width="10.8984375" style="93" customWidth="1"/>
    <col min="14343" max="14343" width="10.09765625" style="93" customWidth="1"/>
    <col min="14344" max="14344" width="0" style="93" hidden="1" customWidth="1"/>
    <col min="14345" max="14346" width="10.09765625" style="93" customWidth="1"/>
    <col min="14347" max="14347" width="0.69921875" style="93" customWidth="1"/>
    <col min="14348" max="14592" width="8.09765625" style="93"/>
    <col min="14593" max="14593" width="9" style="93" customWidth="1"/>
    <col min="14594" max="14594" width="8.09765625" style="93"/>
    <col min="14595" max="14595" width="41.5" style="93" customWidth="1"/>
    <col min="14596" max="14597" width="0" style="93" hidden="1" customWidth="1"/>
    <col min="14598" max="14598" width="10.8984375" style="93" customWidth="1"/>
    <col min="14599" max="14599" width="10.09765625" style="93" customWidth="1"/>
    <col min="14600" max="14600" width="0" style="93" hidden="1" customWidth="1"/>
    <col min="14601" max="14602" width="10.09765625" style="93" customWidth="1"/>
    <col min="14603" max="14603" width="0.69921875" style="93" customWidth="1"/>
    <col min="14604" max="14848" width="8.09765625" style="93"/>
    <col min="14849" max="14849" width="9" style="93" customWidth="1"/>
    <col min="14850" max="14850" width="8.09765625" style="93"/>
    <col min="14851" max="14851" width="41.5" style="93" customWidth="1"/>
    <col min="14852" max="14853" width="0" style="93" hidden="1" customWidth="1"/>
    <col min="14854" max="14854" width="10.8984375" style="93" customWidth="1"/>
    <col min="14855" max="14855" width="10.09765625" style="93" customWidth="1"/>
    <col min="14856" max="14856" width="0" style="93" hidden="1" customWidth="1"/>
    <col min="14857" max="14858" width="10.09765625" style="93" customWidth="1"/>
    <col min="14859" max="14859" width="0.69921875" style="93" customWidth="1"/>
    <col min="14860" max="15104" width="8.09765625" style="93"/>
    <col min="15105" max="15105" width="9" style="93" customWidth="1"/>
    <col min="15106" max="15106" width="8.09765625" style="93"/>
    <col min="15107" max="15107" width="41.5" style="93" customWidth="1"/>
    <col min="15108" max="15109" width="0" style="93" hidden="1" customWidth="1"/>
    <col min="15110" max="15110" width="10.8984375" style="93" customWidth="1"/>
    <col min="15111" max="15111" width="10.09765625" style="93" customWidth="1"/>
    <col min="15112" max="15112" width="0" style="93" hidden="1" customWidth="1"/>
    <col min="15113" max="15114" width="10.09765625" style="93" customWidth="1"/>
    <col min="15115" max="15115" width="0.69921875" style="93" customWidth="1"/>
    <col min="15116" max="15360" width="8.09765625" style="93"/>
    <col min="15361" max="15361" width="9" style="93" customWidth="1"/>
    <col min="15362" max="15362" width="8.09765625" style="93"/>
    <col min="15363" max="15363" width="41.5" style="93" customWidth="1"/>
    <col min="15364" max="15365" width="0" style="93" hidden="1" customWidth="1"/>
    <col min="15366" max="15366" width="10.8984375" style="93" customWidth="1"/>
    <col min="15367" max="15367" width="10.09765625" style="93" customWidth="1"/>
    <col min="15368" max="15368" width="0" style="93" hidden="1" customWidth="1"/>
    <col min="15369" max="15370" width="10.09765625" style="93" customWidth="1"/>
    <col min="15371" max="15371" width="0.69921875" style="93" customWidth="1"/>
    <col min="15372" max="15616" width="8.09765625" style="93"/>
    <col min="15617" max="15617" width="9" style="93" customWidth="1"/>
    <col min="15618" max="15618" width="8.09765625" style="93"/>
    <col min="15619" max="15619" width="41.5" style="93" customWidth="1"/>
    <col min="15620" max="15621" width="0" style="93" hidden="1" customWidth="1"/>
    <col min="15622" max="15622" width="10.8984375" style="93" customWidth="1"/>
    <col min="15623" max="15623" width="10.09765625" style="93" customWidth="1"/>
    <col min="15624" max="15624" width="0" style="93" hidden="1" customWidth="1"/>
    <col min="15625" max="15626" width="10.09765625" style="93" customWidth="1"/>
    <col min="15627" max="15627" width="0.69921875" style="93" customWidth="1"/>
    <col min="15628" max="15872" width="8.09765625" style="93"/>
    <col min="15873" max="15873" width="9" style="93" customWidth="1"/>
    <col min="15874" max="15874" width="8.09765625" style="93"/>
    <col min="15875" max="15875" width="41.5" style="93" customWidth="1"/>
    <col min="15876" max="15877" width="0" style="93" hidden="1" customWidth="1"/>
    <col min="15878" max="15878" width="10.8984375" style="93" customWidth="1"/>
    <col min="15879" max="15879" width="10.09765625" style="93" customWidth="1"/>
    <col min="15880" max="15880" width="0" style="93" hidden="1" customWidth="1"/>
    <col min="15881" max="15882" width="10.09765625" style="93" customWidth="1"/>
    <col min="15883" max="15883" width="0.69921875" style="93" customWidth="1"/>
    <col min="15884" max="16128" width="8.09765625" style="93"/>
    <col min="16129" max="16129" width="9" style="93" customWidth="1"/>
    <col min="16130" max="16130" width="8.09765625" style="93"/>
    <col min="16131" max="16131" width="41.5" style="93" customWidth="1"/>
    <col min="16132" max="16133" width="0" style="93" hidden="1" customWidth="1"/>
    <col min="16134" max="16134" width="10.8984375" style="93" customWidth="1"/>
    <col min="16135" max="16135" width="10.09765625" style="93" customWidth="1"/>
    <col min="16136" max="16136" width="0" style="93" hidden="1" customWidth="1"/>
    <col min="16137" max="16138" width="10.09765625" style="93" customWidth="1"/>
    <col min="16139" max="16139" width="0.69921875" style="93" customWidth="1"/>
    <col min="16140" max="16384" width="8.09765625" style="93"/>
  </cols>
  <sheetData>
    <row r="1" spans="1:12" ht="20.399999999999999" customHeight="1" x14ac:dyDescent="0.25">
      <c r="A1" s="88" t="s">
        <v>57</v>
      </c>
      <c r="B1" s="89"/>
      <c r="C1" s="90"/>
      <c r="D1" s="90"/>
      <c r="E1" s="90"/>
      <c r="F1" s="90"/>
      <c r="G1" s="91"/>
      <c r="H1" s="91"/>
      <c r="I1" s="247">
        <v>44903</v>
      </c>
      <c r="J1" s="247"/>
      <c r="K1" s="92"/>
    </row>
    <row r="2" spans="1:12" ht="18.600000000000001" customHeight="1" x14ac:dyDescent="0.45">
      <c r="A2" s="248"/>
      <c r="B2" s="248"/>
      <c r="C2" s="248"/>
      <c r="D2" s="94"/>
      <c r="E2" s="94"/>
      <c r="F2" s="94"/>
      <c r="G2" s="95"/>
      <c r="H2" s="95"/>
      <c r="I2" s="95"/>
      <c r="J2" s="95"/>
    </row>
    <row r="3" spans="1:12" ht="19.5" customHeight="1" x14ac:dyDescent="0.45">
      <c r="A3" s="249" t="s">
        <v>58</v>
      </c>
      <c r="B3" s="249"/>
      <c r="C3" s="249"/>
      <c r="D3" s="96"/>
      <c r="E3" s="96"/>
      <c r="F3" s="96"/>
      <c r="G3" s="95"/>
      <c r="H3" s="95"/>
      <c r="I3" s="95"/>
      <c r="J3" s="95"/>
    </row>
    <row r="4" spans="1:12" ht="19.5" customHeight="1" thickBot="1" x14ac:dyDescent="0.5">
      <c r="A4" s="97" t="s">
        <v>59</v>
      </c>
      <c r="B4" s="97" t="s">
        <v>60</v>
      </c>
      <c r="C4" s="97" t="s">
        <v>61</v>
      </c>
      <c r="D4" s="97" t="s">
        <v>62</v>
      </c>
      <c r="E4" s="97" t="s">
        <v>63</v>
      </c>
      <c r="F4" s="97" t="s">
        <v>64</v>
      </c>
      <c r="G4" s="97" t="s">
        <v>65</v>
      </c>
      <c r="H4" s="97" t="s">
        <v>66</v>
      </c>
      <c r="I4" s="97" t="s">
        <v>67</v>
      </c>
      <c r="J4" s="97" t="s">
        <v>68</v>
      </c>
      <c r="K4" s="98"/>
      <c r="L4" s="98"/>
    </row>
    <row r="5" spans="1:12" ht="19.5" customHeight="1" thickTop="1" thickBot="1" x14ac:dyDescent="0.5">
      <c r="A5" s="99"/>
      <c r="B5" s="99"/>
      <c r="C5" s="100" t="s">
        <v>69</v>
      </c>
      <c r="D5" s="99"/>
      <c r="E5" s="99"/>
      <c r="F5" s="99"/>
      <c r="G5" s="101">
        <f>SUM(G6:G7)</f>
        <v>0</v>
      </c>
      <c r="H5" s="101">
        <f>SUM(H6:H7)</f>
        <v>0</v>
      </c>
      <c r="I5" s="102">
        <f>IF(ISERROR(H5*100/G5),0,H5*100/G5)</f>
        <v>0</v>
      </c>
      <c r="J5" s="99"/>
      <c r="K5" s="98"/>
      <c r="L5" s="98"/>
    </row>
    <row r="6" spans="1:12" ht="19.5" customHeight="1" x14ac:dyDescent="0.45">
      <c r="A6" s="103"/>
      <c r="B6" s="104"/>
      <c r="C6" s="105"/>
      <c r="D6" s="105"/>
      <c r="E6" s="105"/>
      <c r="F6" s="105"/>
      <c r="G6" s="106"/>
      <c r="H6" s="106"/>
      <c r="I6" s="107"/>
      <c r="J6" s="107"/>
      <c r="K6" s="98"/>
      <c r="L6" s="98"/>
    </row>
    <row r="7" spans="1:12" ht="19.5" customHeight="1" x14ac:dyDescent="0.45">
      <c r="A7" s="108"/>
      <c r="B7" s="109"/>
      <c r="C7" s="110"/>
      <c r="D7" s="110"/>
      <c r="E7" s="110"/>
      <c r="F7" s="110"/>
      <c r="G7" s="111"/>
      <c r="H7" s="111"/>
      <c r="I7" s="112"/>
      <c r="J7" s="113"/>
    </row>
    <row r="8" spans="1:12" ht="13.5" customHeight="1" x14ac:dyDescent="0.45">
      <c r="A8" s="114"/>
      <c r="B8" s="114"/>
      <c r="G8" s="114"/>
      <c r="H8" s="114"/>
      <c r="I8" s="114"/>
      <c r="J8" s="114"/>
    </row>
    <row r="9" spans="1:12" ht="13.5" customHeight="1" x14ac:dyDescent="0.45">
      <c r="A9" s="114"/>
      <c r="B9" s="114"/>
      <c r="G9" s="114"/>
      <c r="H9" s="114"/>
      <c r="I9" s="114"/>
      <c r="J9" s="114"/>
    </row>
    <row r="10" spans="1:12" ht="13.5" customHeight="1" x14ac:dyDescent="0.45">
      <c r="A10" s="114"/>
      <c r="B10" s="114"/>
      <c r="G10" s="114"/>
      <c r="H10" s="114"/>
      <c r="I10" s="114"/>
      <c r="J10" s="114"/>
    </row>
    <row r="11" spans="1:12" ht="13.5" customHeight="1" x14ac:dyDescent="0.45">
      <c r="A11" s="114"/>
      <c r="B11" s="114"/>
      <c r="G11" s="114"/>
      <c r="H11" s="114"/>
      <c r="I11" s="114"/>
      <c r="J11" s="114"/>
    </row>
    <row r="12" spans="1:12" ht="13.5" customHeight="1" x14ac:dyDescent="0.45">
      <c r="A12" s="114"/>
      <c r="B12" s="114"/>
      <c r="G12" s="114"/>
      <c r="H12" s="114"/>
      <c r="I12" s="114"/>
      <c r="J12" s="114"/>
    </row>
    <row r="13" spans="1:12" ht="13.5" customHeight="1" x14ac:dyDescent="0.45">
      <c r="A13" s="114"/>
      <c r="B13" s="114"/>
      <c r="G13" s="114"/>
      <c r="H13" s="114"/>
      <c r="I13" s="114"/>
      <c r="J13" s="114"/>
    </row>
    <row r="14" spans="1:12" ht="13.5" customHeight="1" x14ac:dyDescent="0.45">
      <c r="A14" s="114"/>
      <c r="B14" s="114"/>
      <c r="G14" s="114"/>
      <c r="H14" s="114"/>
      <c r="I14" s="114"/>
      <c r="J14" s="114"/>
    </row>
    <row r="15" spans="1:12" ht="13.5" customHeight="1" x14ac:dyDescent="0.45">
      <c r="A15" s="114"/>
      <c r="B15" s="114"/>
      <c r="G15" s="114"/>
      <c r="H15" s="114"/>
      <c r="I15" s="114"/>
      <c r="J15" s="114"/>
    </row>
    <row r="16" spans="1:12" ht="13.5" customHeight="1" x14ac:dyDescent="0.45">
      <c r="A16" s="114"/>
      <c r="B16" s="114"/>
      <c r="G16" s="114"/>
      <c r="H16" s="114"/>
      <c r="I16" s="114"/>
      <c r="J16" s="114"/>
    </row>
    <row r="17" spans="1:10" ht="13.5" customHeight="1" x14ac:dyDescent="0.45">
      <c r="A17" s="114"/>
      <c r="B17" s="114"/>
      <c r="G17" s="114"/>
      <c r="H17" s="114"/>
      <c r="I17" s="114"/>
      <c r="J17" s="114"/>
    </row>
    <row r="18" spans="1:10" ht="13.5" customHeight="1" x14ac:dyDescent="0.45">
      <c r="A18" s="114"/>
      <c r="B18" s="114"/>
      <c r="G18" s="114"/>
      <c r="H18" s="114"/>
      <c r="I18" s="114"/>
      <c r="J18" s="114"/>
    </row>
    <row r="19" spans="1:10" ht="13.5" customHeight="1" x14ac:dyDescent="0.45">
      <c r="A19" s="114"/>
      <c r="B19" s="114"/>
      <c r="G19" s="114"/>
      <c r="H19" s="114"/>
      <c r="I19" s="114"/>
      <c r="J19" s="114"/>
    </row>
    <row r="20" spans="1:10" ht="13.5" customHeight="1" x14ac:dyDescent="0.45">
      <c r="A20" s="114"/>
      <c r="B20" s="114"/>
      <c r="G20" s="114"/>
      <c r="H20" s="114"/>
      <c r="I20" s="114"/>
      <c r="J20" s="114"/>
    </row>
    <row r="21" spans="1:10" ht="13.5" customHeight="1" x14ac:dyDescent="0.45">
      <c r="A21" s="114"/>
      <c r="B21" s="114"/>
      <c r="G21" s="114"/>
      <c r="H21" s="114"/>
      <c r="I21" s="114"/>
      <c r="J21" s="114"/>
    </row>
    <row r="22" spans="1:10" ht="13.5" customHeight="1" x14ac:dyDescent="0.45">
      <c r="A22" s="114"/>
      <c r="B22" s="114"/>
      <c r="G22" s="114"/>
      <c r="H22" s="114"/>
      <c r="I22" s="114"/>
      <c r="J22" s="114"/>
    </row>
    <row r="23" spans="1:10" ht="13.5" customHeight="1" x14ac:dyDescent="0.45">
      <c r="A23" s="114"/>
      <c r="B23" s="114"/>
      <c r="G23" s="114"/>
      <c r="H23" s="114"/>
      <c r="I23" s="114"/>
      <c r="J23" s="114"/>
    </row>
    <row r="24" spans="1:10" ht="13.5" customHeight="1" x14ac:dyDescent="0.45">
      <c r="A24" s="114"/>
      <c r="B24" s="114"/>
      <c r="G24" s="114"/>
      <c r="H24" s="114"/>
      <c r="I24" s="114"/>
      <c r="J24" s="114"/>
    </row>
    <row r="25" spans="1:10" ht="13.5" customHeight="1" x14ac:dyDescent="0.45">
      <c r="A25" s="114"/>
      <c r="B25" s="114"/>
      <c r="G25" s="114"/>
      <c r="H25" s="114"/>
      <c r="I25" s="114"/>
      <c r="J25" s="114"/>
    </row>
    <row r="26" spans="1:10" ht="13.5" customHeight="1" x14ac:dyDescent="0.45">
      <c r="A26" s="114"/>
      <c r="B26" s="114"/>
      <c r="G26" s="114"/>
      <c r="H26" s="114"/>
      <c r="I26" s="114"/>
      <c r="J26" s="114"/>
    </row>
    <row r="27" spans="1:10" ht="13.5" customHeight="1" x14ac:dyDescent="0.45">
      <c r="A27" s="114"/>
      <c r="B27" s="114"/>
      <c r="G27" s="114"/>
      <c r="H27" s="114"/>
      <c r="I27" s="114"/>
      <c r="J27" s="114"/>
    </row>
    <row r="28" spans="1:10" ht="13.5" customHeight="1" x14ac:dyDescent="0.45">
      <c r="A28" s="114"/>
      <c r="B28" s="114"/>
      <c r="G28" s="114"/>
      <c r="H28" s="114"/>
      <c r="I28" s="114"/>
      <c r="J28" s="114"/>
    </row>
    <row r="29" spans="1:10" ht="13.5" customHeight="1" x14ac:dyDescent="0.45">
      <c r="A29" s="114"/>
      <c r="B29" s="114"/>
      <c r="G29" s="114"/>
      <c r="H29" s="114"/>
      <c r="I29" s="114"/>
      <c r="J29" s="114"/>
    </row>
    <row r="30" spans="1:10" ht="13.5" customHeight="1" x14ac:dyDescent="0.45">
      <c r="A30" s="114"/>
      <c r="B30" s="114"/>
      <c r="G30" s="114"/>
      <c r="H30" s="114"/>
      <c r="I30" s="114"/>
      <c r="J30" s="114"/>
    </row>
    <row r="31" spans="1:10" ht="13.5" customHeight="1" x14ac:dyDescent="0.45">
      <c r="A31" s="114"/>
      <c r="B31" s="114"/>
      <c r="G31" s="114"/>
      <c r="H31" s="114"/>
      <c r="I31" s="114"/>
      <c r="J31" s="114"/>
    </row>
    <row r="32" spans="1:10" ht="13.5" customHeight="1" x14ac:dyDescent="0.45">
      <c r="A32" s="114"/>
      <c r="B32" s="114"/>
      <c r="G32" s="114"/>
      <c r="H32" s="114"/>
      <c r="I32" s="114"/>
      <c r="J32" s="114"/>
    </row>
    <row r="33" spans="1:10" ht="13.5" customHeight="1" x14ac:dyDescent="0.45">
      <c r="A33" s="114"/>
      <c r="B33" s="114"/>
      <c r="G33" s="114"/>
      <c r="H33" s="114"/>
      <c r="I33" s="114"/>
      <c r="J33" s="114"/>
    </row>
  </sheetData>
  <mergeCells count="3">
    <mergeCell ref="I1:J1"/>
    <mergeCell ref="A2:C2"/>
    <mergeCell ref="A3:C3"/>
  </mergeCells>
  <phoneticPr fontId="2"/>
  <pageMargins left="0.51181102362204722" right="0" top="0.23622047244094491" bottom="0.51181102362204722" header="0.23622047244094491" footer="0.23622047244094491"/>
  <pageSetup paperSize="9" scale="82" orientation="portrait" horizontalDpi="300" verticalDpi="300" r:id="rId1"/>
  <headerFooter alignWithMargins="0">
    <oddHeader>&amp;R&amp;G</oddHeader>
    <oddFooter>&amp;C㈱三和商研　&amp;P/&amp;N&amp;R©2024 SMS DataTech Corporation. All rights reserved.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5" zoomScaleNormal="85"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16</vt:i4>
      </vt:variant>
    </vt:vector>
  </HeadingPairs>
  <TitlesOfParts>
    <vt:vector size="26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別紙_テンプレート</vt:lpstr>
      <vt:lpstr>別紙_印刷レイアウト</vt:lpstr>
      <vt:lpstr>参照</vt:lpstr>
      <vt:lpstr>CoreCells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別紙_テンプレート!Print_Titles</vt:lpstr>
      <vt:lpstr>変更履歴!Print_Titles</vt:lpstr>
      <vt:lpstr>作成日</vt:lpstr>
      <vt:lpstr>得意先</vt:lpstr>
      <vt:lpstr>日付範囲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2024-10-11T07:57:32Z</cp:lastPrinted>
  <dcterms:created xsi:type="dcterms:W3CDTF">2021-04-12T04:47:05Z</dcterms:created>
  <dcterms:modified xsi:type="dcterms:W3CDTF">2025-05-24T05:34:23Z</dcterms:modified>
</cp:coreProperties>
</file>