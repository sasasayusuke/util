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1_基本設計書\02_帳票設計\"/>
    </mc:Choice>
  </mc:AlternateContent>
  <bookViews>
    <workbookView xWindow="0" yWindow="0" windowWidth="23232" windowHeight="8808" firstSheet="1" activeTab="1"/>
  </bookViews>
  <sheets>
    <sheet name="変更履歴" sheetId="1" r:id="rId1"/>
    <sheet name="概要" sheetId="14" r:id="rId2"/>
    <sheet name="帳票レイアウト" sheetId="2" r:id="rId3"/>
    <sheet name="項目一覧" sheetId="3" r:id="rId4"/>
    <sheet name="処理詳細" sheetId="19" r:id="rId5"/>
    <sheet name="処理詳細_書き方" sheetId="20" state="hidden" r:id="rId6"/>
    <sheet name="確認事項" sheetId="15" r:id="rId7"/>
    <sheet name="別紙_テンプレート" sheetId="16" r:id="rId8"/>
    <sheet name="別紙_印刷レイアウト" sheetId="21" r:id="rId9"/>
    <sheet name="参照" sheetId="12" state="hidden" r:id="rId10"/>
  </sheets>
  <definedNames>
    <definedName name="CoreCells">別紙_テンプレート!$A$4:$M$4</definedName>
    <definedName name="_xlnm.Print_Area" localSheetId="1">概要!$A$1:$BN$31</definedName>
    <definedName name="_xlnm.Print_Area" localSheetId="3">項目一覧!$A$1:$BX$58</definedName>
    <definedName name="_xlnm.Print_Area" localSheetId="4">処理詳細!$A$1:$BR$72</definedName>
    <definedName name="_xlnm.Print_Area" localSheetId="5">処理詳細_書き方!$A$1:$BR$33</definedName>
    <definedName name="_xlnm.Print_Area" localSheetId="2">帳票レイアウト!$A$1:$BN$48</definedName>
    <definedName name="_xlnm.Print_Area" localSheetId="7">別紙_テンプレート!$A$1:$M$5</definedName>
    <definedName name="_xlnm.Print_Area" localSheetId="0">変更履歴!$A$1:$BN$49</definedName>
    <definedName name="_xlnm.Print_Titles" localSheetId="1">概要!$1:$5</definedName>
    <definedName name="_xlnm.Print_Titles" localSheetId="3">項目一覧!$1:$5</definedName>
    <definedName name="_xlnm.Print_Titles" localSheetId="4">処理詳細!$1:$5</definedName>
    <definedName name="_xlnm.Print_Titles" localSheetId="5">処理詳細_書き方!$1:$5</definedName>
    <definedName name="_xlnm.Print_Titles" localSheetId="2">帳票レイアウト!$1:$5</definedName>
    <definedName name="_xlnm.Print_Titles" localSheetId="7">別紙_テンプレート!$1:$2</definedName>
    <definedName name="_xlnm.Print_Titles" localSheetId="0">変更履歴!$1:$5</definedName>
    <definedName name="作成日">別紙_テンプレート!$M$1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J3" i="20" l="1"/>
  <c r="BF3" i="20"/>
  <c r="BB3" i="20"/>
  <c r="AX3" i="20"/>
  <c r="L3" i="20"/>
  <c r="B3" i="20"/>
  <c r="BJ3" i="19"/>
  <c r="BF3" i="19"/>
  <c r="BB3" i="19"/>
  <c r="AX3" i="19"/>
  <c r="L3" i="19"/>
  <c r="B3" i="19"/>
  <c r="K3" i="16" l="1"/>
  <c r="M4" i="16"/>
  <c r="L3" i="16"/>
  <c r="M3" i="16" l="1"/>
  <c r="M5" i="16" l="1"/>
  <c r="BJ3" i="14" l="1"/>
  <c r="BF3" i="14"/>
  <c r="BB3" i="14"/>
  <c r="AX3" i="14"/>
  <c r="L3" i="14"/>
  <c r="B3" i="14"/>
  <c r="X3" i="1" l="1"/>
  <c r="X3" i="19" l="1"/>
  <c r="X3" i="20"/>
  <c r="X3" i="14"/>
  <c r="H3" i="1"/>
  <c r="R3" i="1"/>
  <c r="AK3" i="1"/>
  <c r="AK3" i="19" l="1"/>
  <c r="AK3" i="20"/>
  <c r="R3" i="19"/>
  <c r="R3" i="20"/>
  <c r="H3" i="19"/>
  <c r="H3" i="20"/>
  <c r="AK3" i="14"/>
  <c r="H7" i="14" s="1"/>
  <c r="R3" i="14"/>
  <c r="H3" i="14"/>
  <c r="R3" i="3"/>
  <c r="BJ3" i="3"/>
  <c r="BF3" i="3"/>
  <c r="BB3" i="3"/>
  <c r="AX3" i="3"/>
  <c r="AK3" i="3"/>
  <c r="L3" i="3"/>
  <c r="H3" i="3"/>
  <c r="B3" i="3"/>
  <c r="B3" i="2"/>
  <c r="H3" i="2"/>
  <c r="L3" i="2"/>
  <c r="R3" i="2"/>
  <c r="AK3" i="2"/>
  <c r="BJ3" i="2"/>
  <c r="BF3" i="2"/>
  <c r="BB3" i="2"/>
  <c r="AX3" i="2"/>
  <c r="X3" i="2" l="1"/>
  <c r="X3" i="3"/>
</calcChain>
</file>

<file path=xl/sharedStrings.xml><?xml version="1.0" encoding="utf-8"?>
<sst xmlns="http://schemas.openxmlformats.org/spreadsheetml/2006/main" count="598" uniqueCount="354">
  <si>
    <t>システム名</t>
    <rPh sb="4" eb="5">
      <t>メイ</t>
    </rPh>
    <phoneticPr fontId="2"/>
  </si>
  <si>
    <t>業務分類</t>
    <rPh sb="0" eb="2">
      <t>ギョウム</t>
    </rPh>
    <rPh sb="2" eb="4">
      <t>ブンルイ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</si>
  <si>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</si>
  <si>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</si>
  <si>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</si>
  <si>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</si>
  <si>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</si>
  <si>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</si>
  <si>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</si>
  <si>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</si>
  <si>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</si>
  <si>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</si>
  <si>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</si>
  <si>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新規作成</t>
    <rPh sb="0" eb="2">
      <t>シンキ</t>
    </rPh>
    <rPh sb="2" eb="4">
      <t>サクセイ</t>
    </rPh>
    <phoneticPr fontId="2"/>
  </si>
  <si>
    <t>-</t>
    <phoneticPr fontId="2"/>
  </si>
  <si>
    <t>変更履歴</t>
    <rPh sb="0" eb="4">
      <t>ヘンコウリレキ</t>
    </rPh>
    <phoneticPr fontId="2"/>
  </si>
  <si>
    <t>1.0.0</t>
    <phoneticPr fontId="2"/>
  </si>
  <si>
    <t>画面ID</t>
    <rPh sb="0" eb="2">
      <t>ガメン</t>
    </rPh>
    <phoneticPr fontId="2"/>
  </si>
  <si>
    <t>項目一覧</t>
    <rPh sb="0" eb="2">
      <t>コウモク</t>
    </rPh>
    <rPh sb="2" eb="4">
      <t>イチラン</t>
    </rPh>
    <phoneticPr fontId="2"/>
  </si>
  <si>
    <t>No.</t>
  </si>
  <si>
    <t>項目名</t>
    <rPh sb="0" eb="2">
      <t>コウモク</t>
    </rPh>
    <rPh sb="2" eb="3">
      <t>メイ</t>
    </rPh>
    <phoneticPr fontId="2"/>
  </si>
  <si>
    <t>概要</t>
    <rPh sb="0" eb="2">
      <t>ガイヨウ</t>
    </rPh>
    <phoneticPr fontId="2"/>
  </si>
  <si>
    <t>帳票の名称</t>
    <rPh sb="0" eb="2">
      <t>チョウヒョウ</t>
    </rPh>
    <rPh sb="3" eb="5">
      <t>メイショウ</t>
    </rPh>
    <phoneticPr fontId="2"/>
  </si>
  <si>
    <t>ファイル種類</t>
    <rPh sb="4" eb="6">
      <t>シュルイ</t>
    </rPh>
    <phoneticPr fontId="2"/>
  </si>
  <si>
    <t>データ型</t>
    <rPh sb="3" eb="4">
      <t>カタ</t>
    </rPh>
    <phoneticPr fontId="1"/>
  </si>
  <si>
    <t>帳票テンプレート名</t>
    <rPh sb="0" eb="2">
      <t>チョウヒョウ</t>
    </rPh>
    <rPh sb="8" eb="9">
      <t>メイ</t>
    </rPh>
    <phoneticPr fontId="2"/>
  </si>
  <si>
    <t>ファイル拡張子</t>
    <rPh sb="4" eb="7">
      <t>カクチョウシ</t>
    </rPh>
    <phoneticPr fontId="2"/>
  </si>
  <si>
    <t>文字コード</t>
    <rPh sb="0" eb="2">
      <t>モジ</t>
    </rPh>
    <phoneticPr fontId="2"/>
  </si>
  <si>
    <t>コーテーション</t>
    <phoneticPr fontId="2"/>
  </si>
  <si>
    <t>固定長/可変長</t>
    <rPh sb="0" eb="3">
      <t>コテイチョウ</t>
    </rPh>
    <rPh sb="4" eb="7">
      <t>カヘンチョウ</t>
    </rPh>
    <phoneticPr fontId="2"/>
  </si>
  <si>
    <t>区切り文字</t>
    <rPh sb="0" eb="2">
      <t>クギ</t>
    </rPh>
    <rPh sb="3" eb="5">
      <t>モジ</t>
    </rPh>
    <phoneticPr fontId="2"/>
  </si>
  <si>
    <t>帳票名</t>
    <rPh sb="0" eb="2">
      <t>チョウヒョウ</t>
    </rPh>
    <rPh sb="2" eb="3">
      <t>メイ</t>
    </rPh>
    <phoneticPr fontId="2"/>
  </si>
  <si>
    <t>帳票名</t>
    <rPh sb="0" eb="2">
      <t>チョウヒョウ</t>
    </rPh>
    <phoneticPr fontId="2"/>
  </si>
  <si>
    <t>全角/半角</t>
    <rPh sb="0" eb="2">
      <t>ゼンカク</t>
    </rPh>
    <rPh sb="3" eb="5">
      <t>ハンカク</t>
    </rPh>
    <phoneticPr fontId="1"/>
  </si>
  <si>
    <t>文字数/桁数</t>
    <rPh sb="0" eb="3">
      <t>モジスウ</t>
    </rPh>
    <rPh sb="4" eb="6">
      <t>ケタスウ</t>
    </rPh>
    <phoneticPr fontId="1"/>
  </si>
  <si>
    <t>データ整形方法</t>
    <rPh sb="3" eb="7">
      <t>セイケイホウホウ</t>
    </rPh>
    <phoneticPr fontId="1"/>
  </si>
  <si>
    <t>データ取得元</t>
    <rPh sb="3" eb="6">
      <t>シュトクモト</t>
    </rPh>
    <phoneticPr fontId="1"/>
  </si>
  <si>
    <t>ブール値</t>
    <rPh sb="2" eb="3">
      <t>チ</t>
    </rPh>
    <phoneticPr fontId="2"/>
  </si>
  <si>
    <t>文字列</t>
    <rPh sb="0" eb="3">
      <t>モジレツ</t>
    </rPh>
    <phoneticPr fontId="2"/>
  </si>
  <si>
    <t>リスト</t>
    <phoneticPr fontId="2"/>
  </si>
  <si>
    <t>辞書配列</t>
    <rPh sb="0" eb="2">
      <t>ジショ</t>
    </rPh>
    <rPh sb="2" eb="4">
      <t>ハイレツ</t>
    </rPh>
    <phoneticPr fontId="2"/>
  </si>
  <si>
    <t>日付</t>
    <rPh sb="0" eb="2">
      <t>ヒヅケ</t>
    </rPh>
    <phoneticPr fontId="2"/>
  </si>
  <si>
    <t>整形後フォーマット</t>
    <rPh sb="0" eb="3">
      <t>セイケイゴ</t>
    </rPh>
    <phoneticPr fontId="1"/>
  </si>
  <si>
    <t>備考</t>
    <rPh sb="0" eb="2">
      <t>ビコウ</t>
    </rPh>
    <phoneticPr fontId="1"/>
  </si>
  <si>
    <t>用紙サイズ</t>
    <rPh sb="0" eb="2">
      <t>ヨウシ</t>
    </rPh>
    <phoneticPr fontId="2"/>
  </si>
  <si>
    <t>ページ１</t>
    <phoneticPr fontId="2"/>
  </si>
  <si>
    <t>項目</t>
    <rPh sb="0" eb="2">
      <t>コウモク</t>
    </rPh>
    <phoneticPr fontId="2"/>
  </si>
  <si>
    <t>数値</t>
    <rPh sb="0" eb="2">
      <t>スウチ</t>
    </rPh>
    <phoneticPr fontId="2"/>
  </si>
  <si>
    <t>確認事項</t>
    <rPh sb="0" eb="4">
      <t>カクニンジコウ</t>
    </rPh>
    <phoneticPr fontId="2"/>
  </si>
  <si>
    <t>シート名</t>
    <rPh sb="3" eb="4">
      <t>メイ</t>
    </rPh>
    <phoneticPr fontId="2"/>
  </si>
  <si>
    <t>タイトル</t>
    <phoneticPr fontId="2"/>
  </si>
  <si>
    <t>確認済</t>
    <rPh sb="0" eb="3">
      <t>カクニ</t>
    </rPh>
    <phoneticPr fontId="2"/>
  </si>
  <si>
    <t>フォントや文字サイズ、セル条件などは「別紙_テンプレート」準拠</t>
    <rPh sb="13" eb="15">
      <t>ジョウケン</t>
    </rPh>
    <rPh sb="19" eb="21">
      <t>ベッシ</t>
    </rPh>
    <phoneticPr fontId="1"/>
  </si>
  <si>
    <t>顧客別施工金額実績表</t>
    <rPh sb="0" eb="2">
      <t>コキャク</t>
    </rPh>
    <phoneticPr fontId="11"/>
  </si>
  <si>
    <t>チームCD</t>
  </si>
  <si>
    <t>売仕区分</t>
  </si>
  <si>
    <t>コード</t>
    <phoneticPr fontId="11"/>
  </si>
  <si>
    <t>見積NO</t>
    <phoneticPr fontId="11"/>
  </si>
  <si>
    <t>得意先CD</t>
  </si>
  <si>
    <t>店舗</t>
    <rPh sb="0" eb="2">
      <t>テンポ</t>
    </rPh>
    <phoneticPr fontId="11"/>
  </si>
  <si>
    <t>店舗名</t>
    <phoneticPr fontId="11"/>
  </si>
  <si>
    <t>内容</t>
    <rPh sb="0" eb="2">
      <t>ナイヨウ</t>
    </rPh>
    <phoneticPr fontId="11"/>
  </si>
  <si>
    <t>仕入先CD</t>
  </si>
  <si>
    <t>業者名</t>
    <rPh sb="0" eb="2">
      <t>ギョウシャ</t>
    </rPh>
    <rPh sb="2" eb="3">
      <t>メイ</t>
    </rPh>
    <phoneticPr fontId="11"/>
  </si>
  <si>
    <t>施工費原価</t>
    <rPh sb="0" eb="2">
      <t>セコウ</t>
    </rPh>
    <rPh sb="2" eb="3">
      <t>ヒ</t>
    </rPh>
    <rPh sb="3" eb="5">
      <t>ゲンカ</t>
    </rPh>
    <phoneticPr fontId="11"/>
  </si>
  <si>
    <t>施工費売価</t>
    <rPh sb="0" eb="2">
      <t>セコウ</t>
    </rPh>
    <rPh sb="2" eb="3">
      <t>ヒ</t>
    </rPh>
    <rPh sb="3" eb="5">
      <t>バイカ</t>
    </rPh>
    <phoneticPr fontId="11"/>
  </si>
  <si>
    <t>原価率</t>
    <rPh sb="0" eb="2">
      <t>ゲンカ</t>
    </rPh>
    <rPh sb="2" eb="3">
      <t>リツ</t>
    </rPh>
    <phoneticPr fontId="11"/>
  </si>
  <si>
    <t>Temp施工金額実績表.xlsx</t>
    <rPh sb="4" eb="6">
      <t>セコウ</t>
    </rPh>
    <rPh sb="6" eb="8">
      <t>キンガク</t>
    </rPh>
    <rPh sb="8" eb="10">
      <t>ジッセキ</t>
    </rPh>
    <rPh sb="10" eb="11">
      <t>ヒョウ</t>
    </rPh>
    <phoneticPr fontId="2"/>
  </si>
  <si>
    <t>Excel</t>
    <phoneticPr fontId="2"/>
  </si>
  <si>
    <t>xlsx</t>
    <phoneticPr fontId="2"/>
  </si>
  <si>
    <t>-</t>
    <phoneticPr fontId="2"/>
  </si>
  <si>
    <t>-</t>
    <phoneticPr fontId="2"/>
  </si>
  <si>
    <t>-</t>
    <phoneticPr fontId="2"/>
  </si>
  <si>
    <t>-</t>
    <phoneticPr fontId="2"/>
  </si>
  <si>
    <t>半角</t>
    <rPh sb="0" eb="2">
      <t>ハンカク</t>
    </rPh>
    <phoneticPr fontId="1"/>
  </si>
  <si>
    <t>全角</t>
    <rPh sb="0" eb="2">
      <t>ゼンカク</t>
    </rPh>
    <phoneticPr fontId="1"/>
  </si>
  <si>
    <t>縮小して全体表示</t>
    <rPh sb="0" eb="2">
      <t>シュクショウ</t>
    </rPh>
    <rPh sb="4" eb="8">
      <t>ゼンタイヒョウジ</t>
    </rPh>
    <phoneticPr fontId="1"/>
  </si>
  <si>
    <t>チームCD_1行目</t>
    <rPh sb="7" eb="9">
      <t>ギョウメ</t>
    </rPh>
    <phoneticPr fontId="1"/>
  </si>
  <si>
    <t>売仕区分_1行目</t>
    <rPh sb="0" eb="1">
      <t>ウ</t>
    </rPh>
    <rPh sb="1" eb="2">
      <t>シ</t>
    </rPh>
    <rPh sb="2" eb="4">
      <t>クブン</t>
    </rPh>
    <rPh sb="6" eb="8">
      <t>ギョウメ</t>
    </rPh>
    <phoneticPr fontId="1"/>
  </si>
  <si>
    <t>コード_1行目</t>
    <rPh sb="5" eb="7">
      <t>ギョウメ</t>
    </rPh>
    <phoneticPr fontId="1"/>
  </si>
  <si>
    <t>見積NO_1行目</t>
    <rPh sb="0" eb="2">
      <t>ミツモリ</t>
    </rPh>
    <rPh sb="6" eb="8">
      <t>ギョウメ</t>
    </rPh>
    <phoneticPr fontId="1"/>
  </si>
  <si>
    <t>得意先CD_1行目</t>
    <rPh sb="0" eb="3">
      <t>トクイサキ</t>
    </rPh>
    <rPh sb="7" eb="9">
      <t>ギョウメ</t>
    </rPh>
    <phoneticPr fontId="1"/>
  </si>
  <si>
    <t>店舗_1行目</t>
    <rPh sb="0" eb="2">
      <t>テンポ</t>
    </rPh>
    <rPh sb="4" eb="6">
      <t>ギョウメ</t>
    </rPh>
    <phoneticPr fontId="1"/>
  </si>
  <si>
    <t>店舗名_1行目</t>
    <rPh sb="0" eb="3">
      <t>テンポメイ</t>
    </rPh>
    <rPh sb="5" eb="7">
      <t>ギョウメ</t>
    </rPh>
    <phoneticPr fontId="1"/>
  </si>
  <si>
    <t>内容_1行目</t>
    <rPh sb="0" eb="2">
      <t>ナイヨウ</t>
    </rPh>
    <rPh sb="4" eb="6">
      <t>ギョウメ</t>
    </rPh>
    <phoneticPr fontId="1"/>
  </si>
  <si>
    <t>仕入先CD_1行目</t>
    <rPh sb="0" eb="3">
      <t>シイレサキ</t>
    </rPh>
    <rPh sb="7" eb="9">
      <t>ギョウメ</t>
    </rPh>
    <phoneticPr fontId="1"/>
  </si>
  <si>
    <t>業者名_1行目</t>
    <rPh sb="0" eb="3">
      <t>ギョウシャメイ</t>
    </rPh>
    <rPh sb="5" eb="7">
      <t>ギョウメ</t>
    </rPh>
    <phoneticPr fontId="1"/>
  </si>
  <si>
    <t>施工費原価_1行目</t>
    <rPh sb="0" eb="3">
      <t>セコウヒ</t>
    </rPh>
    <rPh sb="3" eb="5">
      <t>ゲンカ</t>
    </rPh>
    <rPh sb="7" eb="9">
      <t>ギョウメ</t>
    </rPh>
    <phoneticPr fontId="1"/>
  </si>
  <si>
    <t>施工費売価_1行目</t>
    <rPh sb="0" eb="3">
      <t>セコウヒ</t>
    </rPh>
    <rPh sb="3" eb="5">
      <t>バイカ</t>
    </rPh>
    <rPh sb="7" eb="9">
      <t>ギョウメ</t>
    </rPh>
    <phoneticPr fontId="1"/>
  </si>
  <si>
    <t>原価率_1行目</t>
    <rPh sb="0" eb="3">
      <t>ゲンカリツ</t>
    </rPh>
    <rPh sb="5" eb="7">
      <t>ギョウメ</t>
    </rPh>
    <phoneticPr fontId="1"/>
  </si>
  <si>
    <t>チームCD</t>
    <phoneticPr fontId="1"/>
  </si>
  <si>
    <t>売仕区分</t>
    <rPh sb="0" eb="4">
      <t>バイシクブン</t>
    </rPh>
    <phoneticPr fontId="1"/>
  </si>
  <si>
    <t>見積NO</t>
    <rPh sb="0" eb="2">
      <t>ミツモリ</t>
    </rPh>
    <phoneticPr fontId="1"/>
  </si>
  <si>
    <t>得意先CD</t>
    <rPh sb="0" eb="3">
      <t>トクイサキ</t>
    </rPh>
    <phoneticPr fontId="1"/>
  </si>
  <si>
    <t>店舗</t>
    <rPh sb="0" eb="2">
      <t>テンポ</t>
    </rPh>
    <phoneticPr fontId="1"/>
  </si>
  <si>
    <t>コード</t>
    <phoneticPr fontId="1"/>
  </si>
  <si>
    <t>店舗名</t>
    <rPh sb="0" eb="3">
      <t>テンポメイ</t>
    </rPh>
    <phoneticPr fontId="1"/>
  </si>
  <si>
    <t>内容</t>
    <rPh sb="0" eb="2">
      <t>ナイヨウ</t>
    </rPh>
    <phoneticPr fontId="1"/>
  </si>
  <si>
    <t>仕入先CD</t>
    <rPh sb="0" eb="3">
      <t>シイレサキ</t>
    </rPh>
    <phoneticPr fontId="1"/>
  </si>
  <si>
    <t>業者名</t>
    <rPh sb="0" eb="3">
      <t>ギョウシャメイ</t>
    </rPh>
    <phoneticPr fontId="1"/>
  </si>
  <si>
    <t>施工費原価</t>
    <rPh sb="0" eb="3">
      <t>セコウヒ</t>
    </rPh>
    <rPh sb="3" eb="5">
      <t>ゲンカ</t>
    </rPh>
    <phoneticPr fontId="1"/>
  </si>
  <si>
    <t>施工費売価</t>
    <rPh sb="0" eb="3">
      <t>セコウヒ</t>
    </rPh>
    <rPh sb="3" eb="5">
      <t>バイカ</t>
    </rPh>
    <phoneticPr fontId="1"/>
  </si>
  <si>
    <t>原価率</t>
    <rPh sb="0" eb="3">
      <t>ゲンカリツ</t>
    </rPh>
    <phoneticPr fontId="1"/>
  </si>
  <si>
    <t>全角</t>
    <rPh sb="0" eb="2">
      <t>ゼンカク</t>
    </rPh>
    <phoneticPr fontId="1"/>
  </si>
  <si>
    <t>半角</t>
    <rPh sb="0" eb="2">
      <t>ハンカク</t>
    </rPh>
    <phoneticPr fontId="1"/>
  </si>
  <si>
    <t>空欄</t>
    <rPh sb="0" eb="2">
      <t>クウラン</t>
    </rPh>
    <phoneticPr fontId="1"/>
  </si>
  <si>
    <t>[23.業者名],[24.施工費原価]</t>
    <rPh sb="4" eb="7">
      <t>ギョウシャメイ</t>
    </rPh>
    <rPh sb="13" eb="18">
      <t>セコウヒゲンカ</t>
    </rPh>
    <phoneticPr fontId="1"/>
  </si>
  <si>
    <t>[23.業者名],[25.施工費売価]</t>
    <rPh sb="4" eb="7">
      <t>ギョウシャメイ</t>
    </rPh>
    <rPh sb="13" eb="16">
      <t>セコウヒ</t>
    </rPh>
    <rPh sb="16" eb="18">
      <t>バイカ</t>
    </rPh>
    <phoneticPr fontId="1"/>
  </si>
  <si>
    <t>[11.施工費原価_1行目],[12.施工費売価_1行目]</t>
    <rPh sb="4" eb="7">
      <t>セコウヒ</t>
    </rPh>
    <rPh sb="7" eb="9">
      <t>ゲンカ</t>
    </rPh>
    <rPh sb="11" eb="13">
      <t>ギョウメ</t>
    </rPh>
    <rPh sb="19" eb="24">
      <t>セコウヒバイカ</t>
    </rPh>
    <rPh sb="26" eb="28">
      <t>ギョウメ</t>
    </rPh>
    <phoneticPr fontId="1"/>
  </si>
  <si>
    <t>[11.施工費原価_1行目]を[12.施工費売価_1行目]で割って100をかけた値</t>
    <rPh sb="4" eb="7">
      <t>セコウヒ</t>
    </rPh>
    <rPh sb="7" eb="9">
      <t>ゲンカ</t>
    </rPh>
    <rPh sb="11" eb="13">
      <t>ギョウメ</t>
    </rPh>
    <rPh sb="19" eb="22">
      <t>セコウヒ</t>
    </rPh>
    <rPh sb="22" eb="24">
      <t>バイカ</t>
    </rPh>
    <rPh sb="26" eb="28">
      <t>ギョウメ</t>
    </rPh>
    <rPh sb="30" eb="31">
      <t>ワ</t>
    </rPh>
    <rPh sb="40" eb="41">
      <t>アタイ</t>
    </rPh>
    <phoneticPr fontId="1"/>
  </si>
  <si>
    <t>[24.施工費原価],[25.施工費売価]</t>
    <rPh sb="4" eb="7">
      <t>セコウヒ</t>
    </rPh>
    <rPh sb="7" eb="9">
      <t>ゲンカ</t>
    </rPh>
    <rPh sb="15" eb="18">
      <t>セコウヒ</t>
    </rPh>
    <rPh sb="18" eb="20">
      <t>バイカ</t>
    </rPh>
    <phoneticPr fontId="1"/>
  </si>
  <si>
    <t>[24.施工費原価]を[25.施工費売価]で割って100をかけた値</t>
    <rPh sb="4" eb="9">
      <t>セコウヒゲンカ</t>
    </rPh>
    <rPh sb="15" eb="18">
      <t>セコウヒ</t>
    </rPh>
    <rPh sb="18" eb="20">
      <t>バイカ</t>
    </rPh>
    <rPh sb="22" eb="23">
      <t>ワ</t>
    </rPh>
    <rPh sb="32" eb="33">
      <t>アタイ</t>
    </rPh>
    <phoneticPr fontId="1"/>
  </si>
  <si>
    <t>[23.業者名]が空欄でない[24.施工費原価]の合計</t>
    <rPh sb="4" eb="7">
      <t>ギョウシャメイ</t>
    </rPh>
    <rPh sb="9" eb="11">
      <t>クウラン</t>
    </rPh>
    <rPh sb="18" eb="23">
      <t>セコウヒゲンカ</t>
    </rPh>
    <rPh sb="25" eb="27">
      <t>ゴウケイ</t>
    </rPh>
    <phoneticPr fontId="1"/>
  </si>
  <si>
    <t>[23.業者名]が空欄の[24.施工費売価]の合計</t>
    <rPh sb="4" eb="7">
      <t>ギョウシャメイ</t>
    </rPh>
    <rPh sb="9" eb="11">
      <t>クウラン</t>
    </rPh>
    <rPh sb="16" eb="21">
      <t>セコウヒバイカ</t>
    </rPh>
    <rPh sb="23" eb="25">
      <t>ゴウケイ</t>
    </rPh>
    <phoneticPr fontId="1"/>
  </si>
  <si>
    <t>from</t>
    <phoneticPr fontId="2"/>
  </si>
  <si>
    <t>where</t>
    <phoneticPr fontId="2"/>
  </si>
  <si>
    <r>
      <t>1.</t>
    </r>
    <r>
      <rPr>
        <b/>
        <sz val="9"/>
        <color rgb="FFFF0000"/>
        <rFont val="Meiryo UI"/>
        <family val="3"/>
        <charset val="128"/>
      </rPr>
      <t>タイトルを記載</t>
    </r>
    <rPh sb="7" eb="9">
      <t>キサイ</t>
    </rPh>
    <phoneticPr fontId="2"/>
  </si>
  <si>
    <t>from</t>
  </si>
  <si>
    <t>使用するテーブル名を記載</t>
    <rPh sb="0" eb="2">
      <t>シヨウ</t>
    </rPh>
    <rPh sb="8" eb="9">
      <t>メイ</t>
    </rPh>
    <rPh sb="10" eb="12">
      <t>キサイ</t>
    </rPh>
    <phoneticPr fontId="2"/>
  </si>
  <si>
    <t>TD売上請求H</t>
  </si>
  <si>
    <t>TD見積</t>
    <rPh sb="2" eb="4">
      <t>ミツモリ</t>
    </rPh>
    <phoneticPr fontId="2"/>
  </si>
  <si>
    <t>TM納入先</t>
    <rPh sb="2" eb="5">
      <t>ノウニュウサキ</t>
    </rPh>
    <phoneticPr fontId="2"/>
  </si>
  <si>
    <t>join</t>
  </si>
  <si>
    <t>結合方式</t>
    <rPh sb="0" eb="2">
      <t>ケツゴウ</t>
    </rPh>
    <rPh sb="2" eb="4">
      <t>ホウシキ</t>
    </rPh>
    <phoneticPr fontId="2"/>
  </si>
  <si>
    <t>結合テーブル名</t>
  </si>
  <si>
    <t>結合条件</t>
    <rPh sb="0" eb="2">
      <t>ケツゴウ</t>
    </rPh>
    <rPh sb="2" eb="4">
      <t>ジョウケン</t>
    </rPh>
    <phoneticPr fontId="2"/>
  </si>
  <si>
    <t>and</t>
  </si>
  <si>
    <t>or</t>
  </si>
  <si>
    <t>INNER JOIN</t>
  </si>
  <si>
    <t>TM納入先</t>
  </si>
  <si>
    <t>[TD見積.納入得意先CD] = [TM納入先.得意先CD]</t>
    <rPh sb="6" eb="8">
      <t>ノウニュウ</t>
    </rPh>
    <rPh sb="8" eb="11">
      <t>トクイサキ</t>
    </rPh>
    <rPh sb="20" eb="23">
      <t>ノウニュウサキ</t>
    </rPh>
    <rPh sb="24" eb="27">
      <t>トクイサキ</t>
    </rPh>
    <phoneticPr fontId="2"/>
  </si>
  <si>
    <t>[TD見積.納入先CD] = [TM納入先.納入先CD]</t>
    <rPh sb="3" eb="5">
      <t>ミツモリ</t>
    </rPh>
    <rPh sb="6" eb="9">
      <t>ノウニュウサキ</t>
    </rPh>
    <rPh sb="18" eb="21">
      <t>ノウニュウサキ</t>
    </rPh>
    <rPh sb="22" eb="25">
      <t>ノウニュウサキ</t>
    </rPh>
    <phoneticPr fontId="2"/>
  </si>
  <si>
    <t>where</t>
  </si>
  <si>
    <t>取得条件</t>
  </si>
  <si>
    <t>パラメータの意味が分かる場合は記載する</t>
    <rPh sb="5" eb="7">
      <t>イミ</t>
    </rPh>
    <rPh sb="8" eb="9">
      <t>ワ</t>
    </rPh>
    <rPh sb="11" eb="13">
      <t>バアイ</t>
    </rPh>
    <rPh sb="14" eb="16">
      <t>キサイ</t>
    </rPh>
    <phoneticPr fontId="2"/>
  </si>
  <si>
    <t>取得条件</t>
    <rPh sb="0" eb="2">
      <t>シュトク</t>
    </rPh>
    <rPh sb="2" eb="4">
      <t>ジョウケン</t>
    </rPh>
    <phoneticPr fontId="2"/>
  </si>
  <si>
    <t>※可能な限り日本語化する</t>
    <rPh sb="1" eb="3">
      <t>カノウ</t>
    </rPh>
    <rPh sb="4" eb="5">
      <t>カギ</t>
    </rPh>
    <rPh sb="6" eb="10">
      <t>ニホンゴカ</t>
    </rPh>
    <phoneticPr fontId="2"/>
  </si>
  <si>
    <t>[TD見積.得意先CD] = '8001'</t>
  </si>
  <si>
    <t>8001'はヤオコーの得意先CD</t>
    <rPh sb="11" eb="14">
      <t>トクイサキ</t>
    </rPh>
    <phoneticPr fontId="2"/>
  </si>
  <si>
    <t>[TD売上請求H.請求日付]が[画面.請求期間From]以降</t>
    <rPh sb="28" eb="30">
      <t>イコウ</t>
    </rPh>
    <phoneticPr fontId="2"/>
  </si>
  <si>
    <t>order by</t>
  </si>
  <si>
    <t>ソート条件を記載</t>
    <rPh sb="3" eb="5">
      <t>ジョウケン</t>
    </rPh>
    <rPh sb="6" eb="8">
      <t>キサイ</t>
    </rPh>
    <phoneticPr fontId="2"/>
  </si>
  <si>
    <t>[画面.iYK物件区分]が1の場合は[TD見積.納入得意先CD],[TD見積.納入先CD],[TD売上請求H.見積番号]を昇順でソート</t>
    <rPh sb="1" eb="3">
      <t>ガメン</t>
    </rPh>
    <rPh sb="7" eb="9">
      <t>ブッケン</t>
    </rPh>
    <rPh sb="9" eb="11">
      <t>クブン</t>
    </rPh>
    <rPh sb="15" eb="17">
      <t>バアイ</t>
    </rPh>
    <rPh sb="21" eb="23">
      <t>ミツモリ</t>
    </rPh>
    <rPh sb="24" eb="26">
      <t>ノウニュウ</t>
    </rPh>
    <rPh sb="26" eb="29">
      <t>トクイサキ</t>
    </rPh>
    <rPh sb="61" eb="63">
      <t>ショウジュン</t>
    </rPh>
    <phoneticPr fontId="2"/>
  </si>
  <si>
    <t>group byなどほかの条件がある場合は行を追加して記載</t>
    <rPh sb="13" eb="15">
      <t>ジョウケン</t>
    </rPh>
    <rPh sb="18" eb="20">
      <t>バアイ</t>
    </rPh>
    <rPh sb="21" eb="22">
      <t>ギョウ</t>
    </rPh>
    <rPh sb="23" eb="25">
      <t>ツイカ</t>
    </rPh>
    <rPh sb="27" eb="29">
      <t>キサイ</t>
    </rPh>
    <phoneticPr fontId="2"/>
  </si>
  <si>
    <t>select</t>
    <phoneticPr fontId="2"/>
  </si>
  <si>
    <t>格納テーブル</t>
    <rPh sb="0" eb="2">
      <t>カクノウ</t>
    </rPh>
    <phoneticPr fontId="2"/>
  </si>
  <si>
    <t>仕入先CD</t>
    <rPh sb="0" eb="2">
      <t>シイレ</t>
    </rPh>
    <rPh sb="2" eb="3">
      <t>サキ</t>
    </rPh>
    <phoneticPr fontId="2"/>
  </si>
  <si>
    <t>VM支払予定情報.仕入先CD</t>
    <rPh sb="2" eb="4">
      <t>シハライ</t>
    </rPh>
    <rPh sb="4" eb="6">
      <t>ヨテイ</t>
    </rPh>
    <rPh sb="6" eb="8">
      <t>ジョウホウ</t>
    </rPh>
    <rPh sb="9" eb="11">
      <t>シイレ</t>
    </rPh>
    <rPh sb="11" eb="12">
      <t>サキ</t>
    </rPh>
    <phoneticPr fontId="2"/>
  </si>
  <si>
    <t>仕入先名1</t>
    <rPh sb="0" eb="2">
      <t>シイレ</t>
    </rPh>
    <rPh sb="2" eb="3">
      <t>サキ</t>
    </rPh>
    <rPh sb="3" eb="4">
      <t>メイ</t>
    </rPh>
    <phoneticPr fontId="2"/>
  </si>
  <si>
    <t>VM支払予定情報.仕入先名1</t>
    <rPh sb="2" eb="4">
      <t>シハライ</t>
    </rPh>
    <rPh sb="4" eb="6">
      <t>ヨテイ</t>
    </rPh>
    <rPh sb="6" eb="8">
      <t>ジョウホウ</t>
    </rPh>
    <rPh sb="9" eb="11">
      <t>シイレ</t>
    </rPh>
    <rPh sb="11" eb="12">
      <t>サキ</t>
    </rPh>
    <rPh sb="12" eb="13">
      <t>メイ</t>
    </rPh>
    <phoneticPr fontId="2"/>
  </si>
  <si>
    <t>select</t>
  </si>
  <si>
    <t>select</t>
    <phoneticPr fontId="2"/>
  </si>
  <si>
    <t>join</t>
    <phoneticPr fontId="2"/>
  </si>
  <si>
    <t>join</t>
    <phoneticPr fontId="2"/>
  </si>
  <si>
    <t>where</t>
    <phoneticPr fontId="2"/>
  </si>
  <si>
    <t>SQL1</t>
    <phoneticPr fontId="2"/>
  </si>
  <si>
    <t>チームCD</t>
    <phoneticPr fontId="2"/>
  </si>
  <si>
    <t>TM得意先..チームCD</t>
    <rPh sb="2" eb="5">
      <t>トクイサキ</t>
    </rPh>
    <phoneticPr fontId="2"/>
  </si>
  <si>
    <t>見積番号</t>
  </si>
  <si>
    <t>見積番号</t>
    <rPh sb="0" eb="4">
      <t>ミツモリバンゴウ</t>
    </rPh>
    <phoneticPr fontId="2"/>
  </si>
  <si>
    <t>TD売上v2.見積番号</t>
    <rPh sb="2" eb="4">
      <t>ウリアゲ</t>
    </rPh>
    <rPh sb="7" eb="11">
      <t>ミツモリバンゴウ</t>
    </rPh>
    <phoneticPr fontId="2"/>
  </si>
  <si>
    <t>得意先CD</t>
    <rPh sb="0" eb="3">
      <t>トクイサキ</t>
    </rPh>
    <phoneticPr fontId="2"/>
  </si>
  <si>
    <t>TD見積.得意先CD</t>
    <rPh sb="2" eb="4">
      <t>ミツモリ</t>
    </rPh>
    <rPh sb="5" eb="8">
      <t>トクイサキ</t>
    </rPh>
    <phoneticPr fontId="2"/>
  </si>
  <si>
    <t>納入得意先CD</t>
    <rPh sb="0" eb="5">
      <t>ノウニュウトクイサキ</t>
    </rPh>
    <phoneticPr fontId="2"/>
  </si>
  <si>
    <t>TD見積.納入得意先CD</t>
    <rPh sb="2" eb="4">
      <t>ミツモリ</t>
    </rPh>
    <rPh sb="5" eb="10">
      <t>ノウニュウトクイサキ</t>
    </rPh>
    <phoneticPr fontId="2"/>
  </si>
  <si>
    <t>納入先CD</t>
    <rPh sb="0" eb="3">
      <t>ノウニュウサキ</t>
    </rPh>
    <phoneticPr fontId="2"/>
  </si>
  <si>
    <t>TD見積.納入先CD</t>
    <rPh sb="2" eb="4">
      <t>ミツモリ</t>
    </rPh>
    <rPh sb="5" eb="8">
      <t>ノウニュウサキ</t>
    </rPh>
    <phoneticPr fontId="2"/>
  </si>
  <si>
    <t>仕入先CD</t>
    <rPh sb="0" eb="3">
      <t>シイレサキ</t>
    </rPh>
    <phoneticPr fontId="2"/>
  </si>
  <si>
    <t>税抜金額</t>
    <rPh sb="0" eb="4">
      <t>ゼイヌキキンガク</t>
    </rPh>
    <phoneticPr fontId="2"/>
  </si>
  <si>
    <t>仕入先CD = 'ZZZZZ'</t>
    <phoneticPr fontId="2"/>
  </si>
  <si>
    <t>TD売上v2</t>
    <rPh sb="2" eb="4">
      <t>ウリアゲ</t>
    </rPh>
    <phoneticPr fontId="2"/>
  </si>
  <si>
    <t>TD売上明細v2</t>
    <rPh sb="2" eb="4">
      <t>ウリアゲ</t>
    </rPh>
    <rPh sb="4" eb="6">
      <t>メイサイ</t>
    </rPh>
    <phoneticPr fontId="2"/>
  </si>
  <si>
    <t>TD見積シートM</t>
    <rPh sb="2" eb="4">
      <t>ミツモリ</t>
    </rPh>
    <phoneticPr fontId="2"/>
  </si>
  <si>
    <t>TD見積</t>
    <rPh sb="2" eb="4">
      <t>ミツモリ</t>
    </rPh>
    <phoneticPr fontId="2"/>
  </si>
  <si>
    <t>TM得意先</t>
    <rPh sb="2" eb="5">
      <t>トクイサキ</t>
    </rPh>
    <phoneticPr fontId="2"/>
  </si>
  <si>
    <t>TM得意先</t>
    <phoneticPr fontId="2"/>
  </si>
  <si>
    <t>SQL2</t>
    <phoneticPr fontId="2"/>
  </si>
  <si>
    <t>INNER</t>
    <phoneticPr fontId="2"/>
  </si>
  <si>
    <t>[TD売上v2.売上番号]=[TD売上明細v2.売上番号]</t>
    <rPh sb="3" eb="5">
      <t>ウリアゲ</t>
    </rPh>
    <rPh sb="8" eb="10">
      <t>ウリアゲ</t>
    </rPh>
    <rPh sb="10" eb="12">
      <t>バンゴウ</t>
    </rPh>
    <rPh sb="17" eb="19">
      <t>ウリアゲ</t>
    </rPh>
    <rPh sb="19" eb="21">
      <t>メイサイ</t>
    </rPh>
    <rPh sb="24" eb="26">
      <t>ウリアゲ</t>
    </rPh>
    <rPh sb="26" eb="28">
      <t>バンゴウ</t>
    </rPh>
    <phoneticPr fontId="2"/>
  </si>
  <si>
    <t>LEFT</t>
    <phoneticPr fontId="2"/>
  </si>
  <si>
    <t>[TD売上明細v2.見積明細連番]=[TD見積シートM.見積明細連番]</t>
    <rPh sb="3" eb="5">
      <t>ウリアゲ</t>
    </rPh>
    <rPh sb="5" eb="7">
      <t>メイサイ</t>
    </rPh>
    <rPh sb="10" eb="16">
      <t>ミツモリメイサイレンバン</t>
    </rPh>
    <rPh sb="21" eb="23">
      <t>ミツモリ</t>
    </rPh>
    <rPh sb="28" eb="34">
      <t>ミツモリメイサイレンバン</t>
    </rPh>
    <phoneticPr fontId="2"/>
  </si>
  <si>
    <t>INNER</t>
    <phoneticPr fontId="2"/>
  </si>
  <si>
    <t>[TD売上v2.見積番号]=[TD見積.見積番号]</t>
    <rPh sb="3" eb="5">
      <t>ウリアゲ</t>
    </rPh>
    <rPh sb="8" eb="12">
      <t>ミツモリバンゴウ</t>
    </rPh>
    <rPh sb="17" eb="19">
      <t>ミツモリ</t>
    </rPh>
    <rPh sb="20" eb="24">
      <t>ミツモリバンゴウ</t>
    </rPh>
    <phoneticPr fontId="2"/>
  </si>
  <si>
    <t>INNER</t>
    <phoneticPr fontId="2"/>
  </si>
  <si>
    <t>[TD見積.販売先得意先CD]=[TM得意先.得意先CD]</t>
    <rPh sb="3" eb="5">
      <t>ミツモリ</t>
    </rPh>
    <rPh sb="6" eb="12">
      <t>ハンバイサキトクイサキ</t>
    </rPh>
    <rPh sb="19" eb="22">
      <t>トクイサキ</t>
    </rPh>
    <rPh sb="23" eb="26">
      <t>トクイサキ</t>
    </rPh>
    <phoneticPr fontId="2"/>
  </si>
  <si>
    <t>AND</t>
  </si>
  <si>
    <t>AND</t>
    <phoneticPr fontId="2"/>
  </si>
  <si>
    <t>group by</t>
    <phoneticPr fontId="2"/>
  </si>
  <si>
    <t>[TD見積.物件種別]が2でない</t>
    <rPh sb="3" eb="5">
      <t>ミツモリ</t>
    </rPh>
    <rPh sb="6" eb="10">
      <t>ブッケンシュベツ</t>
    </rPh>
    <phoneticPr fontId="2"/>
  </si>
  <si>
    <t>[TD見積シートM.作業区分CD]が1</t>
    <rPh sb="3" eb="5">
      <t>ミツモリ</t>
    </rPh>
    <rPh sb="10" eb="14">
      <t>サギョウクブン</t>
    </rPh>
    <phoneticPr fontId="2"/>
  </si>
  <si>
    <t>AND</t>
    <phoneticPr fontId="2"/>
  </si>
  <si>
    <t>[TD売上明細v2.伝票区分]に"A","C","S"が含まれない</t>
    <rPh sb="3" eb="5">
      <t>ウリアゲ</t>
    </rPh>
    <rPh sb="5" eb="7">
      <t>メイサイ</t>
    </rPh>
    <rPh sb="10" eb="14">
      <t>デンピョウクブン</t>
    </rPh>
    <rPh sb="28" eb="29">
      <t>フク</t>
    </rPh>
    <phoneticPr fontId="2"/>
  </si>
  <si>
    <t>[TD見積.得意先CD]&gt;=[画面.S得意先CD](NULLの場合はTD見積.得意先CD)</t>
    <rPh sb="3" eb="5">
      <t>ミツモリ</t>
    </rPh>
    <rPh sb="6" eb="9">
      <t>トクイサキ</t>
    </rPh>
    <rPh sb="15" eb="17">
      <t>ガメン</t>
    </rPh>
    <rPh sb="19" eb="22">
      <t>トクイサキ</t>
    </rPh>
    <rPh sb="31" eb="33">
      <t>バアイ</t>
    </rPh>
    <rPh sb="36" eb="38">
      <t>ミツモリ</t>
    </rPh>
    <rPh sb="39" eb="42">
      <t>トクイサキ</t>
    </rPh>
    <phoneticPr fontId="2"/>
  </si>
  <si>
    <t>[TD見積.得意先CD]&lt;=[画面.E得意先CD](NULLの場合はTD見積.得意先CD)</t>
    <phoneticPr fontId="2"/>
  </si>
  <si>
    <t>チームCD</t>
    <phoneticPr fontId="2"/>
  </si>
  <si>
    <t>売仕区分</t>
    <rPh sb="0" eb="4">
      <t>バイシクブン</t>
    </rPh>
    <phoneticPr fontId="2"/>
  </si>
  <si>
    <t>仕入金額</t>
    <rPh sb="0" eb="4">
      <t>シイレキンガク</t>
    </rPh>
    <phoneticPr fontId="2"/>
  </si>
  <si>
    <t>TM得意先.チームCD</t>
    <rPh sb="2" eb="5">
      <t>トクイサキ</t>
    </rPh>
    <phoneticPr fontId="2"/>
  </si>
  <si>
    <t>売仕区分=1</t>
    <rPh sb="0" eb="4">
      <t>バイシクブン</t>
    </rPh>
    <phoneticPr fontId="2"/>
  </si>
  <si>
    <t>TD仕入.見積番号</t>
    <rPh sb="2" eb="4">
      <t>シイレ</t>
    </rPh>
    <rPh sb="5" eb="9">
      <t>ミツモリバンゴウ</t>
    </rPh>
    <phoneticPr fontId="2"/>
  </si>
  <si>
    <t>税抜金額=0</t>
    <rPh sb="0" eb="2">
      <t>ゼイヌキ</t>
    </rPh>
    <rPh sb="2" eb="4">
      <t>キンガク</t>
    </rPh>
    <phoneticPr fontId="2"/>
  </si>
  <si>
    <t>TD仕入明細</t>
    <rPh sb="2" eb="6">
      <t>シイレメイサイ</t>
    </rPh>
    <phoneticPr fontId="2"/>
  </si>
  <si>
    <t>TD仕入</t>
    <rPh sb="2" eb="4">
      <t>シイレ</t>
    </rPh>
    <phoneticPr fontId="2"/>
  </si>
  <si>
    <t>from</t>
    <phoneticPr fontId="2"/>
  </si>
  <si>
    <t>仕入金額</t>
    <phoneticPr fontId="2"/>
  </si>
  <si>
    <t>from</t>
    <phoneticPr fontId="2"/>
  </si>
  <si>
    <t>TD仕入明細内訳</t>
    <rPh sb="2" eb="8">
      <t>シイレメイサイウチワケ</t>
    </rPh>
    <phoneticPr fontId="2"/>
  </si>
  <si>
    <t>INNER</t>
    <phoneticPr fontId="2"/>
  </si>
  <si>
    <t>LEFT</t>
    <phoneticPr fontId="2"/>
  </si>
  <si>
    <t>[TD仕入.仕入番号]=[TD仕入明細.仕入番号]</t>
    <rPh sb="3" eb="5">
      <t>シイレ</t>
    </rPh>
    <rPh sb="6" eb="10">
      <t>シイレバンゴウ</t>
    </rPh>
    <rPh sb="15" eb="19">
      <t>シイレメイサイ</t>
    </rPh>
    <rPh sb="20" eb="24">
      <t>シイレバンゴウ</t>
    </rPh>
    <phoneticPr fontId="2"/>
  </si>
  <si>
    <t>TD仕入明細内訳</t>
    <rPh sb="2" eb="6">
      <t>シイレメイサイ</t>
    </rPh>
    <rPh sb="6" eb="8">
      <t>ウチワケ</t>
    </rPh>
    <phoneticPr fontId="2"/>
  </si>
  <si>
    <t>[TD仕入明細.仕入番号]=[TD仕入明細内訳.仕入番号]</t>
    <rPh sb="3" eb="7">
      <t>シイレメイサイ</t>
    </rPh>
    <rPh sb="8" eb="12">
      <t>シイレバンゴウ</t>
    </rPh>
    <rPh sb="17" eb="21">
      <t>シイレメイサイ</t>
    </rPh>
    <rPh sb="21" eb="23">
      <t>ウチワケ</t>
    </rPh>
    <rPh sb="24" eb="28">
      <t>シイレバンゴウ</t>
    </rPh>
    <phoneticPr fontId="2"/>
  </si>
  <si>
    <t>[TD仕入.見積番号]=[TD見積.見積番号]</t>
    <rPh sb="3" eb="5">
      <t>シイレ</t>
    </rPh>
    <rPh sb="6" eb="10">
      <t>ミツモリバンゴウ</t>
    </rPh>
    <rPh sb="15" eb="17">
      <t>ミツモリ</t>
    </rPh>
    <rPh sb="18" eb="20">
      <t>ミツモリ</t>
    </rPh>
    <rPh sb="20" eb="22">
      <t>バンゴウ</t>
    </rPh>
    <phoneticPr fontId="2"/>
  </si>
  <si>
    <t>[TD仕入明細内訳.見積明細連番]=[TD見積シートM.見積明細連番]</t>
    <rPh sb="3" eb="7">
      <t>シイレメイサイ</t>
    </rPh>
    <rPh sb="7" eb="9">
      <t>ウチワケ</t>
    </rPh>
    <rPh sb="10" eb="16">
      <t>ミツモリメイサイレンバン</t>
    </rPh>
    <rPh sb="21" eb="23">
      <t>ミツモリ</t>
    </rPh>
    <rPh sb="28" eb="34">
      <t>ミツモリメイサイレンバン</t>
    </rPh>
    <phoneticPr fontId="2"/>
  </si>
  <si>
    <t>[TD仕入.販売先得意先CD]=[TM得意先.得意先CD]</t>
    <rPh sb="3" eb="5">
      <t>シイレ</t>
    </rPh>
    <rPh sb="6" eb="12">
      <t>ハンバイサキトクイサキ</t>
    </rPh>
    <rPh sb="19" eb="22">
      <t>トクイサキ</t>
    </rPh>
    <rPh sb="23" eb="26">
      <t>トクイサキ</t>
    </rPh>
    <phoneticPr fontId="2"/>
  </si>
  <si>
    <t>where</t>
    <phoneticPr fontId="2"/>
  </si>
  <si>
    <t>[TD見積.社内伝票扱い]が0</t>
    <rPh sb="3" eb="5">
      <t>ミツモリ</t>
    </rPh>
    <rPh sb="6" eb="10">
      <t>シャナイデンピョウ</t>
    </rPh>
    <rPh sb="10" eb="11">
      <t>アツカ</t>
    </rPh>
    <phoneticPr fontId="2"/>
  </si>
  <si>
    <t>[TD仕入明細内訳.伝票区分]に"A","C","S"が含まれない</t>
    <rPh sb="3" eb="7">
      <t>シイレメイサイ</t>
    </rPh>
    <rPh sb="7" eb="9">
      <t>ウチワケ</t>
    </rPh>
    <rPh sb="10" eb="14">
      <t>デンピョウクブン</t>
    </rPh>
    <rPh sb="28" eb="29">
      <t>フク</t>
    </rPh>
    <phoneticPr fontId="2"/>
  </si>
  <si>
    <t>[TD見積.得意先CD]&gt;=[画面.S得意先CD](NULLの場合はTD見積.見積番号)</t>
    <rPh sb="3" eb="5">
      <t>ミツモリ</t>
    </rPh>
    <rPh sb="6" eb="9">
      <t>トクイサキ</t>
    </rPh>
    <rPh sb="15" eb="17">
      <t>ガメン</t>
    </rPh>
    <rPh sb="19" eb="22">
      <t>トクイサキ</t>
    </rPh>
    <rPh sb="31" eb="33">
      <t>バアイ</t>
    </rPh>
    <rPh sb="36" eb="38">
      <t>ミツモリ</t>
    </rPh>
    <rPh sb="39" eb="43">
      <t>ミツモリバンゴウ</t>
    </rPh>
    <phoneticPr fontId="2"/>
  </si>
  <si>
    <t>[TD見積.得意先CD]&lt;=[画面.E得意先CD](NULLの場合はTD見積.見積番号)</t>
    <phoneticPr fontId="2"/>
  </si>
  <si>
    <t>group by</t>
    <phoneticPr fontId="2"/>
  </si>
  <si>
    <t>売仕区分=2</t>
    <rPh sb="0" eb="4">
      <t>バイシクブン</t>
    </rPh>
    <phoneticPr fontId="2"/>
  </si>
  <si>
    <t>チームCD</t>
    <phoneticPr fontId="2"/>
  </si>
  <si>
    <t>insert</t>
    <phoneticPr fontId="2"/>
  </si>
  <si>
    <t>from</t>
    <phoneticPr fontId="2"/>
  </si>
  <si>
    <t>SQL5</t>
    <phoneticPr fontId="2"/>
  </si>
  <si>
    <t>営業分の売上を抽出</t>
    <phoneticPr fontId="2"/>
  </si>
  <si>
    <t>施工原価詳細情報</t>
    <rPh sb="4" eb="8">
      <t>ショウサイジョウホウ</t>
    </rPh>
    <phoneticPr fontId="2"/>
  </si>
  <si>
    <t>仕入金額情報</t>
    <phoneticPr fontId="2"/>
  </si>
  <si>
    <t>select</t>
    <phoneticPr fontId="2"/>
  </si>
  <si>
    <t>TD仕入明細内訳.仕入先CD</t>
    <rPh sb="2" eb="8">
      <t>シイレメイサイウチワケ</t>
    </rPh>
    <rPh sb="9" eb="12">
      <t>シイレサキ</t>
    </rPh>
    <phoneticPr fontId="2"/>
  </si>
  <si>
    <t>税抜金額=0</t>
    <rPh sb="0" eb="4">
      <t>ゼイヌキキンガク</t>
    </rPh>
    <phoneticPr fontId="2"/>
  </si>
  <si>
    <t>SUM(CASE WHEN SMU.仕入税区分 = 1 THEN (SMU.仕入金額-SMU.消費税額) ELSE SMU.仕入金額 END)</t>
    <phoneticPr fontId="2"/>
  </si>
  <si>
    <t>join</t>
    <phoneticPr fontId="2"/>
  </si>
  <si>
    <t>TD仕入</t>
    <phoneticPr fontId="2"/>
  </si>
  <si>
    <t>[TD仕入明細.仕入番号]=[TD仕入明細内訳.仕入番号]</t>
    <rPh sb="3" eb="7">
      <t>シイレメイサイ</t>
    </rPh>
    <rPh sb="8" eb="12">
      <t>シイレバンゴウ</t>
    </rPh>
    <rPh sb="17" eb="23">
      <t>シイレメイサイウチワケ</t>
    </rPh>
    <rPh sb="24" eb="28">
      <t>シイレバンゴウ</t>
    </rPh>
    <phoneticPr fontId="2"/>
  </si>
  <si>
    <t>[TD仕入.見積番号]=[TD見積.見積番号]</t>
    <rPh sb="3" eb="5">
      <t>シイレ</t>
    </rPh>
    <rPh sb="6" eb="10">
      <t>ミツモリバンゴウ</t>
    </rPh>
    <rPh sb="15" eb="17">
      <t>ミツモリ</t>
    </rPh>
    <rPh sb="18" eb="22">
      <t>ミツモリバンゴウ</t>
    </rPh>
    <phoneticPr fontId="2"/>
  </si>
  <si>
    <t>[TD仕入明細内訳.見積明細連番]=[TD見積シートM.見積明細連番]</t>
    <rPh sb="3" eb="9">
      <t>シイレメイサイウチワケ</t>
    </rPh>
    <rPh sb="10" eb="16">
      <t>ミツモリメイサイレンバン</t>
    </rPh>
    <rPh sb="21" eb="23">
      <t>ミツモリ</t>
    </rPh>
    <rPh sb="28" eb="34">
      <t>ミツモリメイサイレンバン</t>
    </rPh>
    <phoneticPr fontId="2"/>
  </si>
  <si>
    <t>[TD仕入.販売先得意先CD]=[TM得意先.得意先CD]</t>
    <rPh sb="3" eb="5">
      <t>シイレ</t>
    </rPh>
    <rPh sb="6" eb="9">
      <t>ハンバイサキ</t>
    </rPh>
    <rPh sb="9" eb="12">
      <t>トクイサキ</t>
    </rPh>
    <rPh sb="19" eb="22">
      <t>トクイサキ</t>
    </rPh>
    <rPh sb="23" eb="26">
      <t>トクイサキ</t>
    </rPh>
    <phoneticPr fontId="2"/>
  </si>
  <si>
    <t>AND</t>
    <phoneticPr fontId="2"/>
  </si>
  <si>
    <t>[TD仕入明細内訳.伝票区分]に"A","C","S"が含まれない</t>
    <phoneticPr fontId="2"/>
  </si>
  <si>
    <t>[TD見積.得意先CD]&gt;=[画面.S得意先CD](NULLの場合はTD見積.見積番号)</t>
    <phoneticPr fontId="2"/>
  </si>
  <si>
    <t>[TD見積.得意先CD]&lt;=[画面.E得意先CD](NULLの場合はTD見積.見積番号)</t>
    <phoneticPr fontId="2"/>
  </si>
  <si>
    <t>[TM得意先.チームCD],[TD仕入.見積番号],[TD見積.得意先CD],[TD見積.納入得意先CD],[TD見積.納入先CD]でグループ化</t>
    <rPh sb="3" eb="6">
      <t>トクイサキ</t>
    </rPh>
    <rPh sb="17" eb="19">
      <t>シイレ</t>
    </rPh>
    <rPh sb="20" eb="24">
      <t>ミツモリバンゴウ</t>
    </rPh>
    <rPh sb="29" eb="31">
      <t>ミツモリ</t>
    </rPh>
    <rPh sb="32" eb="35">
      <t>トクイサキ</t>
    </rPh>
    <rPh sb="42" eb="44">
      <t>ミツモリ</t>
    </rPh>
    <rPh sb="45" eb="47">
      <t>ノウニュウ</t>
    </rPh>
    <rPh sb="47" eb="50">
      <t>トクイサキ</t>
    </rPh>
    <rPh sb="57" eb="59">
      <t>ミツモリ</t>
    </rPh>
    <rPh sb="60" eb="63">
      <t>ノウニュウサキ</t>
    </rPh>
    <rPh sb="71" eb="72">
      <t>カ</t>
    </rPh>
    <phoneticPr fontId="2"/>
  </si>
  <si>
    <t>[TM得意先.チームCD],[TD売上v2.見積番号],[TD見積.得意先CD],[TD見積.納入得意先CD],[TD見積.納入先CD]でグループ化</t>
    <rPh sb="73" eb="74">
      <t>カ</t>
    </rPh>
    <phoneticPr fontId="2"/>
  </si>
  <si>
    <t>[TM得意先.チームCD],[TD仕入.見積番号],[TD見積.得意先CD],[TD見積.納入得意先CD],[TD見積.納入先CD],[TD仕入明細内訳.仕入先CD]でグループ化</t>
    <rPh sb="70" eb="76">
      <t>シイレメイサイウチワケ</t>
    </rPh>
    <rPh sb="77" eb="80">
      <t>シイレサキ</t>
    </rPh>
    <phoneticPr fontId="2"/>
  </si>
  <si>
    <t>SQL6</t>
    <phoneticPr fontId="2"/>
  </si>
  <si>
    <t>集計値の抽出</t>
    <rPh sb="0" eb="2">
      <t>シュウケイ</t>
    </rPh>
    <rPh sb="2" eb="3">
      <t>アタイ</t>
    </rPh>
    <rPh sb="4" eb="6">
      <t>チュウシュツ</t>
    </rPh>
    <phoneticPr fontId="2"/>
  </si>
  <si>
    <t>SQL1.チームCD</t>
    <phoneticPr fontId="2"/>
  </si>
  <si>
    <t>SQL1.売仕区分</t>
    <rPh sb="5" eb="9">
      <t>バイシクブン</t>
    </rPh>
    <phoneticPr fontId="2"/>
  </si>
  <si>
    <t>SQL1.見積番号</t>
    <rPh sb="5" eb="9">
      <t>ミツモリバンゴウ</t>
    </rPh>
    <phoneticPr fontId="2"/>
  </si>
  <si>
    <t>SQL1.得意先CD</t>
    <rPh sb="5" eb="8">
      <t>トクイサキ</t>
    </rPh>
    <phoneticPr fontId="2"/>
  </si>
  <si>
    <t>SQL1.納入得意先CD</t>
    <rPh sb="5" eb="10">
      <t>ノウニュウトクイサキ</t>
    </rPh>
    <phoneticPr fontId="2"/>
  </si>
  <si>
    <t>SQL1.納入先CD</t>
    <rPh sb="5" eb="8">
      <t>ノウニュウサキ</t>
    </rPh>
    <phoneticPr fontId="2"/>
  </si>
  <si>
    <t>SQL1.税抜金額</t>
    <rPh sb="5" eb="9">
      <t>ゼイヌキキンガク</t>
    </rPh>
    <phoneticPr fontId="2"/>
  </si>
  <si>
    <t>SQL1.仕入金額</t>
    <phoneticPr fontId="2"/>
  </si>
  <si>
    <t>Count</t>
    <phoneticPr fontId="2"/>
  </si>
  <si>
    <t>TD見積.見積件名</t>
    <phoneticPr fontId="2"/>
  </si>
  <si>
    <t>TM納入先.表示用店舗名</t>
    <phoneticPr fontId="2"/>
  </si>
  <si>
    <t>TM仕入先.仕入先名1</t>
    <phoneticPr fontId="2"/>
  </si>
  <si>
    <t>仕入先名1</t>
    <rPh sb="0" eb="4">
      <t>シイレサキメイ</t>
    </rPh>
    <phoneticPr fontId="2"/>
  </si>
  <si>
    <t>見積件名</t>
    <rPh sb="0" eb="2">
      <t>ミツモリ</t>
    </rPh>
    <rPh sb="2" eb="4">
      <t>ケンメイ</t>
    </rPh>
    <phoneticPr fontId="2"/>
  </si>
  <si>
    <t>表示用店舗名</t>
    <rPh sb="0" eb="3">
      <t>ヒョウジヨウ</t>
    </rPh>
    <rPh sb="3" eb="6">
      <t>テンポメイ</t>
    </rPh>
    <phoneticPr fontId="2"/>
  </si>
  <si>
    <t>SQL1</t>
    <phoneticPr fontId="2"/>
  </si>
  <si>
    <t>TMチーム</t>
    <phoneticPr fontId="2"/>
  </si>
  <si>
    <t>TM担当者</t>
    <rPh sb="2" eb="5">
      <t>タントウシャ</t>
    </rPh>
    <phoneticPr fontId="2"/>
  </si>
  <si>
    <t>TM部署</t>
    <rPh sb="2" eb="4">
      <t>ブショ</t>
    </rPh>
    <phoneticPr fontId="2"/>
  </si>
  <si>
    <t>TM納入先</t>
    <rPh sb="2" eb="5">
      <t>ノウニュウサキ</t>
    </rPh>
    <phoneticPr fontId="2"/>
  </si>
  <si>
    <t>TM仕入先</t>
    <rPh sb="2" eb="5">
      <t>シイレサキ</t>
    </rPh>
    <phoneticPr fontId="2"/>
  </si>
  <si>
    <t>join</t>
    <phoneticPr fontId="2"/>
  </si>
  <si>
    <t>INNER</t>
    <phoneticPr fontId="2"/>
  </si>
  <si>
    <t>LEFT</t>
    <phoneticPr fontId="2"/>
  </si>
  <si>
    <t>[SQL1.チームCD]=[TMチーム.チームCD]</t>
    <phoneticPr fontId="2"/>
  </si>
  <si>
    <t>[TMチーム.代表担当者CD]=[TM担当者.担当者CD]</t>
    <phoneticPr fontId="2"/>
  </si>
  <si>
    <t>[TM担当者.部署CD]=[TM部署.部署CD]</t>
    <rPh sb="3" eb="6">
      <t>タントウシャ</t>
    </rPh>
    <rPh sb="7" eb="9">
      <t>ブショ</t>
    </rPh>
    <rPh sb="16" eb="18">
      <t>ブショ</t>
    </rPh>
    <rPh sb="19" eb="21">
      <t>ブショ</t>
    </rPh>
    <phoneticPr fontId="2"/>
  </si>
  <si>
    <t>[SQL1.見積番号]=[TD見積.見積番号]</t>
    <rPh sb="6" eb="10">
      <t>ミツモリバンゴウ</t>
    </rPh>
    <rPh sb="15" eb="17">
      <t>ミツモリ</t>
    </rPh>
    <rPh sb="18" eb="22">
      <t>ミツモリバンゴウ</t>
    </rPh>
    <phoneticPr fontId="2"/>
  </si>
  <si>
    <t>[SQL1.納入得意先CD]=[TM得意先.得意先CD]</t>
    <rPh sb="6" eb="11">
      <t>ノウニュウトクイサキ</t>
    </rPh>
    <rPh sb="18" eb="21">
      <t>トクイサキ</t>
    </rPh>
    <rPh sb="22" eb="25">
      <t>トクイサキ</t>
    </rPh>
    <phoneticPr fontId="2"/>
  </si>
  <si>
    <t>[SQL1.納入得意先CD]=[TM得意先CD]</t>
    <phoneticPr fontId="2"/>
  </si>
  <si>
    <t>AND</t>
    <phoneticPr fontId="2"/>
  </si>
  <si>
    <t>[SQL1.納入先CD]=[TM納入先CD]</t>
    <rPh sb="6" eb="9">
      <t>ノウニュウサキ</t>
    </rPh>
    <rPh sb="16" eb="19">
      <t>ノウニュウサキ</t>
    </rPh>
    <phoneticPr fontId="2"/>
  </si>
  <si>
    <t>[SQL1.仕入先CD]=[TM仕入先CD]</t>
    <rPh sb="6" eb="9">
      <t>シイレサキ</t>
    </rPh>
    <rPh sb="16" eb="19">
      <t>シイレサキ</t>
    </rPh>
    <phoneticPr fontId="2"/>
  </si>
  <si>
    <t>NOT(TMP.税抜金額=0 AND TMP.仕入金額=0)</t>
    <phoneticPr fontId="2"/>
  </si>
  <si>
    <t>order by</t>
    <phoneticPr fontId="2"/>
  </si>
  <si>
    <t>[SQL1.得意先CD],[SQL1.納入得意先CD],[SQL1.納入先CD],[SQL1.見積番号],[SQL1.売仕区分],[SQL1.仕入先CD]の昇順</t>
    <rPh sb="6" eb="9">
      <t>トクイサキ</t>
    </rPh>
    <rPh sb="19" eb="24">
      <t>ノウニュウトクイサキ</t>
    </rPh>
    <rPh sb="34" eb="37">
      <t>ノウニュウサキ</t>
    </rPh>
    <rPh sb="47" eb="51">
      <t>ミツモリバンゴウ</t>
    </rPh>
    <rPh sb="59" eb="63">
      <t>バイシクブン</t>
    </rPh>
    <rPh sb="71" eb="74">
      <t>シイレサキ</t>
    </rPh>
    <rPh sb="78" eb="80">
      <t>ショウジュン</t>
    </rPh>
    <phoneticPr fontId="2"/>
  </si>
  <si>
    <t>[SQL1.得意先CD]ごとの[SQL1.見積番号]の件数</t>
    <rPh sb="6" eb="9">
      <t>トクイサキ</t>
    </rPh>
    <rPh sb="21" eb="25">
      <t>ミツモリバンゴウ</t>
    </rPh>
    <rPh sb="27" eb="29">
      <t>ケンスウ</t>
    </rPh>
    <phoneticPr fontId="2"/>
  </si>
  <si>
    <t>Count = COUNT(TMP.見積番号) OVER (PARTITION BY TMP.得意先CD)</t>
    <phoneticPr fontId="2"/>
  </si>
  <si>
    <t>[TD仕入明細内訳.仕入税区分]が1の場合は[TD仕入明細内訳.仕入金額]-[TD仕入明細内訳.消費税額]の合計、そうでない場合は[TD仕入明細内訳.仕入金額]の合計</t>
    <rPh sb="3" eb="9">
      <t>シイレメイサイウチワケ</t>
    </rPh>
    <rPh sb="10" eb="15">
      <t>シイレゼイクブン</t>
    </rPh>
    <rPh sb="19" eb="21">
      <t>バアイ</t>
    </rPh>
    <rPh sb="25" eb="31">
      <t>シイレメイサイウチワケ</t>
    </rPh>
    <rPh sb="32" eb="36">
      <t>シイレキンガク</t>
    </rPh>
    <rPh sb="41" eb="47">
      <t>シイレメイサイウチワケ</t>
    </rPh>
    <rPh sb="48" eb="51">
      <t>ショウヒゼイ</t>
    </rPh>
    <rPh sb="51" eb="52">
      <t>ガク</t>
    </rPh>
    <rPh sb="54" eb="56">
      <t>ゴウケイ</t>
    </rPh>
    <rPh sb="62" eb="64">
      <t>バアイ</t>
    </rPh>
    <rPh sb="68" eb="74">
      <t>シイレメイサイウチワケ</t>
    </rPh>
    <rPh sb="75" eb="79">
      <t>シイレキンガク</t>
    </rPh>
    <rPh sb="81" eb="83">
      <t>ゴウケイ</t>
    </rPh>
    <phoneticPr fontId="2"/>
  </si>
  <si>
    <t>[TD仕入明細内訳.仕入税区分]が1の場合は[TD仕入明細内訳.仕入金額]-[TD仕入明細内訳.消費税額]の合計、そうでない場合は[TD仕入明細内訳.仕入金額]の合計</t>
    <phoneticPr fontId="2"/>
  </si>
  <si>
    <t>SUM(CASE WHEN UM.売上税区分 = 1 THEN (UM.売上金額-UM.消費税額) ELSE UM.売上金額 END)</t>
    <phoneticPr fontId="2"/>
  </si>
  <si>
    <t>[TD売上明細v2.売上税区分]が1の場合は[TD売上明細v2.売上金額]-[TD売上明細v2.消費税額]の合計、そうでない場合は[TD売上明細v2.売上金額]の合計</t>
    <rPh sb="3" eb="5">
      <t>ウリアゲ</t>
    </rPh>
    <rPh sb="5" eb="7">
      <t>メイサイ</t>
    </rPh>
    <rPh sb="10" eb="12">
      <t>ウリアゲ</t>
    </rPh>
    <rPh sb="12" eb="13">
      <t>ゼイ</t>
    </rPh>
    <rPh sb="13" eb="15">
      <t>クブン</t>
    </rPh>
    <rPh sb="19" eb="21">
      <t>バアイ</t>
    </rPh>
    <rPh sb="25" eb="29">
      <t>ウリアゲメイサイ</t>
    </rPh>
    <rPh sb="32" eb="36">
      <t>ウリアゲキンガク</t>
    </rPh>
    <rPh sb="41" eb="43">
      <t>ウリアゲ</t>
    </rPh>
    <rPh sb="43" eb="45">
      <t>メイサイ</t>
    </rPh>
    <rPh sb="48" eb="52">
      <t>ショウヒゼイガク</t>
    </rPh>
    <rPh sb="54" eb="56">
      <t>ゴウケイ</t>
    </rPh>
    <rPh sb="62" eb="64">
      <t>バアイ</t>
    </rPh>
    <rPh sb="68" eb="72">
      <t>ウリアゲメイサイ</t>
    </rPh>
    <rPh sb="75" eb="79">
      <t>ウリアゲキンガク</t>
    </rPh>
    <rPh sb="81" eb="83">
      <t>ゴウケイ</t>
    </rPh>
    <phoneticPr fontId="2"/>
  </si>
  <si>
    <t>一時テーブル</t>
    <rPh sb="0" eb="2">
      <t>イチジ</t>
    </rPh>
    <phoneticPr fontId="2"/>
  </si>
  <si>
    <t>WHEN MATCHED</t>
  </si>
  <si>
    <t>UPDATE</t>
  </si>
  <si>
    <t>WHEN NOT MATCHED</t>
  </si>
  <si>
    <t>INSERT</t>
  </si>
  <si>
    <t>VALUES</t>
  </si>
  <si>
    <t>SQL1.仕入先CD</t>
    <rPh sb="5" eb="8">
      <t>シイレサキ</t>
    </rPh>
    <phoneticPr fontId="2"/>
  </si>
  <si>
    <t>[SQL6.チームCD]</t>
    <phoneticPr fontId="1"/>
  </si>
  <si>
    <t>[SQL6.売仕区分]</t>
    <rPh sb="6" eb="10">
      <t>バイシクブン</t>
    </rPh>
    <phoneticPr fontId="1"/>
  </si>
  <si>
    <t>[SQL6.得意先CD]</t>
    <rPh sb="6" eb="9">
      <t>トクイサキ</t>
    </rPh>
    <phoneticPr fontId="1"/>
  </si>
  <si>
    <t>[SQL6..納入得意先CD]</t>
    <rPh sb="7" eb="12">
      <t>ノウニュウトクイサキ</t>
    </rPh>
    <phoneticPr fontId="1"/>
  </si>
  <si>
    <t>[SQL6.納入先CD]</t>
    <rPh sb="6" eb="9">
      <t>ノウニュウサキ</t>
    </rPh>
    <phoneticPr fontId="1"/>
  </si>
  <si>
    <t>[SQL6.表示用店舗名]</t>
    <rPh sb="5" eb="7">
      <t>メイサイ</t>
    </rPh>
    <rPh sb="10" eb="12">
      <t>ウリアゲゼイクブンバアイウリアゲメイサイウリアゲキンガクウリアゲメイサイショウヒゼイガクゴウケイバアイウリアゲメイサイウリアゲキンガクゴウケイ</t>
    </rPh>
    <phoneticPr fontId="1"/>
  </si>
  <si>
    <t>[SQL6.見積件名]</t>
    <rPh sb="6" eb="10">
      <t>ミツモリケンメイ</t>
    </rPh>
    <phoneticPr fontId="1"/>
  </si>
  <si>
    <t>[SQL6.仕入先CD]</t>
    <rPh sb="6" eb="9">
      <t>シイレサキ</t>
    </rPh>
    <phoneticPr fontId="1"/>
  </si>
  <si>
    <t>[SQL6.仕入先名1]</t>
    <rPh sb="6" eb="9">
      <t>シイレサキ</t>
    </rPh>
    <rPh sb="9" eb="10">
      <t>メイ</t>
    </rPh>
    <phoneticPr fontId="1"/>
  </si>
  <si>
    <t>[SQL6.仕入金額]</t>
    <rPh sb="6" eb="10">
      <t>シイレキンガク</t>
    </rPh>
    <phoneticPr fontId="1"/>
  </si>
  <si>
    <t>[SQL6.売仕区分],[SQL6.税抜金額]</t>
    <rPh sb="6" eb="10">
      <t>バイシクブン</t>
    </rPh>
    <rPh sb="18" eb="20">
      <t>ゼイヌキ</t>
    </rPh>
    <rPh sb="20" eb="22">
      <t>キンガク</t>
    </rPh>
    <phoneticPr fontId="1"/>
  </si>
  <si>
    <t>[SQL6.売仕区分]が2の場合は何も表示しない、2でない場合は[SQL6.税抜金額]</t>
    <rPh sb="6" eb="10">
      <t>バイシクブン</t>
    </rPh>
    <rPh sb="14" eb="16">
      <t>バアイ</t>
    </rPh>
    <rPh sb="17" eb="18">
      <t>ナニ</t>
    </rPh>
    <rPh sb="19" eb="21">
      <t>ヒョウジ</t>
    </rPh>
    <rPh sb="29" eb="31">
      <t>バアイ</t>
    </rPh>
    <rPh sb="38" eb="42">
      <t>ゼイヌキキンガク</t>
    </rPh>
    <phoneticPr fontId="1"/>
  </si>
  <si>
    <t>[SQL6.見積番号]</t>
    <rPh sb="6" eb="8">
      <t>ミツモリ</t>
    </rPh>
    <rPh sb="8" eb="10">
      <t>バンゴウ</t>
    </rPh>
    <phoneticPr fontId="1"/>
  </si>
  <si>
    <t>USING ON</t>
  </si>
  <si>
    <t>SQL4</t>
  </si>
  <si>
    <t>SQL4</t>
    <phoneticPr fontId="2"/>
  </si>
  <si>
    <t>SQL2</t>
    <phoneticPr fontId="2"/>
  </si>
  <si>
    <t>(</t>
    <phoneticPr fontId="2"/>
  </si>
  <si>
    <t>売仕区分</t>
    <rPh sb="0" eb="4">
      <t>バイシクブン</t>
    </rPh>
    <phoneticPr fontId="2"/>
  </si>
  <si>
    <t>売仕区分=0</t>
    <rPh sb="0" eb="4">
      <t>バイシクブン</t>
    </rPh>
    <phoneticPr fontId="2"/>
  </si>
  <si>
    <t>insert into</t>
    <phoneticPr fontId="2"/>
  </si>
  <si>
    <t xml:space="preserve">insert into </t>
    <phoneticPr fontId="2"/>
  </si>
  <si>
    <t>merge into</t>
    <phoneticPr fontId="2"/>
  </si>
  <si>
    <t>SQL3</t>
  </si>
  <si>
    <t>TD売上請求H.見積番号</t>
  </si>
  <si>
    <t>請求してあり終了している情報</t>
  </si>
  <si>
    <t>[TD売上請求H.請求日付]&gt;=[画面.S集計日付]</t>
  </si>
  <si>
    <t>[TD売上請求H.請求日付]&lt;=[画面.E集計日付]</t>
  </si>
  <si>
    <t>SQL5</t>
    <phoneticPr fontId="2"/>
  </si>
  <si>
    <t>SQL4</t>
    <phoneticPr fontId="2"/>
  </si>
  <si>
    <t>SQL3</t>
    <phoneticPr fontId="2"/>
  </si>
  <si>
    <t>SQL5</t>
    <phoneticPr fontId="2"/>
  </si>
  <si>
    <t>[TD売上v2.見積番号]=[SQL5.見積番号]</t>
    <rPh sb="3" eb="5">
      <t>ウリアゲ</t>
    </rPh>
    <rPh sb="8" eb="12">
      <t>ミツモリバンゴウ</t>
    </rPh>
    <rPh sb="20" eb="24">
      <t>ミツモリバンゴウ</t>
    </rPh>
    <phoneticPr fontId="2"/>
  </si>
  <si>
    <t>SQL3</t>
    <phoneticPr fontId="2"/>
  </si>
  <si>
    <t>tmp.チームCD</t>
    <phoneticPr fontId="2"/>
  </si>
  <si>
    <t>tmp.売仕区分</t>
    <rPh sb="4" eb="8">
      <t>バイシクブン</t>
    </rPh>
    <phoneticPr fontId="2"/>
  </si>
  <si>
    <t>tmp.見積番号</t>
    <rPh sb="4" eb="8">
      <t>ミツモリバンゴウ</t>
    </rPh>
    <phoneticPr fontId="2"/>
  </si>
  <si>
    <t>tmp.得意先CD</t>
    <rPh sb="4" eb="7">
      <t>トクイサキ</t>
    </rPh>
    <phoneticPr fontId="2"/>
  </si>
  <si>
    <t>tmp.納入得意先CD</t>
    <rPh sb="4" eb="9">
      <t>ノウニュウトクイサキ</t>
    </rPh>
    <phoneticPr fontId="2"/>
  </si>
  <si>
    <t>tmp.納入先CD</t>
    <rPh sb="4" eb="7">
      <t>ノウニュウサキ</t>
    </rPh>
    <phoneticPr fontId="2"/>
  </si>
  <si>
    <t>tmp.仕入先CD</t>
    <rPh sb="4" eb="7">
      <t>シイレサキ</t>
    </rPh>
    <phoneticPr fontId="2"/>
  </si>
  <si>
    <t>tmp.税抜金額</t>
    <rPh sb="4" eb="8">
      <t>ゼイヌキキンガク</t>
    </rPh>
    <phoneticPr fontId="2"/>
  </si>
  <si>
    <t>tmp.仕入金額</t>
    <rPh sb="4" eb="8">
      <t>シイレキンガク</t>
    </rPh>
    <phoneticPr fontId="2"/>
  </si>
  <si>
    <t>[SQL1.チームCD]=[SQL3.チームCD]</t>
    <phoneticPr fontId="2"/>
  </si>
  <si>
    <t>[SQL1.見積番号]=[SQL3.見積番号]</t>
    <phoneticPr fontId="2"/>
  </si>
  <si>
    <t>SET</t>
    <phoneticPr fontId="2"/>
  </si>
  <si>
    <t>[SQL1.仕入金額]=[SQL3.仕入金額]</t>
    <phoneticPr fontId="2"/>
  </si>
  <si>
    <t>(チームCD,売仕区分,見積番号,得意先CD,納入得意先CD,納入先CD,仕入先CD,税抜金額,仕入金額)</t>
    <phoneticPr fontId="2"/>
  </si>
  <si>
    <t>(SQL3.チームCD,SQL3.売仕区分,SQL3.見積番号,SQL3.得意先CD,SQL3.納入得意先CD,SQL3.納入先CD,"ZZZZZ",SQL3.税抜金額,SQL3.仕入金額)</t>
    <phoneticPr fontId="2"/>
  </si>
  <si>
    <t>SQL5</t>
    <phoneticPr fontId="2"/>
  </si>
  <si>
    <t>[TD仕入.見積番号]=[SQL5.見積番号]</t>
    <rPh sb="3" eb="5">
      <t>シイレ</t>
    </rPh>
    <rPh sb="6" eb="10">
      <t>ミツモリバンゴウ</t>
    </rPh>
    <rPh sb="18" eb="22">
      <t>ミツモリバンゴウ</t>
    </rPh>
    <phoneticPr fontId="2"/>
  </si>
  <si>
    <t>)　tmp</t>
    <phoneticPr fontId="2"/>
  </si>
  <si>
    <t>A4縦</t>
    <rPh sb="2" eb="3">
      <t>タテ</t>
    </rPh>
    <phoneticPr fontId="2"/>
  </si>
  <si>
    <t>大谷</t>
    <rPh sb="0" eb="2">
      <t>オオタニ</t>
    </rPh>
    <phoneticPr fontId="2"/>
  </si>
  <si>
    <t>受発注システム</t>
    <phoneticPr fontId="2"/>
  </si>
  <si>
    <t>受発注</t>
    <phoneticPr fontId="2"/>
  </si>
  <si>
    <t>システム分類</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</si>
</sst>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 "/>
  </numFmts>
  <fonts count="17"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b/>
      <sz val="18"/>
      <color theme="1"/>
      <name val="Meiryo UI"/>
      <family val="3"/>
      <charset val="128"/>
    </font>
    <font>
      <sz val="9"/>
      <color rgb="FFFF0000"/>
      <name val="Meiryo UI"/>
      <family val="3"/>
      <charset val="128"/>
    </font>
    <font>
      <sz val="11"/>
      <color theme="1"/>
      <name val="ＭＳ Ｐゴシック"/>
      <family val="3"/>
      <charset val="128"/>
    </font>
    <font>
      <sz val="14"/>
      <color indexed="8"/>
      <name val="ＭＳ Ｐゴシック"/>
      <family val="3"/>
      <charset val="128"/>
    </font>
    <font>
      <sz val="6"/>
      <name val="ＭＳ Ｐゴシック"/>
      <family val="3"/>
      <charset val="128"/>
    </font>
    <font>
      <sz val="11"/>
      <color indexed="8"/>
      <name val="ＭＳ Ｐゴシック"/>
      <family val="3"/>
      <charset val="128"/>
    </font>
    <font>
      <sz val="9"/>
      <name val="Meiryo UI"/>
      <family val="3"/>
      <charset val="128"/>
    </font>
    <font>
      <b/>
      <sz val="9"/>
      <color rgb="FFFF0000"/>
      <name val="Meiryo UI"/>
      <family val="3"/>
      <charset val="128"/>
    </font>
    <font>
      <b/>
      <i/>
      <sz val="9"/>
      <color rgb="FFFF0000"/>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thin">
        <color auto="1"/>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n">
        <color auto="1"/>
      </top>
      <bottom style="thin">
        <color auto="1"/>
      </bottom>
      <diagonal/>
    </border>
    <border>
      <left style="thick">
        <color auto="1"/>
      </left>
      <right/>
      <top style="thin">
        <color auto="1"/>
      </top>
      <bottom/>
      <diagonal/>
    </border>
    <border>
      <left/>
      <right style="thick">
        <color auto="1"/>
      </right>
      <top style="thin">
        <color auto="1"/>
      </top>
      <bottom/>
      <diagonal/>
    </border>
    <border>
      <left style="thick">
        <color auto="1"/>
      </left>
      <right/>
      <top style="thick">
        <color auto="1"/>
      </top>
      <bottom style="thin">
        <color auto="1"/>
      </bottom>
      <diagonal/>
    </border>
    <border>
      <left/>
      <right style="thick">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right style="medium">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auto="1"/>
      </top>
      <bottom style="medium">
        <color indexed="64"/>
      </bottom>
      <diagonal/>
    </border>
    <border>
      <left/>
      <right style="thin">
        <color indexed="64"/>
      </right>
      <top style="thin">
        <color auto="1"/>
      </top>
      <bottom style="medium">
        <color indexed="64"/>
      </bottom>
      <diagonal/>
    </border>
    <border>
      <left/>
      <right style="thin">
        <color rgb="FF000000"/>
      </right>
      <top style="thin">
        <color indexed="64"/>
      </top>
      <bottom/>
      <diagonal/>
    </border>
    <border>
      <left/>
      <right style="thin">
        <color rgb="FF000000"/>
      </right>
      <top style="medium">
        <color indexed="64"/>
      </top>
      <bottom style="thin">
        <color indexed="64"/>
      </bottom>
      <diagonal/>
    </border>
    <border>
      <left/>
      <right style="thin">
        <color rgb="FF000000"/>
      </right>
      <top style="thin">
        <color indexed="64"/>
      </top>
      <bottom style="thin">
        <color indexed="64"/>
      </bottom>
      <diagonal/>
    </border>
  </borders>
  <cellStyleXfs count="4">
    <xf numFmtId="0" fontId="0" fillId="0" borderId="0">
      <alignment vertical="center"/>
    </xf>
    <xf numFmtId="0" fontId="4" fillId="0" borderId="0"/>
    <xf numFmtId="0" fontId="9" fillId="0" borderId="0">
      <alignment vertical="center"/>
    </xf>
    <xf numFmtId="38" fontId="12" fillId="0" borderId="0" applyFont="0" applyFill="0" applyBorder="0" applyAlignment="0" applyProtection="0">
      <alignment vertical="center"/>
    </xf>
  </cellStyleXfs>
  <cellXfs count="270">
    <xf numFmtId="0" fontId="0" fillId="0" borderId="0" xfId="0">
      <alignment vertical="center"/>
    </xf>
    <xf numFmtId="0" fontId="1" fillId="2" borderId="0" xfId="0" applyFont="1" applyFill="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0" xfId="0" applyFont="1" applyFill="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27" xfId="0" applyFont="1" applyFill="1" applyBorder="1">
      <alignment vertical="center"/>
    </xf>
    <xf numFmtId="0" fontId="3" fillId="2" borderId="28" xfId="0" applyFont="1" applyFill="1" applyBorder="1">
      <alignment vertical="center"/>
    </xf>
    <xf numFmtId="0" fontId="0" fillId="0" borderId="0" xfId="0">
      <alignment vertical="center"/>
    </xf>
    <xf numFmtId="0" fontId="3" fillId="0" borderId="0" xfId="0" applyFont="1" applyFill="1" applyBorder="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0" borderId="12" xfId="0" applyFont="1" applyFill="1" applyBorder="1">
      <alignment vertical="center"/>
    </xf>
    <xf numFmtId="0" fontId="3" fillId="2" borderId="20" xfId="0" applyFont="1" applyFill="1" applyBorder="1" applyAlignment="1">
      <alignment horizontal="center"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0" fontId="0" fillId="0" borderId="15" xfId="0" applyBorder="1">
      <alignment vertical="center"/>
    </xf>
    <xf numFmtId="0" fontId="0" fillId="0" borderId="0" xfId="0" applyBorder="1">
      <alignment vertical="center"/>
    </xf>
    <xf numFmtId="0" fontId="0" fillId="0" borderId="13" xfId="0" applyBorder="1">
      <alignment vertical="center"/>
    </xf>
    <xf numFmtId="0" fontId="3" fillId="2" borderId="24" xfId="0" applyFont="1" applyFill="1" applyBorder="1">
      <alignment vertical="center"/>
    </xf>
    <xf numFmtId="0" fontId="3" fillId="0" borderId="15" xfId="0" applyFont="1" applyFill="1" applyBorder="1">
      <alignment vertical="center"/>
    </xf>
    <xf numFmtId="0" fontId="7" fillId="2" borderId="14" xfId="0" applyFont="1" applyFill="1" applyBorder="1">
      <alignment vertical="center"/>
    </xf>
    <xf numFmtId="0" fontId="3" fillId="2" borderId="16" xfId="0" applyFont="1" applyFill="1" applyBorder="1">
      <alignment vertical="center"/>
    </xf>
    <xf numFmtId="0" fontId="3" fillId="5" borderId="18" xfId="0" applyFont="1" applyFill="1" applyBorder="1" applyAlignment="1">
      <alignment vertical="center"/>
    </xf>
    <xf numFmtId="0" fontId="3" fillId="2" borderId="18" xfId="0" applyFont="1" applyFill="1" applyBorder="1" applyAlignment="1">
      <alignment vertical="center"/>
    </xf>
    <xf numFmtId="0" fontId="3" fillId="2" borderId="18" xfId="0" applyFont="1" applyFill="1" applyBorder="1">
      <alignment vertical="center"/>
    </xf>
    <xf numFmtId="0" fontId="3" fillId="5" borderId="6" xfId="0" applyFont="1" applyFill="1" applyBorder="1" applyAlignment="1">
      <alignment vertical="center"/>
    </xf>
    <xf numFmtId="0" fontId="3" fillId="2" borderId="6" xfId="0" applyFont="1" applyFill="1" applyBorder="1" applyAlignment="1">
      <alignment vertical="center"/>
    </xf>
    <xf numFmtId="0" fontId="3" fillId="2" borderId="6" xfId="0" applyFont="1" applyFill="1" applyBorder="1">
      <alignment vertical="center"/>
    </xf>
    <xf numFmtId="0" fontId="3" fillId="5" borderId="3" xfId="0" applyFont="1" applyFill="1" applyBorder="1" applyAlignment="1">
      <alignment vertical="center"/>
    </xf>
    <xf numFmtId="0" fontId="3" fillId="2" borderId="3" xfId="0" applyFont="1" applyFill="1" applyBorder="1" applyAlignment="1">
      <alignment vertical="center"/>
    </xf>
    <xf numFmtId="0" fontId="3" fillId="2" borderId="3" xfId="0" applyFont="1" applyFill="1" applyBorder="1">
      <alignment vertical="center"/>
    </xf>
    <xf numFmtId="0" fontId="3" fillId="5" borderId="7" xfId="0" applyFont="1" applyFill="1" applyBorder="1" applyAlignment="1">
      <alignment vertical="center"/>
    </xf>
    <xf numFmtId="0" fontId="3" fillId="5" borderId="27" xfId="0" applyFont="1" applyFill="1" applyBorder="1" applyAlignment="1">
      <alignment vertical="center"/>
    </xf>
    <xf numFmtId="0" fontId="3" fillId="5" borderId="14" xfId="0" applyFont="1" applyFill="1" applyBorder="1" applyAlignment="1">
      <alignment vertical="center"/>
    </xf>
    <xf numFmtId="0" fontId="3" fillId="5" borderId="29" xfId="0" applyFont="1" applyFill="1" applyBorder="1" applyAlignment="1">
      <alignment vertical="center"/>
    </xf>
    <xf numFmtId="0" fontId="3" fillId="2" borderId="23" xfId="0" applyFont="1" applyFill="1" applyBorder="1">
      <alignment vertical="center"/>
    </xf>
    <xf numFmtId="0" fontId="3" fillId="5" borderId="30" xfId="0" applyFont="1" applyFill="1" applyBorder="1" applyAlignment="1">
      <alignment vertical="center"/>
    </xf>
    <xf numFmtId="0" fontId="3" fillId="0" borderId="6"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lignment vertical="center"/>
    </xf>
    <xf numFmtId="0" fontId="3" fillId="2" borderId="31" xfId="0" applyFont="1" applyFill="1" applyBorder="1">
      <alignment vertical="center"/>
    </xf>
    <xf numFmtId="0" fontId="3" fillId="5" borderId="32" xfId="0" applyFont="1" applyFill="1" applyBorder="1" applyAlignment="1">
      <alignment vertical="center"/>
    </xf>
    <xf numFmtId="0" fontId="3" fillId="5" borderId="21" xfId="0" applyFont="1" applyFill="1" applyBorder="1" applyAlignment="1">
      <alignment vertical="center"/>
    </xf>
    <xf numFmtId="0" fontId="3" fillId="5" borderId="4" xfId="0" applyFont="1" applyFill="1" applyBorder="1" applyAlignment="1">
      <alignment vertical="center"/>
    </xf>
    <xf numFmtId="0" fontId="3" fillId="5" borderId="26" xfId="0" applyFont="1" applyFill="1" applyBorder="1" applyAlignment="1">
      <alignment vertical="center"/>
    </xf>
    <xf numFmtId="0" fontId="0" fillId="0" borderId="0" xfId="0" applyAlignment="1">
      <alignment vertical="center"/>
    </xf>
    <xf numFmtId="0" fontId="0" fillId="0" borderId="0" xfId="0" quotePrefix="1" applyAlignment="1">
      <alignment vertical="center"/>
    </xf>
    <xf numFmtId="0" fontId="3" fillId="2" borderId="33" xfId="0" applyFont="1" applyFill="1" applyBorder="1">
      <alignment vertical="center"/>
    </xf>
    <xf numFmtId="0" fontId="0" fillId="0" borderId="16" xfId="0" applyBorder="1">
      <alignment vertical="center"/>
    </xf>
    <xf numFmtId="0" fontId="3" fillId="5" borderId="17" xfId="0" applyFont="1" applyFill="1" applyBorder="1" applyAlignment="1">
      <alignment horizontal="center" vertical="center"/>
    </xf>
    <xf numFmtId="0" fontId="3" fillId="2" borderId="25" xfId="0" applyFont="1" applyFill="1" applyBorder="1" applyAlignment="1">
      <alignment vertical="center"/>
    </xf>
    <xf numFmtId="0" fontId="3" fillId="2" borderId="14" xfId="0" applyFont="1" applyFill="1" applyBorder="1" applyAlignment="1">
      <alignment vertical="center"/>
    </xf>
    <xf numFmtId="0" fontId="3" fillId="5" borderId="34" xfId="0" applyFont="1" applyFill="1" applyBorder="1" applyAlignment="1">
      <alignment horizontal="center" vertical="center"/>
    </xf>
    <xf numFmtId="0" fontId="3" fillId="5" borderId="35" xfId="0" applyFont="1" applyFill="1" applyBorder="1" applyAlignment="1">
      <alignment horizontal="center" vertical="center"/>
    </xf>
    <xf numFmtId="0" fontId="0" fillId="0" borderId="1" xfId="0" applyBorder="1">
      <alignment vertical="center"/>
    </xf>
    <xf numFmtId="0" fontId="0" fillId="0" borderId="5" xfId="0" applyBorder="1" applyAlignment="1">
      <alignment vertical="center" wrapText="1"/>
    </xf>
    <xf numFmtId="0" fontId="3" fillId="2" borderId="36" xfId="0" applyFont="1" applyFill="1" applyBorder="1" applyAlignment="1">
      <alignment horizontal="center" vertical="center"/>
    </xf>
    <xf numFmtId="0" fontId="0" fillId="0" borderId="5" xfId="0" applyBorder="1">
      <alignment vertical="center"/>
    </xf>
    <xf numFmtId="0" fontId="3" fillId="2" borderId="37" xfId="0" applyFont="1" applyFill="1" applyBorder="1" applyAlignment="1">
      <alignment horizontal="center" vertical="center"/>
    </xf>
    <xf numFmtId="0" fontId="0" fillId="0" borderId="38" xfId="0" applyBorder="1">
      <alignment vertical="center"/>
    </xf>
    <xf numFmtId="0" fontId="0" fillId="0" borderId="39" xfId="0" applyBorder="1">
      <alignment vertical="center"/>
    </xf>
    <xf numFmtId="0" fontId="3" fillId="2" borderId="40" xfId="0" applyFont="1" applyFill="1" applyBorder="1" applyAlignment="1">
      <alignment horizontal="center" vertical="center"/>
    </xf>
    <xf numFmtId="0" fontId="6" fillId="0" borderId="0" xfId="0" applyFont="1" applyFill="1" applyBorder="1">
      <alignment vertical="center"/>
    </xf>
    <xf numFmtId="0" fontId="8" fillId="2" borderId="14" xfId="0" applyFont="1" applyFill="1" applyBorder="1">
      <alignment vertical="center"/>
    </xf>
    <xf numFmtId="0" fontId="9" fillId="0" borderId="0" xfId="2">
      <alignment vertical="center"/>
    </xf>
    <xf numFmtId="49" fontId="10" fillId="0" borderId="0" xfId="2" applyNumberFormat="1" applyFont="1">
      <alignment vertical="center"/>
    </xf>
    <xf numFmtId="49" fontId="9" fillId="0" borderId="0" xfId="2" applyNumberFormat="1">
      <alignment vertical="center"/>
    </xf>
    <xf numFmtId="0" fontId="9" fillId="0" borderId="0" xfId="2" applyAlignment="1">
      <alignment vertical="center" shrinkToFit="1"/>
    </xf>
    <xf numFmtId="49" fontId="9" fillId="0" borderId="42" xfId="2" applyNumberFormat="1" applyBorder="1" applyAlignment="1">
      <alignment vertical="center" shrinkToFit="1"/>
    </xf>
    <xf numFmtId="0" fontId="9" fillId="0" borderId="42" xfId="2" applyBorder="1" applyAlignment="1">
      <alignment vertical="center" shrinkToFit="1"/>
    </xf>
    <xf numFmtId="38" fontId="0" fillId="0" borderId="42" xfId="3" applyFont="1" applyBorder="1" applyAlignment="1">
      <alignment vertical="center" shrinkToFit="1"/>
    </xf>
    <xf numFmtId="49" fontId="9" fillId="0" borderId="44" xfId="2" applyNumberFormat="1" applyBorder="1" applyAlignment="1">
      <alignment vertical="center" shrinkToFit="1"/>
    </xf>
    <xf numFmtId="0" fontId="9" fillId="0" borderId="44" xfId="2" applyBorder="1" applyAlignment="1">
      <alignment vertical="center" shrinkToFit="1"/>
    </xf>
    <xf numFmtId="38" fontId="0" fillId="0" borderId="44" xfId="3" applyFont="1" applyBorder="1" applyAlignment="1">
      <alignment vertical="center" shrinkToFit="1"/>
    </xf>
    <xf numFmtId="40" fontId="0" fillId="0" borderId="44" xfId="3" applyNumberFormat="1" applyFont="1" applyBorder="1" applyAlignment="1">
      <alignment vertical="center" shrinkToFit="1"/>
    </xf>
    <xf numFmtId="49" fontId="9" fillId="0" borderId="9" xfId="2" applyNumberFormat="1" applyBorder="1" applyAlignment="1">
      <alignment vertical="center" shrinkToFit="1"/>
    </xf>
    <xf numFmtId="0" fontId="9" fillId="0" borderId="9" xfId="2" applyBorder="1" applyAlignment="1">
      <alignment vertical="center" shrinkToFit="1"/>
    </xf>
    <xf numFmtId="38" fontId="0" fillId="0" borderId="9" xfId="3" applyFont="1" applyBorder="1" applyAlignment="1">
      <alignment vertical="center" shrinkToFit="1"/>
    </xf>
    <xf numFmtId="40" fontId="0" fillId="0" borderId="9" xfId="3" applyNumberFormat="1" applyFont="1" applyBorder="1" applyAlignment="1">
      <alignment vertical="center" shrinkToFit="1"/>
    </xf>
    <xf numFmtId="38" fontId="0" fillId="0" borderId="0" xfId="3" applyFont="1">
      <alignment vertical="center"/>
    </xf>
    <xf numFmtId="0" fontId="3" fillId="2" borderId="60" xfId="0" applyFont="1" applyFill="1" applyBorder="1" applyAlignment="1">
      <alignment horizontal="left" vertical="center"/>
    </xf>
    <xf numFmtId="0" fontId="3" fillId="2" borderId="61" xfId="0" applyFont="1" applyFill="1" applyBorder="1">
      <alignment vertical="center"/>
    </xf>
    <xf numFmtId="0" fontId="3" fillId="2" borderId="62" xfId="0" applyFont="1" applyFill="1" applyBorder="1">
      <alignment vertical="center"/>
    </xf>
    <xf numFmtId="0" fontId="3" fillId="2" borderId="63" xfId="0" applyFont="1" applyFill="1" applyBorder="1">
      <alignment vertical="center"/>
    </xf>
    <xf numFmtId="0" fontId="3" fillId="2" borderId="63" xfId="0" quotePrefix="1" applyFont="1" applyFill="1" applyBorder="1">
      <alignment vertical="center"/>
    </xf>
    <xf numFmtId="0" fontId="3" fillId="2" borderId="64" xfId="0" applyFont="1" applyFill="1" applyBorder="1">
      <alignment vertical="center"/>
    </xf>
    <xf numFmtId="0" fontId="3" fillId="2" borderId="65" xfId="0" applyFont="1" applyFill="1" applyBorder="1">
      <alignment vertical="center"/>
    </xf>
    <xf numFmtId="0" fontId="3" fillId="2" borderId="66" xfId="0" applyFont="1" applyFill="1" applyBorder="1">
      <alignment vertical="center"/>
    </xf>
    <xf numFmtId="0" fontId="3" fillId="2" borderId="67" xfId="0" applyFont="1" applyFill="1" applyBorder="1">
      <alignment vertical="center"/>
    </xf>
    <xf numFmtId="0" fontId="3" fillId="2" borderId="67" xfId="0" quotePrefix="1" applyFont="1" applyFill="1" applyBorder="1">
      <alignment vertical="center"/>
    </xf>
    <xf numFmtId="0" fontId="3" fillId="2" borderId="68" xfId="0" applyFont="1" applyFill="1" applyBorder="1">
      <alignment vertical="center"/>
    </xf>
    <xf numFmtId="0" fontId="3" fillId="2" borderId="2" xfId="0" applyFont="1" applyFill="1" applyBorder="1">
      <alignment vertical="center"/>
    </xf>
    <xf numFmtId="0" fontId="3" fillId="2" borderId="2" xfId="0" quotePrefix="1" applyFont="1" applyFill="1" applyBorder="1">
      <alignment vertical="center"/>
    </xf>
    <xf numFmtId="0" fontId="3" fillId="2" borderId="69" xfId="0" applyFont="1" applyFill="1" applyBorder="1">
      <alignment vertical="center"/>
    </xf>
    <xf numFmtId="0" fontId="3" fillId="2" borderId="10" xfId="0" applyFont="1" applyFill="1" applyBorder="1">
      <alignment vertical="center"/>
    </xf>
    <xf numFmtId="0" fontId="3" fillId="2" borderId="41" xfId="0" applyFont="1" applyFill="1" applyBorder="1">
      <alignment vertical="center"/>
    </xf>
    <xf numFmtId="0" fontId="3" fillId="2" borderId="10" xfId="0" quotePrefix="1" applyFont="1" applyFill="1" applyBorder="1">
      <alignment vertical="center"/>
    </xf>
    <xf numFmtId="0" fontId="3" fillId="2" borderId="70" xfId="0" applyFont="1" applyFill="1" applyBorder="1">
      <alignment vertical="center"/>
    </xf>
    <xf numFmtId="0" fontId="15" fillId="2" borderId="2" xfId="0" applyFont="1" applyFill="1" applyBorder="1">
      <alignment vertical="center"/>
    </xf>
    <xf numFmtId="0" fontId="15" fillId="2" borderId="67" xfId="0" applyFont="1" applyFill="1" applyBorder="1">
      <alignment vertical="center"/>
    </xf>
    <xf numFmtId="0" fontId="14" fillId="2" borderId="0" xfId="0" applyFont="1" applyFill="1" applyBorder="1">
      <alignment vertical="center"/>
    </xf>
    <xf numFmtId="0" fontId="14" fillId="2" borderId="0" xfId="0" applyFont="1" applyFill="1" applyBorder="1" applyAlignment="1">
      <alignment horizontal="center" vertical="center"/>
    </xf>
    <xf numFmtId="0" fontId="14" fillId="2" borderId="67" xfId="0" applyFont="1" applyFill="1" applyBorder="1">
      <alignment vertical="center"/>
    </xf>
    <xf numFmtId="0" fontId="14" fillId="2" borderId="67" xfId="0" quotePrefix="1" applyFont="1" applyFill="1" applyBorder="1">
      <alignment vertical="center"/>
    </xf>
    <xf numFmtId="0" fontId="3" fillId="2" borderId="67" xfId="0" quotePrefix="1" applyFont="1" applyFill="1" applyBorder="1" applyAlignment="1">
      <alignment vertical="center"/>
    </xf>
    <xf numFmtId="0" fontId="3" fillId="2" borderId="71" xfId="0" applyFont="1" applyFill="1" applyBorder="1">
      <alignment vertical="center"/>
    </xf>
    <xf numFmtId="0" fontId="3" fillId="2" borderId="57" xfId="0" applyFont="1" applyFill="1" applyBorder="1">
      <alignment vertical="center"/>
    </xf>
    <xf numFmtId="0" fontId="3" fillId="2" borderId="58" xfId="0" applyFont="1" applyFill="1" applyBorder="1">
      <alignment vertical="center"/>
    </xf>
    <xf numFmtId="0" fontId="3" fillId="2" borderId="56" xfId="0" applyFont="1" applyFill="1" applyBorder="1">
      <alignment vertical="center"/>
    </xf>
    <xf numFmtId="0" fontId="3" fillId="2" borderId="72" xfId="0" applyFont="1" applyFill="1" applyBorder="1">
      <alignment vertical="center"/>
    </xf>
    <xf numFmtId="0" fontId="14" fillId="2" borderId="0" xfId="0" applyFont="1" applyFill="1">
      <alignment vertical="center"/>
    </xf>
    <xf numFmtId="0" fontId="3" fillId="2" borderId="48" xfId="0" applyFont="1" applyFill="1" applyBorder="1">
      <alignment vertical="center"/>
    </xf>
    <xf numFmtId="0" fontId="3" fillId="2" borderId="49" xfId="0" applyFont="1" applyFill="1" applyBorder="1">
      <alignment vertical="center"/>
    </xf>
    <xf numFmtId="0" fontId="3" fillId="2" borderId="50" xfId="0" applyFont="1" applyFill="1" applyBorder="1">
      <alignment vertical="center"/>
    </xf>
    <xf numFmtId="0" fontId="3" fillId="2" borderId="65" xfId="0" applyFont="1" applyFill="1" applyBorder="1" applyAlignment="1">
      <alignment horizontal="left" vertical="center"/>
    </xf>
    <xf numFmtId="0" fontId="3" fillId="2" borderId="5" xfId="0" applyFont="1" applyFill="1" applyBorder="1">
      <alignment vertical="center"/>
    </xf>
    <xf numFmtId="0" fontId="3" fillId="2" borderId="7" xfId="0" applyFont="1" applyFill="1" applyBorder="1">
      <alignment vertical="center"/>
    </xf>
    <xf numFmtId="0" fontId="14" fillId="2" borderId="48" xfId="0" applyFont="1" applyFill="1" applyBorder="1">
      <alignment vertical="center"/>
    </xf>
    <xf numFmtId="0" fontId="3" fillId="2" borderId="8" xfId="0" applyFont="1" applyFill="1" applyBorder="1">
      <alignment vertical="center"/>
    </xf>
    <xf numFmtId="0" fontId="3" fillId="2" borderId="74" xfId="0" applyFont="1" applyFill="1" applyBorder="1">
      <alignment vertical="center"/>
    </xf>
    <xf numFmtId="0" fontId="3" fillId="2" borderId="75" xfId="0" applyFont="1" applyFill="1" applyBorder="1">
      <alignment vertical="center"/>
    </xf>
    <xf numFmtId="0" fontId="3" fillId="2" borderId="60" xfId="0" applyFont="1" applyFill="1" applyBorder="1">
      <alignment vertical="center"/>
    </xf>
    <xf numFmtId="0" fontId="3" fillId="2" borderId="76" xfId="0" applyFont="1" applyFill="1" applyBorder="1">
      <alignment vertical="center"/>
    </xf>
    <xf numFmtId="0" fontId="3" fillId="2" borderId="77" xfId="0" applyFont="1" applyFill="1" applyBorder="1">
      <alignment vertical="center"/>
    </xf>
    <xf numFmtId="0" fontId="3" fillId="2" borderId="0" xfId="0" applyFont="1" applyFill="1" applyAlignment="1">
      <alignment vertical="center" wrapText="1"/>
    </xf>
    <xf numFmtId="0" fontId="3" fillId="2" borderId="4" xfId="0" applyFont="1" applyFill="1" applyBorder="1">
      <alignment vertical="center"/>
    </xf>
    <xf numFmtId="0" fontId="3" fillId="2" borderId="2" xfId="0" applyFont="1" applyFill="1" applyBorder="1" applyAlignment="1">
      <alignment vertical="center"/>
    </xf>
    <xf numFmtId="0" fontId="3" fillId="0" borderId="6" xfId="0" applyFont="1" applyFill="1" applyBorder="1">
      <alignment vertical="center"/>
    </xf>
    <xf numFmtId="0" fontId="3" fillId="0" borderId="41" xfId="0" applyFont="1" applyFill="1" applyBorder="1">
      <alignment vertical="center"/>
    </xf>
    <xf numFmtId="0" fontId="3" fillId="2" borderId="67" xfId="0" applyFont="1" applyFill="1" applyBorder="1" applyAlignment="1">
      <alignment vertical="center"/>
    </xf>
    <xf numFmtId="0" fontId="3" fillId="0" borderId="5" xfId="0" applyFont="1" applyFill="1" applyBorder="1">
      <alignment vertical="center"/>
    </xf>
    <xf numFmtId="0" fontId="9" fillId="0" borderId="0" xfId="2" applyFill="1">
      <alignment vertical="center"/>
    </xf>
    <xf numFmtId="0" fontId="9" fillId="0" borderId="11" xfId="2" applyFill="1" applyBorder="1" applyAlignment="1">
      <alignment vertical="center" shrinkToFit="1"/>
    </xf>
    <xf numFmtId="0" fontId="9" fillId="0" borderId="43" xfId="2" applyFill="1" applyBorder="1" applyAlignment="1">
      <alignment vertical="center" shrinkToFit="1"/>
    </xf>
    <xf numFmtId="0" fontId="9" fillId="0" borderId="45" xfId="2" applyFill="1" applyBorder="1">
      <alignment vertical="center"/>
    </xf>
    <xf numFmtId="0" fontId="9" fillId="0" borderId="9" xfId="2" applyFill="1" applyBorder="1">
      <alignment vertical="center"/>
    </xf>
    <xf numFmtId="49" fontId="9" fillId="0" borderId="0" xfId="2" applyNumberFormat="1" applyFill="1">
      <alignment vertical="center"/>
    </xf>
    <xf numFmtId="49" fontId="9" fillId="0" borderId="42" xfId="2" applyNumberFormat="1" applyFill="1" applyBorder="1" applyAlignment="1">
      <alignment vertical="center" shrinkToFit="1"/>
    </xf>
    <xf numFmtId="49" fontId="9" fillId="0" borderId="44" xfId="2" applyNumberFormat="1" applyFill="1" applyBorder="1" applyAlignment="1">
      <alignment vertical="center" shrinkToFit="1"/>
    </xf>
    <xf numFmtId="49" fontId="9" fillId="0" borderId="9" xfId="2" applyNumberFormat="1" applyFill="1" applyBorder="1" applyAlignment="1">
      <alignment vertical="center" shrinkToFit="1"/>
    </xf>
    <xf numFmtId="0" fontId="16" fillId="6" borderId="0" xfId="0" applyFont="1" applyFill="1">
      <alignment vertical="center"/>
    </xf>
    <xf numFmtId="0" fontId="16" fillId="6" borderId="2" xfId="0" applyFont="1" applyFill="1" applyBorder="1">
      <alignment vertical="center"/>
    </xf>
    <xf numFmtId="0" fontId="16" fillId="6" borderId="78" xfId="0" applyFont="1" applyFill="1" applyBorder="1">
      <alignment vertical="center"/>
    </xf>
    <xf numFmtId="0" fontId="16" fillId="6" borderId="3" xfId="0" applyFont="1" applyFill="1" applyBorder="1">
      <alignment vertical="center"/>
    </xf>
    <xf numFmtId="0" fontId="16" fillId="6" borderId="67" xfId="0" applyFont="1" applyFill="1" applyBorder="1">
      <alignment vertical="center"/>
    </xf>
    <xf numFmtId="0" fontId="16" fillId="6" borderId="66" xfId="0" applyFont="1" applyFill="1" applyBorder="1">
      <alignment vertical="center"/>
    </xf>
    <xf numFmtId="0" fontId="16" fillId="6" borderId="68" xfId="0" applyFont="1" applyFill="1" applyBorder="1">
      <alignment vertical="center"/>
    </xf>
    <xf numFmtId="0" fontId="16" fillId="6" borderId="10" xfId="0" applyFont="1" applyFill="1" applyBorder="1">
      <alignment vertical="center"/>
    </xf>
    <xf numFmtId="0" fontId="16" fillId="6" borderId="8" xfId="0" applyFont="1" applyFill="1" applyBorder="1">
      <alignment vertical="center"/>
    </xf>
    <xf numFmtId="0" fontId="16" fillId="6" borderId="41" xfId="0" applyFont="1" applyFill="1" applyBorder="1">
      <alignment vertical="center"/>
    </xf>
    <xf numFmtId="0" fontId="16" fillId="6" borderId="70" xfId="0" applyFont="1" applyFill="1" applyBorder="1">
      <alignment vertical="center"/>
    </xf>
    <xf numFmtId="0" fontId="16" fillId="6" borderId="5" xfId="0" applyFont="1" applyFill="1" applyBorder="1">
      <alignment vertical="center"/>
    </xf>
    <xf numFmtId="0" fontId="16" fillId="6" borderId="6" xfId="0" applyFont="1" applyFill="1" applyBorder="1">
      <alignment vertical="center"/>
    </xf>
    <xf numFmtId="0" fontId="16" fillId="6" borderId="0" xfId="0" applyFont="1" applyFill="1" applyBorder="1">
      <alignment vertical="center"/>
    </xf>
    <xf numFmtId="0" fontId="16" fillId="6" borderId="60" xfId="0" applyFont="1" applyFill="1" applyBorder="1">
      <alignment vertical="center"/>
    </xf>
    <xf numFmtId="0" fontId="16" fillId="6" borderId="61" xfId="0" applyFont="1" applyFill="1" applyBorder="1">
      <alignment vertical="center"/>
    </xf>
    <xf numFmtId="0" fontId="16" fillId="6" borderId="62" xfId="0" applyFont="1" applyFill="1" applyBorder="1">
      <alignment vertical="center"/>
    </xf>
    <xf numFmtId="0" fontId="16" fillId="6" borderId="48" xfId="0" applyFont="1" applyFill="1" applyBorder="1">
      <alignment vertical="center"/>
    </xf>
    <xf numFmtId="0" fontId="16" fillId="6" borderId="79" xfId="0" applyFont="1" applyFill="1" applyBorder="1">
      <alignment vertical="center"/>
    </xf>
    <xf numFmtId="0" fontId="16" fillId="6" borderId="49" xfId="0" applyFont="1" applyFill="1" applyBorder="1">
      <alignment vertical="center"/>
    </xf>
    <xf numFmtId="0" fontId="16" fillId="6" borderId="50" xfId="0" applyFont="1" applyFill="1" applyBorder="1">
      <alignment vertical="center"/>
    </xf>
    <xf numFmtId="0" fontId="16" fillId="6" borderId="73" xfId="0" applyFont="1" applyFill="1" applyBorder="1">
      <alignment vertical="center"/>
    </xf>
    <xf numFmtId="0" fontId="16" fillId="6" borderId="65" xfId="0" applyFont="1" applyFill="1" applyBorder="1">
      <alignment vertical="center"/>
    </xf>
    <xf numFmtId="0" fontId="16" fillId="6" borderId="80" xfId="0" applyFont="1" applyFill="1" applyBorder="1">
      <alignment vertical="center"/>
    </xf>
    <xf numFmtId="0" fontId="16" fillId="6" borderId="10" xfId="0" applyFont="1" applyFill="1" applyBorder="1" applyAlignment="1">
      <alignment vertical="center" wrapText="1"/>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5"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3" fillId="5" borderId="17"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3" fillId="0" borderId="5" xfId="0" applyFont="1" applyFill="1" applyBorder="1" applyAlignment="1">
      <alignment horizontal="left" vertical="center"/>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5" borderId="22" xfId="0" applyFont="1" applyFill="1" applyBorder="1" applyAlignment="1">
      <alignment horizontal="center" vertical="center" wrapText="1"/>
    </xf>
    <xf numFmtId="0" fontId="3" fillId="2" borderId="23"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3" fillId="5" borderId="21" xfId="0" applyFont="1" applyFill="1" applyBorder="1" applyAlignment="1">
      <alignment horizontal="center" vertical="center" wrapText="1"/>
    </xf>
    <xf numFmtId="0" fontId="13" fillId="0" borderId="5" xfId="0" applyFont="1" applyFill="1" applyBorder="1" applyAlignment="1">
      <alignment horizontal="left" vertical="center"/>
    </xf>
    <xf numFmtId="0" fontId="8" fillId="0" borderId="6" xfId="0" applyFont="1" applyFill="1" applyBorder="1" applyAlignment="1">
      <alignment horizontal="left" vertical="center"/>
    </xf>
    <xf numFmtId="0" fontId="8" fillId="0" borderId="7" xfId="0" applyFont="1" applyFill="1" applyBorder="1" applyAlignment="1">
      <alignment horizontal="left" vertical="center"/>
    </xf>
    <xf numFmtId="0" fontId="3" fillId="0" borderId="2" xfId="0" applyFont="1" applyFill="1" applyBorder="1" applyAlignment="1">
      <alignment horizontal="left" vertical="center"/>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2" borderId="31" xfId="0" applyFont="1" applyFill="1" applyBorder="1" applyAlignment="1">
      <alignment horizontal="left" vertical="center"/>
    </xf>
    <xf numFmtId="0" fontId="3" fillId="2" borderId="4" xfId="0" applyFont="1" applyFill="1" applyBorder="1" applyAlignment="1">
      <alignment horizontal="center" vertical="center"/>
    </xf>
    <xf numFmtId="3"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4" fontId="3" fillId="2" borderId="5" xfId="0" applyNumberFormat="1" applyFont="1" applyFill="1" applyBorder="1" applyAlignment="1">
      <alignment horizontal="center" vertical="center"/>
    </xf>
    <xf numFmtId="14" fontId="3" fillId="2" borderId="55" xfId="0" applyNumberFormat="1" applyFont="1" applyFill="1" applyBorder="1" applyAlignment="1">
      <alignment horizontal="center" vertical="center" shrinkToFit="1"/>
    </xf>
    <xf numFmtId="0" fontId="3" fillId="2" borderId="55" xfId="0" applyFont="1" applyFill="1" applyBorder="1" applyAlignment="1">
      <alignment horizontal="center" vertical="center" shrinkToFit="1"/>
    </xf>
    <xf numFmtId="0" fontId="3" fillId="2" borderId="53" xfId="0" applyFont="1" applyFill="1" applyBorder="1" applyAlignment="1">
      <alignment horizontal="center" vertical="center" shrinkToFit="1"/>
    </xf>
    <xf numFmtId="0" fontId="3" fillId="2" borderId="59" xfId="0" applyFont="1" applyFill="1" applyBorder="1" applyAlignment="1">
      <alignment horizontal="center" vertical="center" shrinkToFit="1"/>
    </xf>
    <xf numFmtId="0" fontId="3" fillId="3" borderId="47" xfId="0" applyFont="1" applyFill="1" applyBorder="1" applyAlignment="1">
      <alignment horizontal="center" vertical="center"/>
    </xf>
    <xf numFmtId="0" fontId="3" fillId="3" borderId="51" xfId="0" applyFont="1" applyFill="1" applyBorder="1" applyAlignment="1">
      <alignment horizontal="center" vertical="center"/>
    </xf>
    <xf numFmtId="0" fontId="3" fillId="2" borderId="56" xfId="0" applyFont="1" applyFill="1" applyBorder="1" applyAlignment="1">
      <alignment horizontal="center" vertical="center" shrinkToFit="1"/>
    </xf>
    <xf numFmtId="0" fontId="3" fillId="2" borderId="57" xfId="0" applyFont="1" applyFill="1" applyBorder="1" applyAlignment="1">
      <alignment horizontal="center" vertical="center" shrinkToFit="1"/>
    </xf>
    <xf numFmtId="0" fontId="3" fillId="2" borderId="58" xfId="0" applyFont="1" applyFill="1" applyBorder="1" applyAlignment="1">
      <alignment horizontal="center" vertical="center" shrinkToFit="1"/>
    </xf>
    <xf numFmtId="0" fontId="3" fillId="3" borderId="46" xfId="0" applyFont="1" applyFill="1" applyBorder="1" applyAlignment="1">
      <alignment horizontal="center" vertical="center"/>
    </xf>
    <xf numFmtId="0" fontId="3" fillId="3" borderId="48" xfId="0" applyFont="1" applyFill="1" applyBorder="1" applyAlignment="1">
      <alignment horizontal="center" vertical="center"/>
    </xf>
    <xf numFmtId="0" fontId="3" fillId="3" borderId="49" xfId="0" applyFont="1" applyFill="1" applyBorder="1" applyAlignment="1">
      <alignment horizontal="center" vertical="center"/>
    </xf>
    <xf numFmtId="0" fontId="3" fillId="3" borderId="50" xfId="0" applyFont="1" applyFill="1" applyBorder="1" applyAlignment="1">
      <alignment horizontal="center" vertical="center"/>
    </xf>
    <xf numFmtId="0" fontId="3" fillId="2" borderId="52" xfId="0" applyFont="1" applyFill="1" applyBorder="1" applyAlignment="1">
      <alignment horizontal="center" vertical="center" shrinkToFit="1"/>
    </xf>
    <xf numFmtId="0" fontId="3" fillId="2" borderId="54" xfId="0" applyFont="1" applyFill="1" applyBorder="1" applyAlignment="1">
      <alignment horizontal="center" vertical="center" shrinkToFit="1"/>
    </xf>
    <xf numFmtId="38" fontId="0" fillId="0" borderId="41" xfId="3" applyFont="1" applyBorder="1" applyAlignment="1">
      <alignment horizontal="right" vertical="center"/>
    </xf>
  </cellXfs>
  <cellStyles count="4">
    <cellStyle name="桁区切り 2" xfId="3"/>
    <cellStyle name="標準" xfId="0" builtinId="0"/>
    <cellStyle name="標準 2" xfId="2"/>
    <cellStyle name="標準 2 2" xfId="1"/>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263236</xdr:colOff>
      <xdr:row>10</xdr:row>
      <xdr:rowOff>96982</xdr:rowOff>
    </xdr:from>
    <xdr:to>
      <xdr:col>64</xdr:col>
      <xdr:colOff>34490</xdr:colOff>
      <xdr:row>22</xdr:row>
      <xdr:rowOff>124691</xdr:rowOff>
    </xdr:to>
    <xdr:pic>
      <xdr:nvPicPr>
        <xdr:cNvPr id="2" name="図 1"/>
        <xdr:cNvPicPr>
          <a:picLocks noChangeAspect="1"/>
        </xdr:cNvPicPr>
      </xdr:nvPicPr>
      <xdr:blipFill>
        <a:blip xmlns:r="http://schemas.openxmlformats.org/officeDocument/2006/relationships" r:embed="rId1"/>
        <a:stretch>
          <a:fillRect/>
        </a:stretch>
      </xdr:blipFill>
      <xdr:spPr>
        <a:xfrm>
          <a:off x="346363" y="2202873"/>
          <a:ext cx="17227982" cy="3020291"/>
        </a:xfrm>
        <a:prstGeom prst="rect">
          <a:avLst/>
        </a:prstGeom>
      </xdr:spPr>
    </xdr:pic>
    <xdr:clientData/>
  </xdr:twoCellAnchor>
  <xdr:twoCellAnchor>
    <xdr:from>
      <xdr:col>4</xdr:col>
      <xdr:colOff>162179</xdr:colOff>
      <xdr:row>15</xdr:row>
      <xdr:rowOff>25265</xdr:rowOff>
    </xdr:from>
    <xdr:to>
      <xdr:col>6</xdr:col>
      <xdr:colOff>69272</xdr:colOff>
      <xdr:row>16</xdr:row>
      <xdr:rowOff>180110</xdr:rowOff>
    </xdr:to>
    <xdr:sp macro="" textlink="">
      <xdr:nvSpPr>
        <xdr:cNvPr id="3" name="正方形/長方形 2"/>
        <xdr:cNvSpPr/>
      </xdr:nvSpPr>
      <xdr:spPr>
        <a:xfrm>
          <a:off x="1076579"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162180</xdr:colOff>
      <xdr:row>15</xdr:row>
      <xdr:rowOff>25265</xdr:rowOff>
    </xdr:from>
    <xdr:to>
      <xdr:col>9</xdr:col>
      <xdr:colOff>69273</xdr:colOff>
      <xdr:row>16</xdr:row>
      <xdr:rowOff>180110</xdr:rowOff>
    </xdr:to>
    <xdr:sp macro="" textlink="">
      <xdr:nvSpPr>
        <xdr:cNvPr id="5" name="正方形/長方形 4"/>
        <xdr:cNvSpPr/>
      </xdr:nvSpPr>
      <xdr:spPr>
        <a:xfrm>
          <a:off x="1907853"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23633</xdr:colOff>
      <xdr:row>15</xdr:row>
      <xdr:rowOff>25265</xdr:rowOff>
    </xdr:from>
    <xdr:to>
      <xdr:col>17</xdr:col>
      <xdr:colOff>207817</xdr:colOff>
      <xdr:row>16</xdr:row>
      <xdr:rowOff>180110</xdr:rowOff>
    </xdr:to>
    <xdr:sp macro="" textlink="">
      <xdr:nvSpPr>
        <xdr:cNvPr id="6" name="正方形/長方形 5"/>
        <xdr:cNvSpPr/>
      </xdr:nvSpPr>
      <xdr:spPr>
        <a:xfrm>
          <a:off x="4263124"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51</xdr:col>
      <xdr:colOff>162179</xdr:colOff>
      <xdr:row>15</xdr:row>
      <xdr:rowOff>25265</xdr:rowOff>
    </xdr:from>
    <xdr:to>
      <xdr:col>53</xdr:col>
      <xdr:colOff>69272</xdr:colOff>
      <xdr:row>16</xdr:row>
      <xdr:rowOff>180110</xdr:rowOff>
    </xdr:to>
    <xdr:sp macro="" textlink="">
      <xdr:nvSpPr>
        <xdr:cNvPr id="7" name="正方形/長方形 6"/>
        <xdr:cNvSpPr/>
      </xdr:nvSpPr>
      <xdr:spPr>
        <a:xfrm>
          <a:off x="14099852"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120614</xdr:colOff>
      <xdr:row>15</xdr:row>
      <xdr:rowOff>25265</xdr:rowOff>
    </xdr:from>
    <xdr:to>
      <xdr:col>40</xdr:col>
      <xdr:colOff>27707</xdr:colOff>
      <xdr:row>16</xdr:row>
      <xdr:rowOff>180110</xdr:rowOff>
    </xdr:to>
    <xdr:sp macro="" textlink="">
      <xdr:nvSpPr>
        <xdr:cNvPr id="9" name="正方形/長方形 8"/>
        <xdr:cNvSpPr/>
      </xdr:nvSpPr>
      <xdr:spPr>
        <a:xfrm>
          <a:off x="10456105"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134470</xdr:colOff>
      <xdr:row>15</xdr:row>
      <xdr:rowOff>25265</xdr:rowOff>
    </xdr:from>
    <xdr:to>
      <xdr:col>24</xdr:col>
      <xdr:colOff>41563</xdr:colOff>
      <xdr:row>16</xdr:row>
      <xdr:rowOff>180110</xdr:rowOff>
    </xdr:to>
    <xdr:sp macro="" textlink="">
      <xdr:nvSpPr>
        <xdr:cNvPr id="10" name="正方形/長方形 9"/>
        <xdr:cNvSpPr/>
      </xdr:nvSpPr>
      <xdr:spPr>
        <a:xfrm>
          <a:off x="6036506"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56</xdr:col>
      <xdr:colOff>245306</xdr:colOff>
      <xdr:row>15</xdr:row>
      <xdr:rowOff>25265</xdr:rowOff>
    </xdr:from>
    <xdr:to>
      <xdr:col>58</xdr:col>
      <xdr:colOff>152399</xdr:colOff>
      <xdr:row>16</xdr:row>
      <xdr:rowOff>180110</xdr:rowOff>
    </xdr:to>
    <xdr:sp macro="" textlink="">
      <xdr:nvSpPr>
        <xdr:cNvPr id="11" name="正方形/長方形 10"/>
        <xdr:cNvSpPr/>
      </xdr:nvSpPr>
      <xdr:spPr>
        <a:xfrm>
          <a:off x="15568433"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203742</xdr:colOff>
      <xdr:row>15</xdr:row>
      <xdr:rowOff>25265</xdr:rowOff>
    </xdr:from>
    <xdr:to>
      <xdr:col>14</xdr:col>
      <xdr:colOff>110835</xdr:colOff>
      <xdr:row>16</xdr:row>
      <xdr:rowOff>180110</xdr:rowOff>
    </xdr:to>
    <xdr:sp macro="" textlink="">
      <xdr:nvSpPr>
        <xdr:cNvPr id="12" name="正方形/長方形 11"/>
        <xdr:cNvSpPr/>
      </xdr:nvSpPr>
      <xdr:spPr>
        <a:xfrm>
          <a:off x="3334869"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46</xdr:col>
      <xdr:colOff>37488</xdr:colOff>
      <xdr:row>15</xdr:row>
      <xdr:rowOff>25265</xdr:rowOff>
    </xdr:from>
    <xdr:to>
      <xdr:col>47</xdr:col>
      <xdr:colOff>221672</xdr:colOff>
      <xdr:row>16</xdr:row>
      <xdr:rowOff>180110</xdr:rowOff>
    </xdr:to>
    <xdr:sp macro="" textlink="">
      <xdr:nvSpPr>
        <xdr:cNvPr id="13" name="正方形/長方形 12"/>
        <xdr:cNvSpPr/>
      </xdr:nvSpPr>
      <xdr:spPr>
        <a:xfrm>
          <a:off x="12589706" y="3378065"/>
          <a:ext cx="461275" cy="40422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xdr:col>
      <xdr:colOff>173065</xdr:colOff>
      <xdr:row>17</xdr:row>
      <xdr:rowOff>47037</xdr:rowOff>
    </xdr:from>
    <xdr:to>
      <xdr:col>6</xdr:col>
      <xdr:colOff>80158</xdr:colOff>
      <xdr:row>18</xdr:row>
      <xdr:rowOff>201883</xdr:rowOff>
    </xdr:to>
    <xdr:sp macro="" textlink="">
      <xdr:nvSpPr>
        <xdr:cNvPr id="14" name="正方形/長方形 13"/>
        <xdr:cNvSpPr/>
      </xdr:nvSpPr>
      <xdr:spPr>
        <a:xfrm>
          <a:off x="1109236" y="3933237"/>
          <a:ext cx="473151"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173066</xdr:colOff>
      <xdr:row>17</xdr:row>
      <xdr:rowOff>47037</xdr:rowOff>
    </xdr:from>
    <xdr:to>
      <xdr:col>9</xdr:col>
      <xdr:colOff>80159</xdr:colOff>
      <xdr:row>18</xdr:row>
      <xdr:rowOff>201883</xdr:rowOff>
    </xdr:to>
    <xdr:sp macro="" textlink="">
      <xdr:nvSpPr>
        <xdr:cNvPr id="15" name="正方形/長方形 14"/>
        <xdr:cNvSpPr/>
      </xdr:nvSpPr>
      <xdr:spPr>
        <a:xfrm>
          <a:off x="1958323" y="3933237"/>
          <a:ext cx="473150"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34519</xdr:colOff>
      <xdr:row>17</xdr:row>
      <xdr:rowOff>47037</xdr:rowOff>
    </xdr:from>
    <xdr:to>
      <xdr:col>17</xdr:col>
      <xdr:colOff>218703</xdr:colOff>
      <xdr:row>18</xdr:row>
      <xdr:rowOff>201883</xdr:rowOff>
    </xdr:to>
    <xdr:sp macro="" textlink="">
      <xdr:nvSpPr>
        <xdr:cNvPr id="16" name="正方形/長方形 15"/>
        <xdr:cNvSpPr/>
      </xdr:nvSpPr>
      <xdr:spPr>
        <a:xfrm>
          <a:off x="4367033" y="3933237"/>
          <a:ext cx="467213"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51</xdr:col>
      <xdr:colOff>173065</xdr:colOff>
      <xdr:row>17</xdr:row>
      <xdr:rowOff>47037</xdr:rowOff>
    </xdr:from>
    <xdr:to>
      <xdr:col>53</xdr:col>
      <xdr:colOff>80158</xdr:colOff>
      <xdr:row>18</xdr:row>
      <xdr:rowOff>201883</xdr:rowOff>
    </xdr:to>
    <xdr:sp macro="" textlink="">
      <xdr:nvSpPr>
        <xdr:cNvPr id="17" name="正方形/長方形 16"/>
        <xdr:cNvSpPr/>
      </xdr:nvSpPr>
      <xdr:spPr>
        <a:xfrm>
          <a:off x="14411579" y="3933237"/>
          <a:ext cx="473150"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131500</xdr:colOff>
      <xdr:row>17</xdr:row>
      <xdr:rowOff>47037</xdr:rowOff>
    </xdr:from>
    <xdr:to>
      <xdr:col>40</xdr:col>
      <xdr:colOff>38593</xdr:colOff>
      <xdr:row>18</xdr:row>
      <xdr:rowOff>201883</xdr:rowOff>
    </xdr:to>
    <xdr:sp macro="" textlink="">
      <xdr:nvSpPr>
        <xdr:cNvPr id="18" name="正方形/長方形 17"/>
        <xdr:cNvSpPr/>
      </xdr:nvSpPr>
      <xdr:spPr>
        <a:xfrm>
          <a:off x="10690643" y="3933237"/>
          <a:ext cx="473150"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145356</xdr:colOff>
      <xdr:row>17</xdr:row>
      <xdr:rowOff>47037</xdr:rowOff>
    </xdr:from>
    <xdr:to>
      <xdr:col>24</xdr:col>
      <xdr:colOff>52449</xdr:colOff>
      <xdr:row>18</xdr:row>
      <xdr:rowOff>201883</xdr:rowOff>
    </xdr:to>
    <xdr:sp macro="" textlink="">
      <xdr:nvSpPr>
        <xdr:cNvPr id="19" name="正方形/長方形 18"/>
        <xdr:cNvSpPr/>
      </xdr:nvSpPr>
      <xdr:spPr>
        <a:xfrm>
          <a:off x="6176042" y="3933237"/>
          <a:ext cx="473150"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19</a:t>
          </a:r>
        </a:p>
      </xdr:txBody>
    </xdr:sp>
    <xdr:clientData/>
  </xdr:twoCellAnchor>
  <xdr:twoCellAnchor>
    <xdr:from>
      <xdr:col>56</xdr:col>
      <xdr:colOff>256192</xdr:colOff>
      <xdr:row>17</xdr:row>
      <xdr:rowOff>47037</xdr:rowOff>
    </xdr:from>
    <xdr:to>
      <xdr:col>58</xdr:col>
      <xdr:colOff>163285</xdr:colOff>
      <xdr:row>18</xdr:row>
      <xdr:rowOff>201883</xdr:rowOff>
    </xdr:to>
    <xdr:sp macro="" textlink="">
      <xdr:nvSpPr>
        <xdr:cNvPr id="20" name="正方形/長方形 19"/>
        <xdr:cNvSpPr/>
      </xdr:nvSpPr>
      <xdr:spPr>
        <a:xfrm>
          <a:off x="15909849" y="3933237"/>
          <a:ext cx="473150"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214628</xdr:colOff>
      <xdr:row>17</xdr:row>
      <xdr:rowOff>47037</xdr:rowOff>
    </xdr:from>
    <xdr:to>
      <xdr:col>14</xdr:col>
      <xdr:colOff>121721</xdr:colOff>
      <xdr:row>18</xdr:row>
      <xdr:rowOff>201883</xdr:rowOff>
    </xdr:to>
    <xdr:sp macro="" textlink="">
      <xdr:nvSpPr>
        <xdr:cNvPr id="21" name="正方形/長方形 20"/>
        <xdr:cNvSpPr/>
      </xdr:nvSpPr>
      <xdr:spPr>
        <a:xfrm>
          <a:off x="3415028" y="3933237"/>
          <a:ext cx="473150"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46</xdr:col>
      <xdr:colOff>48374</xdr:colOff>
      <xdr:row>17</xdr:row>
      <xdr:rowOff>47037</xdr:rowOff>
    </xdr:from>
    <xdr:to>
      <xdr:col>47</xdr:col>
      <xdr:colOff>232558</xdr:colOff>
      <xdr:row>18</xdr:row>
      <xdr:rowOff>201883</xdr:rowOff>
    </xdr:to>
    <xdr:sp macro="" textlink="">
      <xdr:nvSpPr>
        <xdr:cNvPr id="22" name="正方形/長方形 21"/>
        <xdr:cNvSpPr/>
      </xdr:nvSpPr>
      <xdr:spPr>
        <a:xfrm>
          <a:off x="12871745" y="3933237"/>
          <a:ext cx="467213" cy="405217"/>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448673</xdr:colOff>
      <xdr:row>45</xdr:row>
      <xdr:rowOff>58562</xdr:rowOff>
    </xdr:to>
    <xdr:pic>
      <xdr:nvPicPr>
        <xdr:cNvPr id="2" name="図 1"/>
        <xdr:cNvPicPr>
          <a:picLocks noChangeAspect="1"/>
        </xdr:cNvPicPr>
      </xdr:nvPicPr>
      <xdr:blipFill>
        <a:blip xmlns:r="http://schemas.openxmlformats.org/officeDocument/2006/relationships" r:embed="rId1"/>
        <a:stretch>
          <a:fillRect/>
        </a:stretch>
      </xdr:blipFill>
      <xdr:spPr>
        <a:xfrm>
          <a:off x="670560" y="228600"/>
          <a:ext cx="7154273" cy="1011696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spans="1:66" ht="20.100000000000001" customHeight="1" thickTop="1" x14ac:dyDescent="0.45">
      <c r="A2" s="8"/>
      <c r="B2" s="215" t="s">
        <v>0</v>
      </c>
      <c r="C2" s="198"/>
      <c r="D2" s="198"/>
      <c r="E2" s="198"/>
      <c r="F2" s="198"/>
      <c r="G2" s="198"/>
      <c r="H2" s="198" t="s">
        <v>17</v>
      </c>
      <c r="I2" s="198"/>
      <c r="J2" s="198"/>
      <c r="K2" s="198"/>
      <c r="L2" s="198" t="s">
        <v>353</v>
      </c>
      <c r="M2" s="198"/>
      <c r="N2" s="198"/>
      <c r="O2" s="198"/>
      <c r="P2" s="198"/>
      <c r="Q2" s="198"/>
      <c r="R2" s="198" t="s">
        <v>2</v>
      </c>
      <c r="S2" s="198"/>
      <c r="T2" s="198"/>
      <c r="U2" s="198"/>
      <c r="V2" s="198"/>
      <c r="W2" s="198"/>
      <c r="X2" s="210" t="s">
        <v>3</v>
      </c>
      <c r="Y2" s="211"/>
      <c r="Z2" s="211"/>
      <c r="AA2" s="211"/>
      <c r="AB2" s="211"/>
      <c r="AC2" s="211"/>
      <c r="AD2" s="211"/>
      <c r="AE2" s="211"/>
      <c r="AF2" s="211"/>
      <c r="AG2" s="211"/>
      <c r="AH2" s="211"/>
      <c r="AI2" s="211"/>
      <c r="AJ2" s="212"/>
      <c r="AK2" s="210" t="s">
        <v>31</v>
      </c>
      <c r="AL2" s="211"/>
      <c r="AM2" s="211"/>
      <c r="AN2" s="211"/>
      <c r="AO2" s="211"/>
      <c r="AP2" s="211"/>
      <c r="AQ2" s="211"/>
      <c r="AR2" s="211"/>
      <c r="AS2" s="211"/>
      <c r="AT2" s="211"/>
      <c r="AU2" s="211"/>
      <c r="AV2" s="211"/>
      <c r="AW2" s="212"/>
      <c r="AX2" s="198" t="s">
        <v>5</v>
      </c>
      <c r="AY2" s="198"/>
      <c r="AZ2" s="198"/>
      <c r="BA2" s="198"/>
      <c r="BB2" s="198" t="s">
        <v>4</v>
      </c>
      <c r="BC2" s="198"/>
      <c r="BD2" s="198"/>
      <c r="BE2" s="198"/>
      <c r="BF2" s="198" t="s">
        <v>6</v>
      </c>
      <c r="BG2" s="198"/>
      <c r="BH2" s="198"/>
      <c r="BI2" s="198"/>
      <c r="BJ2" s="198" t="s">
        <v>7</v>
      </c>
      <c r="BK2" s="198"/>
      <c r="BL2" s="198"/>
      <c r="BM2" s="199"/>
      <c r="BN2" s="14"/>
    </row>
    <row r="3" spans="1:66" ht="20.100000000000001" customHeight="1" x14ac:dyDescent="0.45">
      <c r="A3" s="8"/>
      <c r="B3" s="213" t="s">
        <v>351</v>
      </c>
      <c r="C3" s="201"/>
      <c r="D3" s="201"/>
      <c r="E3" s="201"/>
      <c r="F3" s="201"/>
      <c r="G3" s="201"/>
      <c r="H3" s="201" t="str">
        <f ca="1">LEFT($X$3,FIND("_",$X$3)-1)</f>
        <v>TK0600</v>
      </c>
      <c r="I3" s="201"/>
      <c r="J3" s="201"/>
      <c r="K3" s="201"/>
      <c r="L3" s="201" t="s">
        <v>352</v>
      </c>
      <c r="M3" s="201"/>
      <c r="N3" s="201"/>
      <c r="O3" s="201"/>
      <c r="P3" s="201"/>
      <c r="Q3" s="201"/>
      <c r="R3" s="214" t="str">
        <f ca="1">MID($X$3,FIND("_",$X$3,FIND("_",$X$3)+1)+1,LEN($X$3)-FIND("_",$X$3,FIND("_",$X$3)+1))</f>
        <v>帳票設計書</v>
      </c>
      <c r="S3" s="201"/>
      <c r="T3" s="201"/>
      <c r="U3" s="201"/>
      <c r="V3" s="201"/>
      <c r="W3" s="201"/>
      <c r="X3" s="204" t="str">
        <f ca="1">REPLACE(LEFT(CELL("filename",$B$2),FIND(".x",CELL("filename",$B$2))-1),1,FIND("[",CELL("filename",$B$2)),)</f>
        <v>TK0600_顧客別施工金額実績表_帳票設計書</v>
      </c>
      <c r="Y3" s="205"/>
      <c r="Z3" s="205"/>
      <c r="AA3" s="205"/>
      <c r="AB3" s="205"/>
      <c r="AC3" s="205"/>
      <c r="AD3" s="205"/>
      <c r="AE3" s="205"/>
      <c r="AF3" s="205"/>
      <c r="AG3" s="205"/>
      <c r="AH3" s="205"/>
      <c r="AI3" s="205"/>
      <c r="AJ3" s="206"/>
      <c r="AK3" s="204" t="str">
        <f ca="1">MID($X$3,FIND("_",$X$3)+1,FIND("_",$X$3,FIND("_",$X$3)+1)-FIND("_",$X$3)-1)</f>
        <v>顧客別施工金額実績表</v>
      </c>
      <c r="AL3" s="205"/>
      <c r="AM3" s="205"/>
      <c r="AN3" s="205"/>
      <c r="AO3" s="205"/>
      <c r="AP3" s="205"/>
      <c r="AQ3" s="205"/>
      <c r="AR3" s="205"/>
      <c r="AS3" s="205"/>
      <c r="AT3" s="205"/>
      <c r="AU3" s="205"/>
      <c r="AV3" s="205"/>
      <c r="AW3" s="206"/>
      <c r="AX3" s="200">
        <v>45581</v>
      </c>
      <c r="AY3" s="201"/>
      <c r="AZ3" s="201"/>
      <c r="BA3" s="201"/>
      <c r="BB3" s="201" t="s">
        <v>350</v>
      </c>
      <c r="BC3" s="201"/>
      <c r="BD3" s="201"/>
      <c r="BE3" s="201"/>
      <c r="BF3" s="200">
        <v>45581</v>
      </c>
      <c r="BG3" s="201"/>
      <c r="BH3" s="201"/>
      <c r="BI3" s="201"/>
      <c r="BJ3" s="201" t="s">
        <v>350</v>
      </c>
      <c r="BK3" s="201"/>
      <c r="BL3" s="201"/>
      <c r="BM3" s="203"/>
      <c r="BN3" s="14"/>
    </row>
    <row r="4" spans="1:66" ht="20.100000000000001" customHeight="1" thickBot="1" x14ac:dyDescent="0.5">
      <c r="A4" s="8"/>
      <c r="B4" s="206"/>
      <c r="C4" s="202"/>
      <c r="D4" s="202"/>
      <c r="E4" s="202"/>
      <c r="F4" s="202"/>
      <c r="G4" s="202"/>
      <c r="H4" s="202"/>
      <c r="I4" s="202"/>
      <c r="J4" s="202"/>
      <c r="K4" s="202"/>
      <c r="L4" s="202"/>
      <c r="M4" s="202"/>
      <c r="N4" s="202"/>
      <c r="O4" s="202"/>
      <c r="P4" s="202"/>
      <c r="Q4" s="202"/>
      <c r="R4" s="202"/>
      <c r="S4" s="202"/>
      <c r="T4" s="202"/>
      <c r="U4" s="202"/>
      <c r="V4" s="202"/>
      <c r="W4" s="202"/>
      <c r="X4" s="207"/>
      <c r="Y4" s="208"/>
      <c r="Z4" s="208"/>
      <c r="AA4" s="208"/>
      <c r="AB4" s="208"/>
      <c r="AC4" s="208"/>
      <c r="AD4" s="208"/>
      <c r="AE4" s="208"/>
      <c r="AF4" s="208"/>
      <c r="AG4" s="208"/>
      <c r="AH4" s="208"/>
      <c r="AI4" s="208"/>
      <c r="AJ4" s="209"/>
      <c r="AK4" s="207"/>
      <c r="AL4" s="208"/>
      <c r="AM4" s="208"/>
      <c r="AN4" s="208"/>
      <c r="AO4" s="208"/>
      <c r="AP4" s="208"/>
      <c r="AQ4" s="208"/>
      <c r="AR4" s="208"/>
      <c r="AS4" s="208"/>
      <c r="AT4" s="208"/>
      <c r="AU4" s="208"/>
      <c r="AV4" s="208"/>
      <c r="AW4" s="209"/>
      <c r="AX4" s="202"/>
      <c r="AY4" s="202"/>
      <c r="AZ4" s="202"/>
      <c r="BA4" s="202"/>
      <c r="BB4" s="202"/>
      <c r="BC4" s="202"/>
      <c r="BD4" s="202"/>
      <c r="BE4" s="202"/>
      <c r="BF4" s="202"/>
      <c r="BG4" s="202"/>
      <c r="BH4" s="202"/>
      <c r="BI4" s="202"/>
      <c r="BJ4" s="202"/>
      <c r="BK4" s="202"/>
      <c r="BL4" s="202"/>
      <c r="BM4" s="204"/>
      <c r="BN4" s="14"/>
    </row>
    <row r="5" spans="1:66" ht="5.25" customHeight="1" thickTop="1" thickBot="1" x14ac:dyDescent="0.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6" ht="20.100000000000001" customHeight="1" thickTop="1" x14ac:dyDescent="0.45">
      <c r="A6" s="8"/>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14"/>
    </row>
    <row r="7" spans="1:66" ht="20.100000000000001" customHeight="1" x14ac:dyDescent="0.45">
      <c r="A7" s="8"/>
      <c r="B7" s="7"/>
      <c r="C7" s="17" t="s">
        <v>15</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4"/>
    </row>
    <row r="8" spans="1:66" ht="20.100000000000001" customHeight="1" x14ac:dyDescent="0.45">
      <c r="A8" s="8"/>
      <c r="B8" s="7"/>
      <c r="C8" s="197" t="s">
        <v>8</v>
      </c>
      <c r="D8" s="197"/>
      <c r="E8" s="197"/>
      <c r="F8" s="197"/>
      <c r="G8" s="197" t="s">
        <v>9</v>
      </c>
      <c r="H8" s="197"/>
      <c r="I8" s="197"/>
      <c r="J8" s="197"/>
      <c r="K8" s="197" t="s">
        <v>10</v>
      </c>
      <c r="L8" s="197"/>
      <c r="M8" s="197"/>
      <c r="N8" s="197"/>
      <c r="O8" s="197" t="s">
        <v>11</v>
      </c>
      <c r="P8" s="197"/>
      <c r="Q8" s="197"/>
      <c r="R8" s="197"/>
      <c r="S8" s="197"/>
      <c r="T8" s="197"/>
      <c r="U8" s="197"/>
      <c r="V8" s="197"/>
      <c r="W8" s="197"/>
      <c r="X8" s="197"/>
      <c r="Y8" s="197" t="s">
        <v>12</v>
      </c>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7"/>
      <c r="BN8" s="14"/>
    </row>
    <row r="9" spans="1:66" ht="20.100000000000001" customHeight="1" x14ac:dyDescent="0.45">
      <c r="A9" s="8"/>
      <c r="B9" s="7"/>
      <c r="C9" s="196">
        <v>45581</v>
      </c>
      <c r="D9" s="194"/>
      <c r="E9" s="194"/>
      <c r="F9" s="195"/>
      <c r="G9" s="190" t="s">
        <v>16</v>
      </c>
      <c r="H9" s="191"/>
      <c r="I9" s="191"/>
      <c r="J9" s="192"/>
      <c r="K9" s="193" t="s">
        <v>350</v>
      </c>
      <c r="L9" s="194"/>
      <c r="M9" s="194"/>
      <c r="N9" s="195"/>
      <c r="O9" s="3" t="s">
        <v>14</v>
      </c>
      <c r="P9" s="4"/>
      <c r="Q9" s="4"/>
      <c r="R9" s="4"/>
      <c r="S9" s="4"/>
      <c r="T9" s="4"/>
      <c r="U9" s="4"/>
      <c r="V9" s="4"/>
      <c r="W9" s="4"/>
      <c r="X9" s="2"/>
      <c r="Y9" s="3" t="s">
        <v>13</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2"/>
      <c r="BM9" s="7"/>
      <c r="BN9" s="14"/>
    </row>
    <row r="10" spans="1:66" ht="20.100000000000001" customHeight="1" x14ac:dyDescent="0.45">
      <c r="A10" s="8"/>
      <c r="B10" s="7"/>
      <c r="C10" s="196"/>
      <c r="D10" s="194"/>
      <c r="E10" s="194"/>
      <c r="F10" s="195"/>
      <c r="G10" s="190"/>
      <c r="H10" s="191"/>
      <c r="I10" s="191"/>
      <c r="J10" s="192"/>
      <c r="K10" s="193"/>
      <c r="L10" s="194"/>
      <c r="M10" s="194"/>
      <c r="N10" s="195"/>
      <c r="O10" s="3"/>
      <c r="P10" s="4"/>
      <c r="Q10" s="4"/>
      <c r="R10" s="4"/>
      <c r="S10" s="4"/>
      <c r="T10" s="4"/>
      <c r="U10" s="4"/>
      <c r="V10" s="4"/>
      <c r="W10" s="4"/>
      <c r="X10" s="2"/>
      <c r="Y10" s="3"/>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2"/>
      <c r="BM10" s="7"/>
      <c r="BN10" s="14"/>
    </row>
    <row r="11" spans="1:66" ht="20.100000000000001" customHeight="1" x14ac:dyDescent="0.45">
      <c r="A11" s="8"/>
      <c r="B11" s="7"/>
      <c r="C11" s="196"/>
      <c r="D11" s="194"/>
      <c r="E11" s="194"/>
      <c r="F11" s="195"/>
      <c r="G11" s="190"/>
      <c r="H11" s="191"/>
      <c r="I11" s="191"/>
      <c r="J11" s="192"/>
      <c r="K11" s="193"/>
      <c r="L11" s="194"/>
      <c r="M11" s="194"/>
      <c r="N11" s="195"/>
      <c r="O11" s="3"/>
      <c r="P11" s="4"/>
      <c r="Q11" s="4"/>
      <c r="R11" s="4"/>
      <c r="S11" s="4"/>
      <c r="T11" s="4"/>
      <c r="U11" s="4"/>
      <c r="V11" s="4"/>
      <c r="W11" s="4"/>
      <c r="X11" s="2"/>
      <c r="Y11" s="3"/>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2"/>
      <c r="BM11" s="7"/>
      <c r="BN11" s="14"/>
    </row>
    <row r="12" spans="1:66" ht="20.100000000000001" customHeight="1" x14ac:dyDescent="0.45">
      <c r="A12" s="8"/>
      <c r="B12" s="7"/>
      <c r="C12" s="24"/>
      <c r="D12" s="22"/>
      <c r="E12" s="22"/>
      <c r="F12" s="23"/>
      <c r="G12" s="18"/>
      <c r="H12" s="19"/>
      <c r="I12" s="19"/>
      <c r="J12" s="20"/>
      <c r="K12" s="21"/>
      <c r="L12" s="22"/>
      <c r="M12" s="22"/>
      <c r="N12" s="23"/>
      <c r="O12" s="25"/>
      <c r="P12" s="4"/>
      <c r="Q12" s="4"/>
      <c r="R12" s="4"/>
      <c r="S12" s="4"/>
      <c r="T12" s="4"/>
      <c r="U12" s="4"/>
      <c r="V12" s="4"/>
      <c r="W12" s="4"/>
      <c r="X12" s="26"/>
      <c r="Y12" s="25"/>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26"/>
      <c r="BM12" s="7"/>
      <c r="BN12" s="14"/>
    </row>
    <row r="13" spans="1:66" ht="20.100000000000001" customHeight="1" x14ac:dyDescent="0.45">
      <c r="A13" s="8"/>
      <c r="B13" s="7"/>
      <c r="C13" s="24"/>
      <c r="D13" s="22"/>
      <c r="E13" s="22"/>
      <c r="F13" s="23"/>
      <c r="G13" s="18"/>
      <c r="H13" s="19"/>
      <c r="I13" s="19"/>
      <c r="J13" s="20"/>
      <c r="K13" s="21"/>
      <c r="L13" s="22"/>
      <c r="M13" s="22"/>
      <c r="N13" s="23"/>
      <c r="O13" s="25"/>
      <c r="P13" s="4"/>
      <c r="Q13" s="4"/>
      <c r="R13" s="4"/>
      <c r="S13" s="4"/>
      <c r="T13" s="4"/>
      <c r="U13" s="4"/>
      <c r="V13" s="4"/>
      <c r="W13" s="4"/>
      <c r="X13" s="26"/>
      <c r="Y13" s="25"/>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26"/>
      <c r="BM13" s="7"/>
      <c r="BN13" s="14"/>
    </row>
    <row r="14" spans="1:66" ht="20.100000000000001" customHeight="1" x14ac:dyDescent="0.45">
      <c r="A14" s="8"/>
      <c r="B14" s="7"/>
      <c r="C14" s="24"/>
      <c r="D14" s="22"/>
      <c r="E14" s="22"/>
      <c r="F14" s="23"/>
      <c r="G14" s="18"/>
      <c r="H14" s="19"/>
      <c r="I14" s="19"/>
      <c r="J14" s="20"/>
      <c r="K14" s="21"/>
      <c r="L14" s="22"/>
      <c r="M14" s="22"/>
      <c r="N14" s="23"/>
      <c r="O14" s="25"/>
      <c r="P14" s="4"/>
      <c r="Q14" s="4"/>
      <c r="R14" s="4"/>
      <c r="S14" s="4"/>
      <c r="T14" s="4"/>
      <c r="U14" s="4"/>
      <c r="V14" s="4"/>
      <c r="W14" s="4"/>
      <c r="X14" s="26"/>
      <c r="Y14" s="25"/>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26"/>
      <c r="BM14" s="7"/>
      <c r="BN14" s="14"/>
    </row>
    <row r="15" spans="1:66" ht="20.100000000000001" customHeight="1" x14ac:dyDescent="0.45">
      <c r="A15" s="8"/>
      <c r="B15" s="7"/>
      <c r="C15" s="24"/>
      <c r="D15" s="22"/>
      <c r="E15" s="22"/>
      <c r="F15" s="23"/>
      <c r="G15" s="18"/>
      <c r="H15" s="19"/>
      <c r="I15" s="19"/>
      <c r="J15" s="20"/>
      <c r="K15" s="21"/>
      <c r="L15" s="22"/>
      <c r="M15" s="22"/>
      <c r="N15" s="23"/>
      <c r="O15" s="25"/>
      <c r="P15" s="4"/>
      <c r="Q15" s="4"/>
      <c r="R15" s="4"/>
      <c r="S15" s="4"/>
      <c r="T15" s="4"/>
      <c r="U15" s="4"/>
      <c r="V15" s="4"/>
      <c r="W15" s="4"/>
      <c r="X15" s="26"/>
      <c r="Y15" s="25"/>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26"/>
      <c r="BM15" s="7"/>
      <c r="BN15" s="14"/>
    </row>
    <row r="16" spans="1:66" ht="20.100000000000001" customHeight="1" x14ac:dyDescent="0.45">
      <c r="A16" s="8"/>
      <c r="B16" s="7"/>
      <c r="C16" s="24"/>
      <c r="D16" s="22"/>
      <c r="E16" s="22"/>
      <c r="F16" s="23"/>
      <c r="G16" s="18"/>
      <c r="H16" s="19"/>
      <c r="I16" s="19"/>
      <c r="J16" s="20"/>
      <c r="K16" s="21"/>
      <c r="L16" s="22"/>
      <c r="M16" s="22"/>
      <c r="N16" s="23"/>
      <c r="O16" s="25"/>
      <c r="P16" s="4"/>
      <c r="Q16" s="4"/>
      <c r="R16" s="4"/>
      <c r="S16" s="4"/>
      <c r="T16" s="4"/>
      <c r="U16" s="4"/>
      <c r="V16" s="4"/>
      <c r="W16" s="4"/>
      <c r="X16" s="26"/>
      <c r="Y16" s="25"/>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26"/>
      <c r="BM16" s="7"/>
      <c r="BN16" s="14"/>
    </row>
    <row r="17" spans="1:66" ht="20.100000000000001" customHeight="1" x14ac:dyDescent="0.45">
      <c r="A17" s="8"/>
      <c r="B17" s="7"/>
      <c r="C17" s="24"/>
      <c r="D17" s="22"/>
      <c r="E17" s="22"/>
      <c r="F17" s="23"/>
      <c r="G17" s="18"/>
      <c r="H17" s="19"/>
      <c r="I17" s="19"/>
      <c r="J17" s="20"/>
      <c r="K17" s="21"/>
      <c r="L17" s="22"/>
      <c r="M17" s="22"/>
      <c r="N17" s="23"/>
      <c r="O17" s="25"/>
      <c r="P17" s="4"/>
      <c r="Q17" s="4"/>
      <c r="R17" s="4"/>
      <c r="S17" s="4"/>
      <c r="T17" s="4"/>
      <c r="U17" s="4"/>
      <c r="V17" s="4"/>
      <c r="W17" s="4"/>
      <c r="X17" s="26"/>
      <c r="Y17" s="25"/>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26"/>
      <c r="BM17" s="7"/>
      <c r="BN17" s="14"/>
    </row>
    <row r="18" spans="1:66" ht="20.100000000000001" customHeight="1" x14ac:dyDescent="0.45">
      <c r="A18" s="8"/>
      <c r="B18" s="7"/>
      <c r="C18" s="24"/>
      <c r="D18" s="22"/>
      <c r="E18" s="22"/>
      <c r="F18" s="23"/>
      <c r="G18" s="18"/>
      <c r="H18" s="19"/>
      <c r="I18" s="19"/>
      <c r="J18" s="20"/>
      <c r="K18" s="21"/>
      <c r="L18" s="22"/>
      <c r="M18" s="22"/>
      <c r="N18" s="23"/>
      <c r="O18" s="25"/>
      <c r="P18" s="4"/>
      <c r="Q18" s="4"/>
      <c r="R18" s="4"/>
      <c r="S18" s="4"/>
      <c r="T18" s="4"/>
      <c r="U18" s="4"/>
      <c r="V18" s="4"/>
      <c r="W18" s="4"/>
      <c r="X18" s="26"/>
      <c r="Y18" s="25"/>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26"/>
      <c r="BM18" s="7"/>
      <c r="BN18" s="14"/>
    </row>
    <row r="19" spans="1:66" ht="20.100000000000001" customHeight="1" x14ac:dyDescent="0.45">
      <c r="A19" s="8"/>
      <c r="B19" s="7"/>
      <c r="C19" s="24"/>
      <c r="D19" s="22"/>
      <c r="E19" s="22"/>
      <c r="F19" s="23"/>
      <c r="G19" s="18"/>
      <c r="H19" s="19"/>
      <c r="I19" s="19"/>
      <c r="J19" s="20"/>
      <c r="K19" s="21"/>
      <c r="L19" s="22"/>
      <c r="M19" s="22"/>
      <c r="N19" s="23"/>
      <c r="O19" s="25"/>
      <c r="P19" s="4"/>
      <c r="Q19" s="4"/>
      <c r="R19" s="4"/>
      <c r="S19" s="4"/>
      <c r="T19" s="4"/>
      <c r="U19" s="4"/>
      <c r="V19" s="4"/>
      <c r="W19" s="4"/>
      <c r="X19" s="26"/>
      <c r="Y19" s="25"/>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26"/>
      <c r="BM19" s="7"/>
      <c r="BN19" s="14"/>
    </row>
    <row r="20" spans="1:66" ht="20.100000000000001" customHeight="1" x14ac:dyDescent="0.45">
      <c r="A20" s="8"/>
      <c r="B20" s="7"/>
      <c r="C20" s="24"/>
      <c r="D20" s="22"/>
      <c r="E20" s="22"/>
      <c r="F20" s="23"/>
      <c r="G20" s="18"/>
      <c r="H20" s="19"/>
      <c r="I20" s="19"/>
      <c r="J20" s="20"/>
      <c r="K20" s="21"/>
      <c r="L20" s="22"/>
      <c r="M20" s="22"/>
      <c r="N20" s="23"/>
      <c r="O20" s="25"/>
      <c r="P20" s="4"/>
      <c r="Q20" s="4"/>
      <c r="R20" s="4"/>
      <c r="S20" s="4"/>
      <c r="T20" s="4"/>
      <c r="U20" s="4"/>
      <c r="V20" s="4"/>
      <c r="W20" s="4"/>
      <c r="X20" s="26"/>
      <c r="Y20" s="25"/>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26"/>
      <c r="BM20" s="7"/>
      <c r="BN20" s="14"/>
    </row>
    <row r="21" spans="1:66" ht="20.100000000000001" customHeight="1" x14ac:dyDescent="0.45">
      <c r="A21" s="8"/>
      <c r="B21" s="7"/>
      <c r="C21" s="24"/>
      <c r="D21" s="22"/>
      <c r="E21" s="22"/>
      <c r="F21" s="23"/>
      <c r="G21" s="18"/>
      <c r="H21" s="19"/>
      <c r="I21" s="19"/>
      <c r="J21" s="20"/>
      <c r="K21" s="21"/>
      <c r="L21" s="22"/>
      <c r="M21" s="22"/>
      <c r="N21" s="23"/>
      <c r="O21" s="25"/>
      <c r="P21" s="4"/>
      <c r="Q21" s="4"/>
      <c r="R21" s="4"/>
      <c r="S21" s="4"/>
      <c r="T21" s="4"/>
      <c r="U21" s="4"/>
      <c r="V21" s="4"/>
      <c r="W21" s="4"/>
      <c r="X21" s="26"/>
      <c r="Y21" s="25"/>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26"/>
      <c r="BM21" s="7"/>
      <c r="BN21" s="14"/>
    </row>
    <row r="22" spans="1:66" ht="20.100000000000001" customHeight="1" x14ac:dyDescent="0.45">
      <c r="A22" s="8"/>
      <c r="B22" s="7"/>
      <c r="C22" s="24"/>
      <c r="D22" s="22"/>
      <c r="E22" s="22"/>
      <c r="F22" s="23"/>
      <c r="G22" s="18"/>
      <c r="H22" s="19"/>
      <c r="I22" s="19"/>
      <c r="J22" s="20"/>
      <c r="K22" s="21"/>
      <c r="L22" s="22"/>
      <c r="M22" s="22"/>
      <c r="N22" s="23"/>
      <c r="O22" s="25"/>
      <c r="P22" s="4"/>
      <c r="Q22" s="4"/>
      <c r="R22" s="4"/>
      <c r="S22" s="4"/>
      <c r="T22" s="4"/>
      <c r="U22" s="4"/>
      <c r="V22" s="4"/>
      <c r="W22" s="4"/>
      <c r="X22" s="26"/>
      <c r="Y22" s="25"/>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26"/>
      <c r="BM22" s="7"/>
      <c r="BN22" s="14"/>
    </row>
    <row r="23" spans="1:66" ht="20.100000000000001" customHeight="1" x14ac:dyDescent="0.45">
      <c r="A23" s="8"/>
      <c r="B23" s="7"/>
      <c r="C23" s="24"/>
      <c r="D23" s="22"/>
      <c r="E23" s="22"/>
      <c r="F23" s="23"/>
      <c r="G23" s="18"/>
      <c r="H23" s="19"/>
      <c r="I23" s="19"/>
      <c r="J23" s="20"/>
      <c r="K23" s="21"/>
      <c r="L23" s="22"/>
      <c r="M23" s="22"/>
      <c r="N23" s="23"/>
      <c r="O23" s="25"/>
      <c r="P23" s="4"/>
      <c r="Q23" s="4"/>
      <c r="R23" s="4"/>
      <c r="S23" s="4"/>
      <c r="T23" s="4"/>
      <c r="U23" s="4"/>
      <c r="V23" s="4"/>
      <c r="W23" s="4"/>
      <c r="X23" s="26"/>
      <c r="Y23" s="25"/>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26"/>
      <c r="BM23" s="7"/>
      <c r="BN23" s="14"/>
    </row>
    <row r="24" spans="1:66" ht="20.100000000000001" customHeight="1" x14ac:dyDescent="0.45">
      <c r="A24" s="8"/>
      <c r="B24" s="7"/>
      <c r="C24" s="24"/>
      <c r="D24" s="22"/>
      <c r="E24" s="22"/>
      <c r="F24" s="23"/>
      <c r="G24" s="18"/>
      <c r="H24" s="19"/>
      <c r="I24" s="19"/>
      <c r="J24" s="20"/>
      <c r="K24" s="21"/>
      <c r="L24" s="22"/>
      <c r="M24" s="22"/>
      <c r="N24" s="23"/>
      <c r="O24" s="25"/>
      <c r="P24" s="4"/>
      <c r="Q24" s="4"/>
      <c r="R24" s="4"/>
      <c r="S24" s="4"/>
      <c r="T24" s="4"/>
      <c r="U24" s="4"/>
      <c r="V24" s="4"/>
      <c r="W24" s="4"/>
      <c r="X24" s="26"/>
      <c r="Y24" s="25"/>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26"/>
      <c r="BM24" s="7"/>
      <c r="BN24" s="14"/>
    </row>
    <row r="25" spans="1:66" ht="20.100000000000001" customHeight="1" x14ac:dyDescent="0.45">
      <c r="A25" s="8"/>
      <c r="B25" s="7"/>
      <c r="C25" s="24"/>
      <c r="D25" s="22"/>
      <c r="E25" s="22"/>
      <c r="F25" s="23"/>
      <c r="G25" s="18"/>
      <c r="H25" s="19"/>
      <c r="I25" s="19"/>
      <c r="J25" s="20"/>
      <c r="K25" s="21"/>
      <c r="L25" s="22"/>
      <c r="M25" s="22"/>
      <c r="N25" s="23"/>
      <c r="O25" s="25"/>
      <c r="P25" s="4"/>
      <c r="Q25" s="4"/>
      <c r="R25" s="4"/>
      <c r="S25" s="4"/>
      <c r="T25" s="4"/>
      <c r="U25" s="4"/>
      <c r="V25" s="4"/>
      <c r="W25" s="4"/>
      <c r="X25" s="26"/>
      <c r="Y25" s="25"/>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26"/>
      <c r="BM25" s="7"/>
      <c r="BN25" s="14"/>
    </row>
    <row r="26" spans="1:66" ht="20.100000000000001" customHeight="1" x14ac:dyDescent="0.45">
      <c r="A26" s="8"/>
      <c r="B26" s="7"/>
      <c r="C26" s="24"/>
      <c r="D26" s="22"/>
      <c r="E26" s="22"/>
      <c r="F26" s="23"/>
      <c r="G26" s="18"/>
      <c r="H26" s="19"/>
      <c r="I26" s="19"/>
      <c r="J26" s="20"/>
      <c r="K26" s="21"/>
      <c r="L26" s="22"/>
      <c r="M26" s="22"/>
      <c r="N26" s="23"/>
      <c r="O26" s="25"/>
      <c r="P26" s="4"/>
      <c r="Q26" s="4"/>
      <c r="R26" s="4"/>
      <c r="S26" s="4"/>
      <c r="T26" s="4"/>
      <c r="U26" s="4"/>
      <c r="V26" s="4"/>
      <c r="W26" s="4"/>
      <c r="X26" s="26"/>
      <c r="Y26" s="25"/>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26"/>
      <c r="BM26" s="7"/>
      <c r="BN26" s="14"/>
    </row>
    <row r="27" spans="1:66" ht="20.100000000000001" customHeight="1" x14ac:dyDescent="0.45">
      <c r="A27" s="8"/>
      <c r="B27" s="7"/>
      <c r="C27" s="24"/>
      <c r="D27" s="22"/>
      <c r="E27" s="22"/>
      <c r="F27" s="23"/>
      <c r="G27" s="18"/>
      <c r="H27" s="19"/>
      <c r="I27" s="19"/>
      <c r="J27" s="20"/>
      <c r="K27" s="21"/>
      <c r="L27" s="22"/>
      <c r="M27" s="22"/>
      <c r="N27" s="23"/>
      <c r="O27" s="25"/>
      <c r="P27" s="4"/>
      <c r="Q27" s="4"/>
      <c r="R27" s="4"/>
      <c r="S27" s="4"/>
      <c r="T27" s="4"/>
      <c r="U27" s="4"/>
      <c r="V27" s="4"/>
      <c r="W27" s="4"/>
      <c r="X27" s="26"/>
      <c r="Y27" s="25"/>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26"/>
      <c r="BM27" s="7"/>
      <c r="BN27" s="14"/>
    </row>
    <row r="28" spans="1:66" ht="20.100000000000001" customHeight="1" x14ac:dyDescent="0.45">
      <c r="A28" s="8"/>
      <c r="B28" s="7"/>
      <c r="C28" s="24"/>
      <c r="D28" s="22"/>
      <c r="E28" s="22"/>
      <c r="F28" s="23"/>
      <c r="G28" s="18"/>
      <c r="H28" s="19"/>
      <c r="I28" s="19"/>
      <c r="J28" s="20"/>
      <c r="K28" s="21"/>
      <c r="L28" s="22"/>
      <c r="M28" s="22"/>
      <c r="N28" s="23"/>
      <c r="O28" s="25"/>
      <c r="P28" s="4"/>
      <c r="Q28" s="4"/>
      <c r="R28" s="4"/>
      <c r="S28" s="4"/>
      <c r="T28" s="4"/>
      <c r="U28" s="4"/>
      <c r="V28" s="4"/>
      <c r="W28" s="4"/>
      <c r="X28" s="26"/>
      <c r="Y28" s="25"/>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26"/>
      <c r="BM28" s="7"/>
      <c r="BN28" s="14"/>
    </row>
    <row r="29" spans="1:66" ht="20.100000000000001" customHeight="1" x14ac:dyDescent="0.45">
      <c r="A29" s="8"/>
      <c r="B29" s="7"/>
      <c r="C29" s="24"/>
      <c r="D29" s="22"/>
      <c r="E29" s="22"/>
      <c r="F29" s="23"/>
      <c r="G29" s="18"/>
      <c r="H29" s="19"/>
      <c r="I29" s="19"/>
      <c r="J29" s="20"/>
      <c r="K29" s="21"/>
      <c r="L29" s="22"/>
      <c r="M29" s="22"/>
      <c r="N29" s="23"/>
      <c r="O29" s="25"/>
      <c r="P29" s="4"/>
      <c r="Q29" s="4"/>
      <c r="R29" s="4"/>
      <c r="S29" s="4"/>
      <c r="T29" s="4"/>
      <c r="U29" s="4"/>
      <c r="V29" s="4"/>
      <c r="W29" s="4"/>
      <c r="X29" s="26"/>
      <c r="Y29" s="25"/>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26"/>
      <c r="BM29" s="7"/>
      <c r="BN29" s="14"/>
    </row>
    <row r="30" spans="1:66" ht="20.100000000000001" customHeight="1" x14ac:dyDescent="0.45">
      <c r="A30" s="8"/>
      <c r="B30" s="7"/>
      <c r="C30" s="24"/>
      <c r="D30" s="22"/>
      <c r="E30" s="22"/>
      <c r="F30" s="23"/>
      <c r="G30" s="18"/>
      <c r="H30" s="19"/>
      <c r="I30" s="19"/>
      <c r="J30" s="20"/>
      <c r="K30" s="21"/>
      <c r="L30" s="22"/>
      <c r="M30" s="22"/>
      <c r="N30" s="23"/>
      <c r="O30" s="25"/>
      <c r="P30" s="4"/>
      <c r="Q30" s="4"/>
      <c r="R30" s="4"/>
      <c r="S30" s="4"/>
      <c r="T30" s="4"/>
      <c r="U30" s="4"/>
      <c r="V30" s="4"/>
      <c r="W30" s="4"/>
      <c r="X30" s="26"/>
      <c r="Y30" s="25"/>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26"/>
      <c r="BM30" s="7"/>
      <c r="BN30" s="14"/>
    </row>
    <row r="31" spans="1:66" ht="20.100000000000001" customHeight="1" x14ac:dyDescent="0.45">
      <c r="A31" s="8"/>
      <c r="B31" s="7"/>
      <c r="C31" s="24"/>
      <c r="D31" s="22"/>
      <c r="E31" s="22"/>
      <c r="F31" s="23"/>
      <c r="G31" s="18"/>
      <c r="H31" s="19"/>
      <c r="I31" s="19"/>
      <c r="J31" s="20"/>
      <c r="K31" s="21"/>
      <c r="L31" s="22"/>
      <c r="M31" s="22"/>
      <c r="N31" s="23"/>
      <c r="O31" s="25"/>
      <c r="P31" s="4"/>
      <c r="Q31" s="4"/>
      <c r="R31" s="4"/>
      <c r="S31" s="4"/>
      <c r="T31" s="4"/>
      <c r="U31" s="4"/>
      <c r="V31" s="4"/>
      <c r="W31" s="4"/>
      <c r="X31" s="26"/>
      <c r="Y31" s="25"/>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26"/>
      <c r="BM31" s="7"/>
      <c r="BN31" s="14"/>
    </row>
    <row r="32" spans="1:66" ht="20.100000000000001" customHeight="1" x14ac:dyDescent="0.45">
      <c r="A32" s="8"/>
      <c r="B32" s="7"/>
      <c r="C32" s="24"/>
      <c r="D32" s="22"/>
      <c r="E32" s="22"/>
      <c r="F32" s="23"/>
      <c r="G32" s="18"/>
      <c r="H32" s="19"/>
      <c r="I32" s="19"/>
      <c r="J32" s="20"/>
      <c r="K32" s="21"/>
      <c r="L32" s="22"/>
      <c r="M32" s="22"/>
      <c r="N32" s="23"/>
      <c r="O32" s="25"/>
      <c r="P32" s="4"/>
      <c r="Q32" s="4"/>
      <c r="R32" s="4"/>
      <c r="S32" s="4"/>
      <c r="T32" s="4"/>
      <c r="U32" s="4"/>
      <c r="V32" s="4"/>
      <c r="W32" s="4"/>
      <c r="X32" s="26"/>
      <c r="Y32" s="25"/>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26"/>
      <c r="BM32" s="7"/>
      <c r="BN32" s="14"/>
    </row>
    <row r="33" spans="1:66" ht="20.100000000000001" customHeight="1" x14ac:dyDescent="0.45">
      <c r="A33" s="8"/>
      <c r="B33" s="7"/>
      <c r="C33" s="24"/>
      <c r="D33" s="22"/>
      <c r="E33" s="22"/>
      <c r="F33" s="23"/>
      <c r="G33" s="18"/>
      <c r="H33" s="19"/>
      <c r="I33" s="19"/>
      <c r="J33" s="20"/>
      <c r="K33" s="21"/>
      <c r="L33" s="22"/>
      <c r="M33" s="22"/>
      <c r="N33" s="23"/>
      <c r="O33" s="25"/>
      <c r="P33" s="4"/>
      <c r="Q33" s="4"/>
      <c r="R33" s="4"/>
      <c r="S33" s="4"/>
      <c r="T33" s="4"/>
      <c r="U33" s="4"/>
      <c r="V33" s="4"/>
      <c r="W33" s="4"/>
      <c r="X33" s="26"/>
      <c r="Y33" s="25"/>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26"/>
      <c r="BM33" s="7"/>
      <c r="BN33" s="14"/>
    </row>
    <row r="34" spans="1:66" ht="20.100000000000001" customHeight="1" x14ac:dyDescent="0.45">
      <c r="A34" s="8"/>
      <c r="B34" s="7"/>
      <c r="C34" s="24"/>
      <c r="D34" s="22"/>
      <c r="E34" s="22"/>
      <c r="F34" s="23"/>
      <c r="G34" s="18"/>
      <c r="H34" s="19"/>
      <c r="I34" s="19"/>
      <c r="J34" s="20"/>
      <c r="K34" s="21"/>
      <c r="L34" s="22"/>
      <c r="M34" s="22"/>
      <c r="N34" s="23"/>
      <c r="O34" s="25"/>
      <c r="P34" s="4"/>
      <c r="Q34" s="4"/>
      <c r="R34" s="4"/>
      <c r="S34" s="4"/>
      <c r="T34" s="4"/>
      <c r="U34" s="4"/>
      <c r="V34" s="4"/>
      <c r="W34" s="4"/>
      <c r="X34" s="26"/>
      <c r="Y34" s="25"/>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26"/>
      <c r="BM34" s="7"/>
      <c r="BN34" s="14"/>
    </row>
    <row r="35" spans="1:66" ht="20.100000000000001" customHeight="1" x14ac:dyDescent="0.45">
      <c r="A35" s="8"/>
      <c r="B35" s="7"/>
      <c r="C35" s="24"/>
      <c r="D35" s="22"/>
      <c r="E35" s="22"/>
      <c r="F35" s="23"/>
      <c r="G35" s="18"/>
      <c r="H35" s="19"/>
      <c r="I35" s="19"/>
      <c r="J35" s="20"/>
      <c r="K35" s="21"/>
      <c r="L35" s="22"/>
      <c r="M35" s="22"/>
      <c r="N35" s="23"/>
      <c r="O35" s="25"/>
      <c r="P35" s="4"/>
      <c r="Q35" s="4"/>
      <c r="R35" s="4"/>
      <c r="S35" s="4"/>
      <c r="T35" s="4"/>
      <c r="U35" s="4"/>
      <c r="V35" s="4"/>
      <c r="W35" s="4"/>
      <c r="X35" s="26"/>
      <c r="Y35" s="25"/>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26"/>
      <c r="BM35" s="7"/>
      <c r="BN35" s="14"/>
    </row>
    <row r="36" spans="1:66" ht="20.100000000000001" customHeight="1" x14ac:dyDescent="0.45">
      <c r="A36" s="8"/>
      <c r="B36" s="7"/>
      <c r="C36" s="196"/>
      <c r="D36" s="194"/>
      <c r="E36" s="194"/>
      <c r="F36" s="195"/>
      <c r="G36" s="190"/>
      <c r="H36" s="191"/>
      <c r="I36" s="191"/>
      <c r="J36" s="192"/>
      <c r="K36" s="193"/>
      <c r="L36" s="194"/>
      <c r="M36" s="194"/>
      <c r="N36" s="195"/>
      <c r="O36" s="3"/>
      <c r="P36" s="4"/>
      <c r="Q36" s="4"/>
      <c r="R36" s="4"/>
      <c r="S36" s="4"/>
      <c r="T36" s="4"/>
      <c r="U36" s="4"/>
      <c r="V36" s="4"/>
      <c r="W36" s="4"/>
      <c r="X36" s="2"/>
      <c r="Y36" s="3"/>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2"/>
      <c r="BM36" s="7"/>
      <c r="BN36" s="14"/>
    </row>
    <row r="37" spans="1:66" ht="20.100000000000001" customHeight="1" x14ac:dyDescent="0.45">
      <c r="A37" s="8"/>
      <c r="B37" s="7"/>
      <c r="C37" s="196"/>
      <c r="D37" s="194"/>
      <c r="E37" s="194"/>
      <c r="F37" s="195"/>
      <c r="G37" s="190"/>
      <c r="H37" s="191"/>
      <c r="I37" s="191"/>
      <c r="J37" s="192"/>
      <c r="K37" s="193"/>
      <c r="L37" s="194"/>
      <c r="M37" s="194"/>
      <c r="N37" s="195"/>
      <c r="O37" s="3"/>
      <c r="P37" s="4"/>
      <c r="Q37" s="4"/>
      <c r="R37" s="4"/>
      <c r="S37" s="4"/>
      <c r="T37" s="4"/>
      <c r="U37" s="4"/>
      <c r="V37" s="4"/>
      <c r="W37" s="4"/>
      <c r="X37" s="2"/>
      <c r="Y37" s="3"/>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2"/>
      <c r="BM37" s="7"/>
      <c r="BN37" s="14"/>
    </row>
    <row r="38" spans="1:66" ht="20.100000000000001" customHeight="1" x14ac:dyDescent="0.45">
      <c r="A38" s="8"/>
      <c r="B38" s="7"/>
      <c r="C38" s="196"/>
      <c r="D38" s="194"/>
      <c r="E38" s="194"/>
      <c r="F38" s="195"/>
      <c r="G38" s="190"/>
      <c r="H38" s="191"/>
      <c r="I38" s="191"/>
      <c r="J38" s="192"/>
      <c r="K38" s="193"/>
      <c r="L38" s="194"/>
      <c r="M38" s="194"/>
      <c r="N38" s="195"/>
      <c r="O38" s="3"/>
      <c r="P38" s="4"/>
      <c r="Q38" s="4"/>
      <c r="R38" s="4"/>
      <c r="S38" s="4"/>
      <c r="T38" s="4"/>
      <c r="U38" s="4"/>
      <c r="V38" s="4"/>
      <c r="W38" s="4"/>
      <c r="X38" s="2"/>
      <c r="Y38" s="3"/>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2"/>
      <c r="BM38" s="7"/>
      <c r="BN38" s="14"/>
    </row>
    <row r="39" spans="1:66" ht="20.100000000000001" customHeight="1" x14ac:dyDescent="0.45">
      <c r="A39" s="8"/>
      <c r="B39" s="7"/>
      <c r="C39" s="196"/>
      <c r="D39" s="194"/>
      <c r="E39" s="194"/>
      <c r="F39" s="195"/>
      <c r="G39" s="190"/>
      <c r="H39" s="191"/>
      <c r="I39" s="191"/>
      <c r="J39" s="192"/>
      <c r="K39" s="193"/>
      <c r="L39" s="194"/>
      <c r="M39" s="194"/>
      <c r="N39" s="195"/>
      <c r="O39" s="3"/>
      <c r="P39" s="4"/>
      <c r="Q39" s="4"/>
      <c r="R39" s="4"/>
      <c r="S39" s="4"/>
      <c r="T39" s="4"/>
      <c r="U39" s="4"/>
      <c r="V39" s="4"/>
      <c r="W39" s="4"/>
      <c r="X39" s="2"/>
      <c r="Y39" s="3"/>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2"/>
      <c r="BM39" s="7"/>
      <c r="BN39" s="14"/>
    </row>
    <row r="40" spans="1:66" ht="20.100000000000001" customHeight="1" x14ac:dyDescent="0.45">
      <c r="A40" s="8"/>
      <c r="B40" s="7"/>
      <c r="C40" s="196"/>
      <c r="D40" s="194"/>
      <c r="E40" s="194"/>
      <c r="F40" s="195"/>
      <c r="G40" s="190"/>
      <c r="H40" s="191"/>
      <c r="I40" s="191"/>
      <c r="J40" s="192"/>
      <c r="K40" s="193"/>
      <c r="L40" s="194"/>
      <c r="M40" s="194"/>
      <c r="N40" s="195"/>
      <c r="O40" s="3"/>
      <c r="P40" s="4"/>
      <c r="Q40" s="4"/>
      <c r="R40" s="4"/>
      <c r="S40" s="4"/>
      <c r="T40" s="4"/>
      <c r="U40" s="4"/>
      <c r="V40" s="4"/>
      <c r="W40" s="4"/>
      <c r="X40" s="2"/>
      <c r="Y40" s="3"/>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2"/>
      <c r="BM40" s="7"/>
      <c r="BN40" s="14"/>
    </row>
    <row r="41" spans="1:66" ht="20.100000000000001" customHeight="1" x14ac:dyDescent="0.45">
      <c r="A41" s="8"/>
      <c r="B41" s="7"/>
      <c r="C41" s="196"/>
      <c r="D41" s="194"/>
      <c r="E41" s="194"/>
      <c r="F41" s="195"/>
      <c r="G41" s="190"/>
      <c r="H41" s="191"/>
      <c r="I41" s="191"/>
      <c r="J41" s="192"/>
      <c r="K41" s="193"/>
      <c r="L41" s="194"/>
      <c r="M41" s="194"/>
      <c r="N41" s="195"/>
      <c r="O41" s="3"/>
      <c r="P41" s="4"/>
      <c r="Q41" s="4"/>
      <c r="R41" s="4"/>
      <c r="S41" s="4"/>
      <c r="T41" s="4"/>
      <c r="U41" s="4"/>
      <c r="V41" s="4"/>
      <c r="W41" s="4"/>
      <c r="X41" s="2"/>
      <c r="Y41" s="3"/>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c r="BM41" s="7"/>
      <c r="BN41" s="14"/>
    </row>
    <row r="42" spans="1:66" ht="20.100000000000001" customHeight="1" x14ac:dyDescent="0.45">
      <c r="A42" s="8"/>
      <c r="B42" s="7"/>
      <c r="C42" s="196"/>
      <c r="D42" s="194"/>
      <c r="E42" s="194"/>
      <c r="F42" s="195"/>
      <c r="G42" s="190"/>
      <c r="H42" s="191"/>
      <c r="I42" s="191"/>
      <c r="J42" s="192"/>
      <c r="K42" s="193"/>
      <c r="L42" s="194"/>
      <c r="M42" s="194"/>
      <c r="N42" s="195"/>
      <c r="O42" s="3"/>
      <c r="P42" s="4"/>
      <c r="Q42" s="4"/>
      <c r="R42" s="4"/>
      <c r="S42" s="4"/>
      <c r="T42" s="4"/>
      <c r="U42" s="4"/>
      <c r="V42" s="4"/>
      <c r="W42" s="4"/>
      <c r="X42" s="2"/>
      <c r="Y42" s="3"/>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2"/>
      <c r="BM42" s="7"/>
      <c r="BN42" s="14"/>
    </row>
    <row r="43" spans="1:66" ht="20.100000000000001" customHeight="1" x14ac:dyDescent="0.45">
      <c r="A43" s="8"/>
      <c r="B43" s="7"/>
      <c r="C43" s="196"/>
      <c r="D43" s="194"/>
      <c r="E43" s="194"/>
      <c r="F43" s="195"/>
      <c r="G43" s="190"/>
      <c r="H43" s="191"/>
      <c r="I43" s="191"/>
      <c r="J43" s="192"/>
      <c r="K43" s="193"/>
      <c r="L43" s="194"/>
      <c r="M43" s="194"/>
      <c r="N43" s="195"/>
      <c r="O43" s="3"/>
      <c r="P43" s="4"/>
      <c r="Q43" s="4"/>
      <c r="R43" s="4"/>
      <c r="S43" s="4"/>
      <c r="T43" s="4"/>
      <c r="U43" s="4"/>
      <c r="V43" s="4"/>
      <c r="W43" s="4"/>
      <c r="X43" s="2"/>
      <c r="Y43" s="3"/>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2"/>
      <c r="BM43" s="7"/>
      <c r="BN43" s="14"/>
    </row>
    <row r="44" spans="1:66" ht="20.100000000000001" customHeight="1" x14ac:dyDescent="0.45">
      <c r="A44" s="8"/>
      <c r="B44" s="7"/>
      <c r="C44" s="196"/>
      <c r="D44" s="194"/>
      <c r="E44" s="194"/>
      <c r="F44" s="195"/>
      <c r="G44" s="190"/>
      <c r="H44" s="191"/>
      <c r="I44" s="191"/>
      <c r="J44" s="192"/>
      <c r="K44" s="193"/>
      <c r="L44" s="194"/>
      <c r="M44" s="194"/>
      <c r="N44" s="195"/>
      <c r="O44" s="3"/>
      <c r="P44" s="4"/>
      <c r="Q44" s="4"/>
      <c r="R44" s="4"/>
      <c r="S44" s="4"/>
      <c r="T44" s="4"/>
      <c r="U44" s="4"/>
      <c r="V44" s="4"/>
      <c r="W44" s="4"/>
      <c r="X44" s="2"/>
      <c r="Y44" s="3"/>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2"/>
      <c r="BM44" s="7"/>
      <c r="BN44" s="14"/>
    </row>
    <row r="45" spans="1:66" ht="20.100000000000001" customHeight="1" x14ac:dyDescent="0.45">
      <c r="A45" s="8"/>
      <c r="B45" s="7"/>
      <c r="C45" s="196"/>
      <c r="D45" s="194"/>
      <c r="E45" s="194"/>
      <c r="F45" s="195"/>
      <c r="G45" s="190"/>
      <c r="H45" s="191"/>
      <c r="I45" s="191"/>
      <c r="J45" s="192"/>
      <c r="K45" s="193"/>
      <c r="L45" s="194"/>
      <c r="M45" s="194"/>
      <c r="N45" s="195"/>
      <c r="O45" s="3"/>
      <c r="P45" s="4"/>
      <c r="Q45" s="4"/>
      <c r="R45" s="4"/>
      <c r="S45" s="4"/>
      <c r="T45" s="4"/>
      <c r="U45" s="4"/>
      <c r="V45" s="4"/>
      <c r="W45" s="4"/>
      <c r="X45" s="2"/>
      <c r="Y45" s="3"/>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2"/>
      <c r="BM45" s="7"/>
      <c r="BN45" s="14"/>
    </row>
    <row r="46" spans="1:66" ht="20.100000000000001" customHeight="1" x14ac:dyDescent="0.45">
      <c r="A46" s="8"/>
      <c r="B46" s="7"/>
      <c r="C46" s="196"/>
      <c r="D46" s="194"/>
      <c r="E46" s="194"/>
      <c r="F46" s="195"/>
      <c r="G46" s="190"/>
      <c r="H46" s="191"/>
      <c r="I46" s="191"/>
      <c r="J46" s="192"/>
      <c r="K46" s="193"/>
      <c r="L46" s="194"/>
      <c r="M46" s="194"/>
      <c r="N46" s="195"/>
      <c r="O46" s="3"/>
      <c r="P46" s="4"/>
      <c r="Q46" s="4"/>
      <c r="R46" s="4"/>
      <c r="S46" s="4"/>
      <c r="T46" s="4"/>
      <c r="U46" s="4"/>
      <c r="V46" s="4"/>
      <c r="W46" s="4"/>
      <c r="X46" s="2"/>
      <c r="Y46" s="3"/>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2"/>
      <c r="BM46" s="7"/>
      <c r="BN46" s="14"/>
    </row>
    <row r="47" spans="1:66" ht="20.100000000000001" customHeight="1" x14ac:dyDescent="0.45">
      <c r="A47" s="8"/>
      <c r="B47" s="7"/>
      <c r="C47" s="196"/>
      <c r="D47" s="194"/>
      <c r="E47" s="194"/>
      <c r="F47" s="195"/>
      <c r="G47" s="190"/>
      <c r="H47" s="191"/>
      <c r="I47" s="191"/>
      <c r="J47" s="192"/>
      <c r="K47" s="193"/>
      <c r="L47" s="194"/>
      <c r="M47" s="194"/>
      <c r="N47" s="195"/>
      <c r="O47" s="3"/>
      <c r="P47" s="4"/>
      <c r="Q47" s="4"/>
      <c r="R47" s="4"/>
      <c r="S47" s="4"/>
      <c r="T47" s="4"/>
      <c r="U47" s="4"/>
      <c r="V47" s="4"/>
      <c r="W47" s="4"/>
      <c r="X47" s="2"/>
      <c r="Y47" s="3"/>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2"/>
      <c r="BM47" s="7"/>
      <c r="BN47" s="14"/>
    </row>
    <row r="48" spans="1:66" ht="20.100000000000001" customHeight="1" thickBot="1" x14ac:dyDescent="0.5">
      <c r="A48" s="8"/>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14"/>
    </row>
    <row r="49" spans="2:65" ht="5.25" customHeight="1" thickTop="1" x14ac:dyDescent="0.4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32"/>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1:66" ht="20.100000000000001" customHeight="1" thickTop="1" x14ac:dyDescent="0.45">
      <c r="A2" s="32"/>
      <c r="B2" s="215" t="s">
        <v>0</v>
      </c>
      <c r="C2" s="198"/>
      <c r="D2" s="198"/>
      <c r="E2" s="198"/>
      <c r="F2" s="198"/>
      <c r="G2" s="198"/>
      <c r="H2" s="198" t="s">
        <v>17</v>
      </c>
      <c r="I2" s="198"/>
      <c r="J2" s="198"/>
      <c r="K2" s="198"/>
      <c r="L2" s="198" t="s">
        <v>353</v>
      </c>
      <c r="M2" s="198"/>
      <c r="N2" s="198"/>
      <c r="O2" s="198"/>
      <c r="P2" s="198"/>
      <c r="Q2" s="198"/>
      <c r="R2" s="198" t="s">
        <v>2</v>
      </c>
      <c r="S2" s="198"/>
      <c r="T2" s="198"/>
      <c r="U2" s="198"/>
      <c r="V2" s="198"/>
      <c r="W2" s="198"/>
      <c r="X2" s="210" t="s">
        <v>3</v>
      </c>
      <c r="Y2" s="211"/>
      <c r="Z2" s="211"/>
      <c r="AA2" s="211"/>
      <c r="AB2" s="211"/>
      <c r="AC2" s="211"/>
      <c r="AD2" s="211"/>
      <c r="AE2" s="211"/>
      <c r="AF2" s="211"/>
      <c r="AG2" s="211"/>
      <c r="AH2" s="211"/>
      <c r="AI2" s="211"/>
      <c r="AJ2" s="212"/>
      <c r="AK2" s="210" t="s">
        <v>32</v>
      </c>
      <c r="AL2" s="211"/>
      <c r="AM2" s="211"/>
      <c r="AN2" s="211"/>
      <c r="AO2" s="211"/>
      <c r="AP2" s="211"/>
      <c r="AQ2" s="211"/>
      <c r="AR2" s="211"/>
      <c r="AS2" s="211"/>
      <c r="AT2" s="211"/>
      <c r="AU2" s="211"/>
      <c r="AV2" s="211"/>
      <c r="AW2" s="212"/>
      <c r="AX2" s="198" t="s">
        <v>5</v>
      </c>
      <c r="AY2" s="198"/>
      <c r="AZ2" s="198"/>
      <c r="BA2" s="198"/>
      <c r="BB2" s="198" t="s">
        <v>4</v>
      </c>
      <c r="BC2" s="198"/>
      <c r="BD2" s="198"/>
      <c r="BE2" s="198"/>
      <c r="BF2" s="198" t="s">
        <v>6</v>
      </c>
      <c r="BG2" s="198"/>
      <c r="BH2" s="198"/>
      <c r="BI2" s="198"/>
      <c r="BJ2" s="198" t="s">
        <v>7</v>
      </c>
      <c r="BK2" s="198"/>
      <c r="BL2" s="198"/>
      <c r="BM2" s="199"/>
      <c r="BN2" s="35"/>
    </row>
    <row r="3" spans="1:66" ht="20.100000000000001" customHeight="1" x14ac:dyDescent="0.45">
      <c r="A3" s="32"/>
      <c r="B3" s="213" t="str">
        <f>変更履歴!B3</f>
        <v>受発注システム</v>
      </c>
      <c r="C3" s="201"/>
      <c r="D3" s="201"/>
      <c r="E3" s="201"/>
      <c r="F3" s="201"/>
      <c r="G3" s="201"/>
      <c r="H3" s="201" t="str">
        <f ca="1">変更履歴!H3</f>
        <v>TK0600</v>
      </c>
      <c r="I3" s="201"/>
      <c r="J3" s="201"/>
      <c r="K3" s="201"/>
      <c r="L3" s="201" t="str">
        <f>変更履歴!L3</f>
        <v>受発注</v>
      </c>
      <c r="M3" s="201"/>
      <c r="N3" s="201"/>
      <c r="O3" s="201"/>
      <c r="P3" s="201"/>
      <c r="Q3" s="201"/>
      <c r="R3" s="201" t="str">
        <f ca="1">変更履歴!R3</f>
        <v>帳票設計書</v>
      </c>
      <c r="S3" s="201"/>
      <c r="T3" s="201"/>
      <c r="U3" s="201"/>
      <c r="V3" s="201"/>
      <c r="W3" s="201"/>
      <c r="X3" s="204" t="str">
        <f ca="1">変更履歴!X3</f>
        <v>TK0600_顧客別施工金額実績表_帳票設計書</v>
      </c>
      <c r="Y3" s="205"/>
      <c r="Z3" s="205"/>
      <c r="AA3" s="205"/>
      <c r="AB3" s="205"/>
      <c r="AC3" s="205"/>
      <c r="AD3" s="205"/>
      <c r="AE3" s="205"/>
      <c r="AF3" s="205"/>
      <c r="AG3" s="205"/>
      <c r="AH3" s="205"/>
      <c r="AI3" s="205"/>
      <c r="AJ3" s="206"/>
      <c r="AK3" s="204" t="str">
        <f ca="1">変更履歴!AK3</f>
        <v>顧客別施工金額実績表</v>
      </c>
      <c r="AL3" s="205"/>
      <c r="AM3" s="205"/>
      <c r="AN3" s="205"/>
      <c r="AO3" s="205"/>
      <c r="AP3" s="205"/>
      <c r="AQ3" s="205"/>
      <c r="AR3" s="205"/>
      <c r="AS3" s="205"/>
      <c r="AT3" s="205"/>
      <c r="AU3" s="205"/>
      <c r="AV3" s="205"/>
      <c r="AW3" s="206"/>
      <c r="AX3" s="200">
        <f>変更履歴!AX3</f>
        <v>45581</v>
      </c>
      <c r="AY3" s="200"/>
      <c r="AZ3" s="200"/>
      <c r="BA3" s="200"/>
      <c r="BB3" s="201" t="str">
        <f>変更履歴!BB3</f>
        <v>大谷</v>
      </c>
      <c r="BC3" s="201"/>
      <c r="BD3" s="201"/>
      <c r="BE3" s="201"/>
      <c r="BF3" s="200">
        <f>変更履歴!BF3</f>
        <v>45581</v>
      </c>
      <c r="BG3" s="200"/>
      <c r="BH3" s="200"/>
      <c r="BI3" s="200"/>
      <c r="BJ3" s="201" t="str">
        <f>変更履歴!BJ3</f>
        <v>大谷</v>
      </c>
      <c r="BK3" s="201"/>
      <c r="BL3" s="201"/>
      <c r="BM3" s="203"/>
      <c r="BN3" s="35"/>
    </row>
    <row r="4" spans="1:66" ht="20.100000000000001" customHeight="1" thickBot="1" x14ac:dyDescent="0.5">
      <c r="A4" s="32"/>
      <c r="B4" s="206"/>
      <c r="C4" s="202"/>
      <c r="D4" s="202"/>
      <c r="E4" s="202"/>
      <c r="F4" s="202"/>
      <c r="G4" s="202"/>
      <c r="H4" s="202"/>
      <c r="I4" s="202"/>
      <c r="J4" s="202"/>
      <c r="K4" s="202"/>
      <c r="L4" s="202"/>
      <c r="M4" s="202"/>
      <c r="N4" s="202"/>
      <c r="O4" s="202"/>
      <c r="P4" s="202"/>
      <c r="Q4" s="202"/>
      <c r="R4" s="202"/>
      <c r="S4" s="202"/>
      <c r="T4" s="202"/>
      <c r="U4" s="202"/>
      <c r="V4" s="202"/>
      <c r="W4" s="202"/>
      <c r="X4" s="207"/>
      <c r="Y4" s="208"/>
      <c r="Z4" s="208"/>
      <c r="AA4" s="208"/>
      <c r="AB4" s="208"/>
      <c r="AC4" s="208"/>
      <c r="AD4" s="208"/>
      <c r="AE4" s="208"/>
      <c r="AF4" s="208"/>
      <c r="AG4" s="208"/>
      <c r="AH4" s="208"/>
      <c r="AI4" s="208"/>
      <c r="AJ4" s="209"/>
      <c r="AK4" s="207"/>
      <c r="AL4" s="208"/>
      <c r="AM4" s="208"/>
      <c r="AN4" s="208"/>
      <c r="AO4" s="208"/>
      <c r="AP4" s="208"/>
      <c r="AQ4" s="208"/>
      <c r="AR4" s="208"/>
      <c r="AS4" s="208"/>
      <c r="AT4" s="208"/>
      <c r="AU4" s="208"/>
      <c r="AV4" s="208"/>
      <c r="AW4" s="209"/>
      <c r="AX4" s="216"/>
      <c r="AY4" s="216"/>
      <c r="AZ4" s="216"/>
      <c r="BA4" s="216"/>
      <c r="BB4" s="202"/>
      <c r="BC4" s="202"/>
      <c r="BD4" s="202"/>
      <c r="BE4" s="202"/>
      <c r="BF4" s="216"/>
      <c r="BG4" s="216"/>
      <c r="BH4" s="216"/>
      <c r="BI4" s="216"/>
      <c r="BJ4" s="202"/>
      <c r="BK4" s="202"/>
      <c r="BL4" s="202"/>
      <c r="BM4" s="204"/>
      <c r="BN4" s="35"/>
    </row>
    <row r="5" spans="1:66" ht="5.25" customHeight="1" thickTop="1" thickBot="1" x14ac:dyDescent="0.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row>
    <row r="6" spans="1:66" ht="20.100000000000001" customHeight="1" thickTop="1" thickBot="1" x14ac:dyDescent="0.5">
      <c r="A6" s="32"/>
      <c r="B6" s="31"/>
      <c r="C6" s="31"/>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31"/>
      <c r="BK6" s="31"/>
      <c r="BL6" s="31"/>
      <c r="BM6" s="31"/>
      <c r="BN6" s="35"/>
    </row>
    <row r="7" spans="1:66" ht="20.100000000000001" customHeight="1" thickTop="1" x14ac:dyDescent="0.45">
      <c r="A7" s="32"/>
      <c r="B7" s="31"/>
      <c r="C7" s="32"/>
      <c r="D7" s="66" t="s">
        <v>22</v>
      </c>
      <c r="E7" s="47"/>
      <c r="F7" s="47"/>
      <c r="G7" s="67"/>
      <c r="H7" s="48" t="str">
        <f ca="1">AK3</f>
        <v>顧客別施工金額実績表</v>
      </c>
      <c r="I7" s="48"/>
      <c r="J7" s="48"/>
      <c r="K7" s="48"/>
      <c r="L7" s="48"/>
      <c r="M7" s="48"/>
      <c r="N7" s="48"/>
      <c r="O7" s="48"/>
      <c r="P7" s="48"/>
      <c r="Q7" s="48"/>
      <c r="R7" s="48"/>
      <c r="S7" s="48"/>
      <c r="T7" s="48"/>
      <c r="U7" s="48"/>
      <c r="V7" s="48"/>
      <c r="W7" s="48"/>
      <c r="X7" s="48"/>
      <c r="Y7" s="48"/>
      <c r="Z7" s="48"/>
      <c r="AA7" s="48"/>
      <c r="AB7" s="48"/>
      <c r="AC7" s="48"/>
      <c r="AD7" s="48"/>
      <c r="AE7" s="48"/>
      <c r="AF7" s="48"/>
      <c r="AG7" s="48"/>
      <c r="AH7" s="48"/>
      <c r="AI7" s="51"/>
      <c r="AJ7" s="51"/>
      <c r="AK7" s="51"/>
      <c r="AL7" s="51"/>
      <c r="AM7" s="51"/>
      <c r="AN7" s="48"/>
      <c r="AO7" s="48"/>
      <c r="AP7" s="48"/>
      <c r="AQ7" s="48"/>
      <c r="AR7" s="48"/>
      <c r="AS7" s="48"/>
      <c r="AT7" s="48"/>
      <c r="AU7" s="48"/>
      <c r="AV7" s="48"/>
      <c r="AW7" s="48"/>
      <c r="AX7" s="48"/>
      <c r="AY7" s="48"/>
      <c r="AZ7" s="48"/>
      <c r="BA7" s="48"/>
      <c r="BB7" s="48"/>
      <c r="BC7" s="48"/>
      <c r="BD7" s="48"/>
      <c r="BE7" s="49"/>
      <c r="BF7" s="49"/>
      <c r="BG7" s="49"/>
      <c r="BH7" s="49"/>
      <c r="BI7" s="49"/>
      <c r="BJ7" s="35"/>
      <c r="BK7" s="31"/>
      <c r="BL7" s="31"/>
      <c r="BM7" s="31"/>
      <c r="BN7" s="35"/>
    </row>
    <row r="8" spans="1:66" ht="20.100000000000001" customHeight="1" x14ac:dyDescent="0.45">
      <c r="A8" s="32"/>
      <c r="B8" s="31"/>
      <c r="C8" s="32"/>
      <c r="D8" s="59" t="s">
        <v>25</v>
      </c>
      <c r="E8" s="50"/>
      <c r="F8" s="50"/>
      <c r="G8" s="56"/>
      <c r="H8" s="51" t="s">
        <v>67</v>
      </c>
      <c r="I8" s="51"/>
      <c r="J8" s="51"/>
      <c r="K8" s="51"/>
      <c r="L8" s="51"/>
      <c r="M8" s="51"/>
      <c r="N8" s="51"/>
      <c r="O8" s="51"/>
      <c r="P8" s="64"/>
      <c r="Q8" s="62"/>
      <c r="R8" s="64"/>
      <c r="S8" s="62"/>
      <c r="T8" s="62"/>
      <c r="U8" s="62"/>
      <c r="V8" s="62"/>
      <c r="W8" s="62"/>
      <c r="X8" s="62"/>
      <c r="Y8" s="62"/>
      <c r="Z8" s="62"/>
      <c r="AA8" s="62"/>
      <c r="AB8" s="62"/>
      <c r="AC8" s="62"/>
      <c r="AD8" s="62"/>
      <c r="AE8" s="62"/>
      <c r="AF8" s="62"/>
      <c r="AG8" s="62"/>
      <c r="AH8" s="62"/>
      <c r="AI8" s="62"/>
      <c r="AJ8" s="62"/>
      <c r="AK8" s="62"/>
      <c r="AL8" s="62"/>
      <c r="AM8" s="62"/>
      <c r="AN8" s="62"/>
      <c r="AO8" s="62"/>
      <c r="AP8" s="62"/>
      <c r="AQ8" s="62"/>
      <c r="AR8" s="51"/>
      <c r="AS8" s="51"/>
      <c r="AT8" s="51"/>
      <c r="AU8" s="51"/>
      <c r="AV8" s="51"/>
      <c r="AW8" s="51"/>
      <c r="AX8" s="51"/>
      <c r="AY8" s="51"/>
      <c r="AZ8" s="51"/>
      <c r="BA8" s="51"/>
      <c r="BB8" s="51"/>
      <c r="BC8" s="51"/>
      <c r="BD8" s="51"/>
      <c r="BE8" s="52"/>
      <c r="BF8" s="52"/>
      <c r="BG8" s="52"/>
      <c r="BH8" s="52"/>
      <c r="BI8" s="52"/>
      <c r="BJ8" s="35"/>
      <c r="BK8" s="31"/>
      <c r="BL8" s="31"/>
      <c r="BM8" s="31"/>
      <c r="BN8" s="35"/>
    </row>
    <row r="9" spans="1:66" ht="20.100000000000001" customHeight="1" x14ac:dyDescent="0.45">
      <c r="A9" s="32"/>
      <c r="B9" s="31"/>
      <c r="C9" s="32"/>
      <c r="D9" s="59" t="s">
        <v>23</v>
      </c>
      <c r="E9" s="50"/>
      <c r="F9" s="50"/>
      <c r="G9" s="56"/>
      <c r="H9" s="51" t="s">
        <v>68</v>
      </c>
      <c r="I9" s="51"/>
      <c r="J9" s="51"/>
      <c r="K9" s="51"/>
      <c r="M9" s="51"/>
      <c r="N9" s="51"/>
      <c r="O9" s="51"/>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51"/>
      <c r="AS9" s="51"/>
      <c r="AT9" s="51"/>
      <c r="AU9" s="51"/>
      <c r="AV9" s="51"/>
      <c r="AW9" s="51"/>
      <c r="AX9" s="51"/>
      <c r="AY9" s="51"/>
      <c r="AZ9" s="51"/>
      <c r="BA9" s="51"/>
      <c r="BB9" s="51"/>
      <c r="BC9" s="51"/>
      <c r="BD9" s="51"/>
      <c r="BE9" s="52"/>
      <c r="BF9" s="52"/>
      <c r="BG9" s="52"/>
      <c r="BH9" s="52"/>
      <c r="BI9" s="52"/>
      <c r="BJ9" s="35"/>
      <c r="BK9" s="31"/>
      <c r="BL9" s="31"/>
      <c r="BM9" s="31"/>
      <c r="BN9" s="35"/>
    </row>
    <row r="10" spans="1:66" ht="20.100000000000001" customHeight="1" x14ac:dyDescent="0.45">
      <c r="A10" s="32"/>
      <c r="B10" s="31"/>
      <c r="C10" s="32"/>
      <c r="D10" s="59" t="s">
        <v>26</v>
      </c>
      <c r="E10" s="50"/>
      <c r="F10" s="50"/>
      <c r="G10" s="56"/>
      <c r="H10" s="54" t="s">
        <v>69</v>
      </c>
      <c r="I10" s="54"/>
      <c r="J10" s="54"/>
      <c r="K10" s="54"/>
      <c r="L10" s="54"/>
      <c r="M10" s="54"/>
      <c r="N10" s="54"/>
      <c r="O10" s="54"/>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54"/>
      <c r="AS10" s="54"/>
      <c r="AT10" s="54"/>
      <c r="AU10" s="54"/>
      <c r="AV10" s="54"/>
      <c r="AW10" s="54"/>
      <c r="AX10" s="54"/>
      <c r="AY10" s="54"/>
      <c r="AZ10" s="54"/>
      <c r="BA10" s="54"/>
      <c r="BB10" s="54"/>
      <c r="BC10" s="54"/>
      <c r="BD10" s="54"/>
      <c r="BE10" s="55"/>
      <c r="BF10" s="55"/>
      <c r="BG10" s="55"/>
      <c r="BH10" s="55"/>
      <c r="BI10" s="55"/>
      <c r="BJ10" s="35"/>
      <c r="BK10" s="31"/>
      <c r="BL10" s="31"/>
      <c r="BM10" s="31"/>
      <c r="BN10" s="35"/>
    </row>
    <row r="11" spans="1:66" ht="20.100000000000001" customHeight="1" x14ac:dyDescent="0.45">
      <c r="A11" s="32"/>
      <c r="B11" s="31"/>
      <c r="C11" s="31"/>
      <c r="D11" s="59" t="s">
        <v>27</v>
      </c>
      <c r="E11" s="50"/>
      <c r="F11" s="50"/>
      <c r="G11" s="56"/>
      <c r="H11" s="54" t="s">
        <v>70</v>
      </c>
      <c r="I11" s="54"/>
      <c r="J11" s="54"/>
      <c r="K11" s="54"/>
      <c r="L11" s="54"/>
      <c r="M11" s="54"/>
      <c r="N11" s="54"/>
      <c r="O11" s="54"/>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54"/>
      <c r="AS11" s="54"/>
      <c r="AT11" s="54"/>
      <c r="AU11" s="54"/>
      <c r="AV11" s="54"/>
      <c r="AW11" s="54"/>
      <c r="AX11" s="54"/>
      <c r="AY11" s="54"/>
      <c r="AZ11" s="54"/>
      <c r="BA11" s="54"/>
      <c r="BB11" s="54"/>
      <c r="BC11" s="54"/>
      <c r="BD11" s="54"/>
      <c r="BE11" s="55"/>
      <c r="BF11" s="55"/>
      <c r="BG11" s="55"/>
      <c r="BH11" s="55"/>
      <c r="BI11" s="65"/>
      <c r="BJ11" s="31"/>
      <c r="BK11" s="31"/>
      <c r="BL11" s="31"/>
      <c r="BM11" s="31"/>
      <c r="BN11" s="35"/>
    </row>
    <row r="12" spans="1:66" ht="20.100000000000001" customHeight="1" x14ac:dyDescent="0.45">
      <c r="A12" s="32"/>
      <c r="B12" s="31"/>
      <c r="C12" s="31"/>
      <c r="D12" s="59" t="s">
        <v>28</v>
      </c>
      <c r="E12" s="50"/>
      <c r="F12" s="50"/>
      <c r="G12" s="56"/>
      <c r="H12" s="54" t="s">
        <v>71</v>
      </c>
      <c r="I12" s="54"/>
      <c r="J12" s="54"/>
      <c r="K12" s="54"/>
      <c r="L12" s="54"/>
      <c r="M12" s="54"/>
      <c r="N12" s="54"/>
      <c r="O12" s="54"/>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54"/>
      <c r="AS12" s="54"/>
      <c r="AT12" s="54"/>
      <c r="AU12" s="54"/>
      <c r="AV12" s="54"/>
      <c r="AW12" s="54"/>
      <c r="AX12" s="54"/>
      <c r="AY12" s="54"/>
      <c r="AZ12" s="54"/>
      <c r="BA12" s="54"/>
      <c r="BB12" s="54"/>
      <c r="BC12" s="54"/>
      <c r="BD12" s="54"/>
      <c r="BE12" s="55"/>
      <c r="BF12" s="55"/>
      <c r="BG12" s="55"/>
      <c r="BH12" s="55"/>
      <c r="BI12" s="65"/>
      <c r="BJ12" s="31"/>
      <c r="BK12" s="31"/>
      <c r="BL12" s="31"/>
      <c r="BM12" s="31"/>
      <c r="BN12" s="35"/>
    </row>
    <row r="13" spans="1:66" ht="20.100000000000001" customHeight="1" x14ac:dyDescent="0.45">
      <c r="A13" s="32"/>
      <c r="B13" s="31"/>
      <c r="C13" s="31"/>
      <c r="D13" s="59" t="s">
        <v>29</v>
      </c>
      <c r="E13" s="50"/>
      <c r="F13" s="50"/>
      <c r="G13" s="56"/>
      <c r="H13" s="54" t="s">
        <v>72</v>
      </c>
      <c r="I13" s="54"/>
      <c r="J13" s="54"/>
      <c r="K13" s="54"/>
      <c r="L13" s="54"/>
      <c r="M13" s="54"/>
      <c r="N13" s="54"/>
      <c r="O13" s="54"/>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54"/>
      <c r="AS13" s="54"/>
      <c r="AT13" s="54"/>
      <c r="AU13" s="54"/>
      <c r="AV13" s="54"/>
      <c r="AW13" s="54"/>
      <c r="AX13" s="54"/>
      <c r="AY13" s="54"/>
      <c r="AZ13" s="54"/>
      <c r="BA13" s="54"/>
      <c r="BB13" s="54"/>
      <c r="BC13" s="54"/>
      <c r="BD13" s="54"/>
      <c r="BE13" s="55"/>
      <c r="BF13" s="55"/>
      <c r="BG13" s="55"/>
      <c r="BH13" s="52"/>
      <c r="BI13" s="60"/>
      <c r="BJ13" s="31"/>
      <c r="BK13" s="31"/>
      <c r="BL13" s="31"/>
      <c r="BM13" s="31"/>
      <c r="BN13" s="35"/>
    </row>
    <row r="14" spans="1:66" ht="20.100000000000001" customHeight="1" x14ac:dyDescent="0.45">
      <c r="A14" s="32"/>
      <c r="B14" s="31"/>
      <c r="C14" s="31"/>
      <c r="D14" s="59" t="s">
        <v>30</v>
      </c>
      <c r="E14" s="50"/>
      <c r="F14" s="50"/>
      <c r="G14" s="56"/>
      <c r="H14" s="51" t="s">
        <v>73</v>
      </c>
      <c r="I14" s="51"/>
      <c r="J14" s="51"/>
      <c r="K14" s="51"/>
      <c r="L14" s="51"/>
      <c r="M14" s="51"/>
      <c r="N14" s="51"/>
      <c r="O14" s="51"/>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51"/>
      <c r="AS14" s="51"/>
      <c r="AT14" s="51"/>
      <c r="AU14" s="51"/>
      <c r="AV14" s="51"/>
      <c r="AW14" s="51"/>
      <c r="AX14" s="51"/>
      <c r="AY14" s="51"/>
      <c r="AZ14" s="51"/>
      <c r="BA14" s="51"/>
      <c r="BB14" s="51"/>
      <c r="BC14" s="51"/>
      <c r="BD14" s="51"/>
      <c r="BE14" s="52"/>
      <c r="BF14" s="52"/>
      <c r="BG14" s="52"/>
      <c r="BH14" s="52"/>
      <c r="BI14" s="60"/>
      <c r="BJ14" s="31"/>
      <c r="BK14" s="31"/>
      <c r="BL14" s="31"/>
      <c r="BM14" s="31"/>
      <c r="BN14" s="35"/>
    </row>
    <row r="15" spans="1:66" ht="20.100000000000001" customHeight="1" x14ac:dyDescent="0.45">
      <c r="A15" s="32"/>
      <c r="B15" s="31"/>
      <c r="C15" s="31"/>
      <c r="D15" s="59" t="s">
        <v>44</v>
      </c>
      <c r="E15" s="50"/>
      <c r="F15" s="50"/>
      <c r="G15" s="56"/>
      <c r="H15" s="54" t="s">
        <v>349</v>
      </c>
      <c r="I15" s="54"/>
      <c r="J15" s="54"/>
      <c r="K15" s="54"/>
      <c r="L15" s="54"/>
      <c r="M15" s="54"/>
      <c r="N15" s="54"/>
      <c r="O15" s="54"/>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54"/>
      <c r="AS15" s="54"/>
      <c r="AT15" s="54"/>
      <c r="AU15" s="54"/>
      <c r="AV15" s="54"/>
      <c r="AW15" s="54"/>
      <c r="AX15" s="54"/>
      <c r="AY15" s="54"/>
      <c r="AZ15" s="54"/>
      <c r="BA15" s="54"/>
      <c r="BB15" s="54"/>
      <c r="BC15" s="54"/>
      <c r="BD15" s="54"/>
      <c r="BE15" s="55"/>
      <c r="BF15" s="55"/>
      <c r="BG15" s="55"/>
      <c r="BH15" s="55"/>
      <c r="BI15" s="65"/>
      <c r="BJ15" s="31"/>
      <c r="BK15" s="31"/>
      <c r="BL15" s="31"/>
      <c r="BM15" s="31"/>
      <c r="BN15" s="35"/>
    </row>
    <row r="16" spans="1:66" ht="20.100000000000001" customHeight="1" x14ac:dyDescent="0.45">
      <c r="A16" s="32"/>
      <c r="B16" s="31"/>
      <c r="C16" s="31"/>
      <c r="D16" s="61" t="s">
        <v>21</v>
      </c>
      <c r="E16" s="53"/>
      <c r="F16" s="53"/>
      <c r="G16" s="68"/>
      <c r="H16" s="54"/>
      <c r="I16" s="54"/>
      <c r="J16" s="54"/>
      <c r="K16" s="54"/>
      <c r="L16" s="54"/>
      <c r="M16" s="54"/>
      <c r="N16" s="54"/>
      <c r="O16" s="54"/>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54"/>
      <c r="AS16" s="54"/>
      <c r="AT16" s="54"/>
      <c r="AU16" s="54"/>
      <c r="AV16" s="54"/>
      <c r="AW16" s="54"/>
      <c r="AX16" s="54"/>
      <c r="AY16" s="54"/>
      <c r="AZ16" s="54"/>
      <c r="BA16" s="54"/>
      <c r="BB16" s="54"/>
      <c r="BC16" s="54"/>
      <c r="BD16" s="54"/>
      <c r="BE16" s="55"/>
      <c r="BF16" s="55"/>
      <c r="BG16" s="55"/>
      <c r="BH16" s="55"/>
      <c r="BI16" s="65"/>
      <c r="BJ16" s="31"/>
      <c r="BK16" s="31"/>
      <c r="BL16" s="31"/>
      <c r="BM16" s="31"/>
      <c r="BN16" s="35"/>
    </row>
    <row r="17" spans="1:66" ht="20.100000000000001" customHeight="1" thickBot="1" x14ac:dyDescent="0.5">
      <c r="A17" s="32"/>
      <c r="B17" s="31"/>
      <c r="C17" s="31"/>
      <c r="D17" s="57"/>
      <c r="E17" s="58"/>
      <c r="F17" s="58"/>
      <c r="G17" s="69"/>
      <c r="H17" s="75"/>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34"/>
      <c r="BF17" s="34"/>
      <c r="BG17" s="34"/>
      <c r="BH17" s="34"/>
      <c r="BI17" s="28"/>
      <c r="BJ17" s="31"/>
      <c r="BK17" s="31"/>
      <c r="BL17" s="31"/>
      <c r="BM17" s="31"/>
      <c r="BN17" s="35"/>
    </row>
    <row r="18" spans="1:66" ht="20.100000000000001" customHeight="1" thickTop="1" x14ac:dyDescent="0.45">
      <c r="A18" s="32"/>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5"/>
    </row>
    <row r="19" spans="1:66" ht="20.100000000000001" customHeight="1" x14ac:dyDescent="0.45">
      <c r="A19" s="32"/>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5"/>
    </row>
    <row r="20" spans="1:66" ht="20.100000000000001" customHeight="1" x14ac:dyDescent="0.45">
      <c r="A20" s="32"/>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5"/>
    </row>
    <row r="21" spans="1:66" ht="20.100000000000001" customHeight="1" x14ac:dyDescent="0.45">
      <c r="A21" s="32"/>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5"/>
    </row>
    <row r="22" spans="1:66" ht="20.100000000000001" customHeight="1" x14ac:dyDescent="0.45">
      <c r="A22" s="32"/>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5"/>
    </row>
    <row r="23" spans="1:66" ht="20.100000000000001" customHeight="1" x14ac:dyDescent="0.45">
      <c r="A23" s="32"/>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5"/>
    </row>
    <row r="24" spans="1:66" ht="20.100000000000001" customHeight="1" x14ac:dyDescent="0.45">
      <c r="A24" s="32"/>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5"/>
    </row>
    <row r="25" spans="1:66" ht="20.100000000000001" customHeight="1" x14ac:dyDescent="0.45">
      <c r="A25" s="3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5"/>
    </row>
    <row r="26" spans="1:66" ht="20.100000000000001" customHeight="1" thickBot="1" x14ac:dyDescent="0.5">
      <c r="A26" s="32"/>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5"/>
    </row>
    <row r="27" spans="1:66" ht="20.100000000000001" customHeight="1" thickTop="1" x14ac:dyDescent="0.45">
      <c r="A27" s="31"/>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1"/>
    </row>
    <row r="28" spans="1:66" ht="20.100000000000001" customHeight="1" x14ac:dyDescent="0.4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row>
    <row r="29" spans="1:66" ht="20.100000000000001" customHeight="1" x14ac:dyDescent="0.4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row>
    <row r="30" spans="1:66" ht="20.100000000000001" customHeight="1" x14ac:dyDescent="0.4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row>
    <row r="31" spans="1:66" ht="5.0999999999999996" customHeight="1" x14ac:dyDescent="0.45">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row>
    <row r="32" spans="1:66" ht="20.100000000000001" customHeight="1" x14ac:dyDescent="0.45">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showGridLines="0" view="pageBreakPreview" zoomScale="70" zoomScaleNormal="100" zoomScaleSheetLayoutView="7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15" t="s">
        <v>0</v>
      </c>
      <c r="C2" s="198"/>
      <c r="D2" s="198"/>
      <c r="E2" s="198"/>
      <c r="F2" s="198"/>
      <c r="G2" s="198"/>
      <c r="H2" s="198" t="s">
        <v>17</v>
      </c>
      <c r="I2" s="198"/>
      <c r="J2" s="198"/>
      <c r="K2" s="198"/>
      <c r="L2" s="198" t="s">
        <v>353</v>
      </c>
      <c r="M2" s="198"/>
      <c r="N2" s="198"/>
      <c r="O2" s="198"/>
      <c r="P2" s="198"/>
      <c r="Q2" s="198"/>
      <c r="R2" s="198" t="s">
        <v>2</v>
      </c>
      <c r="S2" s="198"/>
      <c r="T2" s="198"/>
      <c r="U2" s="198"/>
      <c r="V2" s="198"/>
      <c r="W2" s="198"/>
      <c r="X2" s="210" t="s">
        <v>3</v>
      </c>
      <c r="Y2" s="211"/>
      <c r="Z2" s="211"/>
      <c r="AA2" s="211"/>
      <c r="AB2" s="211"/>
      <c r="AC2" s="211"/>
      <c r="AD2" s="211"/>
      <c r="AE2" s="211"/>
      <c r="AF2" s="211"/>
      <c r="AG2" s="211"/>
      <c r="AH2" s="211"/>
      <c r="AI2" s="211"/>
      <c r="AJ2" s="212"/>
      <c r="AK2" s="210" t="s">
        <v>32</v>
      </c>
      <c r="AL2" s="211"/>
      <c r="AM2" s="211"/>
      <c r="AN2" s="211"/>
      <c r="AO2" s="211"/>
      <c r="AP2" s="211"/>
      <c r="AQ2" s="211"/>
      <c r="AR2" s="211"/>
      <c r="AS2" s="211"/>
      <c r="AT2" s="211"/>
      <c r="AU2" s="211"/>
      <c r="AV2" s="211"/>
      <c r="AW2" s="212"/>
      <c r="AX2" s="198" t="s">
        <v>5</v>
      </c>
      <c r="AY2" s="198"/>
      <c r="AZ2" s="198"/>
      <c r="BA2" s="198"/>
      <c r="BB2" s="198" t="s">
        <v>4</v>
      </c>
      <c r="BC2" s="198"/>
      <c r="BD2" s="198"/>
      <c r="BE2" s="198"/>
      <c r="BF2" s="198" t="s">
        <v>6</v>
      </c>
      <c r="BG2" s="198"/>
      <c r="BH2" s="198"/>
      <c r="BI2" s="198"/>
      <c r="BJ2" s="198" t="s">
        <v>7</v>
      </c>
      <c r="BK2" s="198"/>
      <c r="BL2" s="198"/>
      <c r="BM2" s="199"/>
      <c r="BN2" s="15"/>
    </row>
    <row r="3" spans="1:66" ht="20.100000000000001" customHeight="1" x14ac:dyDescent="0.45">
      <c r="A3" s="9"/>
      <c r="B3" s="213" t="str">
        <f>変更履歴!B3</f>
        <v>受発注システム</v>
      </c>
      <c r="C3" s="201"/>
      <c r="D3" s="201"/>
      <c r="E3" s="201"/>
      <c r="F3" s="201"/>
      <c r="G3" s="201"/>
      <c r="H3" s="201" t="str">
        <f ca="1">変更履歴!H3</f>
        <v>TK0600</v>
      </c>
      <c r="I3" s="201"/>
      <c r="J3" s="201"/>
      <c r="K3" s="201"/>
      <c r="L3" s="201" t="str">
        <f>変更履歴!L3</f>
        <v>受発注</v>
      </c>
      <c r="M3" s="201"/>
      <c r="N3" s="201"/>
      <c r="O3" s="201"/>
      <c r="P3" s="201"/>
      <c r="Q3" s="201"/>
      <c r="R3" s="201" t="str">
        <f ca="1">変更履歴!R3</f>
        <v>帳票設計書</v>
      </c>
      <c r="S3" s="201"/>
      <c r="T3" s="201"/>
      <c r="U3" s="201"/>
      <c r="V3" s="201"/>
      <c r="W3" s="201"/>
      <c r="X3" s="204" t="str">
        <f ca="1">変更履歴!X3</f>
        <v>TK0600_顧客別施工金額実績表_帳票設計書</v>
      </c>
      <c r="Y3" s="205"/>
      <c r="Z3" s="205"/>
      <c r="AA3" s="205"/>
      <c r="AB3" s="205"/>
      <c r="AC3" s="205"/>
      <c r="AD3" s="205"/>
      <c r="AE3" s="205"/>
      <c r="AF3" s="205"/>
      <c r="AG3" s="205"/>
      <c r="AH3" s="205"/>
      <c r="AI3" s="205"/>
      <c r="AJ3" s="206"/>
      <c r="AK3" s="204" t="str">
        <f ca="1">変更履歴!AK3</f>
        <v>顧客別施工金額実績表</v>
      </c>
      <c r="AL3" s="205"/>
      <c r="AM3" s="205"/>
      <c r="AN3" s="205"/>
      <c r="AO3" s="205"/>
      <c r="AP3" s="205"/>
      <c r="AQ3" s="205"/>
      <c r="AR3" s="205"/>
      <c r="AS3" s="205"/>
      <c r="AT3" s="205"/>
      <c r="AU3" s="205"/>
      <c r="AV3" s="205"/>
      <c r="AW3" s="206"/>
      <c r="AX3" s="200">
        <f>変更履歴!AX3</f>
        <v>45581</v>
      </c>
      <c r="AY3" s="200"/>
      <c r="AZ3" s="200"/>
      <c r="BA3" s="200"/>
      <c r="BB3" s="201" t="str">
        <f>変更履歴!BB3</f>
        <v>大谷</v>
      </c>
      <c r="BC3" s="201"/>
      <c r="BD3" s="201"/>
      <c r="BE3" s="201"/>
      <c r="BF3" s="200">
        <f>変更履歴!BF3</f>
        <v>45581</v>
      </c>
      <c r="BG3" s="200"/>
      <c r="BH3" s="200"/>
      <c r="BI3" s="200"/>
      <c r="BJ3" s="201" t="str">
        <f>変更履歴!BJ3</f>
        <v>大谷</v>
      </c>
      <c r="BK3" s="201"/>
      <c r="BL3" s="201"/>
      <c r="BM3" s="203"/>
      <c r="BN3" s="15"/>
    </row>
    <row r="4" spans="1:66" ht="20.100000000000001" customHeight="1" thickBot="1" x14ac:dyDescent="0.5">
      <c r="A4" s="9"/>
      <c r="B4" s="206"/>
      <c r="C4" s="202"/>
      <c r="D4" s="202"/>
      <c r="E4" s="202"/>
      <c r="F4" s="202"/>
      <c r="G4" s="202"/>
      <c r="H4" s="202"/>
      <c r="I4" s="202"/>
      <c r="J4" s="202"/>
      <c r="K4" s="202"/>
      <c r="L4" s="202"/>
      <c r="M4" s="202"/>
      <c r="N4" s="202"/>
      <c r="O4" s="202"/>
      <c r="P4" s="202"/>
      <c r="Q4" s="202"/>
      <c r="R4" s="202"/>
      <c r="S4" s="202"/>
      <c r="T4" s="202"/>
      <c r="U4" s="202"/>
      <c r="V4" s="202"/>
      <c r="W4" s="202"/>
      <c r="X4" s="207"/>
      <c r="Y4" s="208"/>
      <c r="Z4" s="208"/>
      <c r="AA4" s="208"/>
      <c r="AB4" s="208"/>
      <c r="AC4" s="208"/>
      <c r="AD4" s="208"/>
      <c r="AE4" s="208"/>
      <c r="AF4" s="208"/>
      <c r="AG4" s="208"/>
      <c r="AH4" s="208"/>
      <c r="AI4" s="208"/>
      <c r="AJ4" s="209"/>
      <c r="AK4" s="207"/>
      <c r="AL4" s="208"/>
      <c r="AM4" s="208"/>
      <c r="AN4" s="208"/>
      <c r="AO4" s="208"/>
      <c r="AP4" s="208"/>
      <c r="AQ4" s="208"/>
      <c r="AR4" s="208"/>
      <c r="AS4" s="208"/>
      <c r="AT4" s="208"/>
      <c r="AU4" s="208"/>
      <c r="AV4" s="208"/>
      <c r="AW4" s="209"/>
      <c r="AX4" s="216"/>
      <c r="AY4" s="216"/>
      <c r="AZ4" s="216"/>
      <c r="BA4" s="216"/>
      <c r="BB4" s="202"/>
      <c r="BC4" s="202"/>
      <c r="BD4" s="202"/>
      <c r="BE4" s="202"/>
      <c r="BF4" s="216"/>
      <c r="BG4" s="216"/>
      <c r="BH4" s="216"/>
      <c r="BI4" s="216"/>
      <c r="BJ4" s="202"/>
      <c r="BK4" s="202"/>
      <c r="BL4" s="202"/>
      <c r="BM4" s="204"/>
      <c r="BN4" s="15"/>
    </row>
    <row r="5" spans="1:66" ht="5.25" customHeight="1" thickTop="1" x14ac:dyDescent="0.45">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1:66" ht="20.100000000000001" customHeight="1" thickBot="1" x14ac:dyDescent="0.5">
      <c r="A6" s="31"/>
      <c r="B6" s="45" t="s">
        <v>45</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1"/>
    </row>
    <row r="7" spans="1:66" ht="20.100000000000001" customHeight="1" thickTop="1" x14ac:dyDescent="0.45">
      <c r="A7" s="9"/>
      <c r="B7" s="7"/>
      <c r="C7" s="1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5"/>
    </row>
    <row r="8" spans="1:66" ht="20.100000000000001" customHeight="1" x14ac:dyDescent="0.45">
      <c r="A8" s="9"/>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c r="BH8"/>
      <c r="BI8"/>
      <c r="BJ8"/>
      <c r="BK8" s="7"/>
      <c r="BL8" s="7"/>
      <c r="BM8" s="7"/>
      <c r="BN8" s="15"/>
    </row>
    <row r="9" spans="1:66" ht="20.100000000000001" customHeight="1" x14ac:dyDescent="0.45">
      <c r="A9" s="9"/>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c r="BH9"/>
      <c r="BI9"/>
      <c r="BJ9"/>
      <c r="BK9" s="7"/>
      <c r="BL9" s="7"/>
      <c r="BM9" s="7"/>
      <c r="BN9" s="15"/>
    </row>
    <row r="10" spans="1:66" ht="20.100000000000001" customHeight="1" x14ac:dyDescent="0.45">
      <c r="A10" s="9"/>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c r="BH10"/>
      <c r="BI10"/>
      <c r="BJ10"/>
      <c r="BK10" s="7"/>
      <c r="BL10" s="7"/>
      <c r="BM10" s="7"/>
      <c r="BN10" s="15"/>
    </row>
    <row r="11" spans="1:66" ht="20.100000000000001" customHeight="1" x14ac:dyDescent="0.45">
      <c r="A11" s="9"/>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c r="BH11"/>
      <c r="BI11"/>
      <c r="BJ11"/>
      <c r="BK11" s="7"/>
      <c r="BL11" s="7"/>
      <c r="BM11" s="7"/>
      <c r="BN11" s="15"/>
    </row>
    <row r="12" spans="1:66" ht="20.100000000000001" customHeight="1" x14ac:dyDescent="0.45">
      <c r="A12" s="9"/>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c r="BH12"/>
      <c r="BI12"/>
      <c r="BJ12"/>
      <c r="BK12" s="7"/>
      <c r="BL12" s="7"/>
      <c r="BM12" s="7"/>
      <c r="BN12" s="15"/>
    </row>
    <row r="13" spans="1:66" ht="20.100000000000001" customHeight="1" x14ac:dyDescent="0.45">
      <c r="A13" s="9"/>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c r="BH13"/>
      <c r="BI13"/>
      <c r="BJ13"/>
      <c r="BK13" s="7"/>
      <c r="BL13" s="7"/>
      <c r="BM13" s="7"/>
      <c r="BN13" s="15"/>
    </row>
    <row r="14" spans="1:66" ht="20.100000000000001" customHeight="1" x14ac:dyDescent="0.45">
      <c r="A14" s="9"/>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c r="BH14"/>
      <c r="BI14"/>
      <c r="BJ14"/>
      <c r="BK14" s="7"/>
      <c r="BL14" s="7"/>
      <c r="BM14" s="7"/>
      <c r="BN14" s="15"/>
    </row>
    <row r="15" spans="1:66" ht="20.100000000000001" customHeight="1" x14ac:dyDescent="0.45">
      <c r="A15" s="9"/>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c r="BH15"/>
      <c r="BI15"/>
      <c r="BJ15"/>
      <c r="BK15" s="7"/>
      <c r="BL15" s="7"/>
      <c r="BM15" s="7"/>
      <c r="BN15" s="15"/>
    </row>
    <row r="16" spans="1:66" ht="20.100000000000001" customHeight="1" x14ac:dyDescent="0.45">
      <c r="A16" s="9"/>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c r="BH16"/>
      <c r="BI16"/>
      <c r="BJ16"/>
      <c r="BK16" s="7"/>
      <c r="BL16" s="7"/>
      <c r="BM16" s="7"/>
      <c r="BN16" s="15"/>
    </row>
    <row r="17" spans="1:66" ht="20.100000000000001" customHeight="1" x14ac:dyDescent="0.45">
      <c r="A17" s="9"/>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c r="BH17"/>
      <c r="BI17"/>
      <c r="BJ17"/>
      <c r="BK17" s="7"/>
      <c r="BL17" s="7"/>
      <c r="BM17" s="7"/>
      <c r="BN17" s="15"/>
    </row>
    <row r="18" spans="1:66" ht="20.100000000000001" customHeight="1" x14ac:dyDescent="0.45">
      <c r="A18" s="9"/>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c r="BH18"/>
      <c r="BI18"/>
      <c r="BJ18"/>
      <c r="BK18" s="7"/>
      <c r="BL18" s="7"/>
      <c r="BM18" s="7"/>
      <c r="BN18" s="15"/>
    </row>
    <row r="19" spans="1:66" ht="20.100000000000001" customHeight="1" x14ac:dyDescent="0.45">
      <c r="A19" s="9"/>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c r="BH19"/>
      <c r="BI19"/>
      <c r="BJ19"/>
      <c r="BK19" s="7"/>
      <c r="BL19" s="7"/>
      <c r="BM19" s="7"/>
      <c r="BN19" s="15"/>
    </row>
    <row r="20" spans="1:66" ht="20.100000000000001" customHeight="1" x14ac:dyDescent="0.45">
      <c r="A20" s="9"/>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c r="BH20"/>
      <c r="BI20"/>
      <c r="BJ20"/>
      <c r="BK20" s="7"/>
      <c r="BL20" s="7"/>
      <c r="BM20" s="7"/>
      <c r="BN20" s="15"/>
    </row>
    <row r="21" spans="1:66" ht="20.100000000000001" customHeight="1" x14ac:dyDescent="0.45">
      <c r="A21" s="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c r="BH21"/>
      <c r="BI21"/>
      <c r="BJ21"/>
      <c r="BK21" s="7"/>
      <c r="BL21" s="7"/>
      <c r="BM21" s="7"/>
      <c r="BN21" s="15"/>
    </row>
    <row r="22" spans="1:66" ht="20.100000000000001" customHeight="1" x14ac:dyDescent="0.45">
      <c r="A22" s="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c r="BH22"/>
      <c r="BI22"/>
      <c r="BJ22"/>
      <c r="BK22" s="7"/>
      <c r="BL22" s="7"/>
      <c r="BM22" s="7"/>
      <c r="BN22" s="15"/>
    </row>
    <row r="23" spans="1:66" ht="20.100000000000001" customHeight="1" x14ac:dyDescent="0.45">
      <c r="A23" s="9"/>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c r="BH23"/>
      <c r="BI23"/>
      <c r="BJ23"/>
      <c r="BK23" s="7"/>
      <c r="BL23" s="7"/>
      <c r="BM23" s="7"/>
      <c r="BN23" s="15"/>
    </row>
    <row r="24" spans="1:66" ht="20.100000000000001" customHeight="1" x14ac:dyDescent="0.45">
      <c r="A24" s="9"/>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c r="BH24"/>
      <c r="BI24"/>
      <c r="BJ24"/>
      <c r="BK24" s="7"/>
      <c r="BL24" s="7"/>
      <c r="BM24" s="7"/>
      <c r="BN24" s="15"/>
    </row>
    <row r="25" spans="1:66" ht="20.100000000000001" customHeight="1" x14ac:dyDescent="0.45">
      <c r="A25" s="9"/>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c r="BH25"/>
      <c r="BI25"/>
      <c r="BJ25"/>
      <c r="BK25" s="7"/>
      <c r="BL25" s="7"/>
      <c r="BM25" s="7"/>
      <c r="BN25" s="15"/>
    </row>
    <row r="26" spans="1:66" ht="20.100000000000001" customHeight="1" x14ac:dyDescent="0.45">
      <c r="A26" s="9"/>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c r="BH26"/>
      <c r="BI26"/>
      <c r="BJ26"/>
      <c r="BK26" s="7"/>
      <c r="BL26" s="7"/>
      <c r="BM26" s="7"/>
      <c r="BN26" s="15"/>
    </row>
    <row r="27" spans="1:66" ht="20.100000000000001" customHeight="1" x14ac:dyDescent="0.45">
      <c r="A27" s="9"/>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c r="BH27"/>
      <c r="BI27"/>
      <c r="BJ27"/>
      <c r="BK27" s="7"/>
      <c r="BL27" s="7"/>
      <c r="BM27" s="7"/>
      <c r="BN27" s="15"/>
    </row>
    <row r="28" spans="1:66" ht="20.100000000000001" customHeight="1" x14ac:dyDescent="0.45">
      <c r="A28" s="9"/>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c r="BH28"/>
      <c r="BI28"/>
      <c r="BJ28"/>
      <c r="BK28" s="7"/>
      <c r="BL28" s="7"/>
      <c r="BM28" s="7"/>
      <c r="BN28" s="15"/>
    </row>
    <row r="29" spans="1:66" ht="20.100000000000001" customHeight="1" x14ac:dyDescent="0.45">
      <c r="A29" s="9"/>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c r="BH29"/>
      <c r="BI29"/>
      <c r="BJ29"/>
      <c r="BK29" s="7"/>
      <c r="BL29" s="7"/>
      <c r="BM29" s="7"/>
      <c r="BN29" s="15"/>
    </row>
    <row r="30" spans="1:66" ht="20.100000000000001" customHeight="1" x14ac:dyDescent="0.45">
      <c r="A30" s="9"/>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c r="BH30"/>
      <c r="BI30"/>
      <c r="BJ30"/>
      <c r="BK30" s="7"/>
      <c r="BL30" s="7"/>
      <c r="BM30" s="7"/>
      <c r="BN30" s="15"/>
    </row>
    <row r="31" spans="1:66" ht="20.100000000000001" customHeight="1" x14ac:dyDescent="0.45">
      <c r="A31" s="9"/>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c r="BH31"/>
      <c r="BI31"/>
      <c r="BJ31"/>
      <c r="BK31" s="7"/>
      <c r="BL31" s="7"/>
      <c r="BM31" s="7"/>
      <c r="BN31" s="15"/>
    </row>
    <row r="32" spans="1:66" ht="20.100000000000001" customHeight="1" x14ac:dyDescent="0.45">
      <c r="A32" s="9"/>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c r="BH32"/>
      <c r="BI32"/>
      <c r="BJ32"/>
      <c r="BK32" s="7"/>
      <c r="BL32" s="7"/>
      <c r="BM32" s="7"/>
      <c r="BN32" s="15"/>
    </row>
    <row r="33" spans="1:66" ht="20.100000000000001" customHeight="1" x14ac:dyDescent="0.45">
      <c r="A33" s="9"/>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c r="BH33"/>
      <c r="BI33"/>
      <c r="BJ33"/>
      <c r="BK33" s="7"/>
      <c r="BL33" s="7"/>
      <c r="BM33" s="7"/>
      <c r="BN33" s="15"/>
    </row>
    <row r="34" spans="1:66" ht="20.100000000000001" customHeight="1" x14ac:dyDescent="0.45">
      <c r="A34" s="9"/>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15"/>
    </row>
    <row r="35" spans="1:66" ht="20.100000000000001" customHeight="1" x14ac:dyDescent="0.45">
      <c r="A35" s="9"/>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15"/>
    </row>
    <row r="36" spans="1:66" ht="20.100000000000001" customHeight="1" x14ac:dyDescent="0.45">
      <c r="A36" s="9"/>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15"/>
    </row>
    <row r="37" spans="1:66" ht="20.100000000000001" customHeight="1" x14ac:dyDescent="0.45">
      <c r="A37" s="9"/>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15"/>
    </row>
    <row r="38" spans="1:66" ht="20.100000000000001" customHeight="1" x14ac:dyDescent="0.45">
      <c r="A38" s="9"/>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15"/>
    </row>
    <row r="39" spans="1:66" ht="20.100000000000001" customHeight="1" x14ac:dyDescent="0.45">
      <c r="B39" s="1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9"/>
    </row>
    <row r="40" spans="1:66" ht="20.100000000000001" customHeight="1" x14ac:dyDescent="0.45">
      <c r="B40" s="1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9"/>
    </row>
    <row r="41" spans="1:66" ht="20.100000000000001" customHeight="1" x14ac:dyDescent="0.45">
      <c r="B41" s="1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9"/>
    </row>
    <row r="42" spans="1:66" ht="20.100000000000001" customHeight="1" x14ac:dyDescent="0.45">
      <c r="B42" s="1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9"/>
    </row>
    <row r="43" spans="1:66" ht="20.100000000000001" customHeight="1" x14ac:dyDescent="0.45">
      <c r="B43" s="1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9"/>
    </row>
    <row r="44" spans="1:66" ht="20.100000000000001" customHeight="1" x14ac:dyDescent="0.45">
      <c r="B44" s="1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9"/>
    </row>
    <row r="45" spans="1:66" ht="20.100000000000001" customHeight="1" x14ac:dyDescent="0.45">
      <c r="B45" s="1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9"/>
    </row>
    <row r="46" spans="1:66" ht="20.100000000000001" customHeight="1" x14ac:dyDescent="0.45">
      <c r="B46" s="1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9"/>
    </row>
    <row r="47" spans="1:66" ht="20.100000000000001" customHeight="1" thickBot="1" x14ac:dyDescent="0.5">
      <c r="B47" s="27"/>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28"/>
    </row>
    <row r="48" spans="1:66" ht="20.100000000000001" customHeight="1" thickTop="1" x14ac:dyDescent="0.45"/>
  </sheetData>
  <mergeCells count="20">
    <mergeCell ref="BB2:BE2"/>
    <mergeCell ref="BF2:BI2"/>
    <mergeCell ref="BJ2:BM2"/>
    <mergeCell ref="AX2:BA2"/>
    <mergeCell ref="X2:AJ2"/>
    <mergeCell ref="AK2:AW2"/>
    <mergeCell ref="B2:G2"/>
    <mergeCell ref="B3:G4"/>
    <mergeCell ref="H2:K2"/>
    <mergeCell ref="L2:Q2"/>
    <mergeCell ref="R2:W2"/>
    <mergeCell ref="L3:Q4"/>
    <mergeCell ref="H3:K4"/>
    <mergeCell ref="BJ3:BM4"/>
    <mergeCell ref="BF3:BI4"/>
    <mergeCell ref="BB3:BE4"/>
    <mergeCell ref="AX3:BA4"/>
    <mergeCell ref="R3:W4"/>
    <mergeCell ref="X3:AJ4"/>
    <mergeCell ref="AK3:AW4"/>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G59"/>
  <sheetViews>
    <sheetView showGridLines="0" view="pageBreakPreview" zoomScale="85" zoomScaleNormal="100" zoomScaleSheetLayoutView="85" workbookViewId="0"/>
  </sheetViews>
  <sheetFormatPr defaultColWidth="3.59765625" defaultRowHeight="20.100000000000001" customHeight="1" x14ac:dyDescent="0.45"/>
  <cols>
    <col min="1" max="1" width="1.09765625" style="6" customWidth="1"/>
    <col min="2" max="21" width="3.69921875" style="6" customWidth="1"/>
    <col min="22" max="27" width="10.19921875" style="6" customWidth="1"/>
    <col min="28" max="43" width="7.19921875" style="6" customWidth="1"/>
    <col min="44" max="65" width="3.69921875" style="6" customWidth="1"/>
    <col min="66" max="66" width="3.59765625" style="6" customWidth="1"/>
    <col min="67" max="16384" width="3.59765625" style="6"/>
  </cols>
  <sheetData>
    <row r="1" spans="1:85"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85" ht="20.100000000000001" customHeight="1" thickTop="1" x14ac:dyDescent="0.45">
      <c r="A2" s="9"/>
      <c r="B2" s="215" t="s">
        <v>0</v>
      </c>
      <c r="C2" s="198"/>
      <c r="D2" s="198"/>
      <c r="E2" s="198"/>
      <c r="F2" s="198"/>
      <c r="G2" s="198"/>
      <c r="H2" s="198" t="s">
        <v>17</v>
      </c>
      <c r="I2" s="198"/>
      <c r="J2" s="198"/>
      <c r="K2" s="198"/>
      <c r="L2" s="198" t="s">
        <v>353</v>
      </c>
      <c r="M2" s="198"/>
      <c r="N2" s="198"/>
      <c r="O2" s="198"/>
      <c r="P2" s="198"/>
      <c r="Q2" s="198"/>
      <c r="R2" s="198" t="s">
        <v>2</v>
      </c>
      <c r="S2" s="198"/>
      <c r="T2" s="198"/>
      <c r="U2" s="198"/>
      <c r="V2" s="198"/>
      <c r="W2" s="198"/>
      <c r="X2" s="210" t="s">
        <v>3</v>
      </c>
      <c r="Y2" s="211"/>
      <c r="Z2" s="211"/>
      <c r="AA2" s="211"/>
      <c r="AB2" s="211"/>
      <c r="AC2" s="211"/>
      <c r="AD2" s="211"/>
      <c r="AE2" s="211"/>
      <c r="AF2" s="211"/>
      <c r="AG2" s="211"/>
      <c r="AH2" s="211"/>
      <c r="AI2" s="211"/>
      <c r="AJ2" s="212"/>
      <c r="AK2" s="210" t="s">
        <v>32</v>
      </c>
      <c r="AL2" s="211"/>
      <c r="AM2" s="211"/>
      <c r="AN2" s="211"/>
      <c r="AO2" s="211"/>
      <c r="AP2" s="211"/>
      <c r="AQ2" s="211"/>
      <c r="AR2" s="211"/>
      <c r="AS2" s="211"/>
      <c r="AT2" s="211"/>
      <c r="AU2" s="211"/>
      <c r="AV2" s="211"/>
      <c r="AW2" s="212"/>
      <c r="AX2" s="198" t="s">
        <v>5</v>
      </c>
      <c r="AY2" s="198"/>
      <c r="AZ2" s="198"/>
      <c r="BA2" s="198"/>
      <c r="BB2" s="198" t="s">
        <v>4</v>
      </c>
      <c r="BC2" s="198"/>
      <c r="BD2" s="198"/>
      <c r="BE2" s="198"/>
      <c r="BF2" s="198" t="s">
        <v>6</v>
      </c>
      <c r="BG2" s="198"/>
      <c r="BH2" s="198"/>
      <c r="BI2" s="198"/>
      <c r="BJ2" s="198" t="s">
        <v>7</v>
      </c>
      <c r="BK2" s="198"/>
      <c r="BL2" s="198"/>
      <c r="BM2" s="199"/>
      <c r="BN2" s="15"/>
    </row>
    <row r="3" spans="1:85" ht="20.100000000000001" customHeight="1" x14ac:dyDescent="0.45">
      <c r="A3" s="9"/>
      <c r="B3" s="213" t="str">
        <f>変更履歴!B3</f>
        <v>受発注システム</v>
      </c>
      <c r="C3" s="201"/>
      <c r="D3" s="201"/>
      <c r="E3" s="201"/>
      <c r="F3" s="201"/>
      <c r="G3" s="201"/>
      <c r="H3" s="201" t="str">
        <f ca="1">変更履歴!H3</f>
        <v>TK0600</v>
      </c>
      <c r="I3" s="201"/>
      <c r="J3" s="201"/>
      <c r="K3" s="201"/>
      <c r="L3" s="201" t="str">
        <f>変更履歴!L3</f>
        <v>受発注</v>
      </c>
      <c r="M3" s="201"/>
      <c r="N3" s="201"/>
      <c r="O3" s="201"/>
      <c r="P3" s="201"/>
      <c r="Q3" s="201"/>
      <c r="R3" s="201" t="str">
        <f ca="1">変更履歴!R3</f>
        <v>帳票設計書</v>
      </c>
      <c r="S3" s="201"/>
      <c r="T3" s="201"/>
      <c r="U3" s="201"/>
      <c r="V3" s="201"/>
      <c r="W3" s="201"/>
      <c r="X3" s="204" t="str">
        <f ca="1">変更履歴!X3</f>
        <v>TK0600_顧客別施工金額実績表_帳票設計書</v>
      </c>
      <c r="Y3" s="205"/>
      <c r="Z3" s="205"/>
      <c r="AA3" s="205"/>
      <c r="AB3" s="205"/>
      <c r="AC3" s="205"/>
      <c r="AD3" s="205"/>
      <c r="AE3" s="205"/>
      <c r="AF3" s="205"/>
      <c r="AG3" s="205"/>
      <c r="AH3" s="205"/>
      <c r="AI3" s="205"/>
      <c r="AJ3" s="206"/>
      <c r="AK3" s="204" t="str">
        <f ca="1">変更履歴!AK3</f>
        <v>顧客別施工金額実績表</v>
      </c>
      <c r="AL3" s="205"/>
      <c r="AM3" s="205"/>
      <c r="AN3" s="205"/>
      <c r="AO3" s="205"/>
      <c r="AP3" s="205"/>
      <c r="AQ3" s="205"/>
      <c r="AR3" s="205"/>
      <c r="AS3" s="205"/>
      <c r="AT3" s="205"/>
      <c r="AU3" s="205"/>
      <c r="AV3" s="205"/>
      <c r="AW3" s="206"/>
      <c r="AX3" s="200">
        <f>変更履歴!AX3</f>
        <v>45581</v>
      </c>
      <c r="AY3" s="200"/>
      <c r="AZ3" s="200"/>
      <c r="BA3" s="200"/>
      <c r="BB3" s="201" t="str">
        <f>変更履歴!BB3</f>
        <v>大谷</v>
      </c>
      <c r="BC3" s="201"/>
      <c r="BD3" s="201"/>
      <c r="BE3" s="201"/>
      <c r="BF3" s="200">
        <f>変更履歴!BF3</f>
        <v>45581</v>
      </c>
      <c r="BG3" s="200"/>
      <c r="BH3" s="200"/>
      <c r="BI3" s="200"/>
      <c r="BJ3" s="201" t="str">
        <f>変更履歴!BJ3</f>
        <v>大谷</v>
      </c>
      <c r="BK3" s="201"/>
      <c r="BL3" s="201"/>
      <c r="BM3" s="203"/>
      <c r="BN3" s="15"/>
    </row>
    <row r="4" spans="1:85" ht="20.100000000000001" customHeight="1" thickBot="1" x14ac:dyDescent="0.5">
      <c r="A4" s="9"/>
      <c r="B4" s="206"/>
      <c r="C4" s="202"/>
      <c r="D4" s="202"/>
      <c r="E4" s="202"/>
      <c r="F4" s="202"/>
      <c r="G4" s="202"/>
      <c r="H4" s="202"/>
      <c r="I4" s="202"/>
      <c r="J4" s="202"/>
      <c r="K4" s="202"/>
      <c r="L4" s="202"/>
      <c r="M4" s="202"/>
      <c r="N4" s="202"/>
      <c r="O4" s="202"/>
      <c r="P4" s="202"/>
      <c r="Q4" s="202"/>
      <c r="R4" s="202"/>
      <c r="S4" s="202"/>
      <c r="T4" s="202"/>
      <c r="U4" s="202"/>
      <c r="V4" s="202"/>
      <c r="W4" s="202"/>
      <c r="X4" s="207"/>
      <c r="Y4" s="208"/>
      <c r="Z4" s="208"/>
      <c r="AA4" s="208"/>
      <c r="AB4" s="208"/>
      <c r="AC4" s="208"/>
      <c r="AD4" s="208"/>
      <c r="AE4" s="208"/>
      <c r="AF4" s="208"/>
      <c r="AG4" s="208"/>
      <c r="AH4" s="208"/>
      <c r="AI4" s="208"/>
      <c r="AJ4" s="209"/>
      <c r="AK4" s="207"/>
      <c r="AL4" s="208"/>
      <c r="AM4" s="208"/>
      <c r="AN4" s="208"/>
      <c r="AO4" s="208"/>
      <c r="AP4" s="208"/>
      <c r="AQ4" s="208"/>
      <c r="AR4" s="208"/>
      <c r="AS4" s="208"/>
      <c r="AT4" s="208"/>
      <c r="AU4" s="208"/>
      <c r="AV4" s="208"/>
      <c r="AW4" s="209"/>
      <c r="AX4" s="216"/>
      <c r="AY4" s="216"/>
      <c r="AZ4" s="216"/>
      <c r="BA4" s="216"/>
      <c r="BB4" s="202"/>
      <c r="BC4" s="202"/>
      <c r="BD4" s="202"/>
      <c r="BE4" s="202"/>
      <c r="BF4" s="216"/>
      <c r="BG4" s="216"/>
      <c r="BH4" s="216"/>
      <c r="BI4" s="216"/>
      <c r="BJ4" s="202"/>
      <c r="BK4" s="202"/>
      <c r="BL4" s="202"/>
      <c r="BM4" s="204"/>
      <c r="BN4" s="15"/>
    </row>
    <row r="5" spans="1:85" ht="5.25" customHeight="1" thickTop="1" x14ac:dyDescent="0.4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row>
    <row r="6" spans="1:85" ht="19.5" customHeight="1" x14ac:dyDescent="0.45">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row>
    <row r="7" spans="1:85" ht="20.100000000000001" customHeight="1" thickBot="1" x14ac:dyDescent="0.5">
      <c r="A7" s="31"/>
      <c r="B7" s="45" t="s">
        <v>18</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row>
    <row r="8" spans="1:85" ht="20.100000000000001" customHeight="1" thickTop="1" x14ac:dyDescent="0.45">
      <c r="A8" s="31"/>
      <c r="B8" s="4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72"/>
    </row>
    <row r="9" spans="1:85" ht="20.100000000000001" customHeight="1" thickBot="1" x14ac:dyDescent="0.5">
      <c r="A9" s="30"/>
      <c r="B9" s="35"/>
      <c r="C9" s="39" t="s">
        <v>46</v>
      </c>
      <c r="D9" s="34"/>
      <c r="E9" s="34"/>
      <c r="F9" s="88" t="s">
        <v>52</v>
      </c>
      <c r="G9" s="34"/>
      <c r="H9" s="34"/>
      <c r="I9" s="34"/>
      <c r="J9" s="34"/>
      <c r="K9" s="34"/>
      <c r="L9" s="34"/>
      <c r="M9" s="34"/>
      <c r="N9" s="34"/>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29"/>
      <c r="AU9" s="29"/>
      <c r="AV9" s="41"/>
      <c r="AW9" s="41"/>
      <c r="AX9" s="41"/>
      <c r="AY9" s="41"/>
      <c r="AZ9" s="41"/>
      <c r="BA9" s="41"/>
      <c r="BB9" s="41"/>
      <c r="BC9" s="41"/>
      <c r="BD9" s="41"/>
      <c r="BE9" s="41"/>
      <c r="BF9" s="41"/>
      <c r="BG9" s="41"/>
      <c r="BH9" s="41"/>
      <c r="BI9" s="41"/>
      <c r="BJ9" s="41"/>
      <c r="BK9" s="41"/>
      <c r="BL9" s="41"/>
      <c r="BM9" s="41"/>
      <c r="BN9" s="41"/>
      <c r="BO9" s="31"/>
      <c r="BP9" s="31"/>
      <c r="BQ9" s="31"/>
      <c r="BR9" s="31"/>
      <c r="BS9" s="31"/>
      <c r="BT9" s="31"/>
      <c r="BU9" s="32"/>
    </row>
    <row r="10" spans="1:85" s="5" customFormat="1" ht="18.600000000000001" customHeight="1" thickTop="1" x14ac:dyDescent="0.45">
      <c r="A10" s="30"/>
      <c r="B10" s="44"/>
      <c r="C10" s="32"/>
      <c r="D10" s="38" t="s">
        <v>19</v>
      </c>
      <c r="E10" s="223" t="s">
        <v>20</v>
      </c>
      <c r="F10" s="224"/>
      <c r="G10" s="224"/>
      <c r="H10" s="224"/>
      <c r="I10" s="224"/>
      <c r="J10" s="224"/>
      <c r="K10" s="224"/>
      <c r="L10" s="225"/>
      <c r="M10" s="226" t="s">
        <v>24</v>
      </c>
      <c r="N10" s="227"/>
      <c r="O10" s="227"/>
      <c r="P10" s="226" t="s">
        <v>33</v>
      </c>
      <c r="Q10" s="227"/>
      <c r="R10" s="227"/>
      <c r="S10" s="226" t="s">
        <v>34</v>
      </c>
      <c r="T10" s="227"/>
      <c r="U10" s="227"/>
      <c r="V10" s="226" t="s">
        <v>36</v>
      </c>
      <c r="W10" s="227"/>
      <c r="X10" s="227"/>
      <c r="Y10" s="227"/>
      <c r="Z10" s="227"/>
      <c r="AA10" s="241"/>
      <c r="AB10" s="226" t="s">
        <v>35</v>
      </c>
      <c r="AC10" s="227"/>
      <c r="AD10" s="227"/>
      <c r="AE10" s="227"/>
      <c r="AF10" s="227"/>
      <c r="AG10" s="227"/>
      <c r="AH10" s="227"/>
      <c r="AI10" s="227"/>
      <c r="AJ10" s="227"/>
      <c r="AK10" s="227"/>
      <c r="AL10" s="227"/>
      <c r="AM10" s="227"/>
      <c r="AN10" s="227"/>
      <c r="AO10" s="227"/>
      <c r="AP10" s="227"/>
      <c r="AQ10" s="241"/>
      <c r="AR10" s="226" t="s">
        <v>42</v>
      </c>
      <c r="AS10" s="227"/>
      <c r="AT10" s="227"/>
      <c r="AU10" s="227"/>
      <c r="AV10" s="227"/>
      <c r="AW10" s="241"/>
      <c r="AX10" s="226" t="s">
        <v>43</v>
      </c>
      <c r="AY10" s="227"/>
      <c r="AZ10" s="227"/>
      <c r="BA10" s="227"/>
      <c r="BB10" s="227"/>
      <c r="BC10" s="227"/>
      <c r="BD10" s="227"/>
      <c r="BE10" s="227"/>
      <c r="BF10" s="227"/>
      <c r="BG10" s="227"/>
      <c r="BH10" s="227"/>
      <c r="BI10" s="227"/>
      <c r="BJ10" s="227"/>
      <c r="BK10" s="227"/>
      <c r="BL10" s="227"/>
      <c r="BM10" s="227"/>
      <c r="BN10" s="227"/>
      <c r="BO10" s="227"/>
      <c r="BP10" s="227"/>
      <c r="BQ10" s="227"/>
      <c r="BR10" s="227"/>
      <c r="BS10" s="227"/>
      <c r="BT10" s="236"/>
      <c r="BU10" s="41"/>
      <c r="BV10" s="40"/>
      <c r="BW10" s="41"/>
      <c r="BX10" s="41"/>
      <c r="BY10" s="41"/>
      <c r="BZ10" s="41"/>
      <c r="CA10" s="41"/>
      <c r="CB10" s="30"/>
      <c r="CC10" s="30"/>
      <c r="CD10" s="30"/>
      <c r="CE10" s="30"/>
      <c r="CF10" s="30"/>
      <c r="CG10" s="30"/>
    </row>
    <row r="11" spans="1:85" s="5" customFormat="1" ht="20.100000000000001" customHeight="1" x14ac:dyDescent="0.45">
      <c r="A11" s="30"/>
      <c r="B11" s="44"/>
      <c r="C11" s="32"/>
      <c r="D11" s="37">
        <v>1</v>
      </c>
      <c r="E11" s="220" t="s">
        <v>77</v>
      </c>
      <c r="F11" s="221"/>
      <c r="G11" s="221"/>
      <c r="H11" s="221"/>
      <c r="I11" s="221"/>
      <c r="J11" s="221"/>
      <c r="K11" s="221"/>
      <c r="L11" s="222"/>
      <c r="M11" s="193" t="s">
        <v>38</v>
      </c>
      <c r="N11" s="194"/>
      <c r="O11" s="194"/>
      <c r="P11" s="193" t="s">
        <v>74</v>
      </c>
      <c r="Q11" s="194"/>
      <c r="R11" s="194"/>
      <c r="S11" s="193"/>
      <c r="T11" s="194"/>
      <c r="U11" s="194"/>
      <c r="V11" s="228" t="s">
        <v>105</v>
      </c>
      <c r="W11" s="229"/>
      <c r="X11" s="229"/>
      <c r="Y11" s="229"/>
      <c r="Z11" s="229"/>
      <c r="AA11" s="230"/>
      <c r="AB11" s="231"/>
      <c r="AC11" s="232"/>
      <c r="AD11" s="232"/>
      <c r="AE11" s="232"/>
      <c r="AF11" s="232"/>
      <c r="AG11" s="232"/>
      <c r="AH11" s="232"/>
      <c r="AI11" s="232"/>
      <c r="AJ11" s="232"/>
      <c r="AK11" s="232"/>
      <c r="AL11" s="232"/>
      <c r="AM11" s="232"/>
      <c r="AN11" s="232"/>
      <c r="AO11" s="232"/>
      <c r="AP11" s="232"/>
      <c r="AQ11" s="233"/>
      <c r="AR11" s="193"/>
      <c r="AS11" s="194"/>
      <c r="AT11" s="194"/>
      <c r="AU11" s="194"/>
      <c r="AV11" s="194"/>
      <c r="AW11" s="195"/>
      <c r="AX11" s="228"/>
      <c r="AY11" s="229"/>
      <c r="AZ11" s="229"/>
      <c r="BA11" s="229"/>
      <c r="BB11" s="229"/>
      <c r="BC11" s="229"/>
      <c r="BD11" s="229"/>
      <c r="BE11" s="229"/>
      <c r="BF11" s="229"/>
      <c r="BG11" s="229"/>
      <c r="BH11" s="229"/>
      <c r="BI11" s="229"/>
      <c r="BJ11" s="229"/>
      <c r="BK11" s="229"/>
      <c r="BL11" s="229"/>
      <c r="BM11" s="229"/>
      <c r="BN11" s="229"/>
      <c r="BO11" s="229"/>
      <c r="BP11" s="229"/>
      <c r="BQ11" s="229"/>
      <c r="BR11" s="229"/>
      <c r="BS11" s="229"/>
      <c r="BT11" s="237"/>
      <c r="BU11" s="41"/>
      <c r="BV11" s="40"/>
      <c r="BW11" s="41"/>
      <c r="BX11" s="41"/>
      <c r="BY11" s="41"/>
      <c r="BZ11" s="41"/>
      <c r="CA11" s="41"/>
      <c r="CB11" s="30"/>
      <c r="CC11" s="30"/>
      <c r="CD11" s="30"/>
      <c r="CE11" s="30"/>
      <c r="CF11" s="30"/>
      <c r="CG11" s="30"/>
    </row>
    <row r="12" spans="1:85" s="5" customFormat="1" ht="20.100000000000001" customHeight="1" x14ac:dyDescent="0.45">
      <c r="A12" s="30"/>
      <c r="B12" s="44"/>
      <c r="C12" s="32"/>
      <c r="D12" s="37">
        <v>2</v>
      </c>
      <c r="E12" s="220" t="s">
        <v>78</v>
      </c>
      <c r="F12" s="221"/>
      <c r="G12" s="221"/>
      <c r="H12" s="221"/>
      <c r="I12" s="221"/>
      <c r="J12" s="221"/>
      <c r="K12" s="221"/>
      <c r="L12" s="222"/>
      <c r="M12" s="193" t="s">
        <v>38</v>
      </c>
      <c r="N12" s="194"/>
      <c r="O12" s="194"/>
      <c r="P12" s="193" t="s">
        <v>74</v>
      </c>
      <c r="Q12" s="194"/>
      <c r="R12" s="194"/>
      <c r="S12" s="193"/>
      <c r="T12" s="194"/>
      <c r="U12" s="194"/>
      <c r="V12" s="231" t="s">
        <v>105</v>
      </c>
      <c r="W12" s="232"/>
      <c r="X12" s="232"/>
      <c r="Y12" s="232"/>
      <c r="Z12" s="232"/>
      <c r="AA12" s="233"/>
      <c r="AB12" s="231"/>
      <c r="AC12" s="232"/>
      <c r="AD12" s="232"/>
      <c r="AE12" s="232"/>
      <c r="AF12" s="232"/>
      <c r="AG12" s="232"/>
      <c r="AH12" s="232"/>
      <c r="AI12" s="232"/>
      <c r="AJ12" s="232"/>
      <c r="AK12" s="232"/>
      <c r="AL12" s="232"/>
      <c r="AM12" s="232"/>
      <c r="AN12" s="232"/>
      <c r="AO12" s="232"/>
      <c r="AP12" s="232"/>
      <c r="AQ12" s="233"/>
      <c r="AR12" s="193"/>
      <c r="AS12" s="194"/>
      <c r="AT12" s="194"/>
      <c r="AU12" s="194"/>
      <c r="AV12" s="194"/>
      <c r="AW12" s="195"/>
      <c r="AX12" s="228"/>
      <c r="AY12" s="229"/>
      <c r="AZ12" s="229"/>
      <c r="BA12" s="229"/>
      <c r="BB12" s="229"/>
      <c r="BC12" s="229"/>
      <c r="BD12" s="229"/>
      <c r="BE12" s="229"/>
      <c r="BF12" s="229"/>
      <c r="BG12" s="229"/>
      <c r="BH12" s="229"/>
      <c r="BI12" s="229"/>
      <c r="BJ12" s="229"/>
      <c r="BK12" s="229"/>
      <c r="BL12" s="229"/>
      <c r="BM12" s="229"/>
      <c r="BN12" s="229"/>
      <c r="BO12" s="229"/>
      <c r="BP12" s="229"/>
      <c r="BQ12" s="229"/>
      <c r="BR12" s="229"/>
      <c r="BS12" s="229"/>
      <c r="BT12" s="237"/>
      <c r="BU12" s="41"/>
      <c r="BV12" s="40"/>
      <c r="BW12" s="41"/>
      <c r="BX12" s="41"/>
      <c r="BY12" s="41"/>
      <c r="BZ12" s="41"/>
      <c r="CA12" s="41"/>
      <c r="CB12" s="30"/>
      <c r="CC12" s="30"/>
      <c r="CD12" s="30"/>
      <c r="CE12" s="30"/>
      <c r="CF12" s="30"/>
      <c r="CG12" s="30"/>
    </row>
    <row r="13" spans="1:85" s="5" customFormat="1" ht="20.100000000000001" customHeight="1" x14ac:dyDescent="0.45">
      <c r="A13" s="30"/>
      <c r="B13" s="44"/>
      <c r="C13" s="36"/>
      <c r="D13" s="37">
        <v>3</v>
      </c>
      <c r="E13" s="220" t="s">
        <v>79</v>
      </c>
      <c r="F13" s="221"/>
      <c r="G13" s="221"/>
      <c r="H13" s="221"/>
      <c r="I13" s="221"/>
      <c r="J13" s="221"/>
      <c r="K13" s="221"/>
      <c r="L13" s="222"/>
      <c r="M13" s="193" t="s">
        <v>38</v>
      </c>
      <c r="N13" s="194"/>
      <c r="O13" s="194"/>
      <c r="P13" s="193" t="s">
        <v>74</v>
      </c>
      <c r="Q13" s="194"/>
      <c r="R13" s="194"/>
      <c r="S13" s="193"/>
      <c r="T13" s="194"/>
      <c r="U13" s="194"/>
      <c r="V13" s="228" t="s">
        <v>105</v>
      </c>
      <c r="W13" s="229"/>
      <c r="X13" s="229"/>
      <c r="Y13" s="229"/>
      <c r="Z13" s="229"/>
      <c r="AA13" s="230"/>
      <c r="AB13" s="231"/>
      <c r="AC13" s="232"/>
      <c r="AD13" s="232"/>
      <c r="AE13" s="232"/>
      <c r="AF13" s="232"/>
      <c r="AG13" s="232"/>
      <c r="AH13" s="232"/>
      <c r="AI13" s="232"/>
      <c r="AJ13" s="232"/>
      <c r="AK13" s="232"/>
      <c r="AL13" s="232"/>
      <c r="AM13" s="232"/>
      <c r="AN13" s="232"/>
      <c r="AO13" s="232"/>
      <c r="AP13" s="232"/>
      <c r="AQ13" s="233"/>
      <c r="AR13" s="193"/>
      <c r="AS13" s="194"/>
      <c r="AT13" s="194"/>
      <c r="AU13" s="194"/>
      <c r="AV13" s="194"/>
      <c r="AW13" s="195"/>
      <c r="AX13" s="228"/>
      <c r="AY13" s="229"/>
      <c r="AZ13" s="229"/>
      <c r="BA13" s="229"/>
      <c r="BB13" s="229"/>
      <c r="BC13" s="229"/>
      <c r="BD13" s="229"/>
      <c r="BE13" s="229"/>
      <c r="BF13" s="229"/>
      <c r="BG13" s="229"/>
      <c r="BH13" s="229"/>
      <c r="BI13" s="229"/>
      <c r="BJ13" s="229"/>
      <c r="BK13" s="229"/>
      <c r="BL13" s="229"/>
      <c r="BM13" s="229"/>
      <c r="BN13" s="229"/>
      <c r="BO13" s="229"/>
      <c r="BP13" s="229"/>
      <c r="BQ13" s="229"/>
      <c r="BR13" s="229"/>
      <c r="BS13" s="229"/>
      <c r="BT13" s="237"/>
      <c r="BU13" s="41"/>
      <c r="BV13" s="40"/>
      <c r="BW13" s="41"/>
      <c r="BX13" s="41"/>
      <c r="BY13" s="41"/>
      <c r="BZ13" s="41"/>
      <c r="CA13" s="41"/>
      <c r="CB13" s="41"/>
      <c r="CC13" s="30"/>
      <c r="CD13" s="30"/>
      <c r="CE13" s="30"/>
      <c r="CF13" s="30"/>
      <c r="CG13" s="30"/>
    </row>
    <row r="14" spans="1:85" s="5" customFormat="1" ht="20.100000000000001" customHeight="1" x14ac:dyDescent="0.45">
      <c r="A14" s="30"/>
      <c r="B14" s="44"/>
      <c r="C14" s="36"/>
      <c r="D14" s="37">
        <v>4</v>
      </c>
      <c r="E14" s="220" t="s">
        <v>80</v>
      </c>
      <c r="F14" s="221"/>
      <c r="G14" s="221"/>
      <c r="H14" s="221"/>
      <c r="I14" s="221"/>
      <c r="J14" s="221"/>
      <c r="K14" s="221"/>
      <c r="L14" s="222"/>
      <c r="M14" s="193" t="s">
        <v>38</v>
      </c>
      <c r="N14" s="194"/>
      <c r="O14" s="194"/>
      <c r="P14" s="193" t="s">
        <v>74</v>
      </c>
      <c r="Q14" s="194"/>
      <c r="R14" s="194"/>
      <c r="S14" s="193"/>
      <c r="T14" s="194"/>
      <c r="U14" s="194"/>
      <c r="V14" s="242" t="s">
        <v>105</v>
      </c>
      <c r="W14" s="243"/>
      <c r="X14" s="243"/>
      <c r="Y14" s="243"/>
      <c r="Z14" s="243"/>
      <c r="AA14" s="244"/>
      <c r="AB14" s="231"/>
      <c r="AC14" s="232"/>
      <c r="AD14" s="232"/>
      <c r="AE14" s="232"/>
      <c r="AF14" s="232"/>
      <c r="AG14" s="232"/>
      <c r="AH14" s="232"/>
      <c r="AI14" s="232"/>
      <c r="AJ14" s="232"/>
      <c r="AK14" s="232"/>
      <c r="AL14" s="232"/>
      <c r="AM14" s="232"/>
      <c r="AN14" s="232"/>
      <c r="AO14" s="232"/>
      <c r="AP14" s="232"/>
      <c r="AQ14" s="233"/>
      <c r="AR14" s="193"/>
      <c r="AS14" s="194"/>
      <c r="AT14" s="194"/>
      <c r="AU14" s="194"/>
      <c r="AV14" s="194"/>
      <c r="AW14" s="195"/>
      <c r="AX14" s="228"/>
      <c r="AY14" s="229"/>
      <c r="AZ14" s="229"/>
      <c r="BA14" s="229"/>
      <c r="BB14" s="229"/>
      <c r="BC14" s="229"/>
      <c r="BD14" s="229"/>
      <c r="BE14" s="229"/>
      <c r="BF14" s="229"/>
      <c r="BG14" s="229"/>
      <c r="BH14" s="229"/>
      <c r="BI14" s="229"/>
      <c r="BJ14" s="229"/>
      <c r="BK14" s="229"/>
      <c r="BL14" s="229"/>
      <c r="BM14" s="229"/>
      <c r="BN14" s="229"/>
      <c r="BO14" s="229"/>
      <c r="BP14" s="229"/>
      <c r="BQ14" s="229"/>
      <c r="BR14" s="229"/>
      <c r="BS14" s="229"/>
      <c r="BT14" s="237"/>
      <c r="BU14" s="41"/>
      <c r="BV14" s="40"/>
      <c r="BW14" s="41"/>
      <c r="BX14" s="41"/>
      <c r="BY14" s="41"/>
      <c r="BZ14" s="41"/>
      <c r="CA14" s="41"/>
      <c r="CB14" s="41"/>
      <c r="CC14" s="30"/>
      <c r="CD14" s="30"/>
      <c r="CE14" s="30"/>
      <c r="CF14" s="30"/>
      <c r="CG14" s="30"/>
    </row>
    <row r="15" spans="1:85" s="5" customFormat="1" ht="20.100000000000001" customHeight="1" x14ac:dyDescent="0.45">
      <c r="A15" s="30"/>
      <c r="B15" s="44"/>
      <c r="C15" s="36"/>
      <c r="D15" s="37">
        <v>5</v>
      </c>
      <c r="E15" s="220" t="s">
        <v>81</v>
      </c>
      <c r="F15" s="221"/>
      <c r="G15" s="221"/>
      <c r="H15" s="221"/>
      <c r="I15" s="221"/>
      <c r="J15" s="221"/>
      <c r="K15" s="221"/>
      <c r="L15" s="222"/>
      <c r="M15" s="193" t="s">
        <v>38</v>
      </c>
      <c r="N15" s="194"/>
      <c r="O15" s="194"/>
      <c r="P15" s="193" t="s">
        <v>74</v>
      </c>
      <c r="Q15" s="194"/>
      <c r="R15" s="194"/>
      <c r="S15" s="193"/>
      <c r="T15" s="194"/>
      <c r="U15" s="194"/>
      <c r="V15" s="228" t="s">
        <v>105</v>
      </c>
      <c r="W15" s="229"/>
      <c r="X15" s="229"/>
      <c r="Y15" s="229"/>
      <c r="Z15" s="229"/>
      <c r="AA15" s="230"/>
      <c r="AB15" s="231"/>
      <c r="AC15" s="232"/>
      <c r="AD15" s="232"/>
      <c r="AE15" s="232"/>
      <c r="AF15" s="232"/>
      <c r="AG15" s="232"/>
      <c r="AH15" s="232"/>
      <c r="AI15" s="232"/>
      <c r="AJ15" s="232"/>
      <c r="AK15" s="232"/>
      <c r="AL15" s="232"/>
      <c r="AM15" s="232"/>
      <c r="AN15" s="232"/>
      <c r="AO15" s="232"/>
      <c r="AP15" s="232"/>
      <c r="AQ15" s="233"/>
      <c r="AR15" s="193"/>
      <c r="AS15" s="194"/>
      <c r="AT15" s="194"/>
      <c r="AU15" s="194"/>
      <c r="AV15" s="194"/>
      <c r="AW15" s="195"/>
      <c r="AX15" s="228"/>
      <c r="AY15" s="229"/>
      <c r="AZ15" s="229"/>
      <c r="BA15" s="229"/>
      <c r="BB15" s="229"/>
      <c r="BC15" s="229"/>
      <c r="BD15" s="229"/>
      <c r="BE15" s="229"/>
      <c r="BF15" s="229"/>
      <c r="BG15" s="229"/>
      <c r="BH15" s="229"/>
      <c r="BI15" s="229"/>
      <c r="BJ15" s="229"/>
      <c r="BK15" s="229"/>
      <c r="BL15" s="229"/>
      <c r="BM15" s="229"/>
      <c r="BN15" s="229"/>
      <c r="BO15" s="229"/>
      <c r="BP15" s="229"/>
      <c r="BQ15" s="229"/>
      <c r="BR15" s="229"/>
      <c r="BS15" s="229"/>
      <c r="BT15" s="237"/>
      <c r="BU15" s="41"/>
      <c r="BV15" s="40"/>
      <c r="BW15" s="41"/>
      <c r="BX15" s="41"/>
      <c r="BY15" s="41"/>
      <c r="BZ15" s="41"/>
      <c r="CA15" s="41"/>
      <c r="CB15" s="41"/>
      <c r="CC15" s="30"/>
      <c r="CD15" s="30"/>
      <c r="CE15" s="30"/>
      <c r="CF15" s="30"/>
      <c r="CG15" s="30"/>
    </row>
    <row r="16" spans="1:85" s="5" customFormat="1" ht="20.100000000000001" customHeight="1" x14ac:dyDescent="0.45">
      <c r="A16" s="30"/>
      <c r="B16" s="44"/>
      <c r="C16" s="30"/>
      <c r="D16" s="37">
        <v>6</v>
      </c>
      <c r="E16" s="220" t="s">
        <v>82</v>
      </c>
      <c r="F16" s="221"/>
      <c r="G16" s="221"/>
      <c r="H16" s="221"/>
      <c r="I16" s="221"/>
      <c r="J16" s="221"/>
      <c r="K16" s="221"/>
      <c r="L16" s="222"/>
      <c r="M16" s="193" t="s">
        <v>38</v>
      </c>
      <c r="N16" s="194"/>
      <c r="O16" s="194"/>
      <c r="P16" s="193" t="s">
        <v>74</v>
      </c>
      <c r="Q16" s="194"/>
      <c r="R16" s="194"/>
      <c r="S16" s="193"/>
      <c r="T16" s="194"/>
      <c r="U16" s="194"/>
      <c r="V16" s="228" t="s">
        <v>105</v>
      </c>
      <c r="W16" s="229"/>
      <c r="X16" s="229"/>
      <c r="Y16" s="229"/>
      <c r="Z16" s="229"/>
      <c r="AA16" s="230"/>
      <c r="AB16" s="231"/>
      <c r="AC16" s="232"/>
      <c r="AD16" s="232"/>
      <c r="AE16" s="232"/>
      <c r="AF16" s="232"/>
      <c r="AG16" s="232"/>
      <c r="AH16" s="232"/>
      <c r="AI16" s="232"/>
      <c r="AJ16" s="232"/>
      <c r="AK16" s="232"/>
      <c r="AL16" s="232"/>
      <c r="AM16" s="232"/>
      <c r="AN16" s="232"/>
      <c r="AO16" s="232"/>
      <c r="AP16" s="232"/>
      <c r="AQ16" s="233"/>
      <c r="AR16" s="193"/>
      <c r="AS16" s="194"/>
      <c r="AT16" s="194"/>
      <c r="AU16" s="194"/>
      <c r="AV16" s="194"/>
      <c r="AW16" s="195"/>
      <c r="AX16" s="228"/>
      <c r="AY16" s="229"/>
      <c r="AZ16" s="229"/>
      <c r="BA16" s="229"/>
      <c r="BB16" s="229"/>
      <c r="BC16" s="229"/>
      <c r="BD16" s="229"/>
      <c r="BE16" s="229"/>
      <c r="BF16" s="229"/>
      <c r="BG16" s="229"/>
      <c r="BH16" s="229"/>
      <c r="BI16" s="229"/>
      <c r="BJ16" s="229"/>
      <c r="BK16" s="229"/>
      <c r="BL16" s="229"/>
      <c r="BM16" s="229"/>
      <c r="BN16" s="229"/>
      <c r="BO16" s="229"/>
      <c r="BP16" s="229"/>
      <c r="BQ16" s="229"/>
      <c r="BR16" s="229"/>
      <c r="BS16" s="229"/>
      <c r="BT16" s="237"/>
      <c r="BU16" s="41"/>
      <c r="BV16" s="40"/>
      <c r="BW16" s="41"/>
      <c r="BX16" s="41"/>
      <c r="BY16" s="41"/>
      <c r="BZ16" s="41"/>
      <c r="CA16" s="41"/>
      <c r="CB16" s="41"/>
      <c r="CC16" s="30"/>
      <c r="CD16" s="30"/>
      <c r="CE16" s="30"/>
      <c r="CF16" s="30"/>
      <c r="CG16" s="30"/>
    </row>
    <row r="17" spans="1:85" s="5" customFormat="1" ht="20.100000000000001" customHeight="1" x14ac:dyDescent="0.45">
      <c r="A17" s="30"/>
      <c r="B17" s="44"/>
      <c r="C17"/>
      <c r="D17" s="37">
        <v>7</v>
      </c>
      <c r="E17" s="220" t="s">
        <v>83</v>
      </c>
      <c r="F17" s="221"/>
      <c r="G17" s="221"/>
      <c r="H17" s="221"/>
      <c r="I17" s="221"/>
      <c r="J17" s="221"/>
      <c r="K17" s="221"/>
      <c r="L17" s="222"/>
      <c r="M17" s="193" t="s">
        <v>38</v>
      </c>
      <c r="N17" s="194"/>
      <c r="O17" s="194"/>
      <c r="P17" s="193" t="s">
        <v>75</v>
      </c>
      <c r="Q17" s="194"/>
      <c r="R17" s="194"/>
      <c r="S17" s="193"/>
      <c r="T17" s="194"/>
      <c r="U17" s="194"/>
      <c r="V17" s="228" t="s">
        <v>105</v>
      </c>
      <c r="W17" s="229"/>
      <c r="X17" s="229"/>
      <c r="Y17" s="229"/>
      <c r="Z17" s="229"/>
      <c r="AA17" s="230"/>
      <c r="AB17" s="231"/>
      <c r="AC17" s="232"/>
      <c r="AD17" s="232"/>
      <c r="AE17" s="232"/>
      <c r="AF17" s="232"/>
      <c r="AG17" s="232"/>
      <c r="AH17" s="232"/>
      <c r="AI17" s="232"/>
      <c r="AJ17" s="232"/>
      <c r="AK17" s="232"/>
      <c r="AL17" s="232"/>
      <c r="AM17" s="232"/>
      <c r="AN17" s="232"/>
      <c r="AO17" s="232"/>
      <c r="AP17" s="232"/>
      <c r="AQ17" s="233"/>
      <c r="AR17" s="193"/>
      <c r="AS17" s="194"/>
      <c r="AT17" s="194"/>
      <c r="AU17" s="194"/>
      <c r="AV17" s="194"/>
      <c r="AW17" s="195"/>
      <c r="AX17" s="228"/>
      <c r="AY17" s="229"/>
      <c r="AZ17" s="229"/>
      <c r="BA17" s="229"/>
      <c r="BB17" s="229"/>
      <c r="BC17" s="229"/>
      <c r="BD17" s="229"/>
      <c r="BE17" s="229"/>
      <c r="BF17" s="229"/>
      <c r="BG17" s="229"/>
      <c r="BH17" s="229"/>
      <c r="BI17" s="229"/>
      <c r="BJ17" s="229"/>
      <c r="BK17" s="229"/>
      <c r="BL17" s="229"/>
      <c r="BM17" s="229"/>
      <c r="BN17" s="229"/>
      <c r="BO17" s="229"/>
      <c r="BP17" s="229"/>
      <c r="BQ17" s="229"/>
      <c r="BR17" s="229"/>
      <c r="BS17" s="229"/>
      <c r="BT17" s="237"/>
      <c r="BU17" s="41"/>
      <c r="BV17" s="40"/>
      <c r="BW17" s="41"/>
      <c r="BX17" s="41"/>
      <c r="BY17" s="41"/>
      <c r="BZ17" s="41"/>
      <c r="CA17" s="41"/>
      <c r="CB17" s="41"/>
      <c r="CC17" s="30"/>
      <c r="CD17" s="30"/>
      <c r="CE17" s="30"/>
      <c r="CF17" s="30"/>
      <c r="CG17" s="30"/>
    </row>
    <row r="18" spans="1:85" s="5" customFormat="1" ht="20.100000000000001" customHeight="1" x14ac:dyDescent="0.45">
      <c r="A18" s="29"/>
      <c r="B18" s="35"/>
      <c r="C18"/>
      <c r="D18" s="37">
        <v>8</v>
      </c>
      <c r="E18" s="220" t="s">
        <v>84</v>
      </c>
      <c r="F18" s="221"/>
      <c r="G18" s="221"/>
      <c r="H18" s="221"/>
      <c r="I18" s="221"/>
      <c r="J18" s="221"/>
      <c r="K18" s="221"/>
      <c r="L18" s="222"/>
      <c r="M18" s="193" t="s">
        <v>38</v>
      </c>
      <c r="N18" s="194"/>
      <c r="O18" s="194"/>
      <c r="P18" s="193" t="s">
        <v>75</v>
      </c>
      <c r="Q18" s="194"/>
      <c r="R18" s="194"/>
      <c r="S18" s="193"/>
      <c r="T18" s="194"/>
      <c r="U18" s="194"/>
      <c r="V18" s="228" t="s">
        <v>105</v>
      </c>
      <c r="W18" s="229"/>
      <c r="X18" s="229"/>
      <c r="Y18" s="229"/>
      <c r="Z18" s="229"/>
      <c r="AA18" s="230"/>
      <c r="AB18" s="231"/>
      <c r="AC18" s="232"/>
      <c r="AD18" s="232"/>
      <c r="AE18" s="232"/>
      <c r="AF18" s="232"/>
      <c r="AG18" s="232"/>
      <c r="AH18" s="232"/>
      <c r="AI18" s="232"/>
      <c r="AJ18" s="232"/>
      <c r="AK18" s="232"/>
      <c r="AL18" s="232"/>
      <c r="AM18" s="232"/>
      <c r="AN18" s="232"/>
      <c r="AO18" s="232"/>
      <c r="AP18" s="232"/>
      <c r="AQ18" s="233"/>
      <c r="AR18" s="193"/>
      <c r="AS18" s="194"/>
      <c r="AT18" s="194"/>
      <c r="AU18" s="194"/>
      <c r="AV18" s="194"/>
      <c r="AW18" s="195"/>
      <c r="AX18" s="228"/>
      <c r="AY18" s="229"/>
      <c r="AZ18" s="229"/>
      <c r="BA18" s="229"/>
      <c r="BB18" s="229"/>
      <c r="BC18" s="229"/>
      <c r="BD18" s="229"/>
      <c r="BE18" s="229"/>
      <c r="BF18" s="229"/>
      <c r="BG18" s="229"/>
      <c r="BH18" s="229"/>
      <c r="BI18" s="229"/>
      <c r="BJ18" s="229"/>
      <c r="BK18" s="229"/>
      <c r="BL18" s="229"/>
      <c r="BM18" s="229"/>
      <c r="BN18" s="229"/>
      <c r="BO18" s="229"/>
      <c r="BP18" s="229"/>
      <c r="BQ18" s="229"/>
      <c r="BR18" s="229"/>
      <c r="BS18" s="229"/>
      <c r="BT18" s="237"/>
      <c r="BU18" s="29"/>
      <c r="BV18" s="40"/>
      <c r="BW18" s="41"/>
      <c r="BX18" s="41"/>
      <c r="BY18" s="41"/>
      <c r="BZ18" s="41"/>
      <c r="CA18" s="41"/>
      <c r="CB18" s="41"/>
      <c r="CC18" s="41"/>
      <c r="CD18" s="41"/>
      <c r="CE18" s="41"/>
      <c r="CF18" s="31"/>
      <c r="CG18" s="31"/>
    </row>
    <row r="19" spans="1:85" s="5" customFormat="1" ht="20.100000000000001" customHeight="1" x14ac:dyDescent="0.45">
      <c r="A19" s="29"/>
      <c r="B19" s="35"/>
      <c r="C19"/>
      <c r="D19" s="37">
        <v>9</v>
      </c>
      <c r="E19" s="220" t="s">
        <v>85</v>
      </c>
      <c r="F19" s="221"/>
      <c r="G19" s="221"/>
      <c r="H19" s="221"/>
      <c r="I19" s="221"/>
      <c r="J19" s="221"/>
      <c r="K19" s="221"/>
      <c r="L19" s="222"/>
      <c r="M19" s="193" t="s">
        <v>38</v>
      </c>
      <c r="N19" s="194"/>
      <c r="O19" s="194"/>
      <c r="P19" s="193" t="s">
        <v>74</v>
      </c>
      <c r="Q19" s="194"/>
      <c r="R19" s="194"/>
      <c r="S19" s="193"/>
      <c r="T19" s="194"/>
      <c r="U19" s="194"/>
      <c r="V19" s="228" t="s">
        <v>105</v>
      </c>
      <c r="W19" s="229"/>
      <c r="X19" s="229"/>
      <c r="Y19" s="229"/>
      <c r="Z19" s="229"/>
      <c r="AA19" s="230"/>
      <c r="AB19" s="231"/>
      <c r="AC19" s="232"/>
      <c r="AD19" s="232"/>
      <c r="AE19" s="232"/>
      <c r="AF19" s="232"/>
      <c r="AG19" s="232"/>
      <c r="AH19" s="232"/>
      <c r="AI19" s="232"/>
      <c r="AJ19" s="232"/>
      <c r="AK19" s="232"/>
      <c r="AL19" s="232"/>
      <c r="AM19" s="232"/>
      <c r="AN19" s="232"/>
      <c r="AO19" s="232"/>
      <c r="AP19" s="232"/>
      <c r="AQ19" s="233"/>
      <c r="AR19" s="193"/>
      <c r="AS19" s="194"/>
      <c r="AT19" s="194"/>
      <c r="AU19" s="194"/>
      <c r="AV19" s="194"/>
      <c r="AW19" s="195"/>
      <c r="AX19" s="228"/>
      <c r="AY19" s="229"/>
      <c r="AZ19" s="229"/>
      <c r="BA19" s="229"/>
      <c r="BB19" s="229"/>
      <c r="BC19" s="229"/>
      <c r="BD19" s="229"/>
      <c r="BE19" s="229"/>
      <c r="BF19" s="229"/>
      <c r="BG19" s="229"/>
      <c r="BH19" s="229"/>
      <c r="BI19" s="229"/>
      <c r="BJ19" s="229"/>
      <c r="BK19" s="229"/>
      <c r="BL19" s="229"/>
      <c r="BM19" s="229"/>
      <c r="BN19" s="229"/>
      <c r="BO19" s="229"/>
      <c r="BP19" s="229"/>
      <c r="BQ19" s="229"/>
      <c r="BR19" s="229"/>
      <c r="BS19" s="229"/>
      <c r="BT19" s="237"/>
      <c r="BU19" s="41"/>
      <c r="BV19" s="40"/>
      <c r="BW19" s="41"/>
      <c r="BX19" s="41"/>
      <c r="BY19" s="41"/>
      <c r="BZ19" s="41"/>
      <c r="CA19" s="41"/>
      <c r="CB19" s="41"/>
      <c r="CC19" s="41"/>
      <c r="CD19" s="41"/>
      <c r="CE19" s="41"/>
      <c r="CF19" s="41"/>
      <c r="CG19" s="41"/>
    </row>
    <row r="20" spans="1:85" s="5" customFormat="1" ht="20.100000000000001" customHeight="1" x14ac:dyDescent="0.45">
      <c r="A20" s="29"/>
      <c r="B20" s="35"/>
      <c r="C20"/>
      <c r="D20" s="37">
        <v>10</v>
      </c>
      <c r="E20" s="220" t="s">
        <v>86</v>
      </c>
      <c r="F20" s="221"/>
      <c r="G20" s="221"/>
      <c r="H20" s="221"/>
      <c r="I20" s="221"/>
      <c r="J20" s="221"/>
      <c r="K20" s="221"/>
      <c r="L20" s="222"/>
      <c r="M20" s="193" t="s">
        <v>38</v>
      </c>
      <c r="N20" s="194"/>
      <c r="O20" s="194"/>
      <c r="P20" s="193" t="s">
        <v>75</v>
      </c>
      <c r="Q20" s="194"/>
      <c r="R20" s="194"/>
      <c r="S20" s="193"/>
      <c r="T20" s="194"/>
      <c r="U20" s="194"/>
      <c r="V20" s="228" t="s">
        <v>105</v>
      </c>
      <c r="W20" s="229"/>
      <c r="X20" s="229"/>
      <c r="Y20" s="229"/>
      <c r="Z20" s="229"/>
      <c r="AA20" s="230"/>
      <c r="AB20" s="231"/>
      <c r="AC20" s="232"/>
      <c r="AD20" s="232"/>
      <c r="AE20" s="232"/>
      <c r="AF20" s="232"/>
      <c r="AG20" s="232"/>
      <c r="AH20" s="232"/>
      <c r="AI20" s="232"/>
      <c r="AJ20" s="232"/>
      <c r="AK20" s="232"/>
      <c r="AL20" s="232"/>
      <c r="AM20" s="232"/>
      <c r="AN20" s="232"/>
      <c r="AO20" s="232"/>
      <c r="AP20" s="232"/>
      <c r="AQ20" s="233"/>
      <c r="AR20" s="193"/>
      <c r="AS20" s="194"/>
      <c r="AT20" s="194"/>
      <c r="AU20" s="194"/>
      <c r="AV20" s="194"/>
      <c r="AW20" s="195"/>
      <c r="AX20" s="228"/>
      <c r="AY20" s="229"/>
      <c r="AZ20" s="229"/>
      <c r="BA20" s="229"/>
      <c r="BB20" s="229"/>
      <c r="BC20" s="229"/>
      <c r="BD20" s="229"/>
      <c r="BE20" s="229"/>
      <c r="BF20" s="229"/>
      <c r="BG20" s="229"/>
      <c r="BH20" s="229"/>
      <c r="BI20" s="229"/>
      <c r="BJ20" s="229"/>
      <c r="BK20" s="229"/>
      <c r="BL20" s="229"/>
      <c r="BM20" s="229"/>
      <c r="BN20" s="229"/>
      <c r="BO20" s="229"/>
      <c r="BP20" s="229"/>
      <c r="BQ20" s="229"/>
      <c r="BR20" s="229"/>
      <c r="BS20" s="229"/>
      <c r="BT20" s="237"/>
      <c r="BU20" s="41"/>
      <c r="BV20" s="40"/>
      <c r="BW20" s="41"/>
      <c r="BX20" s="41"/>
      <c r="BY20" s="41"/>
      <c r="BZ20" s="41"/>
      <c r="CA20" s="41"/>
      <c r="CB20" s="41"/>
      <c r="CC20" s="41"/>
      <c r="CD20" s="41"/>
      <c r="CE20" s="41"/>
      <c r="CF20" s="41"/>
      <c r="CG20" s="41"/>
    </row>
    <row r="21" spans="1:85" s="5" customFormat="1" ht="20.100000000000001" customHeight="1" x14ac:dyDescent="0.45">
      <c r="A21" s="29"/>
      <c r="B21" s="35"/>
      <c r="C21"/>
      <c r="D21" s="37">
        <v>11</v>
      </c>
      <c r="E21" s="220" t="s">
        <v>87</v>
      </c>
      <c r="F21" s="221"/>
      <c r="G21" s="221"/>
      <c r="H21" s="221"/>
      <c r="I21" s="221"/>
      <c r="J21" s="221"/>
      <c r="K21" s="221"/>
      <c r="L21" s="222"/>
      <c r="M21" s="193" t="s">
        <v>47</v>
      </c>
      <c r="N21" s="194"/>
      <c r="O21" s="194"/>
      <c r="P21" s="193" t="s">
        <v>74</v>
      </c>
      <c r="Q21" s="194"/>
      <c r="R21" s="194"/>
      <c r="S21" s="193" t="s">
        <v>76</v>
      </c>
      <c r="T21" s="194"/>
      <c r="U21" s="194"/>
      <c r="V21" s="228" t="s">
        <v>106</v>
      </c>
      <c r="W21" s="229"/>
      <c r="X21" s="229"/>
      <c r="Y21" s="229"/>
      <c r="Z21" s="229"/>
      <c r="AA21" s="230"/>
      <c r="AB21" s="231" t="s">
        <v>112</v>
      </c>
      <c r="AC21" s="232"/>
      <c r="AD21" s="232"/>
      <c r="AE21" s="232"/>
      <c r="AF21" s="232"/>
      <c r="AG21" s="232"/>
      <c r="AH21" s="232"/>
      <c r="AI21" s="232"/>
      <c r="AJ21" s="232"/>
      <c r="AK21" s="232"/>
      <c r="AL21" s="232"/>
      <c r="AM21" s="232"/>
      <c r="AN21" s="232"/>
      <c r="AO21" s="232"/>
      <c r="AP21" s="232"/>
      <c r="AQ21" s="233"/>
      <c r="AR21" s="250">
        <v>9999</v>
      </c>
      <c r="AS21" s="251"/>
      <c r="AT21" s="251"/>
      <c r="AU21" s="251"/>
      <c r="AV21" s="251"/>
      <c r="AW21" s="252"/>
      <c r="AX21" s="228"/>
      <c r="AY21" s="229"/>
      <c r="AZ21" s="229"/>
      <c r="BA21" s="229"/>
      <c r="BB21" s="229"/>
      <c r="BC21" s="229"/>
      <c r="BD21" s="229"/>
      <c r="BE21" s="229"/>
      <c r="BF21" s="229"/>
      <c r="BG21" s="229"/>
      <c r="BH21" s="229"/>
      <c r="BI21" s="229"/>
      <c r="BJ21" s="229"/>
      <c r="BK21" s="229"/>
      <c r="BL21" s="229"/>
      <c r="BM21" s="229"/>
      <c r="BN21" s="229"/>
      <c r="BO21" s="229"/>
      <c r="BP21" s="229"/>
      <c r="BQ21" s="229"/>
      <c r="BR21" s="229"/>
      <c r="BS21" s="229"/>
      <c r="BT21" s="237"/>
      <c r="BU21" s="41"/>
      <c r="BV21" s="40"/>
      <c r="BW21" s="41"/>
      <c r="BX21" s="41"/>
      <c r="BY21" s="41"/>
      <c r="BZ21" s="41"/>
      <c r="CA21" s="41"/>
      <c r="CB21" s="41"/>
      <c r="CC21" s="41"/>
      <c r="CD21" s="41"/>
      <c r="CE21" s="41"/>
      <c r="CF21" s="41"/>
      <c r="CG21" s="41"/>
    </row>
    <row r="22" spans="1:85" s="5" customFormat="1" ht="20.100000000000001" customHeight="1" x14ac:dyDescent="0.45">
      <c r="A22" s="29"/>
      <c r="B22" s="35"/>
      <c r="C22"/>
      <c r="D22" s="37">
        <v>12</v>
      </c>
      <c r="E22" s="220" t="s">
        <v>88</v>
      </c>
      <c r="F22" s="221"/>
      <c r="G22" s="221"/>
      <c r="H22" s="221"/>
      <c r="I22" s="221"/>
      <c r="J22" s="221"/>
      <c r="K22" s="221"/>
      <c r="L22" s="222"/>
      <c r="M22" s="193" t="s">
        <v>47</v>
      </c>
      <c r="N22" s="194"/>
      <c r="O22" s="194"/>
      <c r="P22" s="193" t="s">
        <v>74</v>
      </c>
      <c r="Q22" s="194"/>
      <c r="R22" s="194"/>
      <c r="S22" s="193" t="s">
        <v>76</v>
      </c>
      <c r="T22" s="194"/>
      <c r="U22" s="194"/>
      <c r="V22" s="228" t="s">
        <v>107</v>
      </c>
      <c r="W22" s="229"/>
      <c r="X22" s="229"/>
      <c r="Y22" s="229"/>
      <c r="Z22" s="229"/>
      <c r="AA22" s="230"/>
      <c r="AB22" s="231" t="s">
        <v>113</v>
      </c>
      <c r="AC22" s="232"/>
      <c r="AD22" s="232"/>
      <c r="AE22" s="232"/>
      <c r="AF22" s="232"/>
      <c r="AG22" s="232"/>
      <c r="AH22" s="232"/>
      <c r="AI22" s="232"/>
      <c r="AJ22" s="232"/>
      <c r="AK22" s="232"/>
      <c r="AL22" s="232"/>
      <c r="AM22" s="232"/>
      <c r="AN22" s="232"/>
      <c r="AO22" s="232"/>
      <c r="AP22" s="232"/>
      <c r="AQ22" s="233"/>
      <c r="AR22" s="250">
        <v>9999</v>
      </c>
      <c r="AS22" s="251"/>
      <c r="AT22" s="251"/>
      <c r="AU22" s="251"/>
      <c r="AV22" s="251"/>
      <c r="AW22" s="252"/>
      <c r="AX22" s="228"/>
      <c r="AY22" s="229"/>
      <c r="AZ22" s="229"/>
      <c r="BA22" s="229"/>
      <c r="BB22" s="229"/>
      <c r="BC22" s="229"/>
      <c r="BD22" s="229"/>
      <c r="BE22" s="229"/>
      <c r="BF22" s="229"/>
      <c r="BG22" s="229"/>
      <c r="BH22" s="229"/>
      <c r="BI22" s="229"/>
      <c r="BJ22" s="229"/>
      <c r="BK22" s="229"/>
      <c r="BL22" s="229"/>
      <c r="BM22" s="229"/>
      <c r="BN22" s="229"/>
      <c r="BO22" s="229"/>
      <c r="BP22" s="229"/>
      <c r="BQ22" s="229"/>
      <c r="BR22" s="229"/>
      <c r="BS22" s="229"/>
      <c r="BT22" s="237"/>
      <c r="BU22" s="41"/>
      <c r="BV22" s="40"/>
      <c r="BW22" s="41"/>
      <c r="BX22" s="41"/>
      <c r="BY22" s="41"/>
      <c r="BZ22" s="41"/>
      <c r="CA22" s="41"/>
      <c r="CB22" s="41"/>
      <c r="CC22" s="41"/>
      <c r="CD22" s="41"/>
      <c r="CE22" s="41"/>
      <c r="CF22" s="41"/>
      <c r="CG22" s="41"/>
    </row>
    <row r="23" spans="1:85" s="5" customFormat="1" ht="20.100000000000001" customHeight="1" x14ac:dyDescent="0.45">
      <c r="A23" s="29"/>
      <c r="B23" s="35"/>
      <c r="C23"/>
      <c r="D23" s="37">
        <v>13</v>
      </c>
      <c r="E23" s="220" t="s">
        <v>89</v>
      </c>
      <c r="F23" s="221"/>
      <c r="G23" s="221"/>
      <c r="H23" s="221"/>
      <c r="I23" s="221"/>
      <c r="J23" s="221"/>
      <c r="K23" s="221"/>
      <c r="L23" s="222"/>
      <c r="M23" s="193" t="s">
        <v>47</v>
      </c>
      <c r="N23" s="194"/>
      <c r="O23" s="194"/>
      <c r="P23" s="193" t="s">
        <v>74</v>
      </c>
      <c r="Q23" s="194"/>
      <c r="R23" s="194"/>
      <c r="S23" s="193" t="s">
        <v>76</v>
      </c>
      <c r="T23" s="194"/>
      <c r="U23" s="194"/>
      <c r="V23" s="228" t="s">
        <v>108</v>
      </c>
      <c r="W23" s="229"/>
      <c r="X23" s="229"/>
      <c r="Y23" s="229"/>
      <c r="Z23" s="229"/>
      <c r="AA23" s="230"/>
      <c r="AB23" s="231" t="s">
        <v>109</v>
      </c>
      <c r="AC23" s="232"/>
      <c r="AD23" s="232"/>
      <c r="AE23" s="232"/>
      <c r="AF23" s="232"/>
      <c r="AG23" s="232"/>
      <c r="AH23" s="232"/>
      <c r="AI23" s="232"/>
      <c r="AJ23" s="232"/>
      <c r="AK23" s="232"/>
      <c r="AL23" s="232"/>
      <c r="AM23" s="232"/>
      <c r="AN23" s="232"/>
      <c r="AO23" s="232"/>
      <c r="AP23" s="232"/>
      <c r="AQ23" s="233"/>
      <c r="AR23" s="253">
        <v>9.99</v>
      </c>
      <c r="AS23" s="251"/>
      <c r="AT23" s="251"/>
      <c r="AU23" s="251"/>
      <c r="AV23" s="251"/>
      <c r="AW23" s="252"/>
      <c r="AX23" s="228"/>
      <c r="AY23" s="229"/>
      <c r="AZ23" s="229"/>
      <c r="BA23" s="229"/>
      <c r="BB23" s="229"/>
      <c r="BC23" s="229"/>
      <c r="BD23" s="229"/>
      <c r="BE23" s="229"/>
      <c r="BF23" s="229"/>
      <c r="BG23" s="229"/>
      <c r="BH23" s="229"/>
      <c r="BI23" s="229"/>
      <c r="BJ23" s="229"/>
      <c r="BK23" s="229"/>
      <c r="BL23" s="229"/>
      <c r="BM23" s="229"/>
      <c r="BN23" s="229"/>
      <c r="BO23" s="229"/>
      <c r="BP23" s="229"/>
      <c r="BQ23" s="229"/>
      <c r="BR23" s="229"/>
      <c r="BS23" s="229"/>
      <c r="BT23" s="237"/>
      <c r="BU23" s="41"/>
      <c r="BV23" s="40"/>
      <c r="BW23" s="41"/>
      <c r="BX23" s="41"/>
      <c r="BY23" s="41"/>
      <c r="BZ23" s="41"/>
      <c r="CA23" s="41"/>
      <c r="CB23" s="41"/>
      <c r="CC23" s="41"/>
      <c r="CD23" s="41"/>
      <c r="CE23" s="41"/>
      <c r="CF23" s="41"/>
      <c r="CG23" s="41"/>
    </row>
    <row r="24" spans="1:85" s="5" customFormat="1" ht="20.100000000000001" customHeight="1" x14ac:dyDescent="0.45">
      <c r="A24" s="29"/>
      <c r="B24" s="35"/>
      <c r="C24"/>
      <c r="D24" s="37">
        <v>14</v>
      </c>
      <c r="E24" s="220" t="s">
        <v>90</v>
      </c>
      <c r="F24" s="221"/>
      <c r="G24" s="221"/>
      <c r="H24" s="221"/>
      <c r="I24" s="221"/>
      <c r="J24" s="221"/>
      <c r="K24" s="221"/>
      <c r="L24" s="222"/>
      <c r="M24" s="193" t="s">
        <v>38</v>
      </c>
      <c r="N24" s="194"/>
      <c r="O24" s="194"/>
      <c r="P24" s="193" t="s">
        <v>74</v>
      </c>
      <c r="Q24" s="194"/>
      <c r="R24" s="194"/>
      <c r="S24" s="193" t="s">
        <v>76</v>
      </c>
      <c r="T24" s="194"/>
      <c r="U24" s="194"/>
      <c r="V24" s="228" t="s">
        <v>297</v>
      </c>
      <c r="W24" s="229"/>
      <c r="X24" s="229"/>
      <c r="Y24" s="229"/>
      <c r="Z24" s="229"/>
      <c r="AA24" s="230"/>
      <c r="AB24" s="231"/>
      <c r="AC24" s="232"/>
      <c r="AD24" s="232"/>
      <c r="AE24" s="232"/>
      <c r="AF24" s="232"/>
      <c r="AG24" s="232"/>
      <c r="AH24" s="232"/>
      <c r="AI24" s="232"/>
      <c r="AJ24" s="232"/>
      <c r="AK24" s="232"/>
      <c r="AL24" s="232"/>
      <c r="AM24" s="232"/>
      <c r="AN24" s="232"/>
      <c r="AO24" s="232"/>
      <c r="AP24" s="232"/>
      <c r="AQ24" s="233"/>
      <c r="AR24" s="193"/>
      <c r="AS24" s="194"/>
      <c r="AT24" s="194"/>
      <c r="AU24" s="194"/>
      <c r="AV24" s="194"/>
      <c r="AW24" s="195"/>
      <c r="AX24" s="228"/>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37"/>
      <c r="BU24" s="41"/>
      <c r="BV24" s="40"/>
      <c r="BW24" s="41"/>
      <c r="BX24" s="41"/>
      <c r="BY24" s="41"/>
      <c r="BZ24" s="41"/>
      <c r="CA24" s="41"/>
      <c r="CB24" s="41"/>
      <c r="CC24" s="41"/>
      <c r="CD24" s="41"/>
      <c r="CE24" s="41"/>
      <c r="CF24" s="41"/>
      <c r="CG24" s="41"/>
    </row>
    <row r="25" spans="1:85" s="5" customFormat="1" ht="20.100000000000001" customHeight="1" x14ac:dyDescent="0.45">
      <c r="A25" s="29"/>
      <c r="B25" s="35"/>
      <c r="C25"/>
      <c r="D25" s="37">
        <v>15</v>
      </c>
      <c r="E25" s="220" t="s">
        <v>91</v>
      </c>
      <c r="F25" s="221"/>
      <c r="G25" s="221"/>
      <c r="H25" s="221"/>
      <c r="I25" s="221"/>
      <c r="J25" s="221"/>
      <c r="K25" s="221"/>
      <c r="L25" s="222"/>
      <c r="M25" s="193" t="s">
        <v>38</v>
      </c>
      <c r="N25" s="194"/>
      <c r="O25" s="194"/>
      <c r="P25" s="193" t="s">
        <v>74</v>
      </c>
      <c r="Q25" s="194"/>
      <c r="R25" s="194"/>
      <c r="S25" s="193" t="s">
        <v>76</v>
      </c>
      <c r="T25" s="194"/>
      <c r="U25" s="194"/>
      <c r="V25" s="231" t="s">
        <v>298</v>
      </c>
      <c r="W25" s="232"/>
      <c r="X25" s="232"/>
      <c r="Y25" s="232"/>
      <c r="Z25" s="232"/>
      <c r="AA25" s="233"/>
      <c r="AB25" s="231"/>
      <c r="AC25" s="232"/>
      <c r="AD25" s="232"/>
      <c r="AE25" s="232"/>
      <c r="AF25" s="232"/>
      <c r="AG25" s="232"/>
      <c r="AH25" s="232"/>
      <c r="AI25" s="232"/>
      <c r="AJ25" s="232"/>
      <c r="AK25" s="232"/>
      <c r="AL25" s="232"/>
      <c r="AM25" s="232"/>
      <c r="AN25" s="232"/>
      <c r="AO25" s="232"/>
      <c r="AP25" s="232"/>
      <c r="AQ25" s="233"/>
      <c r="AR25" s="193"/>
      <c r="AS25" s="194"/>
      <c r="AT25" s="194"/>
      <c r="AU25" s="194"/>
      <c r="AV25" s="194"/>
      <c r="AW25" s="195"/>
      <c r="AX25" s="228"/>
      <c r="AY25" s="229"/>
      <c r="AZ25" s="229"/>
      <c r="BA25" s="229"/>
      <c r="BB25" s="229"/>
      <c r="BC25" s="229"/>
      <c r="BD25" s="229"/>
      <c r="BE25" s="229"/>
      <c r="BF25" s="229"/>
      <c r="BG25" s="229"/>
      <c r="BH25" s="229"/>
      <c r="BI25" s="229"/>
      <c r="BJ25" s="229"/>
      <c r="BK25" s="229"/>
      <c r="BL25" s="229"/>
      <c r="BM25" s="229"/>
      <c r="BN25" s="229"/>
      <c r="BO25" s="229"/>
      <c r="BP25" s="229"/>
      <c r="BQ25" s="229"/>
      <c r="BR25" s="229"/>
      <c r="BS25" s="229"/>
      <c r="BT25" s="237"/>
      <c r="BU25" s="41"/>
      <c r="BV25" s="40"/>
      <c r="BW25" s="41"/>
      <c r="BX25" s="41"/>
      <c r="BY25" s="41"/>
      <c r="BZ25" s="41"/>
      <c r="CA25" s="41"/>
      <c r="CB25" s="41"/>
      <c r="CC25" s="41"/>
      <c r="CD25" s="41"/>
      <c r="CE25" s="41"/>
      <c r="CF25" s="41"/>
      <c r="CG25" s="41"/>
    </row>
    <row r="26" spans="1:85" s="5" customFormat="1" ht="20.100000000000001" customHeight="1" x14ac:dyDescent="0.45">
      <c r="A26" s="29"/>
      <c r="B26" s="35"/>
      <c r="C26"/>
      <c r="D26" s="37">
        <v>16</v>
      </c>
      <c r="E26" s="220" t="s">
        <v>95</v>
      </c>
      <c r="F26" s="221"/>
      <c r="G26" s="221"/>
      <c r="H26" s="221"/>
      <c r="I26" s="221"/>
      <c r="J26" s="221"/>
      <c r="K26" s="221"/>
      <c r="L26" s="222"/>
      <c r="M26" s="193" t="s">
        <v>38</v>
      </c>
      <c r="N26" s="194"/>
      <c r="O26" s="194"/>
      <c r="P26" s="193" t="s">
        <v>74</v>
      </c>
      <c r="Q26" s="194"/>
      <c r="R26" s="194"/>
      <c r="S26" s="193">
        <v>4</v>
      </c>
      <c r="T26" s="194"/>
      <c r="U26" s="194"/>
      <c r="V26" s="228" t="s">
        <v>299</v>
      </c>
      <c r="W26" s="229"/>
      <c r="X26" s="229"/>
      <c r="Y26" s="229"/>
      <c r="Z26" s="229"/>
      <c r="AA26" s="230"/>
      <c r="AB26" s="231"/>
      <c r="AC26" s="232"/>
      <c r="AD26" s="232"/>
      <c r="AE26" s="232"/>
      <c r="AF26" s="232"/>
      <c r="AG26" s="232"/>
      <c r="AH26" s="232"/>
      <c r="AI26" s="232"/>
      <c r="AJ26" s="232"/>
      <c r="AK26" s="232"/>
      <c r="AL26" s="232"/>
      <c r="AM26" s="232"/>
      <c r="AN26" s="232"/>
      <c r="AO26" s="232"/>
      <c r="AP26" s="232"/>
      <c r="AQ26" s="233"/>
      <c r="AR26" s="193"/>
      <c r="AS26" s="194"/>
      <c r="AT26" s="194"/>
      <c r="AU26" s="194"/>
      <c r="AV26" s="194"/>
      <c r="AW26" s="195"/>
      <c r="AX26" s="228"/>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37"/>
      <c r="BU26" s="41"/>
      <c r="BV26" s="40"/>
      <c r="BW26" s="41"/>
      <c r="BX26" s="41"/>
      <c r="BY26" s="41"/>
      <c r="BZ26" s="41"/>
      <c r="CA26" s="41"/>
      <c r="CB26" s="41"/>
      <c r="CC26" s="41"/>
      <c r="CD26" s="41"/>
      <c r="CE26" s="41"/>
      <c r="CF26" s="41"/>
      <c r="CG26" s="41"/>
    </row>
    <row r="27" spans="1:85" ht="20.100000000000001" customHeight="1" x14ac:dyDescent="0.45">
      <c r="A27" s="29"/>
      <c r="B27" s="44"/>
      <c r="C27"/>
      <c r="D27" s="37">
        <v>17</v>
      </c>
      <c r="E27" s="220" t="s">
        <v>92</v>
      </c>
      <c r="F27" s="221"/>
      <c r="G27" s="221"/>
      <c r="H27" s="221"/>
      <c r="I27" s="221"/>
      <c r="J27" s="221"/>
      <c r="K27" s="221"/>
      <c r="L27" s="222"/>
      <c r="M27" s="193" t="s">
        <v>38</v>
      </c>
      <c r="N27" s="194"/>
      <c r="O27" s="194"/>
      <c r="P27" s="193" t="s">
        <v>74</v>
      </c>
      <c r="Q27" s="194"/>
      <c r="R27" s="194"/>
      <c r="S27" s="193" t="s">
        <v>76</v>
      </c>
      <c r="T27" s="194"/>
      <c r="U27" s="194"/>
      <c r="V27" s="231" t="s">
        <v>309</v>
      </c>
      <c r="W27" s="232"/>
      <c r="X27" s="232"/>
      <c r="Y27" s="232"/>
      <c r="Z27" s="232"/>
      <c r="AA27" s="233"/>
      <c r="AB27" s="231"/>
      <c r="AC27" s="232"/>
      <c r="AD27" s="232"/>
      <c r="AE27" s="232"/>
      <c r="AF27" s="232"/>
      <c r="AG27" s="232"/>
      <c r="AH27" s="232"/>
      <c r="AI27" s="232"/>
      <c r="AJ27" s="232"/>
      <c r="AK27" s="232"/>
      <c r="AL27" s="232"/>
      <c r="AM27" s="232"/>
      <c r="AN27" s="232"/>
      <c r="AO27" s="232"/>
      <c r="AP27" s="232"/>
      <c r="AQ27" s="233"/>
      <c r="AR27" s="193"/>
      <c r="AS27" s="194"/>
      <c r="AT27" s="194"/>
      <c r="AU27" s="194"/>
      <c r="AV27" s="194"/>
      <c r="AW27" s="195"/>
      <c r="AX27" s="228"/>
      <c r="AY27" s="229"/>
      <c r="AZ27" s="229"/>
      <c r="BA27" s="229"/>
      <c r="BB27" s="229"/>
      <c r="BC27" s="229"/>
      <c r="BD27" s="229"/>
      <c r="BE27" s="229"/>
      <c r="BF27" s="229"/>
      <c r="BG27" s="229"/>
      <c r="BH27" s="229"/>
      <c r="BI27" s="229"/>
      <c r="BJ27" s="229"/>
      <c r="BK27" s="229"/>
      <c r="BL27" s="229"/>
      <c r="BM27" s="229"/>
      <c r="BN27" s="229"/>
      <c r="BO27" s="229"/>
      <c r="BP27" s="229"/>
      <c r="BQ27" s="229"/>
      <c r="BR27" s="229"/>
      <c r="BS27" s="229"/>
      <c r="BT27" s="237"/>
      <c r="BU27" s="41"/>
      <c r="BV27" s="40"/>
      <c r="BW27" s="41"/>
      <c r="BX27" s="41"/>
      <c r="BY27" s="41"/>
      <c r="BZ27" s="41"/>
      <c r="CA27" s="41"/>
      <c r="CB27" s="41"/>
      <c r="CC27" s="41"/>
      <c r="CD27" s="41"/>
      <c r="CE27" s="41"/>
      <c r="CF27" s="41"/>
      <c r="CG27" s="41"/>
    </row>
    <row r="28" spans="1:85" ht="19.5" customHeight="1" x14ac:dyDescent="0.45">
      <c r="A28" s="29"/>
      <c r="B28" s="44"/>
      <c r="C28"/>
      <c r="D28" s="37">
        <v>18</v>
      </c>
      <c r="E28" s="220" t="s">
        <v>93</v>
      </c>
      <c r="F28" s="221"/>
      <c r="G28" s="221"/>
      <c r="H28" s="221"/>
      <c r="I28" s="221"/>
      <c r="J28" s="221"/>
      <c r="K28" s="221"/>
      <c r="L28" s="222"/>
      <c r="M28" s="193" t="s">
        <v>38</v>
      </c>
      <c r="N28" s="194"/>
      <c r="O28" s="194"/>
      <c r="P28" s="193" t="s">
        <v>74</v>
      </c>
      <c r="Q28" s="194"/>
      <c r="R28" s="194"/>
      <c r="S28" s="193">
        <v>4</v>
      </c>
      <c r="T28" s="194"/>
      <c r="U28" s="194"/>
      <c r="V28" s="228" t="s">
        <v>300</v>
      </c>
      <c r="W28" s="229"/>
      <c r="X28" s="229"/>
      <c r="Y28" s="229"/>
      <c r="Z28" s="229"/>
      <c r="AA28" s="230"/>
      <c r="AB28" s="231"/>
      <c r="AC28" s="232"/>
      <c r="AD28" s="232"/>
      <c r="AE28" s="232"/>
      <c r="AF28" s="232"/>
      <c r="AG28" s="232"/>
      <c r="AH28" s="232"/>
      <c r="AI28" s="232"/>
      <c r="AJ28" s="232"/>
      <c r="AK28" s="232"/>
      <c r="AL28" s="232"/>
      <c r="AM28" s="232"/>
      <c r="AN28" s="232"/>
      <c r="AO28" s="232"/>
      <c r="AP28" s="232"/>
      <c r="AQ28" s="233"/>
      <c r="AR28" s="193"/>
      <c r="AS28" s="194"/>
      <c r="AT28" s="194"/>
      <c r="AU28" s="194"/>
      <c r="AV28" s="194"/>
      <c r="AW28" s="195"/>
      <c r="AX28" s="228"/>
      <c r="AY28" s="229"/>
      <c r="AZ28" s="229"/>
      <c r="BA28" s="229"/>
      <c r="BB28" s="229"/>
      <c r="BC28" s="229"/>
      <c r="BD28" s="229"/>
      <c r="BE28" s="229"/>
      <c r="BF28" s="229"/>
      <c r="BG28" s="229"/>
      <c r="BH28" s="229"/>
      <c r="BI28" s="229"/>
      <c r="BJ28" s="229"/>
      <c r="BK28" s="229"/>
      <c r="BL28" s="229"/>
      <c r="BM28" s="229"/>
      <c r="BN28" s="229"/>
      <c r="BO28" s="229"/>
      <c r="BP28" s="229"/>
      <c r="BQ28" s="229"/>
      <c r="BR28" s="229"/>
      <c r="BS28" s="229"/>
      <c r="BT28" s="237"/>
      <c r="BU28" s="41"/>
      <c r="BV28" s="40"/>
      <c r="BW28" s="41"/>
      <c r="BX28" s="41"/>
      <c r="BY28" s="41"/>
      <c r="BZ28" s="41"/>
      <c r="CA28" s="41"/>
      <c r="CB28" s="41"/>
      <c r="CC28" s="41"/>
      <c r="CD28" s="41"/>
      <c r="CE28" s="41"/>
      <c r="CF28" s="41"/>
      <c r="CG28" s="41"/>
    </row>
    <row r="29" spans="1:85" ht="19.5" customHeight="1" x14ac:dyDescent="0.45">
      <c r="A29" s="29"/>
      <c r="B29" s="44"/>
      <c r="C29"/>
      <c r="D29" s="37">
        <v>19</v>
      </c>
      <c r="E29" s="220" t="s">
        <v>94</v>
      </c>
      <c r="F29" s="221"/>
      <c r="G29" s="221"/>
      <c r="H29" s="221"/>
      <c r="I29" s="221"/>
      <c r="J29" s="221"/>
      <c r="K29" s="221"/>
      <c r="L29" s="222"/>
      <c r="M29" s="193" t="s">
        <v>38</v>
      </c>
      <c r="N29" s="194"/>
      <c r="O29" s="194"/>
      <c r="P29" s="193" t="s">
        <v>74</v>
      </c>
      <c r="Q29" s="194"/>
      <c r="R29" s="194"/>
      <c r="S29" s="193">
        <v>4</v>
      </c>
      <c r="T29" s="194"/>
      <c r="U29" s="194"/>
      <c r="V29" s="228" t="s">
        <v>301</v>
      </c>
      <c r="W29" s="229"/>
      <c r="X29" s="229"/>
      <c r="Y29" s="229"/>
      <c r="Z29" s="229"/>
      <c r="AA29" s="230"/>
      <c r="AB29" s="231"/>
      <c r="AC29" s="232"/>
      <c r="AD29" s="232"/>
      <c r="AE29" s="232"/>
      <c r="AF29" s="232"/>
      <c r="AG29" s="232"/>
      <c r="AH29" s="232"/>
      <c r="AI29" s="232"/>
      <c r="AJ29" s="232"/>
      <c r="AK29" s="232"/>
      <c r="AL29" s="232"/>
      <c r="AM29" s="232"/>
      <c r="AN29" s="232"/>
      <c r="AO29" s="232"/>
      <c r="AP29" s="232"/>
      <c r="AQ29" s="233"/>
      <c r="AR29" s="193"/>
      <c r="AS29" s="194"/>
      <c r="AT29" s="194"/>
      <c r="AU29" s="194"/>
      <c r="AV29" s="194"/>
      <c r="AW29" s="195"/>
      <c r="AX29" s="228"/>
      <c r="AY29" s="229"/>
      <c r="AZ29" s="229"/>
      <c r="BA29" s="229"/>
      <c r="BB29" s="229"/>
      <c r="BC29" s="229"/>
      <c r="BD29" s="229"/>
      <c r="BE29" s="229"/>
      <c r="BF29" s="229"/>
      <c r="BG29" s="229"/>
      <c r="BH29" s="229"/>
      <c r="BI29" s="229"/>
      <c r="BJ29" s="229"/>
      <c r="BK29" s="229"/>
      <c r="BL29" s="229"/>
      <c r="BM29" s="229"/>
      <c r="BN29" s="229"/>
      <c r="BO29" s="229"/>
      <c r="BP29" s="229"/>
      <c r="BQ29" s="229"/>
      <c r="BR29" s="229"/>
      <c r="BS29" s="229"/>
      <c r="BT29" s="237"/>
      <c r="BU29" s="41"/>
      <c r="BV29" s="40"/>
      <c r="BW29" s="41"/>
      <c r="BX29" s="41"/>
      <c r="BY29" s="41"/>
      <c r="BZ29" s="41"/>
      <c r="CA29" s="41"/>
      <c r="CB29" s="41"/>
      <c r="CC29" s="41"/>
      <c r="CD29" s="41"/>
      <c r="CE29" s="41"/>
      <c r="CF29" s="41"/>
      <c r="CG29" s="41"/>
    </row>
    <row r="30" spans="1:85" ht="19.5" customHeight="1" x14ac:dyDescent="0.45">
      <c r="A30" s="29"/>
      <c r="B30" s="44"/>
      <c r="C30" s="29"/>
      <c r="D30" s="37">
        <v>20</v>
      </c>
      <c r="E30" s="220" t="s">
        <v>96</v>
      </c>
      <c r="F30" s="221"/>
      <c r="G30" s="221"/>
      <c r="H30" s="221"/>
      <c r="I30" s="221"/>
      <c r="J30" s="221"/>
      <c r="K30" s="221"/>
      <c r="L30" s="222"/>
      <c r="M30" s="193" t="s">
        <v>38</v>
      </c>
      <c r="N30" s="194"/>
      <c r="O30" s="194"/>
      <c r="P30" s="193" t="s">
        <v>103</v>
      </c>
      <c r="Q30" s="194"/>
      <c r="R30" s="194"/>
      <c r="S30" s="193" t="s">
        <v>76</v>
      </c>
      <c r="T30" s="194"/>
      <c r="U30" s="194"/>
      <c r="V30" s="228" t="s">
        <v>302</v>
      </c>
      <c r="W30" s="229"/>
      <c r="X30" s="229"/>
      <c r="Y30" s="229"/>
      <c r="Z30" s="229"/>
      <c r="AA30" s="230"/>
      <c r="AB30" s="231"/>
      <c r="AC30" s="232"/>
      <c r="AD30" s="232"/>
      <c r="AE30" s="232"/>
      <c r="AF30" s="232"/>
      <c r="AG30" s="232"/>
      <c r="AH30" s="232"/>
      <c r="AI30" s="232"/>
      <c r="AJ30" s="232"/>
      <c r="AK30" s="232"/>
      <c r="AL30" s="232"/>
      <c r="AM30" s="232"/>
      <c r="AN30" s="232"/>
      <c r="AO30" s="232"/>
      <c r="AP30" s="232"/>
      <c r="AQ30" s="233"/>
      <c r="AR30" s="193"/>
      <c r="AS30" s="194"/>
      <c r="AT30" s="194"/>
      <c r="AU30" s="194"/>
      <c r="AV30" s="194"/>
      <c r="AW30" s="195"/>
      <c r="AX30" s="228"/>
      <c r="AY30" s="229"/>
      <c r="AZ30" s="229"/>
      <c r="BA30" s="229"/>
      <c r="BB30" s="229"/>
      <c r="BC30" s="229"/>
      <c r="BD30" s="229"/>
      <c r="BE30" s="229"/>
      <c r="BF30" s="229"/>
      <c r="BG30" s="229"/>
      <c r="BH30" s="229"/>
      <c r="BI30" s="229"/>
      <c r="BJ30" s="229"/>
      <c r="BK30" s="229"/>
      <c r="BL30" s="229"/>
      <c r="BM30" s="229"/>
      <c r="BN30" s="229"/>
      <c r="BO30" s="229"/>
      <c r="BP30" s="229"/>
      <c r="BQ30" s="229"/>
      <c r="BR30" s="229"/>
      <c r="BS30" s="229"/>
      <c r="BT30" s="237"/>
      <c r="BU30" s="41"/>
      <c r="BV30" s="40"/>
      <c r="BW30" s="41"/>
      <c r="BX30" s="41"/>
      <c r="BY30" s="41"/>
      <c r="BZ30" s="41"/>
      <c r="CA30" s="41"/>
      <c r="CB30" s="41"/>
      <c r="CC30" s="41"/>
      <c r="CD30" s="41"/>
      <c r="CE30" s="41"/>
      <c r="CF30" s="41"/>
      <c r="CG30" s="41"/>
    </row>
    <row r="31" spans="1:85" ht="19.5" customHeight="1" x14ac:dyDescent="0.45">
      <c r="A31" s="29"/>
      <c r="B31" s="44"/>
      <c r="C31" s="29"/>
      <c r="D31" s="37">
        <v>21</v>
      </c>
      <c r="E31" s="220" t="s">
        <v>97</v>
      </c>
      <c r="F31" s="221"/>
      <c r="G31" s="221"/>
      <c r="H31" s="221"/>
      <c r="I31" s="221"/>
      <c r="J31" s="221"/>
      <c r="K31" s="221"/>
      <c r="L31" s="222"/>
      <c r="M31" s="193" t="s">
        <v>38</v>
      </c>
      <c r="N31" s="194"/>
      <c r="O31" s="194"/>
      <c r="P31" s="193" t="s">
        <v>103</v>
      </c>
      <c r="Q31" s="194"/>
      <c r="R31" s="194"/>
      <c r="S31" s="193" t="s">
        <v>76</v>
      </c>
      <c r="T31" s="194"/>
      <c r="U31" s="194"/>
      <c r="V31" s="228" t="s">
        <v>303</v>
      </c>
      <c r="W31" s="229"/>
      <c r="X31" s="229"/>
      <c r="Y31" s="229"/>
      <c r="Z31" s="229"/>
      <c r="AA31" s="230"/>
      <c r="AB31" s="231"/>
      <c r="AC31" s="232"/>
      <c r="AD31" s="232"/>
      <c r="AE31" s="232"/>
      <c r="AF31" s="232"/>
      <c r="AG31" s="232"/>
      <c r="AH31" s="232"/>
      <c r="AI31" s="232"/>
      <c r="AJ31" s="232"/>
      <c r="AK31" s="232"/>
      <c r="AL31" s="232"/>
      <c r="AM31" s="232"/>
      <c r="AN31" s="232"/>
      <c r="AO31" s="232"/>
      <c r="AP31" s="232"/>
      <c r="AQ31" s="233"/>
      <c r="AR31" s="193"/>
      <c r="AS31" s="194"/>
      <c r="AT31" s="194"/>
      <c r="AU31" s="194"/>
      <c r="AV31" s="194"/>
      <c r="AW31" s="195"/>
      <c r="AX31" s="228"/>
      <c r="AY31" s="229"/>
      <c r="AZ31" s="229"/>
      <c r="BA31" s="229"/>
      <c r="BB31" s="229"/>
      <c r="BC31" s="229"/>
      <c r="BD31" s="229"/>
      <c r="BE31" s="229"/>
      <c r="BF31" s="229"/>
      <c r="BG31" s="229"/>
      <c r="BH31" s="229"/>
      <c r="BI31" s="229"/>
      <c r="BJ31" s="229"/>
      <c r="BK31" s="229"/>
      <c r="BL31" s="229"/>
      <c r="BM31" s="229"/>
      <c r="BN31" s="229"/>
      <c r="BO31" s="229"/>
      <c r="BP31" s="229"/>
      <c r="BQ31" s="229"/>
      <c r="BR31" s="229"/>
      <c r="BS31" s="229"/>
      <c r="BT31" s="237"/>
      <c r="BU31" s="41"/>
      <c r="BV31" s="40"/>
      <c r="BW31" s="41"/>
      <c r="BX31" s="41"/>
      <c r="BY31" s="41"/>
      <c r="BZ31" s="41"/>
      <c r="CA31" s="41"/>
      <c r="CB31" s="41"/>
      <c r="CC31" s="41"/>
      <c r="CD31" s="41"/>
      <c r="CE31" s="41"/>
      <c r="CF31" s="41"/>
      <c r="CG31" s="41"/>
    </row>
    <row r="32" spans="1:85" ht="19.5" customHeight="1" x14ac:dyDescent="0.45">
      <c r="A32" s="29"/>
      <c r="B32" s="44"/>
      <c r="C32" s="29"/>
      <c r="D32" s="37">
        <v>22</v>
      </c>
      <c r="E32" s="220" t="s">
        <v>98</v>
      </c>
      <c r="F32" s="221"/>
      <c r="G32" s="221"/>
      <c r="H32" s="221"/>
      <c r="I32" s="221"/>
      <c r="J32" s="221"/>
      <c r="K32" s="221"/>
      <c r="L32" s="222"/>
      <c r="M32" s="193" t="s">
        <v>38</v>
      </c>
      <c r="N32" s="194"/>
      <c r="O32" s="194"/>
      <c r="P32" s="193" t="s">
        <v>74</v>
      </c>
      <c r="Q32" s="194"/>
      <c r="R32" s="194"/>
      <c r="S32" s="193">
        <v>4</v>
      </c>
      <c r="T32" s="194"/>
      <c r="U32" s="194"/>
      <c r="V32" s="228" t="s">
        <v>304</v>
      </c>
      <c r="W32" s="229"/>
      <c r="X32" s="229"/>
      <c r="Y32" s="229"/>
      <c r="Z32" s="229"/>
      <c r="AA32" s="230"/>
      <c r="AB32" s="231"/>
      <c r="AC32" s="232"/>
      <c r="AD32" s="232"/>
      <c r="AE32" s="232"/>
      <c r="AF32" s="232"/>
      <c r="AG32" s="232"/>
      <c r="AH32" s="232"/>
      <c r="AI32" s="232"/>
      <c r="AJ32" s="232"/>
      <c r="AK32" s="232"/>
      <c r="AL32" s="232"/>
      <c r="AM32" s="232"/>
      <c r="AN32" s="232"/>
      <c r="AO32" s="232"/>
      <c r="AP32" s="232"/>
      <c r="AQ32" s="233"/>
      <c r="AR32" s="193"/>
      <c r="AS32" s="194"/>
      <c r="AT32" s="194"/>
      <c r="AU32" s="194"/>
      <c r="AV32" s="194"/>
      <c r="AW32" s="195"/>
      <c r="AX32" s="228"/>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37"/>
      <c r="BU32" s="41"/>
      <c r="BV32" s="40"/>
      <c r="BW32" s="41"/>
      <c r="BX32" s="41"/>
      <c r="BY32" s="41"/>
      <c r="BZ32" s="41"/>
      <c r="CA32" s="41"/>
      <c r="CB32" s="41"/>
      <c r="CC32" s="41"/>
      <c r="CD32" s="41"/>
      <c r="CE32" s="41"/>
      <c r="CF32" s="41"/>
      <c r="CG32" s="41"/>
    </row>
    <row r="33" spans="1:85" ht="19.5" customHeight="1" x14ac:dyDescent="0.45">
      <c r="A33" s="29"/>
      <c r="B33" s="44"/>
      <c r="C33" s="29"/>
      <c r="D33" s="37">
        <v>23</v>
      </c>
      <c r="E33" s="220" t="s">
        <v>99</v>
      </c>
      <c r="F33" s="221"/>
      <c r="G33" s="221"/>
      <c r="H33" s="221"/>
      <c r="I33" s="221"/>
      <c r="J33" s="221"/>
      <c r="K33" s="221"/>
      <c r="L33" s="222"/>
      <c r="M33" s="193" t="s">
        <v>38</v>
      </c>
      <c r="N33" s="194"/>
      <c r="O33" s="194"/>
      <c r="P33" s="193" t="s">
        <v>103</v>
      </c>
      <c r="Q33" s="194"/>
      <c r="R33" s="194"/>
      <c r="S33" s="193" t="s">
        <v>76</v>
      </c>
      <c r="T33" s="194"/>
      <c r="U33" s="194"/>
      <c r="V33" s="228" t="s">
        <v>305</v>
      </c>
      <c r="W33" s="229"/>
      <c r="X33" s="229"/>
      <c r="Y33" s="229"/>
      <c r="Z33" s="229"/>
      <c r="AA33" s="230"/>
      <c r="AB33" s="231"/>
      <c r="AC33" s="232"/>
      <c r="AD33" s="232"/>
      <c r="AE33" s="232"/>
      <c r="AF33" s="232"/>
      <c r="AG33" s="232"/>
      <c r="AH33" s="232"/>
      <c r="AI33" s="232"/>
      <c r="AJ33" s="232"/>
      <c r="AK33" s="232"/>
      <c r="AL33" s="232"/>
      <c r="AM33" s="232"/>
      <c r="AN33" s="232"/>
      <c r="AO33" s="232"/>
      <c r="AP33" s="232"/>
      <c r="AQ33" s="233"/>
      <c r="AR33" s="193"/>
      <c r="AS33" s="194"/>
      <c r="AT33" s="194"/>
      <c r="AU33" s="194"/>
      <c r="AV33" s="194"/>
      <c r="AW33" s="195"/>
      <c r="AX33" s="228"/>
      <c r="AY33" s="229"/>
      <c r="AZ33" s="229"/>
      <c r="BA33" s="229"/>
      <c r="BB33" s="229"/>
      <c r="BC33" s="229"/>
      <c r="BD33" s="229"/>
      <c r="BE33" s="229"/>
      <c r="BF33" s="229"/>
      <c r="BG33" s="229"/>
      <c r="BH33" s="229"/>
      <c r="BI33" s="229"/>
      <c r="BJ33" s="229"/>
      <c r="BK33" s="229"/>
      <c r="BL33" s="229"/>
      <c r="BM33" s="229"/>
      <c r="BN33" s="229"/>
      <c r="BO33" s="229"/>
      <c r="BP33" s="229"/>
      <c r="BQ33" s="229"/>
      <c r="BR33" s="229"/>
      <c r="BS33" s="229"/>
      <c r="BT33" s="237"/>
      <c r="BU33" s="41"/>
      <c r="BV33" s="40"/>
      <c r="BW33" s="41"/>
      <c r="BX33" s="41"/>
      <c r="BY33" s="41"/>
      <c r="BZ33" s="41"/>
      <c r="CA33" s="41"/>
      <c r="CB33" s="41"/>
      <c r="CC33" s="41"/>
      <c r="CD33" s="41"/>
      <c r="CE33" s="41"/>
      <c r="CF33" s="41"/>
      <c r="CG33" s="41"/>
    </row>
    <row r="34" spans="1:85" ht="19.5" customHeight="1" x14ac:dyDescent="0.45">
      <c r="A34" s="29"/>
      <c r="B34" s="44"/>
      <c r="C34" s="29"/>
      <c r="D34" s="37">
        <v>24</v>
      </c>
      <c r="E34" s="220" t="s">
        <v>100</v>
      </c>
      <c r="F34" s="221"/>
      <c r="G34" s="221"/>
      <c r="H34" s="221"/>
      <c r="I34" s="221"/>
      <c r="J34" s="221"/>
      <c r="K34" s="221"/>
      <c r="L34" s="222"/>
      <c r="M34" s="193" t="s">
        <v>47</v>
      </c>
      <c r="N34" s="194"/>
      <c r="O34" s="194"/>
      <c r="P34" s="193" t="s">
        <v>104</v>
      </c>
      <c r="Q34" s="194"/>
      <c r="R34" s="194"/>
      <c r="S34" s="193" t="s">
        <v>76</v>
      </c>
      <c r="T34" s="194"/>
      <c r="U34" s="194"/>
      <c r="V34" s="228" t="s">
        <v>306</v>
      </c>
      <c r="W34" s="229"/>
      <c r="X34" s="229"/>
      <c r="Y34" s="229"/>
      <c r="Z34" s="229"/>
      <c r="AA34" s="230"/>
      <c r="AB34" s="231"/>
      <c r="AC34" s="232"/>
      <c r="AD34" s="232"/>
      <c r="AE34" s="232"/>
      <c r="AF34" s="232"/>
      <c r="AG34" s="232"/>
      <c r="AH34" s="232"/>
      <c r="AI34" s="232"/>
      <c r="AJ34" s="232"/>
      <c r="AK34" s="232"/>
      <c r="AL34" s="232"/>
      <c r="AM34" s="232"/>
      <c r="AN34" s="232"/>
      <c r="AO34" s="232"/>
      <c r="AP34" s="232"/>
      <c r="AQ34" s="233"/>
      <c r="AR34" s="250">
        <v>9999</v>
      </c>
      <c r="AS34" s="194"/>
      <c r="AT34" s="194"/>
      <c r="AU34" s="194"/>
      <c r="AV34" s="194"/>
      <c r="AW34" s="195"/>
      <c r="AX34" s="228"/>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37"/>
      <c r="BU34" s="41"/>
      <c r="BV34" s="40"/>
      <c r="BW34" s="41"/>
      <c r="BX34" s="41"/>
      <c r="BY34" s="41"/>
      <c r="BZ34" s="41"/>
      <c r="CA34" s="41"/>
      <c r="CB34" s="41"/>
      <c r="CC34" s="41"/>
      <c r="CD34" s="41"/>
      <c r="CE34" s="41"/>
      <c r="CF34" s="41"/>
      <c r="CG34" s="41"/>
    </row>
    <row r="35" spans="1:85" ht="19.5" customHeight="1" x14ac:dyDescent="0.45">
      <c r="A35" s="29"/>
      <c r="B35" s="44"/>
      <c r="C35" s="29"/>
      <c r="D35" s="37">
        <v>25</v>
      </c>
      <c r="E35" s="220" t="s">
        <v>101</v>
      </c>
      <c r="F35" s="221"/>
      <c r="G35" s="221"/>
      <c r="H35" s="221"/>
      <c r="I35" s="221"/>
      <c r="J35" s="221"/>
      <c r="K35" s="221"/>
      <c r="L35" s="222"/>
      <c r="M35" s="193" t="s">
        <v>47</v>
      </c>
      <c r="N35" s="194"/>
      <c r="O35" s="194"/>
      <c r="P35" s="193" t="s">
        <v>104</v>
      </c>
      <c r="Q35" s="194"/>
      <c r="R35" s="194"/>
      <c r="S35" s="193" t="s">
        <v>76</v>
      </c>
      <c r="T35" s="194"/>
      <c r="U35" s="194"/>
      <c r="V35" s="228" t="s">
        <v>307</v>
      </c>
      <c r="W35" s="229"/>
      <c r="X35" s="229"/>
      <c r="Y35" s="229"/>
      <c r="Z35" s="229"/>
      <c r="AA35" s="230"/>
      <c r="AB35" s="231" t="s">
        <v>308</v>
      </c>
      <c r="AC35" s="232"/>
      <c r="AD35" s="232"/>
      <c r="AE35" s="232"/>
      <c r="AF35" s="232"/>
      <c r="AG35" s="232"/>
      <c r="AH35" s="232"/>
      <c r="AI35" s="232"/>
      <c r="AJ35" s="232"/>
      <c r="AK35" s="232"/>
      <c r="AL35" s="232"/>
      <c r="AM35" s="232"/>
      <c r="AN35" s="232"/>
      <c r="AO35" s="232"/>
      <c r="AP35" s="232"/>
      <c r="AQ35" s="233"/>
      <c r="AR35" s="250">
        <v>9999</v>
      </c>
      <c r="AS35" s="194"/>
      <c r="AT35" s="194"/>
      <c r="AU35" s="194"/>
      <c r="AV35" s="194"/>
      <c r="AW35" s="195"/>
      <c r="AX35" s="228"/>
      <c r="AY35" s="229"/>
      <c r="AZ35" s="229"/>
      <c r="BA35" s="229"/>
      <c r="BB35" s="229"/>
      <c r="BC35" s="229"/>
      <c r="BD35" s="229"/>
      <c r="BE35" s="229"/>
      <c r="BF35" s="229"/>
      <c r="BG35" s="229"/>
      <c r="BH35" s="229"/>
      <c r="BI35" s="229"/>
      <c r="BJ35" s="229"/>
      <c r="BK35" s="229"/>
      <c r="BL35" s="229"/>
      <c r="BM35" s="229"/>
      <c r="BN35" s="229"/>
      <c r="BO35" s="229"/>
      <c r="BP35" s="229"/>
      <c r="BQ35" s="229"/>
      <c r="BR35" s="229"/>
      <c r="BS35" s="229"/>
      <c r="BT35" s="237"/>
      <c r="BU35" s="41"/>
      <c r="BV35" s="40"/>
      <c r="BW35" s="41"/>
      <c r="BX35" s="41"/>
      <c r="BY35" s="41"/>
      <c r="BZ35" s="41"/>
      <c r="CA35" s="41"/>
      <c r="CB35" s="41"/>
      <c r="CC35" s="41"/>
      <c r="CD35" s="41"/>
      <c r="CE35" s="41"/>
      <c r="CF35" s="41"/>
      <c r="CG35" s="41"/>
    </row>
    <row r="36" spans="1:85" ht="20.100000000000001" customHeight="1" thickBot="1" x14ac:dyDescent="0.5">
      <c r="A36" s="29"/>
      <c r="B36" s="44"/>
      <c r="C36"/>
      <c r="D36" s="37">
        <v>26</v>
      </c>
      <c r="E36" s="217" t="s">
        <v>102</v>
      </c>
      <c r="F36" s="218"/>
      <c r="G36" s="218"/>
      <c r="H36" s="218"/>
      <c r="I36" s="218"/>
      <c r="J36" s="218"/>
      <c r="K36" s="218"/>
      <c r="L36" s="219"/>
      <c r="M36" s="193" t="s">
        <v>47</v>
      </c>
      <c r="N36" s="194"/>
      <c r="O36" s="194"/>
      <c r="P36" s="234" t="s">
        <v>104</v>
      </c>
      <c r="Q36" s="235"/>
      <c r="R36" s="235"/>
      <c r="S36" s="234" t="s">
        <v>76</v>
      </c>
      <c r="T36" s="235"/>
      <c r="U36" s="235"/>
      <c r="V36" s="238" t="s">
        <v>110</v>
      </c>
      <c r="W36" s="239"/>
      <c r="X36" s="239"/>
      <c r="Y36" s="239"/>
      <c r="Z36" s="239"/>
      <c r="AA36" s="240"/>
      <c r="AB36" s="245" t="s">
        <v>111</v>
      </c>
      <c r="AC36" s="246"/>
      <c r="AD36" s="246"/>
      <c r="AE36" s="246"/>
      <c r="AF36" s="246"/>
      <c r="AG36" s="246"/>
      <c r="AH36" s="246"/>
      <c r="AI36" s="246"/>
      <c r="AJ36" s="246"/>
      <c r="AK36" s="246"/>
      <c r="AL36" s="246"/>
      <c r="AM36" s="246"/>
      <c r="AN36" s="246"/>
      <c r="AO36" s="246"/>
      <c r="AP36" s="246"/>
      <c r="AQ36" s="247"/>
      <c r="AR36" s="234">
        <v>9.99</v>
      </c>
      <c r="AS36" s="235"/>
      <c r="AT36" s="235"/>
      <c r="AU36" s="235"/>
      <c r="AV36" s="235"/>
      <c r="AW36" s="249"/>
      <c r="AX36" s="238"/>
      <c r="AY36" s="239"/>
      <c r="AZ36" s="239"/>
      <c r="BA36" s="239"/>
      <c r="BB36" s="239"/>
      <c r="BC36" s="239"/>
      <c r="BD36" s="239"/>
      <c r="BE36" s="239"/>
      <c r="BF36" s="239"/>
      <c r="BG36" s="239"/>
      <c r="BH36" s="239"/>
      <c r="BI36" s="239"/>
      <c r="BJ36" s="239"/>
      <c r="BK36" s="239"/>
      <c r="BL36" s="239"/>
      <c r="BM36" s="239"/>
      <c r="BN36" s="239"/>
      <c r="BO36" s="239"/>
      <c r="BP36" s="239"/>
      <c r="BQ36" s="239"/>
      <c r="BR36" s="239"/>
      <c r="BS36" s="239"/>
      <c r="BT36" s="248"/>
      <c r="BU36" s="41"/>
      <c r="BV36" s="40"/>
      <c r="BW36" s="41"/>
      <c r="BX36" s="41"/>
      <c r="BY36" s="41"/>
      <c r="BZ36" s="41"/>
      <c r="CA36" s="41"/>
      <c r="CB36" s="41"/>
      <c r="CC36" s="41"/>
      <c r="CD36" s="41"/>
      <c r="CE36" s="41"/>
      <c r="CF36" s="41"/>
      <c r="CG36" s="41"/>
    </row>
    <row r="37" spans="1:85" ht="20.100000000000001" customHeight="1" thickTop="1" thickBot="1" x14ac:dyDescent="0.5">
      <c r="A37" s="29"/>
      <c r="B37" s="40"/>
      <c r="C37"/>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46"/>
      <c r="BR37" s="46"/>
      <c r="BS37" s="46"/>
      <c r="BT37" s="46"/>
      <c r="BU37" s="28"/>
    </row>
    <row r="38" spans="1:85" ht="20.100000000000001" customHeight="1" thickTop="1" x14ac:dyDescent="0.45">
      <c r="A38" s="29"/>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33"/>
      <c r="BD38" s="33"/>
      <c r="BE38" s="33"/>
      <c r="BF38" s="33"/>
      <c r="BG38" s="33"/>
      <c r="BH38" s="33"/>
      <c r="BI38" s="42"/>
      <c r="BJ38" s="42"/>
      <c r="BK38" s="42"/>
      <c r="BL38" s="42"/>
      <c r="BM38" s="42"/>
      <c r="BN38" s="42"/>
      <c r="BO38" s="42"/>
      <c r="BP38" s="41"/>
    </row>
    <row r="39" spans="1:85" ht="20.100000000000001" customHeight="1" x14ac:dyDescent="0.45">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row>
    <row r="40" spans="1:85" ht="20.100000000000001" customHeight="1" x14ac:dyDescent="0.45">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31"/>
      <c r="BH40" s="31"/>
      <c r="BI40" s="31"/>
      <c r="BJ40" s="31"/>
      <c r="BK40" s="31"/>
      <c r="BL40" s="31"/>
      <c r="BM40" s="31"/>
      <c r="BN40" s="31"/>
      <c r="BO40" s="31"/>
      <c r="BP40" s="31"/>
    </row>
    <row r="41" spans="1:85" ht="20.100000000000001" customHeight="1" x14ac:dyDescent="0.45">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31"/>
      <c r="BH41" s="31"/>
      <c r="BI41" s="31"/>
      <c r="BJ41" s="31"/>
      <c r="BK41" s="31"/>
      <c r="BL41" s="31"/>
      <c r="BM41" s="31"/>
      <c r="BN41" s="31"/>
      <c r="BO41" s="31"/>
      <c r="BP41" s="31"/>
    </row>
    <row r="42" spans="1:85" ht="20.100000000000001" customHeight="1" x14ac:dyDescent="0.45">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31"/>
      <c r="BH42" s="31"/>
      <c r="BI42" s="31"/>
      <c r="BJ42" s="31"/>
      <c r="BK42" s="31"/>
      <c r="BL42" s="31"/>
      <c r="BM42" s="31"/>
      <c r="BN42" s="31"/>
      <c r="BO42" s="31"/>
      <c r="BP42" s="31"/>
    </row>
    <row r="43" spans="1:85" ht="20.100000000000001" customHeight="1" x14ac:dyDescent="0.4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31"/>
      <c r="BH43" s="31"/>
      <c r="BI43" s="31"/>
      <c r="BJ43" s="31"/>
      <c r="BK43" s="31"/>
      <c r="BL43" s="31"/>
      <c r="BM43" s="31"/>
      <c r="BN43" s="31"/>
      <c r="BO43" s="31"/>
      <c r="BP43" s="31"/>
    </row>
    <row r="44" spans="1:85" ht="20.100000000000001" customHeight="1" x14ac:dyDescent="0.45">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31"/>
      <c r="BH44" s="31"/>
      <c r="BI44" s="31"/>
      <c r="BJ44" s="31"/>
      <c r="BK44" s="31"/>
      <c r="BL44" s="31"/>
      <c r="BM44" s="31"/>
      <c r="BN44" s="31"/>
      <c r="BO44" s="31"/>
      <c r="BP44" s="31"/>
    </row>
    <row r="45" spans="1:85" ht="20.100000000000001" customHeight="1" x14ac:dyDescent="0.45">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31"/>
      <c r="BH45" s="31"/>
      <c r="BI45" s="31"/>
      <c r="BJ45" s="31"/>
      <c r="BK45" s="31"/>
      <c r="BL45" s="31"/>
      <c r="BM45" s="31"/>
      <c r="BN45" s="31"/>
      <c r="BO45" s="31"/>
      <c r="BP45" s="31"/>
    </row>
    <row r="46" spans="1:85" ht="20.100000000000001" customHeight="1" x14ac:dyDescent="0.45">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31"/>
      <c r="BH46" s="31"/>
      <c r="BI46" s="31"/>
      <c r="BJ46" s="31"/>
      <c r="BK46" s="31"/>
      <c r="BL46" s="31"/>
      <c r="BM46" s="31"/>
      <c r="BN46" s="31"/>
      <c r="BO46" s="31"/>
      <c r="BP46" s="31"/>
    </row>
    <row r="47" spans="1:85" ht="20.100000000000001" customHeight="1" x14ac:dyDescent="0.45">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31"/>
      <c r="BH47" s="31"/>
      <c r="BI47" s="31"/>
      <c r="BJ47" s="31"/>
      <c r="BK47" s="31"/>
      <c r="BL47" s="31"/>
      <c r="BM47" s="31"/>
      <c r="BN47" s="31"/>
      <c r="BO47" s="31"/>
      <c r="BP47" s="31"/>
    </row>
    <row r="48" spans="1:85" ht="20.100000000000001" customHeight="1" x14ac:dyDescent="0.45">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31"/>
      <c r="BH48" s="31"/>
      <c r="BI48" s="31"/>
      <c r="BJ48" s="31"/>
      <c r="BK48" s="31"/>
      <c r="BL48" s="31"/>
      <c r="BM48" s="31"/>
      <c r="BN48" s="31"/>
      <c r="BO48" s="31"/>
      <c r="BP48" s="31"/>
    </row>
    <row r="49" spans="1:68" ht="20.100000000000001" customHeight="1" x14ac:dyDescent="0.45">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31"/>
      <c r="BH49" s="31"/>
      <c r="BI49" s="31"/>
      <c r="BJ49" s="31"/>
      <c r="BK49" s="31"/>
      <c r="BL49" s="31"/>
      <c r="BM49" s="31"/>
      <c r="BN49" s="31"/>
      <c r="BO49" s="31"/>
      <c r="BP49" s="31"/>
    </row>
    <row r="50" spans="1:68" ht="20.100000000000001" customHeight="1" x14ac:dyDescent="0.45">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31"/>
      <c r="BD50" s="31"/>
      <c r="BE50" s="31"/>
      <c r="BF50" s="31"/>
      <c r="BG50" s="31"/>
      <c r="BH50" s="31"/>
      <c r="BI50" s="31"/>
      <c r="BJ50" s="31"/>
      <c r="BK50" s="31"/>
      <c r="BL50" s="31"/>
      <c r="BM50" s="31"/>
      <c r="BN50" s="31"/>
      <c r="BO50" s="31"/>
      <c r="BP50" s="31"/>
    </row>
    <row r="51" spans="1:68" ht="20.100000000000001" customHeight="1" x14ac:dyDescent="0.45">
      <c r="B51" s="3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row>
    <row r="52" spans="1:68" ht="20.100000000000001" customHeight="1" x14ac:dyDescent="0.4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31"/>
      <c r="BP52" s="31"/>
    </row>
    <row r="53" spans="1:68" ht="20.100000000000001" customHeight="1" x14ac:dyDescent="0.45">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31"/>
      <c r="BP53" s="31"/>
    </row>
    <row r="54" spans="1:68" ht="20.100000000000001" customHeight="1" x14ac:dyDescent="0.45">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31"/>
      <c r="BP54" s="31"/>
    </row>
    <row r="55" spans="1:68" ht="20.100000000000001" customHeight="1" x14ac:dyDescent="0.45">
      <c r="A55" s="29"/>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31"/>
      <c r="BP55" s="31"/>
    </row>
    <row r="56" spans="1:68" ht="20.100000000000001" customHeight="1" x14ac:dyDescent="0.45">
      <c r="A56" s="29"/>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31"/>
      <c r="BP56" s="31"/>
    </row>
    <row r="57" spans="1:68" ht="20.100000000000001" customHeight="1" x14ac:dyDescent="0.4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row>
    <row r="58" spans="1:68" ht="20.100000000000001" customHeight="1" x14ac:dyDescent="0.4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row>
    <row r="59" spans="1:68" ht="20.100000000000001" customHeight="1" x14ac:dyDescent="0.4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row>
  </sheetData>
  <mergeCells count="236">
    <mergeCell ref="P34:R34"/>
    <mergeCell ref="S34:U34"/>
    <mergeCell ref="V34:AA34"/>
    <mergeCell ref="AB34:AQ34"/>
    <mergeCell ref="AR34:AW34"/>
    <mergeCell ref="AX34:BT34"/>
    <mergeCell ref="E35:L35"/>
    <mergeCell ref="M35:O35"/>
    <mergeCell ref="P35:R35"/>
    <mergeCell ref="S35:U35"/>
    <mergeCell ref="V35:AA35"/>
    <mergeCell ref="AB35:AQ35"/>
    <mergeCell ref="AR35:AW35"/>
    <mergeCell ref="AX35:BT35"/>
    <mergeCell ref="V32:AA32"/>
    <mergeCell ref="AB32:AQ32"/>
    <mergeCell ref="AR32:AW32"/>
    <mergeCell ref="AX32:BT32"/>
    <mergeCell ref="E33:L33"/>
    <mergeCell ref="M33:O33"/>
    <mergeCell ref="P33:R33"/>
    <mergeCell ref="S33:U33"/>
    <mergeCell ref="V33:AA33"/>
    <mergeCell ref="AB33:AQ33"/>
    <mergeCell ref="AR33:AW33"/>
    <mergeCell ref="AX33:BT33"/>
    <mergeCell ref="V30:AA30"/>
    <mergeCell ref="AB30:AQ30"/>
    <mergeCell ref="AR30:AW30"/>
    <mergeCell ref="AX30:BT30"/>
    <mergeCell ref="E31:L31"/>
    <mergeCell ref="M31:O31"/>
    <mergeCell ref="P31:R31"/>
    <mergeCell ref="S31:U31"/>
    <mergeCell ref="V31:AA31"/>
    <mergeCell ref="AB31:AQ31"/>
    <mergeCell ref="AR31:AW31"/>
    <mergeCell ref="AX31:BT31"/>
    <mergeCell ref="AR36:AW36"/>
    <mergeCell ref="AR10:AW10"/>
    <mergeCell ref="AR11:AW11"/>
    <mergeCell ref="AR12:AW12"/>
    <mergeCell ref="AR13:AW13"/>
    <mergeCell ref="AR14:AW14"/>
    <mergeCell ref="AR15:AW15"/>
    <mergeCell ref="AR16:AW16"/>
    <mergeCell ref="AR17:AW17"/>
    <mergeCell ref="AR18:AW18"/>
    <mergeCell ref="AR19:AW19"/>
    <mergeCell ref="AR20:AW20"/>
    <mergeCell ref="AR21:AW21"/>
    <mergeCell ref="AR22:AW22"/>
    <mergeCell ref="AR23:AW23"/>
    <mergeCell ref="AR24:AW24"/>
    <mergeCell ref="AR25:AW25"/>
    <mergeCell ref="AR26:AW26"/>
    <mergeCell ref="AR27:AW27"/>
    <mergeCell ref="AR28:AW28"/>
    <mergeCell ref="AR29:AW29"/>
    <mergeCell ref="AB29:AQ29"/>
    <mergeCell ref="AB36:AQ36"/>
    <mergeCell ref="AB24:AQ24"/>
    <mergeCell ref="AB25:AQ25"/>
    <mergeCell ref="AB26:AQ26"/>
    <mergeCell ref="AB27:AQ27"/>
    <mergeCell ref="AB28:AQ28"/>
    <mergeCell ref="AX36:BT36"/>
    <mergeCell ref="AB10:AQ10"/>
    <mergeCell ref="AB11:AQ11"/>
    <mergeCell ref="AB12:AQ12"/>
    <mergeCell ref="AB13:AQ13"/>
    <mergeCell ref="AB14:AQ14"/>
    <mergeCell ref="AB15:AQ15"/>
    <mergeCell ref="AB16:AQ16"/>
    <mergeCell ref="AB17:AQ17"/>
    <mergeCell ref="AB18:AQ18"/>
    <mergeCell ref="AB19:AQ19"/>
    <mergeCell ref="AB20:AQ20"/>
    <mergeCell ref="AB21:AQ21"/>
    <mergeCell ref="AB22:AQ22"/>
    <mergeCell ref="AB23:AQ23"/>
    <mergeCell ref="AX25:BT25"/>
    <mergeCell ref="AX26:BT26"/>
    <mergeCell ref="AX27:BT27"/>
    <mergeCell ref="AX28:BT28"/>
    <mergeCell ref="AX29:BT29"/>
    <mergeCell ref="AX20:BT20"/>
    <mergeCell ref="AX21:BT21"/>
    <mergeCell ref="AX22:BT22"/>
    <mergeCell ref="AX23:BT23"/>
    <mergeCell ref="AX24:BT24"/>
    <mergeCell ref="AX15:BT15"/>
    <mergeCell ref="AX16:BT16"/>
    <mergeCell ref="AX17:BT17"/>
    <mergeCell ref="AX18:BT18"/>
    <mergeCell ref="AX19:BT19"/>
    <mergeCell ref="AX10:BT10"/>
    <mergeCell ref="AX11:BT11"/>
    <mergeCell ref="AX12:BT12"/>
    <mergeCell ref="AX13:BT13"/>
    <mergeCell ref="AX14:BT14"/>
    <mergeCell ref="V29:AA29"/>
    <mergeCell ref="V36:AA36"/>
    <mergeCell ref="S10:U10"/>
    <mergeCell ref="S24:U24"/>
    <mergeCell ref="S25:U25"/>
    <mergeCell ref="S26:U26"/>
    <mergeCell ref="S27:U27"/>
    <mergeCell ref="S28:U28"/>
    <mergeCell ref="S29:U29"/>
    <mergeCell ref="V10:AA10"/>
    <mergeCell ref="S36:U36"/>
    <mergeCell ref="V11:AA11"/>
    <mergeCell ref="V12:AA12"/>
    <mergeCell ref="V13:AA13"/>
    <mergeCell ref="V14:AA14"/>
    <mergeCell ref="V15:AA15"/>
    <mergeCell ref="V16:AA16"/>
    <mergeCell ref="V17:AA17"/>
    <mergeCell ref="V18:AA18"/>
    <mergeCell ref="P29:R29"/>
    <mergeCell ref="P36:R36"/>
    <mergeCell ref="S11:U11"/>
    <mergeCell ref="S12:U12"/>
    <mergeCell ref="S13:U13"/>
    <mergeCell ref="S14:U14"/>
    <mergeCell ref="S15:U15"/>
    <mergeCell ref="S16:U16"/>
    <mergeCell ref="S17:U17"/>
    <mergeCell ref="S18:U18"/>
    <mergeCell ref="S19:U19"/>
    <mergeCell ref="S20:U20"/>
    <mergeCell ref="S21:U21"/>
    <mergeCell ref="S22:U22"/>
    <mergeCell ref="S23:U23"/>
    <mergeCell ref="P24:R24"/>
    <mergeCell ref="P25:R25"/>
    <mergeCell ref="P26:R26"/>
    <mergeCell ref="P27:R27"/>
    <mergeCell ref="P28:R28"/>
    <mergeCell ref="P30:R30"/>
    <mergeCell ref="S30:U30"/>
    <mergeCell ref="P32:R32"/>
    <mergeCell ref="S32:U32"/>
    <mergeCell ref="V24:AA24"/>
    <mergeCell ref="V25:AA25"/>
    <mergeCell ref="V26:AA26"/>
    <mergeCell ref="V27:AA27"/>
    <mergeCell ref="V28:AA28"/>
    <mergeCell ref="P19:R19"/>
    <mergeCell ref="P20:R20"/>
    <mergeCell ref="P21:R21"/>
    <mergeCell ref="P22:R22"/>
    <mergeCell ref="P23:R23"/>
    <mergeCell ref="V23:AA23"/>
    <mergeCell ref="V19:AA19"/>
    <mergeCell ref="V20:AA20"/>
    <mergeCell ref="V21:AA21"/>
    <mergeCell ref="V22:AA22"/>
    <mergeCell ref="X2:AJ2"/>
    <mergeCell ref="X3:AJ4"/>
    <mergeCell ref="M20:O20"/>
    <mergeCell ref="M21:O21"/>
    <mergeCell ref="M22:O22"/>
    <mergeCell ref="M23:O23"/>
    <mergeCell ref="R3:W4"/>
    <mergeCell ref="P10:R10"/>
    <mergeCell ref="P11:R11"/>
    <mergeCell ref="P12:R12"/>
    <mergeCell ref="P13:R13"/>
    <mergeCell ref="P14:R14"/>
    <mergeCell ref="P15:R15"/>
    <mergeCell ref="P16:R16"/>
    <mergeCell ref="P17:R17"/>
    <mergeCell ref="P18:R18"/>
    <mergeCell ref="E20:L20"/>
    <mergeCell ref="E21:L21"/>
    <mergeCell ref="E22:L22"/>
    <mergeCell ref="E14:L14"/>
    <mergeCell ref="E15:L15"/>
    <mergeCell ref="M10:O10"/>
    <mergeCell ref="M11:O11"/>
    <mergeCell ref="M12:O12"/>
    <mergeCell ref="M13:O13"/>
    <mergeCell ref="M14:O14"/>
    <mergeCell ref="M19:O19"/>
    <mergeCell ref="E18:L18"/>
    <mergeCell ref="E19:L19"/>
    <mergeCell ref="M15:O15"/>
    <mergeCell ref="M16:O16"/>
    <mergeCell ref="M17:O17"/>
    <mergeCell ref="M18:O18"/>
    <mergeCell ref="E16:L16"/>
    <mergeCell ref="E17:L17"/>
    <mergeCell ref="B3:G4"/>
    <mergeCell ref="H3:K4"/>
    <mergeCell ref="L3:Q4"/>
    <mergeCell ref="E12:L12"/>
    <mergeCell ref="E13:L13"/>
    <mergeCell ref="B2:G2"/>
    <mergeCell ref="H2:K2"/>
    <mergeCell ref="L2:Q2"/>
    <mergeCell ref="R2:W2"/>
    <mergeCell ref="E10:L10"/>
    <mergeCell ref="E11:L11"/>
    <mergeCell ref="AK2:AW2"/>
    <mergeCell ref="BJ3:BM4"/>
    <mergeCell ref="AX2:BA2"/>
    <mergeCell ref="BB2:BE2"/>
    <mergeCell ref="BF2:BI2"/>
    <mergeCell ref="BJ2:BM2"/>
    <mergeCell ref="AX3:BA4"/>
    <mergeCell ref="BB3:BE4"/>
    <mergeCell ref="BF3:BI4"/>
    <mergeCell ref="AK3:AW4"/>
    <mergeCell ref="E36:L36"/>
    <mergeCell ref="M26:O26"/>
    <mergeCell ref="M27:O27"/>
    <mergeCell ref="M28:O28"/>
    <mergeCell ref="M29:O29"/>
    <mergeCell ref="M36:O36"/>
    <mergeCell ref="E23:L23"/>
    <mergeCell ref="E26:L26"/>
    <mergeCell ref="E27:L27"/>
    <mergeCell ref="E28:L28"/>
    <mergeCell ref="E29:L29"/>
    <mergeCell ref="E25:L25"/>
    <mergeCell ref="E24:L24"/>
    <mergeCell ref="M24:O24"/>
    <mergeCell ref="M25:O25"/>
    <mergeCell ref="E30:L30"/>
    <mergeCell ref="M30:O30"/>
    <mergeCell ref="E32:L32"/>
    <mergeCell ref="M32:O32"/>
    <mergeCell ref="E34:L34"/>
    <mergeCell ref="M34:O34"/>
  </mergeCells>
  <phoneticPr fontId="1"/>
  <pageMargins left="0.70866141732283472" right="0.70866141732283472" top="0.74803149606299213" bottom="0.74803149606299213" header="0.31496062992125984" footer="0.31496062992125984"/>
  <pageSetup paperSize="9" scale="32" fitToHeight="0" orientation="landscape" r:id="rId1"/>
  <headerFooter>
    <oddFooter>&amp;C&amp;P / &amp;N &amp;R©2024 SMS DataTech Corporation. All rights reserved.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参照!$A$1:$A$6</xm:f>
          </x14:formula1>
          <xm:sqref>M11:O36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M209"/>
  <sheetViews>
    <sheetView zoomScaleNormal="100" zoomScaleSheetLayoutView="100" workbookViewId="0"/>
  </sheetViews>
  <sheetFormatPr defaultColWidth="3.59765625" defaultRowHeight="20.100000000000001" customHeight="1" x14ac:dyDescent="0.45"/>
  <cols>
    <col min="1" max="1" width="0.8984375" style="6" customWidth="1"/>
    <col min="2" max="7" width="4" style="6" customWidth="1"/>
    <col min="8" max="9" width="3.59765625" style="6" customWidth="1"/>
    <col min="10" max="17" width="3.59765625" style="6"/>
    <col min="18" max="36" width="5.59765625" style="6" customWidth="1"/>
    <col min="37"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263" t="s">
        <v>0</v>
      </c>
      <c r="C2" s="258"/>
      <c r="D2" s="258"/>
      <c r="E2" s="258"/>
      <c r="F2" s="258"/>
      <c r="G2" s="258"/>
      <c r="H2" s="258" t="s">
        <v>17</v>
      </c>
      <c r="I2" s="258"/>
      <c r="J2" s="258"/>
      <c r="K2" s="258"/>
      <c r="L2" s="258" t="s">
        <v>353</v>
      </c>
      <c r="M2" s="258"/>
      <c r="N2" s="258"/>
      <c r="O2" s="258"/>
      <c r="P2" s="258"/>
      <c r="Q2" s="258"/>
      <c r="R2" s="258" t="s">
        <v>2</v>
      </c>
      <c r="S2" s="258"/>
      <c r="T2" s="258"/>
      <c r="U2" s="258"/>
      <c r="V2" s="258"/>
      <c r="W2" s="258"/>
      <c r="X2" s="264" t="s">
        <v>3</v>
      </c>
      <c r="Y2" s="265"/>
      <c r="Z2" s="265"/>
      <c r="AA2" s="265"/>
      <c r="AB2" s="265"/>
      <c r="AC2" s="265"/>
      <c r="AD2" s="265"/>
      <c r="AE2" s="265"/>
      <c r="AF2" s="265"/>
      <c r="AG2" s="265"/>
      <c r="AH2" s="265"/>
      <c r="AI2" s="265"/>
      <c r="AJ2" s="266"/>
      <c r="AK2" s="264" t="s">
        <v>32</v>
      </c>
      <c r="AL2" s="265"/>
      <c r="AM2" s="265"/>
      <c r="AN2" s="265"/>
      <c r="AO2" s="265"/>
      <c r="AP2" s="265"/>
      <c r="AQ2" s="265"/>
      <c r="AR2" s="265"/>
      <c r="AS2" s="265"/>
      <c r="AT2" s="265"/>
      <c r="AU2" s="265"/>
      <c r="AV2" s="265"/>
      <c r="AW2" s="266"/>
      <c r="AX2" s="258" t="s">
        <v>5</v>
      </c>
      <c r="AY2" s="258"/>
      <c r="AZ2" s="258"/>
      <c r="BA2" s="258"/>
      <c r="BB2" s="258" t="s">
        <v>4</v>
      </c>
      <c r="BC2" s="258"/>
      <c r="BD2" s="258"/>
      <c r="BE2" s="258"/>
      <c r="BF2" s="258" t="s">
        <v>6</v>
      </c>
      <c r="BG2" s="258"/>
      <c r="BH2" s="258"/>
      <c r="BI2" s="258"/>
      <c r="BJ2" s="258" t="s">
        <v>7</v>
      </c>
      <c r="BK2" s="258"/>
      <c r="BL2" s="258"/>
      <c r="BM2" s="259"/>
    </row>
    <row r="3" spans="2:65" ht="20.100000000000001" customHeight="1" x14ac:dyDescent="0.45">
      <c r="B3" s="267" t="str">
        <f>変更履歴!B3</f>
        <v>受発注システム</v>
      </c>
      <c r="C3" s="201"/>
      <c r="D3" s="201"/>
      <c r="E3" s="201"/>
      <c r="F3" s="201"/>
      <c r="G3" s="201"/>
      <c r="H3" s="201" t="str">
        <f ca="1">変更履歴!H3</f>
        <v>TK0600</v>
      </c>
      <c r="I3" s="201"/>
      <c r="J3" s="201"/>
      <c r="K3" s="201"/>
      <c r="L3" s="201" t="str">
        <f>変更履歴!L3</f>
        <v>受発注</v>
      </c>
      <c r="M3" s="201"/>
      <c r="N3" s="201"/>
      <c r="O3" s="201"/>
      <c r="P3" s="201"/>
      <c r="Q3" s="201"/>
      <c r="R3" s="201" t="str">
        <f ca="1">変更履歴!R3</f>
        <v>帳票設計書</v>
      </c>
      <c r="S3" s="201"/>
      <c r="T3" s="201"/>
      <c r="U3" s="201"/>
      <c r="V3" s="201"/>
      <c r="W3" s="201"/>
      <c r="X3" s="204" t="str">
        <f ca="1">変更履歴!X3</f>
        <v>TK0600_顧客別施工金額実績表_帳票設計書</v>
      </c>
      <c r="Y3" s="205"/>
      <c r="Z3" s="205"/>
      <c r="AA3" s="205"/>
      <c r="AB3" s="205"/>
      <c r="AC3" s="205"/>
      <c r="AD3" s="205"/>
      <c r="AE3" s="205"/>
      <c r="AF3" s="205"/>
      <c r="AG3" s="205"/>
      <c r="AH3" s="205"/>
      <c r="AI3" s="205"/>
      <c r="AJ3" s="206"/>
      <c r="AK3" s="204" t="str">
        <f ca="1">変更履歴!AK3</f>
        <v>顧客別施工金額実績表</v>
      </c>
      <c r="AL3" s="205"/>
      <c r="AM3" s="205"/>
      <c r="AN3" s="205"/>
      <c r="AO3" s="205"/>
      <c r="AP3" s="205"/>
      <c r="AQ3" s="205"/>
      <c r="AR3" s="205"/>
      <c r="AS3" s="205"/>
      <c r="AT3" s="205"/>
      <c r="AU3" s="205"/>
      <c r="AV3" s="205"/>
      <c r="AW3" s="206"/>
      <c r="AX3" s="200">
        <f>変更履歴!AX3</f>
        <v>45581</v>
      </c>
      <c r="AY3" s="200"/>
      <c r="AZ3" s="200"/>
      <c r="BA3" s="200"/>
      <c r="BB3" s="201" t="str">
        <f>変更履歴!BB3</f>
        <v>大谷</v>
      </c>
      <c r="BC3" s="201"/>
      <c r="BD3" s="201"/>
      <c r="BE3" s="201"/>
      <c r="BF3" s="200">
        <f>変更履歴!BF3</f>
        <v>45581</v>
      </c>
      <c r="BG3" s="200"/>
      <c r="BH3" s="200"/>
      <c r="BI3" s="200"/>
      <c r="BJ3" s="201" t="str">
        <f>変更履歴!BJ3</f>
        <v>大谷</v>
      </c>
      <c r="BK3" s="201"/>
      <c r="BL3" s="201"/>
      <c r="BM3" s="256"/>
    </row>
    <row r="4" spans="2:65" ht="20.100000000000001" customHeight="1" thickBot="1" x14ac:dyDescent="0.5">
      <c r="B4" s="268"/>
      <c r="C4" s="255"/>
      <c r="D4" s="255"/>
      <c r="E4" s="255"/>
      <c r="F4" s="255"/>
      <c r="G4" s="255"/>
      <c r="H4" s="255"/>
      <c r="I4" s="255"/>
      <c r="J4" s="255"/>
      <c r="K4" s="255"/>
      <c r="L4" s="255"/>
      <c r="M4" s="255"/>
      <c r="N4" s="255"/>
      <c r="O4" s="255"/>
      <c r="P4" s="255"/>
      <c r="Q4" s="255"/>
      <c r="R4" s="255"/>
      <c r="S4" s="255"/>
      <c r="T4" s="255"/>
      <c r="U4" s="255"/>
      <c r="V4" s="255"/>
      <c r="W4" s="255"/>
      <c r="X4" s="260"/>
      <c r="Y4" s="261"/>
      <c r="Z4" s="261"/>
      <c r="AA4" s="261"/>
      <c r="AB4" s="261"/>
      <c r="AC4" s="261"/>
      <c r="AD4" s="261"/>
      <c r="AE4" s="261"/>
      <c r="AF4" s="261"/>
      <c r="AG4" s="261"/>
      <c r="AH4" s="261"/>
      <c r="AI4" s="261"/>
      <c r="AJ4" s="262"/>
      <c r="AK4" s="260"/>
      <c r="AL4" s="261"/>
      <c r="AM4" s="261"/>
      <c r="AN4" s="261"/>
      <c r="AO4" s="261"/>
      <c r="AP4" s="261"/>
      <c r="AQ4" s="261"/>
      <c r="AR4" s="261"/>
      <c r="AS4" s="261"/>
      <c r="AT4" s="261"/>
      <c r="AU4" s="261"/>
      <c r="AV4" s="261"/>
      <c r="AW4" s="262"/>
      <c r="AX4" s="254"/>
      <c r="AY4" s="254"/>
      <c r="AZ4" s="254"/>
      <c r="BA4" s="254"/>
      <c r="BB4" s="255"/>
      <c r="BC4" s="255"/>
      <c r="BD4" s="255"/>
      <c r="BE4" s="255"/>
      <c r="BF4" s="254"/>
      <c r="BG4" s="254"/>
      <c r="BH4" s="254"/>
      <c r="BI4" s="254"/>
      <c r="BJ4" s="255"/>
      <c r="BK4" s="255"/>
      <c r="BL4" s="255"/>
      <c r="BM4" s="257"/>
    </row>
    <row r="5" spans="2:65" ht="5.0999999999999996" customHeight="1" thickBot="1" x14ac:dyDescent="0.5"/>
    <row r="6" spans="2:65" ht="20.100000000000001" customHeight="1" x14ac:dyDescent="0.45">
      <c r="B6" s="146" t="s">
        <v>155</v>
      </c>
      <c r="C6" s="106"/>
      <c r="D6" s="106"/>
      <c r="E6" s="106"/>
      <c r="F6" s="106"/>
      <c r="G6" s="107"/>
      <c r="H6" s="108" t="s">
        <v>223</v>
      </c>
      <c r="I6" s="107"/>
      <c r="J6" s="136" t="s">
        <v>222</v>
      </c>
      <c r="K6" s="137"/>
      <c r="L6" s="137"/>
      <c r="M6" s="137"/>
      <c r="N6" s="137"/>
      <c r="O6" s="137"/>
      <c r="P6" s="137"/>
      <c r="Q6" s="138"/>
      <c r="R6" s="136" t="s">
        <v>331</v>
      </c>
      <c r="S6" s="137"/>
      <c r="T6" s="137"/>
      <c r="U6" s="137"/>
      <c r="V6" s="137"/>
      <c r="W6" s="137"/>
      <c r="X6" s="137"/>
      <c r="Y6" s="137"/>
      <c r="Z6" s="137"/>
      <c r="AA6" s="137"/>
      <c r="AB6" s="137"/>
      <c r="AC6" s="137"/>
      <c r="AD6" s="137"/>
      <c r="AE6" s="137"/>
      <c r="AF6" s="137"/>
      <c r="AG6" s="137"/>
      <c r="AH6" s="137"/>
      <c r="AI6" s="137"/>
      <c r="AJ6" s="138"/>
      <c r="AK6" s="108"/>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10"/>
    </row>
    <row r="7" spans="2:65" ht="20.100000000000001" customHeight="1" x14ac:dyDescent="0.45">
      <c r="B7" s="111" t="s">
        <v>290</v>
      </c>
      <c r="C7" s="31"/>
      <c r="D7" s="31"/>
      <c r="E7" s="31"/>
      <c r="F7" s="31"/>
      <c r="G7" s="112"/>
      <c r="H7" s="113"/>
      <c r="I7" s="112"/>
      <c r="J7" s="119" t="s">
        <v>195</v>
      </c>
      <c r="K7" s="120"/>
      <c r="L7" s="120"/>
      <c r="M7" s="120"/>
      <c r="N7" s="120"/>
      <c r="O7" s="120"/>
      <c r="P7" s="120"/>
      <c r="Q7" s="143"/>
      <c r="R7" s="140" t="s">
        <v>332</v>
      </c>
      <c r="S7" s="52"/>
      <c r="T7" s="52"/>
      <c r="U7" s="52"/>
      <c r="V7" s="52"/>
      <c r="W7" s="52"/>
      <c r="X7" s="52"/>
      <c r="Y7" s="52"/>
      <c r="Z7" s="52"/>
      <c r="AA7" s="52"/>
      <c r="AB7" s="52"/>
      <c r="AC7" s="52"/>
      <c r="AD7" s="52"/>
      <c r="AE7" s="52"/>
      <c r="AF7" s="52"/>
      <c r="AG7" s="52"/>
      <c r="AH7" s="52"/>
      <c r="AI7" s="52"/>
      <c r="AJ7" s="141"/>
      <c r="AK7" s="113"/>
      <c r="AL7" s="31"/>
      <c r="AM7" s="31"/>
      <c r="AN7" s="31"/>
      <c r="AO7" s="31"/>
      <c r="AP7" s="31"/>
      <c r="AQ7" s="31"/>
      <c r="AR7" s="31"/>
      <c r="AS7" s="31"/>
      <c r="AT7" s="31"/>
      <c r="AU7" s="31"/>
      <c r="AV7" s="31"/>
      <c r="AW7" s="31"/>
      <c r="AX7" s="31"/>
      <c r="AY7" s="31"/>
      <c r="AZ7" s="31"/>
      <c r="BA7" s="31"/>
      <c r="BB7" s="31"/>
      <c r="BC7" s="31"/>
      <c r="BD7" s="31"/>
      <c r="BE7" s="31"/>
      <c r="BF7" s="31"/>
      <c r="BG7" s="31"/>
      <c r="BH7" s="31"/>
      <c r="BI7" s="115"/>
    </row>
    <row r="8" spans="2:65" ht="20.100000000000001" customHeight="1" x14ac:dyDescent="0.45">
      <c r="B8" s="111"/>
      <c r="C8" s="31"/>
      <c r="D8" s="31"/>
      <c r="E8" s="31"/>
      <c r="F8" s="31"/>
      <c r="G8" s="112"/>
      <c r="H8" s="113"/>
      <c r="I8" s="112"/>
      <c r="J8" s="119" t="s">
        <v>159</v>
      </c>
      <c r="K8" s="120"/>
      <c r="L8" s="120"/>
      <c r="M8" s="120"/>
      <c r="N8" s="120"/>
      <c r="O8" s="120"/>
      <c r="P8" s="120"/>
      <c r="Q8" s="143"/>
      <c r="R8" s="140" t="s">
        <v>333</v>
      </c>
      <c r="S8" s="52"/>
      <c r="T8" s="52"/>
      <c r="U8" s="52"/>
      <c r="V8" s="52"/>
      <c r="W8" s="52"/>
      <c r="X8" s="52"/>
      <c r="Y8" s="52"/>
      <c r="Z8" s="52"/>
      <c r="AA8" s="52"/>
      <c r="AB8" s="52"/>
      <c r="AC8" s="52"/>
      <c r="AD8" s="52"/>
      <c r="AE8" s="52"/>
      <c r="AF8" s="52"/>
      <c r="AG8" s="52"/>
      <c r="AH8" s="52"/>
      <c r="AI8" s="52"/>
      <c r="AJ8" s="141"/>
      <c r="AK8" s="113"/>
      <c r="AL8" s="31"/>
      <c r="AM8" s="31"/>
      <c r="AN8" s="31"/>
      <c r="AO8" s="31"/>
      <c r="AP8" s="31"/>
      <c r="AQ8" s="31"/>
      <c r="AR8" s="31"/>
      <c r="AS8" s="31"/>
      <c r="AT8" s="31"/>
      <c r="AU8" s="31"/>
      <c r="AV8" s="31"/>
      <c r="AW8" s="31"/>
      <c r="AX8" s="31"/>
      <c r="AY8" s="31"/>
      <c r="AZ8" s="31"/>
      <c r="BA8" s="31"/>
      <c r="BB8" s="31"/>
      <c r="BC8" s="31"/>
      <c r="BD8" s="31"/>
      <c r="BE8" s="31"/>
      <c r="BF8" s="31"/>
      <c r="BG8" s="31"/>
      <c r="BH8" s="31"/>
      <c r="BI8" s="115"/>
    </row>
    <row r="9" spans="2:65" ht="20.100000000000001" customHeight="1" x14ac:dyDescent="0.45">
      <c r="B9" s="111"/>
      <c r="C9" s="31"/>
      <c r="D9" s="31"/>
      <c r="E9" s="31"/>
      <c r="F9" s="31"/>
      <c r="G9" s="112"/>
      <c r="H9" s="113"/>
      <c r="I9" s="112"/>
      <c r="J9" s="119" t="s">
        <v>161</v>
      </c>
      <c r="K9" s="120"/>
      <c r="L9" s="120"/>
      <c r="M9" s="120"/>
      <c r="N9" s="120"/>
      <c r="O9" s="120"/>
      <c r="P9" s="120"/>
      <c r="Q9" s="143"/>
      <c r="R9" s="140" t="s">
        <v>334</v>
      </c>
      <c r="S9" s="52"/>
      <c r="T9" s="52"/>
      <c r="U9" s="52"/>
      <c r="V9" s="52"/>
      <c r="W9" s="52"/>
      <c r="X9" s="52"/>
      <c r="Y9" s="52"/>
      <c r="Z9" s="52"/>
      <c r="AA9" s="52"/>
      <c r="AB9" s="52"/>
      <c r="AC9" s="52"/>
      <c r="AD9" s="52"/>
      <c r="AE9" s="52"/>
      <c r="AF9" s="52"/>
      <c r="AG9" s="52"/>
      <c r="AH9" s="52"/>
      <c r="AI9" s="52"/>
      <c r="AJ9" s="141"/>
      <c r="AK9" s="113"/>
      <c r="AL9" s="31"/>
      <c r="AM9" s="31"/>
      <c r="AN9" s="31"/>
      <c r="AO9" s="31"/>
      <c r="AP9" s="31"/>
      <c r="AQ9" s="31"/>
      <c r="AR9" s="31"/>
      <c r="AS9" s="31"/>
      <c r="AT9" s="31"/>
      <c r="AU9" s="31"/>
      <c r="AV9" s="31"/>
      <c r="AW9" s="31"/>
      <c r="AX9" s="31"/>
      <c r="AY9" s="31"/>
      <c r="AZ9" s="31"/>
      <c r="BA9" s="31"/>
      <c r="BB9" s="31"/>
      <c r="BC9" s="31"/>
      <c r="BD9" s="31"/>
      <c r="BE9" s="31"/>
      <c r="BF9" s="31"/>
      <c r="BG9" s="31"/>
      <c r="BH9" s="31"/>
      <c r="BI9" s="115"/>
    </row>
    <row r="10" spans="2:65" ht="20.100000000000001" customHeight="1" x14ac:dyDescent="0.45">
      <c r="B10" s="111"/>
      <c r="C10" s="31"/>
      <c r="D10" s="31"/>
      <c r="E10" s="31"/>
      <c r="F10" s="31"/>
      <c r="G10" s="112"/>
      <c r="H10" s="113"/>
      <c r="I10" s="112"/>
      <c r="J10" s="119" t="s">
        <v>163</v>
      </c>
      <c r="K10" s="120"/>
      <c r="L10" s="120"/>
      <c r="M10" s="120"/>
      <c r="N10" s="120"/>
      <c r="O10" s="120"/>
      <c r="P10" s="120"/>
      <c r="Q10" s="143"/>
      <c r="R10" s="140" t="s">
        <v>335</v>
      </c>
      <c r="S10" s="52"/>
      <c r="T10" s="52"/>
      <c r="U10" s="52"/>
      <c r="V10" s="52"/>
      <c r="W10" s="52"/>
      <c r="X10" s="52"/>
      <c r="Y10" s="52"/>
      <c r="Z10" s="52"/>
      <c r="AA10" s="52"/>
      <c r="AB10" s="52"/>
      <c r="AC10" s="52"/>
      <c r="AD10" s="52"/>
      <c r="AE10" s="52"/>
      <c r="AF10" s="52"/>
      <c r="AG10" s="52"/>
      <c r="AH10" s="52"/>
      <c r="AI10" s="52"/>
      <c r="AJ10" s="141"/>
      <c r="AK10" s="113"/>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115"/>
    </row>
    <row r="11" spans="2:65" ht="20.100000000000001" customHeight="1" x14ac:dyDescent="0.45">
      <c r="B11" s="111"/>
      <c r="C11" s="31"/>
      <c r="D11" s="31"/>
      <c r="E11" s="31"/>
      <c r="F11" s="31"/>
      <c r="G11" s="112"/>
      <c r="H11" s="113"/>
      <c r="I11" s="112"/>
      <c r="J11" s="119" t="s">
        <v>165</v>
      </c>
      <c r="K11" s="120"/>
      <c r="L11" s="120"/>
      <c r="M11" s="120"/>
      <c r="N11" s="120"/>
      <c r="O11" s="120"/>
      <c r="P11" s="120"/>
      <c r="Q11" s="143"/>
      <c r="R11" s="140" t="s">
        <v>336</v>
      </c>
      <c r="S11" s="52"/>
      <c r="T11" s="52"/>
      <c r="U11" s="52"/>
      <c r="V11" s="52"/>
      <c r="W11" s="52"/>
      <c r="X11" s="52"/>
      <c r="Y11" s="52"/>
      <c r="Z11" s="52"/>
      <c r="AA11" s="52"/>
      <c r="AB11" s="52"/>
      <c r="AC11" s="52"/>
      <c r="AD11" s="52"/>
      <c r="AE11" s="52"/>
      <c r="AF11" s="52"/>
      <c r="AG11" s="52"/>
      <c r="AH11" s="52"/>
      <c r="AI11" s="52"/>
      <c r="AJ11" s="141"/>
      <c r="AK11" s="113"/>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115"/>
    </row>
    <row r="12" spans="2:65" ht="20.100000000000001" customHeight="1" x14ac:dyDescent="0.45">
      <c r="B12" s="111"/>
      <c r="C12" s="31"/>
      <c r="D12" s="31"/>
      <c r="E12" s="31"/>
      <c r="F12" s="31"/>
      <c r="G12" s="112"/>
      <c r="H12" s="113"/>
      <c r="I12" s="112"/>
      <c r="J12" s="119" t="s">
        <v>167</v>
      </c>
      <c r="K12" s="120"/>
      <c r="L12" s="120"/>
      <c r="M12" s="120"/>
      <c r="N12" s="120"/>
      <c r="O12" s="120"/>
      <c r="P12" s="120"/>
      <c r="Q12" s="143"/>
      <c r="R12" s="140" t="s">
        <v>337</v>
      </c>
      <c r="S12" s="52"/>
      <c r="T12" s="52"/>
      <c r="U12" s="52"/>
      <c r="V12" s="52"/>
      <c r="W12" s="52"/>
      <c r="X12" s="52"/>
      <c r="Y12" s="52"/>
      <c r="Z12" s="52"/>
      <c r="AA12" s="52"/>
      <c r="AB12" s="52"/>
      <c r="AC12" s="52"/>
      <c r="AD12" s="52"/>
      <c r="AE12" s="52"/>
      <c r="AF12" s="52"/>
      <c r="AG12" s="52"/>
      <c r="AH12" s="52"/>
      <c r="AI12" s="52"/>
      <c r="AJ12" s="141"/>
      <c r="AK12" s="113"/>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115"/>
    </row>
    <row r="13" spans="2:65" ht="20.100000000000001" customHeight="1" x14ac:dyDescent="0.45">
      <c r="B13" s="111"/>
      <c r="C13" s="31"/>
      <c r="D13" s="31"/>
      <c r="E13" s="31"/>
      <c r="F13" s="31"/>
      <c r="G13" s="112"/>
      <c r="H13" s="113"/>
      <c r="I13" s="112"/>
      <c r="J13" s="119" t="s">
        <v>168</v>
      </c>
      <c r="K13" s="120"/>
      <c r="L13" s="120"/>
      <c r="M13" s="120"/>
      <c r="N13" s="120"/>
      <c r="O13" s="120"/>
      <c r="P13" s="120"/>
      <c r="Q13" s="143"/>
      <c r="R13" s="140" t="s">
        <v>338</v>
      </c>
      <c r="S13" s="52"/>
      <c r="T13" s="52"/>
      <c r="U13" s="52"/>
      <c r="V13" s="52"/>
      <c r="W13" s="52"/>
      <c r="X13" s="52"/>
      <c r="Y13" s="52"/>
      <c r="Z13" s="52"/>
      <c r="AA13" s="52"/>
      <c r="AB13" s="52"/>
      <c r="AC13" s="52"/>
      <c r="AD13" s="52"/>
      <c r="AE13" s="52"/>
      <c r="AF13" s="52"/>
      <c r="AG13" s="52"/>
      <c r="AH13" s="52"/>
      <c r="AI13" s="52"/>
      <c r="AJ13" s="141"/>
      <c r="AK13" s="113"/>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115"/>
    </row>
    <row r="14" spans="2:65" ht="20.100000000000001" customHeight="1" x14ac:dyDescent="0.45">
      <c r="B14" s="111"/>
      <c r="C14" s="31"/>
      <c r="D14" s="31"/>
      <c r="E14" s="31"/>
      <c r="F14" s="31"/>
      <c r="G14" s="112"/>
      <c r="H14" s="119"/>
      <c r="I14" s="143"/>
      <c r="J14" s="140" t="s">
        <v>196</v>
      </c>
      <c r="K14" s="52"/>
      <c r="L14" s="52"/>
      <c r="M14" s="52"/>
      <c r="N14" s="52"/>
      <c r="O14" s="52"/>
      <c r="P14" s="52"/>
      <c r="Q14" s="141"/>
      <c r="R14" s="140" t="s">
        <v>339</v>
      </c>
      <c r="S14" s="52"/>
      <c r="T14" s="52"/>
      <c r="U14" s="52"/>
      <c r="V14" s="52"/>
      <c r="W14" s="52"/>
      <c r="X14" s="52"/>
      <c r="Y14" s="52"/>
      <c r="Z14" s="52"/>
      <c r="AA14" s="52"/>
      <c r="AB14" s="52"/>
      <c r="AC14" s="52"/>
      <c r="AD14" s="52"/>
      <c r="AE14" s="52"/>
      <c r="AF14" s="52"/>
      <c r="AG14" s="52"/>
      <c r="AH14" s="52"/>
      <c r="AI14" s="52"/>
      <c r="AJ14" s="141"/>
      <c r="AK14" s="119"/>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2"/>
    </row>
    <row r="15" spans="2:65" ht="20.100000000000001" customHeight="1" x14ac:dyDescent="0.45">
      <c r="B15" s="111"/>
      <c r="C15" s="31"/>
      <c r="D15" s="31"/>
      <c r="E15" s="31"/>
      <c r="F15" s="31"/>
      <c r="G15" s="112"/>
      <c r="H15" s="116"/>
      <c r="I15" s="150"/>
      <c r="J15" s="116" t="s">
        <v>318</v>
      </c>
      <c r="K15" s="55"/>
      <c r="L15" s="55"/>
      <c r="M15" s="55" t="s">
        <v>313</v>
      </c>
      <c r="N15" s="55"/>
      <c r="O15" s="55"/>
      <c r="P15" s="55"/>
      <c r="Q15" s="55"/>
      <c r="R15" s="55"/>
      <c r="S15" s="55"/>
      <c r="T15" s="55"/>
      <c r="U15" s="55"/>
      <c r="V15" s="55"/>
      <c r="W15" s="55"/>
      <c r="X15" s="55"/>
      <c r="Y15" s="55"/>
      <c r="Z15" s="55"/>
      <c r="AA15" s="55"/>
      <c r="AB15" s="55"/>
      <c r="AC15" s="55"/>
      <c r="AD15" s="55"/>
      <c r="AE15" s="55"/>
      <c r="AF15" s="55"/>
      <c r="AG15" s="55"/>
      <c r="AH15" s="55"/>
      <c r="AI15" s="55"/>
      <c r="AJ15" s="150"/>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118"/>
    </row>
    <row r="16" spans="2:65" ht="20.100000000000001" customHeight="1" x14ac:dyDescent="0.45">
      <c r="B16" s="111"/>
      <c r="C16" s="31"/>
      <c r="D16" s="31"/>
      <c r="E16" s="31"/>
      <c r="F16" s="31"/>
      <c r="G16" s="112"/>
      <c r="H16" s="113"/>
      <c r="I16" s="112"/>
      <c r="J16" s="113"/>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112"/>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115"/>
    </row>
    <row r="17" spans="2:61" ht="20.100000000000001" customHeight="1" x14ac:dyDescent="0.45">
      <c r="B17" s="111"/>
      <c r="C17" s="31"/>
      <c r="D17" s="31"/>
      <c r="E17" s="31"/>
      <c r="F17" s="31"/>
      <c r="G17" s="112"/>
      <c r="H17" s="169"/>
      <c r="I17" s="170"/>
      <c r="J17" s="113" t="s">
        <v>319</v>
      </c>
      <c r="K17" s="31"/>
      <c r="L17" s="31"/>
      <c r="M17" s="31" t="s">
        <v>330</v>
      </c>
      <c r="N17" s="31"/>
      <c r="O17" s="31"/>
      <c r="P17" s="31"/>
      <c r="Q17" s="31"/>
      <c r="R17" s="31"/>
      <c r="S17" s="31"/>
      <c r="T17" s="31"/>
      <c r="U17" s="31"/>
      <c r="V17" s="31"/>
      <c r="W17" s="31"/>
      <c r="X17" s="31"/>
      <c r="Y17" s="31"/>
      <c r="Z17" s="31"/>
      <c r="AA17" s="31"/>
      <c r="AB17" s="31"/>
      <c r="AC17" s="31"/>
      <c r="AD17" s="31"/>
      <c r="AE17" s="31"/>
      <c r="AF17" s="31"/>
      <c r="AG17" s="31"/>
      <c r="AH17" s="31"/>
      <c r="AI17" s="31"/>
      <c r="AJ17" s="112"/>
      <c r="AW17" s="178"/>
      <c r="AX17" s="178"/>
      <c r="AY17" s="178"/>
      <c r="AZ17" s="178"/>
      <c r="BA17" s="178"/>
      <c r="BB17" s="178"/>
      <c r="BC17" s="178"/>
      <c r="BD17" s="178"/>
      <c r="BE17" s="178"/>
      <c r="BF17" s="178"/>
      <c r="BG17" s="178"/>
      <c r="BH17" s="178"/>
      <c r="BI17" s="171"/>
    </row>
    <row r="18" spans="2:61" ht="20.100000000000001" customHeight="1" x14ac:dyDescent="0.45">
      <c r="B18" s="111"/>
      <c r="C18" s="31"/>
      <c r="D18" s="31"/>
      <c r="E18" s="31"/>
      <c r="F18" s="31"/>
      <c r="G18" s="112"/>
      <c r="H18" s="169"/>
      <c r="I18" s="170"/>
      <c r="J18" s="113"/>
      <c r="K18" s="178" t="s">
        <v>310</v>
      </c>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12"/>
      <c r="AW18" s="165"/>
      <c r="AX18" s="165"/>
      <c r="AY18" s="165"/>
      <c r="AZ18" s="165"/>
      <c r="BA18" s="165"/>
      <c r="BB18" s="165"/>
      <c r="BC18" s="165"/>
      <c r="BD18" s="165"/>
      <c r="BE18" s="165"/>
      <c r="BF18" s="165"/>
      <c r="BG18" s="165"/>
      <c r="BH18" s="165"/>
      <c r="BI18" s="171"/>
    </row>
    <row r="19" spans="2:61" ht="20.100000000000001" customHeight="1" x14ac:dyDescent="0.45">
      <c r="B19" s="111"/>
      <c r="C19" s="31"/>
      <c r="D19" s="31"/>
      <c r="E19" s="31"/>
      <c r="F19" s="31"/>
      <c r="G19" s="112"/>
      <c r="H19" s="169"/>
      <c r="I19" s="170"/>
      <c r="J19" s="113"/>
      <c r="K19" s="178"/>
      <c r="L19" s="178"/>
      <c r="M19" s="178" t="s">
        <v>340</v>
      </c>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12"/>
      <c r="AW19" s="165"/>
      <c r="AX19" s="165"/>
      <c r="AY19" s="165"/>
      <c r="AZ19" s="165"/>
      <c r="BA19" s="165"/>
      <c r="BB19" s="165"/>
      <c r="BC19" s="165"/>
      <c r="BD19" s="165"/>
      <c r="BE19" s="165"/>
      <c r="BF19" s="165"/>
      <c r="BG19" s="165"/>
      <c r="BH19" s="165"/>
      <c r="BI19" s="171"/>
    </row>
    <row r="20" spans="2:61" ht="20.100000000000001" customHeight="1" x14ac:dyDescent="0.45">
      <c r="B20" s="111"/>
      <c r="C20" s="31"/>
      <c r="D20" s="31"/>
      <c r="E20" s="31"/>
      <c r="F20" s="31"/>
      <c r="G20" s="112"/>
      <c r="H20" s="169"/>
      <c r="I20" s="170"/>
      <c r="J20" s="113"/>
      <c r="K20" s="178"/>
      <c r="L20" s="178" t="s">
        <v>185</v>
      </c>
      <c r="M20" s="178" t="s">
        <v>341</v>
      </c>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12"/>
      <c r="AW20" s="165"/>
      <c r="AX20" s="165"/>
      <c r="AY20" s="165"/>
      <c r="AZ20" s="165"/>
      <c r="BA20" s="165"/>
      <c r="BB20" s="165"/>
      <c r="BC20" s="165"/>
      <c r="BD20" s="165"/>
      <c r="BE20" s="165"/>
      <c r="BF20" s="165"/>
      <c r="BG20" s="165"/>
      <c r="BH20" s="165"/>
      <c r="BI20" s="171"/>
    </row>
    <row r="21" spans="2:61" ht="20.100000000000001" customHeight="1" x14ac:dyDescent="0.45">
      <c r="B21" s="111"/>
      <c r="C21" s="31"/>
      <c r="D21" s="31"/>
      <c r="E21" s="31"/>
      <c r="F21" s="31"/>
      <c r="G21" s="112"/>
      <c r="H21" s="169"/>
      <c r="I21" s="170"/>
      <c r="J21" s="113"/>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12"/>
      <c r="AW21" s="165"/>
      <c r="AX21" s="165"/>
      <c r="AY21" s="165"/>
      <c r="AZ21" s="165"/>
      <c r="BA21" s="165"/>
      <c r="BB21" s="165"/>
      <c r="BC21" s="165"/>
      <c r="BD21" s="165"/>
      <c r="BE21" s="165"/>
      <c r="BF21" s="165"/>
      <c r="BG21" s="165"/>
      <c r="BH21" s="165"/>
      <c r="BI21" s="171"/>
    </row>
    <row r="22" spans="2:61" ht="20.100000000000001" customHeight="1" x14ac:dyDescent="0.45">
      <c r="B22" s="111"/>
      <c r="C22" s="31"/>
      <c r="D22" s="31"/>
      <c r="E22" s="31"/>
      <c r="F22" s="31"/>
      <c r="G22" s="112"/>
      <c r="H22" s="169"/>
      <c r="I22" s="170"/>
      <c r="J22" s="113"/>
      <c r="K22" s="178" t="s">
        <v>291</v>
      </c>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12"/>
      <c r="AW22" s="165"/>
      <c r="AX22" s="165"/>
      <c r="AY22" s="165"/>
      <c r="AZ22" s="165"/>
      <c r="BA22" s="165"/>
      <c r="BB22" s="165"/>
      <c r="BC22" s="165"/>
      <c r="BD22" s="165"/>
      <c r="BE22" s="165"/>
      <c r="BF22" s="165"/>
      <c r="BG22" s="165"/>
      <c r="BH22" s="165"/>
      <c r="BI22" s="171"/>
    </row>
    <row r="23" spans="2:61" ht="20.100000000000001" customHeight="1" x14ac:dyDescent="0.45">
      <c r="B23" s="111"/>
      <c r="C23" s="31"/>
      <c r="D23" s="31"/>
      <c r="E23" s="31"/>
      <c r="F23" s="31"/>
      <c r="G23" s="112"/>
      <c r="H23" s="169"/>
      <c r="I23" s="170"/>
      <c r="J23" s="113"/>
      <c r="K23" s="178"/>
      <c r="L23" s="178" t="s">
        <v>292</v>
      </c>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12"/>
      <c r="AW23" s="165"/>
      <c r="AX23" s="165"/>
      <c r="AY23" s="165"/>
      <c r="AZ23" s="165"/>
      <c r="BA23" s="165"/>
      <c r="BB23" s="165"/>
      <c r="BC23" s="165"/>
      <c r="BD23" s="165"/>
      <c r="BE23" s="165"/>
      <c r="BF23" s="165"/>
      <c r="BG23" s="165"/>
      <c r="BH23" s="165"/>
      <c r="BI23" s="171"/>
    </row>
    <row r="24" spans="2:61" ht="20.100000000000001" customHeight="1" x14ac:dyDescent="0.45">
      <c r="B24" s="111"/>
      <c r="C24" s="31"/>
      <c r="D24" s="31"/>
      <c r="E24" s="31"/>
      <c r="F24" s="31"/>
      <c r="G24" s="112"/>
      <c r="H24" s="169"/>
      <c r="I24" s="170"/>
      <c r="J24" s="113"/>
      <c r="K24" s="178"/>
      <c r="L24" s="178"/>
      <c r="M24" s="178" t="s">
        <v>342</v>
      </c>
      <c r="N24" s="178" t="s">
        <v>343</v>
      </c>
      <c r="O24" s="178"/>
      <c r="P24" s="178"/>
      <c r="Q24" s="178"/>
      <c r="R24" s="178"/>
      <c r="S24" s="178"/>
      <c r="T24" s="178"/>
      <c r="U24" s="178"/>
      <c r="V24" s="178"/>
      <c r="W24" s="178"/>
      <c r="X24" s="178"/>
      <c r="Y24" s="178"/>
      <c r="Z24" s="178"/>
      <c r="AA24" s="178"/>
      <c r="AB24" s="178"/>
      <c r="AC24" s="178"/>
      <c r="AD24" s="178"/>
      <c r="AE24" s="178"/>
      <c r="AF24" s="178"/>
      <c r="AG24" s="178"/>
      <c r="AH24" s="178"/>
      <c r="AI24" s="178"/>
      <c r="AJ24" s="112"/>
      <c r="AW24" s="165"/>
      <c r="AX24" s="165"/>
      <c r="AY24" s="165"/>
      <c r="AZ24" s="165"/>
      <c r="BA24" s="165"/>
      <c r="BB24" s="165"/>
      <c r="BC24" s="165"/>
      <c r="BD24" s="165"/>
      <c r="BE24" s="165"/>
      <c r="BF24" s="165"/>
      <c r="BG24" s="165"/>
      <c r="BH24" s="165"/>
      <c r="BI24" s="171"/>
    </row>
    <row r="25" spans="2:61" ht="20.100000000000001" customHeight="1" x14ac:dyDescent="0.45">
      <c r="B25" s="111"/>
      <c r="C25" s="31"/>
      <c r="D25" s="31"/>
      <c r="E25" s="31"/>
      <c r="F25" s="31"/>
      <c r="G25" s="112"/>
      <c r="H25" s="169"/>
      <c r="I25" s="170"/>
      <c r="J25" s="113"/>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12"/>
      <c r="AW25" s="165"/>
      <c r="AX25" s="165"/>
      <c r="AY25" s="165"/>
      <c r="AZ25" s="165"/>
      <c r="BA25" s="165"/>
      <c r="BB25" s="165"/>
      <c r="BC25" s="165"/>
      <c r="BD25" s="165"/>
      <c r="BE25" s="165"/>
      <c r="BF25" s="165"/>
      <c r="BG25" s="165"/>
      <c r="BH25" s="165"/>
      <c r="BI25" s="171"/>
    </row>
    <row r="26" spans="2:61" ht="20.100000000000001" customHeight="1" x14ac:dyDescent="0.45">
      <c r="B26" s="111"/>
      <c r="C26" s="31"/>
      <c r="D26" s="31"/>
      <c r="E26" s="31"/>
      <c r="F26" s="31"/>
      <c r="G26" s="112"/>
      <c r="H26" s="169"/>
      <c r="I26" s="170"/>
      <c r="J26" s="113"/>
      <c r="K26" s="178" t="s">
        <v>293</v>
      </c>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12"/>
      <c r="AW26" s="165"/>
      <c r="AX26" s="165"/>
      <c r="AY26" s="165"/>
      <c r="AZ26" s="165"/>
      <c r="BA26" s="165"/>
      <c r="BB26" s="165"/>
      <c r="BC26" s="165"/>
      <c r="BD26" s="165"/>
      <c r="BE26" s="165"/>
      <c r="BF26" s="165"/>
      <c r="BG26" s="165"/>
      <c r="BH26" s="165"/>
      <c r="BI26" s="171"/>
    </row>
    <row r="27" spans="2:61" ht="20.100000000000001" customHeight="1" x14ac:dyDescent="0.45">
      <c r="B27" s="111"/>
      <c r="C27" s="31"/>
      <c r="D27" s="31"/>
      <c r="E27" s="31"/>
      <c r="F27" s="31"/>
      <c r="G27" s="112"/>
      <c r="H27" s="169"/>
      <c r="I27" s="170"/>
      <c r="J27" s="113"/>
      <c r="K27" s="178"/>
      <c r="L27" s="178" t="s">
        <v>294</v>
      </c>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12"/>
      <c r="AW27" s="165"/>
      <c r="AX27" s="165"/>
      <c r="AY27" s="165"/>
      <c r="AZ27" s="165"/>
      <c r="BA27" s="165"/>
      <c r="BB27" s="165"/>
      <c r="BC27" s="165"/>
      <c r="BD27" s="165"/>
      <c r="BE27" s="165"/>
      <c r="BF27" s="165"/>
      <c r="BG27" s="165"/>
      <c r="BH27" s="165"/>
      <c r="BI27" s="171"/>
    </row>
    <row r="28" spans="2:61" ht="20.100000000000001" customHeight="1" x14ac:dyDescent="0.45">
      <c r="B28" s="111"/>
      <c r="C28" s="31"/>
      <c r="D28" s="31"/>
      <c r="E28" s="31"/>
      <c r="F28" s="31"/>
      <c r="G28" s="112"/>
      <c r="H28" s="169"/>
      <c r="I28" s="170"/>
      <c r="J28" s="113"/>
      <c r="K28" s="178"/>
      <c r="L28" s="178"/>
      <c r="M28" s="178"/>
      <c r="N28" s="178" t="s">
        <v>344</v>
      </c>
      <c r="O28" s="178"/>
      <c r="P28" s="178"/>
      <c r="Q28" s="178"/>
      <c r="R28" s="178"/>
      <c r="S28" s="178"/>
      <c r="T28" s="178"/>
      <c r="U28" s="178"/>
      <c r="V28" s="178"/>
      <c r="W28" s="178"/>
      <c r="X28" s="178"/>
      <c r="Y28" s="178"/>
      <c r="Z28" s="178"/>
      <c r="AA28" s="178"/>
      <c r="AB28" s="178"/>
      <c r="AC28" s="178"/>
      <c r="AD28" s="178"/>
      <c r="AE28" s="178"/>
      <c r="AF28" s="178"/>
      <c r="AG28" s="178"/>
      <c r="AH28" s="178"/>
      <c r="AI28" s="178"/>
      <c r="AJ28" s="112"/>
      <c r="AW28" s="165"/>
      <c r="AX28" s="165"/>
      <c r="AY28" s="165"/>
      <c r="AZ28" s="165"/>
      <c r="BA28" s="165"/>
      <c r="BB28" s="165"/>
      <c r="BC28" s="165"/>
      <c r="BD28" s="165"/>
      <c r="BE28" s="165"/>
      <c r="BF28" s="165"/>
      <c r="BG28" s="165"/>
      <c r="BH28" s="165"/>
      <c r="BI28" s="171"/>
    </row>
    <row r="29" spans="2:61" ht="20.100000000000001" customHeight="1" x14ac:dyDescent="0.45">
      <c r="B29" s="111"/>
      <c r="C29" s="31"/>
      <c r="D29" s="31"/>
      <c r="E29" s="31"/>
      <c r="F29" s="31"/>
      <c r="G29" s="112"/>
      <c r="H29" s="169"/>
      <c r="I29" s="170"/>
      <c r="J29" s="113"/>
      <c r="K29" s="178"/>
      <c r="L29" s="178"/>
      <c r="M29" s="178" t="s">
        <v>295</v>
      </c>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12"/>
      <c r="AW29" s="165"/>
      <c r="AX29" s="165"/>
      <c r="AY29" s="165"/>
      <c r="AZ29" s="165"/>
      <c r="BA29" s="165"/>
      <c r="BB29" s="165"/>
      <c r="BC29" s="165"/>
      <c r="BD29" s="165"/>
      <c r="BE29" s="165"/>
      <c r="BF29" s="165"/>
      <c r="BG29" s="165"/>
      <c r="BH29" s="165"/>
      <c r="BI29" s="171"/>
    </row>
    <row r="30" spans="2:61" ht="20.100000000000001" customHeight="1" x14ac:dyDescent="0.45">
      <c r="B30" s="111"/>
      <c r="C30" s="31"/>
      <c r="D30" s="31"/>
      <c r="E30" s="31"/>
      <c r="F30" s="31"/>
      <c r="G30" s="112"/>
      <c r="H30" s="169"/>
      <c r="I30" s="170"/>
      <c r="J30" s="169"/>
      <c r="K30" s="178"/>
      <c r="L30" s="178"/>
      <c r="M30" s="178"/>
      <c r="N30" s="178" t="s">
        <v>345</v>
      </c>
      <c r="O30" s="178"/>
      <c r="P30" s="178"/>
      <c r="Q30" s="178"/>
      <c r="R30" s="178"/>
      <c r="S30" s="178"/>
      <c r="T30" s="178"/>
      <c r="U30" s="178"/>
      <c r="V30" s="178"/>
      <c r="W30" s="178"/>
      <c r="X30" s="178"/>
      <c r="Y30" s="178"/>
      <c r="Z30" s="178"/>
      <c r="AA30" s="178"/>
      <c r="AB30" s="178"/>
      <c r="AC30" s="178"/>
      <c r="AD30" s="178"/>
      <c r="AE30" s="178"/>
      <c r="AF30" s="178"/>
      <c r="AG30" s="178"/>
      <c r="AH30" s="178"/>
      <c r="AI30" s="178"/>
      <c r="AJ30" s="170"/>
      <c r="AK30" s="165"/>
      <c r="AL30" s="165"/>
      <c r="AM30" s="165"/>
      <c r="AN30" s="165"/>
      <c r="AO30" s="165"/>
      <c r="AP30" s="165"/>
      <c r="AQ30" s="165"/>
      <c r="AR30" s="165"/>
      <c r="AS30" s="165"/>
      <c r="AT30" s="165"/>
      <c r="AU30" s="165"/>
      <c r="AV30" s="165"/>
      <c r="AW30" s="165"/>
      <c r="AX30" s="165"/>
      <c r="AY30" s="165"/>
      <c r="AZ30" s="165"/>
      <c r="BA30" s="165"/>
      <c r="BB30" s="165"/>
      <c r="BC30" s="165"/>
      <c r="BD30" s="165"/>
      <c r="BE30" s="165"/>
      <c r="BF30" s="165"/>
      <c r="BG30" s="165"/>
      <c r="BH30" s="165"/>
      <c r="BI30" s="171"/>
    </row>
    <row r="31" spans="2:61" ht="20.100000000000001" customHeight="1" x14ac:dyDescent="0.45">
      <c r="B31" s="111"/>
      <c r="C31" s="31"/>
      <c r="D31" s="31"/>
      <c r="E31" s="31"/>
      <c r="F31" s="31"/>
      <c r="G31" s="112"/>
      <c r="H31" s="169"/>
      <c r="I31" s="170"/>
      <c r="J31" s="169"/>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0"/>
      <c r="AK31" s="165"/>
      <c r="AL31" s="165"/>
      <c r="AM31" s="165"/>
      <c r="AN31" s="165"/>
      <c r="AO31" s="165"/>
      <c r="AP31" s="165"/>
      <c r="AQ31" s="165"/>
      <c r="AR31" s="165"/>
      <c r="AS31" s="165"/>
      <c r="AT31" s="165"/>
      <c r="AU31" s="165"/>
      <c r="AV31" s="165"/>
      <c r="AW31" s="165"/>
      <c r="AX31" s="165"/>
      <c r="AY31" s="165"/>
      <c r="AZ31" s="165"/>
      <c r="BA31" s="165"/>
      <c r="BB31" s="165"/>
      <c r="BC31" s="165"/>
      <c r="BD31" s="165"/>
      <c r="BE31" s="165"/>
      <c r="BF31" s="165"/>
      <c r="BG31" s="165"/>
      <c r="BH31" s="165"/>
      <c r="BI31" s="171"/>
    </row>
    <row r="32" spans="2:61" ht="20.100000000000001" customHeight="1" x14ac:dyDescent="0.45">
      <c r="B32" s="111"/>
      <c r="C32" s="31"/>
      <c r="D32" s="31"/>
      <c r="E32" s="31"/>
      <c r="F32" s="31"/>
      <c r="G32" s="112"/>
      <c r="H32" s="169"/>
      <c r="I32" s="170"/>
      <c r="J32" s="169" t="s">
        <v>317</v>
      </c>
      <c r="K32" s="178"/>
      <c r="L32" s="178"/>
      <c r="M32" s="178" t="s">
        <v>312</v>
      </c>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0"/>
      <c r="AK32" s="165"/>
      <c r="AL32" s="165"/>
      <c r="AM32" s="165"/>
      <c r="AN32" s="165"/>
      <c r="AO32" s="165"/>
      <c r="AP32" s="165"/>
      <c r="AQ32" s="165"/>
      <c r="AR32" s="165"/>
      <c r="AS32" s="165"/>
      <c r="AT32" s="165"/>
      <c r="AU32" s="165"/>
      <c r="AV32" s="165"/>
      <c r="AW32" s="165"/>
      <c r="AX32" s="165"/>
      <c r="AY32" s="165"/>
      <c r="AZ32" s="165"/>
      <c r="BA32" s="165"/>
      <c r="BB32" s="165"/>
      <c r="BC32" s="165"/>
      <c r="BD32" s="165"/>
      <c r="BE32" s="165"/>
      <c r="BF32" s="165"/>
      <c r="BG32" s="165"/>
      <c r="BH32" s="165"/>
      <c r="BI32" s="171"/>
    </row>
    <row r="33" spans="2:61" ht="20.100000000000001" customHeight="1" x14ac:dyDescent="0.45">
      <c r="B33" s="111"/>
      <c r="C33" s="31"/>
      <c r="D33" s="31"/>
      <c r="E33" s="31"/>
      <c r="F33" s="31"/>
      <c r="G33" s="112"/>
      <c r="H33" s="116" t="s">
        <v>224</v>
      </c>
      <c r="I33" s="150"/>
      <c r="J33" s="116" t="s">
        <v>314</v>
      </c>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150"/>
      <c r="AK33" s="116"/>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118"/>
    </row>
    <row r="34" spans="2:61" ht="20.100000000000001" customHeight="1" x14ac:dyDescent="0.45">
      <c r="B34" s="111"/>
      <c r="C34" s="31"/>
      <c r="D34" s="31"/>
      <c r="E34" s="31"/>
      <c r="F34" s="31"/>
      <c r="G34" s="112"/>
      <c r="H34" s="113"/>
      <c r="I34" s="112"/>
      <c r="J34" s="31"/>
      <c r="K34" s="31" t="s">
        <v>313</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112"/>
      <c r="AK34" s="113"/>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115"/>
    </row>
    <row r="35" spans="2:61" ht="20.100000000000001" customHeight="1" x14ac:dyDescent="0.45">
      <c r="B35" s="111"/>
      <c r="C35" s="31"/>
      <c r="D35" s="31"/>
      <c r="E35" s="31"/>
      <c r="F35" s="31"/>
      <c r="G35" s="112"/>
      <c r="H35" s="113"/>
      <c r="I35" s="112"/>
      <c r="J35" s="31"/>
      <c r="K35" s="31" t="s">
        <v>320</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112"/>
      <c r="AK35" s="113"/>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115"/>
    </row>
    <row r="36" spans="2:61" ht="20.100000000000001" customHeight="1" x14ac:dyDescent="0.45">
      <c r="B36" s="111"/>
      <c r="C36" s="31"/>
      <c r="D36" s="31"/>
      <c r="E36" s="31"/>
      <c r="F36" s="31"/>
      <c r="G36" s="112"/>
      <c r="H36" s="113"/>
      <c r="I36" s="112"/>
      <c r="J36" s="31"/>
      <c r="K36" s="31" t="s">
        <v>311</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112"/>
      <c r="AK36" s="113"/>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115"/>
    </row>
    <row r="37" spans="2:61" ht="20.100000000000001" customHeight="1" thickBot="1" x14ac:dyDescent="0.5">
      <c r="B37" s="111"/>
      <c r="C37" s="31"/>
      <c r="D37" s="31"/>
      <c r="E37" s="31"/>
      <c r="F37" s="31"/>
      <c r="G37" s="112"/>
      <c r="H37" s="119"/>
      <c r="I37" s="143"/>
      <c r="J37" s="120" t="s">
        <v>348</v>
      </c>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43"/>
      <c r="AK37" s="119"/>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2"/>
    </row>
    <row r="38" spans="2:61" ht="20.100000000000001" customHeight="1" x14ac:dyDescent="0.45">
      <c r="B38" s="105" t="s">
        <v>176</v>
      </c>
      <c r="C38" s="106"/>
      <c r="D38" s="106"/>
      <c r="E38" s="106"/>
      <c r="F38" s="106"/>
      <c r="G38" s="107"/>
      <c r="H38" s="108" t="s">
        <v>151</v>
      </c>
      <c r="I38" s="106"/>
      <c r="J38" s="136" t="s">
        <v>156</v>
      </c>
      <c r="K38" s="137"/>
      <c r="L38" s="137"/>
      <c r="M38" s="137"/>
      <c r="N38" s="137"/>
      <c r="O38" s="137"/>
      <c r="P38" s="137"/>
      <c r="Q38" s="138"/>
      <c r="R38" s="137" t="s">
        <v>157</v>
      </c>
      <c r="S38" s="137"/>
      <c r="T38" s="137"/>
      <c r="U38" s="137"/>
      <c r="V38" s="137"/>
      <c r="W38" s="137"/>
      <c r="X38" s="137"/>
      <c r="Y38" s="137"/>
      <c r="Z38" s="137"/>
      <c r="AA38" s="137"/>
      <c r="AB38" s="137"/>
      <c r="AC38" s="137"/>
      <c r="AD38" s="137"/>
      <c r="AE38" s="137"/>
      <c r="AF38" s="137"/>
      <c r="AG38" s="137"/>
      <c r="AH38" s="137"/>
      <c r="AI38" s="137"/>
      <c r="AJ38" s="138"/>
      <c r="AK38" s="109"/>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10"/>
    </row>
    <row r="39" spans="2:61" ht="20.100000000000001" customHeight="1" x14ac:dyDescent="0.45">
      <c r="B39" s="139" t="s">
        <v>226</v>
      </c>
      <c r="C39" s="31"/>
      <c r="D39" s="31"/>
      <c r="E39" s="31"/>
      <c r="F39" s="31"/>
      <c r="G39" s="112"/>
      <c r="H39" s="113"/>
      <c r="I39" s="31"/>
      <c r="J39" s="140" t="s">
        <v>315</v>
      </c>
      <c r="K39" s="52"/>
      <c r="L39" s="52"/>
      <c r="M39" s="52"/>
      <c r="N39" s="52"/>
      <c r="O39" s="52"/>
      <c r="P39" s="52"/>
      <c r="Q39" s="141"/>
      <c r="R39" s="52" t="s">
        <v>316</v>
      </c>
      <c r="S39" s="52"/>
      <c r="T39" s="52"/>
      <c r="U39" s="52"/>
      <c r="V39" s="52"/>
      <c r="W39" s="52"/>
      <c r="X39" s="52"/>
      <c r="Y39" s="52"/>
      <c r="Z39" s="52"/>
      <c r="AA39" s="52"/>
      <c r="AB39" s="52"/>
      <c r="AC39" s="52"/>
      <c r="AD39" s="52"/>
      <c r="AE39" s="52"/>
      <c r="AF39" s="52"/>
      <c r="AG39" s="52"/>
      <c r="AH39" s="52"/>
      <c r="AI39" s="52"/>
      <c r="AJ39" s="141"/>
      <c r="AK39" s="114"/>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115"/>
    </row>
    <row r="40" spans="2:61" ht="20.100000000000001" customHeight="1" x14ac:dyDescent="0.45">
      <c r="B40" s="139"/>
      <c r="C40" s="31"/>
      <c r="D40" s="31"/>
      <c r="E40" s="31"/>
      <c r="F40" s="31"/>
      <c r="G40" s="112"/>
      <c r="H40" s="113"/>
      <c r="I40" s="31"/>
      <c r="J40" s="140" t="s">
        <v>159</v>
      </c>
      <c r="K40" s="52"/>
      <c r="L40" s="52"/>
      <c r="M40" s="52"/>
      <c r="N40" s="52"/>
      <c r="O40" s="52"/>
      <c r="P40" s="52"/>
      <c r="Q40" s="141"/>
      <c r="R40" s="52" t="s">
        <v>160</v>
      </c>
      <c r="S40" s="52"/>
      <c r="T40" s="52"/>
      <c r="U40" s="52"/>
      <c r="V40" s="52"/>
      <c r="W40" s="52"/>
      <c r="X40" s="52"/>
      <c r="Y40" s="52"/>
      <c r="Z40" s="52"/>
      <c r="AA40" s="52"/>
      <c r="AB40" s="52"/>
      <c r="AC40" s="52"/>
      <c r="AD40" s="52"/>
      <c r="AE40" s="52"/>
      <c r="AF40" s="52"/>
      <c r="AG40" s="52"/>
      <c r="AH40" s="52"/>
      <c r="AI40" s="52"/>
      <c r="AJ40" s="141"/>
      <c r="AK40" s="114"/>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115"/>
    </row>
    <row r="41" spans="2:61" ht="20.100000000000001" customHeight="1" x14ac:dyDescent="0.45">
      <c r="B41" s="139"/>
      <c r="C41" s="31"/>
      <c r="D41" s="31"/>
      <c r="E41" s="31"/>
      <c r="F41" s="31"/>
      <c r="G41" s="112"/>
      <c r="H41" s="113"/>
      <c r="I41" s="31"/>
      <c r="J41" s="140" t="s">
        <v>161</v>
      </c>
      <c r="K41" s="52"/>
      <c r="L41" s="52"/>
      <c r="M41" s="52"/>
      <c r="N41" s="52"/>
      <c r="O41" s="52"/>
      <c r="P41" s="52"/>
      <c r="Q41" s="141"/>
      <c r="R41" s="52" t="s">
        <v>162</v>
      </c>
      <c r="S41" s="52"/>
      <c r="T41" s="52"/>
      <c r="U41" s="52"/>
      <c r="V41" s="52"/>
      <c r="W41" s="52"/>
      <c r="X41" s="52"/>
      <c r="Y41" s="52"/>
      <c r="Z41" s="52"/>
      <c r="AA41" s="52"/>
      <c r="AB41" s="52"/>
      <c r="AC41" s="52"/>
      <c r="AD41" s="52"/>
      <c r="AE41" s="52"/>
      <c r="AF41" s="52"/>
      <c r="AG41" s="52"/>
      <c r="AH41" s="52"/>
      <c r="AI41" s="52"/>
      <c r="AJ41" s="141"/>
      <c r="AK41" s="114"/>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115"/>
    </row>
    <row r="42" spans="2:61" ht="20.100000000000001" customHeight="1" x14ac:dyDescent="0.45">
      <c r="B42" s="139"/>
      <c r="C42" s="31"/>
      <c r="D42" s="31"/>
      <c r="E42" s="31"/>
      <c r="F42" s="31"/>
      <c r="G42" s="112"/>
      <c r="H42" s="31"/>
      <c r="I42" s="31"/>
      <c r="J42" s="140" t="s">
        <v>163</v>
      </c>
      <c r="K42" s="52"/>
      <c r="L42" s="52"/>
      <c r="M42" s="52"/>
      <c r="N42" s="52"/>
      <c r="O42" s="52"/>
      <c r="P42" s="52"/>
      <c r="Q42" s="141"/>
      <c r="R42" s="52" t="s">
        <v>164</v>
      </c>
      <c r="S42" s="52"/>
      <c r="T42" s="52"/>
      <c r="U42" s="52"/>
      <c r="V42" s="52"/>
      <c r="W42" s="52"/>
      <c r="X42" s="52"/>
      <c r="Y42" s="52"/>
      <c r="Z42" s="52"/>
      <c r="AA42" s="52"/>
      <c r="AB42" s="52"/>
      <c r="AC42" s="52"/>
      <c r="AD42" s="52"/>
      <c r="AE42" s="52"/>
      <c r="AF42" s="52"/>
      <c r="AG42" s="52"/>
      <c r="AH42" s="52"/>
      <c r="AI42" s="52"/>
      <c r="AJ42" s="141"/>
      <c r="AK42" s="114"/>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115"/>
    </row>
    <row r="43" spans="2:61" ht="20.100000000000001" customHeight="1" x14ac:dyDescent="0.45">
      <c r="B43" s="139"/>
      <c r="C43" s="31"/>
      <c r="D43" s="31"/>
      <c r="E43" s="31"/>
      <c r="F43" s="31"/>
      <c r="G43" s="112"/>
      <c r="H43" s="31"/>
      <c r="I43" s="31"/>
      <c r="J43" s="140" t="s">
        <v>165</v>
      </c>
      <c r="K43" s="52"/>
      <c r="L43" s="52"/>
      <c r="M43" s="52"/>
      <c r="N43" s="52"/>
      <c r="O43" s="52"/>
      <c r="P43" s="52"/>
      <c r="Q43" s="141"/>
      <c r="R43" s="52" t="s">
        <v>166</v>
      </c>
      <c r="S43" s="52"/>
      <c r="T43" s="52"/>
      <c r="U43" s="52"/>
      <c r="V43" s="52"/>
      <c r="W43" s="52"/>
      <c r="X43" s="52"/>
      <c r="Y43" s="52"/>
      <c r="Z43" s="52"/>
      <c r="AA43" s="52"/>
      <c r="AB43" s="52"/>
      <c r="AC43" s="52"/>
      <c r="AD43" s="52"/>
      <c r="AE43" s="52"/>
      <c r="AF43" s="52"/>
      <c r="AG43" s="52"/>
      <c r="AH43" s="52"/>
      <c r="AI43" s="52"/>
      <c r="AJ43" s="141"/>
      <c r="AK43" s="114"/>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115"/>
    </row>
    <row r="44" spans="2:61" ht="20.100000000000001" customHeight="1" x14ac:dyDescent="0.45">
      <c r="B44" s="139"/>
      <c r="C44" s="31"/>
      <c r="D44" s="31"/>
      <c r="E44" s="31"/>
      <c r="F44" s="31"/>
      <c r="G44" s="112"/>
      <c r="H44" s="31"/>
      <c r="I44" s="31"/>
      <c r="J44" s="140" t="s">
        <v>167</v>
      </c>
      <c r="K44" s="52"/>
      <c r="L44" s="52"/>
      <c r="M44" s="52"/>
      <c r="N44" s="52"/>
      <c r="O44" s="52"/>
      <c r="P44" s="52"/>
      <c r="Q44" s="141"/>
      <c r="R44" s="52" t="s">
        <v>169</v>
      </c>
      <c r="S44" s="52"/>
      <c r="T44" s="52"/>
      <c r="U44" s="52"/>
      <c r="V44" s="52"/>
      <c r="W44" s="52"/>
      <c r="X44" s="52"/>
      <c r="Y44" s="52"/>
      <c r="Z44" s="52"/>
      <c r="AA44" s="52"/>
      <c r="AB44" s="52"/>
      <c r="AC44" s="52"/>
      <c r="AD44" s="52"/>
      <c r="AE44" s="52"/>
      <c r="AF44" s="52"/>
      <c r="AG44" s="52"/>
      <c r="AH44" s="52"/>
      <c r="AI44" s="52"/>
      <c r="AJ44" s="141"/>
      <c r="AK44" s="114"/>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115"/>
    </row>
    <row r="45" spans="2:61" ht="20.100000000000001" customHeight="1" x14ac:dyDescent="0.45">
      <c r="B45" s="139"/>
      <c r="C45" s="31"/>
      <c r="D45" s="31"/>
      <c r="E45" s="31"/>
      <c r="F45" s="31"/>
      <c r="G45" s="112"/>
      <c r="I45" s="31"/>
      <c r="J45" s="140" t="s">
        <v>168</v>
      </c>
      <c r="K45" s="52"/>
      <c r="L45" s="52"/>
      <c r="M45" s="52"/>
      <c r="N45" s="52"/>
      <c r="O45" s="52"/>
      <c r="P45" s="52"/>
      <c r="Q45" s="141"/>
      <c r="R45" s="152" t="s">
        <v>289</v>
      </c>
      <c r="S45" s="52"/>
      <c r="T45" s="52"/>
      <c r="U45" s="52"/>
      <c r="V45" s="52"/>
      <c r="W45" s="52"/>
      <c r="X45" s="52"/>
      <c r="Y45" s="52"/>
      <c r="Z45" s="52"/>
      <c r="AA45" s="52"/>
      <c r="AB45" s="52"/>
      <c r="AC45" s="52"/>
      <c r="AD45" s="52"/>
      <c r="AE45" s="52"/>
      <c r="AF45" s="52"/>
      <c r="AG45" s="52"/>
      <c r="AH45" s="52"/>
      <c r="AI45" s="52"/>
      <c r="AJ45" s="141"/>
      <c r="AK45" s="114" t="s">
        <v>288</v>
      </c>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115"/>
    </row>
    <row r="46" spans="2:61" ht="20.100000000000001" customHeight="1" x14ac:dyDescent="0.45">
      <c r="B46" s="139"/>
      <c r="C46" s="31"/>
      <c r="D46" s="31"/>
      <c r="E46" s="31"/>
      <c r="F46" s="31"/>
      <c r="G46" s="112"/>
      <c r="H46" s="116" t="s">
        <v>114</v>
      </c>
      <c r="I46" s="55"/>
      <c r="J46" s="116" t="s">
        <v>170</v>
      </c>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117"/>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118"/>
    </row>
    <row r="47" spans="2:61" ht="20.100000000000001" customHeight="1" x14ac:dyDescent="0.45">
      <c r="B47" s="139"/>
      <c r="C47" s="31"/>
      <c r="D47" s="31"/>
      <c r="E47" s="31"/>
      <c r="F47" s="31"/>
      <c r="G47" s="112"/>
      <c r="H47" s="113"/>
      <c r="I47" s="31"/>
      <c r="J47" s="113" t="s">
        <v>171</v>
      </c>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114"/>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115"/>
    </row>
    <row r="48" spans="2:61" ht="20.100000000000001" customHeight="1" x14ac:dyDescent="0.45">
      <c r="B48" s="111"/>
      <c r="C48" s="31"/>
      <c r="D48" s="31"/>
      <c r="E48" s="31"/>
      <c r="F48" s="31"/>
      <c r="G48" s="112"/>
      <c r="I48" s="31"/>
      <c r="J48" s="113" t="s">
        <v>172</v>
      </c>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114"/>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115"/>
    </row>
    <row r="49" spans="2:61" ht="20.100000000000001" customHeight="1" x14ac:dyDescent="0.45">
      <c r="B49" s="111"/>
      <c r="C49" s="31"/>
      <c r="D49" s="31"/>
      <c r="E49" s="31"/>
      <c r="F49" s="31"/>
      <c r="G49" s="112"/>
      <c r="H49" s="113"/>
      <c r="I49" s="31"/>
      <c r="J49" s="113" t="s">
        <v>173</v>
      </c>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114"/>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115"/>
    </row>
    <row r="50" spans="2:61" ht="20.100000000000001" customHeight="1" x14ac:dyDescent="0.45">
      <c r="B50" s="111"/>
      <c r="C50" s="31"/>
      <c r="D50" s="31"/>
      <c r="E50" s="31"/>
      <c r="F50" s="31"/>
      <c r="G50" s="112"/>
      <c r="H50" s="113"/>
      <c r="I50" s="31"/>
      <c r="J50" s="113" t="s">
        <v>175</v>
      </c>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114"/>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115"/>
    </row>
    <row r="51" spans="2:61" ht="20.100000000000001" customHeight="1" x14ac:dyDescent="0.45">
      <c r="B51" s="111"/>
      <c r="C51" s="31"/>
      <c r="D51" s="31"/>
      <c r="E51" s="31"/>
      <c r="F51" s="31"/>
      <c r="G51" s="112"/>
      <c r="H51" s="113"/>
      <c r="I51" s="31"/>
      <c r="J51" s="113" t="s">
        <v>328</v>
      </c>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114"/>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115"/>
    </row>
    <row r="52" spans="2:61" ht="20.100000000000001" customHeight="1" x14ac:dyDescent="0.45">
      <c r="B52" s="111"/>
      <c r="C52" s="31"/>
      <c r="D52" s="31"/>
      <c r="E52" s="31"/>
      <c r="F52" s="31"/>
      <c r="G52" s="112"/>
      <c r="H52" s="116" t="s">
        <v>152</v>
      </c>
      <c r="I52" s="55"/>
      <c r="J52" s="116" t="s">
        <v>177</v>
      </c>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117"/>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118"/>
    </row>
    <row r="53" spans="2:61" ht="20.100000000000001" customHeight="1" x14ac:dyDescent="0.45">
      <c r="B53" s="111"/>
      <c r="C53" s="31"/>
      <c r="D53" s="31"/>
      <c r="E53" s="31"/>
      <c r="F53" s="31"/>
      <c r="G53" s="112"/>
      <c r="H53" s="113"/>
      <c r="I53" s="31"/>
      <c r="J53" s="113"/>
      <c r="K53" s="31" t="s">
        <v>171</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114"/>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115"/>
    </row>
    <row r="54" spans="2:61" ht="20.100000000000001" customHeight="1" x14ac:dyDescent="0.45">
      <c r="B54" s="111"/>
      <c r="C54" s="31"/>
      <c r="D54" s="31"/>
      <c r="E54" s="31"/>
      <c r="F54" s="31"/>
      <c r="G54" s="112"/>
      <c r="H54" s="113"/>
      <c r="I54" s="31"/>
      <c r="J54" s="113"/>
      <c r="K54" s="31"/>
      <c r="L54" s="31" t="s">
        <v>178</v>
      </c>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114"/>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115"/>
    </row>
    <row r="55" spans="2:61" ht="20.100000000000001" customHeight="1" x14ac:dyDescent="0.45">
      <c r="B55" s="111"/>
      <c r="C55" s="31"/>
      <c r="D55" s="31"/>
      <c r="E55" s="31"/>
      <c r="F55" s="31"/>
      <c r="G55" s="112"/>
      <c r="H55" s="113"/>
      <c r="I55" s="31"/>
      <c r="J55" s="113" t="s">
        <v>179</v>
      </c>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114"/>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115"/>
    </row>
    <row r="56" spans="2:61" ht="20.100000000000001" customHeight="1" x14ac:dyDescent="0.45">
      <c r="B56" s="111"/>
      <c r="C56" s="31"/>
      <c r="D56" s="31"/>
      <c r="E56" s="31"/>
      <c r="F56" s="31"/>
      <c r="G56" s="112"/>
      <c r="H56" s="113"/>
      <c r="I56" s="31"/>
      <c r="J56" s="113"/>
      <c r="K56" s="31" t="s">
        <v>172</v>
      </c>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114"/>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115"/>
    </row>
    <row r="57" spans="2:61" ht="20.100000000000001" customHeight="1" x14ac:dyDescent="0.45">
      <c r="B57" s="111"/>
      <c r="C57" s="31"/>
      <c r="D57" s="31"/>
      <c r="E57" s="31"/>
      <c r="F57" s="31"/>
      <c r="G57" s="112"/>
      <c r="H57" s="113"/>
      <c r="I57" s="31"/>
      <c r="J57" s="113"/>
      <c r="K57" s="31"/>
      <c r="L57" s="31" t="s">
        <v>180</v>
      </c>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114"/>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115"/>
    </row>
    <row r="58" spans="2:61" ht="20.100000000000001" customHeight="1" x14ac:dyDescent="0.45">
      <c r="B58" s="111"/>
      <c r="C58" s="31"/>
      <c r="D58" s="31"/>
      <c r="E58" s="31"/>
      <c r="F58" s="31"/>
      <c r="G58" s="112"/>
      <c r="H58" s="113"/>
      <c r="I58" s="31"/>
      <c r="J58" s="113" t="s">
        <v>181</v>
      </c>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114"/>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115"/>
    </row>
    <row r="59" spans="2:61" ht="20.100000000000001" customHeight="1" x14ac:dyDescent="0.45">
      <c r="B59" s="111"/>
      <c r="C59" s="31"/>
      <c r="D59" s="31"/>
      <c r="E59" s="31"/>
      <c r="F59" s="31"/>
      <c r="G59" s="112"/>
      <c r="H59" s="113"/>
      <c r="I59" s="31"/>
      <c r="J59" s="113"/>
      <c r="K59" s="31" t="s">
        <v>173</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114"/>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115"/>
    </row>
    <row r="60" spans="2:61" ht="20.100000000000001" customHeight="1" x14ac:dyDescent="0.45">
      <c r="B60" s="111"/>
      <c r="C60" s="31"/>
      <c r="D60" s="31"/>
      <c r="E60" s="31"/>
      <c r="F60" s="31"/>
      <c r="G60" s="112"/>
      <c r="H60" s="113"/>
      <c r="I60" s="31"/>
      <c r="J60" s="113"/>
      <c r="K60" s="31"/>
      <c r="L60" s="31" t="s">
        <v>182</v>
      </c>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114"/>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115"/>
    </row>
    <row r="61" spans="2:61" ht="20.100000000000001" customHeight="1" x14ac:dyDescent="0.45">
      <c r="B61" s="111"/>
      <c r="C61" s="31"/>
      <c r="D61" s="31"/>
      <c r="E61" s="31"/>
      <c r="F61" s="31"/>
      <c r="G61" s="112"/>
      <c r="H61" s="113"/>
      <c r="I61" s="31"/>
      <c r="J61" s="113" t="s">
        <v>183</v>
      </c>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114"/>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115"/>
    </row>
    <row r="62" spans="2:61" ht="20.100000000000001" customHeight="1" x14ac:dyDescent="0.45">
      <c r="B62" s="111"/>
      <c r="C62" s="31"/>
      <c r="D62" s="31"/>
      <c r="E62" s="31"/>
      <c r="F62" s="31"/>
      <c r="G62" s="112"/>
      <c r="H62" s="113"/>
      <c r="I62" s="31"/>
      <c r="J62" s="113"/>
      <c r="K62" s="31" t="s">
        <v>174</v>
      </c>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114"/>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115"/>
    </row>
    <row r="63" spans="2:61" ht="20.100000000000001" customHeight="1" x14ac:dyDescent="0.45">
      <c r="B63" s="111"/>
      <c r="C63" s="31"/>
      <c r="D63" s="31"/>
      <c r="E63" s="31"/>
      <c r="F63" s="31"/>
      <c r="G63" s="112"/>
      <c r="H63" s="113"/>
      <c r="I63" s="31"/>
      <c r="J63" s="113"/>
      <c r="K63" s="31"/>
      <c r="L63" s="31" t="s">
        <v>184</v>
      </c>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114"/>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115"/>
    </row>
    <row r="64" spans="2:61" ht="20.100000000000001" customHeight="1" x14ac:dyDescent="0.45">
      <c r="B64" s="111"/>
      <c r="C64" s="31"/>
      <c r="D64" s="31"/>
      <c r="E64" s="31"/>
      <c r="F64" s="31"/>
      <c r="G64" s="112"/>
      <c r="H64" s="113"/>
      <c r="I64" s="31"/>
      <c r="J64" s="113" t="s">
        <v>181</v>
      </c>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114"/>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115"/>
    </row>
    <row r="65" spans="2:61" ht="20.100000000000001" customHeight="1" x14ac:dyDescent="0.45">
      <c r="B65" s="111"/>
      <c r="C65" s="31"/>
      <c r="D65" s="31"/>
      <c r="E65" s="31"/>
      <c r="F65" s="31"/>
      <c r="G65" s="112"/>
      <c r="H65" s="113"/>
      <c r="I65" s="31"/>
      <c r="J65" s="113"/>
      <c r="K65" s="31" t="s">
        <v>328</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114"/>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115"/>
    </row>
    <row r="66" spans="2:61" ht="20.100000000000001" customHeight="1" x14ac:dyDescent="0.45">
      <c r="B66" s="111"/>
      <c r="C66" s="31"/>
      <c r="D66" s="31"/>
      <c r="E66" s="31"/>
      <c r="F66" s="31"/>
      <c r="G66" s="112"/>
      <c r="H66" s="119"/>
      <c r="I66" s="120"/>
      <c r="J66" s="119"/>
      <c r="K66" s="120"/>
      <c r="L66" s="120" t="s">
        <v>329</v>
      </c>
      <c r="M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1"/>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2"/>
    </row>
    <row r="67" spans="2:61" ht="20.100000000000001" customHeight="1" x14ac:dyDescent="0.45">
      <c r="B67" s="111"/>
      <c r="C67" s="31"/>
      <c r="D67" s="31"/>
      <c r="E67" s="31"/>
      <c r="F67" s="31"/>
      <c r="G67" s="112"/>
      <c r="H67" s="113" t="s">
        <v>115</v>
      </c>
      <c r="I67" s="31"/>
      <c r="J67" s="113"/>
      <c r="K67" s="31" t="s">
        <v>188</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114"/>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115"/>
    </row>
    <row r="68" spans="2:61" ht="20.100000000000001" customHeight="1" x14ac:dyDescent="0.45">
      <c r="B68" s="111"/>
      <c r="C68" s="31"/>
      <c r="D68" s="31"/>
      <c r="E68" s="31"/>
      <c r="F68" s="31"/>
      <c r="G68" s="112"/>
      <c r="H68" s="113"/>
      <c r="I68" s="31"/>
      <c r="J68" s="113" t="s">
        <v>186</v>
      </c>
      <c r="K68" s="31" t="s">
        <v>189</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113"/>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115"/>
    </row>
    <row r="69" spans="2:61" ht="20.100000000000001" customHeight="1" x14ac:dyDescent="0.45">
      <c r="B69" s="111"/>
      <c r="C69" s="31"/>
      <c r="D69" s="31"/>
      <c r="E69" s="31"/>
      <c r="F69" s="31"/>
      <c r="G69" s="112"/>
      <c r="H69" s="113"/>
      <c r="I69" s="31"/>
      <c r="J69" s="113" t="s">
        <v>190</v>
      </c>
      <c r="K69" s="31" t="s">
        <v>191</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113"/>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115"/>
    </row>
    <row r="70" spans="2:61" ht="20.100000000000001" customHeight="1" x14ac:dyDescent="0.45">
      <c r="B70" s="111"/>
      <c r="C70" s="31"/>
      <c r="D70" s="31"/>
      <c r="E70" s="31"/>
      <c r="F70" s="31"/>
      <c r="G70" s="112"/>
      <c r="H70" s="113"/>
      <c r="I70" s="31"/>
      <c r="J70" s="113" t="s">
        <v>186</v>
      </c>
      <c r="K70" s="31" t="s">
        <v>192</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113"/>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115"/>
    </row>
    <row r="71" spans="2:61" ht="20.100000000000001" customHeight="1" x14ac:dyDescent="0.45">
      <c r="B71" s="111"/>
      <c r="C71" s="31"/>
      <c r="D71" s="31"/>
      <c r="E71" s="31"/>
      <c r="F71" s="31"/>
      <c r="G71" s="112"/>
      <c r="H71" s="113"/>
      <c r="I71" s="31"/>
      <c r="J71" s="113" t="s">
        <v>186</v>
      </c>
      <c r="K71" s="31" t="s">
        <v>193</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113"/>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115"/>
    </row>
    <row r="72" spans="2:61" ht="20.100000000000001" customHeight="1" thickBot="1" x14ac:dyDescent="0.5">
      <c r="B72" s="111"/>
      <c r="C72" s="31"/>
      <c r="D72" s="31"/>
      <c r="E72" s="31"/>
      <c r="F72" s="31"/>
      <c r="G72" s="112"/>
      <c r="H72" s="147" t="s">
        <v>187</v>
      </c>
      <c r="I72" s="144"/>
      <c r="J72" s="147" t="s">
        <v>244</v>
      </c>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7"/>
      <c r="AL72" s="144"/>
      <c r="AM72" s="144"/>
      <c r="AN72" s="144"/>
      <c r="AO72" s="144"/>
      <c r="AP72" s="144"/>
      <c r="AQ72" s="144"/>
      <c r="AR72" s="144"/>
      <c r="AS72" s="144"/>
      <c r="AT72" s="144"/>
      <c r="AU72" s="144"/>
      <c r="AV72" s="144"/>
      <c r="AW72" s="144"/>
      <c r="AX72" s="144"/>
      <c r="AY72" s="144"/>
      <c r="AZ72" s="144"/>
      <c r="BA72" s="144"/>
      <c r="BB72" s="144"/>
      <c r="BC72" s="144"/>
      <c r="BD72" s="144"/>
      <c r="BE72" s="144"/>
      <c r="BF72" s="144"/>
      <c r="BG72" s="144"/>
      <c r="BH72" s="144"/>
      <c r="BI72" s="145"/>
    </row>
    <row r="73" spans="2:61" ht="20.100000000000001" customHeight="1" x14ac:dyDescent="0.45">
      <c r="B73" s="146" t="s">
        <v>327</v>
      </c>
      <c r="C73" s="106"/>
      <c r="D73" s="106"/>
      <c r="E73" s="106"/>
      <c r="F73" s="106"/>
      <c r="G73" s="107"/>
      <c r="H73" s="108" t="s">
        <v>150</v>
      </c>
      <c r="I73" s="107"/>
      <c r="J73" s="136" t="s">
        <v>194</v>
      </c>
      <c r="K73" s="137"/>
      <c r="L73" s="137"/>
      <c r="M73" s="137"/>
      <c r="N73" s="137"/>
      <c r="O73" s="137"/>
      <c r="P73" s="137"/>
      <c r="Q73" s="138"/>
      <c r="R73" s="137" t="s">
        <v>197</v>
      </c>
      <c r="S73" s="137"/>
      <c r="T73" s="137"/>
      <c r="U73" s="137"/>
      <c r="V73" s="137"/>
      <c r="W73" s="137"/>
      <c r="X73" s="137"/>
      <c r="Y73" s="137"/>
      <c r="Z73" s="137"/>
      <c r="AA73" s="137"/>
      <c r="AB73" s="137"/>
      <c r="AC73" s="137"/>
      <c r="AD73" s="137"/>
      <c r="AE73" s="137"/>
      <c r="AF73" s="137"/>
      <c r="AG73" s="137"/>
      <c r="AH73" s="137"/>
      <c r="AI73" s="137"/>
      <c r="AJ73" s="138"/>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10"/>
    </row>
    <row r="74" spans="2:61" ht="20.100000000000001" customHeight="1" x14ac:dyDescent="0.45">
      <c r="B74" s="111" t="s">
        <v>228</v>
      </c>
      <c r="C74" s="31"/>
      <c r="D74" s="31"/>
      <c r="E74" s="31"/>
      <c r="F74" s="31"/>
      <c r="G74" s="112"/>
      <c r="H74" s="113"/>
      <c r="I74" s="112"/>
      <c r="J74" s="140" t="s">
        <v>195</v>
      </c>
      <c r="K74" s="52"/>
      <c r="L74" s="52"/>
      <c r="M74" s="52"/>
      <c r="N74" s="52"/>
      <c r="O74" s="52"/>
      <c r="P74" s="52"/>
      <c r="Q74" s="141"/>
      <c r="R74" s="52" t="s">
        <v>198</v>
      </c>
      <c r="S74" s="52"/>
      <c r="T74" s="52"/>
      <c r="U74" s="52"/>
      <c r="V74" s="52"/>
      <c r="W74" s="52"/>
      <c r="X74" s="52"/>
      <c r="Y74" s="52"/>
      <c r="Z74" s="52"/>
      <c r="AA74" s="52"/>
      <c r="AB74" s="52"/>
      <c r="AC74" s="52"/>
      <c r="AD74" s="52"/>
      <c r="AE74" s="52"/>
      <c r="AF74" s="52"/>
      <c r="AG74" s="52"/>
      <c r="AH74" s="52"/>
      <c r="AI74" s="52"/>
      <c r="AJ74" s="14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115"/>
    </row>
    <row r="75" spans="2:61" ht="20.100000000000001" customHeight="1" x14ac:dyDescent="0.45">
      <c r="B75" s="111"/>
      <c r="C75" s="31"/>
      <c r="D75" s="31"/>
      <c r="E75" s="31"/>
      <c r="F75" s="31"/>
      <c r="G75" s="112"/>
      <c r="H75" s="113"/>
      <c r="I75" s="112"/>
      <c r="J75" s="140" t="s">
        <v>159</v>
      </c>
      <c r="K75" s="52"/>
      <c r="L75" s="52"/>
      <c r="M75" s="52"/>
      <c r="N75" s="52"/>
      <c r="O75" s="52"/>
      <c r="P75" s="52"/>
      <c r="Q75" s="141"/>
      <c r="R75" s="52" t="s">
        <v>199</v>
      </c>
      <c r="S75" s="52"/>
      <c r="T75" s="52"/>
      <c r="U75" s="52"/>
      <c r="V75" s="52"/>
      <c r="W75" s="52"/>
      <c r="X75" s="52"/>
      <c r="Y75" s="52"/>
      <c r="Z75" s="52"/>
      <c r="AA75" s="52"/>
      <c r="AB75" s="52"/>
      <c r="AC75" s="52"/>
      <c r="AD75" s="52"/>
      <c r="AE75" s="52"/>
      <c r="AF75" s="52"/>
      <c r="AG75" s="52"/>
      <c r="AH75" s="52"/>
      <c r="AI75" s="52"/>
      <c r="AJ75" s="14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115"/>
    </row>
    <row r="76" spans="2:61" ht="20.100000000000001" customHeight="1" x14ac:dyDescent="0.45">
      <c r="B76" s="111"/>
      <c r="C76" s="31"/>
      <c r="D76" s="31"/>
      <c r="E76" s="31"/>
      <c r="F76" s="31"/>
      <c r="G76" s="112"/>
      <c r="H76" s="113"/>
      <c r="I76" s="112"/>
      <c r="J76" s="140" t="s">
        <v>161</v>
      </c>
      <c r="K76" s="52"/>
      <c r="L76" s="52"/>
      <c r="M76" s="52"/>
      <c r="N76" s="52"/>
      <c r="O76" s="52"/>
      <c r="P76" s="52"/>
      <c r="Q76" s="141"/>
      <c r="R76" s="52" t="s">
        <v>162</v>
      </c>
      <c r="S76" s="52"/>
      <c r="T76" s="52"/>
      <c r="U76" s="52"/>
      <c r="V76" s="52"/>
      <c r="W76" s="52"/>
      <c r="X76" s="52"/>
      <c r="Y76" s="52"/>
      <c r="Z76" s="52"/>
      <c r="AA76" s="52"/>
      <c r="AB76" s="52"/>
      <c r="AC76" s="52"/>
      <c r="AD76" s="52"/>
      <c r="AE76" s="52"/>
      <c r="AF76" s="52"/>
      <c r="AG76" s="52"/>
      <c r="AH76" s="52"/>
      <c r="AI76" s="52"/>
      <c r="AJ76" s="14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115"/>
    </row>
    <row r="77" spans="2:61" ht="20.100000000000001" customHeight="1" x14ac:dyDescent="0.45">
      <c r="B77" s="111"/>
      <c r="C77" s="31"/>
      <c r="D77" s="31"/>
      <c r="E77" s="31"/>
      <c r="F77" s="31"/>
      <c r="G77" s="112"/>
      <c r="H77" s="113"/>
      <c r="I77" s="112"/>
      <c r="J77" s="140" t="s">
        <v>163</v>
      </c>
      <c r="K77" s="52"/>
      <c r="L77" s="52"/>
      <c r="M77" s="52"/>
      <c r="N77" s="52"/>
      <c r="O77" s="52"/>
      <c r="P77" s="52"/>
      <c r="Q77" s="141"/>
      <c r="R77" s="52" t="s">
        <v>164</v>
      </c>
      <c r="S77" s="52"/>
      <c r="T77" s="52"/>
      <c r="U77" s="52"/>
      <c r="V77" s="52"/>
      <c r="W77" s="52"/>
      <c r="X77" s="52"/>
      <c r="Y77" s="52"/>
      <c r="Z77" s="52"/>
      <c r="AA77" s="52"/>
      <c r="AB77" s="52"/>
      <c r="AC77" s="52"/>
      <c r="AD77" s="52"/>
      <c r="AE77" s="52"/>
      <c r="AF77" s="52"/>
      <c r="AG77" s="52"/>
      <c r="AH77" s="52"/>
      <c r="AI77" s="52"/>
      <c r="AJ77" s="14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115"/>
    </row>
    <row r="78" spans="2:61" ht="20.100000000000001" customHeight="1" x14ac:dyDescent="0.45">
      <c r="B78" s="111"/>
      <c r="C78" s="31"/>
      <c r="D78" s="31"/>
      <c r="E78" s="31"/>
      <c r="F78" s="31"/>
      <c r="G78" s="112"/>
      <c r="H78" s="113"/>
      <c r="I78" s="112"/>
      <c r="J78" s="140" t="s">
        <v>165</v>
      </c>
      <c r="K78" s="52"/>
      <c r="L78" s="52"/>
      <c r="M78" s="52"/>
      <c r="N78" s="52"/>
      <c r="O78" s="52"/>
      <c r="P78" s="52"/>
      <c r="Q78" s="141"/>
      <c r="R78" s="52" t="s">
        <v>166</v>
      </c>
      <c r="S78" s="52"/>
      <c r="T78" s="52"/>
      <c r="U78" s="52"/>
      <c r="V78" s="52"/>
      <c r="W78" s="52"/>
      <c r="X78" s="52"/>
      <c r="Y78" s="52"/>
      <c r="Z78" s="52"/>
      <c r="AA78" s="52"/>
      <c r="AB78" s="52"/>
      <c r="AC78" s="52"/>
      <c r="AD78" s="52"/>
      <c r="AE78" s="52"/>
      <c r="AF78" s="52"/>
      <c r="AG78" s="52"/>
      <c r="AH78" s="52"/>
      <c r="AI78" s="52"/>
      <c r="AJ78" s="14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115"/>
    </row>
    <row r="79" spans="2:61" ht="20.100000000000001" customHeight="1" x14ac:dyDescent="0.45">
      <c r="B79" s="111"/>
      <c r="C79" s="31"/>
      <c r="D79" s="31"/>
      <c r="E79" s="31"/>
      <c r="F79" s="31"/>
      <c r="G79" s="112"/>
      <c r="H79" s="113"/>
      <c r="I79" s="112"/>
      <c r="J79" s="140" t="s">
        <v>168</v>
      </c>
      <c r="K79" s="52"/>
      <c r="L79" s="52"/>
      <c r="M79" s="52"/>
      <c r="N79" s="52"/>
      <c r="O79" s="52"/>
      <c r="P79" s="52"/>
      <c r="Q79" s="141"/>
      <c r="R79" s="52" t="s">
        <v>200</v>
      </c>
      <c r="S79" s="52"/>
      <c r="T79" s="52"/>
      <c r="U79" s="52"/>
      <c r="V79" s="52"/>
      <c r="W79" s="52"/>
      <c r="X79" s="52"/>
      <c r="Y79" s="52"/>
      <c r="Z79" s="52"/>
      <c r="AA79" s="52"/>
      <c r="AB79" s="52"/>
      <c r="AC79" s="52"/>
      <c r="AD79" s="52"/>
      <c r="AE79" s="52"/>
      <c r="AF79" s="52"/>
      <c r="AG79" s="52"/>
      <c r="AH79" s="52"/>
      <c r="AI79" s="52"/>
      <c r="AJ79" s="14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115"/>
    </row>
    <row r="80" spans="2:61" ht="20.100000000000001" customHeight="1" x14ac:dyDescent="0.45">
      <c r="B80" s="111"/>
      <c r="C80" s="31"/>
      <c r="D80" s="31"/>
      <c r="E80" s="31"/>
      <c r="F80" s="31"/>
      <c r="G80" s="112"/>
      <c r="H80" s="113"/>
      <c r="I80" s="112"/>
      <c r="J80" s="140" t="s">
        <v>204</v>
      </c>
      <c r="K80" s="52"/>
      <c r="L80" s="52"/>
      <c r="M80" s="52"/>
      <c r="N80" s="52"/>
      <c r="O80" s="52"/>
      <c r="P80" s="52"/>
      <c r="Q80" s="141"/>
      <c r="R80" s="152" t="s">
        <v>287</v>
      </c>
      <c r="S80" s="52"/>
      <c r="T80" s="52"/>
      <c r="U80" s="52"/>
      <c r="V80" s="52"/>
      <c r="W80" s="52"/>
      <c r="X80" s="52"/>
      <c r="Y80" s="52"/>
      <c r="Z80" s="52"/>
      <c r="AA80" s="52"/>
      <c r="AB80" s="52"/>
      <c r="AC80" s="52"/>
      <c r="AD80" s="52"/>
      <c r="AE80" s="52"/>
      <c r="AF80" s="52"/>
      <c r="AG80" s="52"/>
      <c r="AH80" s="52"/>
      <c r="AI80" s="52"/>
      <c r="AJ80" s="141"/>
      <c r="AK80" s="31" t="s">
        <v>232</v>
      </c>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115"/>
    </row>
    <row r="81" spans="2:61" ht="20.100000000000001" customHeight="1" x14ac:dyDescent="0.45">
      <c r="B81" s="111"/>
      <c r="C81" s="31"/>
      <c r="D81" s="31"/>
      <c r="E81" s="31"/>
      <c r="F81" s="31"/>
      <c r="G81" s="112"/>
      <c r="H81" s="116" t="s">
        <v>205</v>
      </c>
      <c r="I81" s="150"/>
      <c r="J81" s="116" t="s">
        <v>201</v>
      </c>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150"/>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118"/>
    </row>
    <row r="82" spans="2:61" ht="20.100000000000001" customHeight="1" x14ac:dyDescent="0.45">
      <c r="B82" s="111"/>
      <c r="C82" s="31"/>
      <c r="D82" s="31"/>
      <c r="E82" s="31"/>
      <c r="F82" s="31"/>
      <c r="G82" s="112"/>
      <c r="H82" s="113"/>
      <c r="I82" s="112"/>
      <c r="J82" s="113" t="s">
        <v>202</v>
      </c>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112"/>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115"/>
    </row>
    <row r="83" spans="2:61" ht="20.100000000000001" customHeight="1" x14ac:dyDescent="0.45">
      <c r="B83" s="111"/>
      <c r="C83" s="31"/>
      <c r="D83" s="31"/>
      <c r="E83" s="31"/>
      <c r="F83" s="31"/>
      <c r="G83" s="112"/>
      <c r="H83" s="113"/>
      <c r="I83" s="112"/>
      <c r="J83" s="113" t="s">
        <v>206</v>
      </c>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112"/>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115"/>
    </row>
    <row r="84" spans="2:61" ht="20.100000000000001" customHeight="1" x14ac:dyDescent="0.45">
      <c r="B84" s="111"/>
      <c r="C84" s="31"/>
      <c r="D84" s="31"/>
      <c r="E84" s="31"/>
      <c r="F84" s="31"/>
      <c r="G84" s="112"/>
      <c r="H84" s="113"/>
      <c r="I84" s="112"/>
      <c r="J84" s="113" t="s">
        <v>173</v>
      </c>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112"/>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115"/>
    </row>
    <row r="85" spans="2:61" ht="20.100000000000001" customHeight="1" x14ac:dyDescent="0.45">
      <c r="B85" s="111"/>
      <c r="C85" s="31"/>
      <c r="D85" s="31"/>
      <c r="E85" s="31"/>
      <c r="F85" s="31"/>
      <c r="G85" s="112"/>
      <c r="H85" s="113"/>
      <c r="I85" s="112"/>
      <c r="J85" s="113" t="s">
        <v>172</v>
      </c>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112"/>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115"/>
    </row>
    <row r="86" spans="2:61" ht="20.100000000000001" customHeight="1" x14ac:dyDescent="0.45">
      <c r="B86" s="111"/>
      <c r="C86" s="31"/>
      <c r="D86" s="31"/>
      <c r="E86" s="31"/>
      <c r="F86" s="31"/>
      <c r="G86" s="112"/>
      <c r="H86" s="113"/>
      <c r="I86" s="112"/>
      <c r="J86" s="113" t="s">
        <v>174</v>
      </c>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112"/>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115"/>
    </row>
    <row r="87" spans="2:61" ht="20.100000000000001" customHeight="1" x14ac:dyDescent="0.45">
      <c r="B87" s="111"/>
      <c r="C87" s="31"/>
      <c r="D87" s="31"/>
      <c r="E87" s="31"/>
      <c r="F87" s="31"/>
      <c r="G87" s="112"/>
      <c r="H87" s="113"/>
      <c r="I87" s="112"/>
      <c r="J87" s="119" t="s">
        <v>225</v>
      </c>
      <c r="K87" s="120"/>
      <c r="L87" s="120"/>
      <c r="M87" s="120"/>
      <c r="N87" s="120"/>
      <c r="O87" s="120"/>
      <c r="P87" s="120"/>
      <c r="Q87" s="120"/>
      <c r="R87" s="153"/>
      <c r="S87" s="31"/>
      <c r="T87" s="31"/>
      <c r="U87" s="31"/>
      <c r="V87" s="31"/>
      <c r="W87" s="31"/>
      <c r="X87" s="31"/>
      <c r="Y87" s="31"/>
      <c r="Z87" s="31"/>
      <c r="AA87" s="31"/>
      <c r="AB87" s="31"/>
      <c r="AC87" s="31"/>
      <c r="AD87" s="31"/>
      <c r="AE87" s="31"/>
      <c r="AF87" s="31"/>
      <c r="AG87" s="31"/>
      <c r="AH87" s="31"/>
      <c r="AI87" s="31"/>
      <c r="AJ87" s="112"/>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115"/>
    </row>
    <row r="88" spans="2:61" ht="20.100000000000001" customHeight="1" x14ac:dyDescent="0.45">
      <c r="B88" s="111"/>
      <c r="C88" s="31"/>
      <c r="D88" s="31"/>
      <c r="E88" s="31"/>
      <c r="F88" s="31"/>
      <c r="G88" s="112"/>
      <c r="H88" s="116" t="s">
        <v>153</v>
      </c>
      <c r="I88" s="150"/>
      <c r="J88" s="116" t="s">
        <v>207</v>
      </c>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150"/>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118"/>
    </row>
    <row r="89" spans="2:61" ht="20.100000000000001" customHeight="1" x14ac:dyDescent="0.45">
      <c r="B89" s="111"/>
      <c r="C89" s="31"/>
      <c r="D89" s="31"/>
      <c r="E89" s="31"/>
      <c r="F89" s="31"/>
      <c r="G89" s="112"/>
      <c r="H89" s="31"/>
      <c r="I89" s="112"/>
      <c r="J89" s="113"/>
      <c r="K89" s="31" t="s">
        <v>202</v>
      </c>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112"/>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115"/>
    </row>
    <row r="90" spans="2:61" ht="20.100000000000001" customHeight="1" x14ac:dyDescent="0.45">
      <c r="B90" s="111"/>
      <c r="C90" s="31"/>
      <c r="D90" s="31"/>
      <c r="E90" s="31"/>
      <c r="F90" s="31"/>
      <c r="G90" s="112"/>
      <c r="H90" s="31"/>
      <c r="I90" s="112"/>
      <c r="J90" s="113"/>
      <c r="K90" s="31"/>
      <c r="L90" s="31" t="s">
        <v>209</v>
      </c>
      <c r="M90" s="31"/>
      <c r="N90" s="31"/>
      <c r="O90" s="31"/>
      <c r="P90" s="31"/>
      <c r="Q90" s="31"/>
      <c r="R90" s="31"/>
      <c r="S90" s="31"/>
      <c r="T90" s="31"/>
      <c r="U90" s="31"/>
      <c r="V90" s="31"/>
      <c r="W90" s="31"/>
      <c r="X90" s="31"/>
      <c r="Y90" s="31"/>
      <c r="Z90" s="31"/>
      <c r="AA90" s="31"/>
      <c r="AB90" s="31"/>
      <c r="AC90" s="31"/>
      <c r="AD90" s="31"/>
      <c r="AE90" s="31"/>
      <c r="AF90" s="31"/>
      <c r="AG90" s="31"/>
      <c r="AH90" s="31"/>
      <c r="AI90" s="31"/>
      <c r="AJ90" s="112"/>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115"/>
    </row>
    <row r="91" spans="2:61" ht="20.100000000000001" customHeight="1" x14ac:dyDescent="0.45">
      <c r="B91" s="111"/>
      <c r="C91" s="31"/>
      <c r="D91" s="31"/>
      <c r="E91" s="31"/>
      <c r="F91" s="31"/>
      <c r="G91" s="112"/>
      <c r="H91" s="31"/>
      <c r="I91" s="112"/>
      <c r="J91" s="113" t="s">
        <v>177</v>
      </c>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112"/>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115"/>
    </row>
    <row r="92" spans="2:61" ht="20.100000000000001" customHeight="1" x14ac:dyDescent="0.45">
      <c r="B92" s="111"/>
      <c r="C92" s="31"/>
      <c r="D92" s="31"/>
      <c r="E92" s="31"/>
      <c r="F92" s="31"/>
      <c r="G92" s="112"/>
      <c r="H92" s="31"/>
      <c r="I92" s="112"/>
      <c r="J92" s="113"/>
      <c r="K92" s="31" t="s">
        <v>210</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112"/>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115"/>
    </row>
    <row r="93" spans="2:61" ht="20.100000000000001" customHeight="1" x14ac:dyDescent="0.45">
      <c r="B93" s="111"/>
      <c r="C93" s="31"/>
      <c r="D93" s="31"/>
      <c r="E93" s="31"/>
      <c r="F93" s="31"/>
      <c r="G93" s="112"/>
      <c r="H93" s="31"/>
      <c r="I93" s="112"/>
      <c r="J93" s="113"/>
      <c r="K93" s="31"/>
      <c r="L93" s="31" t="s">
        <v>211</v>
      </c>
      <c r="M93" s="31"/>
      <c r="N93" s="31"/>
      <c r="O93" s="31"/>
      <c r="P93" s="31"/>
      <c r="Q93" s="31"/>
      <c r="R93" s="31"/>
      <c r="S93" s="31"/>
      <c r="T93" s="31"/>
      <c r="U93" s="31"/>
      <c r="V93" s="31"/>
      <c r="W93" s="31"/>
      <c r="X93" s="31"/>
      <c r="Y93" s="31"/>
      <c r="Z93" s="31"/>
      <c r="AA93" s="31"/>
      <c r="AB93" s="31"/>
      <c r="AC93" s="31"/>
      <c r="AD93" s="31"/>
      <c r="AE93" s="31"/>
      <c r="AF93" s="31"/>
      <c r="AG93" s="31"/>
      <c r="AH93" s="31"/>
      <c r="AI93" s="31"/>
      <c r="AJ93" s="112"/>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115"/>
    </row>
    <row r="94" spans="2:61" ht="20.100000000000001" customHeight="1" x14ac:dyDescent="0.45">
      <c r="B94" s="111"/>
      <c r="C94" s="31"/>
      <c r="D94" s="31"/>
      <c r="E94" s="31"/>
      <c r="F94" s="31"/>
      <c r="G94" s="112"/>
      <c r="H94" s="31"/>
      <c r="I94" s="112"/>
      <c r="J94" s="113" t="s">
        <v>181</v>
      </c>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112"/>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115"/>
    </row>
    <row r="95" spans="2:61" ht="20.100000000000001" customHeight="1" x14ac:dyDescent="0.45">
      <c r="B95" s="111"/>
      <c r="C95" s="31"/>
      <c r="D95" s="31"/>
      <c r="E95" s="31"/>
      <c r="F95" s="31"/>
      <c r="G95" s="112"/>
      <c r="H95" s="31"/>
      <c r="I95" s="112"/>
      <c r="J95" s="113"/>
      <c r="K95" s="31" t="s">
        <v>173</v>
      </c>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112"/>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115"/>
    </row>
    <row r="96" spans="2:61" ht="20.100000000000001" customHeight="1" x14ac:dyDescent="0.45">
      <c r="B96" s="111"/>
      <c r="C96" s="31"/>
      <c r="D96" s="31"/>
      <c r="E96" s="31"/>
      <c r="F96" s="31"/>
      <c r="G96" s="112"/>
      <c r="H96" s="31"/>
      <c r="I96" s="112"/>
      <c r="J96" s="113"/>
      <c r="K96" s="31"/>
      <c r="L96" s="31" t="s">
        <v>212</v>
      </c>
      <c r="M96" s="31"/>
      <c r="N96" s="31"/>
      <c r="O96" s="31"/>
      <c r="P96" s="31"/>
      <c r="Q96" s="31"/>
      <c r="R96" s="31"/>
      <c r="S96" s="31"/>
      <c r="T96" s="31"/>
      <c r="U96" s="31"/>
      <c r="V96" s="31"/>
      <c r="W96" s="31"/>
      <c r="X96" s="31"/>
      <c r="Y96" s="31"/>
      <c r="Z96" s="31"/>
      <c r="AA96" s="31"/>
      <c r="AB96" s="31"/>
      <c r="AC96" s="31"/>
      <c r="AD96" s="31"/>
      <c r="AE96" s="31"/>
      <c r="AF96" s="31"/>
      <c r="AG96" s="31"/>
      <c r="AH96" s="31"/>
      <c r="AI96" s="31"/>
      <c r="AJ96" s="112"/>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115"/>
    </row>
    <row r="97" spans="2:61" ht="20.100000000000001" customHeight="1" x14ac:dyDescent="0.45">
      <c r="B97" s="111"/>
      <c r="C97" s="31"/>
      <c r="D97" s="31"/>
      <c r="E97" s="31"/>
      <c r="F97" s="31"/>
      <c r="G97" s="112"/>
      <c r="H97" s="31"/>
      <c r="I97" s="112"/>
      <c r="J97" s="113" t="s">
        <v>208</v>
      </c>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112"/>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115"/>
    </row>
    <row r="98" spans="2:61" ht="20.100000000000001" customHeight="1" x14ac:dyDescent="0.45">
      <c r="B98" s="111"/>
      <c r="C98" s="31"/>
      <c r="D98" s="31"/>
      <c r="E98" s="31"/>
      <c r="F98" s="31"/>
      <c r="G98" s="112"/>
      <c r="H98" s="31"/>
      <c r="I98" s="112"/>
      <c r="J98" s="113"/>
      <c r="K98" s="31" t="s">
        <v>172</v>
      </c>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112"/>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115"/>
    </row>
    <row r="99" spans="2:61" ht="20.100000000000001" customHeight="1" x14ac:dyDescent="0.45">
      <c r="B99" s="111"/>
      <c r="C99" s="31"/>
      <c r="D99" s="31"/>
      <c r="E99" s="31"/>
      <c r="F99" s="31"/>
      <c r="G99" s="112"/>
      <c r="H99" s="31"/>
      <c r="I99" s="112"/>
      <c r="J99" s="113"/>
      <c r="K99" s="31"/>
      <c r="L99" s="31" t="s">
        <v>213</v>
      </c>
      <c r="M99" s="31"/>
      <c r="N99" s="31"/>
      <c r="O99" s="31"/>
      <c r="P99" s="31"/>
      <c r="Q99" s="31"/>
      <c r="R99" s="31"/>
      <c r="S99" s="31"/>
      <c r="T99" s="31"/>
      <c r="U99" s="31"/>
      <c r="V99" s="31"/>
      <c r="W99" s="31"/>
      <c r="X99" s="31"/>
      <c r="Y99" s="31"/>
      <c r="Z99" s="31"/>
      <c r="AA99" s="31"/>
      <c r="AB99" s="31"/>
      <c r="AC99" s="31"/>
      <c r="AD99" s="31"/>
      <c r="AE99" s="31"/>
      <c r="AF99" s="31"/>
      <c r="AG99" s="31"/>
      <c r="AH99" s="31"/>
      <c r="AI99" s="31"/>
      <c r="AJ99" s="112"/>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115"/>
    </row>
    <row r="100" spans="2:61" ht="20.100000000000001" customHeight="1" x14ac:dyDescent="0.45">
      <c r="B100" s="111"/>
      <c r="C100" s="31"/>
      <c r="D100" s="31"/>
      <c r="E100" s="31"/>
      <c r="F100" s="31"/>
      <c r="G100" s="112"/>
      <c r="H100" s="31"/>
      <c r="I100" s="112"/>
      <c r="J100" s="113" t="s">
        <v>181</v>
      </c>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112"/>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115"/>
    </row>
    <row r="101" spans="2:61" ht="20.100000000000001" customHeight="1" x14ac:dyDescent="0.45">
      <c r="B101" s="111"/>
      <c r="C101" s="31"/>
      <c r="D101" s="31"/>
      <c r="E101" s="31"/>
      <c r="F101" s="31"/>
      <c r="G101" s="112"/>
      <c r="H101" s="31"/>
      <c r="I101" s="112"/>
      <c r="J101" s="113"/>
      <c r="K101" s="31" t="s">
        <v>174</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112"/>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115"/>
    </row>
    <row r="102" spans="2:61" ht="20.100000000000001" customHeight="1" x14ac:dyDescent="0.45">
      <c r="B102" s="111"/>
      <c r="C102" s="31"/>
      <c r="D102" s="31"/>
      <c r="E102" s="31"/>
      <c r="F102" s="31"/>
      <c r="G102" s="112"/>
      <c r="H102" s="31"/>
      <c r="I102" s="112"/>
      <c r="J102" s="113"/>
      <c r="K102" s="31"/>
      <c r="L102" s="31" t="s">
        <v>214</v>
      </c>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112"/>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115"/>
    </row>
    <row r="103" spans="2:61" ht="20.100000000000001" customHeight="1" x14ac:dyDescent="0.45">
      <c r="B103" s="111"/>
      <c r="C103" s="31"/>
      <c r="D103" s="31"/>
      <c r="E103" s="31"/>
      <c r="F103" s="31"/>
      <c r="G103" s="112"/>
      <c r="H103" s="31"/>
      <c r="I103" s="112"/>
      <c r="J103" s="113" t="s">
        <v>181</v>
      </c>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112"/>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115"/>
    </row>
    <row r="104" spans="2:61" ht="20.100000000000001" customHeight="1" x14ac:dyDescent="0.45">
      <c r="B104" s="111"/>
      <c r="C104" s="31"/>
      <c r="D104" s="31"/>
      <c r="E104" s="31"/>
      <c r="F104" s="31"/>
      <c r="G104" s="112"/>
      <c r="H104" s="31"/>
      <c r="I104" s="112"/>
      <c r="J104" s="113"/>
      <c r="K104" s="31" t="s">
        <v>346</v>
      </c>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112"/>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115"/>
    </row>
    <row r="105" spans="2:61" ht="20.100000000000001" customHeight="1" x14ac:dyDescent="0.45">
      <c r="B105" s="111"/>
      <c r="C105" s="31"/>
      <c r="D105" s="31"/>
      <c r="E105" s="31"/>
      <c r="F105" s="31"/>
      <c r="G105" s="112"/>
      <c r="H105" s="149"/>
      <c r="I105" s="112"/>
      <c r="J105" s="113"/>
      <c r="K105" s="31"/>
      <c r="L105" s="31" t="s">
        <v>347</v>
      </c>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112"/>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115"/>
    </row>
    <row r="106" spans="2:61" ht="20.100000000000001" customHeight="1" x14ac:dyDescent="0.45">
      <c r="B106" s="111"/>
      <c r="C106" s="31"/>
      <c r="D106" s="31"/>
      <c r="E106" s="31"/>
      <c r="F106" s="31"/>
      <c r="G106" s="112"/>
      <c r="H106" s="151" t="s">
        <v>215</v>
      </c>
      <c r="I106" s="150"/>
      <c r="J106" s="116"/>
      <c r="K106" s="55" t="s">
        <v>188</v>
      </c>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150"/>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118"/>
    </row>
    <row r="107" spans="2:61" ht="20.100000000000001" customHeight="1" x14ac:dyDescent="0.45">
      <c r="B107" s="111"/>
      <c r="C107" s="31"/>
      <c r="D107" s="31"/>
      <c r="E107" s="31"/>
      <c r="F107" s="31"/>
      <c r="G107" s="112"/>
      <c r="H107" s="154"/>
      <c r="I107" s="112"/>
      <c r="J107" s="113" t="s">
        <v>186</v>
      </c>
      <c r="K107" s="31" t="s">
        <v>216</v>
      </c>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112"/>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115"/>
    </row>
    <row r="108" spans="2:61" ht="20.100000000000001" customHeight="1" x14ac:dyDescent="0.45">
      <c r="B108" s="111"/>
      <c r="C108" s="31"/>
      <c r="D108" s="31"/>
      <c r="E108" s="31"/>
      <c r="F108" s="31"/>
      <c r="G108" s="112"/>
      <c r="H108" s="154"/>
      <c r="I108" s="112"/>
      <c r="J108" s="113" t="s">
        <v>186</v>
      </c>
      <c r="K108" s="31" t="s">
        <v>189</v>
      </c>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112"/>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115"/>
    </row>
    <row r="109" spans="2:61" ht="20.100000000000001" customHeight="1" x14ac:dyDescent="0.45">
      <c r="B109" s="111"/>
      <c r="C109" s="31"/>
      <c r="D109" s="31"/>
      <c r="E109" s="31"/>
      <c r="F109" s="31"/>
      <c r="G109" s="112"/>
      <c r="H109" s="154"/>
      <c r="I109" s="112"/>
      <c r="J109" s="113" t="s">
        <v>186</v>
      </c>
      <c r="K109" s="31" t="s">
        <v>217</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112"/>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115"/>
    </row>
    <row r="110" spans="2:61" ht="20.100000000000001" customHeight="1" x14ac:dyDescent="0.45">
      <c r="B110" s="111"/>
      <c r="C110" s="31"/>
      <c r="D110" s="31"/>
      <c r="E110" s="31"/>
      <c r="F110" s="31"/>
      <c r="G110" s="112"/>
      <c r="H110" s="154"/>
      <c r="I110" s="112"/>
      <c r="J110" s="113" t="s">
        <v>186</v>
      </c>
      <c r="K110" s="31" t="s">
        <v>218</v>
      </c>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112"/>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115"/>
    </row>
    <row r="111" spans="2:61" ht="20.100000000000001" customHeight="1" x14ac:dyDescent="0.45">
      <c r="B111" s="111"/>
      <c r="C111" s="31"/>
      <c r="D111" s="31"/>
      <c r="E111" s="31"/>
      <c r="F111" s="31"/>
      <c r="G111" s="112"/>
      <c r="H111" s="119"/>
      <c r="I111" s="143"/>
      <c r="J111" s="113" t="s">
        <v>186</v>
      </c>
      <c r="K111" s="120" t="s">
        <v>219</v>
      </c>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43"/>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2"/>
    </row>
    <row r="112" spans="2:61" ht="20.100000000000001" customHeight="1" thickBot="1" x14ac:dyDescent="0.5">
      <c r="B112" s="130"/>
      <c r="C112" s="131"/>
      <c r="D112" s="131"/>
      <c r="E112" s="131"/>
      <c r="F112" s="131"/>
      <c r="G112" s="132"/>
      <c r="H112" s="147" t="s">
        <v>220</v>
      </c>
      <c r="I112" s="148"/>
      <c r="J112" s="147" t="s">
        <v>243</v>
      </c>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c r="AI112" s="144"/>
      <c r="AJ112" s="148"/>
      <c r="AK112" s="144"/>
      <c r="AL112" s="144"/>
      <c r="AM112" s="144"/>
      <c r="AN112" s="144"/>
      <c r="AO112" s="144"/>
      <c r="AP112" s="144"/>
      <c r="AQ112" s="144"/>
      <c r="AR112" s="144"/>
      <c r="AS112" s="144"/>
      <c r="AT112" s="144"/>
      <c r="AU112" s="144"/>
      <c r="AV112" s="144"/>
      <c r="AW112" s="144"/>
      <c r="AX112" s="144"/>
      <c r="AY112" s="144"/>
      <c r="AZ112" s="144"/>
      <c r="BA112" s="144"/>
      <c r="BB112" s="144"/>
      <c r="BC112" s="144"/>
      <c r="BD112" s="144"/>
      <c r="BE112" s="144"/>
      <c r="BF112" s="144"/>
      <c r="BG112" s="144"/>
      <c r="BH112" s="144"/>
      <c r="BI112" s="145"/>
    </row>
    <row r="113" spans="2:61" ht="20.100000000000001" customHeight="1" x14ac:dyDescent="0.45">
      <c r="B113" s="146" t="s">
        <v>326</v>
      </c>
      <c r="C113" s="106"/>
      <c r="D113" s="106"/>
      <c r="E113" s="106"/>
      <c r="F113" s="106"/>
      <c r="G113" s="107"/>
      <c r="H113" s="108" t="s">
        <v>229</v>
      </c>
      <c r="I113" s="107"/>
      <c r="J113" s="136" t="s">
        <v>194</v>
      </c>
      <c r="K113" s="137"/>
      <c r="L113" s="137"/>
      <c r="M113" s="137"/>
      <c r="N113" s="137"/>
      <c r="O113" s="137"/>
      <c r="P113" s="137"/>
      <c r="Q113" s="138"/>
      <c r="R113" s="137" t="s">
        <v>197</v>
      </c>
      <c r="S113" s="137"/>
      <c r="T113" s="137"/>
      <c r="U113" s="137"/>
      <c r="V113" s="137"/>
      <c r="W113" s="137"/>
      <c r="X113" s="137"/>
      <c r="Y113" s="137"/>
      <c r="Z113" s="137"/>
      <c r="AA113" s="137"/>
      <c r="AB113" s="137"/>
      <c r="AC113" s="137"/>
      <c r="AD113" s="137"/>
      <c r="AE113" s="137"/>
      <c r="AF113" s="137"/>
      <c r="AG113" s="137"/>
      <c r="AH113" s="137"/>
      <c r="AI113" s="137"/>
      <c r="AJ113" s="138"/>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10"/>
    </row>
    <row r="114" spans="2:61" ht="20.100000000000001" customHeight="1" x14ac:dyDescent="0.45">
      <c r="B114" s="111" t="s">
        <v>227</v>
      </c>
      <c r="C114" s="31"/>
      <c r="D114" s="31"/>
      <c r="E114" s="31"/>
      <c r="F114" s="31"/>
      <c r="G114" s="112"/>
      <c r="H114" s="113"/>
      <c r="I114" s="112"/>
      <c r="J114" s="140" t="s">
        <v>195</v>
      </c>
      <c r="K114" s="52"/>
      <c r="L114" s="52"/>
      <c r="M114" s="52"/>
      <c r="N114" s="52"/>
      <c r="O114" s="52"/>
      <c r="P114" s="52"/>
      <c r="Q114" s="141"/>
      <c r="R114" s="52" t="s">
        <v>221</v>
      </c>
      <c r="S114" s="52"/>
      <c r="T114" s="52"/>
      <c r="U114" s="52"/>
      <c r="V114" s="52"/>
      <c r="W114" s="52"/>
      <c r="X114" s="52"/>
      <c r="Y114" s="52"/>
      <c r="Z114" s="52"/>
      <c r="AA114" s="52"/>
      <c r="AB114" s="52"/>
      <c r="AC114" s="52"/>
      <c r="AD114" s="52"/>
      <c r="AE114" s="52"/>
      <c r="AF114" s="52"/>
      <c r="AG114" s="52"/>
      <c r="AH114" s="52"/>
      <c r="AI114" s="52"/>
      <c r="AJ114" s="14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115"/>
    </row>
    <row r="115" spans="2:61" ht="20.100000000000001" customHeight="1" x14ac:dyDescent="0.45">
      <c r="B115" s="111"/>
      <c r="C115" s="31"/>
      <c r="D115" s="31"/>
      <c r="E115" s="31"/>
      <c r="F115" s="31"/>
      <c r="G115" s="112"/>
      <c r="H115" s="113"/>
      <c r="I115" s="112"/>
      <c r="J115" s="140" t="s">
        <v>159</v>
      </c>
      <c r="K115" s="52"/>
      <c r="L115" s="52"/>
      <c r="M115" s="52"/>
      <c r="N115" s="52"/>
      <c r="O115" s="52"/>
      <c r="P115" s="52"/>
      <c r="Q115" s="141"/>
      <c r="R115" s="52" t="s">
        <v>199</v>
      </c>
      <c r="S115" s="52"/>
      <c r="T115" s="52"/>
      <c r="U115" s="52"/>
      <c r="V115" s="52"/>
      <c r="W115" s="52"/>
      <c r="X115" s="52"/>
      <c r="Y115" s="52"/>
      <c r="Z115" s="52"/>
      <c r="AA115" s="52"/>
      <c r="AB115" s="52"/>
      <c r="AC115" s="52"/>
      <c r="AD115" s="52"/>
      <c r="AE115" s="52"/>
      <c r="AF115" s="52"/>
      <c r="AG115" s="52"/>
      <c r="AH115" s="52"/>
      <c r="AI115" s="52"/>
      <c r="AJ115" s="14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115"/>
    </row>
    <row r="116" spans="2:61" ht="20.100000000000001" customHeight="1" x14ac:dyDescent="0.45">
      <c r="B116" s="111"/>
      <c r="C116" s="31"/>
      <c r="D116" s="31"/>
      <c r="E116" s="31"/>
      <c r="F116" s="31"/>
      <c r="G116" s="112"/>
      <c r="H116" s="113"/>
      <c r="I116" s="112"/>
      <c r="J116" s="140" t="s">
        <v>161</v>
      </c>
      <c r="K116" s="52"/>
      <c r="L116" s="52"/>
      <c r="M116" s="52"/>
      <c r="N116" s="52"/>
      <c r="O116" s="52"/>
      <c r="P116" s="52"/>
      <c r="Q116" s="141"/>
      <c r="R116" s="52" t="s">
        <v>162</v>
      </c>
      <c r="S116" s="52"/>
      <c r="T116" s="52"/>
      <c r="U116" s="52"/>
      <c r="V116" s="52"/>
      <c r="W116" s="52"/>
      <c r="X116" s="52"/>
      <c r="Y116" s="52"/>
      <c r="Z116" s="52"/>
      <c r="AA116" s="52"/>
      <c r="AB116" s="52"/>
      <c r="AC116" s="52"/>
      <c r="AD116" s="52"/>
      <c r="AE116" s="52"/>
      <c r="AF116" s="52"/>
      <c r="AG116" s="52"/>
      <c r="AH116" s="52"/>
      <c r="AI116" s="52"/>
      <c r="AJ116" s="14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115"/>
    </row>
    <row r="117" spans="2:61" ht="20.100000000000001" customHeight="1" x14ac:dyDescent="0.45">
      <c r="B117" s="111"/>
      <c r="C117" s="31"/>
      <c r="D117" s="31"/>
      <c r="E117" s="31"/>
      <c r="F117" s="31"/>
      <c r="G117" s="112"/>
      <c r="H117" s="113"/>
      <c r="I117" s="112"/>
      <c r="J117" s="140" t="s">
        <v>163</v>
      </c>
      <c r="K117" s="52"/>
      <c r="L117" s="52"/>
      <c r="M117" s="52"/>
      <c r="N117" s="52"/>
      <c r="O117" s="52"/>
      <c r="P117" s="52"/>
      <c r="Q117" s="141"/>
      <c r="R117" s="52" t="s">
        <v>164</v>
      </c>
      <c r="S117" s="52"/>
      <c r="T117" s="52"/>
      <c r="U117" s="52"/>
      <c r="V117" s="52"/>
      <c r="W117" s="52"/>
      <c r="X117" s="52"/>
      <c r="Y117" s="52"/>
      <c r="Z117" s="52"/>
      <c r="AA117" s="52"/>
      <c r="AB117" s="52"/>
      <c r="AC117" s="52"/>
      <c r="AD117" s="52"/>
      <c r="AE117" s="52"/>
      <c r="AF117" s="52"/>
      <c r="AG117" s="52"/>
      <c r="AH117" s="52"/>
      <c r="AI117" s="52"/>
      <c r="AJ117" s="14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115"/>
    </row>
    <row r="118" spans="2:61" ht="20.100000000000001" customHeight="1" x14ac:dyDescent="0.45">
      <c r="B118" s="111"/>
      <c r="C118" s="31"/>
      <c r="D118" s="31"/>
      <c r="E118" s="31"/>
      <c r="F118" s="31"/>
      <c r="G118" s="112"/>
      <c r="H118" s="113"/>
      <c r="I118" s="112"/>
      <c r="J118" s="140" t="s">
        <v>165</v>
      </c>
      <c r="K118" s="52"/>
      <c r="L118" s="52"/>
      <c r="M118" s="52"/>
      <c r="N118" s="52"/>
      <c r="O118" s="52"/>
      <c r="P118" s="52"/>
      <c r="Q118" s="141"/>
      <c r="R118" s="52" t="s">
        <v>166</v>
      </c>
      <c r="S118" s="52"/>
      <c r="T118" s="52"/>
      <c r="U118" s="52"/>
      <c r="V118" s="52"/>
      <c r="W118" s="52"/>
      <c r="X118" s="52"/>
      <c r="Y118" s="52"/>
      <c r="Z118" s="52"/>
      <c r="AA118" s="52"/>
      <c r="AB118" s="52"/>
      <c r="AC118" s="52"/>
      <c r="AD118" s="52"/>
      <c r="AE118" s="52"/>
      <c r="AF118" s="52"/>
      <c r="AG118" s="52"/>
      <c r="AH118" s="52"/>
      <c r="AI118" s="52"/>
      <c r="AJ118" s="14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115"/>
    </row>
    <row r="119" spans="2:61" ht="20.100000000000001" customHeight="1" x14ac:dyDescent="0.45">
      <c r="B119" s="111"/>
      <c r="C119" s="31"/>
      <c r="D119" s="31"/>
      <c r="E119" s="31"/>
      <c r="F119" s="31"/>
      <c r="G119" s="112"/>
      <c r="H119" s="113"/>
      <c r="I119" s="112"/>
      <c r="J119" s="140" t="s">
        <v>167</v>
      </c>
      <c r="K119" s="52"/>
      <c r="L119" s="52"/>
      <c r="M119" s="52"/>
      <c r="N119" s="52"/>
      <c r="O119" s="52"/>
      <c r="P119" s="52"/>
      <c r="Q119" s="141"/>
      <c r="R119" s="52" t="s">
        <v>230</v>
      </c>
      <c r="S119" s="52"/>
      <c r="T119" s="52"/>
      <c r="U119" s="52"/>
      <c r="V119" s="52"/>
      <c r="W119" s="52"/>
      <c r="X119" s="52"/>
      <c r="Y119" s="52"/>
      <c r="Z119" s="52"/>
      <c r="AA119" s="52"/>
      <c r="AB119" s="52"/>
      <c r="AC119" s="52"/>
      <c r="AD119" s="52"/>
      <c r="AE119" s="52"/>
      <c r="AF119" s="52"/>
      <c r="AG119" s="52"/>
      <c r="AH119" s="52"/>
      <c r="AI119" s="52"/>
      <c r="AJ119" s="14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115"/>
    </row>
    <row r="120" spans="2:61" ht="20.100000000000001" customHeight="1" x14ac:dyDescent="0.45">
      <c r="B120" s="111"/>
      <c r="C120" s="31"/>
      <c r="D120" s="31"/>
      <c r="E120" s="31"/>
      <c r="F120" s="31"/>
      <c r="G120" s="112"/>
      <c r="H120" s="113"/>
      <c r="I120" s="112"/>
      <c r="J120" s="140" t="s">
        <v>168</v>
      </c>
      <c r="K120" s="52"/>
      <c r="L120" s="52"/>
      <c r="M120" s="52"/>
      <c r="N120" s="52"/>
      <c r="O120" s="52"/>
      <c r="P120" s="52"/>
      <c r="Q120" s="141"/>
      <c r="R120" s="52" t="s">
        <v>231</v>
      </c>
      <c r="S120" s="52"/>
      <c r="T120" s="52"/>
      <c r="U120" s="52"/>
      <c r="V120" s="52"/>
      <c r="W120" s="52"/>
      <c r="X120" s="52"/>
      <c r="Y120" s="52"/>
      <c r="Z120" s="52"/>
      <c r="AA120" s="52"/>
      <c r="AB120" s="52"/>
      <c r="AC120" s="52"/>
      <c r="AD120" s="52"/>
      <c r="AE120" s="52"/>
      <c r="AF120" s="52"/>
      <c r="AG120" s="52"/>
      <c r="AH120" s="52"/>
      <c r="AI120" s="52"/>
      <c r="AJ120" s="14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115"/>
    </row>
    <row r="121" spans="2:61" ht="20.100000000000001" customHeight="1" x14ac:dyDescent="0.45">
      <c r="B121" s="111"/>
      <c r="C121" s="31"/>
      <c r="D121" s="31"/>
      <c r="E121" s="31"/>
      <c r="F121" s="31"/>
      <c r="G121" s="112"/>
      <c r="H121" s="113"/>
      <c r="I121" s="112"/>
      <c r="J121" s="140" t="s">
        <v>196</v>
      </c>
      <c r="K121" s="52"/>
      <c r="L121" s="52"/>
      <c r="M121" s="52"/>
      <c r="N121" s="52"/>
      <c r="O121" s="52"/>
      <c r="P121" s="52"/>
      <c r="Q121" s="141"/>
      <c r="R121" s="152" t="s">
        <v>286</v>
      </c>
      <c r="S121" s="52"/>
      <c r="T121" s="52"/>
      <c r="U121" s="52"/>
      <c r="V121" s="52"/>
      <c r="W121" s="52"/>
      <c r="X121" s="52"/>
      <c r="Y121" s="52"/>
      <c r="Z121" s="52"/>
      <c r="AA121" s="52"/>
      <c r="AB121" s="52"/>
      <c r="AC121" s="52"/>
      <c r="AD121" s="52"/>
      <c r="AE121" s="52"/>
      <c r="AF121" s="52"/>
      <c r="AG121" s="52"/>
      <c r="AH121" s="52"/>
      <c r="AI121" s="52"/>
      <c r="AJ121" s="141"/>
      <c r="AK121" s="31" t="s">
        <v>232</v>
      </c>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115"/>
    </row>
    <row r="122" spans="2:61" ht="20.100000000000001" customHeight="1" x14ac:dyDescent="0.45">
      <c r="B122" s="111"/>
      <c r="C122" s="31"/>
      <c r="D122" s="31"/>
      <c r="E122" s="31"/>
      <c r="F122" s="31"/>
      <c r="G122" s="112"/>
      <c r="H122" s="116" t="s">
        <v>203</v>
      </c>
      <c r="I122" s="150"/>
      <c r="J122" s="116" t="s">
        <v>201</v>
      </c>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150"/>
      <c r="AK122" s="55"/>
      <c r="AL122" s="55"/>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118"/>
    </row>
    <row r="123" spans="2:61" ht="20.100000000000001" customHeight="1" x14ac:dyDescent="0.45">
      <c r="B123" s="111"/>
      <c r="C123" s="31"/>
      <c r="D123" s="31"/>
      <c r="E123" s="31"/>
      <c r="F123" s="31"/>
      <c r="G123" s="112"/>
      <c r="H123" s="113"/>
      <c r="I123" s="112"/>
      <c r="J123" s="113" t="s">
        <v>202</v>
      </c>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112"/>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115"/>
    </row>
    <row r="124" spans="2:61" ht="20.100000000000001" customHeight="1" x14ac:dyDescent="0.45">
      <c r="B124" s="111"/>
      <c r="C124" s="31"/>
      <c r="D124" s="31"/>
      <c r="E124" s="31"/>
      <c r="F124" s="31"/>
      <c r="G124" s="112"/>
      <c r="H124" s="113"/>
      <c r="I124" s="112"/>
      <c r="J124" s="113" t="s">
        <v>210</v>
      </c>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112"/>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115"/>
    </row>
    <row r="125" spans="2:61" ht="20.100000000000001" customHeight="1" x14ac:dyDescent="0.45">
      <c r="B125" s="111"/>
      <c r="C125" s="31"/>
      <c r="D125" s="31"/>
      <c r="E125" s="31"/>
      <c r="F125" s="31"/>
      <c r="G125" s="112"/>
      <c r="H125" s="113"/>
      <c r="I125" s="112"/>
      <c r="J125" s="113" t="s">
        <v>173</v>
      </c>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112"/>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115"/>
    </row>
    <row r="126" spans="2:61" ht="20.100000000000001" customHeight="1" x14ac:dyDescent="0.45">
      <c r="B126" s="111"/>
      <c r="C126" s="31"/>
      <c r="D126" s="31"/>
      <c r="E126" s="31"/>
      <c r="F126" s="31"/>
      <c r="G126" s="112"/>
      <c r="H126" s="113"/>
      <c r="I126" s="112"/>
      <c r="J126" s="113" t="s">
        <v>172</v>
      </c>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112"/>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115"/>
    </row>
    <row r="127" spans="2:61" ht="20.100000000000001" customHeight="1" x14ac:dyDescent="0.45">
      <c r="B127" s="111"/>
      <c r="C127" s="31"/>
      <c r="D127" s="31"/>
      <c r="E127" s="31"/>
      <c r="F127" s="31"/>
      <c r="G127" s="112"/>
      <c r="H127" s="113"/>
      <c r="I127" s="112"/>
      <c r="J127" s="113" t="s">
        <v>174</v>
      </c>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112"/>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115"/>
    </row>
    <row r="128" spans="2:61" ht="20.100000000000001" customHeight="1" x14ac:dyDescent="0.45">
      <c r="B128" s="111"/>
      <c r="C128" s="31"/>
      <c r="D128" s="31"/>
      <c r="E128" s="31"/>
      <c r="F128" s="31"/>
      <c r="G128" s="112"/>
      <c r="H128" s="113"/>
      <c r="I128" s="112"/>
      <c r="J128" s="119" t="s">
        <v>328</v>
      </c>
      <c r="K128" s="120"/>
      <c r="L128" s="120"/>
      <c r="M128" s="120"/>
      <c r="N128" s="120"/>
      <c r="O128" s="120"/>
      <c r="P128" s="120"/>
      <c r="Q128" s="120"/>
      <c r="R128" s="153"/>
      <c r="S128" s="31"/>
      <c r="T128" s="31"/>
      <c r="U128" s="31"/>
      <c r="V128" s="31"/>
      <c r="W128" s="31"/>
      <c r="X128" s="31"/>
      <c r="Y128" s="31"/>
      <c r="Z128" s="31"/>
      <c r="AA128" s="31"/>
      <c r="AB128" s="31"/>
      <c r="AC128" s="31"/>
      <c r="AD128" s="31"/>
      <c r="AE128" s="31"/>
      <c r="AF128" s="31"/>
      <c r="AG128" s="31"/>
      <c r="AH128" s="31"/>
      <c r="AI128" s="31"/>
      <c r="AJ128" s="112"/>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115"/>
    </row>
    <row r="129" spans="2:61" ht="20.100000000000001" customHeight="1" x14ac:dyDescent="0.45">
      <c r="B129" s="111"/>
      <c r="C129" s="31"/>
      <c r="D129" s="31"/>
      <c r="E129" s="31"/>
      <c r="F129" s="31"/>
      <c r="G129" s="112"/>
      <c r="H129" s="116" t="s">
        <v>233</v>
      </c>
      <c r="I129" s="150"/>
      <c r="J129" s="116" t="s">
        <v>181</v>
      </c>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150"/>
      <c r="AK129" s="55"/>
      <c r="AL129" s="55"/>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118"/>
    </row>
    <row r="130" spans="2:61" ht="20.100000000000001" customHeight="1" x14ac:dyDescent="0.45">
      <c r="B130" s="111"/>
      <c r="C130" s="31"/>
      <c r="D130" s="31"/>
      <c r="E130" s="31"/>
      <c r="F130" s="31"/>
      <c r="G130" s="112"/>
      <c r="H130" s="31"/>
      <c r="I130" s="112"/>
      <c r="J130" s="113"/>
      <c r="K130" s="31" t="s">
        <v>234</v>
      </c>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112"/>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115"/>
    </row>
    <row r="131" spans="2:61" ht="20.100000000000001" customHeight="1" x14ac:dyDescent="0.45">
      <c r="B131" s="111"/>
      <c r="C131" s="31"/>
      <c r="D131" s="31"/>
      <c r="E131" s="31"/>
      <c r="F131" s="31"/>
      <c r="G131" s="112"/>
      <c r="H131" s="31"/>
      <c r="I131" s="112"/>
      <c r="J131" s="113"/>
      <c r="K131" s="31"/>
      <c r="L131" s="31" t="s">
        <v>209</v>
      </c>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112"/>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115"/>
    </row>
    <row r="132" spans="2:61" ht="20.100000000000001" customHeight="1" x14ac:dyDescent="0.45">
      <c r="B132" s="111"/>
      <c r="C132" s="31"/>
      <c r="D132" s="31"/>
      <c r="E132" s="31"/>
      <c r="F132" s="31"/>
      <c r="G132" s="112"/>
      <c r="H132" s="31"/>
      <c r="I132" s="112"/>
      <c r="J132" s="113" t="s">
        <v>177</v>
      </c>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112"/>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115"/>
    </row>
    <row r="133" spans="2:61" ht="20.100000000000001" customHeight="1" x14ac:dyDescent="0.45">
      <c r="B133" s="111"/>
      <c r="C133" s="31"/>
      <c r="D133" s="31"/>
      <c r="E133" s="31"/>
      <c r="F133" s="31"/>
      <c r="G133" s="112"/>
      <c r="H133" s="31"/>
      <c r="I133" s="112"/>
      <c r="J133" s="113"/>
      <c r="K133" s="31" t="s">
        <v>210</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112"/>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115"/>
    </row>
    <row r="134" spans="2:61" ht="20.100000000000001" customHeight="1" x14ac:dyDescent="0.45">
      <c r="B134" s="111"/>
      <c r="C134" s="31"/>
      <c r="D134" s="31"/>
      <c r="E134" s="31"/>
      <c r="F134" s="31"/>
      <c r="G134" s="112"/>
      <c r="H134" s="31"/>
      <c r="I134" s="112"/>
      <c r="J134" s="113"/>
      <c r="K134" s="31"/>
      <c r="L134" s="31" t="s">
        <v>235</v>
      </c>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112"/>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115"/>
    </row>
    <row r="135" spans="2:61" ht="20.100000000000001" customHeight="1" x14ac:dyDescent="0.45">
      <c r="B135" s="111"/>
      <c r="C135" s="31"/>
      <c r="D135" s="31"/>
      <c r="E135" s="31"/>
      <c r="F135" s="31"/>
      <c r="G135" s="112"/>
      <c r="H135" s="31"/>
      <c r="I135" s="112"/>
      <c r="J135" s="113" t="s">
        <v>177</v>
      </c>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112"/>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115"/>
    </row>
    <row r="136" spans="2:61" ht="20.100000000000001" customHeight="1" x14ac:dyDescent="0.45">
      <c r="B136" s="111"/>
      <c r="C136" s="31"/>
      <c r="D136" s="31"/>
      <c r="E136" s="31"/>
      <c r="F136" s="31"/>
      <c r="G136" s="112"/>
      <c r="H136" s="31"/>
      <c r="I136" s="112"/>
      <c r="J136" s="113"/>
      <c r="K136" s="31" t="s">
        <v>173</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112"/>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115"/>
    </row>
    <row r="137" spans="2:61" ht="20.100000000000001" customHeight="1" x14ac:dyDescent="0.45">
      <c r="B137" s="111"/>
      <c r="C137" s="31"/>
      <c r="D137" s="31"/>
      <c r="E137" s="31"/>
      <c r="F137" s="31"/>
      <c r="G137" s="112"/>
      <c r="H137" s="31"/>
      <c r="I137" s="112"/>
      <c r="J137" s="113"/>
      <c r="K137" s="31"/>
      <c r="L137" s="31" t="s">
        <v>236</v>
      </c>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112"/>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115"/>
    </row>
    <row r="138" spans="2:61" ht="20.100000000000001" customHeight="1" x14ac:dyDescent="0.45">
      <c r="B138" s="111"/>
      <c r="C138" s="31"/>
      <c r="D138" s="31"/>
      <c r="E138" s="31"/>
      <c r="F138" s="31"/>
      <c r="G138" s="112"/>
      <c r="H138" s="31"/>
      <c r="I138" s="112"/>
      <c r="J138" s="113" t="s">
        <v>208</v>
      </c>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112"/>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115"/>
    </row>
    <row r="139" spans="2:61" ht="20.100000000000001" customHeight="1" x14ac:dyDescent="0.45">
      <c r="B139" s="111"/>
      <c r="C139" s="31"/>
      <c r="D139" s="31"/>
      <c r="E139" s="31"/>
      <c r="F139" s="31"/>
      <c r="G139" s="112"/>
      <c r="H139" s="31"/>
      <c r="I139" s="112"/>
      <c r="J139" s="113"/>
      <c r="K139" s="31" t="s">
        <v>172</v>
      </c>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112"/>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115"/>
    </row>
    <row r="140" spans="2:61" ht="20.100000000000001" customHeight="1" x14ac:dyDescent="0.45">
      <c r="B140" s="111"/>
      <c r="C140" s="31"/>
      <c r="D140" s="31"/>
      <c r="E140" s="31"/>
      <c r="F140" s="31"/>
      <c r="G140" s="112"/>
      <c r="H140" s="31"/>
      <c r="I140" s="112"/>
      <c r="J140" s="113"/>
      <c r="K140" s="31"/>
      <c r="L140" s="31" t="s">
        <v>237</v>
      </c>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112"/>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115"/>
    </row>
    <row r="141" spans="2:61" ht="20.100000000000001" customHeight="1" x14ac:dyDescent="0.45">
      <c r="B141" s="111"/>
      <c r="C141" s="31"/>
      <c r="D141" s="31"/>
      <c r="E141" s="31"/>
      <c r="F141" s="31"/>
      <c r="G141" s="112"/>
      <c r="H141" s="31"/>
      <c r="I141" s="112"/>
      <c r="J141" s="113" t="s">
        <v>177</v>
      </c>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112"/>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115"/>
    </row>
    <row r="142" spans="2:61" ht="20.100000000000001" customHeight="1" x14ac:dyDescent="0.45">
      <c r="B142" s="111"/>
      <c r="C142" s="31"/>
      <c r="D142" s="31"/>
      <c r="E142" s="31"/>
      <c r="F142" s="31"/>
      <c r="G142" s="112"/>
      <c r="H142" s="31"/>
      <c r="I142" s="112"/>
      <c r="J142" s="113"/>
      <c r="K142" s="31" t="s">
        <v>174</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112"/>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115"/>
    </row>
    <row r="143" spans="2:61" ht="20.100000000000001" customHeight="1" x14ac:dyDescent="0.45">
      <c r="B143" s="111"/>
      <c r="C143" s="31"/>
      <c r="D143" s="31"/>
      <c r="E143" s="31"/>
      <c r="F143" s="31"/>
      <c r="G143" s="112"/>
      <c r="H143" s="31"/>
      <c r="I143" s="112"/>
      <c r="J143" s="113"/>
      <c r="K143" s="31"/>
      <c r="L143" s="31" t="s">
        <v>238</v>
      </c>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112"/>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115"/>
    </row>
    <row r="144" spans="2:61" ht="20.100000000000001" customHeight="1" x14ac:dyDescent="0.45">
      <c r="B144" s="111"/>
      <c r="C144" s="31"/>
      <c r="D144" s="31"/>
      <c r="E144" s="31"/>
      <c r="F144" s="31"/>
      <c r="G144" s="112"/>
      <c r="H144" s="31"/>
      <c r="I144" s="112"/>
      <c r="J144" s="113" t="s">
        <v>177</v>
      </c>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112"/>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115"/>
    </row>
    <row r="145" spans="1:65" ht="20.100000000000001" customHeight="1" x14ac:dyDescent="0.45">
      <c r="B145" s="111"/>
      <c r="C145" s="31"/>
      <c r="D145" s="31"/>
      <c r="E145" s="31"/>
      <c r="F145" s="31"/>
      <c r="G145" s="112"/>
      <c r="H145" s="31"/>
      <c r="I145" s="112"/>
      <c r="J145" s="113"/>
      <c r="K145" s="31" t="s">
        <v>225</v>
      </c>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112"/>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115"/>
    </row>
    <row r="146" spans="1:65" ht="20.100000000000001" customHeight="1" x14ac:dyDescent="0.45">
      <c r="B146" s="111"/>
      <c r="C146" s="31"/>
      <c r="D146" s="31"/>
      <c r="E146" s="31"/>
      <c r="F146" s="31"/>
      <c r="G146" s="112"/>
      <c r="H146" s="149"/>
      <c r="I146" s="112"/>
      <c r="J146" s="113"/>
      <c r="K146" s="31"/>
      <c r="L146" s="31" t="s">
        <v>347</v>
      </c>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112"/>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115"/>
    </row>
    <row r="147" spans="1:65" ht="20.100000000000001" customHeight="1" x14ac:dyDescent="0.45">
      <c r="B147" s="111"/>
      <c r="C147" s="31"/>
      <c r="D147" s="31"/>
      <c r="E147" s="31"/>
      <c r="F147" s="31"/>
      <c r="G147" s="112"/>
      <c r="H147" s="151" t="s">
        <v>154</v>
      </c>
      <c r="I147" s="150"/>
      <c r="J147" s="116"/>
      <c r="K147" s="55" t="s">
        <v>188</v>
      </c>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150"/>
      <c r="AK147" s="55"/>
      <c r="AL147" s="55"/>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118"/>
    </row>
    <row r="148" spans="1:65" ht="20.100000000000001" customHeight="1" x14ac:dyDescent="0.45">
      <c r="B148" s="111"/>
      <c r="C148" s="31"/>
      <c r="D148" s="31"/>
      <c r="E148" s="31"/>
      <c r="F148" s="31"/>
      <c r="G148" s="112"/>
      <c r="H148" s="154"/>
      <c r="I148" s="112"/>
      <c r="J148" s="113" t="s">
        <v>186</v>
      </c>
      <c r="K148" s="31" t="s">
        <v>216</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112"/>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115"/>
    </row>
    <row r="149" spans="1:65" ht="20.100000000000001" customHeight="1" x14ac:dyDescent="0.45">
      <c r="B149" s="111"/>
      <c r="C149" s="31"/>
      <c r="D149" s="31"/>
      <c r="E149" s="31"/>
      <c r="F149" s="31"/>
      <c r="G149" s="112"/>
      <c r="H149" s="154"/>
      <c r="I149" s="112"/>
      <c r="J149" s="113" t="s">
        <v>186</v>
      </c>
      <c r="K149" s="31" t="s">
        <v>189</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112"/>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115"/>
    </row>
    <row r="150" spans="1:65" ht="20.100000000000001" customHeight="1" x14ac:dyDescent="0.45">
      <c r="B150" s="111"/>
      <c r="C150" s="31"/>
      <c r="D150" s="31"/>
      <c r="E150" s="31"/>
      <c r="F150" s="31"/>
      <c r="G150" s="112"/>
      <c r="H150" s="154"/>
      <c r="I150" s="112"/>
      <c r="J150" s="113" t="s">
        <v>186</v>
      </c>
      <c r="K150" s="31" t="s">
        <v>240</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112"/>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115"/>
    </row>
    <row r="151" spans="1:65" ht="20.100000000000001" customHeight="1" x14ac:dyDescent="0.45">
      <c r="B151" s="111"/>
      <c r="C151" s="31"/>
      <c r="D151" s="31"/>
      <c r="E151" s="31"/>
      <c r="F151" s="31"/>
      <c r="G151" s="112"/>
      <c r="H151" s="154"/>
      <c r="I151" s="112"/>
      <c r="J151" s="113" t="s">
        <v>186</v>
      </c>
      <c r="K151" s="31" t="s">
        <v>241</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112"/>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115"/>
    </row>
    <row r="152" spans="1:65" ht="20.100000000000001" customHeight="1" x14ac:dyDescent="0.45">
      <c r="B152" s="111"/>
      <c r="C152" s="31"/>
      <c r="D152" s="31"/>
      <c r="E152" s="31"/>
      <c r="F152" s="31"/>
      <c r="G152" s="112"/>
      <c r="H152" s="119"/>
      <c r="I152" s="143"/>
      <c r="J152" s="113" t="s">
        <v>239</v>
      </c>
      <c r="K152" s="31" t="s">
        <v>242</v>
      </c>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43"/>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2"/>
    </row>
    <row r="153" spans="1:65" ht="20.100000000000001" customHeight="1" thickBot="1" x14ac:dyDescent="0.5">
      <c r="B153" s="111"/>
      <c r="C153" s="31"/>
      <c r="D153" s="31"/>
      <c r="E153" s="31"/>
      <c r="F153" s="31"/>
      <c r="G153" s="112"/>
      <c r="H153" s="147" t="s">
        <v>187</v>
      </c>
      <c r="I153" s="148"/>
      <c r="J153" s="147" t="s">
        <v>245</v>
      </c>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8"/>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115"/>
    </row>
    <row r="154" spans="1:65" ht="20.100000000000001" customHeight="1" x14ac:dyDescent="0.45">
      <c r="A154" s="165"/>
      <c r="B154" s="179" t="s">
        <v>325</v>
      </c>
      <c r="C154" s="180"/>
      <c r="D154" s="180"/>
      <c r="E154" s="180"/>
      <c r="F154" s="180"/>
      <c r="G154" s="181"/>
      <c r="H154" s="182" t="s">
        <v>150</v>
      </c>
      <c r="I154" s="183"/>
      <c r="J154" s="182" t="s">
        <v>158</v>
      </c>
      <c r="K154" s="184"/>
      <c r="L154" s="184"/>
      <c r="M154" s="184"/>
      <c r="N154" s="184"/>
      <c r="O154" s="184"/>
      <c r="P154" s="184"/>
      <c r="Q154" s="185"/>
      <c r="R154" s="184" t="s">
        <v>321</v>
      </c>
      <c r="S154" s="184"/>
      <c r="T154" s="184"/>
      <c r="U154" s="184"/>
      <c r="V154" s="184"/>
      <c r="W154" s="184"/>
      <c r="X154" s="184"/>
      <c r="Y154" s="184"/>
      <c r="Z154" s="184"/>
      <c r="AA154" s="184"/>
      <c r="AB154" s="184"/>
      <c r="AC154" s="184"/>
      <c r="AD154" s="184"/>
      <c r="AE154" s="184"/>
      <c r="AF154" s="184"/>
      <c r="AG154" s="184"/>
      <c r="AH154" s="184"/>
      <c r="AI154" s="184"/>
      <c r="AJ154" s="185"/>
      <c r="AK154" s="184"/>
      <c r="AL154" s="184"/>
      <c r="AM154" s="184"/>
      <c r="AN154" s="184"/>
      <c r="AO154" s="184"/>
      <c r="AP154" s="184"/>
      <c r="AQ154" s="184"/>
      <c r="AR154" s="184"/>
      <c r="AS154" s="184"/>
      <c r="AT154" s="184"/>
      <c r="AU154" s="184"/>
      <c r="AV154" s="184"/>
      <c r="AW154" s="184"/>
      <c r="AX154" s="184"/>
      <c r="AY154" s="184"/>
      <c r="AZ154" s="184"/>
      <c r="BA154" s="184"/>
      <c r="BB154" s="184"/>
      <c r="BC154" s="184"/>
      <c r="BD154" s="184"/>
      <c r="BE154" s="184"/>
      <c r="BF154" s="184"/>
      <c r="BG154" s="184"/>
      <c r="BH154" s="184"/>
      <c r="BI154" s="186"/>
      <c r="BJ154" s="165"/>
      <c r="BK154" s="165"/>
      <c r="BL154" s="165"/>
      <c r="BM154" s="165"/>
    </row>
    <row r="155" spans="1:65" ht="20.100000000000001" customHeight="1" x14ac:dyDescent="0.45">
      <c r="A155" s="165"/>
      <c r="B155" s="187" t="s">
        <v>322</v>
      </c>
      <c r="C155" s="165"/>
      <c r="D155" s="165"/>
      <c r="E155" s="165"/>
      <c r="F155" s="165"/>
      <c r="G155" s="170"/>
      <c r="H155" s="176" t="s">
        <v>117</v>
      </c>
      <c r="I155" s="188"/>
      <c r="J155" s="176" t="s">
        <v>119</v>
      </c>
      <c r="K155" s="177"/>
      <c r="L155" s="177"/>
      <c r="M155" s="174"/>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3"/>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5"/>
      <c r="BJ155" s="165"/>
      <c r="BK155" s="165"/>
      <c r="BL155" s="165"/>
      <c r="BM155" s="165"/>
    </row>
    <row r="156" spans="1:65" ht="20.100000000000001" customHeight="1" x14ac:dyDescent="0.45">
      <c r="A156" s="165"/>
      <c r="B156" s="187"/>
      <c r="C156" s="165"/>
      <c r="D156" s="165"/>
      <c r="E156" s="165"/>
      <c r="F156" s="165"/>
      <c r="G156" s="170"/>
      <c r="H156" s="189" t="s">
        <v>122</v>
      </c>
      <c r="I156" s="173"/>
      <c r="J156" s="174"/>
      <c r="K156" s="174"/>
      <c r="L156" s="174"/>
      <c r="M156" s="174"/>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3"/>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5"/>
      <c r="BJ156" s="165"/>
      <c r="BK156" s="165"/>
      <c r="BL156" s="165"/>
      <c r="BM156" s="165"/>
    </row>
    <row r="157" spans="1:65" ht="20.100000000000001" customHeight="1" x14ac:dyDescent="0.45">
      <c r="A157" s="165"/>
      <c r="B157" s="187"/>
      <c r="C157" s="165"/>
      <c r="D157" s="165"/>
      <c r="E157" s="165"/>
      <c r="F157" s="165"/>
      <c r="G157" s="170"/>
      <c r="H157" s="166" t="s">
        <v>132</v>
      </c>
      <c r="I157" s="167"/>
      <c r="J157" s="165"/>
      <c r="K157" s="168" t="s">
        <v>323</v>
      </c>
      <c r="L157" s="168"/>
      <c r="M157" s="168"/>
      <c r="N157" s="168"/>
      <c r="O157" s="168"/>
      <c r="P157" s="168"/>
      <c r="Q157" s="168"/>
      <c r="R157" s="168"/>
      <c r="S157" s="168"/>
      <c r="T157" s="165"/>
      <c r="U157" s="165"/>
      <c r="V157" s="165"/>
      <c r="W157" s="165"/>
      <c r="X157" s="165"/>
      <c r="Y157" s="165"/>
      <c r="Z157" s="165"/>
      <c r="AA157" s="165"/>
      <c r="AB157" s="165"/>
      <c r="AC157" s="165"/>
      <c r="AD157" s="165"/>
      <c r="AE157" s="165"/>
      <c r="AF157" s="165"/>
      <c r="AG157" s="165"/>
      <c r="AH157" s="165"/>
      <c r="AI157" s="165"/>
      <c r="AJ157" s="170"/>
      <c r="AK157" s="165"/>
      <c r="AL157" s="165"/>
      <c r="AM157" s="165"/>
      <c r="AN157" s="165"/>
      <c r="AO157" s="165"/>
      <c r="AP157" s="165"/>
      <c r="AQ157" s="165"/>
      <c r="AR157" s="165"/>
      <c r="AS157" s="165"/>
      <c r="AT157" s="165"/>
      <c r="AU157" s="165"/>
      <c r="AV157" s="165"/>
      <c r="AW157" s="165"/>
      <c r="AX157" s="165"/>
      <c r="AY157" s="165"/>
      <c r="AZ157" s="165"/>
      <c r="BA157" s="165"/>
      <c r="BB157" s="165"/>
      <c r="BC157" s="165"/>
      <c r="BD157" s="165"/>
      <c r="BE157" s="165"/>
      <c r="BF157" s="165"/>
      <c r="BG157" s="165"/>
      <c r="BH157" s="165"/>
      <c r="BI157" s="171"/>
      <c r="BJ157" s="165"/>
      <c r="BK157" s="165"/>
      <c r="BL157" s="165"/>
      <c r="BM157" s="165"/>
    </row>
    <row r="158" spans="1:65" ht="20.100000000000001" customHeight="1" thickBot="1" x14ac:dyDescent="0.5">
      <c r="A158" s="165"/>
      <c r="B158" s="187"/>
      <c r="C158" s="165"/>
      <c r="D158" s="165"/>
      <c r="E158" s="165"/>
      <c r="F158" s="165"/>
      <c r="G158" s="170"/>
      <c r="H158" s="172"/>
      <c r="I158" s="173"/>
      <c r="J158" s="174" t="s">
        <v>185</v>
      </c>
      <c r="K158" s="174" t="s">
        <v>324</v>
      </c>
      <c r="L158" s="174"/>
      <c r="M158" s="174"/>
      <c r="N158" s="174"/>
      <c r="O158" s="174"/>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3"/>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5"/>
      <c r="BJ158" s="165"/>
      <c r="BK158" s="165"/>
      <c r="BL158" s="165"/>
      <c r="BM158" s="165"/>
    </row>
    <row r="159" spans="1:65" ht="20.100000000000001" customHeight="1" x14ac:dyDescent="0.45">
      <c r="B159" s="146" t="s">
        <v>246</v>
      </c>
      <c r="C159" s="106"/>
      <c r="D159" s="106"/>
      <c r="E159" s="106"/>
      <c r="F159" s="106"/>
      <c r="G159" s="107"/>
      <c r="H159" s="108" t="s">
        <v>229</v>
      </c>
      <c r="I159" s="107"/>
      <c r="J159" s="136" t="s">
        <v>156</v>
      </c>
      <c r="K159" s="137"/>
      <c r="L159" s="137"/>
      <c r="M159" s="137"/>
      <c r="N159" s="137"/>
      <c r="O159" s="137"/>
      <c r="P159" s="137"/>
      <c r="Q159" s="138"/>
      <c r="R159" s="136" t="s">
        <v>248</v>
      </c>
      <c r="S159" s="137"/>
      <c r="T159" s="137"/>
      <c r="U159" s="137"/>
      <c r="V159" s="137"/>
      <c r="W159" s="137"/>
      <c r="X159" s="137"/>
      <c r="Y159" s="137"/>
      <c r="Z159" s="137"/>
      <c r="AA159" s="137"/>
      <c r="AB159" s="137"/>
      <c r="AC159" s="137"/>
      <c r="AD159" s="137"/>
      <c r="AE159" s="137"/>
      <c r="AF159" s="137"/>
      <c r="AG159" s="137"/>
      <c r="AH159" s="137"/>
      <c r="AI159" s="137"/>
      <c r="AJ159" s="138"/>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10"/>
    </row>
    <row r="160" spans="1:65" ht="20.100000000000001" customHeight="1" x14ac:dyDescent="0.45">
      <c r="B160" s="111" t="s">
        <v>247</v>
      </c>
      <c r="C160" s="31"/>
      <c r="D160" s="31"/>
      <c r="E160" s="31"/>
      <c r="F160" s="31"/>
      <c r="G160" s="112"/>
      <c r="H160" s="113"/>
      <c r="I160" s="112"/>
      <c r="J160" s="140" t="s">
        <v>195</v>
      </c>
      <c r="K160" s="52"/>
      <c r="L160" s="52"/>
      <c r="M160" s="52"/>
      <c r="N160" s="52"/>
      <c r="O160" s="52"/>
      <c r="P160" s="52"/>
      <c r="Q160" s="141"/>
      <c r="R160" s="140" t="s">
        <v>249</v>
      </c>
      <c r="S160" s="52"/>
      <c r="T160" s="52"/>
      <c r="U160" s="52"/>
      <c r="V160" s="52"/>
      <c r="W160" s="52"/>
      <c r="X160" s="52"/>
      <c r="Y160" s="52"/>
      <c r="Z160" s="52"/>
      <c r="AA160" s="52"/>
      <c r="AB160" s="52"/>
      <c r="AC160" s="52"/>
      <c r="AD160" s="52"/>
      <c r="AE160" s="52"/>
      <c r="AF160" s="52"/>
      <c r="AG160" s="52"/>
      <c r="AH160" s="52"/>
      <c r="AI160" s="52"/>
      <c r="AJ160" s="14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115"/>
    </row>
    <row r="161" spans="2:61" ht="20.100000000000001" customHeight="1" x14ac:dyDescent="0.45">
      <c r="B161" s="111"/>
      <c r="C161" s="31"/>
      <c r="D161" s="31"/>
      <c r="E161" s="31"/>
      <c r="F161" s="31"/>
      <c r="G161" s="112"/>
      <c r="H161" s="113"/>
      <c r="I161" s="112"/>
      <c r="J161" s="140" t="s">
        <v>159</v>
      </c>
      <c r="K161" s="52"/>
      <c r="L161" s="52"/>
      <c r="M161" s="52"/>
      <c r="N161" s="52"/>
      <c r="O161" s="52"/>
      <c r="P161" s="52"/>
      <c r="Q161" s="141"/>
      <c r="R161" s="140" t="s">
        <v>250</v>
      </c>
      <c r="S161" s="52"/>
      <c r="T161" s="52"/>
      <c r="U161" s="52"/>
      <c r="V161" s="52"/>
      <c r="W161" s="52"/>
      <c r="X161" s="52"/>
      <c r="Y161" s="52"/>
      <c r="Z161" s="52"/>
      <c r="AA161" s="52"/>
      <c r="AB161" s="52"/>
      <c r="AC161" s="52"/>
      <c r="AD161" s="52"/>
      <c r="AE161" s="52"/>
      <c r="AF161" s="52"/>
      <c r="AG161" s="52"/>
      <c r="AH161" s="52"/>
      <c r="AI161" s="52"/>
      <c r="AJ161" s="14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115"/>
    </row>
    <row r="162" spans="2:61" ht="20.100000000000001" customHeight="1" x14ac:dyDescent="0.45">
      <c r="B162" s="111"/>
      <c r="C162" s="31"/>
      <c r="D162" s="31"/>
      <c r="E162" s="31"/>
      <c r="F162" s="31"/>
      <c r="G162" s="112"/>
      <c r="H162" s="113"/>
      <c r="I162" s="112"/>
      <c r="J162" s="140" t="s">
        <v>161</v>
      </c>
      <c r="K162" s="52"/>
      <c r="L162" s="52"/>
      <c r="M162" s="52"/>
      <c r="N162" s="52"/>
      <c r="O162" s="52"/>
      <c r="P162" s="52"/>
      <c r="Q162" s="141"/>
      <c r="R162" s="140" t="s">
        <v>251</v>
      </c>
      <c r="S162" s="52"/>
      <c r="T162" s="52"/>
      <c r="U162" s="52"/>
      <c r="V162" s="52"/>
      <c r="W162" s="52"/>
      <c r="X162" s="52"/>
      <c r="Y162" s="52"/>
      <c r="Z162" s="52"/>
      <c r="AA162" s="52"/>
      <c r="AB162" s="52"/>
      <c r="AC162" s="52"/>
      <c r="AD162" s="52"/>
      <c r="AE162" s="52"/>
      <c r="AF162" s="52"/>
      <c r="AG162" s="52"/>
      <c r="AH162" s="52"/>
      <c r="AI162" s="52"/>
      <c r="AJ162" s="14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115"/>
    </row>
    <row r="163" spans="2:61" ht="20.100000000000001" customHeight="1" x14ac:dyDescent="0.45">
      <c r="B163" s="111"/>
      <c r="C163" s="31"/>
      <c r="D163" s="31"/>
      <c r="E163" s="31"/>
      <c r="F163" s="31"/>
      <c r="G163" s="112"/>
      <c r="H163" s="113"/>
      <c r="I163" s="112"/>
      <c r="J163" s="140" t="s">
        <v>163</v>
      </c>
      <c r="K163" s="52"/>
      <c r="L163" s="52"/>
      <c r="M163" s="52"/>
      <c r="N163" s="52"/>
      <c r="O163" s="52"/>
      <c r="P163" s="52"/>
      <c r="Q163" s="141"/>
      <c r="R163" s="140" t="s">
        <v>252</v>
      </c>
      <c r="S163" s="52"/>
      <c r="T163" s="52"/>
      <c r="U163" s="52"/>
      <c r="V163" s="52"/>
      <c r="W163" s="52"/>
      <c r="X163" s="52"/>
      <c r="Y163" s="52"/>
      <c r="Z163" s="52"/>
      <c r="AA163" s="52"/>
      <c r="AB163" s="52"/>
      <c r="AC163" s="52"/>
      <c r="AD163" s="52"/>
      <c r="AE163" s="52"/>
      <c r="AF163" s="52"/>
      <c r="AG163" s="52"/>
      <c r="AH163" s="52"/>
      <c r="AI163" s="52"/>
      <c r="AJ163" s="14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115"/>
    </row>
    <row r="164" spans="2:61" ht="20.100000000000001" customHeight="1" x14ac:dyDescent="0.45">
      <c r="B164" s="111"/>
      <c r="C164" s="31"/>
      <c r="D164" s="31"/>
      <c r="E164" s="31"/>
      <c r="F164" s="31"/>
      <c r="G164" s="112"/>
      <c r="H164" s="113"/>
      <c r="I164" s="112"/>
      <c r="J164" s="140" t="s">
        <v>165</v>
      </c>
      <c r="K164" s="52"/>
      <c r="L164" s="52"/>
      <c r="M164" s="52"/>
      <c r="N164" s="52"/>
      <c r="O164" s="52"/>
      <c r="P164" s="52"/>
      <c r="Q164" s="141"/>
      <c r="R164" s="140" t="s">
        <v>253</v>
      </c>
      <c r="S164" s="52"/>
      <c r="T164" s="52"/>
      <c r="U164" s="52"/>
      <c r="V164" s="52"/>
      <c r="W164" s="52"/>
      <c r="X164" s="52"/>
      <c r="Y164" s="52"/>
      <c r="Z164" s="52"/>
      <c r="AA164" s="52"/>
      <c r="AB164" s="52"/>
      <c r="AC164" s="52"/>
      <c r="AD164" s="52"/>
      <c r="AE164" s="52"/>
      <c r="AF164" s="52"/>
      <c r="AG164" s="52"/>
      <c r="AH164" s="52"/>
      <c r="AI164" s="52"/>
      <c r="AJ164" s="14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115"/>
    </row>
    <row r="165" spans="2:61" ht="20.100000000000001" customHeight="1" x14ac:dyDescent="0.45">
      <c r="B165" s="111"/>
      <c r="C165" s="31"/>
      <c r="D165" s="31"/>
      <c r="E165" s="31"/>
      <c r="F165" s="31"/>
      <c r="G165" s="112"/>
      <c r="H165" s="113"/>
      <c r="I165" s="112"/>
      <c r="J165" s="140" t="s">
        <v>167</v>
      </c>
      <c r="K165" s="52"/>
      <c r="L165" s="52"/>
      <c r="M165" s="52"/>
      <c r="N165" s="52"/>
      <c r="O165" s="52"/>
      <c r="P165" s="52"/>
      <c r="Q165" s="141"/>
      <c r="R165" s="140" t="s">
        <v>296</v>
      </c>
      <c r="S165" s="52"/>
      <c r="T165" s="52"/>
      <c r="U165" s="52"/>
      <c r="V165" s="52"/>
      <c r="W165" s="52"/>
      <c r="X165" s="52"/>
      <c r="Y165" s="52"/>
      <c r="Z165" s="52"/>
      <c r="AA165" s="52"/>
      <c r="AB165" s="52"/>
      <c r="AC165" s="52"/>
      <c r="AD165" s="52"/>
      <c r="AE165" s="52"/>
      <c r="AF165" s="52"/>
      <c r="AG165" s="52"/>
      <c r="AH165" s="52"/>
      <c r="AI165" s="52"/>
      <c r="AJ165" s="14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115"/>
    </row>
    <row r="166" spans="2:61" ht="20.100000000000001" customHeight="1" x14ac:dyDescent="0.45">
      <c r="B166" s="111"/>
      <c r="C166" s="31"/>
      <c r="D166" s="31"/>
      <c r="E166" s="31"/>
      <c r="F166" s="31"/>
      <c r="G166" s="112"/>
      <c r="H166" s="113"/>
      <c r="I166" s="112"/>
      <c r="J166" s="140" t="s">
        <v>168</v>
      </c>
      <c r="K166" s="52"/>
      <c r="L166" s="52"/>
      <c r="M166" s="52"/>
      <c r="N166" s="52"/>
      <c r="O166" s="52"/>
      <c r="P166" s="52"/>
      <c r="Q166" s="141"/>
      <c r="R166" s="140" t="s">
        <v>254</v>
      </c>
      <c r="S166" s="52"/>
      <c r="T166" s="52"/>
      <c r="U166" s="52"/>
      <c r="V166" s="52"/>
      <c r="W166" s="52"/>
      <c r="X166" s="52"/>
      <c r="Y166" s="52"/>
      <c r="Z166" s="52"/>
      <c r="AA166" s="52"/>
      <c r="AB166" s="52"/>
      <c r="AC166" s="52"/>
      <c r="AD166" s="52"/>
      <c r="AE166" s="52"/>
      <c r="AF166" s="52"/>
      <c r="AG166" s="52"/>
      <c r="AH166" s="52"/>
      <c r="AI166" s="52"/>
      <c r="AJ166" s="14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115"/>
    </row>
    <row r="167" spans="2:61" ht="20.100000000000001" customHeight="1" x14ac:dyDescent="0.45">
      <c r="B167" s="111"/>
      <c r="C167" s="31"/>
      <c r="D167" s="31"/>
      <c r="E167" s="31"/>
      <c r="F167" s="31"/>
      <c r="G167" s="112"/>
      <c r="H167" s="113"/>
      <c r="I167" s="112"/>
      <c r="J167" s="140" t="s">
        <v>204</v>
      </c>
      <c r="K167" s="52"/>
      <c r="L167" s="52"/>
      <c r="M167" s="52"/>
      <c r="N167" s="52"/>
      <c r="O167" s="52"/>
      <c r="P167" s="52"/>
      <c r="Q167" s="141"/>
      <c r="R167" s="140" t="s">
        <v>255</v>
      </c>
      <c r="S167" s="52"/>
      <c r="T167" s="52"/>
      <c r="U167" s="52"/>
      <c r="V167" s="52"/>
      <c r="W167" s="52"/>
      <c r="X167" s="52"/>
      <c r="Y167" s="52"/>
      <c r="Z167" s="52"/>
      <c r="AA167" s="52"/>
      <c r="AB167" s="52"/>
      <c r="AC167" s="52"/>
      <c r="AD167" s="52"/>
      <c r="AE167" s="52"/>
      <c r="AF167" s="52"/>
      <c r="AG167" s="52"/>
      <c r="AH167" s="52"/>
      <c r="AI167" s="52"/>
      <c r="AJ167" s="14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115"/>
    </row>
    <row r="168" spans="2:61" ht="20.100000000000001" customHeight="1" x14ac:dyDescent="0.45">
      <c r="B168" s="111"/>
      <c r="C168" s="31"/>
      <c r="D168" s="31"/>
      <c r="E168" s="31"/>
      <c r="F168" s="31"/>
      <c r="G168" s="112"/>
      <c r="H168" s="113"/>
      <c r="I168" s="112"/>
      <c r="J168" s="140" t="s">
        <v>256</v>
      </c>
      <c r="K168" s="52"/>
      <c r="L168" s="52"/>
      <c r="M168" s="52"/>
      <c r="N168" s="52"/>
      <c r="O168" s="52"/>
      <c r="P168" s="52"/>
      <c r="Q168" s="141"/>
      <c r="R168" s="155" t="s">
        <v>284</v>
      </c>
      <c r="S168" s="52"/>
      <c r="T168" s="52"/>
      <c r="U168" s="52"/>
      <c r="V168" s="52"/>
      <c r="W168" s="52"/>
      <c r="X168" s="52"/>
      <c r="Y168" s="52"/>
      <c r="Z168" s="52"/>
      <c r="AA168" s="52"/>
      <c r="AB168" s="52"/>
      <c r="AC168" s="52"/>
      <c r="AD168" s="52"/>
      <c r="AE168" s="52"/>
      <c r="AF168" s="52"/>
      <c r="AG168" s="52"/>
      <c r="AH168" s="52"/>
      <c r="AI168" s="52"/>
      <c r="AJ168" s="141"/>
      <c r="AK168" s="31" t="s">
        <v>285</v>
      </c>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115"/>
    </row>
    <row r="169" spans="2:61" ht="20.100000000000001" customHeight="1" x14ac:dyDescent="0.45">
      <c r="B169" s="111"/>
      <c r="C169" s="31"/>
      <c r="D169" s="31"/>
      <c r="E169" s="31"/>
      <c r="F169" s="31"/>
      <c r="G169" s="112"/>
      <c r="H169" s="113"/>
      <c r="I169" s="112"/>
      <c r="J169" s="140" t="s">
        <v>261</v>
      </c>
      <c r="K169" s="52"/>
      <c r="L169" s="52"/>
      <c r="M169" s="52"/>
      <c r="N169" s="52"/>
      <c r="O169" s="52"/>
      <c r="P169" s="52"/>
      <c r="Q169" s="141"/>
      <c r="R169" s="140" t="s">
        <v>257</v>
      </c>
      <c r="S169" s="52"/>
      <c r="T169" s="52"/>
      <c r="U169" s="52"/>
      <c r="V169" s="52"/>
      <c r="W169" s="52"/>
      <c r="X169" s="52"/>
      <c r="Y169" s="52"/>
      <c r="Z169" s="52"/>
      <c r="AA169" s="52"/>
      <c r="AB169" s="52"/>
      <c r="AC169" s="52"/>
      <c r="AD169" s="52"/>
      <c r="AE169" s="52"/>
      <c r="AF169" s="52"/>
      <c r="AG169" s="52"/>
      <c r="AH169" s="52"/>
      <c r="AI169" s="52"/>
      <c r="AJ169" s="14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115"/>
    </row>
    <row r="170" spans="2:61" ht="20.100000000000001" customHeight="1" x14ac:dyDescent="0.45">
      <c r="B170" s="111"/>
      <c r="C170" s="31"/>
      <c r="D170" s="31"/>
      <c r="E170" s="31"/>
      <c r="F170" s="31"/>
      <c r="G170" s="112"/>
      <c r="H170" s="113"/>
      <c r="I170" s="112"/>
      <c r="J170" s="140" t="s">
        <v>262</v>
      </c>
      <c r="K170" s="52"/>
      <c r="L170" s="52"/>
      <c r="M170" s="52"/>
      <c r="N170" s="52"/>
      <c r="O170" s="52"/>
      <c r="P170" s="52"/>
      <c r="Q170" s="141"/>
      <c r="R170" s="140" t="s">
        <v>258</v>
      </c>
      <c r="S170" s="52"/>
      <c r="T170" s="52"/>
      <c r="U170" s="52"/>
      <c r="V170" s="52"/>
      <c r="W170" s="52"/>
      <c r="X170" s="52"/>
      <c r="Y170" s="52"/>
      <c r="Z170" s="52"/>
      <c r="AA170" s="52"/>
      <c r="AB170" s="52"/>
      <c r="AC170" s="52"/>
      <c r="AD170" s="52"/>
      <c r="AE170" s="52"/>
      <c r="AF170" s="52"/>
      <c r="AG170" s="52"/>
      <c r="AH170" s="52"/>
      <c r="AI170" s="52"/>
      <c r="AJ170" s="14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115"/>
    </row>
    <row r="171" spans="2:61" ht="20.100000000000001" customHeight="1" x14ac:dyDescent="0.45">
      <c r="B171" s="111"/>
      <c r="C171" s="31"/>
      <c r="D171" s="31"/>
      <c r="E171" s="31"/>
      <c r="F171" s="31"/>
      <c r="G171" s="112"/>
      <c r="H171" s="113"/>
      <c r="I171" s="112"/>
      <c r="J171" s="140" t="s">
        <v>260</v>
      </c>
      <c r="K171" s="52"/>
      <c r="L171" s="52"/>
      <c r="M171" s="52"/>
      <c r="N171" s="52"/>
      <c r="O171" s="52"/>
      <c r="P171" s="52"/>
      <c r="Q171" s="141"/>
      <c r="R171" s="140" t="s">
        <v>259</v>
      </c>
      <c r="S171" s="52"/>
      <c r="T171" s="52"/>
      <c r="U171" s="52"/>
      <c r="V171" s="52"/>
      <c r="W171" s="52"/>
      <c r="X171" s="52"/>
      <c r="Y171" s="52"/>
      <c r="Z171" s="52"/>
      <c r="AA171" s="52"/>
      <c r="AB171" s="52"/>
      <c r="AC171" s="52"/>
      <c r="AD171" s="52"/>
      <c r="AE171" s="52"/>
      <c r="AF171" s="52"/>
      <c r="AG171" s="52"/>
      <c r="AH171" s="52"/>
      <c r="AI171" s="52"/>
      <c r="AJ171" s="14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115"/>
    </row>
    <row r="172" spans="2:61" ht="20.100000000000001" customHeight="1" x14ac:dyDescent="0.45">
      <c r="B172" s="111"/>
      <c r="C172" s="31"/>
      <c r="D172" s="31"/>
      <c r="E172" s="31"/>
      <c r="F172" s="31"/>
      <c r="G172" s="112"/>
      <c r="H172" s="116" t="s">
        <v>203</v>
      </c>
      <c r="I172" s="150"/>
      <c r="J172" s="116" t="s">
        <v>263</v>
      </c>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150"/>
      <c r="AK172" s="55"/>
      <c r="AL172" s="55"/>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118"/>
    </row>
    <row r="173" spans="2:61" ht="20.100000000000001" customHeight="1" x14ac:dyDescent="0.45">
      <c r="B173" s="111"/>
      <c r="C173" s="31"/>
      <c r="D173" s="31"/>
      <c r="E173" s="31"/>
      <c r="F173" s="31"/>
      <c r="G173" s="112"/>
      <c r="H173" s="113"/>
      <c r="I173" s="112"/>
      <c r="J173" s="113" t="s">
        <v>264</v>
      </c>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112"/>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115"/>
    </row>
    <row r="174" spans="2:61" ht="20.100000000000001" customHeight="1" x14ac:dyDescent="0.45">
      <c r="B174" s="111"/>
      <c r="C174" s="31"/>
      <c r="D174" s="31"/>
      <c r="E174" s="31"/>
      <c r="F174" s="31"/>
      <c r="G174" s="112"/>
      <c r="H174" s="113"/>
      <c r="I174" s="112"/>
      <c r="J174" s="113" t="s">
        <v>265</v>
      </c>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112"/>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115"/>
    </row>
    <row r="175" spans="2:61" ht="20.100000000000001" customHeight="1" x14ac:dyDescent="0.45">
      <c r="B175" s="111"/>
      <c r="C175" s="31"/>
      <c r="D175" s="31"/>
      <c r="E175" s="31"/>
      <c r="F175" s="31"/>
      <c r="G175" s="112"/>
      <c r="H175" s="113"/>
      <c r="I175" s="112"/>
      <c r="J175" s="113" t="s">
        <v>266</v>
      </c>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112"/>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115"/>
    </row>
    <row r="176" spans="2:61" ht="20.100000000000001" customHeight="1" x14ac:dyDescent="0.45">
      <c r="B176" s="111"/>
      <c r="C176" s="31"/>
      <c r="D176" s="31"/>
      <c r="E176" s="31"/>
      <c r="F176" s="31"/>
      <c r="G176" s="112"/>
      <c r="H176" s="113"/>
      <c r="I176" s="112"/>
      <c r="J176" s="113" t="s">
        <v>173</v>
      </c>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112"/>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115"/>
    </row>
    <row r="177" spans="2:61" ht="20.100000000000001" customHeight="1" x14ac:dyDescent="0.45">
      <c r="B177" s="111"/>
      <c r="C177" s="31"/>
      <c r="D177" s="31"/>
      <c r="E177" s="31"/>
      <c r="F177" s="31"/>
      <c r="G177" s="112"/>
      <c r="H177" s="113"/>
      <c r="I177" s="112"/>
      <c r="J177" s="113" t="s">
        <v>174</v>
      </c>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112"/>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115"/>
    </row>
    <row r="178" spans="2:61" ht="20.100000000000001" customHeight="1" x14ac:dyDescent="0.45">
      <c r="B178" s="111"/>
      <c r="C178" s="31"/>
      <c r="D178" s="31"/>
      <c r="E178" s="31"/>
      <c r="F178" s="31"/>
      <c r="G178" s="112"/>
      <c r="H178" s="113"/>
      <c r="I178" s="112"/>
      <c r="J178" s="113" t="s">
        <v>267</v>
      </c>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112"/>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115"/>
    </row>
    <row r="179" spans="2:61" ht="20.100000000000001" customHeight="1" x14ac:dyDescent="0.45">
      <c r="B179" s="111"/>
      <c r="C179" s="31"/>
      <c r="D179" s="31"/>
      <c r="E179" s="31"/>
      <c r="F179" s="31"/>
      <c r="G179" s="112"/>
      <c r="H179" s="113"/>
      <c r="I179" s="112"/>
      <c r="J179" s="113" t="s">
        <v>268</v>
      </c>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112"/>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115"/>
    </row>
    <row r="180" spans="2:61" ht="20.100000000000001" customHeight="1" x14ac:dyDescent="0.45">
      <c r="B180" s="111"/>
      <c r="C180" s="31"/>
      <c r="D180" s="31"/>
      <c r="E180" s="31"/>
      <c r="F180" s="31"/>
      <c r="G180" s="112"/>
      <c r="H180" s="116" t="s">
        <v>269</v>
      </c>
      <c r="I180" s="150"/>
      <c r="J180" s="116" t="s">
        <v>270</v>
      </c>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150"/>
      <c r="AK180" s="55"/>
      <c r="AL180" s="55"/>
      <c r="AM180" s="55"/>
      <c r="AN180" s="55"/>
      <c r="AO180" s="55"/>
      <c r="AP180" s="55"/>
      <c r="AQ180" s="55"/>
      <c r="AR180" s="55"/>
      <c r="AS180" s="55"/>
      <c r="AT180" s="55"/>
      <c r="AU180" s="55"/>
      <c r="AV180" s="55"/>
      <c r="AW180" s="55"/>
      <c r="AX180" s="55"/>
      <c r="AY180" s="55"/>
      <c r="AZ180" s="55"/>
      <c r="BA180" s="55"/>
      <c r="BB180" s="55"/>
      <c r="BC180" s="55"/>
      <c r="BD180" s="55"/>
      <c r="BE180" s="55"/>
      <c r="BF180" s="55"/>
      <c r="BG180" s="55"/>
      <c r="BH180" s="55"/>
      <c r="BI180" s="118"/>
    </row>
    <row r="181" spans="2:61" ht="20.100000000000001" customHeight="1" x14ac:dyDescent="0.45">
      <c r="B181" s="111"/>
      <c r="C181" s="31"/>
      <c r="D181" s="31"/>
      <c r="E181" s="31"/>
      <c r="F181" s="31"/>
      <c r="G181" s="112"/>
      <c r="H181" s="31"/>
      <c r="I181" s="112"/>
      <c r="J181" s="113"/>
      <c r="K181" s="31" t="s">
        <v>264</v>
      </c>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112"/>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115"/>
    </row>
    <row r="182" spans="2:61" ht="20.100000000000001" customHeight="1" x14ac:dyDescent="0.45">
      <c r="B182" s="111"/>
      <c r="C182" s="31"/>
      <c r="D182" s="31"/>
      <c r="E182" s="31"/>
      <c r="F182" s="31"/>
      <c r="G182" s="112"/>
      <c r="H182" s="31"/>
      <c r="I182" s="112"/>
      <c r="J182" s="113"/>
      <c r="K182" s="31"/>
      <c r="L182" s="31" t="s">
        <v>272</v>
      </c>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112"/>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115"/>
    </row>
    <row r="183" spans="2:61" ht="20.100000000000001" customHeight="1" x14ac:dyDescent="0.45">
      <c r="B183" s="111"/>
      <c r="C183" s="31"/>
      <c r="D183" s="31"/>
      <c r="E183" s="31"/>
      <c r="F183" s="31"/>
      <c r="G183" s="112"/>
      <c r="H183" s="31"/>
      <c r="I183" s="112"/>
      <c r="J183" s="113" t="s">
        <v>181</v>
      </c>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112"/>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115"/>
    </row>
    <row r="184" spans="2:61" ht="20.100000000000001" customHeight="1" x14ac:dyDescent="0.45">
      <c r="B184" s="111"/>
      <c r="C184" s="31"/>
      <c r="D184" s="31"/>
      <c r="E184" s="31"/>
      <c r="F184" s="31"/>
      <c r="G184" s="112"/>
      <c r="H184" s="31"/>
      <c r="I184" s="112"/>
      <c r="J184" s="113"/>
      <c r="K184" s="31" t="s">
        <v>265</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112"/>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115"/>
    </row>
    <row r="185" spans="2:61" ht="20.100000000000001" customHeight="1" x14ac:dyDescent="0.45">
      <c r="B185" s="111"/>
      <c r="C185" s="31"/>
      <c r="D185" s="31"/>
      <c r="E185" s="31"/>
      <c r="F185" s="31"/>
      <c r="G185" s="112"/>
      <c r="H185" s="31"/>
      <c r="I185" s="112"/>
      <c r="J185" s="113"/>
      <c r="K185" s="31"/>
      <c r="L185" s="31" t="s">
        <v>273</v>
      </c>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112"/>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115"/>
    </row>
    <row r="186" spans="2:61" ht="20.100000000000001" customHeight="1" x14ac:dyDescent="0.45">
      <c r="B186" s="111"/>
      <c r="C186" s="31"/>
      <c r="D186" s="31"/>
      <c r="E186" s="31"/>
      <c r="F186" s="31"/>
      <c r="G186" s="112"/>
      <c r="H186" s="31"/>
      <c r="I186" s="112"/>
      <c r="J186" s="113" t="s">
        <v>181</v>
      </c>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112"/>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115"/>
    </row>
    <row r="187" spans="2:61" ht="20.100000000000001" customHeight="1" x14ac:dyDescent="0.45">
      <c r="B187" s="111"/>
      <c r="C187" s="31"/>
      <c r="D187" s="31"/>
      <c r="E187" s="31"/>
      <c r="F187" s="31"/>
      <c r="G187" s="112"/>
      <c r="H187" s="31"/>
      <c r="I187" s="112"/>
      <c r="J187" s="113"/>
      <c r="K187" s="31" t="s">
        <v>266</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112"/>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115"/>
    </row>
    <row r="188" spans="2:61" ht="20.100000000000001" customHeight="1" x14ac:dyDescent="0.45">
      <c r="B188" s="111"/>
      <c r="C188" s="31"/>
      <c r="D188" s="31"/>
      <c r="E188" s="31"/>
      <c r="F188" s="31"/>
      <c r="G188" s="112"/>
      <c r="H188" s="31"/>
      <c r="I188" s="112"/>
      <c r="J188" s="113"/>
      <c r="K188" s="31"/>
      <c r="L188" s="31" t="s">
        <v>274</v>
      </c>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112"/>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115"/>
    </row>
    <row r="189" spans="2:61" ht="20.100000000000001" customHeight="1" x14ac:dyDescent="0.45">
      <c r="B189" s="111"/>
      <c r="C189" s="31"/>
      <c r="D189" s="31"/>
      <c r="E189" s="31"/>
      <c r="F189" s="31"/>
      <c r="G189" s="112"/>
      <c r="H189" s="31"/>
      <c r="I189" s="112"/>
      <c r="J189" s="113" t="s">
        <v>181</v>
      </c>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112"/>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115"/>
    </row>
    <row r="190" spans="2:61" ht="20.100000000000001" customHeight="1" x14ac:dyDescent="0.45">
      <c r="B190" s="111"/>
      <c r="C190" s="31"/>
      <c r="D190" s="31"/>
      <c r="E190" s="31"/>
      <c r="F190" s="31"/>
      <c r="G190" s="112"/>
      <c r="H190" s="31"/>
      <c r="I190" s="112"/>
      <c r="J190" s="113"/>
      <c r="K190" s="31" t="s">
        <v>173</v>
      </c>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112"/>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115"/>
    </row>
    <row r="191" spans="2:61" ht="20.100000000000001" customHeight="1" x14ac:dyDescent="0.45">
      <c r="B191" s="111"/>
      <c r="C191" s="31"/>
      <c r="D191" s="31"/>
      <c r="E191" s="31"/>
      <c r="F191" s="31"/>
      <c r="G191" s="112"/>
      <c r="H191" s="31"/>
      <c r="I191" s="112"/>
      <c r="J191" s="113"/>
      <c r="K191" s="31"/>
      <c r="L191" s="31" t="s">
        <v>275</v>
      </c>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112"/>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115"/>
    </row>
    <row r="192" spans="2:61" ht="20.100000000000001" customHeight="1" x14ac:dyDescent="0.45">
      <c r="B192" s="111"/>
      <c r="C192" s="31"/>
      <c r="D192" s="31"/>
      <c r="E192" s="31"/>
      <c r="F192" s="31"/>
      <c r="G192" s="112"/>
      <c r="H192" s="31"/>
      <c r="I192" s="112"/>
      <c r="J192" s="113" t="s">
        <v>271</v>
      </c>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112"/>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115"/>
    </row>
    <row r="193" spans="2:61" ht="20.100000000000001" customHeight="1" x14ac:dyDescent="0.45">
      <c r="B193" s="111"/>
      <c r="C193" s="31"/>
      <c r="D193" s="31"/>
      <c r="E193" s="31"/>
      <c r="F193" s="31"/>
      <c r="G193" s="112"/>
      <c r="H193" s="31"/>
      <c r="I193" s="112"/>
      <c r="J193" s="113"/>
      <c r="K193" s="31" t="s">
        <v>174</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112"/>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115"/>
    </row>
    <row r="194" spans="2:61" ht="20.100000000000001" customHeight="1" x14ac:dyDescent="0.45">
      <c r="B194" s="111"/>
      <c r="C194" s="31"/>
      <c r="D194" s="31"/>
      <c r="E194" s="31"/>
      <c r="F194" s="31"/>
      <c r="G194" s="112"/>
      <c r="H194" s="31"/>
      <c r="I194" s="112"/>
      <c r="J194" s="113"/>
      <c r="K194" s="31"/>
      <c r="L194" s="31" t="s">
        <v>276</v>
      </c>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112"/>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115"/>
    </row>
    <row r="195" spans="2:61" ht="20.100000000000001" customHeight="1" x14ac:dyDescent="0.45">
      <c r="B195" s="111"/>
      <c r="C195" s="31"/>
      <c r="D195" s="31"/>
      <c r="E195" s="31"/>
      <c r="F195" s="31"/>
      <c r="G195" s="112"/>
      <c r="H195" s="31"/>
      <c r="I195" s="112"/>
      <c r="J195" s="113" t="s">
        <v>208</v>
      </c>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112"/>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115"/>
    </row>
    <row r="196" spans="2:61" ht="20.100000000000001" customHeight="1" x14ac:dyDescent="0.45">
      <c r="B196" s="111"/>
      <c r="C196" s="31"/>
      <c r="D196" s="31"/>
      <c r="E196" s="31"/>
      <c r="F196" s="31"/>
      <c r="G196" s="112"/>
      <c r="H196" s="31"/>
      <c r="I196" s="112"/>
      <c r="J196" s="113"/>
      <c r="K196" s="31" t="s">
        <v>267</v>
      </c>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112"/>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115"/>
    </row>
    <row r="197" spans="2:61" ht="20.100000000000001" customHeight="1" x14ac:dyDescent="0.45">
      <c r="B197" s="111"/>
      <c r="C197" s="31"/>
      <c r="D197" s="31"/>
      <c r="E197" s="31"/>
      <c r="F197" s="31"/>
      <c r="G197" s="112"/>
      <c r="H197" s="31"/>
      <c r="I197" s="112"/>
      <c r="J197" s="113"/>
      <c r="K197" s="31"/>
      <c r="L197" s="31"/>
      <c r="M197" s="31" t="s">
        <v>277</v>
      </c>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112"/>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115"/>
    </row>
    <row r="198" spans="2:61" ht="20.100000000000001" customHeight="1" x14ac:dyDescent="0.45">
      <c r="B198" s="111"/>
      <c r="C198" s="31"/>
      <c r="D198" s="31"/>
      <c r="E198" s="31"/>
      <c r="F198" s="31"/>
      <c r="G198" s="112"/>
      <c r="H198" s="31"/>
      <c r="I198" s="112"/>
      <c r="J198" s="113"/>
      <c r="K198" s="31"/>
      <c r="L198" s="31" t="s">
        <v>278</v>
      </c>
      <c r="M198" s="31" t="s">
        <v>279</v>
      </c>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112"/>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115"/>
    </row>
    <row r="199" spans="2:61" ht="20.100000000000001" customHeight="1" x14ac:dyDescent="0.45">
      <c r="B199" s="111"/>
      <c r="C199" s="31"/>
      <c r="D199" s="31"/>
      <c r="E199" s="31"/>
      <c r="F199" s="31"/>
      <c r="G199" s="112"/>
      <c r="H199" s="31"/>
      <c r="I199" s="112"/>
      <c r="J199" s="113" t="s">
        <v>208</v>
      </c>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112"/>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115"/>
    </row>
    <row r="200" spans="2:61" ht="20.100000000000001" customHeight="1" x14ac:dyDescent="0.45">
      <c r="B200" s="111"/>
      <c r="C200" s="31"/>
      <c r="D200" s="31"/>
      <c r="E200" s="31"/>
      <c r="F200" s="31"/>
      <c r="G200" s="112"/>
      <c r="H200" s="31"/>
      <c r="I200" s="112"/>
      <c r="J200" s="113"/>
      <c r="K200" s="31" t="s">
        <v>268</v>
      </c>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112"/>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115"/>
    </row>
    <row r="201" spans="2:61" ht="20.100000000000001" customHeight="1" x14ac:dyDescent="0.45">
      <c r="B201" s="111"/>
      <c r="C201" s="31"/>
      <c r="D201" s="31"/>
      <c r="E201" s="31"/>
      <c r="F201" s="31"/>
      <c r="G201" s="112"/>
      <c r="H201" s="149"/>
      <c r="I201" s="112"/>
      <c r="J201" s="113"/>
      <c r="K201" s="31"/>
      <c r="L201" s="31" t="s">
        <v>280</v>
      </c>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112"/>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115"/>
    </row>
    <row r="202" spans="2:61" ht="20.100000000000001" customHeight="1" x14ac:dyDescent="0.45">
      <c r="B202" s="111"/>
      <c r="C202" s="31"/>
      <c r="D202" s="31"/>
      <c r="E202" s="31"/>
      <c r="F202" s="31"/>
      <c r="G202" s="112"/>
      <c r="H202" s="151" t="s">
        <v>154</v>
      </c>
      <c r="I202" s="150"/>
      <c r="J202" s="116" t="s">
        <v>281</v>
      </c>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150"/>
      <c r="AK202" s="55"/>
      <c r="AL202" s="55"/>
      <c r="AM202" s="55"/>
      <c r="AN202" s="55"/>
      <c r="AO202" s="55"/>
      <c r="AP202" s="55"/>
      <c r="AQ202" s="55"/>
      <c r="AR202" s="55"/>
      <c r="AS202" s="55"/>
      <c r="AT202" s="55"/>
      <c r="AU202" s="55"/>
      <c r="AV202" s="55"/>
      <c r="AW202" s="55"/>
      <c r="AX202" s="55"/>
      <c r="AY202" s="55"/>
      <c r="AZ202" s="55"/>
      <c r="BA202" s="55"/>
      <c r="BB202" s="55"/>
      <c r="BC202" s="55"/>
      <c r="BD202" s="55"/>
      <c r="BE202" s="55"/>
      <c r="BF202" s="55"/>
      <c r="BG202" s="55"/>
      <c r="BH202" s="55"/>
      <c r="BI202" s="118"/>
    </row>
    <row r="203" spans="2:61" ht="20.100000000000001" customHeight="1" thickBot="1" x14ac:dyDescent="0.5">
      <c r="B203" s="130"/>
      <c r="C203" s="131"/>
      <c r="D203" s="131"/>
      <c r="E203" s="131"/>
      <c r="F203" s="131"/>
      <c r="G203" s="132"/>
      <c r="H203" s="147" t="s">
        <v>282</v>
      </c>
      <c r="I203" s="148"/>
      <c r="J203" s="147" t="s">
        <v>283</v>
      </c>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8"/>
      <c r="AK203" s="144"/>
      <c r="AL203" s="144"/>
      <c r="AM203" s="144"/>
      <c r="AN203" s="144"/>
      <c r="AO203" s="144"/>
      <c r="AP203" s="144"/>
      <c r="AQ203" s="144"/>
      <c r="AR203" s="144"/>
      <c r="AS203" s="144"/>
      <c r="AT203" s="144"/>
      <c r="AU203" s="144"/>
      <c r="AV203" s="144"/>
      <c r="AW203" s="144"/>
      <c r="AX203" s="144"/>
      <c r="AY203" s="144"/>
      <c r="AZ203" s="144"/>
      <c r="BA203" s="144"/>
      <c r="BB203" s="144"/>
      <c r="BC203" s="144"/>
      <c r="BD203" s="144"/>
      <c r="BE203" s="144"/>
      <c r="BF203" s="144"/>
      <c r="BG203" s="144"/>
      <c r="BH203" s="144"/>
      <c r="BI203" s="145"/>
    </row>
    <row r="204" spans="2:61" ht="20.100000000000001" customHeight="1" x14ac:dyDescent="0.45">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row>
    <row r="205" spans="2:61" ht="20.100000000000001" customHeight="1" x14ac:dyDescent="0.45">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row>
    <row r="206" spans="2:61" ht="20.100000000000001" customHeight="1" x14ac:dyDescent="0.45">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row>
    <row r="207" spans="2:61" ht="20.100000000000001" customHeight="1" x14ac:dyDescent="0.45">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row>
    <row r="208" spans="2:61" ht="20.100000000000001" customHeight="1" x14ac:dyDescent="0.45">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row>
    <row r="209" spans="2:61" ht="20.100000000000001" customHeight="1" x14ac:dyDescent="0.45">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8" scale="61" fitToHeight="10" orientation="landscape" r:id="rId1"/>
  <headerFooter>
    <oddFooter>&amp;R©2024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B1:BM36"/>
  <sheetViews>
    <sheetView showGridLines="0" zoomScaleNormal="100" zoomScaleSheetLayoutView="100" workbookViewId="0">
      <selection activeCell="K12" sqref="K12"/>
    </sheetView>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263" t="s">
        <v>0</v>
      </c>
      <c r="C2" s="258"/>
      <c r="D2" s="258"/>
      <c r="E2" s="258"/>
      <c r="F2" s="258"/>
      <c r="G2" s="258"/>
      <c r="H2" s="258" t="s">
        <v>17</v>
      </c>
      <c r="I2" s="258"/>
      <c r="J2" s="258"/>
      <c r="K2" s="258"/>
      <c r="L2" s="258" t="s">
        <v>1</v>
      </c>
      <c r="M2" s="258"/>
      <c r="N2" s="258"/>
      <c r="O2" s="258"/>
      <c r="P2" s="258"/>
      <c r="Q2" s="258"/>
      <c r="R2" s="258" t="s">
        <v>2</v>
      </c>
      <c r="S2" s="258"/>
      <c r="T2" s="258"/>
      <c r="U2" s="258"/>
      <c r="V2" s="258"/>
      <c r="W2" s="258"/>
      <c r="X2" s="264" t="s">
        <v>3</v>
      </c>
      <c r="Y2" s="265"/>
      <c r="Z2" s="265"/>
      <c r="AA2" s="265"/>
      <c r="AB2" s="265"/>
      <c r="AC2" s="265"/>
      <c r="AD2" s="265"/>
      <c r="AE2" s="265"/>
      <c r="AF2" s="265"/>
      <c r="AG2" s="265"/>
      <c r="AH2" s="265"/>
      <c r="AI2" s="265"/>
      <c r="AJ2" s="266"/>
      <c r="AK2" s="264" t="s">
        <v>32</v>
      </c>
      <c r="AL2" s="265"/>
      <c r="AM2" s="265"/>
      <c r="AN2" s="265"/>
      <c r="AO2" s="265"/>
      <c r="AP2" s="265"/>
      <c r="AQ2" s="265"/>
      <c r="AR2" s="265"/>
      <c r="AS2" s="265"/>
      <c r="AT2" s="265"/>
      <c r="AU2" s="265"/>
      <c r="AV2" s="265"/>
      <c r="AW2" s="266"/>
      <c r="AX2" s="258" t="s">
        <v>5</v>
      </c>
      <c r="AY2" s="258"/>
      <c r="AZ2" s="258"/>
      <c r="BA2" s="258"/>
      <c r="BB2" s="258" t="s">
        <v>4</v>
      </c>
      <c r="BC2" s="258"/>
      <c r="BD2" s="258"/>
      <c r="BE2" s="258"/>
      <c r="BF2" s="258" t="s">
        <v>6</v>
      </c>
      <c r="BG2" s="258"/>
      <c r="BH2" s="258"/>
      <c r="BI2" s="258"/>
      <c r="BJ2" s="258" t="s">
        <v>7</v>
      </c>
      <c r="BK2" s="258"/>
      <c r="BL2" s="258"/>
      <c r="BM2" s="259"/>
    </row>
    <row r="3" spans="2:65" ht="20.100000000000001" customHeight="1" x14ac:dyDescent="0.45">
      <c r="B3" s="267" t="str">
        <f>変更履歴!B3</f>
        <v>受発注システム</v>
      </c>
      <c r="C3" s="201"/>
      <c r="D3" s="201"/>
      <c r="E3" s="201"/>
      <c r="F3" s="201"/>
      <c r="G3" s="201"/>
      <c r="H3" s="201" t="str">
        <f ca="1">変更履歴!H3</f>
        <v>TK0600</v>
      </c>
      <c r="I3" s="201"/>
      <c r="J3" s="201"/>
      <c r="K3" s="201"/>
      <c r="L3" s="201" t="str">
        <f>変更履歴!L3</f>
        <v>受発注</v>
      </c>
      <c r="M3" s="201"/>
      <c r="N3" s="201"/>
      <c r="O3" s="201"/>
      <c r="P3" s="201"/>
      <c r="Q3" s="201"/>
      <c r="R3" s="201" t="str">
        <f ca="1">変更履歴!R3</f>
        <v>帳票設計書</v>
      </c>
      <c r="S3" s="201"/>
      <c r="T3" s="201"/>
      <c r="U3" s="201"/>
      <c r="V3" s="201"/>
      <c r="W3" s="201"/>
      <c r="X3" s="204" t="str">
        <f ca="1">変更履歴!X3</f>
        <v>TK0600_顧客別施工金額実績表_帳票設計書</v>
      </c>
      <c r="Y3" s="205"/>
      <c r="Z3" s="205"/>
      <c r="AA3" s="205"/>
      <c r="AB3" s="205"/>
      <c r="AC3" s="205"/>
      <c r="AD3" s="205"/>
      <c r="AE3" s="205"/>
      <c r="AF3" s="205"/>
      <c r="AG3" s="205"/>
      <c r="AH3" s="205"/>
      <c r="AI3" s="205"/>
      <c r="AJ3" s="206"/>
      <c r="AK3" s="204" t="str">
        <f ca="1">変更履歴!AK3</f>
        <v>顧客別施工金額実績表</v>
      </c>
      <c r="AL3" s="205"/>
      <c r="AM3" s="205"/>
      <c r="AN3" s="205"/>
      <c r="AO3" s="205"/>
      <c r="AP3" s="205"/>
      <c r="AQ3" s="205"/>
      <c r="AR3" s="205"/>
      <c r="AS3" s="205"/>
      <c r="AT3" s="205"/>
      <c r="AU3" s="205"/>
      <c r="AV3" s="205"/>
      <c r="AW3" s="206"/>
      <c r="AX3" s="200">
        <f>変更履歴!AX3</f>
        <v>45581</v>
      </c>
      <c r="AY3" s="200"/>
      <c r="AZ3" s="200"/>
      <c r="BA3" s="200"/>
      <c r="BB3" s="201" t="str">
        <f>変更履歴!BB3</f>
        <v>大谷</v>
      </c>
      <c r="BC3" s="201"/>
      <c r="BD3" s="201"/>
      <c r="BE3" s="201"/>
      <c r="BF3" s="200">
        <f>変更履歴!BF3</f>
        <v>45581</v>
      </c>
      <c r="BG3" s="200"/>
      <c r="BH3" s="200"/>
      <c r="BI3" s="200"/>
      <c r="BJ3" s="201" t="str">
        <f>変更履歴!BJ3</f>
        <v>大谷</v>
      </c>
      <c r="BK3" s="201"/>
      <c r="BL3" s="201"/>
      <c r="BM3" s="256"/>
    </row>
    <row r="4" spans="2:65" ht="20.100000000000001" customHeight="1" thickBot="1" x14ac:dyDescent="0.5">
      <c r="B4" s="268"/>
      <c r="C4" s="255"/>
      <c r="D4" s="255"/>
      <c r="E4" s="255"/>
      <c r="F4" s="255"/>
      <c r="G4" s="255"/>
      <c r="H4" s="255"/>
      <c r="I4" s="255"/>
      <c r="J4" s="255"/>
      <c r="K4" s="255"/>
      <c r="L4" s="255"/>
      <c r="M4" s="255"/>
      <c r="N4" s="255"/>
      <c r="O4" s="255"/>
      <c r="P4" s="255"/>
      <c r="Q4" s="255"/>
      <c r="R4" s="255"/>
      <c r="S4" s="255"/>
      <c r="T4" s="255"/>
      <c r="U4" s="255"/>
      <c r="V4" s="255"/>
      <c r="W4" s="255"/>
      <c r="X4" s="260"/>
      <c r="Y4" s="261"/>
      <c r="Z4" s="261"/>
      <c r="AA4" s="261"/>
      <c r="AB4" s="261"/>
      <c r="AC4" s="261"/>
      <c r="AD4" s="261"/>
      <c r="AE4" s="261"/>
      <c r="AF4" s="261"/>
      <c r="AG4" s="261"/>
      <c r="AH4" s="261"/>
      <c r="AI4" s="261"/>
      <c r="AJ4" s="262"/>
      <c r="AK4" s="260"/>
      <c r="AL4" s="261"/>
      <c r="AM4" s="261"/>
      <c r="AN4" s="261"/>
      <c r="AO4" s="261"/>
      <c r="AP4" s="261"/>
      <c r="AQ4" s="261"/>
      <c r="AR4" s="261"/>
      <c r="AS4" s="261"/>
      <c r="AT4" s="261"/>
      <c r="AU4" s="261"/>
      <c r="AV4" s="261"/>
      <c r="AW4" s="262"/>
      <c r="AX4" s="254"/>
      <c r="AY4" s="254"/>
      <c r="AZ4" s="254"/>
      <c r="BA4" s="254"/>
      <c r="BB4" s="255"/>
      <c r="BC4" s="255"/>
      <c r="BD4" s="255"/>
      <c r="BE4" s="255"/>
      <c r="BF4" s="254"/>
      <c r="BG4" s="254"/>
      <c r="BH4" s="254"/>
      <c r="BI4" s="254"/>
      <c r="BJ4" s="255"/>
      <c r="BK4" s="255"/>
      <c r="BL4" s="255"/>
      <c r="BM4" s="257"/>
    </row>
    <row r="5" spans="2:65" ht="5.0999999999999996" customHeight="1" x14ac:dyDescent="0.45"/>
    <row r="6" spans="2:65" ht="5.0999999999999996" customHeight="1" thickBot="1" x14ac:dyDescent="0.5"/>
    <row r="7" spans="2:65" ht="20.100000000000001" customHeight="1" x14ac:dyDescent="0.45">
      <c r="B7" s="105" t="s">
        <v>116</v>
      </c>
      <c r="C7" s="106"/>
      <c r="D7" s="106"/>
      <c r="E7" s="106"/>
      <c r="F7" s="106"/>
      <c r="G7" s="106"/>
      <c r="H7" s="108" t="s">
        <v>144</v>
      </c>
      <c r="I7" s="107"/>
      <c r="J7" s="142" t="s">
        <v>20</v>
      </c>
      <c r="K7" s="137"/>
      <c r="L7" s="137"/>
      <c r="M7" s="137"/>
      <c r="N7" s="137"/>
      <c r="O7" s="137"/>
      <c r="P7" s="137"/>
      <c r="Q7" s="137"/>
      <c r="R7" s="142" t="s">
        <v>145</v>
      </c>
      <c r="S7" s="137"/>
      <c r="T7" s="137"/>
      <c r="U7" s="137"/>
      <c r="V7" s="137"/>
      <c r="W7" s="137"/>
      <c r="X7" s="137"/>
      <c r="Y7" s="137"/>
      <c r="Z7" s="137"/>
      <c r="AA7" s="137"/>
      <c r="AB7" s="137"/>
      <c r="AC7" s="137"/>
      <c r="AD7" s="137"/>
      <c r="AE7" s="137"/>
      <c r="AF7" s="137"/>
      <c r="AG7" s="137"/>
      <c r="AH7" s="137"/>
      <c r="AI7" s="137"/>
      <c r="AJ7" s="138"/>
      <c r="AK7" s="109"/>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10"/>
      <c r="BJ7" s="29"/>
      <c r="BK7" s="29"/>
      <c r="BL7" s="29"/>
      <c r="BM7" s="29"/>
    </row>
    <row r="8" spans="2:65" ht="20.100000000000001" customHeight="1" x14ac:dyDescent="0.45">
      <c r="B8" s="139"/>
      <c r="C8" s="31"/>
      <c r="D8" s="31"/>
      <c r="E8" s="31"/>
      <c r="F8" s="31"/>
      <c r="G8" s="31"/>
      <c r="H8" s="113"/>
      <c r="I8" s="112"/>
      <c r="J8" s="140" t="s">
        <v>146</v>
      </c>
      <c r="K8" s="52"/>
      <c r="L8" s="52"/>
      <c r="M8" s="52"/>
      <c r="N8" s="52"/>
      <c r="O8" s="52"/>
      <c r="P8" s="52"/>
      <c r="Q8" s="52"/>
      <c r="R8" s="140" t="s">
        <v>147</v>
      </c>
      <c r="S8" s="52"/>
      <c r="T8" s="52"/>
      <c r="U8" s="52"/>
      <c r="V8" s="52"/>
      <c r="W8" s="52"/>
      <c r="X8" s="52"/>
      <c r="Y8" s="52"/>
      <c r="Z8" s="52"/>
      <c r="AA8" s="52"/>
      <c r="AB8" s="52"/>
      <c r="AC8" s="52"/>
      <c r="AD8" s="52"/>
      <c r="AE8" s="52"/>
      <c r="AF8" s="52"/>
      <c r="AG8" s="52"/>
      <c r="AH8" s="52"/>
      <c r="AI8" s="52"/>
      <c r="AJ8" s="141"/>
      <c r="AK8" s="114"/>
      <c r="AL8" s="31"/>
      <c r="AM8" s="31"/>
      <c r="AN8" s="31"/>
      <c r="AO8" s="31"/>
      <c r="AP8" s="31"/>
      <c r="AQ8" s="31"/>
      <c r="AR8" s="31"/>
      <c r="AS8" s="31"/>
      <c r="AT8" s="31"/>
      <c r="AU8" s="31"/>
      <c r="AV8" s="31"/>
      <c r="AW8" s="31"/>
      <c r="AX8" s="31"/>
      <c r="AY8" s="31"/>
      <c r="AZ8" s="31"/>
      <c r="BA8" s="31"/>
      <c r="BB8" s="31"/>
      <c r="BC8" s="31"/>
      <c r="BD8" s="31"/>
      <c r="BE8" s="31"/>
      <c r="BF8" s="31"/>
      <c r="BG8" s="31"/>
      <c r="BH8" s="31"/>
      <c r="BI8" s="115"/>
      <c r="BJ8" s="29"/>
      <c r="BK8" s="29"/>
      <c r="BL8" s="29"/>
      <c r="BM8" s="29"/>
    </row>
    <row r="9" spans="2:65" ht="20.100000000000001" customHeight="1" x14ac:dyDescent="0.45">
      <c r="B9" s="139"/>
      <c r="C9" s="31"/>
      <c r="D9" s="31"/>
      <c r="E9" s="31"/>
      <c r="F9" s="31"/>
      <c r="G9" s="31"/>
      <c r="H9" s="119"/>
      <c r="I9" s="143"/>
      <c r="J9" s="140" t="s">
        <v>148</v>
      </c>
      <c r="K9" s="52"/>
      <c r="L9" s="52"/>
      <c r="M9" s="52"/>
      <c r="N9" s="52"/>
      <c r="O9" s="52"/>
      <c r="P9" s="52"/>
      <c r="Q9" s="52"/>
      <c r="R9" s="140" t="s">
        <v>149</v>
      </c>
      <c r="S9" s="52"/>
      <c r="T9" s="52"/>
      <c r="U9" s="52"/>
      <c r="V9" s="52"/>
      <c r="W9" s="52"/>
      <c r="X9" s="52"/>
      <c r="Y9" s="52"/>
      <c r="Z9" s="52"/>
      <c r="AA9" s="52"/>
      <c r="AB9" s="52"/>
      <c r="AC9" s="52"/>
      <c r="AD9" s="52"/>
      <c r="AE9" s="52"/>
      <c r="AF9" s="52"/>
      <c r="AG9" s="52"/>
      <c r="AH9" s="52"/>
      <c r="AI9" s="52"/>
      <c r="AJ9" s="141"/>
      <c r="AK9" s="121"/>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2"/>
      <c r="BJ9" s="29"/>
      <c r="BK9" s="29"/>
      <c r="BL9" s="29"/>
      <c r="BM9" s="29"/>
    </row>
    <row r="10" spans="2:65" ht="20.100000000000001" customHeight="1" x14ac:dyDescent="0.45">
      <c r="B10" s="139"/>
      <c r="C10" s="31"/>
      <c r="D10" s="31"/>
      <c r="E10" s="31"/>
      <c r="F10" s="31"/>
      <c r="G10" s="112"/>
      <c r="H10" s="113" t="s">
        <v>117</v>
      </c>
      <c r="I10" s="31"/>
      <c r="J10" s="127" t="s">
        <v>118</v>
      </c>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14"/>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115"/>
      <c r="BJ10" s="29"/>
      <c r="BK10" s="29"/>
      <c r="BL10" s="29"/>
      <c r="BM10" s="29"/>
    </row>
    <row r="11" spans="2:65" ht="20.100000000000001" customHeight="1" x14ac:dyDescent="0.45">
      <c r="B11" s="111"/>
      <c r="C11" s="31"/>
      <c r="D11" s="31"/>
      <c r="E11" s="31"/>
      <c r="F11" s="31"/>
      <c r="G11" s="112"/>
      <c r="H11" s="113"/>
      <c r="I11" s="31"/>
      <c r="J11" s="113" t="s">
        <v>119</v>
      </c>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114"/>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115"/>
      <c r="BJ11" s="29"/>
      <c r="BK11" s="29"/>
      <c r="BL11" s="29"/>
      <c r="BM11" s="29"/>
    </row>
    <row r="12" spans="2:65" ht="20.100000000000001" customHeight="1" x14ac:dyDescent="0.45">
      <c r="B12" s="111"/>
      <c r="C12" s="31"/>
      <c r="D12" s="31"/>
      <c r="E12" s="31"/>
      <c r="F12" s="31"/>
      <c r="G12" s="112"/>
      <c r="H12" s="113"/>
      <c r="I12" s="31"/>
      <c r="J12" s="113" t="s">
        <v>120</v>
      </c>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114"/>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115"/>
      <c r="BJ12" s="29"/>
      <c r="BK12" s="29"/>
      <c r="BL12" s="29"/>
      <c r="BM12" s="29"/>
    </row>
    <row r="13" spans="2:65" ht="20.100000000000001" customHeight="1" x14ac:dyDescent="0.45">
      <c r="B13" s="111"/>
      <c r="C13" s="31"/>
      <c r="D13" s="31"/>
      <c r="E13" s="31"/>
      <c r="F13" s="31"/>
      <c r="G13" s="112"/>
      <c r="H13" s="113"/>
      <c r="I13" s="31"/>
      <c r="J13" s="113" t="s">
        <v>121</v>
      </c>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114"/>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115"/>
      <c r="BJ13" s="29"/>
      <c r="BK13" s="29"/>
      <c r="BL13" s="29"/>
      <c r="BM13" s="29"/>
    </row>
    <row r="14" spans="2:65" ht="20.100000000000001" customHeight="1" x14ac:dyDescent="0.45">
      <c r="B14" s="111"/>
      <c r="C14" s="31"/>
      <c r="D14" s="31"/>
      <c r="E14" s="31"/>
      <c r="F14" s="31"/>
      <c r="G14" s="112"/>
      <c r="H14" s="116" t="s">
        <v>122</v>
      </c>
      <c r="I14" s="55"/>
      <c r="J14" s="123" t="s">
        <v>123</v>
      </c>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117"/>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118"/>
      <c r="BJ14" s="29"/>
      <c r="BK14" s="29"/>
      <c r="BL14" s="29"/>
      <c r="BM14" s="29"/>
    </row>
    <row r="15" spans="2:65" ht="20.100000000000001" customHeight="1" x14ac:dyDescent="0.45">
      <c r="B15" s="111"/>
      <c r="C15" s="31"/>
      <c r="D15" s="31"/>
      <c r="E15" s="31"/>
      <c r="F15" s="31"/>
      <c r="G15" s="112"/>
      <c r="H15" s="113"/>
      <c r="I15" s="31"/>
      <c r="J15" s="124"/>
      <c r="K15" s="125" t="s">
        <v>124</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114"/>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115"/>
      <c r="BJ15" s="29"/>
      <c r="BK15" s="29"/>
      <c r="BL15" s="29"/>
      <c r="BM15" s="29"/>
    </row>
    <row r="16" spans="2:65" ht="20.100000000000001" customHeight="1" x14ac:dyDescent="0.45">
      <c r="B16" s="111"/>
      <c r="C16" s="31"/>
      <c r="D16" s="31"/>
      <c r="E16" s="31"/>
      <c r="F16" s="31"/>
      <c r="G16" s="112"/>
      <c r="H16" s="113"/>
      <c r="I16" s="31"/>
      <c r="J16" s="113"/>
      <c r="K16" s="29"/>
      <c r="L16" s="126"/>
      <c r="M16" s="125" t="s">
        <v>125</v>
      </c>
      <c r="N16" s="31"/>
      <c r="O16" s="31"/>
      <c r="P16" s="31"/>
      <c r="Q16" s="31"/>
      <c r="R16" s="31"/>
      <c r="S16" s="31"/>
      <c r="T16" s="31"/>
      <c r="U16" s="31"/>
      <c r="V16" s="31"/>
      <c r="W16" s="31"/>
      <c r="X16" s="31"/>
      <c r="Y16" s="31"/>
      <c r="Z16" s="31"/>
      <c r="AA16" s="31"/>
      <c r="AB16" s="31"/>
      <c r="AC16" s="31"/>
      <c r="AD16" s="31"/>
      <c r="AE16" s="31"/>
      <c r="AF16" s="31"/>
      <c r="AG16" s="31"/>
      <c r="AH16" s="31"/>
      <c r="AI16" s="31"/>
      <c r="AJ16" s="31"/>
      <c r="AK16" s="114"/>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115"/>
      <c r="BJ16" s="29"/>
      <c r="BK16" s="29"/>
      <c r="BL16" s="29"/>
      <c r="BM16" s="29"/>
    </row>
    <row r="17" spans="2:65" ht="20.100000000000001" customHeight="1" x14ac:dyDescent="0.45">
      <c r="B17" s="111"/>
      <c r="C17" s="31"/>
      <c r="D17" s="31"/>
      <c r="E17" s="31"/>
      <c r="F17" s="31"/>
      <c r="G17" s="112"/>
      <c r="H17" s="113"/>
      <c r="I17" s="31"/>
      <c r="J17" s="113"/>
      <c r="K17" s="29"/>
      <c r="L17" s="126" t="s">
        <v>126</v>
      </c>
      <c r="M17" s="125" t="s">
        <v>125</v>
      </c>
      <c r="N17" s="31"/>
      <c r="O17" s="31"/>
      <c r="P17" s="31"/>
      <c r="Q17" s="31"/>
      <c r="R17" s="31"/>
      <c r="S17" s="31"/>
      <c r="T17" s="31"/>
      <c r="U17" s="31"/>
      <c r="V17" s="31"/>
      <c r="W17" s="31"/>
      <c r="X17" s="31"/>
      <c r="Y17" s="31"/>
      <c r="Z17" s="31"/>
      <c r="AA17" s="31"/>
      <c r="AB17" s="31"/>
      <c r="AC17" s="31"/>
      <c r="AD17" s="31"/>
      <c r="AE17" s="31"/>
      <c r="AF17" s="31"/>
      <c r="AG17" s="31"/>
      <c r="AH17" s="31"/>
      <c r="AI17" s="31"/>
      <c r="AJ17" s="31"/>
      <c r="AK17" s="114"/>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115"/>
      <c r="BJ17" s="29"/>
      <c r="BK17" s="29"/>
      <c r="BL17" s="29"/>
      <c r="BM17" s="29"/>
    </row>
    <row r="18" spans="2:65" ht="20.100000000000001" customHeight="1" x14ac:dyDescent="0.45">
      <c r="B18" s="111"/>
      <c r="C18" s="31"/>
      <c r="D18" s="31"/>
      <c r="E18" s="31"/>
      <c r="F18" s="31"/>
      <c r="G18" s="112"/>
      <c r="H18" s="113"/>
      <c r="I18" s="31"/>
      <c r="J18" s="113"/>
      <c r="K18" s="29"/>
      <c r="L18" s="126" t="s">
        <v>127</v>
      </c>
      <c r="M18" s="125" t="s">
        <v>125</v>
      </c>
      <c r="N18" s="31"/>
      <c r="O18" s="31"/>
      <c r="P18" s="31"/>
      <c r="Q18" s="31"/>
      <c r="R18" s="31"/>
      <c r="S18" s="31"/>
      <c r="T18" s="31"/>
      <c r="U18" s="31"/>
      <c r="V18" s="31"/>
      <c r="W18" s="31"/>
      <c r="X18" s="31"/>
      <c r="Y18" s="31"/>
      <c r="Z18" s="31"/>
      <c r="AA18" s="31"/>
      <c r="AB18" s="31"/>
      <c r="AC18" s="31"/>
      <c r="AD18" s="31"/>
      <c r="AE18" s="31"/>
      <c r="AF18" s="31"/>
      <c r="AG18" s="31"/>
      <c r="AH18" s="31"/>
      <c r="AI18" s="31"/>
      <c r="AJ18" s="31"/>
      <c r="AK18" s="114"/>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115"/>
      <c r="BJ18" s="29"/>
      <c r="BK18" s="29"/>
      <c r="BL18" s="29"/>
      <c r="BM18" s="29"/>
    </row>
    <row r="19" spans="2:65" ht="20.100000000000001" customHeight="1" x14ac:dyDescent="0.45">
      <c r="B19" s="111"/>
      <c r="C19" s="31"/>
      <c r="D19" s="31"/>
      <c r="E19" s="31"/>
      <c r="F19" s="31"/>
      <c r="G19" s="112"/>
      <c r="H19" s="113"/>
      <c r="I19" s="31"/>
      <c r="J19" s="113" t="s">
        <v>128</v>
      </c>
      <c r="K19" s="126"/>
      <c r="L19" s="125"/>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114"/>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115"/>
      <c r="BJ19" s="29"/>
      <c r="BK19" s="29"/>
      <c r="BL19" s="29"/>
      <c r="BM19" s="29"/>
    </row>
    <row r="20" spans="2:65" ht="20.100000000000001" customHeight="1" x14ac:dyDescent="0.45">
      <c r="B20" s="111"/>
      <c r="C20" s="31"/>
      <c r="D20" s="31"/>
      <c r="E20" s="31"/>
      <c r="F20" s="31"/>
      <c r="G20" s="112"/>
      <c r="H20" s="113"/>
      <c r="I20" s="31"/>
      <c r="J20" s="113"/>
      <c r="K20" s="31" t="s">
        <v>129</v>
      </c>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114"/>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115"/>
      <c r="BJ20" s="29"/>
      <c r="BK20" s="29"/>
      <c r="BL20" s="29"/>
      <c r="BM20" s="29"/>
    </row>
    <row r="21" spans="2:65" ht="20.100000000000001" customHeight="1" x14ac:dyDescent="0.45">
      <c r="B21" s="111"/>
      <c r="C21" s="31"/>
      <c r="D21" s="31"/>
      <c r="E21" s="31"/>
      <c r="F21" s="31"/>
      <c r="G21" s="112"/>
      <c r="H21" s="113"/>
      <c r="I21" s="31"/>
      <c r="J21" s="113"/>
      <c r="K21" s="29"/>
      <c r="L21" s="31"/>
      <c r="M21" s="31" t="s">
        <v>130</v>
      </c>
      <c r="N21" s="31"/>
      <c r="O21" s="31"/>
      <c r="P21" s="31"/>
      <c r="Q21" s="31"/>
      <c r="R21" s="31"/>
      <c r="S21" s="31"/>
      <c r="T21" s="31"/>
      <c r="U21" s="31"/>
      <c r="V21" s="31"/>
      <c r="W21" s="31"/>
      <c r="X21" s="31"/>
      <c r="Y21" s="31"/>
      <c r="Z21" s="31"/>
      <c r="AA21" s="31"/>
      <c r="AB21" s="31"/>
      <c r="AC21" s="31"/>
      <c r="AD21" s="31"/>
      <c r="AE21" s="31"/>
      <c r="AF21" s="31"/>
      <c r="AG21" s="31"/>
      <c r="AH21" s="31"/>
      <c r="AI21" s="31"/>
      <c r="AJ21" s="31"/>
      <c r="AK21" s="114"/>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115"/>
    </row>
    <row r="22" spans="2:65" ht="20.100000000000001" customHeight="1" x14ac:dyDescent="0.45">
      <c r="B22" s="111"/>
      <c r="C22" s="31"/>
      <c r="D22" s="31"/>
      <c r="E22" s="31"/>
      <c r="F22" s="31"/>
      <c r="G22" s="112"/>
      <c r="H22" s="119"/>
      <c r="I22" s="120"/>
      <c r="J22" s="119"/>
      <c r="K22" s="120"/>
      <c r="L22" s="120" t="s">
        <v>126</v>
      </c>
      <c r="M22" s="120" t="s">
        <v>131</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1"/>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2"/>
    </row>
    <row r="23" spans="2:65" ht="20.100000000000001" customHeight="1" x14ac:dyDescent="0.45">
      <c r="B23" s="111"/>
      <c r="C23" s="31"/>
      <c r="D23" s="31"/>
      <c r="E23" s="31"/>
      <c r="F23" s="31"/>
      <c r="G23" s="112"/>
      <c r="H23" s="113" t="s">
        <v>132</v>
      </c>
      <c r="I23" s="31"/>
      <c r="J23" s="127"/>
      <c r="K23" s="125" t="s">
        <v>133</v>
      </c>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128" t="s">
        <v>134</v>
      </c>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115"/>
    </row>
    <row r="24" spans="2:65" ht="20.100000000000001" customHeight="1" x14ac:dyDescent="0.45">
      <c r="B24" s="111"/>
      <c r="C24" s="31"/>
      <c r="D24" s="31"/>
      <c r="E24" s="31"/>
      <c r="F24" s="31"/>
      <c r="G24" s="112"/>
      <c r="H24" s="113"/>
      <c r="I24" s="31"/>
      <c r="J24" s="127" t="s">
        <v>126</v>
      </c>
      <c r="K24" s="125" t="s">
        <v>135</v>
      </c>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114"/>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115"/>
    </row>
    <row r="25" spans="2:65" ht="20.100000000000001" customHeight="1" x14ac:dyDescent="0.45">
      <c r="B25" s="111"/>
      <c r="C25" s="31"/>
      <c r="D25" s="31"/>
      <c r="E25" s="31"/>
      <c r="F25" s="31"/>
      <c r="G25" s="112"/>
      <c r="H25" s="113"/>
      <c r="I25" s="31"/>
      <c r="J25" s="127" t="s">
        <v>127</v>
      </c>
      <c r="K25" s="125" t="s">
        <v>135</v>
      </c>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114"/>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115"/>
    </row>
    <row r="26" spans="2:65" ht="20.100000000000001" customHeight="1" x14ac:dyDescent="0.45">
      <c r="B26" s="111"/>
      <c r="C26" s="31"/>
      <c r="D26" s="31"/>
      <c r="E26" s="31"/>
      <c r="F26" s="31"/>
      <c r="G26" s="112"/>
      <c r="H26" s="113"/>
      <c r="I26" s="31"/>
      <c r="J26" s="127" t="s">
        <v>136</v>
      </c>
      <c r="K26" s="125"/>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114"/>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115"/>
    </row>
    <row r="27" spans="2:65" ht="20.100000000000001" customHeight="1" x14ac:dyDescent="0.45">
      <c r="B27" s="111"/>
      <c r="C27" s="31"/>
      <c r="D27" s="31"/>
      <c r="E27" s="31"/>
      <c r="F27" s="31"/>
      <c r="G27" s="112"/>
      <c r="H27" s="113"/>
      <c r="I27" s="31"/>
      <c r="J27" s="113"/>
      <c r="K27" s="31" t="s">
        <v>137</v>
      </c>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129" t="s">
        <v>138</v>
      </c>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115"/>
    </row>
    <row r="28" spans="2:65" ht="20.100000000000001" customHeight="1" x14ac:dyDescent="0.45">
      <c r="B28" s="111"/>
      <c r="C28" s="31"/>
      <c r="D28" s="31"/>
      <c r="E28" s="31"/>
      <c r="F28" s="31"/>
      <c r="G28" s="112"/>
      <c r="H28" s="113"/>
      <c r="I28" s="31"/>
      <c r="J28" s="113" t="s">
        <v>126</v>
      </c>
      <c r="K28" s="31" t="s">
        <v>139</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113"/>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115"/>
    </row>
    <row r="29" spans="2:65" ht="20.100000000000001" customHeight="1" x14ac:dyDescent="0.45">
      <c r="B29" s="111"/>
      <c r="C29" s="31"/>
      <c r="D29" s="31"/>
      <c r="E29" s="31"/>
      <c r="F29" s="31"/>
      <c r="G29" s="112"/>
      <c r="H29" s="113"/>
      <c r="I29" s="31"/>
      <c r="J29" s="127"/>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113"/>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115"/>
    </row>
    <row r="30" spans="2:65" ht="20.100000000000001" customHeight="1" x14ac:dyDescent="0.45">
      <c r="B30" s="111"/>
      <c r="C30" s="31"/>
      <c r="D30" s="31"/>
      <c r="E30" s="31"/>
      <c r="F30" s="31"/>
      <c r="G30" s="112"/>
      <c r="H30" s="113"/>
      <c r="I30" s="31"/>
      <c r="J30" s="113"/>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113"/>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115"/>
    </row>
    <row r="31" spans="2:65" ht="20.100000000000001" customHeight="1" x14ac:dyDescent="0.45">
      <c r="B31" s="111"/>
      <c r="C31" s="31"/>
      <c r="D31" s="31"/>
      <c r="E31" s="31"/>
      <c r="F31" s="31"/>
      <c r="G31" s="112"/>
      <c r="H31" s="119"/>
      <c r="I31" s="120"/>
      <c r="J31" s="119"/>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19"/>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2"/>
    </row>
    <row r="32" spans="2:65" ht="20.100000000000001" customHeight="1" x14ac:dyDescent="0.45">
      <c r="B32" s="111"/>
      <c r="C32" s="31"/>
      <c r="D32" s="31"/>
      <c r="E32" s="31"/>
      <c r="F32" s="31"/>
      <c r="G32" s="112"/>
      <c r="H32" s="113" t="s">
        <v>140</v>
      </c>
      <c r="I32" s="31"/>
      <c r="J32" s="127" t="s">
        <v>141</v>
      </c>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113"/>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115"/>
    </row>
    <row r="33" spans="2:61" ht="20.100000000000001" customHeight="1" x14ac:dyDescent="0.45">
      <c r="B33" s="111"/>
      <c r="C33" s="31"/>
      <c r="D33" s="31"/>
      <c r="E33" s="31"/>
      <c r="F33" s="31"/>
      <c r="G33" s="112"/>
      <c r="H33" s="113"/>
      <c r="I33" s="31"/>
      <c r="J33" s="127" t="s">
        <v>142</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113"/>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115"/>
    </row>
    <row r="34" spans="2:61" ht="20.100000000000001" customHeight="1" thickBot="1" x14ac:dyDescent="0.5">
      <c r="B34" s="130"/>
      <c r="C34" s="131"/>
      <c r="D34" s="131"/>
      <c r="E34" s="131"/>
      <c r="F34" s="131"/>
      <c r="G34" s="132"/>
      <c r="H34" s="133"/>
      <c r="I34" s="131"/>
      <c r="J34" s="133"/>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3"/>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4"/>
    </row>
    <row r="35" spans="2:61" ht="20.100000000000001" customHeight="1" x14ac:dyDescent="0.45">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row>
    <row r="36" spans="2:61" ht="20.100000000000001" customHeight="1" x14ac:dyDescent="0.45">
      <c r="B36" s="29"/>
      <c r="C36" s="29"/>
      <c r="D36" s="29"/>
      <c r="E36" s="29"/>
      <c r="F36" s="29"/>
      <c r="G36" s="29"/>
      <c r="H36" s="135" t="s">
        <v>143</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8" scale="72" fitToHeight="10" orientation="landscape" r:id="rId1"/>
  <headerFooter>
    <oddFooter>&amp;R©2024 SMS DataTech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F55"/>
  <sheetViews>
    <sheetView workbookViewId="0"/>
  </sheetViews>
  <sheetFormatPr defaultRowHeight="18" x14ac:dyDescent="0.45"/>
  <cols>
    <col min="1" max="2" width="8.796875" style="29"/>
    <col min="3" max="3" width="26.59765625" style="29" customWidth="1"/>
    <col min="4" max="4" width="35.09765625" style="29" customWidth="1"/>
    <col min="5" max="5" width="106.8984375" style="29" customWidth="1"/>
    <col min="6" max="16384" width="8.796875" style="29"/>
  </cols>
  <sheetData>
    <row r="2" spans="2:6" ht="19.2" thickBot="1" x14ac:dyDescent="0.5">
      <c r="B2" s="87" t="s">
        <v>48</v>
      </c>
    </row>
    <row r="3" spans="2:6" ht="18.600000000000001" thickTop="1" x14ac:dyDescent="0.45">
      <c r="B3" s="38" t="s">
        <v>19</v>
      </c>
      <c r="C3" s="77" t="s">
        <v>49</v>
      </c>
      <c r="D3" s="77" t="s">
        <v>50</v>
      </c>
      <c r="E3" s="74" t="s">
        <v>21</v>
      </c>
      <c r="F3" s="78" t="s">
        <v>51</v>
      </c>
    </row>
    <row r="4" spans="2:6" x14ac:dyDescent="0.45">
      <c r="B4" s="37">
        <v>1</v>
      </c>
      <c r="C4" s="79"/>
      <c r="D4" s="79"/>
      <c r="E4" s="80"/>
      <c r="F4" s="81"/>
    </row>
    <row r="5" spans="2:6" x14ac:dyDescent="0.45">
      <c r="B5" s="37">
        <v>2</v>
      </c>
      <c r="C5" s="79"/>
      <c r="D5" s="79"/>
      <c r="E5" s="82"/>
      <c r="F5" s="81"/>
    </row>
    <row r="6" spans="2:6" x14ac:dyDescent="0.45">
      <c r="B6" s="37">
        <v>3</v>
      </c>
      <c r="C6" s="79"/>
      <c r="D6" s="79"/>
      <c r="E6" s="82"/>
      <c r="F6" s="81"/>
    </row>
    <row r="7" spans="2:6" x14ac:dyDescent="0.45">
      <c r="B7" s="37">
        <v>4</v>
      </c>
      <c r="C7" s="79"/>
      <c r="D7" s="79"/>
      <c r="E7" s="82"/>
      <c r="F7" s="81"/>
    </row>
    <row r="8" spans="2:6" x14ac:dyDescent="0.45">
      <c r="B8" s="37">
        <v>5</v>
      </c>
      <c r="C8" s="79"/>
      <c r="D8" s="79"/>
      <c r="E8" s="82"/>
      <c r="F8" s="81"/>
    </row>
    <row r="9" spans="2:6" x14ac:dyDescent="0.45">
      <c r="B9" s="37">
        <v>6</v>
      </c>
      <c r="C9" s="79"/>
      <c r="D9" s="79"/>
      <c r="E9" s="82"/>
      <c r="F9" s="81"/>
    </row>
    <row r="10" spans="2:6" x14ac:dyDescent="0.45">
      <c r="B10" s="37">
        <v>7</v>
      </c>
      <c r="C10" s="79"/>
      <c r="D10" s="79"/>
      <c r="E10" s="82"/>
      <c r="F10" s="81"/>
    </row>
    <row r="11" spans="2:6" x14ac:dyDescent="0.45">
      <c r="B11" s="37">
        <v>8</v>
      </c>
      <c r="C11" s="79"/>
      <c r="D11" s="79"/>
      <c r="E11" s="82"/>
      <c r="F11" s="81"/>
    </row>
    <row r="12" spans="2:6" x14ac:dyDescent="0.45">
      <c r="B12" s="37">
        <v>9</v>
      </c>
      <c r="C12" s="79"/>
      <c r="D12" s="79"/>
      <c r="E12" s="82"/>
      <c r="F12" s="81"/>
    </row>
    <row r="13" spans="2:6" x14ac:dyDescent="0.45">
      <c r="B13" s="37">
        <v>10</v>
      </c>
      <c r="C13" s="79"/>
      <c r="D13" s="79"/>
      <c r="E13" s="82"/>
      <c r="F13" s="81"/>
    </row>
    <row r="14" spans="2:6" x14ac:dyDescent="0.45">
      <c r="B14" s="37">
        <v>11</v>
      </c>
      <c r="C14" s="79"/>
      <c r="D14" s="79"/>
      <c r="E14" s="82"/>
      <c r="F14" s="81"/>
    </row>
    <row r="15" spans="2:6" x14ac:dyDescent="0.45">
      <c r="B15" s="37">
        <v>12</v>
      </c>
      <c r="C15" s="79"/>
      <c r="D15" s="79"/>
      <c r="E15" s="82"/>
      <c r="F15" s="81"/>
    </row>
    <row r="16" spans="2:6" x14ac:dyDescent="0.45">
      <c r="B16" s="37">
        <v>13</v>
      </c>
      <c r="C16" s="79"/>
      <c r="D16" s="79"/>
      <c r="E16" s="82"/>
      <c r="F16" s="81"/>
    </row>
    <row r="17" spans="2:6" x14ac:dyDescent="0.45">
      <c r="B17" s="37">
        <v>14</v>
      </c>
      <c r="C17" s="79"/>
      <c r="D17" s="79"/>
      <c r="E17" s="82"/>
      <c r="F17" s="81"/>
    </row>
    <row r="18" spans="2:6" x14ac:dyDescent="0.45">
      <c r="B18" s="37">
        <v>15</v>
      </c>
      <c r="C18" s="79"/>
      <c r="D18" s="79"/>
      <c r="E18" s="82"/>
      <c r="F18" s="81"/>
    </row>
    <row r="19" spans="2:6" x14ac:dyDescent="0.45">
      <c r="B19" s="37">
        <v>16</v>
      </c>
      <c r="C19" s="79"/>
      <c r="D19" s="79"/>
      <c r="E19" s="82"/>
      <c r="F19" s="81"/>
    </row>
    <row r="20" spans="2:6" x14ac:dyDescent="0.45">
      <c r="B20" s="37">
        <v>17</v>
      </c>
      <c r="C20" s="79"/>
      <c r="D20" s="79"/>
      <c r="E20" s="82"/>
      <c r="F20" s="81"/>
    </row>
    <row r="21" spans="2:6" x14ac:dyDescent="0.45">
      <c r="B21" s="37">
        <v>18</v>
      </c>
      <c r="C21" s="79"/>
      <c r="D21" s="79"/>
      <c r="E21" s="82"/>
      <c r="F21" s="81"/>
    </row>
    <row r="22" spans="2:6" x14ac:dyDescent="0.45">
      <c r="B22" s="37">
        <v>19</v>
      </c>
      <c r="C22" s="79"/>
      <c r="D22" s="79"/>
      <c r="E22" s="82"/>
      <c r="F22" s="81"/>
    </row>
    <row r="23" spans="2:6" x14ac:dyDescent="0.45">
      <c r="B23" s="37">
        <v>20</v>
      </c>
      <c r="C23" s="79"/>
      <c r="D23" s="79"/>
      <c r="E23" s="82"/>
      <c r="F23" s="81"/>
    </row>
    <row r="24" spans="2:6" x14ac:dyDescent="0.45">
      <c r="B24" s="37">
        <v>21</v>
      </c>
      <c r="C24" s="79"/>
      <c r="D24" s="79"/>
      <c r="E24" s="82"/>
      <c r="F24" s="81"/>
    </row>
    <row r="25" spans="2:6" x14ac:dyDescent="0.45">
      <c r="B25" s="37">
        <v>22</v>
      </c>
      <c r="C25" s="79"/>
      <c r="D25" s="79"/>
      <c r="E25" s="82"/>
      <c r="F25" s="81"/>
    </row>
    <row r="26" spans="2:6" x14ac:dyDescent="0.45">
      <c r="B26" s="37">
        <v>23</v>
      </c>
      <c r="C26" s="79"/>
      <c r="D26" s="79"/>
      <c r="E26" s="82"/>
      <c r="F26" s="81"/>
    </row>
    <row r="27" spans="2:6" x14ac:dyDescent="0.45">
      <c r="B27" s="37">
        <v>24</v>
      </c>
      <c r="C27" s="79"/>
      <c r="D27" s="79"/>
      <c r="E27" s="82"/>
      <c r="F27" s="81"/>
    </row>
    <row r="28" spans="2:6" x14ac:dyDescent="0.45">
      <c r="B28" s="37">
        <v>25</v>
      </c>
      <c r="C28" s="79"/>
      <c r="D28" s="79"/>
      <c r="E28" s="82"/>
      <c r="F28" s="81"/>
    </row>
    <row r="29" spans="2:6" x14ac:dyDescent="0.45">
      <c r="B29" s="37">
        <v>26</v>
      </c>
      <c r="C29" s="79"/>
      <c r="D29" s="79"/>
      <c r="E29" s="82"/>
      <c r="F29" s="81"/>
    </row>
    <row r="30" spans="2:6" x14ac:dyDescent="0.45">
      <c r="B30" s="37">
        <v>27</v>
      </c>
      <c r="C30" s="79"/>
      <c r="D30" s="79"/>
      <c r="E30" s="82"/>
      <c r="F30" s="81"/>
    </row>
    <row r="31" spans="2:6" x14ac:dyDescent="0.45">
      <c r="B31" s="37">
        <v>28</v>
      </c>
      <c r="C31" s="79"/>
      <c r="D31" s="79"/>
      <c r="E31" s="82"/>
      <c r="F31" s="81"/>
    </row>
    <row r="32" spans="2:6" x14ac:dyDescent="0.45">
      <c r="B32" s="37">
        <v>29</v>
      </c>
      <c r="C32" s="79"/>
      <c r="D32" s="79"/>
      <c r="E32" s="82"/>
      <c r="F32" s="81"/>
    </row>
    <row r="33" spans="2:6" x14ac:dyDescent="0.45">
      <c r="B33" s="37">
        <v>30</v>
      </c>
      <c r="C33" s="79"/>
      <c r="D33" s="79"/>
      <c r="E33" s="82"/>
      <c r="F33" s="81"/>
    </row>
    <row r="34" spans="2:6" x14ac:dyDescent="0.45">
      <c r="B34" s="37">
        <v>31</v>
      </c>
      <c r="C34" s="79"/>
      <c r="D34" s="79"/>
      <c r="E34" s="82"/>
      <c r="F34" s="81"/>
    </row>
    <row r="35" spans="2:6" x14ac:dyDescent="0.45">
      <c r="B35" s="37">
        <v>32</v>
      </c>
      <c r="C35" s="79"/>
      <c r="D35" s="79"/>
      <c r="E35" s="82"/>
      <c r="F35" s="81"/>
    </row>
    <row r="36" spans="2:6" x14ac:dyDescent="0.45">
      <c r="B36" s="37">
        <v>33</v>
      </c>
      <c r="C36" s="79"/>
      <c r="D36" s="79"/>
      <c r="E36" s="82"/>
      <c r="F36" s="81"/>
    </row>
    <row r="37" spans="2:6" x14ac:dyDescent="0.45">
      <c r="B37" s="37">
        <v>34</v>
      </c>
      <c r="C37" s="79"/>
      <c r="D37" s="79"/>
      <c r="E37" s="82"/>
      <c r="F37" s="81"/>
    </row>
    <row r="38" spans="2:6" x14ac:dyDescent="0.45">
      <c r="B38" s="37">
        <v>35</v>
      </c>
      <c r="C38" s="79"/>
      <c r="D38" s="79"/>
      <c r="E38" s="82"/>
      <c r="F38" s="81"/>
    </row>
    <row r="39" spans="2:6" x14ac:dyDescent="0.45">
      <c r="B39" s="37">
        <v>36</v>
      </c>
      <c r="C39" s="79"/>
      <c r="D39" s="79"/>
      <c r="E39" s="82"/>
      <c r="F39" s="81"/>
    </row>
    <row r="40" spans="2:6" x14ac:dyDescent="0.45">
      <c r="B40" s="37">
        <v>37</v>
      </c>
      <c r="C40" s="79"/>
      <c r="D40" s="79"/>
      <c r="E40" s="82"/>
      <c r="F40" s="81"/>
    </row>
    <row r="41" spans="2:6" x14ac:dyDescent="0.45">
      <c r="B41" s="37">
        <v>38</v>
      </c>
      <c r="C41" s="79"/>
      <c r="D41" s="79"/>
      <c r="E41" s="82"/>
      <c r="F41" s="81"/>
    </row>
    <row r="42" spans="2:6" x14ac:dyDescent="0.45">
      <c r="B42" s="37">
        <v>39</v>
      </c>
      <c r="C42" s="79"/>
      <c r="D42" s="79"/>
      <c r="E42" s="82"/>
      <c r="F42" s="81"/>
    </row>
    <row r="43" spans="2:6" x14ac:dyDescent="0.45">
      <c r="B43" s="37">
        <v>40</v>
      </c>
      <c r="C43" s="79"/>
      <c r="D43" s="79"/>
      <c r="E43" s="82"/>
      <c r="F43" s="81"/>
    </row>
    <row r="44" spans="2:6" x14ac:dyDescent="0.45">
      <c r="B44" s="37">
        <v>41</v>
      </c>
      <c r="C44" s="79"/>
      <c r="D44" s="79"/>
      <c r="E44" s="82"/>
      <c r="F44" s="81"/>
    </row>
    <row r="45" spans="2:6" x14ac:dyDescent="0.45">
      <c r="B45" s="37">
        <v>42</v>
      </c>
      <c r="C45" s="79"/>
      <c r="D45" s="79"/>
      <c r="E45" s="82"/>
      <c r="F45" s="81"/>
    </row>
    <row r="46" spans="2:6" x14ac:dyDescent="0.45">
      <c r="B46" s="37">
        <v>43</v>
      </c>
      <c r="C46" s="79"/>
      <c r="D46" s="79"/>
      <c r="E46" s="82"/>
      <c r="F46" s="81"/>
    </row>
    <row r="47" spans="2:6" x14ac:dyDescent="0.45">
      <c r="B47" s="37">
        <v>44</v>
      </c>
      <c r="C47" s="79"/>
      <c r="D47" s="79"/>
      <c r="E47" s="82"/>
      <c r="F47" s="81"/>
    </row>
    <row r="48" spans="2:6" x14ac:dyDescent="0.45">
      <c r="B48" s="37">
        <v>45</v>
      </c>
      <c r="C48" s="79"/>
      <c r="D48" s="79"/>
      <c r="E48" s="82"/>
      <c r="F48" s="81"/>
    </row>
    <row r="49" spans="2:6" x14ac:dyDescent="0.45">
      <c r="B49" s="37">
        <v>46</v>
      </c>
      <c r="C49" s="79"/>
      <c r="D49" s="79"/>
      <c r="E49" s="82"/>
      <c r="F49" s="81"/>
    </row>
    <row r="50" spans="2:6" x14ac:dyDescent="0.45">
      <c r="B50" s="37">
        <v>47</v>
      </c>
      <c r="C50" s="79"/>
      <c r="D50" s="79"/>
      <c r="E50" s="82"/>
      <c r="F50" s="81"/>
    </row>
    <row r="51" spans="2:6" x14ac:dyDescent="0.45">
      <c r="B51" s="37">
        <v>48</v>
      </c>
      <c r="C51" s="79"/>
      <c r="D51" s="79"/>
      <c r="E51" s="82"/>
      <c r="F51" s="81"/>
    </row>
    <row r="52" spans="2:6" x14ac:dyDescent="0.45">
      <c r="B52" s="37">
        <v>49</v>
      </c>
      <c r="C52" s="79"/>
      <c r="D52" s="79"/>
      <c r="E52" s="82"/>
      <c r="F52" s="81"/>
    </row>
    <row r="53" spans="2:6" x14ac:dyDescent="0.45">
      <c r="B53" s="37">
        <v>50</v>
      </c>
      <c r="C53" s="79"/>
      <c r="D53" s="79"/>
      <c r="E53" s="82"/>
      <c r="F53" s="81"/>
    </row>
    <row r="54" spans="2:6" ht="18.600000000000001" thickBot="1" x14ac:dyDescent="0.5">
      <c r="B54" s="83">
        <v>51</v>
      </c>
      <c r="C54" s="84"/>
      <c r="D54" s="84"/>
      <c r="E54" s="85"/>
      <c r="F54" s="86"/>
    </row>
    <row r="55" spans="2:6" ht="18.600000000000001" thickTop="1" x14ac:dyDescent="0.45"/>
  </sheetData>
  <phoneticPr fontId="2"/>
  <pageMargins left="0.7" right="0.7" top="0.75" bottom="0.75" header="0.3" footer="0.3"/>
  <pageSetup paperSize="9" orientation="portrait" r:id="rId1"/>
  <headerFooter>
    <oddFooter>&amp;R©2024 SMS DataTech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5"/>
  <sheetViews>
    <sheetView topLeftCell="C1" zoomScaleNormal="100" workbookViewId="0">
      <selection activeCell="C1" sqref="C1"/>
    </sheetView>
  </sheetViews>
  <sheetFormatPr defaultRowHeight="18" x14ac:dyDescent="0.45"/>
  <cols>
    <col min="1" max="2" width="4.59765625" style="156" hidden="1" customWidth="1"/>
    <col min="3" max="3" width="4.59765625" style="91" customWidth="1"/>
    <col min="4" max="4" width="8.796875" style="89" customWidth="1"/>
    <col min="5" max="5" width="8.09765625" style="161" hidden="1" customWidth="1"/>
    <col min="6" max="6" width="5.09765625" style="91" customWidth="1"/>
    <col min="7" max="7" width="9.796875" style="92" customWidth="1"/>
    <col min="8" max="8" width="24.69921875" style="92" customWidth="1"/>
    <col min="9" max="9" width="8.09765625" style="161" hidden="1" customWidth="1"/>
    <col min="10" max="10" width="11.796875" style="92" customWidth="1"/>
    <col min="11" max="12" width="8.296875" style="104" bestFit="1" customWidth="1"/>
    <col min="13" max="13" width="6.3984375" style="89" bestFit="1" customWidth="1"/>
    <col min="14" max="256" width="8.796875" style="89"/>
    <col min="257" max="258" width="0" style="89" hidden="1" customWidth="1"/>
    <col min="259" max="259" width="4.59765625" style="89" customWidth="1"/>
    <col min="260" max="260" width="8.796875" style="89"/>
    <col min="261" max="261" width="0" style="89" hidden="1" customWidth="1"/>
    <col min="262" max="262" width="5.09765625" style="89" customWidth="1"/>
    <col min="263" max="263" width="9.796875" style="89" customWidth="1"/>
    <col min="264" max="264" width="24.69921875" style="89" customWidth="1"/>
    <col min="265" max="265" width="0" style="89" hidden="1" customWidth="1"/>
    <col min="266" max="266" width="11.796875" style="89" customWidth="1"/>
    <col min="267" max="268" width="8.296875" style="89" bestFit="1" customWidth="1"/>
    <col min="269" max="269" width="6.3984375" style="89" bestFit="1" customWidth="1"/>
    <col min="270" max="512" width="8.796875" style="89"/>
    <col min="513" max="514" width="0" style="89" hidden="1" customWidth="1"/>
    <col min="515" max="515" width="4.59765625" style="89" customWidth="1"/>
    <col min="516" max="516" width="8.796875" style="89"/>
    <col min="517" max="517" width="0" style="89" hidden="1" customWidth="1"/>
    <col min="518" max="518" width="5.09765625" style="89" customWidth="1"/>
    <col min="519" max="519" width="9.796875" style="89" customWidth="1"/>
    <col min="520" max="520" width="24.69921875" style="89" customWidth="1"/>
    <col min="521" max="521" width="0" style="89" hidden="1" customWidth="1"/>
    <col min="522" max="522" width="11.796875" style="89" customWidth="1"/>
    <col min="523" max="524" width="8.296875" style="89" bestFit="1" customWidth="1"/>
    <col min="525" max="525" width="6.3984375" style="89" bestFit="1" customWidth="1"/>
    <col min="526" max="768" width="8.796875" style="89"/>
    <col min="769" max="770" width="0" style="89" hidden="1" customWidth="1"/>
    <col min="771" max="771" width="4.59765625" style="89" customWidth="1"/>
    <col min="772" max="772" width="8.796875" style="89"/>
    <col min="773" max="773" width="0" style="89" hidden="1" customWidth="1"/>
    <col min="774" max="774" width="5.09765625" style="89" customWidth="1"/>
    <col min="775" max="775" width="9.796875" style="89" customWidth="1"/>
    <col min="776" max="776" width="24.69921875" style="89" customWidth="1"/>
    <col min="777" max="777" width="0" style="89" hidden="1" customWidth="1"/>
    <col min="778" max="778" width="11.796875" style="89" customWidth="1"/>
    <col min="779" max="780" width="8.296875" style="89" bestFit="1" customWidth="1"/>
    <col min="781" max="781" width="6.3984375" style="89" bestFit="1" customWidth="1"/>
    <col min="782" max="1024" width="8.796875" style="89"/>
    <col min="1025" max="1026" width="0" style="89" hidden="1" customWidth="1"/>
    <col min="1027" max="1027" width="4.59765625" style="89" customWidth="1"/>
    <col min="1028" max="1028" width="8.796875" style="89"/>
    <col min="1029" max="1029" width="0" style="89" hidden="1" customWidth="1"/>
    <col min="1030" max="1030" width="5.09765625" style="89" customWidth="1"/>
    <col min="1031" max="1031" width="9.796875" style="89" customWidth="1"/>
    <col min="1032" max="1032" width="24.69921875" style="89" customWidth="1"/>
    <col min="1033" max="1033" width="0" style="89" hidden="1" customWidth="1"/>
    <col min="1034" max="1034" width="11.796875" style="89" customWidth="1"/>
    <col min="1035" max="1036" width="8.296875" style="89" bestFit="1" customWidth="1"/>
    <col min="1037" max="1037" width="6.3984375" style="89" bestFit="1" customWidth="1"/>
    <col min="1038" max="1280" width="8.796875" style="89"/>
    <col min="1281" max="1282" width="0" style="89" hidden="1" customWidth="1"/>
    <col min="1283" max="1283" width="4.59765625" style="89" customWidth="1"/>
    <col min="1284" max="1284" width="8.796875" style="89"/>
    <col min="1285" max="1285" width="0" style="89" hidden="1" customWidth="1"/>
    <col min="1286" max="1286" width="5.09765625" style="89" customWidth="1"/>
    <col min="1287" max="1287" width="9.796875" style="89" customWidth="1"/>
    <col min="1288" max="1288" width="24.69921875" style="89" customWidth="1"/>
    <col min="1289" max="1289" width="0" style="89" hidden="1" customWidth="1"/>
    <col min="1290" max="1290" width="11.796875" style="89" customWidth="1"/>
    <col min="1291" max="1292" width="8.296875" style="89" bestFit="1" customWidth="1"/>
    <col min="1293" max="1293" width="6.3984375" style="89" bestFit="1" customWidth="1"/>
    <col min="1294" max="1536" width="8.796875" style="89"/>
    <col min="1537" max="1538" width="0" style="89" hidden="1" customWidth="1"/>
    <col min="1539" max="1539" width="4.59765625" style="89" customWidth="1"/>
    <col min="1540" max="1540" width="8.796875" style="89"/>
    <col min="1541" max="1541" width="0" style="89" hidden="1" customWidth="1"/>
    <col min="1542" max="1542" width="5.09765625" style="89" customWidth="1"/>
    <col min="1543" max="1543" width="9.796875" style="89" customWidth="1"/>
    <col min="1544" max="1544" width="24.69921875" style="89" customWidth="1"/>
    <col min="1545" max="1545" width="0" style="89" hidden="1" customWidth="1"/>
    <col min="1546" max="1546" width="11.796875" style="89" customWidth="1"/>
    <col min="1547" max="1548" width="8.296875" style="89" bestFit="1" customWidth="1"/>
    <col min="1549" max="1549" width="6.3984375" style="89" bestFit="1" customWidth="1"/>
    <col min="1550" max="1792" width="8.796875" style="89"/>
    <col min="1793" max="1794" width="0" style="89" hidden="1" customWidth="1"/>
    <col min="1795" max="1795" width="4.59765625" style="89" customWidth="1"/>
    <col min="1796" max="1796" width="8.796875" style="89"/>
    <col min="1797" max="1797" width="0" style="89" hidden="1" customWidth="1"/>
    <col min="1798" max="1798" width="5.09765625" style="89" customWidth="1"/>
    <col min="1799" max="1799" width="9.796875" style="89" customWidth="1"/>
    <col min="1800" max="1800" width="24.69921875" style="89" customWidth="1"/>
    <col min="1801" max="1801" width="0" style="89" hidden="1" customWidth="1"/>
    <col min="1802" max="1802" width="11.796875" style="89" customWidth="1"/>
    <col min="1803" max="1804" width="8.296875" style="89" bestFit="1" customWidth="1"/>
    <col min="1805" max="1805" width="6.3984375" style="89" bestFit="1" customWidth="1"/>
    <col min="1806" max="2048" width="8.796875" style="89"/>
    <col min="2049" max="2050" width="0" style="89" hidden="1" customWidth="1"/>
    <col min="2051" max="2051" width="4.59765625" style="89" customWidth="1"/>
    <col min="2052" max="2052" width="8.796875" style="89"/>
    <col min="2053" max="2053" width="0" style="89" hidden="1" customWidth="1"/>
    <col min="2054" max="2054" width="5.09765625" style="89" customWidth="1"/>
    <col min="2055" max="2055" width="9.796875" style="89" customWidth="1"/>
    <col min="2056" max="2056" width="24.69921875" style="89" customWidth="1"/>
    <col min="2057" max="2057" width="0" style="89" hidden="1" customWidth="1"/>
    <col min="2058" max="2058" width="11.796875" style="89" customWidth="1"/>
    <col min="2059" max="2060" width="8.296875" style="89" bestFit="1" customWidth="1"/>
    <col min="2061" max="2061" width="6.3984375" style="89" bestFit="1" customWidth="1"/>
    <col min="2062" max="2304" width="8.796875" style="89"/>
    <col min="2305" max="2306" width="0" style="89" hidden="1" customWidth="1"/>
    <col min="2307" max="2307" width="4.59765625" style="89" customWidth="1"/>
    <col min="2308" max="2308" width="8.796875" style="89"/>
    <col min="2309" max="2309" width="0" style="89" hidden="1" customWidth="1"/>
    <col min="2310" max="2310" width="5.09765625" style="89" customWidth="1"/>
    <col min="2311" max="2311" width="9.796875" style="89" customWidth="1"/>
    <col min="2312" max="2312" width="24.69921875" style="89" customWidth="1"/>
    <col min="2313" max="2313" width="0" style="89" hidden="1" customWidth="1"/>
    <col min="2314" max="2314" width="11.796875" style="89" customWidth="1"/>
    <col min="2315" max="2316" width="8.296875" style="89" bestFit="1" customWidth="1"/>
    <col min="2317" max="2317" width="6.3984375" style="89" bestFit="1" customWidth="1"/>
    <col min="2318" max="2560" width="8.796875" style="89"/>
    <col min="2561" max="2562" width="0" style="89" hidden="1" customWidth="1"/>
    <col min="2563" max="2563" width="4.59765625" style="89" customWidth="1"/>
    <col min="2564" max="2564" width="8.796875" style="89"/>
    <col min="2565" max="2565" width="0" style="89" hidden="1" customWidth="1"/>
    <col min="2566" max="2566" width="5.09765625" style="89" customWidth="1"/>
    <col min="2567" max="2567" width="9.796875" style="89" customWidth="1"/>
    <col min="2568" max="2568" width="24.69921875" style="89" customWidth="1"/>
    <col min="2569" max="2569" width="0" style="89" hidden="1" customWidth="1"/>
    <col min="2570" max="2570" width="11.796875" style="89" customWidth="1"/>
    <col min="2571" max="2572" width="8.296875" style="89" bestFit="1" customWidth="1"/>
    <col min="2573" max="2573" width="6.3984375" style="89" bestFit="1" customWidth="1"/>
    <col min="2574" max="2816" width="8.796875" style="89"/>
    <col min="2817" max="2818" width="0" style="89" hidden="1" customWidth="1"/>
    <col min="2819" max="2819" width="4.59765625" style="89" customWidth="1"/>
    <col min="2820" max="2820" width="8.796875" style="89"/>
    <col min="2821" max="2821" width="0" style="89" hidden="1" customWidth="1"/>
    <col min="2822" max="2822" width="5.09765625" style="89" customWidth="1"/>
    <col min="2823" max="2823" width="9.796875" style="89" customWidth="1"/>
    <col min="2824" max="2824" width="24.69921875" style="89" customWidth="1"/>
    <col min="2825" max="2825" width="0" style="89" hidden="1" customWidth="1"/>
    <col min="2826" max="2826" width="11.796875" style="89" customWidth="1"/>
    <col min="2827" max="2828" width="8.296875" style="89" bestFit="1" customWidth="1"/>
    <col min="2829" max="2829" width="6.3984375" style="89" bestFit="1" customWidth="1"/>
    <col min="2830" max="3072" width="8.796875" style="89"/>
    <col min="3073" max="3074" width="0" style="89" hidden="1" customWidth="1"/>
    <col min="3075" max="3075" width="4.59765625" style="89" customWidth="1"/>
    <col min="3076" max="3076" width="8.796875" style="89"/>
    <col min="3077" max="3077" width="0" style="89" hidden="1" customWidth="1"/>
    <col min="3078" max="3078" width="5.09765625" style="89" customWidth="1"/>
    <col min="3079" max="3079" width="9.796875" style="89" customWidth="1"/>
    <col min="3080" max="3080" width="24.69921875" style="89" customWidth="1"/>
    <col min="3081" max="3081" width="0" style="89" hidden="1" customWidth="1"/>
    <col min="3082" max="3082" width="11.796875" style="89" customWidth="1"/>
    <col min="3083" max="3084" width="8.296875" style="89" bestFit="1" customWidth="1"/>
    <col min="3085" max="3085" width="6.3984375" style="89" bestFit="1" customWidth="1"/>
    <col min="3086" max="3328" width="8.796875" style="89"/>
    <col min="3329" max="3330" width="0" style="89" hidden="1" customWidth="1"/>
    <col min="3331" max="3331" width="4.59765625" style="89" customWidth="1"/>
    <col min="3332" max="3332" width="8.796875" style="89"/>
    <col min="3333" max="3333" width="0" style="89" hidden="1" customWidth="1"/>
    <col min="3334" max="3334" width="5.09765625" style="89" customWidth="1"/>
    <col min="3335" max="3335" width="9.796875" style="89" customWidth="1"/>
    <col min="3336" max="3336" width="24.69921875" style="89" customWidth="1"/>
    <col min="3337" max="3337" width="0" style="89" hidden="1" customWidth="1"/>
    <col min="3338" max="3338" width="11.796875" style="89" customWidth="1"/>
    <col min="3339" max="3340" width="8.296875" style="89" bestFit="1" customWidth="1"/>
    <col min="3341" max="3341" width="6.3984375" style="89" bestFit="1" customWidth="1"/>
    <col min="3342" max="3584" width="8.796875" style="89"/>
    <col min="3585" max="3586" width="0" style="89" hidden="1" customWidth="1"/>
    <col min="3587" max="3587" width="4.59765625" style="89" customWidth="1"/>
    <col min="3588" max="3588" width="8.796875" style="89"/>
    <col min="3589" max="3589" width="0" style="89" hidden="1" customWidth="1"/>
    <col min="3590" max="3590" width="5.09765625" style="89" customWidth="1"/>
    <col min="3591" max="3591" width="9.796875" style="89" customWidth="1"/>
    <col min="3592" max="3592" width="24.69921875" style="89" customWidth="1"/>
    <col min="3593" max="3593" width="0" style="89" hidden="1" customWidth="1"/>
    <col min="3594" max="3594" width="11.796875" style="89" customWidth="1"/>
    <col min="3595" max="3596" width="8.296875" style="89" bestFit="1" customWidth="1"/>
    <col min="3597" max="3597" width="6.3984375" style="89" bestFit="1" customWidth="1"/>
    <col min="3598" max="3840" width="8.796875" style="89"/>
    <col min="3841" max="3842" width="0" style="89" hidden="1" customWidth="1"/>
    <col min="3843" max="3843" width="4.59765625" style="89" customWidth="1"/>
    <col min="3844" max="3844" width="8.796875" style="89"/>
    <col min="3845" max="3845" width="0" style="89" hidden="1" customWidth="1"/>
    <col min="3846" max="3846" width="5.09765625" style="89" customWidth="1"/>
    <col min="3847" max="3847" width="9.796875" style="89" customWidth="1"/>
    <col min="3848" max="3848" width="24.69921875" style="89" customWidth="1"/>
    <col min="3849" max="3849" width="0" style="89" hidden="1" customWidth="1"/>
    <col min="3850" max="3850" width="11.796875" style="89" customWidth="1"/>
    <col min="3851" max="3852" width="8.296875" style="89" bestFit="1" customWidth="1"/>
    <col min="3853" max="3853" width="6.3984375" style="89" bestFit="1" customWidth="1"/>
    <col min="3854" max="4096" width="8.796875" style="89"/>
    <col min="4097" max="4098" width="0" style="89" hidden="1" customWidth="1"/>
    <col min="4099" max="4099" width="4.59765625" style="89" customWidth="1"/>
    <col min="4100" max="4100" width="8.796875" style="89"/>
    <col min="4101" max="4101" width="0" style="89" hidden="1" customWidth="1"/>
    <col min="4102" max="4102" width="5.09765625" style="89" customWidth="1"/>
    <col min="4103" max="4103" width="9.796875" style="89" customWidth="1"/>
    <col min="4104" max="4104" width="24.69921875" style="89" customWidth="1"/>
    <col min="4105" max="4105" width="0" style="89" hidden="1" customWidth="1"/>
    <col min="4106" max="4106" width="11.796875" style="89" customWidth="1"/>
    <col min="4107" max="4108" width="8.296875" style="89" bestFit="1" customWidth="1"/>
    <col min="4109" max="4109" width="6.3984375" style="89" bestFit="1" customWidth="1"/>
    <col min="4110" max="4352" width="8.796875" style="89"/>
    <col min="4353" max="4354" width="0" style="89" hidden="1" customWidth="1"/>
    <col min="4355" max="4355" width="4.59765625" style="89" customWidth="1"/>
    <col min="4356" max="4356" width="8.796875" style="89"/>
    <col min="4357" max="4357" width="0" style="89" hidden="1" customWidth="1"/>
    <col min="4358" max="4358" width="5.09765625" style="89" customWidth="1"/>
    <col min="4359" max="4359" width="9.796875" style="89" customWidth="1"/>
    <col min="4360" max="4360" width="24.69921875" style="89" customWidth="1"/>
    <col min="4361" max="4361" width="0" style="89" hidden="1" customWidth="1"/>
    <col min="4362" max="4362" width="11.796875" style="89" customWidth="1"/>
    <col min="4363" max="4364" width="8.296875" style="89" bestFit="1" customWidth="1"/>
    <col min="4365" max="4365" width="6.3984375" style="89" bestFit="1" customWidth="1"/>
    <col min="4366" max="4608" width="8.796875" style="89"/>
    <col min="4609" max="4610" width="0" style="89" hidden="1" customWidth="1"/>
    <col min="4611" max="4611" width="4.59765625" style="89" customWidth="1"/>
    <col min="4612" max="4612" width="8.796875" style="89"/>
    <col min="4613" max="4613" width="0" style="89" hidden="1" customWidth="1"/>
    <col min="4614" max="4614" width="5.09765625" style="89" customWidth="1"/>
    <col min="4615" max="4615" width="9.796875" style="89" customWidth="1"/>
    <col min="4616" max="4616" width="24.69921875" style="89" customWidth="1"/>
    <col min="4617" max="4617" width="0" style="89" hidden="1" customWidth="1"/>
    <col min="4618" max="4618" width="11.796875" style="89" customWidth="1"/>
    <col min="4619" max="4620" width="8.296875" style="89" bestFit="1" customWidth="1"/>
    <col min="4621" max="4621" width="6.3984375" style="89" bestFit="1" customWidth="1"/>
    <col min="4622" max="4864" width="8.796875" style="89"/>
    <col min="4865" max="4866" width="0" style="89" hidden="1" customWidth="1"/>
    <col min="4867" max="4867" width="4.59765625" style="89" customWidth="1"/>
    <col min="4868" max="4868" width="8.796875" style="89"/>
    <col min="4869" max="4869" width="0" style="89" hidden="1" customWidth="1"/>
    <col min="4870" max="4870" width="5.09765625" style="89" customWidth="1"/>
    <col min="4871" max="4871" width="9.796875" style="89" customWidth="1"/>
    <col min="4872" max="4872" width="24.69921875" style="89" customWidth="1"/>
    <col min="4873" max="4873" width="0" style="89" hidden="1" customWidth="1"/>
    <col min="4874" max="4874" width="11.796875" style="89" customWidth="1"/>
    <col min="4875" max="4876" width="8.296875" style="89" bestFit="1" customWidth="1"/>
    <col min="4877" max="4877" width="6.3984375" style="89" bestFit="1" customWidth="1"/>
    <col min="4878" max="5120" width="8.796875" style="89"/>
    <col min="5121" max="5122" width="0" style="89" hidden="1" customWidth="1"/>
    <col min="5123" max="5123" width="4.59765625" style="89" customWidth="1"/>
    <col min="5124" max="5124" width="8.796875" style="89"/>
    <col min="5125" max="5125" width="0" style="89" hidden="1" customWidth="1"/>
    <col min="5126" max="5126" width="5.09765625" style="89" customWidth="1"/>
    <col min="5127" max="5127" width="9.796875" style="89" customWidth="1"/>
    <col min="5128" max="5128" width="24.69921875" style="89" customWidth="1"/>
    <col min="5129" max="5129" width="0" style="89" hidden="1" customWidth="1"/>
    <col min="5130" max="5130" width="11.796875" style="89" customWidth="1"/>
    <col min="5131" max="5132" width="8.296875" style="89" bestFit="1" customWidth="1"/>
    <col min="5133" max="5133" width="6.3984375" style="89" bestFit="1" customWidth="1"/>
    <col min="5134" max="5376" width="8.796875" style="89"/>
    <col min="5377" max="5378" width="0" style="89" hidden="1" customWidth="1"/>
    <col min="5379" max="5379" width="4.59765625" style="89" customWidth="1"/>
    <col min="5380" max="5380" width="8.796875" style="89"/>
    <col min="5381" max="5381" width="0" style="89" hidden="1" customWidth="1"/>
    <col min="5382" max="5382" width="5.09765625" style="89" customWidth="1"/>
    <col min="5383" max="5383" width="9.796875" style="89" customWidth="1"/>
    <col min="5384" max="5384" width="24.69921875" style="89" customWidth="1"/>
    <col min="5385" max="5385" width="0" style="89" hidden="1" customWidth="1"/>
    <col min="5386" max="5386" width="11.796875" style="89" customWidth="1"/>
    <col min="5387" max="5388" width="8.296875" style="89" bestFit="1" customWidth="1"/>
    <col min="5389" max="5389" width="6.3984375" style="89" bestFit="1" customWidth="1"/>
    <col min="5390" max="5632" width="8.796875" style="89"/>
    <col min="5633" max="5634" width="0" style="89" hidden="1" customWidth="1"/>
    <col min="5635" max="5635" width="4.59765625" style="89" customWidth="1"/>
    <col min="5636" max="5636" width="8.796875" style="89"/>
    <col min="5637" max="5637" width="0" style="89" hidden="1" customWidth="1"/>
    <col min="5638" max="5638" width="5.09765625" style="89" customWidth="1"/>
    <col min="5639" max="5639" width="9.796875" style="89" customWidth="1"/>
    <col min="5640" max="5640" width="24.69921875" style="89" customWidth="1"/>
    <col min="5641" max="5641" width="0" style="89" hidden="1" customWidth="1"/>
    <col min="5642" max="5642" width="11.796875" style="89" customWidth="1"/>
    <col min="5643" max="5644" width="8.296875" style="89" bestFit="1" customWidth="1"/>
    <col min="5645" max="5645" width="6.3984375" style="89" bestFit="1" customWidth="1"/>
    <col min="5646" max="5888" width="8.796875" style="89"/>
    <col min="5889" max="5890" width="0" style="89" hidden="1" customWidth="1"/>
    <col min="5891" max="5891" width="4.59765625" style="89" customWidth="1"/>
    <col min="5892" max="5892" width="8.796875" style="89"/>
    <col min="5893" max="5893" width="0" style="89" hidden="1" customWidth="1"/>
    <col min="5894" max="5894" width="5.09765625" style="89" customWidth="1"/>
    <col min="5895" max="5895" width="9.796875" style="89" customWidth="1"/>
    <col min="5896" max="5896" width="24.69921875" style="89" customWidth="1"/>
    <col min="5897" max="5897" width="0" style="89" hidden="1" customWidth="1"/>
    <col min="5898" max="5898" width="11.796875" style="89" customWidth="1"/>
    <col min="5899" max="5900" width="8.296875" style="89" bestFit="1" customWidth="1"/>
    <col min="5901" max="5901" width="6.3984375" style="89" bestFit="1" customWidth="1"/>
    <col min="5902" max="6144" width="8.796875" style="89"/>
    <col min="6145" max="6146" width="0" style="89" hidden="1" customWidth="1"/>
    <col min="6147" max="6147" width="4.59765625" style="89" customWidth="1"/>
    <col min="6148" max="6148" width="8.796875" style="89"/>
    <col min="6149" max="6149" width="0" style="89" hidden="1" customWidth="1"/>
    <col min="6150" max="6150" width="5.09765625" style="89" customWidth="1"/>
    <col min="6151" max="6151" width="9.796875" style="89" customWidth="1"/>
    <col min="6152" max="6152" width="24.69921875" style="89" customWidth="1"/>
    <col min="6153" max="6153" width="0" style="89" hidden="1" customWidth="1"/>
    <col min="6154" max="6154" width="11.796875" style="89" customWidth="1"/>
    <col min="6155" max="6156" width="8.296875" style="89" bestFit="1" customWidth="1"/>
    <col min="6157" max="6157" width="6.3984375" style="89" bestFit="1" customWidth="1"/>
    <col min="6158" max="6400" width="8.796875" style="89"/>
    <col min="6401" max="6402" width="0" style="89" hidden="1" customWidth="1"/>
    <col min="6403" max="6403" width="4.59765625" style="89" customWidth="1"/>
    <col min="6404" max="6404" width="8.796875" style="89"/>
    <col min="6405" max="6405" width="0" style="89" hidden="1" customWidth="1"/>
    <col min="6406" max="6406" width="5.09765625" style="89" customWidth="1"/>
    <col min="6407" max="6407" width="9.796875" style="89" customWidth="1"/>
    <col min="6408" max="6408" width="24.69921875" style="89" customWidth="1"/>
    <col min="6409" max="6409" width="0" style="89" hidden="1" customWidth="1"/>
    <col min="6410" max="6410" width="11.796875" style="89" customWidth="1"/>
    <col min="6411" max="6412" width="8.296875" style="89" bestFit="1" customWidth="1"/>
    <col min="6413" max="6413" width="6.3984375" style="89" bestFit="1" customWidth="1"/>
    <col min="6414" max="6656" width="8.796875" style="89"/>
    <col min="6657" max="6658" width="0" style="89" hidden="1" customWidth="1"/>
    <col min="6659" max="6659" width="4.59765625" style="89" customWidth="1"/>
    <col min="6660" max="6660" width="8.796875" style="89"/>
    <col min="6661" max="6661" width="0" style="89" hidden="1" customWidth="1"/>
    <col min="6662" max="6662" width="5.09765625" style="89" customWidth="1"/>
    <col min="6663" max="6663" width="9.796875" style="89" customWidth="1"/>
    <col min="6664" max="6664" width="24.69921875" style="89" customWidth="1"/>
    <col min="6665" max="6665" width="0" style="89" hidden="1" customWidth="1"/>
    <col min="6666" max="6666" width="11.796875" style="89" customWidth="1"/>
    <col min="6667" max="6668" width="8.296875" style="89" bestFit="1" customWidth="1"/>
    <col min="6669" max="6669" width="6.3984375" style="89" bestFit="1" customWidth="1"/>
    <col min="6670" max="6912" width="8.796875" style="89"/>
    <col min="6913" max="6914" width="0" style="89" hidden="1" customWidth="1"/>
    <col min="6915" max="6915" width="4.59765625" style="89" customWidth="1"/>
    <col min="6916" max="6916" width="8.796875" style="89"/>
    <col min="6917" max="6917" width="0" style="89" hidden="1" customWidth="1"/>
    <col min="6918" max="6918" width="5.09765625" style="89" customWidth="1"/>
    <col min="6919" max="6919" width="9.796875" style="89" customWidth="1"/>
    <col min="6920" max="6920" width="24.69921875" style="89" customWidth="1"/>
    <col min="6921" max="6921" width="0" style="89" hidden="1" customWidth="1"/>
    <col min="6922" max="6922" width="11.796875" style="89" customWidth="1"/>
    <col min="6923" max="6924" width="8.296875" style="89" bestFit="1" customWidth="1"/>
    <col min="6925" max="6925" width="6.3984375" style="89" bestFit="1" customWidth="1"/>
    <col min="6926" max="7168" width="8.796875" style="89"/>
    <col min="7169" max="7170" width="0" style="89" hidden="1" customWidth="1"/>
    <col min="7171" max="7171" width="4.59765625" style="89" customWidth="1"/>
    <col min="7172" max="7172" width="8.796875" style="89"/>
    <col min="7173" max="7173" width="0" style="89" hidden="1" customWidth="1"/>
    <col min="7174" max="7174" width="5.09765625" style="89" customWidth="1"/>
    <col min="7175" max="7175" width="9.796875" style="89" customWidth="1"/>
    <col min="7176" max="7176" width="24.69921875" style="89" customWidth="1"/>
    <col min="7177" max="7177" width="0" style="89" hidden="1" customWidth="1"/>
    <col min="7178" max="7178" width="11.796875" style="89" customWidth="1"/>
    <col min="7179" max="7180" width="8.296875" style="89" bestFit="1" customWidth="1"/>
    <col min="7181" max="7181" width="6.3984375" style="89" bestFit="1" customWidth="1"/>
    <col min="7182" max="7424" width="8.796875" style="89"/>
    <col min="7425" max="7426" width="0" style="89" hidden="1" customWidth="1"/>
    <col min="7427" max="7427" width="4.59765625" style="89" customWidth="1"/>
    <col min="7428" max="7428" width="8.796875" style="89"/>
    <col min="7429" max="7429" width="0" style="89" hidden="1" customWidth="1"/>
    <col min="7430" max="7430" width="5.09765625" style="89" customWidth="1"/>
    <col min="7431" max="7431" width="9.796875" style="89" customWidth="1"/>
    <col min="7432" max="7432" width="24.69921875" style="89" customWidth="1"/>
    <col min="7433" max="7433" width="0" style="89" hidden="1" customWidth="1"/>
    <col min="7434" max="7434" width="11.796875" style="89" customWidth="1"/>
    <col min="7435" max="7436" width="8.296875" style="89" bestFit="1" customWidth="1"/>
    <col min="7437" max="7437" width="6.3984375" style="89" bestFit="1" customWidth="1"/>
    <col min="7438" max="7680" width="8.796875" style="89"/>
    <col min="7681" max="7682" width="0" style="89" hidden="1" customWidth="1"/>
    <col min="7683" max="7683" width="4.59765625" style="89" customWidth="1"/>
    <col min="7684" max="7684" width="8.796875" style="89"/>
    <col min="7685" max="7685" width="0" style="89" hidden="1" customWidth="1"/>
    <col min="7686" max="7686" width="5.09765625" style="89" customWidth="1"/>
    <col min="7687" max="7687" width="9.796875" style="89" customWidth="1"/>
    <col min="7688" max="7688" width="24.69921875" style="89" customWidth="1"/>
    <col min="7689" max="7689" width="0" style="89" hidden="1" customWidth="1"/>
    <col min="7690" max="7690" width="11.796875" style="89" customWidth="1"/>
    <col min="7691" max="7692" width="8.296875" style="89" bestFit="1" customWidth="1"/>
    <col min="7693" max="7693" width="6.3984375" style="89" bestFit="1" customWidth="1"/>
    <col min="7694" max="7936" width="8.796875" style="89"/>
    <col min="7937" max="7938" width="0" style="89" hidden="1" customWidth="1"/>
    <col min="7939" max="7939" width="4.59765625" style="89" customWidth="1"/>
    <col min="7940" max="7940" width="8.796875" style="89"/>
    <col min="7941" max="7941" width="0" style="89" hidden="1" customWidth="1"/>
    <col min="7942" max="7942" width="5.09765625" style="89" customWidth="1"/>
    <col min="7943" max="7943" width="9.796875" style="89" customWidth="1"/>
    <col min="7944" max="7944" width="24.69921875" style="89" customWidth="1"/>
    <col min="7945" max="7945" width="0" style="89" hidden="1" customWidth="1"/>
    <col min="7946" max="7946" width="11.796875" style="89" customWidth="1"/>
    <col min="7947" max="7948" width="8.296875" style="89" bestFit="1" customWidth="1"/>
    <col min="7949" max="7949" width="6.3984375" style="89" bestFit="1" customWidth="1"/>
    <col min="7950" max="8192" width="8.796875" style="89"/>
    <col min="8193" max="8194" width="0" style="89" hidden="1" customWidth="1"/>
    <col min="8195" max="8195" width="4.59765625" style="89" customWidth="1"/>
    <col min="8196" max="8196" width="8.796875" style="89"/>
    <col min="8197" max="8197" width="0" style="89" hidden="1" customWidth="1"/>
    <col min="8198" max="8198" width="5.09765625" style="89" customWidth="1"/>
    <col min="8199" max="8199" width="9.796875" style="89" customWidth="1"/>
    <col min="8200" max="8200" width="24.69921875" style="89" customWidth="1"/>
    <col min="8201" max="8201" width="0" style="89" hidden="1" customWidth="1"/>
    <col min="8202" max="8202" width="11.796875" style="89" customWidth="1"/>
    <col min="8203" max="8204" width="8.296875" style="89" bestFit="1" customWidth="1"/>
    <col min="8205" max="8205" width="6.3984375" style="89" bestFit="1" customWidth="1"/>
    <col min="8206" max="8448" width="8.796875" style="89"/>
    <col min="8449" max="8450" width="0" style="89" hidden="1" customWidth="1"/>
    <col min="8451" max="8451" width="4.59765625" style="89" customWidth="1"/>
    <col min="8452" max="8452" width="8.796875" style="89"/>
    <col min="8453" max="8453" width="0" style="89" hidden="1" customWidth="1"/>
    <col min="8454" max="8454" width="5.09765625" style="89" customWidth="1"/>
    <col min="8455" max="8455" width="9.796875" style="89" customWidth="1"/>
    <col min="8456" max="8456" width="24.69921875" style="89" customWidth="1"/>
    <col min="8457" max="8457" width="0" style="89" hidden="1" customWidth="1"/>
    <col min="8458" max="8458" width="11.796875" style="89" customWidth="1"/>
    <col min="8459" max="8460" width="8.296875" style="89" bestFit="1" customWidth="1"/>
    <col min="8461" max="8461" width="6.3984375" style="89" bestFit="1" customWidth="1"/>
    <col min="8462" max="8704" width="8.796875" style="89"/>
    <col min="8705" max="8706" width="0" style="89" hidden="1" customWidth="1"/>
    <col min="8707" max="8707" width="4.59765625" style="89" customWidth="1"/>
    <col min="8708" max="8708" width="8.796875" style="89"/>
    <col min="8709" max="8709" width="0" style="89" hidden="1" customWidth="1"/>
    <col min="8710" max="8710" width="5.09765625" style="89" customWidth="1"/>
    <col min="8711" max="8711" width="9.796875" style="89" customWidth="1"/>
    <col min="8712" max="8712" width="24.69921875" style="89" customWidth="1"/>
    <col min="8713" max="8713" width="0" style="89" hidden="1" customWidth="1"/>
    <col min="8714" max="8714" width="11.796875" style="89" customWidth="1"/>
    <col min="8715" max="8716" width="8.296875" style="89" bestFit="1" customWidth="1"/>
    <col min="8717" max="8717" width="6.3984375" style="89" bestFit="1" customWidth="1"/>
    <col min="8718" max="8960" width="8.796875" style="89"/>
    <col min="8961" max="8962" width="0" style="89" hidden="1" customWidth="1"/>
    <col min="8963" max="8963" width="4.59765625" style="89" customWidth="1"/>
    <col min="8964" max="8964" width="8.796875" style="89"/>
    <col min="8965" max="8965" width="0" style="89" hidden="1" customWidth="1"/>
    <col min="8966" max="8966" width="5.09765625" style="89" customWidth="1"/>
    <col min="8967" max="8967" width="9.796875" style="89" customWidth="1"/>
    <col min="8968" max="8968" width="24.69921875" style="89" customWidth="1"/>
    <col min="8969" max="8969" width="0" style="89" hidden="1" customWidth="1"/>
    <col min="8970" max="8970" width="11.796875" style="89" customWidth="1"/>
    <col min="8971" max="8972" width="8.296875" style="89" bestFit="1" customWidth="1"/>
    <col min="8973" max="8973" width="6.3984375" style="89" bestFit="1" customWidth="1"/>
    <col min="8974" max="9216" width="8.796875" style="89"/>
    <col min="9217" max="9218" width="0" style="89" hidden="1" customWidth="1"/>
    <col min="9219" max="9219" width="4.59765625" style="89" customWidth="1"/>
    <col min="9220" max="9220" width="8.796875" style="89"/>
    <col min="9221" max="9221" width="0" style="89" hidden="1" customWidth="1"/>
    <col min="9222" max="9222" width="5.09765625" style="89" customWidth="1"/>
    <col min="9223" max="9223" width="9.796875" style="89" customWidth="1"/>
    <col min="9224" max="9224" width="24.69921875" style="89" customWidth="1"/>
    <col min="9225" max="9225" width="0" style="89" hidden="1" customWidth="1"/>
    <col min="9226" max="9226" width="11.796875" style="89" customWidth="1"/>
    <col min="9227" max="9228" width="8.296875" style="89" bestFit="1" customWidth="1"/>
    <col min="9229" max="9229" width="6.3984375" style="89" bestFit="1" customWidth="1"/>
    <col min="9230" max="9472" width="8.796875" style="89"/>
    <col min="9473" max="9474" width="0" style="89" hidden="1" customWidth="1"/>
    <col min="9475" max="9475" width="4.59765625" style="89" customWidth="1"/>
    <col min="9476" max="9476" width="8.796875" style="89"/>
    <col min="9477" max="9477" width="0" style="89" hidden="1" customWidth="1"/>
    <col min="9478" max="9478" width="5.09765625" style="89" customWidth="1"/>
    <col min="9479" max="9479" width="9.796875" style="89" customWidth="1"/>
    <col min="9480" max="9480" width="24.69921875" style="89" customWidth="1"/>
    <col min="9481" max="9481" width="0" style="89" hidden="1" customWidth="1"/>
    <col min="9482" max="9482" width="11.796875" style="89" customWidth="1"/>
    <col min="9483" max="9484" width="8.296875" style="89" bestFit="1" customWidth="1"/>
    <col min="9485" max="9485" width="6.3984375" style="89" bestFit="1" customWidth="1"/>
    <col min="9486" max="9728" width="8.796875" style="89"/>
    <col min="9729" max="9730" width="0" style="89" hidden="1" customWidth="1"/>
    <col min="9731" max="9731" width="4.59765625" style="89" customWidth="1"/>
    <col min="9732" max="9732" width="8.796875" style="89"/>
    <col min="9733" max="9733" width="0" style="89" hidden="1" customWidth="1"/>
    <col min="9734" max="9734" width="5.09765625" style="89" customWidth="1"/>
    <col min="9735" max="9735" width="9.796875" style="89" customWidth="1"/>
    <col min="9736" max="9736" width="24.69921875" style="89" customWidth="1"/>
    <col min="9737" max="9737" width="0" style="89" hidden="1" customWidth="1"/>
    <col min="9738" max="9738" width="11.796875" style="89" customWidth="1"/>
    <col min="9739" max="9740" width="8.296875" style="89" bestFit="1" customWidth="1"/>
    <col min="9741" max="9741" width="6.3984375" style="89" bestFit="1" customWidth="1"/>
    <col min="9742" max="9984" width="8.796875" style="89"/>
    <col min="9985" max="9986" width="0" style="89" hidden="1" customWidth="1"/>
    <col min="9987" max="9987" width="4.59765625" style="89" customWidth="1"/>
    <col min="9988" max="9988" width="8.796875" style="89"/>
    <col min="9989" max="9989" width="0" style="89" hidden="1" customWidth="1"/>
    <col min="9990" max="9990" width="5.09765625" style="89" customWidth="1"/>
    <col min="9991" max="9991" width="9.796875" style="89" customWidth="1"/>
    <col min="9992" max="9992" width="24.69921875" style="89" customWidth="1"/>
    <col min="9993" max="9993" width="0" style="89" hidden="1" customWidth="1"/>
    <col min="9994" max="9994" width="11.796875" style="89" customWidth="1"/>
    <col min="9995" max="9996" width="8.296875" style="89" bestFit="1" customWidth="1"/>
    <col min="9997" max="9997" width="6.3984375" style="89" bestFit="1" customWidth="1"/>
    <col min="9998" max="10240" width="8.796875" style="89"/>
    <col min="10241" max="10242" width="0" style="89" hidden="1" customWidth="1"/>
    <col min="10243" max="10243" width="4.59765625" style="89" customWidth="1"/>
    <col min="10244" max="10244" width="8.796875" style="89"/>
    <col min="10245" max="10245" width="0" style="89" hidden="1" customWidth="1"/>
    <col min="10246" max="10246" width="5.09765625" style="89" customWidth="1"/>
    <col min="10247" max="10247" width="9.796875" style="89" customWidth="1"/>
    <col min="10248" max="10248" width="24.69921875" style="89" customWidth="1"/>
    <col min="10249" max="10249" width="0" style="89" hidden="1" customWidth="1"/>
    <col min="10250" max="10250" width="11.796875" style="89" customWidth="1"/>
    <col min="10251" max="10252" width="8.296875" style="89" bestFit="1" customWidth="1"/>
    <col min="10253" max="10253" width="6.3984375" style="89" bestFit="1" customWidth="1"/>
    <col min="10254" max="10496" width="8.796875" style="89"/>
    <col min="10497" max="10498" width="0" style="89" hidden="1" customWidth="1"/>
    <col min="10499" max="10499" width="4.59765625" style="89" customWidth="1"/>
    <col min="10500" max="10500" width="8.796875" style="89"/>
    <col min="10501" max="10501" width="0" style="89" hidden="1" customWidth="1"/>
    <col min="10502" max="10502" width="5.09765625" style="89" customWidth="1"/>
    <col min="10503" max="10503" width="9.796875" style="89" customWidth="1"/>
    <col min="10504" max="10504" width="24.69921875" style="89" customWidth="1"/>
    <col min="10505" max="10505" width="0" style="89" hidden="1" customWidth="1"/>
    <col min="10506" max="10506" width="11.796875" style="89" customWidth="1"/>
    <col min="10507" max="10508" width="8.296875" style="89" bestFit="1" customWidth="1"/>
    <col min="10509" max="10509" width="6.3984375" style="89" bestFit="1" customWidth="1"/>
    <col min="10510" max="10752" width="8.796875" style="89"/>
    <col min="10753" max="10754" width="0" style="89" hidden="1" customWidth="1"/>
    <col min="10755" max="10755" width="4.59765625" style="89" customWidth="1"/>
    <col min="10756" max="10756" width="8.796875" style="89"/>
    <col min="10757" max="10757" width="0" style="89" hidden="1" customWidth="1"/>
    <col min="10758" max="10758" width="5.09765625" style="89" customWidth="1"/>
    <col min="10759" max="10759" width="9.796875" style="89" customWidth="1"/>
    <col min="10760" max="10760" width="24.69921875" style="89" customWidth="1"/>
    <col min="10761" max="10761" width="0" style="89" hidden="1" customWidth="1"/>
    <col min="10762" max="10762" width="11.796875" style="89" customWidth="1"/>
    <col min="10763" max="10764" width="8.296875" style="89" bestFit="1" customWidth="1"/>
    <col min="10765" max="10765" width="6.3984375" style="89" bestFit="1" customWidth="1"/>
    <col min="10766" max="11008" width="8.796875" style="89"/>
    <col min="11009" max="11010" width="0" style="89" hidden="1" customWidth="1"/>
    <col min="11011" max="11011" width="4.59765625" style="89" customWidth="1"/>
    <col min="11012" max="11012" width="8.796875" style="89"/>
    <col min="11013" max="11013" width="0" style="89" hidden="1" customWidth="1"/>
    <col min="11014" max="11014" width="5.09765625" style="89" customWidth="1"/>
    <col min="11015" max="11015" width="9.796875" style="89" customWidth="1"/>
    <col min="11016" max="11016" width="24.69921875" style="89" customWidth="1"/>
    <col min="11017" max="11017" width="0" style="89" hidden="1" customWidth="1"/>
    <col min="11018" max="11018" width="11.796875" style="89" customWidth="1"/>
    <col min="11019" max="11020" width="8.296875" style="89" bestFit="1" customWidth="1"/>
    <col min="11021" max="11021" width="6.3984375" style="89" bestFit="1" customWidth="1"/>
    <col min="11022" max="11264" width="8.796875" style="89"/>
    <col min="11265" max="11266" width="0" style="89" hidden="1" customWidth="1"/>
    <col min="11267" max="11267" width="4.59765625" style="89" customWidth="1"/>
    <col min="11268" max="11268" width="8.796875" style="89"/>
    <col min="11269" max="11269" width="0" style="89" hidden="1" customWidth="1"/>
    <col min="11270" max="11270" width="5.09765625" style="89" customWidth="1"/>
    <col min="11271" max="11271" width="9.796875" style="89" customWidth="1"/>
    <col min="11272" max="11272" width="24.69921875" style="89" customWidth="1"/>
    <col min="11273" max="11273" width="0" style="89" hidden="1" customWidth="1"/>
    <col min="11274" max="11274" width="11.796875" style="89" customWidth="1"/>
    <col min="11275" max="11276" width="8.296875" style="89" bestFit="1" customWidth="1"/>
    <col min="11277" max="11277" width="6.3984375" style="89" bestFit="1" customWidth="1"/>
    <col min="11278" max="11520" width="8.796875" style="89"/>
    <col min="11521" max="11522" width="0" style="89" hidden="1" customWidth="1"/>
    <col min="11523" max="11523" width="4.59765625" style="89" customWidth="1"/>
    <col min="11524" max="11524" width="8.796875" style="89"/>
    <col min="11525" max="11525" width="0" style="89" hidden="1" customWidth="1"/>
    <col min="11526" max="11526" width="5.09765625" style="89" customWidth="1"/>
    <col min="11527" max="11527" width="9.796875" style="89" customWidth="1"/>
    <col min="11528" max="11528" width="24.69921875" style="89" customWidth="1"/>
    <col min="11529" max="11529" width="0" style="89" hidden="1" customWidth="1"/>
    <col min="11530" max="11530" width="11.796875" style="89" customWidth="1"/>
    <col min="11531" max="11532" width="8.296875" style="89" bestFit="1" customWidth="1"/>
    <col min="11533" max="11533" width="6.3984375" style="89" bestFit="1" customWidth="1"/>
    <col min="11534" max="11776" width="8.796875" style="89"/>
    <col min="11777" max="11778" width="0" style="89" hidden="1" customWidth="1"/>
    <col min="11779" max="11779" width="4.59765625" style="89" customWidth="1"/>
    <col min="11780" max="11780" width="8.796875" style="89"/>
    <col min="11781" max="11781" width="0" style="89" hidden="1" customWidth="1"/>
    <col min="11782" max="11782" width="5.09765625" style="89" customWidth="1"/>
    <col min="11783" max="11783" width="9.796875" style="89" customWidth="1"/>
    <col min="11784" max="11784" width="24.69921875" style="89" customWidth="1"/>
    <col min="11785" max="11785" width="0" style="89" hidden="1" customWidth="1"/>
    <col min="11786" max="11786" width="11.796875" style="89" customWidth="1"/>
    <col min="11787" max="11788" width="8.296875" style="89" bestFit="1" customWidth="1"/>
    <col min="11789" max="11789" width="6.3984375" style="89" bestFit="1" customWidth="1"/>
    <col min="11790" max="12032" width="8.796875" style="89"/>
    <col min="12033" max="12034" width="0" style="89" hidden="1" customWidth="1"/>
    <col min="12035" max="12035" width="4.59765625" style="89" customWidth="1"/>
    <col min="12036" max="12036" width="8.796875" style="89"/>
    <col min="12037" max="12037" width="0" style="89" hidden="1" customWidth="1"/>
    <col min="12038" max="12038" width="5.09765625" style="89" customWidth="1"/>
    <col min="12039" max="12039" width="9.796875" style="89" customWidth="1"/>
    <col min="12040" max="12040" width="24.69921875" style="89" customWidth="1"/>
    <col min="12041" max="12041" width="0" style="89" hidden="1" customWidth="1"/>
    <col min="12042" max="12042" width="11.796875" style="89" customWidth="1"/>
    <col min="12043" max="12044" width="8.296875" style="89" bestFit="1" customWidth="1"/>
    <col min="12045" max="12045" width="6.3984375" style="89" bestFit="1" customWidth="1"/>
    <col min="12046" max="12288" width="8.796875" style="89"/>
    <col min="12289" max="12290" width="0" style="89" hidden="1" customWidth="1"/>
    <col min="12291" max="12291" width="4.59765625" style="89" customWidth="1"/>
    <col min="12292" max="12292" width="8.796875" style="89"/>
    <col min="12293" max="12293" width="0" style="89" hidden="1" customWidth="1"/>
    <col min="12294" max="12294" width="5.09765625" style="89" customWidth="1"/>
    <col min="12295" max="12295" width="9.796875" style="89" customWidth="1"/>
    <col min="12296" max="12296" width="24.69921875" style="89" customWidth="1"/>
    <col min="12297" max="12297" width="0" style="89" hidden="1" customWidth="1"/>
    <col min="12298" max="12298" width="11.796875" style="89" customWidth="1"/>
    <col min="12299" max="12300" width="8.296875" style="89" bestFit="1" customWidth="1"/>
    <col min="12301" max="12301" width="6.3984375" style="89" bestFit="1" customWidth="1"/>
    <col min="12302" max="12544" width="8.796875" style="89"/>
    <col min="12545" max="12546" width="0" style="89" hidden="1" customWidth="1"/>
    <col min="12547" max="12547" width="4.59765625" style="89" customWidth="1"/>
    <col min="12548" max="12548" width="8.796875" style="89"/>
    <col min="12549" max="12549" width="0" style="89" hidden="1" customWidth="1"/>
    <col min="12550" max="12550" width="5.09765625" style="89" customWidth="1"/>
    <col min="12551" max="12551" width="9.796875" style="89" customWidth="1"/>
    <col min="12552" max="12552" width="24.69921875" style="89" customWidth="1"/>
    <col min="12553" max="12553" width="0" style="89" hidden="1" customWidth="1"/>
    <col min="12554" max="12554" width="11.796875" style="89" customWidth="1"/>
    <col min="12555" max="12556" width="8.296875" style="89" bestFit="1" customWidth="1"/>
    <col min="12557" max="12557" width="6.3984375" style="89" bestFit="1" customWidth="1"/>
    <col min="12558" max="12800" width="8.796875" style="89"/>
    <col min="12801" max="12802" width="0" style="89" hidden="1" customWidth="1"/>
    <col min="12803" max="12803" width="4.59765625" style="89" customWidth="1"/>
    <col min="12804" max="12804" width="8.796875" style="89"/>
    <col min="12805" max="12805" width="0" style="89" hidden="1" customWidth="1"/>
    <col min="12806" max="12806" width="5.09765625" style="89" customWidth="1"/>
    <col min="12807" max="12807" width="9.796875" style="89" customWidth="1"/>
    <col min="12808" max="12808" width="24.69921875" style="89" customWidth="1"/>
    <col min="12809" max="12809" width="0" style="89" hidden="1" customWidth="1"/>
    <col min="12810" max="12810" width="11.796875" style="89" customWidth="1"/>
    <col min="12811" max="12812" width="8.296875" style="89" bestFit="1" customWidth="1"/>
    <col min="12813" max="12813" width="6.3984375" style="89" bestFit="1" customWidth="1"/>
    <col min="12814" max="13056" width="8.796875" style="89"/>
    <col min="13057" max="13058" width="0" style="89" hidden="1" customWidth="1"/>
    <col min="13059" max="13059" width="4.59765625" style="89" customWidth="1"/>
    <col min="13060" max="13060" width="8.796875" style="89"/>
    <col min="13061" max="13061" width="0" style="89" hidden="1" customWidth="1"/>
    <col min="13062" max="13062" width="5.09765625" style="89" customWidth="1"/>
    <col min="13063" max="13063" width="9.796875" style="89" customWidth="1"/>
    <col min="13064" max="13064" width="24.69921875" style="89" customWidth="1"/>
    <col min="13065" max="13065" width="0" style="89" hidden="1" customWidth="1"/>
    <col min="13066" max="13066" width="11.796875" style="89" customWidth="1"/>
    <col min="13067" max="13068" width="8.296875" style="89" bestFit="1" customWidth="1"/>
    <col min="13069" max="13069" width="6.3984375" style="89" bestFit="1" customWidth="1"/>
    <col min="13070" max="13312" width="8.796875" style="89"/>
    <col min="13313" max="13314" width="0" style="89" hidden="1" customWidth="1"/>
    <col min="13315" max="13315" width="4.59765625" style="89" customWidth="1"/>
    <col min="13316" max="13316" width="8.796875" style="89"/>
    <col min="13317" max="13317" width="0" style="89" hidden="1" customWidth="1"/>
    <col min="13318" max="13318" width="5.09765625" style="89" customWidth="1"/>
    <col min="13319" max="13319" width="9.796875" style="89" customWidth="1"/>
    <col min="13320" max="13320" width="24.69921875" style="89" customWidth="1"/>
    <col min="13321" max="13321" width="0" style="89" hidden="1" customWidth="1"/>
    <col min="13322" max="13322" width="11.796875" style="89" customWidth="1"/>
    <col min="13323" max="13324" width="8.296875" style="89" bestFit="1" customWidth="1"/>
    <col min="13325" max="13325" width="6.3984375" style="89" bestFit="1" customWidth="1"/>
    <col min="13326" max="13568" width="8.796875" style="89"/>
    <col min="13569" max="13570" width="0" style="89" hidden="1" customWidth="1"/>
    <col min="13571" max="13571" width="4.59765625" style="89" customWidth="1"/>
    <col min="13572" max="13572" width="8.796875" style="89"/>
    <col min="13573" max="13573" width="0" style="89" hidden="1" customWidth="1"/>
    <col min="13574" max="13574" width="5.09765625" style="89" customWidth="1"/>
    <col min="13575" max="13575" width="9.796875" style="89" customWidth="1"/>
    <col min="13576" max="13576" width="24.69921875" style="89" customWidth="1"/>
    <col min="13577" max="13577" width="0" style="89" hidden="1" customWidth="1"/>
    <col min="13578" max="13578" width="11.796875" style="89" customWidth="1"/>
    <col min="13579" max="13580" width="8.296875" style="89" bestFit="1" customWidth="1"/>
    <col min="13581" max="13581" width="6.3984375" style="89" bestFit="1" customWidth="1"/>
    <col min="13582" max="13824" width="8.796875" style="89"/>
    <col min="13825" max="13826" width="0" style="89" hidden="1" customWidth="1"/>
    <col min="13827" max="13827" width="4.59765625" style="89" customWidth="1"/>
    <col min="13828" max="13828" width="8.796875" style="89"/>
    <col min="13829" max="13829" width="0" style="89" hidden="1" customWidth="1"/>
    <col min="13830" max="13830" width="5.09765625" style="89" customWidth="1"/>
    <col min="13831" max="13831" width="9.796875" style="89" customWidth="1"/>
    <col min="13832" max="13832" width="24.69921875" style="89" customWidth="1"/>
    <col min="13833" max="13833" width="0" style="89" hidden="1" customWidth="1"/>
    <col min="13834" max="13834" width="11.796875" style="89" customWidth="1"/>
    <col min="13835" max="13836" width="8.296875" style="89" bestFit="1" customWidth="1"/>
    <col min="13837" max="13837" width="6.3984375" style="89" bestFit="1" customWidth="1"/>
    <col min="13838" max="14080" width="8.796875" style="89"/>
    <col min="14081" max="14082" width="0" style="89" hidden="1" customWidth="1"/>
    <col min="14083" max="14083" width="4.59765625" style="89" customWidth="1"/>
    <col min="14084" max="14084" width="8.796875" style="89"/>
    <col min="14085" max="14085" width="0" style="89" hidden="1" customWidth="1"/>
    <col min="14086" max="14086" width="5.09765625" style="89" customWidth="1"/>
    <col min="14087" max="14087" width="9.796875" style="89" customWidth="1"/>
    <col min="14088" max="14088" width="24.69921875" style="89" customWidth="1"/>
    <col min="14089" max="14089" width="0" style="89" hidden="1" customWidth="1"/>
    <col min="14090" max="14090" width="11.796875" style="89" customWidth="1"/>
    <col min="14091" max="14092" width="8.296875" style="89" bestFit="1" customWidth="1"/>
    <col min="14093" max="14093" width="6.3984375" style="89" bestFit="1" customWidth="1"/>
    <col min="14094" max="14336" width="8.796875" style="89"/>
    <col min="14337" max="14338" width="0" style="89" hidden="1" customWidth="1"/>
    <col min="14339" max="14339" width="4.59765625" style="89" customWidth="1"/>
    <col min="14340" max="14340" width="8.796875" style="89"/>
    <col min="14341" max="14341" width="0" style="89" hidden="1" customWidth="1"/>
    <col min="14342" max="14342" width="5.09765625" style="89" customWidth="1"/>
    <col min="14343" max="14343" width="9.796875" style="89" customWidth="1"/>
    <col min="14344" max="14344" width="24.69921875" style="89" customWidth="1"/>
    <col min="14345" max="14345" width="0" style="89" hidden="1" customWidth="1"/>
    <col min="14346" max="14346" width="11.796875" style="89" customWidth="1"/>
    <col min="14347" max="14348" width="8.296875" style="89" bestFit="1" customWidth="1"/>
    <col min="14349" max="14349" width="6.3984375" style="89" bestFit="1" customWidth="1"/>
    <col min="14350" max="14592" width="8.796875" style="89"/>
    <col min="14593" max="14594" width="0" style="89" hidden="1" customWidth="1"/>
    <col min="14595" max="14595" width="4.59765625" style="89" customWidth="1"/>
    <col min="14596" max="14596" width="8.796875" style="89"/>
    <col min="14597" max="14597" width="0" style="89" hidden="1" customWidth="1"/>
    <col min="14598" max="14598" width="5.09765625" style="89" customWidth="1"/>
    <col min="14599" max="14599" width="9.796875" style="89" customWidth="1"/>
    <col min="14600" max="14600" width="24.69921875" style="89" customWidth="1"/>
    <col min="14601" max="14601" width="0" style="89" hidden="1" customWidth="1"/>
    <col min="14602" max="14602" width="11.796875" style="89" customWidth="1"/>
    <col min="14603" max="14604" width="8.296875" style="89" bestFit="1" customWidth="1"/>
    <col min="14605" max="14605" width="6.3984375" style="89" bestFit="1" customWidth="1"/>
    <col min="14606" max="14848" width="8.796875" style="89"/>
    <col min="14849" max="14850" width="0" style="89" hidden="1" customWidth="1"/>
    <col min="14851" max="14851" width="4.59765625" style="89" customWidth="1"/>
    <col min="14852" max="14852" width="8.796875" style="89"/>
    <col min="14853" max="14853" width="0" style="89" hidden="1" customWidth="1"/>
    <col min="14854" max="14854" width="5.09765625" style="89" customWidth="1"/>
    <col min="14855" max="14855" width="9.796875" style="89" customWidth="1"/>
    <col min="14856" max="14856" width="24.69921875" style="89" customWidth="1"/>
    <col min="14857" max="14857" width="0" style="89" hidden="1" customWidth="1"/>
    <col min="14858" max="14858" width="11.796875" style="89" customWidth="1"/>
    <col min="14859" max="14860" width="8.296875" style="89" bestFit="1" customWidth="1"/>
    <col min="14861" max="14861" width="6.3984375" style="89" bestFit="1" customWidth="1"/>
    <col min="14862" max="15104" width="8.796875" style="89"/>
    <col min="15105" max="15106" width="0" style="89" hidden="1" customWidth="1"/>
    <col min="15107" max="15107" width="4.59765625" style="89" customWidth="1"/>
    <col min="15108" max="15108" width="8.796875" style="89"/>
    <col min="15109" max="15109" width="0" style="89" hidden="1" customWidth="1"/>
    <col min="15110" max="15110" width="5.09765625" style="89" customWidth="1"/>
    <col min="15111" max="15111" width="9.796875" style="89" customWidth="1"/>
    <col min="15112" max="15112" width="24.69921875" style="89" customWidth="1"/>
    <col min="15113" max="15113" width="0" style="89" hidden="1" customWidth="1"/>
    <col min="15114" max="15114" width="11.796875" style="89" customWidth="1"/>
    <col min="15115" max="15116" width="8.296875" style="89" bestFit="1" customWidth="1"/>
    <col min="15117" max="15117" width="6.3984375" style="89" bestFit="1" customWidth="1"/>
    <col min="15118" max="15360" width="8.796875" style="89"/>
    <col min="15361" max="15362" width="0" style="89" hidden="1" customWidth="1"/>
    <col min="15363" max="15363" width="4.59765625" style="89" customWidth="1"/>
    <col min="15364" max="15364" width="8.796875" style="89"/>
    <col min="15365" max="15365" width="0" style="89" hidden="1" customWidth="1"/>
    <col min="15366" max="15366" width="5.09765625" style="89" customWidth="1"/>
    <col min="15367" max="15367" width="9.796875" style="89" customWidth="1"/>
    <col min="15368" max="15368" width="24.69921875" style="89" customWidth="1"/>
    <col min="15369" max="15369" width="0" style="89" hidden="1" customWidth="1"/>
    <col min="15370" max="15370" width="11.796875" style="89" customWidth="1"/>
    <col min="15371" max="15372" width="8.296875" style="89" bestFit="1" customWidth="1"/>
    <col min="15373" max="15373" width="6.3984375" style="89" bestFit="1" customWidth="1"/>
    <col min="15374" max="15616" width="8.796875" style="89"/>
    <col min="15617" max="15618" width="0" style="89" hidden="1" customWidth="1"/>
    <col min="15619" max="15619" width="4.59765625" style="89" customWidth="1"/>
    <col min="15620" max="15620" width="8.796875" style="89"/>
    <col min="15621" max="15621" width="0" style="89" hidden="1" customWidth="1"/>
    <col min="15622" max="15622" width="5.09765625" style="89" customWidth="1"/>
    <col min="15623" max="15623" width="9.796875" style="89" customWidth="1"/>
    <col min="15624" max="15624" width="24.69921875" style="89" customWidth="1"/>
    <col min="15625" max="15625" width="0" style="89" hidden="1" customWidth="1"/>
    <col min="15626" max="15626" width="11.796875" style="89" customWidth="1"/>
    <col min="15627" max="15628" width="8.296875" style="89" bestFit="1" customWidth="1"/>
    <col min="15629" max="15629" width="6.3984375" style="89" bestFit="1" customWidth="1"/>
    <col min="15630" max="15872" width="8.796875" style="89"/>
    <col min="15873" max="15874" width="0" style="89" hidden="1" customWidth="1"/>
    <col min="15875" max="15875" width="4.59765625" style="89" customWidth="1"/>
    <col min="15876" max="15876" width="8.796875" style="89"/>
    <col min="15877" max="15877" width="0" style="89" hidden="1" customWidth="1"/>
    <col min="15878" max="15878" width="5.09765625" style="89" customWidth="1"/>
    <col min="15879" max="15879" width="9.796875" style="89" customWidth="1"/>
    <col min="15880" max="15880" width="24.69921875" style="89" customWidth="1"/>
    <col min="15881" max="15881" width="0" style="89" hidden="1" customWidth="1"/>
    <col min="15882" max="15882" width="11.796875" style="89" customWidth="1"/>
    <col min="15883" max="15884" width="8.296875" style="89" bestFit="1" customWidth="1"/>
    <col min="15885" max="15885" width="6.3984375" style="89" bestFit="1" customWidth="1"/>
    <col min="15886" max="16128" width="8.796875" style="89"/>
    <col min="16129" max="16130" width="0" style="89" hidden="1" customWidth="1"/>
    <col min="16131" max="16131" width="4.59765625" style="89" customWidth="1"/>
    <col min="16132" max="16132" width="8.796875" style="89"/>
    <col min="16133" max="16133" width="0" style="89" hidden="1" customWidth="1"/>
    <col min="16134" max="16134" width="5.09765625" style="89" customWidth="1"/>
    <col min="16135" max="16135" width="9.796875" style="89" customWidth="1"/>
    <col min="16136" max="16136" width="24.69921875" style="89" customWidth="1"/>
    <col min="16137" max="16137" width="0" style="89" hidden="1" customWidth="1"/>
    <col min="16138" max="16138" width="11.796875" style="89" customWidth="1"/>
    <col min="16139" max="16140" width="8.296875" style="89" bestFit="1" customWidth="1"/>
    <col min="16141" max="16141" width="6.3984375" style="89" bestFit="1" customWidth="1"/>
    <col min="16142" max="16384" width="8.796875" style="89"/>
  </cols>
  <sheetData>
    <row r="1" spans="1:13" ht="20.25" customHeight="1" x14ac:dyDescent="0.45">
      <c r="C1" s="90" t="s">
        <v>53</v>
      </c>
      <c r="K1" s="269"/>
      <c r="L1" s="269"/>
      <c r="M1" s="269"/>
    </row>
    <row r="2" spans="1:13" ht="18" customHeight="1" thickBot="1" x14ac:dyDescent="0.5">
      <c r="A2" s="157" t="s">
        <v>54</v>
      </c>
      <c r="B2" s="157" t="s">
        <v>55</v>
      </c>
      <c r="C2" s="93" t="s">
        <v>56</v>
      </c>
      <c r="D2" s="94" t="s">
        <v>57</v>
      </c>
      <c r="E2" s="162" t="s">
        <v>58</v>
      </c>
      <c r="F2" s="93" t="s">
        <v>59</v>
      </c>
      <c r="G2" s="94" t="s">
        <v>60</v>
      </c>
      <c r="H2" s="94" t="s">
        <v>61</v>
      </c>
      <c r="I2" s="162" t="s">
        <v>62</v>
      </c>
      <c r="J2" s="94" t="s">
        <v>63</v>
      </c>
      <c r="K2" s="95" t="s">
        <v>64</v>
      </c>
      <c r="L2" s="95" t="s">
        <v>65</v>
      </c>
      <c r="M2" s="95" t="s">
        <v>66</v>
      </c>
    </row>
    <row r="3" spans="1:13" ht="18" customHeight="1" thickTop="1" thickBot="1" x14ac:dyDescent="0.5">
      <c r="A3" s="158"/>
      <c r="B3" s="158"/>
      <c r="C3" s="96"/>
      <c r="D3" s="97"/>
      <c r="E3" s="163"/>
      <c r="F3" s="96"/>
      <c r="G3" s="97"/>
      <c r="H3" s="97"/>
      <c r="I3" s="163"/>
      <c r="J3" s="97"/>
      <c r="K3" s="98">
        <f>SUMIF(J4:J5,"&lt;&gt;",K4:K5)</f>
        <v>0</v>
      </c>
      <c r="L3" s="98">
        <f>SUMIF(J4:J5,"=",L4:L5)</f>
        <v>0</v>
      </c>
      <c r="M3" s="99" t="str">
        <f>IF(ISERROR((K3/L3)*100),"",(K3/L3)*100)</f>
        <v/>
      </c>
    </row>
    <row r="4" spans="1:13" ht="18" customHeight="1" thickTop="1" x14ac:dyDescent="0.45">
      <c r="A4" s="159"/>
      <c r="B4" s="159"/>
      <c r="C4" s="100"/>
      <c r="D4" s="101"/>
      <c r="E4" s="164"/>
      <c r="F4" s="100"/>
      <c r="G4" s="101"/>
      <c r="H4" s="101"/>
      <c r="I4" s="164"/>
      <c r="J4" s="101"/>
      <c r="K4" s="102"/>
      <c r="L4" s="102"/>
      <c r="M4" s="103" t="str">
        <f>IF(ISERROR((K4/L4)*100),"",(K4/L4)*100)</f>
        <v/>
      </c>
    </row>
    <row r="5" spans="1:13" ht="18" customHeight="1" x14ac:dyDescent="0.45">
      <c r="A5" s="160"/>
      <c r="B5" s="160"/>
      <c r="C5" s="100"/>
      <c r="D5" s="101"/>
      <c r="E5" s="164"/>
      <c r="F5" s="100"/>
      <c r="G5" s="101"/>
      <c r="H5" s="101"/>
      <c r="I5" s="164"/>
      <c r="J5" s="101"/>
      <c r="K5" s="102"/>
      <c r="L5" s="102"/>
      <c r="M5" s="103" t="str">
        <f>IF(ISERROR((K5/L5)*100),"",(K5/L5)*100)</f>
        <v/>
      </c>
    </row>
  </sheetData>
  <mergeCells count="1">
    <mergeCell ref="K1:M1"/>
  </mergeCells>
  <phoneticPr fontId="2"/>
  <pageMargins left="0.39370078740157483" right="0" top="0.39370078740157483" bottom="0.39370078740157483" header="0.19685039370078741" footer="0.19685039370078741"/>
  <pageSetup paperSize="9" orientation="portrait" r:id="rId1"/>
  <headerFooter>
    <oddHeader>&amp;R&amp;F</oddHeader>
    <oddFooter>&amp;L&amp;A&amp;C㈱三和商研　&amp;P/&amp;N&amp;R©2024 SMS DataTech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8" x14ac:dyDescent="0.45"/>
  <sheetData/>
  <phoneticPr fontId="2"/>
  <pageMargins left="0.7" right="0.7" top="0.75" bottom="0.75" header="0.3" footer="0.3"/>
  <pageSetup paperSize="9" orientation="portrait" r:id="rId1"/>
  <headerFooter>
    <oddFooter>&amp;R©2024 SMS DataTech Corporation. All rights reserved.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6"/>
  <sheetViews>
    <sheetView workbookViewId="0">
      <selection activeCell="A2" sqref="A2:XFD2"/>
    </sheetView>
  </sheetViews>
  <sheetFormatPr defaultRowHeight="18" x14ac:dyDescent="0.45"/>
  <sheetData>
    <row r="1" spans="1:1" x14ac:dyDescent="0.45">
      <c r="A1" s="70" t="s">
        <v>47</v>
      </c>
    </row>
    <row r="2" spans="1:1" x14ac:dyDescent="0.45">
      <c r="A2" s="71" t="s">
        <v>37</v>
      </c>
    </row>
    <row r="3" spans="1:1" x14ac:dyDescent="0.45">
      <c r="A3" s="70" t="s">
        <v>38</v>
      </c>
    </row>
    <row r="4" spans="1:1" x14ac:dyDescent="0.45">
      <c r="A4" s="70" t="s">
        <v>41</v>
      </c>
    </row>
    <row r="5" spans="1:1" x14ac:dyDescent="0.45">
      <c r="A5" s="70" t="s">
        <v>39</v>
      </c>
    </row>
    <row r="6" spans="1:1" x14ac:dyDescent="0.45">
      <c r="A6" s="70" t="s">
        <v>40</v>
      </c>
    </row>
  </sheetData>
  <phoneticPr fontId="2"/>
  <pageMargins left="0.7" right="0.7" top="0.75" bottom="0.75" header="0.3" footer="0.3"/>
  <pageSetup paperSize="9" orientation="portrait" r:id="rId1"/>
  <headerFooter>
    <oddFooter>&amp;R©2024 SMS DataTech Corporation.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16</vt:i4>
      </vt:variant>
    </vt:vector>
  </HeadingPairs>
  <TitlesOfParts>
    <vt:vector size="26" baseType="lpstr">
      <vt:lpstr>変更履歴</vt:lpstr>
      <vt:lpstr>概要</vt:lpstr>
      <vt:lpstr>帳票レイアウト</vt:lpstr>
      <vt:lpstr>項目一覧</vt:lpstr>
      <vt:lpstr>処理詳細</vt:lpstr>
      <vt:lpstr>処理詳細_書き方</vt:lpstr>
      <vt:lpstr>確認事項</vt:lpstr>
      <vt:lpstr>別紙_テンプレート</vt:lpstr>
      <vt:lpstr>別紙_印刷レイアウト</vt:lpstr>
      <vt:lpstr>参照</vt:lpstr>
      <vt:lpstr>CoreCells</vt:lpstr>
      <vt:lpstr>概要!Print_Area</vt:lpstr>
      <vt:lpstr>項目一覧!Print_Area</vt:lpstr>
      <vt:lpstr>処理詳細!Print_Area</vt:lpstr>
      <vt:lpstr>処理詳細_書き方!Print_Area</vt:lpstr>
      <vt:lpstr>帳票レイアウト!Print_Area</vt:lpstr>
      <vt:lpstr>別紙_テンプレート!Print_Area</vt:lpstr>
      <vt:lpstr>変更履歴!Print_Area</vt:lpstr>
      <vt:lpstr>概要!Print_Titles</vt:lpstr>
      <vt:lpstr>項目一覧!Print_Titles</vt:lpstr>
      <vt:lpstr>処理詳細!Print_Titles</vt:lpstr>
      <vt:lpstr>処理詳細_書き方!Print_Titles</vt:lpstr>
      <vt:lpstr>帳票レイアウト!Print_Titles</vt:lpstr>
      <vt:lpstr>別紙_テンプレート!Print_Titles</vt:lpstr>
      <vt:lpstr>変更履歴!Print_Titles</vt:lpstr>
      <vt:lpstr>作成日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2025-05-24T05:35:59Z</dcterms:modified>
</cp:coreProperties>
</file>