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9096" firstSheet="5" activeTab="5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r:id="rId6"/>
    <sheet name="確認事項" sheetId="15" r:id="rId7"/>
    <sheet name="参照" sheetId="12" state="hidden" r:id="rId8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処理詳細!$A$1:$BR$30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<sst xmlns="http://schemas.openxmlformats.org/spreadsheetml/2006/main" count="152" uniqueCount="92">
  <si>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</si>
  <si>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</si>
  <si>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</si>
  <si>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</si>
  <si>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</si>
  <si>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</si>
  <si>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</si>
  <si>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</si>
  <si>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</si>
  <si>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</si>
  <si>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</si>
  <si>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</si>
  <si>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</si>
  <si>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</si>
  <si>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</si>
  <si>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</si>
  <si>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</si>
  <si>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</si>
  <si>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</si>
  <si>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XXXXXXXX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</si>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</sst>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103095</xdr:colOff>
      <xdr:row>6</xdr:row>
      <xdr:rowOff>212911</xdr:rowOff>
    </xdr:from>
    <xdr:to>
      <xdr:col>47</xdr:col>
      <xdr:colOff>152401</xdr:colOff>
      <xdr:row>46</xdr:row>
      <xdr:rowOff>152398</xdr:rowOff>
    </xdr:to>
    <xdr:sp macro="" textlink="">
      <xdr:nvSpPr>
        <xdr:cNvPr id="4" name="テキスト ボックス 3"/>
        <xdr:cNvSpPr txBox="1"/>
      </xdr:nvSpPr>
      <xdr:spPr>
        <a:xfrm>
          <a:off x="4630271" y="1342464"/>
          <a:ext cx="8386483" cy="99799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200"/>
            <a:t>帳票イメージ</a:t>
          </a:r>
        </a:p>
      </xdr:txBody>
    </xdr:sp>
    <xdr:clientData/>
  </xdr:twoCellAnchor>
  <xdr:twoCellAnchor>
    <xdr:from>
      <xdr:col>1</xdr:col>
      <xdr:colOff>134471</xdr:colOff>
      <xdr:row>7</xdr:row>
      <xdr:rowOff>233083</xdr:rowOff>
    </xdr:from>
    <xdr:to>
      <xdr:col>2</xdr:col>
      <xdr:colOff>197223</xdr:colOff>
      <xdr:row>9</xdr:row>
      <xdr:rowOff>53790</xdr:rowOff>
    </xdr:to>
    <xdr:sp macro="" textlink="">
      <xdr:nvSpPr>
        <xdr:cNvPr id="3" name="正方形/長方形 2"/>
        <xdr:cNvSpPr/>
      </xdr:nvSpPr>
      <xdr:spPr>
        <a:xfrm>
          <a:off x="215153" y="16136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28" t="s">
        <v>0</v>
      </c>
      <c r="C2" s="129"/>
      <c r="D2" s="129"/>
      <c r="E2" s="129"/>
      <c r="F2" s="129"/>
      <c r="G2" s="129"/>
      <c r="H2" s="129" t="s">
        <v>18</v>
      </c>
      <c r="I2" s="129"/>
      <c r="J2" s="129"/>
      <c r="K2" s="129"/>
      <c r="L2" s="129" t="s">
        <v>1</v>
      </c>
      <c r="M2" s="129"/>
      <c r="N2" s="129"/>
      <c r="O2" s="129"/>
      <c r="P2" s="129"/>
      <c r="Q2" s="129"/>
      <c r="R2" s="129" t="s">
        <v>2</v>
      </c>
      <c r="S2" s="129"/>
      <c r="T2" s="129"/>
      <c r="U2" s="129"/>
      <c r="V2" s="129"/>
      <c r="W2" s="129"/>
      <c r="X2" s="130" t="s">
        <v>3</v>
      </c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2"/>
      <c r="AK2" s="130" t="s">
        <v>33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2"/>
      <c r="AX2" s="129" t="s">
        <v>5</v>
      </c>
      <c r="AY2" s="129"/>
      <c r="AZ2" s="129"/>
      <c r="BA2" s="129"/>
      <c r="BB2" s="129" t="s">
        <v>4</v>
      </c>
      <c r="BC2" s="129"/>
      <c r="BD2" s="129"/>
      <c r="BE2" s="129"/>
      <c r="BF2" s="129" t="s">
        <v>6</v>
      </c>
      <c r="BG2" s="129"/>
      <c r="BH2" s="129"/>
      <c r="BI2" s="129"/>
      <c r="BJ2" s="129" t="s">
        <v>7</v>
      </c>
      <c r="BK2" s="129"/>
      <c r="BL2" s="129"/>
      <c r="BM2" s="143"/>
      <c r="BN2" s="14"/>
    </row>
    <row r="3" spans="1:66" ht="20.100000000000001" customHeight="1" x14ac:dyDescent="0.45">
      <c r="A3" s="8"/>
      <c r="B3" s="133" t="s">
        <v>19</v>
      </c>
      <c r="C3" s="134"/>
      <c r="D3" s="134"/>
      <c r="E3" s="134"/>
      <c r="F3" s="134"/>
      <c r="G3" s="134"/>
      <c r="H3" s="134" t="str">
        <f ca="1">LEFT($X$3,FIND("_",$X$3)-1)</f>
        <v/>
      </c>
      <c r="I3" s="134"/>
      <c r="J3" s="134"/>
      <c r="K3" s="134"/>
      <c r="L3" s="134" t="s">
        <v>8</v>
      </c>
      <c r="M3" s="134"/>
      <c r="N3" s="134"/>
      <c r="O3" s="134"/>
      <c r="P3" s="134"/>
      <c r="Q3" s="134"/>
      <c r="R3" s="137" t="str">
        <f ca="1">MID($X$3,FIND("_",$X$3,FIND("_",$X$3)+1)+1,LEN($X$3)-FIND("_",$X$3,FIND("_",$X$3)+1))</f>
        <v>帳票設計書</v>
      </c>
      <c r="S3" s="134"/>
      <c r="T3" s="134"/>
      <c r="U3" s="134"/>
      <c r="V3" s="134"/>
      <c r="W3" s="134"/>
      <c r="X3" s="138" t="str">
        <f ca="1">REPLACE(LEFT(CELL("filename",$B$2),FIND(".x",CELL("filename",$B$2))-1),1,FIND("[",CELL("filename",$B$2)),)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MID($X$3,FIND("_",$X$3)+1,FIND("_",$X$3,FIND("_",$X$3)+1)-FIND("_",$X$3)-1)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/>
      <c r="AY3" s="134"/>
      <c r="AZ3" s="134"/>
      <c r="BA3" s="134"/>
      <c r="BB3" s="134"/>
      <c r="BC3" s="134"/>
      <c r="BD3" s="134"/>
      <c r="BE3" s="134"/>
      <c r="BF3" s="145"/>
      <c r="BG3" s="134"/>
      <c r="BH3" s="134"/>
      <c r="BI3" s="134"/>
      <c r="BJ3" s="134"/>
      <c r="BK3" s="134"/>
      <c r="BL3" s="134"/>
      <c r="BM3" s="146"/>
      <c r="BN3" s="14"/>
    </row>
    <row r="4" spans="1:66" ht="20.100000000000001" customHeight="1" thickBot="1" x14ac:dyDescent="0.5">
      <c r="A4" s="8"/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2"/>
      <c r="AK4" s="140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2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4" t="s">
        <v>9</v>
      </c>
      <c r="D8" s="144"/>
      <c r="E8" s="144"/>
      <c r="F8" s="144"/>
      <c r="G8" s="144" t="s">
        <v>10</v>
      </c>
      <c r="H8" s="144"/>
      <c r="I8" s="144"/>
      <c r="J8" s="144"/>
      <c r="K8" s="144" t="s">
        <v>11</v>
      </c>
      <c r="L8" s="144"/>
      <c r="M8" s="144"/>
      <c r="N8" s="144"/>
      <c r="O8" s="144" t="s">
        <v>12</v>
      </c>
      <c r="P8" s="144"/>
      <c r="Q8" s="144"/>
      <c r="R8" s="144"/>
      <c r="S8" s="144"/>
      <c r="T8" s="144"/>
      <c r="U8" s="144"/>
      <c r="V8" s="144"/>
      <c r="W8" s="144"/>
      <c r="X8" s="144"/>
      <c r="Y8" s="144" t="s">
        <v>13</v>
      </c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7"/>
      <c r="BN8" s="14"/>
    </row>
    <row r="9" spans="1:66" ht="20.100000000000001" customHeight="1" x14ac:dyDescent="0.45">
      <c r="A9" s="8"/>
      <c r="B9" s="7"/>
      <c r="C9" s="147"/>
      <c r="D9" s="148"/>
      <c r="E9" s="148"/>
      <c r="F9" s="149"/>
      <c r="G9" s="150" t="s">
        <v>17</v>
      </c>
      <c r="H9" s="151"/>
      <c r="I9" s="151"/>
      <c r="J9" s="152"/>
      <c r="K9" s="153"/>
      <c r="L9" s="148"/>
      <c r="M9" s="148"/>
      <c r="N9" s="149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7"/>
      <c r="D10" s="148"/>
      <c r="E10" s="148"/>
      <c r="F10" s="149"/>
      <c r="G10" s="150"/>
      <c r="H10" s="151"/>
      <c r="I10" s="151"/>
      <c r="J10" s="152"/>
      <c r="K10" s="153"/>
      <c r="L10" s="148"/>
      <c r="M10" s="148"/>
      <c r="N10" s="14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7"/>
      <c r="D11" s="148"/>
      <c r="E11" s="148"/>
      <c r="F11" s="149"/>
      <c r="G11" s="150"/>
      <c r="H11" s="151"/>
      <c r="I11" s="151"/>
      <c r="J11" s="152"/>
      <c r="K11" s="153"/>
      <c r="L11" s="148"/>
      <c r="M11" s="148"/>
      <c r="N11" s="14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7"/>
      <c r="D36" s="148"/>
      <c r="E36" s="148"/>
      <c r="F36" s="149"/>
      <c r="G36" s="150"/>
      <c r="H36" s="151"/>
      <c r="I36" s="151"/>
      <c r="J36" s="152"/>
      <c r="K36" s="153"/>
      <c r="L36" s="148"/>
      <c r="M36" s="148"/>
      <c r="N36" s="14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7"/>
      <c r="D37" s="148"/>
      <c r="E37" s="148"/>
      <c r="F37" s="149"/>
      <c r="G37" s="150"/>
      <c r="H37" s="151"/>
      <c r="I37" s="151"/>
      <c r="J37" s="152"/>
      <c r="K37" s="153"/>
      <c r="L37" s="148"/>
      <c r="M37" s="148"/>
      <c r="N37" s="14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7"/>
      <c r="D38" s="148"/>
      <c r="E38" s="148"/>
      <c r="F38" s="149"/>
      <c r="G38" s="150"/>
      <c r="H38" s="151"/>
      <c r="I38" s="151"/>
      <c r="J38" s="152"/>
      <c r="K38" s="153"/>
      <c r="L38" s="148"/>
      <c r="M38" s="148"/>
      <c r="N38" s="14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7"/>
      <c r="D39" s="148"/>
      <c r="E39" s="148"/>
      <c r="F39" s="149"/>
      <c r="G39" s="150"/>
      <c r="H39" s="151"/>
      <c r="I39" s="151"/>
      <c r="J39" s="152"/>
      <c r="K39" s="153"/>
      <c r="L39" s="148"/>
      <c r="M39" s="148"/>
      <c r="N39" s="14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7"/>
      <c r="D40" s="148"/>
      <c r="E40" s="148"/>
      <c r="F40" s="149"/>
      <c r="G40" s="150"/>
      <c r="H40" s="151"/>
      <c r="I40" s="151"/>
      <c r="J40" s="152"/>
      <c r="K40" s="153"/>
      <c r="L40" s="148"/>
      <c r="M40" s="148"/>
      <c r="N40" s="14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7"/>
      <c r="D41" s="148"/>
      <c r="E41" s="148"/>
      <c r="F41" s="149"/>
      <c r="G41" s="150"/>
      <c r="H41" s="151"/>
      <c r="I41" s="151"/>
      <c r="J41" s="152"/>
      <c r="K41" s="153"/>
      <c r="L41" s="148"/>
      <c r="M41" s="148"/>
      <c r="N41" s="14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7"/>
      <c r="D42" s="148"/>
      <c r="E42" s="148"/>
      <c r="F42" s="149"/>
      <c r="G42" s="150"/>
      <c r="H42" s="151"/>
      <c r="I42" s="151"/>
      <c r="J42" s="152"/>
      <c r="K42" s="153"/>
      <c r="L42" s="148"/>
      <c r="M42" s="148"/>
      <c r="N42" s="14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7"/>
      <c r="D43" s="148"/>
      <c r="E43" s="148"/>
      <c r="F43" s="149"/>
      <c r="G43" s="150"/>
      <c r="H43" s="151"/>
      <c r="I43" s="151"/>
      <c r="J43" s="152"/>
      <c r="K43" s="153"/>
      <c r="L43" s="148"/>
      <c r="M43" s="148"/>
      <c r="N43" s="14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7"/>
      <c r="D44" s="148"/>
      <c r="E44" s="148"/>
      <c r="F44" s="149"/>
      <c r="G44" s="150"/>
      <c r="H44" s="151"/>
      <c r="I44" s="151"/>
      <c r="J44" s="152"/>
      <c r="K44" s="153"/>
      <c r="L44" s="148"/>
      <c r="M44" s="148"/>
      <c r="N44" s="14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7"/>
      <c r="D45" s="148"/>
      <c r="E45" s="148"/>
      <c r="F45" s="149"/>
      <c r="G45" s="150"/>
      <c r="H45" s="151"/>
      <c r="I45" s="151"/>
      <c r="J45" s="152"/>
      <c r="K45" s="153"/>
      <c r="L45" s="148"/>
      <c r="M45" s="148"/>
      <c r="N45" s="14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7"/>
      <c r="D46" s="148"/>
      <c r="E46" s="148"/>
      <c r="F46" s="149"/>
      <c r="G46" s="150"/>
      <c r="H46" s="151"/>
      <c r="I46" s="151"/>
      <c r="J46" s="152"/>
      <c r="K46" s="153"/>
      <c r="L46" s="148"/>
      <c r="M46" s="148"/>
      <c r="N46" s="14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7"/>
      <c r="D47" s="148"/>
      <c r="E47" s="148"/>
      <c r="F47" s="149"/>
      <c r="G47" s="150"/>
      <c r="H47" s="151"/>
      <c r="I47" s="151"/>
      <c r="J47" s="152"/>
      <c r="K47" s="153"/>
      <c r="L47" s="148"/>
      <c r="M47" s="148"/>
      <c r="N47" s="14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28" t="s">
        <v>0</v>
      </c>
      <c r="C2" s="129"/>
      <c r="D2" s="129"/>
      <c r="E2" s="129"/>
      <c r="F2" s="129"/>
      <c r="G2" s="129"/>
      <c r="H2" s="129" t="s">
        <v>18</v>
      </c>
      <c r="I2" s="129"/>
      <c r="J2" s="129"/>
      <c r="K2" s="129"/>
      <c r="L2" s="129" t="s">
        <v>1</v>
      </c>
      <c r="M2" s="129"/>
      <c r="N2" s="129"/>
      <c r="O2" s="129"/>
      <c r="P2" s="129"/>
      <c r="Q2" s="129"/>
      <c r="R2" s="129" t="s">
        <v>2</v>
      </c>
      <c r="S2" s="129"/>
      <c r="T2" s="129"/>
      <c r="U2" s="129"/>
      <c r="V2" s="129"/>
      <c r="W2" s="129"/>
      <c r="X2" s="130" t="s">
        <v>3</v>
      </c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2"/>
      <c r="AK2" s="130" t="s">
        <v>34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2"/>
      <c r="AX2" s="129" t="s">
        <v>5</v>
      </c>
      <c r="AY2" s="129"/>
      <c r="AZ2" s="129"/>
      <c r="BA2" s="129"/>
      <c r="BB2" s="129" t="s">
        <v>4</v>
      </c>
      <c r="BC2" s="129"/>
      <c r="BD2" s="129"/>
      <c r="BE2" s="129"/>
      <c r="BF2" s="129" t="s">
        <v>6</v>
      </c>
      <c r="BG2" s="129"/>
      <c r="BH2" s="129"/>
      <c r="BI2" s="129"/>
      <c r="BJ2" s="129" t="s">
        <v>7</v>
      </c>
      <c r="BK2" s="129"/>
      <c r="BL2" s="129"/>
      <c r="BM2" s="143"/>
      <c r="BN2" s="35"/>
    </row>
    <row r="3" spans="1:66" ht="20.100000000000001" customHeight="1" x14ac:dyDescent="0.45">
      <c r="A3" s="32"/>
      <c r="B3" s="133" t="str">
        <f>変更履歴!B3</f>
        <v>XXXXXXXX</v>
      </c>
      <c r="C3" s="134"/>
      <c r="D3" s="134"/>
      <c r="E3" s="134"/>
      <c r="F3" s="134"/>
      <c r="G3" s="134"/>
      <c r="H3" s="134" t="str">
        <f ca="1">変更履歴!H3</f>
        <v/>
      </c>
      <c r="I3" s="134"/>
      <c r="J3" s="134"/>
      <c r="K3" s="134"/>
      <c r="L3" s="134" t="str">
        <f>変更履歴!L3</f>
        <v>運用自動化</v>
      </c>
      <c r="M3" s="134"/>
      <c r="N3" s="134"/>
      <c r="O3" s="134"/>
      <c r="P3" s="134"/>
      <c r="Q3" s="134"/>
      <c r="R3" s="134" t="str">
        <f ca="1">変更履歴!R3</f>
        <v>帳票設計書</v>
      </c>
      <c r="S3" s="134"/>
      <c r="T3" s="134"/>
      <c r="U3" s="134"/>
      <c r="V3" s="134"/>
      <c r="W3" s="134"/>
      <c r="X3" s="138" t="str">
        <f ca="1">変更履歴!X3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変更履歴!AK3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>
        <f>変更履歴!AX3</f>
        <v>0</v>
      </c>
      <c r="AY3" s="145"/>
      <c r="AZ3" s="145"/>
      <c r="BA3" s="145"/>
      <c r="BB3" s="134">
        <f>変更履歴!BB3</f>
        <v>0</v>
      </c>
      <c r="BC3" s="134"/>
      <c r="BD3" s="134"/>
      <c r="BE3" s="134"/>
      <c r="BF3" s="145">
        <f>変更履歴!BF3</f>
        <v>0</v>
      </c>
      <c r="BG3" s="145"/>
      <c r="BH3" s="145"/>
      <c r="BI3" s="145"/>
      <c r="BJ3" s="134">
        <f>変更履歴!BJ3</f>
        <v>0</v>
      </c>
      <c r="BK3" s="134"/>
      <c r="BL3" s="134"/>
      <c r="BM3" s="146"/>
      <c r="BN3" s="35"/>
    </row>
    <row r="4" spans="1:66" ht="20.100000000000001" customHeight="1" thickBot="1" x14ac:dyDescent="0.5">
      <c r="A4" s="32"/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2"/>
      <c r="AK4" s="140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2"/>
      <c r="AX4" s="154"/>
      <c r="AY4" s="154"/>
      <c r="AZ4" s="154"/>
      <c r="BA4" s="154"/>
      <c r="BB4" s="136"/>
      <c r="BC4" s="136"/>
      <c r="BD4" s="136"/>
      <c r="BE4" s="136"/>
      <c r="BF4" s="154"/>
      <c r="BG4" s="154"/>
      <c r="BH4" s="154"/>
      <c r="BI4" s="154"/>
      <c r="BJ4" s="136"/>
      <c r="BK4" s="136"/>
      <c r="BL4" s="136"/>
      <c r="BM4" s="13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24</v>
      </c>
      <c r="E7" s="47"/>
      <c r="F7" s="47"/>
      <c r="G7" s="67"/>
      <c r="H7" s="48" t="str">
        <f ca="1">AK3</f>
        <v>テンプレート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27</v>
      </c>
      <c r="E8" s="50"/>
      <c r="F8" s="50"/>
      <c r="G8" s="56"/>
      <c r="H8" s="51"/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25</v>
      </c>
      <c r="E9" s="50"/>
      <c r="F9" s="50"/>
      <c r="G9" s="56"/>
      <c r="H9" s="51"/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28</v>
      </c>
      <c r="E10" s="50"/>
      <c r="F10" s="50"/>
      <c r="G10" s="56"/>
      <c r="H10" s="54"/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29</v>
      </c>
      <c r="E11" s="50"/>
      <c r="F11" s="50"/>
      <c r="G11" s="56"/>
      <c r="H11" s="54"/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30</v>
      </c>
      <c r="E12" s="50"/>
      <c r="F12" s="50"/>
      <c r="G12" s="56"/>
      <c r="H12" s="54"/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31</v>
      </c>
      <c r="E13" s="50"/>
      <c r="F13" s="50"/>
      <c r="G13" s="56"/>
      <c r="H13" s="54"/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32</v>
      </c>
      <c r="E14" s="50"/>
      <c r="F14" s="50"/>
      <c r="G14" s="56"/>
      <c r="H14" s="51"/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46</v>
      </c>
      <c r="E15" s="50"/>
      <c r="F15" s="50"/>
      <c r="G15" s="56"/>
      <c r="H15" s="54"/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23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28" t="s">
        <v>0</v>
      </c>
      <c r="C2" s="129"/>
      <c r="D2" s="129"/>
      <c r="E2" s="129"/>
      <c r="F2" s="129"/>
      <c r="G2" s="129"/>
      <c r="H2" s="129" t="s">
        <v>18</v>
      </c>
      <c r="I2" s="129"/>
      <c r="J2" s="129"/>
      <c r="K2" s="129"/>
      <c r="L2" s="129" t="s">
        <v>1</v>
      </c>
      <c r="M2" s="129"/>
      <c r="N2" s="129"/>
      <c r="O2" s="129"/>
      <c r="P2" s="129"/>
      <c r="Q2" s="129"/>
      <c r="R2" s="129" t="s">
        <v>2</v>
      </c>
      <c r="S2" s="129"/>
      <c r="T2" s="129"/>
      <c r="U2" s="129"/>
      <c r="V2" s="129"/>
      <c r="W2" s="129"/>
      <c r="X2" s="130" t="s">
        <v>3</v>
      </c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2"/>
      <c r="AK2" s="130" t="s">
        <v>34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2"/>
      <c r="AX2" s="129" t="s">
        <v>5</v>
      </c>
      <c r="AY2" s="129"/>
      <c r="AZ2" s="129"/>
      <c r="BA2" s="129"/>
      <c r="BB2" s="129" t="s">
        <v>4</v>
      </c>
      <c r="BC2" s="129"/>
      <c r="BD2" s="129"/>
      <c r="BE2" s="129"/>
      <c r="BF2" s="129" t="s">
        <v>6</v>
      </c>
      <c r="BG2" s="129"/>
      <c r="BH2" s="129"/>
      <c r="BI2" s="129"/>
      <c r="BJ2" s="129" t="s">
        <v>7</v>
      </c>
      <c r="BK2" s="129"/>
      <c r="BL2" s="129"/>
      <c r="BM2" s="143"/>
      <c r="BN2" s="15"/>
    </row>
    <row r="3" spans="1:66" ht="20.100000000000001" customHeight="1" x14ac:dyDescent="0.45">
      <c r="A3" s="9"/>
      <c r="B3" s="133" t="str">
        <f>変更履歴!B3</f>
        <v>XXXXXXXX</v>
      </c>
      <c r="C3" s="134"/>
      <c r="D3" s="134"/>
      <c r="E3" s="134"/>
      <c r="F3" s="134"/>
      <c r="G3" s="134"/>
      <c r="H3" s="134" t="str">
        <f ca="1">変更履歴!H3</f>
        <v/>
      </c>
      <c r="I3" s="134"/>
      <c r="J3" s="134"/>
      <c r="K3" s="134"/>
      <c r="L3" s="134" t="str">
        <f>変更履歴!L3</f>
        <v>運用自動化</v>
      </c>
      <c r="M3" s="134"/>
      <c r="N3" s="134"/>
      <c r="O3" s="134"/>
      <c r="P3" s="134"/>
      <c r="Q3" s="134"/>
      <c r="R3" s="134" t="str">
        <f ca="1">変更履歴!R3</f>
        <v>帳票設計書</v>
      </c>
      <c r="S3" s="134"/>
      <c r="T3" s="134"/>
      <c r="U3" s="134"/>
      <c r="V3" s="134"/>
      <c r="W3" s="134"/>
      <c r="X3" s="138" t="str">
        <f ca="1">変更履歴!X3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変更履歴!AK3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>
        <f>変更履歴!AX3</f>
        <v>0</v>
      </c>
      <c r="AY3" s="145"/>
      <c r="AZ3" s="145"/>
      <c r="BA3" s="145"/>
      <c r="BB3" s="134">
        <f>変更履歴!BB3</f>
        <v>0</v>
      </c>
      <c r="BC3" s="134"/>
      <c r="BD3" s="134"/>
      <c r="BE3" s="134"/>
      <c r="BF3" s="145">
        <f>変更履歴!BF3</f>
        <v>0</v>
      </c>
      <c r="BG3" s="145"/>
      <c r="BH3" s="145"/>
      <c r="BI3" s="145"/>
      <c r="BJ3" s="134">
        <f>変更履歴!BJ3</f>
        <v>0</v>
      </c>
      <c r="BK3" s="134"/>
      <c r="BL3" s="134"/>
      <c r="BM3" s="146"/>
      <c r="BN3" s="15"/>
    </row>
    <row r="4" spans="1:66" ht="20.100000000000001" customHeight="1" thickBot="1" x14ac:dyDescent="0.5">
      <c r="A4" s="9"/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2"/>
      <c r="AK4" s="140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2"/>
      <c r="AX4" s="154"/>
      <c r="AY4" s="154"/>
      <c r="AZ4" s="154"/>
      <c r="BA4" s="154"/>
      <c r="BB4" s="136"/>
      <c r="BC4" s="136"/>
      <c r="BD4" s="136"/>
      <c r="BE4" s="136"/>
      <c r="BF4" s="154"/>
      <c r="BG4" s="154"/>
      <c r="BH4" s="154"/>
      <c r="BI4" s="154"/>
      <c r="BJ4" s="136"/>
      <c r="BK4" s="136"/>
      <c r="BL4" s="136"/>
      <c r="BM4" s="13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47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>
      <selection activeCell="F9" sqref="F9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28" t="s">
        <v>0</v>
      </c>
      <c r="C2" s="129"/>
      <c r="D2" s="129"/>
      <c r="E2" s="129"/>
      <c r="F2" s="129"/>
      <c r="G2" s="129"/>
      <c r="H2" s="129" t="s">
        <v>18</v>
      </c>
      <c r="I2" s="129"/>
      <c r="J2" s="129"/>
      <c r="K2" s="129"/>
      <c r="L2" s="129" t="s">
        <v>1</v>
      </c>
      <c r="M2" s="129"/>
      <c r="N2" s="129"/>
      <c r="O2" s="129"/>
      <c r="P2" s="129"/>
      <c r="Q2" s="129"/>
      <c r="R2" s="129" t="s">
        <v>2</v>
      </c>
      <c r="S2" s="129"/>
      <c r="T2" s="129"/>
      <c r="U2" s="129"/>
      <c r="V2" s="129"/>
      <c r="W2" s="129"/>
      <c r="X2" s="130" t="s">
        <v>3</v>
      </c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2"/>
      <c r="AK2" s="130" t="s">
        <v>34</v>
      </c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2"/>
      <c r="AX2" s="129" t="s">
        <v>5</v>
      </c>
      <c r="AY2" s="129"/>
      <c r="AZ2" s="129"/>
      <c r="BA2" s="129"/>
      <c r="BB2" s="129" t="s">
        <v>4</v>
      </c>
      <c r="BC2" s="129"/>
      <c r="BD2" s="129"/>
      <c r="BE2" s="129"/>
      <c r="BF2" s="129" t="s">
        <v>6</v>
      </c>
      <c r="BG2" s="129"/>
      <c r="BH2" s="129"/>
      <c r="BI2" s="129"/>
      <c r="BJ2" s="129" t="s">
        <v>7</v>
      </c>
      <c r="BK2" s="129"/>
      <c r="BL2" s="129"/>
      <c r="BM2" s="143"/>
      <c r="BN2" s="15"/>
    </row>
    <row r="3" spans="1:85" ht="20.100000000000001" customHeight="1" x14ac:dyDescent="0.45">
      <c r="A3" s="9"/>
      <c r="B3" s="133" t="str">
        <f>変更履歴!B3</f>
        <v>XXXXXXXX</v>
      </c>
      <c r="C3" s="134"/>
      <c r="D3" s="134"/>
      <c r="E3" s="134"/>
      <c r="F3" s="134"/>
      <c r="G3" s="134"/>
      <c r="H3" s="134" t="str">
        <f ca="1">変更履歴!H3</f>
        <v/>
      </c>
      <c r="I3" s="134"/>
      <c r="J3" s="134"/>
      <c r="K3" s="134"/>
      <c r="L3" s="134" t="str">
        <f>変更履歴!L3</f>
        <v>運用自動化</v>
      </c>
      <c r="M3" s="134"/>
      <c r="N3" s="134"/>
      <c r="O3" s="134"/>
      <c r="P3" s="134"/>
      <c r="Q3" s="134"/>
      <c r="R3" s="134" t="str">
        <f ca="1">変更履歴!R3</f>
        <v>帳票設計書</v>
      </c>
      <c r="S3" s="134"/>
      <c r="T3" s="134"/>
      <c r="U3" s="134"/>
      <c r="V3" s="134"/>
      <c r="W3" s="134"/>
      <c r="X3" s="138" t="str">
        <f ca="1">変更履歴!X3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変更履歴!AK3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>
        <f>変更履歴!AX3</f>
        <v>0</v>
      </c>
      <c r="AY3" s="145"/>
      <c r="AZ3" s="145"/>
      <c r="BA3" s="145"/>
      <c r="BB3" s="134">
        <f>変更履歴!BB3</f>
        <v>0</v>
      </c>
      <c r="BC3" s="134"/>
      <c r="BD3" s="134"/>
      <c r="BE3" s="134"/>
      <c r="BF3" s="145">
        <f>変更履歴!BF3</f>
        <v>0</v>
      </c>
      <c r="BG3" s="145"/>
      <c r="BH3" s="145"/>
      <c r="BI3" s="145"/>
      <c r="BJ3" s="134">
        <f>変更履歴!BJ3</f>
        <v>0</v>
      </c>
      <c r="BK3" s="134"/>
      <c r="BL3" s="134"/>
      <c r="BM3" s="146"/>
      <c r="BN3" s="15"/>
    </row>
    <row r="4" spans="1:85" ht="20.100000000000001" customHeight="1" thickBot="1" x14ac:dyDescent="0.5">
      <c r="A4" s="9"/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2"/>
      <c r="AK4" s="140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2"/>
      <c r="AX4" s="154"/>
      <c r="AY4" s="154"/>
      <c r="AZ4" s="154"/>
      <c r="BA4" s="154"/>
      <c r="BB4" s="136"/>
      <c r="BC4" s="136"/>
      <c r="BD4" s="136"/>
      <c r="BE4" s="136"/>
      <c r="BF4" s="154"/>
      <c r="BG4" s="154"/>
      <c r="BH4" s="154"/>
      <c r="BI4" s="154"/>
      <c r="BJ4" s="136"/>
      <c r="BK4" s="136"/>
      <c r="BL4" s="136"/>
      <c r="BM4" s="13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20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48</v>
      </c>
      <c r="D9" s="34"/>
      <c r="E9" s="34"/>
      <c r="F9" s="88" t="s">
        <v>54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21</v>
      </c>
      <c r="E10" s="179" t="s">
        <v>22</v>
      </c>
      <c r="F10" s="180"/>
      <c r="G10" s="180"/>
      <c r="H10" s="180"/>
      <c r="I10" s="180"/>
      <c r="J10" s="180"/>
      <c r="K10" s="180"/>
      <c r="L10" s="181"/>
      <c r="M10" s="158" t="s">
        <v>26</v>
      </c>
      <c r="N10" s="159"/>
      <c r="O10" s="159"/>
      <c r="P10" s="158" t="s">
        <v>35</v>
      </c>
      <c r="Q10" s="159"/>
      <c r="R10" s="159"/>
      <c r="S10" s="158" t="s">
        <v>36</v>
      </c>
      <c r="T10" s="159"/>
      <c r="U10" s="159"/>
      <c r="V10" s="158" t="s">
        <v>38</v>
      </c>
      <c r="W10" s="159"/>
      <c r="X10" s="159"/>
      <c r="Y10" s="159"/>
      <c r="Z10" s="159"/>
      <c r="AA10" s="160"/>
      <c r="AB10" s="158" t="s">
        <v>37</v>
      </c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60"/>
      <c r="AR10" s="158" t="s">
        <v>44</v>
      </c>
      <c r="AS10" s="159"/>
      <c r="AT10" s="159"/>
      <c r="AU10" s="159"/>
      <c r="AV10" s="159"/>
      <c r="AW10" s="160"/>
      <c r="AX10" s="158" t="s">
        <v>45</v>
      </c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73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76"/>
      <c r="F11" s="177"/>
      <c r="G11" s="177"/>
      <c r="H11" s="177"/>
      <c r="I11" s="177"/>
      <c r="J11" s="177"/>
      <c r="K11" s="177"/>
      <c r="L11" s="178"/>
      <c r="M11" s="153"/>
      <c r="N11" s="148"/>
      <c r="O11" s="148"/>
      <c r="P11" s="153"/>
      <c r="Q11" s="148"/>
      <c r="R11" s="148"/>
      <c r="S11" s="153"/>
      <c r="T11" s="148"/>
      <c r="U11" s="148"/>
      <c r="V11" s="170"/>
      <c r="W11" s="171"/>
      <c r="X11" s="171"/>
      <c r="Y11" s="171"/>
      <c r="Z11" s="171"/>
      <c r="AA11" s="174"/>
      <c r="AB11" s="161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3"/>
      <c r="AR11" s="153"/>
      <c r="AS11" s="148"/>
      <c r="AT11" s="148"/>
      <c r="AU11" s="148"/>
      <c r="AV11" s="148"/>
      <c r="AW11" s="149"/>
      <c r="AX11" s="170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76"/>
      <c r="F12" s="177"/>
      <c r="G12" s="177"/>
      <c r="H12" s="177"/>
      <c r="I12" s="177"/>
      <c r="J12" s="177"/>
      <c r="K12" s="177"/>
      <c r="L12" s="178"/>
      <c r="M12" s="153"/>
      <c r="N12" s="148"/>
      <c r="O12" s="148"/>
      <c r="P12" s="153"/>
      <c r="Q12" s="148"/>
      <c r="R12" s="148"/>
      <c r="S12" s="153"/>
      <c r="T12" s="148"/>
      <c r="U12" s="148"/>
      <c r="V12" s="170"/>
      <c r="W12" s="171"/>
      <c r="X12" s="171"/>
      <c r="Y12" s="171"/>
      <c r="Z12" s="171"/>
      <c r="AA12" s="174"/>
      <c r="AB12" s="161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3"/>
      <c r="AR12" s="153"/>
      <c r="AS12" s="148"/>
      <c r="AT12" s="148"/>
      <c r="AU12" s="148"/>
      <c r="AV12" s="148"/>
      <c r="AW12" s="149"/>
      <c r="AX12" s="170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76"/>
      <c r="F13" s="177"/>
      <c r="G13" s="177"/>
      <c r="H13" s="177"/>
      <c r="I13" s="177"/>
      <c r="J13" s="177"/>
      <c r="K13" s="177"/>
      <c r="L13" s="178"/>
      <c r="M13" s="153"/>
      <c r="N13" s="148"/>
      <c r="O13" s="148"/>
      <c r="P13" s="153"/>
      <c r="Q13" s="148"/>
      <c r="R13" s="148"/>
      <c r="S13" s="153"/>
      <c r="T13" s="148"/>
      <c r="U13" s="148"/>
      <c r="V13" s="170"/>
      <c r="W13" s="171"/>
      <c r="X13" s="171"/>
      <c r="Y13" s="171"/>
      <c r="Z13" s="171"/>
      <c r="AA13" s="174"/>
      <c r="AB13" s="161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3"/>
      <c r="AR13" s="153"/>
      <c r="AS13" s="148"/>
      <c r="AT13" s="148"/>
      <c r="AU13" s="148"/>
      <c r="AV13" s="148"/>
      <c r="AW13" s="149"/>
      <c r="AX13" s="170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76"/>
      <c r="F14" s="177"/>
      <c r="G14" s="177"/>
      <c r="H14" s="177"/>
      <c r="I14" s="177"/>
      <c r="J14" s="177"/>
      <c r="K14" s="177"/>
      <c r="L14" s="178"/>
      <c r="M14" s="153"/>
      <c r="N14" s="148"/>
      <c r="O14" s="148"/>
      <c r="P14" s="153"/>
      <c r="Q14" s="148"/>
      <c r="R14" s="148"/>
      <c r="S14" s="153"/>
      <c r="T14" s="148"/>
      <c r="U14" s="148"/>
      <c r="V14" s="170"/>
      <c r="W14" s="171"/>
      <c r="X14" s="171"/>
      <c r="Y14" s="171"/>
      <c r="Z14" s="171"/>
      <c r="AA14" s="174"/>
      <c r="AB14" s="161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3"/>
      <c r="AR14" s="153"/>
      <c r="AS14" s="148"/>
      <c r="AT14" s="148"/>
      <c r="AU14" s="148"/>
      <c r="AV14" s="148"/>
      <c r="AW14" s="149"/>
      <c r="AX14" s="170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76"/>
      <c r="F15" s="177"/>
      <c r="G15" s="177"/>
      <c r="H15" s="177"/>
      <c r="I15" s="177"/>
      <c r="J15" s="177"/>
      <c r="K15" s="177"/>
      <c r="L15" s="178"/>
      <c r="M15" s="153"/>
      <c r="N15" s="148"/>
      <c r="O15" s="148"/>
      <c r="P15" s="153"/>
      <c r="Q15" s="148"/>
      <c r="R15" s="148"/>
      <c r="S15" s="153"/>
      <c r="T15" s="148"/>
      <c r="U15" s="148"/>
      <c r="V15" s="170"/>
      <c r="W15" s="171"/>
      <c r="X15" s="171"/>
      <c r="Y15" s="171"/>
      <c r="Z15" s="171"/>
      <c r="AA15" s="174"/>
      <c r="AB15" s="161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3"/>
      <c r="AR15" s="153"/>
      <c r="AS15" s="148"/>
      <c r="AT15" s="148"/>
      <c r="AU15" s="148"/>
      <c r="AV15" s="148"/>
      <c r="AW15" s="149"/>
      <c r="AX15" s="170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76"/>
      <c r="F16" s="177"/>
      <c r="G16" s="177"/>
      <c r="H16" s="177"/>
      <c r="I16" s="177"/>
      <c r="J16" s="177"/>
      <c r="K16" s="177"/>
      <c r="L16" s="178"/>
      <c r="M16" s="153"/>
      <c r="N16" s="148"/>
      <c r="O16" s="148"/>
      <c r="P16" s="153"/>
      <c r="Q16" s="148"/>
      <c r="R16" s="148"/>
      <c r="S16" s="153"/>
      <c r="T16" s="148"/>
      <c r="U16" s="148"/>
      <c r="V16" s="170"/>
      <c r="W16" s="171"/>
      <c r="X16" s="171"/>
      <c r="Y16" s="171"/>
      <c r="Z16" s="171"/>
      <c r="AA16" s="174"/>
      <c r="AB16" s="161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3"/>
      <c r="AR16" s="153"/>
      <c r="AS16" s="148"/>
      <c r="AT16" s="148"/>
      <c r="AU16" s="148"/>
      <c r="AV16" s="148"/>
      <c r="AW16" s="149"/>
      <c r="AX16" s="170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76"/>
      <c r="F17" s="177"/>
      <c r="G17" s="177"/>
      <c r="H17" s="177"/>
      <c r="I17" s="177"/>
      <c r="J17" s="177"/>
      <c r="K17" s="177"/>
      <c r="L17" s="178"/>
      <c r="M17" s="153"/>
      <c r="N17" s="148"/>
      <c r="O17" s="148"/>
      <c r="P17" s="153"/>
      <c r="Q17" s="148"/>
      <c r="R17" s="148"/>
      <c r="S17" s="153"/>
      <c r="T17" s="148"/>
      <c r="U17" s="148"/>
      <c r="V17" s="170"/>
      <c r="W17" s="171"/>
      <c r="X17" s="171"/>
      <c r="Y17" s="171"/>
      <c r="Z17" s="171"/>
      <c r="AA17" s="174"/>
      <c r="AB17" s="161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3"/>
      <c r="AR17" s="153"/>
      <c r="AS17" s="148"/>
      <c r="AT17" s="148"/>
      <c r="AU17" s="148"/>
      <c r="AV17" s="148"/>
      <c r="AW17" s="149"/>
      <c r="AX17" s="170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76"/>
      <c r="F18" s="177"/>
      <c r="G18" s="177"/>
      <c r="H18" s="177"/>
      <c r="I18" s="177"/>
      <c r="J18" s="177"/>
      <c r="K18" s="177"/>
      <c r="L18" s="178"/>
      <c r="M18" s="153"/>
      <c r="N18" s="148"/>
      <c r="O18" s="148"/>
      <c r="P18" s="153"/>
      <c r="Q18" s="148"/>
      <c r="R18" s="148"/>
      <c r="S18" s="153"/>
      <c r="T18" s="148"/>
      <c r="U18" s="148"/>
      <c r="V18" s="170"/>
      <c r="W18" s="171"/>
      <c r="X18" s="171"/>
      <c r="Y18" s="171"/>
      <c r="Z18" s="171"/>
      <c r="AA18" s="174"/>
      <c r="AB18" s="161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3"/>
      <c r="AR18" s="153"/>
      <c r="AS18" s="148"/>
      <c r="AT18" s="148"/>
      <c r="AU18" s="148"/>
      <c r="AV18" s="148"/>
      <c r="AW18" s="149"/>
      <c r="AX18" s="170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2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76"/>
      <c r="F19" s="177"/>
      <c r="G19" s="177"/>
      <c r="H19" s="177"/>
      <c r="I19" s="177"/>
      <c r="J19" s="177"/>
      <c r="K19" s="177"/>
      <c r="L19" s="178"/>
      <c r="M19" s="153"/>
      <c r="N19" s="148"/>
      <c r="O19" s="148"/>
      <c r="P19" s="153"/>
      <c r="Q19" s="148"/>
      <c r="R19" s="148"/>
      <c r="S19" s="153"/>
      <c r="T19" s="148"/>
      <c r="U19" s="148"/>
      <c r="V19" s="170"/>
      <c r="W19" s="171"/>
      <c r="X19" s="171"/>
      <c r="Y19" s="171"/>
      <c r="Z19" s="171"/>
      <c r="AA19" s="174"/>
      <c r="AB19" s="161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3"/>
      <c r="AR19" s="153"/>
      <c r="AS19" s="148"/>
      <c r="AT19" s="148"/>
      <c r="AU19" s="148"/>
      <c r="AV19" s="148"/>
      <c r="AW19" s="149"/>
      <c r="AX19" s="170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2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76"/>
      <c r="F20" s="177"/>
      <c r="G20" s="177"/>
      <c r="H20" s="177"/>
      <c r="I20" s="177"/>
      <c r="J20" s="177"/>
      <c r="K20" s="177"/>
      <c r="L20" s="178"/>
      <c r="M20" s="153"/>
      <c r="N20" s="148"/>
      <c r="O20" s="148"/>
      <c r="P20" s="153"/>
      <c r="Q20" s="148"/>
      <c r="R20" s="148"/>
      <c r="S20" s="153"/>
      <c r="T20" s="148"/>
      <c r="U20" s="148"/>
      <c r="V20" s="170"/>
      <c r="W20" s="171"/>
      <c r="X20" s="171"/>
      <c r="Y20" s="171"/>
      <c r="Z20" s="171"/>
      <c r="AA20" s="174"/>
      <c r="AB20" s="161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3"/>
      <c r="AR20" s="153"/>
      <c r="AS20" s="148"/>
      <c r="AT20" s="148"/>
      <c r="AU20" s="148"/>
      <c r="AV20" s="148"/>
      <c r="AW20" s="149"/>
      <c r="AX20" s="170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76"/>
      <c r="F21" s="177"/>
      <c r="G21" s="177"/>
      <c r="H21" s="177"/>
      <c r="I21" s="177"/>
      <c r="J21" s="177"/>
      <c r="K21" s="177"/>
      <c r="L21" s="178"/>
      <c r="M21" s="153"/>
      <c r="N21" s="148"/>
      <c r="O21" s="148"/>
      <c r="P21" s="153"/>
      <c r="Q21" s="148"/>
      <c r="R21" s="148"/>
      <c r="S21" s="153"/>
      <c r="T21" s="148"/>
      <c r="U21" s="148"/>
      <c r="V21" s="170"/>
      <c r="W21" s="171"/>
      <c r="X21" s="171"/>
      <c r="Y21" s="171"/>
      <c r="Z21" s="171"/>
      <c r="AA21" s="174"/>
      <c r="AB21" s="161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3"/>
      <c r="AR21" s="153"/>
      <c r="AS21" s="148"/>
      <c r="AT21" s="148"/>
      <c r="AU21" s="148"/>
      <c r="AV21" s="148"/>
      <c r="AW21" s="149"/>
      <c r="AX21" s="170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76"/>
      <c r="F22" s="177"/>
      <c r="G22" s="177"/>
      <c r="H22" s="177"/>
      <c r="I22" s="177"/>
      <c r="J22" s="177"/>
      <c r="K22" s="177"/>
      <c r="L22" s="178"/>
      <c r="M22" s="153"/>
      <c r="N22" s="148"/>
      <c r="O22" s="148"/>
      <c r="P22" s="153"/>
      <c r="Q22" s="148"/>
      <c r="R22" s="148"/>
      <c r="S22" s="153"/>
      <c r="T22" s="148"/>
      <c r="U22" s="148"/>
      <c r="V22" s="170"/>
      <c r="W22" s="171"/>
      <c r="X22" s="171"/>
      <c r="Y22" s="171"/>
      <c r="Z22" s="171"/>
      <c r="AA22" s="174"/>
      <c r="AB22" s="161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3"/>
      <c r="AR22" s="153"/>
      <c r="AS22" s="148"/>
      <c r="AT22" s="148"/>
      <c r="AU22" s="148"/>
      <c r="AV22" s="148"/>
      <c r="AW22" s="149"/>
      <c r="AX22" s="170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76"/>
      <c r="F23" s="177"/>
      <c r="G23" s="177"/>
      <c r="H23" s="177"/>
      <c r="I23" s="177"/>
      <c r="J23" s="177"/>
      <c r="K23" s="177"/>
      <c r="L23" s="178"/>
      <c r="M23" s="153"/>
      <c r="N23" s="148"/>
      <c r="O23" s="148"/>
      <c r="P23" s="153"/>
      <c r="Q23" s="148"/>
      <c r="R23" s="148"/>
      <c r="S23" s="153"/>
      <c r="T23" s="148"/>
      <c r="U23" s="148"/>
      <c r="V23" s="170"/>
      <c r="W23" s="171"/>
      <c r="X23" s="171"/>
      <c r="Y23" s="171"/>
      <c r="Z23" s="171"/>
      <c r="AA23" s="174"/>
      <c r="AB23" s="161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3"/>
      <c r="AR23" s="153"/>
      <c r="AS23" s="148"/>
      <c r="AT23" s="148"/>
      <c r="AU23" s="148"/>
      <c r="AV23" s="148"/>
      <c r="AW23" s="149"/>
      <c r="AX23" s="170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76"/>
      <c r="F24" s="177"/>
      <c r="G24" s="177"/>
      <c r="H24" s="177"/>
      <c r="I24" s="177"/>
      <c r="J24" s="177"/>
      <c r="K24" s="177"/>
      <c r="L24" s="178"/>
      <c r="M24" s="153"/>
      <c r="N24" s="148"/>
      <c r="O24" s="148"/>
      <c r="P24" s="153"/>
      <c r="Q24" s="148"/>
      <c r="R24" s="148"/>
      <c r="S24" s="153"/>
      <c r="T24" s="148"/>
      <c r="U24" s="148"/>
      <c r="V24" s="170"/>
      <c r="W24" s="171"/>
      <c r="X24" s="171"/>
      <c r="Y24" s="171"/>
      <c r="Z24" s="171"/>
      <c r="AA24" s="174"/>
      <c r="AB24" s="161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3"/>
      <c r="AR24" s="153"/>
      <c r="AS24" s="148"/>
      <c r="AT24" s="148"/>
      <c r="AU24" s="148"/>
      <c r="AV24" s="148"/>
      <c r="AW24" s="149"/>
      <c r="AX24" s="170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76"/>
      <c r="F25" s="177"/>
      <c r="G25" s="177"/>
      <c r="H25" s="177"/>
      <c r="I25" s="177"/>
      <c r="J25" s="177"/>
      <c r="K25" s="177"/>
      <c r="L25" s="178"/>
      <c r="M25" s="153"/>
      <c r="N25" s="148"/>
      <c r="O25" s="148"/>
      <c r="P25" s="153"/>
      <c r="Q25" s="148"/>
      <c r="R25" s="148"/>
      <c r="S25" s="153"/>
      <c r="T25" s="148"/>
      <c r="U25" s="148"/>
      <c r="V25" s="170"/>
      <c r="W25" s="171"/>
      <c r="X25" s="171"/>
      <c r="Y25" s="171"/>
      <c r="Z25" s="171"/>
      <c r="AA25" s="174"/>
      <c r="AB25" s="161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3"/>
      <c r="AR25" s="153"/>
      <c r="AS25" s="148"/>
      <c r="AT25" s="148"/>
      <c r="AU25" s="148"/>
      <c r="AV25" s="148"/>
      <c r="AW25" s="149"/>
      <c r="AX25" s="170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76"/>
      <c r="F26" s="177"/>
      <c r="G26" s="177"/>
      <c r="H26" s="177"/>
      <c r="I26" s="177"/>
      <c r="J26" s="177"/>
      <c r="K26" s="177"/>
      <c r="L26" s="178"/>
      <c r="M26" s="153"/>
      <c r="N26" s="148"/>
      <c r="O26" s="148"/>
      <c r="P26" s="153"/>
      <c r="Q26" s="148"/>
      <c r="R26" s="148"/>
      <c r="S26" s="153"/>
      <c r="T26" s="148"/>
      <c r="U26" s="148"/>
      <c r="V26" s="170"/>
      <c r="W26" s="171"/>
      <c r="X26" s="171"/>
      <c r="Y26" s="171"/>
      <c r="Z26" s="171"/>
      <c r="AA26" s="174"/>
      <c r="AB26" s="161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3"/>
      <c r="AR26" s="153"/>
      <c r="AS26" s="148"/>
      <c r="AT26" s="148"/>
      <c r="AU26" s="148"/>
      <c r="AV26" s="148"/>
      <c r="AW26" s="149"/>
      <c r="AX26" s="170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76"/>
      <c r="F27" s="177"/>
      <c r="G27" s="177"/>
      <c r="H27" s="177"/>
      <c r="I27" s="177"/>
      <c r="J27" s="177"/>
      <c r="K27" s="177"/>
      <c r="L27" s="178"/>
      <c r="M27" s="153"/>
      <c r="N27" s="148"/>
      <c r="O27" s="148"/>
      <c r="P27" s="153"/>
      <c r="Q27" s="148"/>
      <c r="R27" s="148"/>
      <c r="S27" s="153"/>
      <c r="T27" s="148"/>
      <c r="U27" s="148"/>
      <c r="V27" s="170"/>
      <c r="W27" s="171"/>
      <c r="X27" s="171"/>
      <c r="Y27" s="171"/>
      <c r="Z27" s="171"/>
      <c r="AA27" s="174"/>
      <c r="AB27" s="161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3"/>
      <c r="AR27" s="153"/>
      <c r="AS27" s="148"/>
      <c r="AT27" s="148"/>
      <c r="AU27" s="148"/>
      <c r="AV27" s="148"/>
      <c r="AW27" s="149"/>
      <c r="AX27" s="170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76"/>
      <c r="F28" s="177"/>
      <c r="G28" s="177"/>
      <c r="H28" s="177"/>
      <c r="I28" s="177"/>
      <c r="J28" s="177"/>
      <c r="K28" s="177"/>
      <c r="L28" s="178"/>
      <c r="M28" s="153"/>
      <c r="N28" s="148"/>
      <c r="O28" s="148"/>
      <c r="P28" s="153"/>
      <c r="Q28" s="148"/>
      <c r="R28" s="148"/>
      <c r="S28" s="153"/>
      <c r="T28" s="148"/>
      <c r="U28" s="148"/>
      <c r="V28" s="170"/>
      <c r="W28" s="171"/>
      <c r="X28" s="171"/>
      <c r="Y28" s="171"/>
      <c r="Z28" s="171"/>
      <c r="AA28" s="174"/>
      <c r="AB28" s="161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3"/>
      <c r="AR28" s="153"/>
      <c r="AS28" s="148"/>
      <c r="AT28" s="148"/>
      <c r="AU28" s="148"/>
      <c r="AV28" s="148"/>
      <c r="AW28" s="149"/>
      <c r="AX28" s="170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76"/>
      <c r="F29" s="177"/>
      <c r="G29" s="177"/>
      <c r="H29" s="177"/>
      <c r="I29" s="177"/>
      <c r="J29" s="177"/>
      <c r="K29" s="177"/>
      <c r="L29" s="178"/>
      <c r="M29" s="153"/>
      <c r="N29" s="148"/>
      <c r="O29" s="148"/>
      <c r="P29" s="153"/>
      <c r="Q29" s="148"/>
      <c r="R29" s="148"/>
      <c r="S29" s="153"/>
      <c r="T29" s="148"/>
      <c r="U29" s="148"/>
      <c r="V29" s="170"/>
      <c r="W29" s="171"/>
      <c r="X29" s="171"/>
      <c r="Y29" s="171"/>
      <c r="Z29" s="171"/>
      <c r="AA29" s="174"/>
      <c r="AB29" s="161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3"/>
      <c r="AR29" s="153"/>
      <c r="AS29" s="148"/>
      <c r="AT29" s="148"/>
      <c r="AU29" s="148"/>
      <c r="AV29" s="148"/>
      <c r="AW29" s="149"/>
      <c r="AX29" s="170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82"/>
      <c r="F30" s="183"/>
      <c r="G30" s="183"/>
      <c r="H30" s="183"/>
      <c r="I30" s="183"/>
      <c r="J30" s="183"/>
      <c r="K30" s="183"/>
      <c r="L30" s="184"/>
      <c r="M30" s="155"/>
      <c r="N30" s="156"/>
      <c r="O30" s="157"/>
      <c r="P30" s="155"/>
      <c r="Q30" s="156"/>
      <c r="R30" s="156"/>
      <c r="S30" s="155"/>
      <c r="T30" s="156"/>
      <c r="U30" s="156"/>
      <c r="V30" s="167"/>
      <c r="W30" s="168"/>
      <c r="X30" s="168"/>
      <c r="Y30" s="168"/>
      <c r="Z30" s="168"/>
      <c r="AA30" s="175"/>
      <c r="AB30" s="164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6"/>
      <c r="AR30" s="155"/>
      <c r="AS30" s="156"/>
      <c r="AT30" s="156"/>
      <c r="AU30" s="156"/>
      <c r="AV30" s="156"/>
      <c r="AW30" s="157"/>
      <c r="AX30" s="167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9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0"/>
  <sheetViews>
    <sheetView zoomScaleNormal="100" zoomScaleSheetLayoutView="100" workbookViewId="0">
      <selection activeCell="O9" sqref="O9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6" t="s">
        <v>0</v>
      </c>
      <c r="C2" s="189"/>
      <c r="D2" s="189"/>
      <c r="E2" s="189"/>
      <c r="F2" s="189"/>
      <c r="G2" s="189"/>
      <c r="H2" s="189" t="s">
        <v>18</v>
      </c>
      <c r="I2" s="189"/>
      <c r="J2" s="189"/>
      <c r="K2" s="189"/>
      <c r="L2" s="189" t="s">
        <v>1</v>
      </c>
      <c r="M2" s="189"/>
      <c r="N2" s="189"/>
      <c r="O2" s="189"/>
      <c r="P2" s="189"/>
      <c r="Q2" s="189"/>
      <c r="R2" s="189" t="s">
        <v>2</v>
      </c>
      <c r="S2" s="189"/>
      <c r="T2" s="189"/>
      <c r="U2" s="189"/>
      <c r="V2" s="189"/>
      <c r="W2" s="189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34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89" t="s">
        <v>5</v>
      </c>
      <c r="AY2" s="189"/>
      <c r="AZ2" s="189"/>
      <c r="BA2" s="189"/>
      <c r="BB2" s="189" t="s">
        <v>4</v>
      </c>
      <c r="BC2" s="189"/>
      <c r="BD2" s="189"/>
      <c r="BE2" s="189"/>
      <c r="BF2" s="189" t="s">
        <v>6</v>
      </c>
      <c r="BG2" s="189"/>
      <c r="BH2" s="189"/>
      <c r="BI2" s="189"/>
      <c r="BJ2" s="189" t="s">
        <v>7</v>
      </c>
      <c r="BK2" s="189"/>
      <c r="BL2" s="189"/>
      <c r="BM2" s="190"/>
    </row>
    <row r="3" spans="2:65" ht="20.100000000000001" customHeight="1" x14ac:dyDescent="0.45">
      <c r="B3" s="191" t="str">
        <f>変更履歴!B3</f>
        <v>XXXXXXXX</v>
      </c>
      <c r="C3" s="134"/>
      <c r="D3" s="134"/>
      <c r="E3" s="134"/>
      <c r="F3" s="134"/>
      <c r="G3" s="134"/>
      <c r="H3" s="134" t="str">
        <f ca="1">変更履歴!H3</f>
        <v/>
      </c>
      <c r="I3" s="134"/>
      <c r="J3" s="134"/>
      <c r="K3" s="134"/>
      <c r="L3" s="134" t="str">
        <f>変更履歴!L3</f>
        <v>運用自動化</v>
      </c>
      <c r="M3" s="134"/>
      <c r="N3" s="134"/>
      <c r="O3" s="134"/>
      <c r="P3" s="134"/>
      <c r="Q3" s="134"/>
      <c r="R3" s="134" t="str">
        <f ca="1">変更履歴!R3</f>
        <v>帳票設計書</v>
      </c>
      <c r="S3" s="134"/>
      <c r="T3" s="134"/>
      <c r="U3" s="134"/>
      <c r="V3" s="134"/>
      <c r="W3" s="134"/>
      <c r="X3" s="138" t="str">
        <f ca="1">変更履歴!X3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変更履歴!AK3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>
        <f>変更履歴!AX3</f>
        <v>0</v>
      </c>
      <c r="AY3" s="145"/>
      <c r="AZ3" s="145"/>
      <c r="BA3" s="145"/>
      <c r="BB3" s="134">
        <f>変更履歴!BB3</f>
        <v>0</v>
      </c>
      <c r="BC3" s="134"/>
      <c r="BD3" s="134"/>
      <c r="BE3" s="134"/>
      <c r="BF3" s="145">
        <f>変更履歴!BF3</f>
        <v>0</v>
      </c>
      <c r="BG3" s="145"/>
      <c r="BH3" s="145"/>
      <c r="BI3" s="145"/>
      <c r="BJ3" s="134">
        <f>変更履歴!BJ3</f>
        <v>0</v>
      </c>
      <c r="BK3" s="134"/>
      <c r="BL3" s="134"/>
      <c r="BM3" s="187"/>
    </row>
    <row r="4" spans="2:65" ht="20.100000000000001" customHeight="1" thickBot="1" x14ac:dyDescent="0.5">
      <c r="B4" s="192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93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5"/>
      <c r="AK4" s="193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5"/>
      <c r="AX4" s="185"/>
      <c r="AY4" s="185"/>
      <c r="AZ4" s="185"/>
      <c r="BA4" s="185"/>
      <c r="BB4" s="186"/>
      <c r="BC4" s="186"/>
      <c r="BD4" s="186"/>
      <c r="BE4" s="186"/>
      <c r="BF4" s="185"/>
      <c r="BG4" s="185"/>
      <c r="BH4" s="185"/>
      <c r="BI4" s="185"/>
      <c r="BJ4" s="186"/>
      <c r="BK4" s="186"/>
      <c r="BL4" s="186"/>
      <c r="BM4" s="188"/>
    </row>
    <row r="5" spans="2:65" ht="5.0999999999999996" customHeight="1" thickBot="1" x14ac:dyDescent="0.5"/>
    <row r="6" spans="2:65" ht="20.100000000000001" customHeight="1" x14ac:dyDescent="0.45">
      <c r="B6" s="89">
        <v>1</v>
      </c>
      <c r="C6" s="90"/>
      <c r="D6" s="90"/>
      <c r="E6" s="90"/>
      <c r="F6" s="90"/>
      <c r="G6" s="91"/>
      <c r="H6" s="92" t="s">
        <v>86</v>
      </c>
      <c r="I6" s="90"/>
      <c r="J6" s="120"/>
      <c r="K6" s="121"/>
      <c r="L6" s="121"/>
      <c r="M6" s="121"/>
      <c r="N6" s="121"/>
      <c r="O6" s="121"/>
      <c r="P6" s="121"/>
      <c r="Q6" s="122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/>
      <c r="K7" s="52"/>
      <c r="L7" s="52"/>
      <c r="M7" s="52"/>
      <c r="N7" s="52"/>
      <c r="O7" s="52"/>
      <c r="P7" s="52"/>
      <c r="Q7" s="125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/>
      <c r="K8" s="52"/>
      <c r="L8" s="52"/>
      <c r="M8" s="52"/>
      <c r="N8" s="52"/>
      <c r="O8" s="52"/>
      <c r="P8" s="52"/>
      <c r="Q8" s="125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/>
      <c r="K9" s="52"/>
      <c r="L9" s="52"/>
      <c r="M9" s="52"/>
      <c r="N9" s="52"/>
      <c r="O9" s="52"/>
      <c r="P9" s="52"/>
      <c r="Q9" s="125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/>
      <c r="K10" s="52"/>
      <c r="L10" s="52"/>
      <c r="M10" s="52"/>
      <c r="N10" s="52"/>
      <c r="O10" s="52"/>
      <c r="P10" s="52"/>
      <c r="Q10" s="125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/>
      <c r="K11" s="52"/>
      <c r="L11" s="52"/>
      <c r="M11" s="52"/>
      <c r="N11" s="52"/>
      <c r="O11" s="52"/>
      <c r="P11" s="52"/>
      <c r="Q11" s="125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/>
      <c r="K12" s="52"/>
      <c r="L12" s="52"/>
      <c r="M12" s="52"/>
      <c r="N12" s="52"/>
      <c r="O12" s="52"/>
      <c r="P12" s="52"/>
      <c r="Q12" s="125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I13" s="31"/>
      <c r="J13" s="124"/>
      <c r="K13" s="52"/>
      <c r="L13" s="52"/>
      <c r="M13" s="52"/>
      <c r="N13" s="52"/>
      <c r="O13" s="52"/>
      <c r="P13" s="52"/>
      <c r="Q13" s="125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100" t="s">
        <v>55</v>
      </c>
      <c r="I14" s="55"/>
      <c r="J14" s="100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9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95"/>
      <c r="C16" s="31"/>
      <c r="D16" s="31"/>
      <c r="E16" s="31"/>
      <c r="F16" s="31"/>
      <c r="G16" s="96"/>
      <c r="I16" s="31"/>
      <c r="J16" s="97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95"/>
      <c r="C19" s="31"/>
      <c r="D19" s="31"/>
      <c r="E19" s="31"/>
      <c r="F19" s="31"/>
      <c r="G19" s="96"/>
      <c r="H19" s="100" t="s">
        <v>56</v>
      </c>
      <c r="I19" s="55"/>
      <c r="J19" s="100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01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02"/>
    </row>
    <row r="20" spans="2:61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97"/>
      <c r="I22" s="31"/>
      <c r="J22" s="9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97"/>
      <c r="I23" s="31"/>
      <c r="J23" s="9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3"/>
      <c r="I24" s="104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5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6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 t="s">
        <v>57</v>
      </c>
      <c r="I25" s="31"/>
      <c r="J25" s="9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thickBot="1" x14ac:dyDescent="0.5">
      <c r="B29" s="95"/>
      <c r="C29" s="31"/>
      <c r="D29" s="31"/>
      <c r="E29" s="31"/>
      <c r="F29" s="31"/>
      <c r="G29" s="96"/>
      <c r="H29" s="103"/>
      <c r="I29" s="104"/>
      <c r="J29" s="103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3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6"/>
    </row>
    <row r="30" spans="2:61" ht="5.0999999999999996" customHeight="1" x14ac:dyDescent="0.45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tabSelected="1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6" t="s">
        <v>0</v>
      </c>
      <c r="C2" s="189"/>
      <c r="D2" s="189"/>
      <c r="E2" s="189"/>
      <c r="F2" s="189"/>
      <c r="G2" s="189"/>
      <c r="H2" s="189" t="s">
        <v>18</v>
      </c>
      <c r="I2" s="189"/>
      <c r="J2" s="189"/>
      <c r="K2" s="189"/>
      <c r="L2" s="189" t="s">
        <v>1</v>
      </c>
      <c r="M2" s="189"/>
      <c r="N2" s="189"/>
      <c r="O2" s="189"/>
      <c r="P2" s="189"/>
      <c r="Q2" s="189"/>
      <c r="R2" s="189" t="s">
        <v>2</v>
      </c>
      <c r="S2" s="189"/>
      <c r="T2" s="189"/>
      <c r="U2" s="189"/>
      <c r="V2" s="189"/>
      <c r="W2" s="189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34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89" t="s">
        <v>5</v>
      </c>
      <c r="AY2" s="189"/>
      <c r="AZ2" s="189"/>
      <c r="BA2" s="189"/>
      <c r="BB2" s="189" t="s">
        <v>4</v>
      </c>
      <c r="BC2" s="189"/>
      <c r="BD2" s="189"/>
      <c r="BE2" s="189"/>
      <c r="BF2" s="189" t="s">
        <v>6</v>
      </c>
      <c r="BG2" s="189"/>
      <c r="BH2" s="189"/>
      <c r="BI2" s="189"/>
      <c r="BJ2" s="189" t="s">
        <v>7</v>
      </c>
      <c r="BK2" s="189"/>
      <c r="BL2" s="189"/>
      <c r="BM2" s="190"/>
    </row>
    <row r="3" spans="2:65" ht="20.100000000000001" customHeight="1" x14ac:dyDescent="0.45">
      <c r="B3" s="191" t="str">
        <f>変更履歴!B3</f>
        <v>XXXXXXXX</v>
      </c>
      <c r="C3" s="134"/>
      <c r="D3" s="134"/>
      <c r="E3" s="134"/>
      <c r="F3" s="134"/>
      <c r="G3" s="134"/>
      <c r="H3" s="134" t="str">
        <f ca="1">変更履歴!H3</f>
        <v/>
      </c>
      <c r="I3" s="134"/>
      <c r="J3" s="134"/>
      <c r="K3" s="134"/>
      <c r="L3" s="134" t="str">
        <f>変更履歴!L3</f>
        <v>運用自動化</v>
      </c>
      <c r="M3" s="134"/>
      <c r="N3" s="134"/>
      <c r="O3" s="134"/>
      <c r="P3" s="134"/>
      <c r="Q3" s="134"/>
      <c r="R3" s="134" t="str">
        <f ca="1">変更履歴!R3</f>
        <v>帳票設計書</v>
      </c>
      <c r="S3" s="134"/>
      <c r="T3" s="134"/>
      <c r="U3" s="134"/>
      <c r="V3" s="134"/>
      <c r="W3" s="134"/>
      <c r="X3" s="138" t="str">
        <f ca="1">変更履歴!X3</f>
        <v>_テンプレート_帳票設計書</v>
      </c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5"/>
      <c r="AK3" s="138" t="str">
        <f ca="1">変更履歴!AK3</f>
        <v>テンプレート</v>
      </c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5"/>
      <c r="AX3" s="145">
        <f>変更履歴!AX3</f>
        <v>0</v>
      </c>
      <c r="AY3" s="145"/>
      <c r="AZ3" s="145"/>
      <c r="BA3" s="145"/>
      <c r="BB3" s="134">
        <f>変更履歴!BB3</f>
        <v>0</v>
      </c>
      <c r="BC3" s="134"/>
      <c r="BD3" s="134"/>
      <c r="BE3" s="134"/>
      <c r="BF3" s="145">
        <f>変更履歴!BF3</f>
        <v>0</v>
      </c>
      <c r="BG3" s="145"/>
      <c r="BH3" s="145"/>
      <c r="BI3" s="145"/>
      <c r="BJ3" s="134">
        <f>変更履歴!BJ3</f>
        <v>0</v>
      </c>
      <c r="BK3" s="134"/>
      <c r="BL3" s="134"/>
      <c r="BM3" s="187"/>
    </row>
    <row r="4" spans="2:65" ht="20.100000000000001" customHeight="1" thickBot="1" x14ac:dyDescent="0.5">
      <c r="B4" s="192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93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5"/>
      <c r="AK4" s="193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5"/>
      <c r="AX4" s="185"/>
      <c r="AY4" s="185"/>
      <c r="AZ4" s="185"/>
      <c r="BA4" s="185"/>
      <c r="BB4" s="186"/>
      <c r="BC4" s="186"/>
      <c r="BD4" s="186"/>
      <c r="BE4" s="186"/>
      <c r="BF4" s="185"/>
      <c r="BG4" s="185"/>
      <c r="BH4" s="185"/>
      <c r="BI4" s="185"/>
      <c r="BJ4" s="186"/>
      <c r="BK4" s="186"/>
      <c r="BL4" s="186"/>
      <c r="BM4" s="18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58</v>
      </c>
      <c r="C7" s="90"/>
      <c r="D7" s="90"/>
      <c r="E7" s="90"/>
      <c r="F7" s="90"/>
      <c r="G7" s="90"/>
      <c r="H7" s="92" t="s">
        <v>86</v>
      </c>
      <c r="I7" s="91"/>
      <c r="J7" s="126" t="s">
        <v>22</v>
      </c>
      <c r="K7" s="121"/>
      <c r="L7" s="121"/>
      <c r="M7" s="121"/>
      <c r="N7" s="121"/>
      <c r="O7" s="121"/>
      <c r="P7" s="121"/>
      <c r="Q7" s="121"/>
      <c r="R7" s="126" t="s">
        <v>87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88</v>
      </c>
      <c r="K8" s="52"/>
      <c r="L8" s="52"/>
      <c r="M8" s="52"/>
      <c r="N8" s="52"/>
      <c r="O8" s="52"/>
      <c r="P8" s="52"/>
      <c r="Q8" s="52"/>
      <c r="R8" s="124" t="s">
        <v>89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90</v>
      </c>
      <c r="K9" s="52"/>
      <c r="L9" s="52"/>
      <c r="M9" s="52"/>
      <c r="N9" s="52"/>
      <c r="O9" s="52"/>
      <c r="P9" s="52"/>
      <c r="Q9" s="52"/>
      <c r="R9" s="124" t="s">
        <v>91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59</v>
      </c>
      <c r="I10" s="31"/>
      <c r="J10" s="111" t="s">
        <v>60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61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64</v>
      </c>
      <c r="I14" s="55"/>
      <c r="J14" s="107" t="s">
        <v>65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68</v>
      </c>
      <c r="M17" s="109" t="s">
        <v>67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69</v>
      </c>
      <c r="M18" s="109" t="s">
        <v>67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70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71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72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68</v>
      </c>
      <c r="M22" s="104" t="s">
        <v>73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74</v>
      </c>
      <c r="I23" s="31"/>
      <c r="J23" s="111"/>
      <c r="K23" s="109" t="s">
        <v>75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76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68</v>
      </c>
      <c r="K24" s="109" t="s">
        <v>77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69</v>
      </c>
      <c r="K25" s="109" t="s">
        <v>77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78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80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68</v>
      </c>
      <c r="K28" s="31" t="s">
        <v>81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82</v>
      </c>
      <c r="I32" s="31"/>
      <c r="J32" s="111" t="s">
        <v>83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50</v>
      </c>
    </row>
    <row r="3" spans="2:6" ht="18.600000000000001" thickTop="1" x14ac:dyDescent="0.45">
      <c r="B3" s="38" t="s">
        <v>21</v>
      </c>
      <c r="C3" s="77" t="s">
        <v>51</v>
      </c>
      <c r="D3" s="77" t="s">
        <v>52</v>
      </c>
      <c r="E3" s="74" t="s">
        <v>23</v>
      </c>
      <c r="F3" s="78" t="s">
        <v>53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49</v>
      </c>
    </row>
    <row r="2" spans="1:1" x14ac:dyDescent="0.45">
      <c r="A2" s="71" t="s">
        <v>39</v>
      </c>
    </row>
    <row r="3" spans="1:1" x14ac:dyDescent="0.45">
      <c r="A3" s="70" t="s">
        <v>40</v>
      </c>
    </row>
    <row r="4" spans="1:1" x14ac:dyDescent="0.45">
      <c r="A4" s="70" t="s">
        <v>43</v>
      </c>
    </row>
    <row r="5" spans="1:1" x14ac:dyDescent="0.45">
      <c r="A5" s="70" t="s">
        <v>41</v>
      </c>
    </row>
    <row r="6" spans="1:1" x14ac:dyDescent="0.45">
      <c r="A6" s="70" t="s">
        <v>42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2025-05-24T05:37:05Z</dcterms:modified>
</cp:coreProperties>
</file>