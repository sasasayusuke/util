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232" windowHeight="8808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21" r:id="rId5"/>
    <sheet name="処理詳細_書き方" sheetId="22" state="hidden" r:id="rId6"/>
    <sheet name="確認事項" sheetId="15" r:id="rId7"/>
    <sheet name="別紙_テンプレート" sheetId="18" r:id="rId8"/>
    <sheet name="別紙_印刷レイアウト" sheetId="23" r:id="rId9"/>
    <sheet name="参照" sheetId="12" state="hidden" r:id="rId10"/>
  </sheets>
  <definedNames>
    <definedName name="CoreCells" localSheetId="7">別紙_テンプレート!$A$6:$I$6</definedName>
    <definedName name="CoreCells">#REF!</definedName>
    <definedName name="NenRetu" localSheetId="7">別紙_テンプレート!$D:$I</definedName>
    <definedName name="NenRetu">#REF!</definedName>
    <definedName name="_xlnm.Print_Area" localSheetId="1">概要!$A$1:$BN$31</definedName>
    <definedName name="_xlnm.Print_Area" localSheetId="3">項目一覧!$A$1:$BX$47</definedName>
    <definedName name="_xlnm.Print_Area" localSheetId="4">処理詳細!$A$1:$BR$173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7">別紙_テンプレート!$A:$C,別紙_テンプレート!$1:$5</definedName>
    <definedName name="_xlnm.Print_Titles" localSheetId="0">変更履歴!$1:$5</definedName>
    <definedName name="SumCore" localSheetId="7">別紙_テンプレート!#REF!</definedName>
    <definedName name="SumCore">#REF!</definedName>
    <definedName name="YearNamePos" localSheetId="7">別紙_テンプレート!$D$3</definedName>
    <definedName name="YearNamePos">#REF!</definedName>
    <definedName name="集計範囲" localSheetId="7">別紙_テンプレート!$C$1</definedName>
    <definedName name="集計範囲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2" l="1"/>
  <c r="BF3" i="22"/>
  <c r="BB3" i="22"/>
  <c r="AX3" i="22"/>
  <c r="L3" i="22"/>
  <c r="B3" i="22"/>
  <c r="BJ3" i="21"/>
  <c r="BF3" i="21"/>
  <c r="BB3" i="21"/>
  <c r="AX3" i="21"/>
  <c r="L3" i="21"/>
  <c r="B3" i="21"/>
  <c r="E6" i="18" l="1"/>
  <c r="O7" i="18"/>
  <c r="K7" i="18"/>
  <c r="I7" i="18"/>
  <c r="E7" i="18"/>
  <c r="K6" i="18"/>
  <c r="N4" i="18"/>
  <c r="O6" i="18" s="1"/>
  <c r="L4" i="18"/>
  <c r="H4" i="18"/>
  <c r="F4" i="18"/>
  <c r="G4" i="18" l="1"/>
  <c r="I6" i="18"/>
  <c r="M4" i="18"/>
  <c r="BJ3" i="14" l="1"/>
  <c r="BF3" i="14"/>
  <c r="BB3" i="14"/>
  <c r="AX3" i="14"/>
  <c r="L3" i="14"/>
  <c r="B3" i="14"/>
  <c r="X3" i="1" l="1"/>
  <c r="X3" i="21" l="1"/>
  <c r="X3" i="22"/>
  <c r="X3" i="14"/>
  <c r="H3" i="1"/>
  <c r="R3" i="1"/>
  <c r="AK3" i="1"/>
  <c r="AK3" i="21" l="1"/>
  <c r="AK3" i="22"/>
  <c r="R3" i="21"/>
  <c r="R3" i="22"/>
  <c r="H3" i="21"/>
  <c r="H3" i="22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<sst xmlns="http://schemas.openxmlformats.org/spreadsheetml/2006/main" count="582" uniqueCount="370">
  <si>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</si>
  <si>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</si>
  <si>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</si>
  <si>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</si>
  <si>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</si>
  <si>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</si>
  <si>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</si>
  <si>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</si>
  <si>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</si>
  <si>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</si>
  <si>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</si>
  <si>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</si>
  <si>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</si>
  <si>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</si>
  <si>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</si>
  <si>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</si>
  <si>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</si>
  <si>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</si>
  <si>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</si>
  <si>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</si>
  <si>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</si>
  <si>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</si>
  <si>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</si>
  <si>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</si>
  <si>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</si>
  <si>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</si>
  <si>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</si>
  <si>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</si>
  <si>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</si>
  <si>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</si>
  <si>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</si>
  <si>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</si>
  <si>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</si>
  <si>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</si>
  <si>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</si>
  <si>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</si>
  <si>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</si>
  <si>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</si>
  <si>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</si>
  <si>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</si>
  <si>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</si>
  <si>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</si>
  <si>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</si>
  <si>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</si>
  <si>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</si>
  <si>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</si>
  <si>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</si>
  <si>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</si>
  <si>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</si>
  <si>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</si>
  <si>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</si>
  <si>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</si>
  <si>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</si>
  <si>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Excel</t>
    <phoneticPr fontId="2"/>
  </si>
  <si>
    <t>xlsx</t>
    <phoneticPr fontId="2"/>
  </si>
  <si>
    <t>-</t>
    <phoneticPr fontId="2"/>
  </si>
  <si>
    <t>-</t>
    <phoneticPr fontId="2"/>
  </si>
  <si>
    <t>Template仕入先別年間仕入順位推移表.xlsx</t>
    <rPh sb="8" eb="11">
      <t>シイレサキ</t>
    </rPh>
    <rPh sb="11" eb="12">
      <t>ベツ</t>
    </rPh>
    <rPh sb="12" eb="14">
      <t>ネンカン</t>
    </rPh>
    <rPh sb="14" eb="18">
      <t>シイレジュンイ</t>
    </rPh>
    <rPh sb="18" eb="20">
      <t>スイイ</t>
    </rPh>
    <rPh sb="20" eb="21">
      <t>ヒョウ</t>
    </rPh>
    <phoneticPr fontId="2"/>
  </si>
  <si>
    <t>2012年～2012年</t>
    <rPh sb="4" eb="5">
      <t>ネン</t>
    </rPh>
    <rPh sb="10" eb="11">
      <t>ネン</t>
    </rPh>
    <phoneticPr fontId="10"/>
  </si>
  <si>
    <t>計</t>
    <rPh sb="0" eb="1">
      <t>ケイ</t>
    </rPh>
    <phoneticPr fontId="10"/>
  </si>
  <si>
    <t>仕入先CD</t>
    <rPh sb="0" eb="2">
      <t>シイレ</t>
    </rPh>
    <phoneticPr fontId="10"/>
  </si>
  <si>
    <t>仕入先名1</t>
    <rPh sb="0" eb="2">
      <t>シイレ</t>
    </rPh>
    <phoneticPr fontId="10"/>
  </si>
  <si>
    <t>仕入先名2</t>
    <rPh sb="0" eb="2">
      <t>シイレ</t>
    </rPh>
    <phoneticPr fontId="10"/>
  </si>
  <si>
    <t>順位</t>
    <rPh sb="0" eb="2">
      <t>ジュンイ</t>
    </rPh>
    <phoneticPr fontId="10"/>
  </si>
  <si>
    <t>前対比</t>
    <rPh sb="0" eb="1">
      <t>ゼン</t>
    </rPh>
    <rPh sb="1" eb="3">
      <t>タイヒ</t>
    </rPh>
    <phoneticPr fontId="10"/>
  </si>
  <si>
    <t>売上金額</t>
    <rPh sb="0" eb="2">
      <t>ウリアゲ</t>
    </rPh>
    <rPh sb="2" eb="4">
      <t>キンガク</t>
    </rPh>
    <phoneticPr fontId="10"/>
  </si>
  <si>
    <t>原価率</t>
    <rPh sb="0" eb="2">
      <t>ゲンカ</t>
    </rPh>
    <rPh sb="2" eb="3">
      <t>リツ</t>
    </rPh>
    <phoneticPr fontId="10"/>
  </si>
  <si>
    <t>純仕入金額</t>
    <rPh sb="1" eb="3">
      <t>シイレ</t>
    </rPh>
    <phoneticPr fontId="10"/>
  </si>
  <si>
    <t>ﾊﾟｰｾﾝﾄ</t>
  </si>
  <si>
    <t>仕入先CD</t>
    <rPh sb="0" eb="3">
      <t>シイレサキ</t>
    </rPh>
    <phoneticPr fontId="1"/>
  </si>
  <si>
    <t>仕入先名1</t>
    <rPh sb="0" eb="4">
      <t>シイレサキメイ</t>
    </rPh>
    <phoneticPr fontId="1"/>
  </si>
  <si>
    <t>仕入先名2</t>
    <rPh sb="0" eb="4">
      <t>シイレサキメイ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</si>
  <si>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</si>
  <si>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</si>
  <si>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期間from</t>
    <rPh sb="0" eb="2">
      <t>キカン</t>
    </rPh>
    <phoneticPr fontId="1"/>
  </si>
  <si>
    <t>期間to</t>
    <rPh sb="0" eb="2">
      <t>キカン</t>
    </rPh>
    <phoneticPr fontId="1"/>
  </si>
  <si>
    <t>画面.集計年開始日</t>
    <rPh sb="0" eb="2">
      <t>ガメン</t>
    </rPh>
    <rPh sb="3" eb="5">
      <t>シュウケイ</t>
    </rPh>
    <rPh sb="5" eb="6">
      <t>ネン</t>
    </rPh>
    <rPh sb="6" eb="9">
      <t>カイシビ</t>
    </rPh>
    <phoneticPr fontId="1"/>
  </si>
  <si>
    <t>画面.集計年終了日</t>
    <rPh sb="0" eb="2">
      <t>ガメン</t>
    </rPh>
    <rPh sb="3" eb="5">
      <t>シュウケイ</t>
    </rPh>
    <rPh sb="5" eb="6">
      <t>ネン</t>
    </rPh>
    <rPh sb="6" eb="9">
      <t>シュウリョウビ</t>
    </rPh>
    <phoneticPr fontId="1"/>
  </si>
  <si>
    <t>仕入先別年間仕入順位推移表</t>
    <phoneticPr fontId="10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</si>
  <si>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</si>
  <si>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</si>
  <si>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</si>
  <si>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</si>
  <si>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</si>
  <si>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</si>
  <si>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</si>
  <si>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</si>
  <si>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</si>
  <si>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</si>
  <si>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</si>
  <si>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</si>
  <si>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</si>
  <si>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</si>
  <si>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</si>
  <si>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</si>
  <si>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</si>
  <si>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</si>
  <si>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</si>
  <si>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</si>
  <si>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</si>
  <si>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</si>
  <si>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</si>
  <si>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</si>
  <si>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</si>
  <si>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</si>
  <si>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</si>
  <si>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</si>
  <si>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</si>
  <si>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</si>
  <si>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</si>
  <si>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</si>
  <si>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</si>
  <si>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</si>
  <si>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</si>
  <si>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</si>
  <si>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</si>
  <si>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帳票レイアウト</t>
    <rPh sb="0" eb="2">
      <t>チョウヒョウ</t>
    </rPh>
    <phoneticPr fontId="2"/>
  </si>
  <si>
    <t>指定された年数分横に増える認識か</t>
    <rPh sb="0" eb="2">
      <t>シテイ</t>
    </rPh>
    <rPh sb="5" eb="8">
      <t>ネンスウブン</t>
    </rPh>
    <rPh sb="8" eb="9">
      <t>ヨコ</t>
    </rPh>
    <rPh sb="10" eb="11">
      <t>フ</t>
    </rPh>
    <rPh sb="13" eb="15">
      <t>ニンシキ</t>
    </rPh>
    <phoneticPr fontId="2"/>
  </si>
  <si>
    <t>〇</t>
    <phoneticPr fontId="2"/>
  </si>
  <si>
    <t>回答</t>
    <rPh sb="0" eb="2">
      <t>カイトウ</t>
    </rPh>
    <phoneticPr fontId="2"/>
  </si>
  <si>
    <t>認識合ってる</t>
    <rPh sb="0" eb="2">
      <t>ニンシキ</t>
    </rPh>
    <rPh sb="2" eb="3">
      <t>ア</t>
    </rPh>
    <phoneticPr fontId="2"/>
  </si>
  <si>
    <t>年が古い順に左から並ぶ</t>
    <rPh sb="0" eb="1">
      <t>トシ</t>
    </rPh>
    <rPh sb="2" eb="3">
      <t>フル</t>
    </rPh>
    <rPh sb="4" eb="5">
      <t>ジュン</t>
    </rPh>
    <rPh sb="6" eb="7">
      <t>ヒダリ</t>
    </rPh>
    <rPh sb="9" eb="10">
      <t>ナラ</t>
    </rPh>
    <phoneticPr fontId="2"/>
  </si>
  <si>
    <t>"yyyy年4月"</t>
    <phoneticPr fontId="1"/>
  </si>
  <si>
    <t>"yyyy年3月"</t>
    <phoneticPr fontId="1"/>
  </si>
  <si>
    <t>"yyyy年"</t>
    <phoneticPr fontId="1"/>
  </si>
  <si>
    <t>[画面.集計年開始日]+1+i</t>
    <phoneticPr fontId="1"/>
  </si>
  <si>
    <t>集計年</t>
    <rPh sb="0" eb="2">
      <t>シュウケイ</t>
    </rPh>
    <rPh sb="2" eb="3">
      <t>ネン</t>
    </rPh>
    <phoneticPr fontId="1"/>
  </si>
  <si>
    <t>売上金額合計</t>
    <rPh sb="0" eb="2">
      <t>ウリアゲ</t>
    </rPh>
    <rPh sb="2" eb="4">
      <t>キンガク</t>
    </rPh>
    <rPh sb="4" eb="6">
      <t>ゴウケイ</t>
    </rPh>
    <phoneticPr fontId="1"/>
  </si>
  <si>
    <t>原価率合計</t>
    <rPh sb="0" eb="3">
      <t>ゲンカリツ</t>
    </rPh>
    <rPh sb="3" eb="5">
      <t>ゴウケイ</t>
    </rPh>
    <phoneticPr fontId="1"/>
  </si>
  <si>
    <t>純仕入金額合計</t>
    <rPh sb="0" eb="1">
      <t>ジュン</t>
    </rPh>
    <rPh sb="1" eb="5">
      <t>シイレキンガク</t>
    </rPh>
    <rPh sb="5" eb="7">
      <t>ゴウケイ</t>
    </rPh>
    <phoneticPr fontId="1"/>
  </si>
  <si>
    <t>順位</t>
    <rPh sb="0" eb="2">
      <t>ジュンイ</t>
    </rPh>
    <phoneticPr fontId="1"/>
  </si>
  <si>
    <t>前対比</t>
    <rPh sb="0" eb="1">
      <t>マエ</t>
    </rPh>
    <rPh sb="1" eb="3">
      <t>タイヒ</t>
    </rPh>
    <phoneticPr fontId="1"/>
  </si>
  <si>
    <t>売上金額</t>
    <rPh sb="0" eb="4">
      <t>ウリアゲキンガク</t>
    </rPh>
    <phoneticPr fontId="1"/>
  </si>
  <si>
    <t>原価率</t>
    <rPh sb="0" eb="3">
      <t>ゲンカリツ</t>
    </rPh>
    <phoneticPr fontId="1"/>
  </si>
  <si>
    <t>純仕入金額</t>
    <rPh sb="0" eb="1">
      <t>ジュン</t>
    </rPh>
    <rPh sb="1" eb="5">
      <t>シイレキンガク</t>
    </rPh>
    <phoneticPr fontId="1"/>
  </si>
  <si>
    <t>パーセント</t>
    <phoneticPr fontId="1"/>
  </si>
  <si>
    <t>[12.売上金額]</t>
    <rPh sb="4" eb="8">
      <t>ウリアゲキンガク</t>
    </rPh>
    <phoneticPr fontId="1"/>
  </si>
  <si>
    <t>[12.売上金額]の合計</t>
    <rPh sb="10" eb="12">
      <t>ゴウケイ</t>
    </rPh>
    <phoneticPr fontId="1"/>
  </si>
  <si>
    <t>[4.売上金額合計],[6.純仕入金額合計]</t>
    <rPh sb="3" eb="7">
      <t>ウリアゲキンガク</t>
    </rPh>
    <rPh sb="7" eb="9">
      <t>ゴウケイ</t>
    </rPh>
    <rPh sb="14" eb="15">
      <t>ジュン</t>
    </rPh>
    <rPh sb="15" eb="19">
      <t>シイレキンガク</t>
    </rPh>
    <rPh sb="19" eb="21">
      <t>ゴウケイ</t>
    </rPh>
    <phoneticPr fontId="1"/>
  </si>
  <si>
    <t>[6.純仕入金額合計]に100をかけて[4.売上金額合計]で割った値</t>
    <rPh sb="22" eb="26">
      <t>ウリアゲキンガク</t>
    </rPh>
    <rPh sb="26" eb="28">
      <t>ゴウケイ</t>
    </rPh>
    <rPh sb="30" eb="31">
      <t>ワ</t>
    </rPh>
    <rPh sb="33" eb="34">
      <t>アタイ</t>
    </rPh>
    <phoneticPr fontId="1"/>
  </si>
  <si>
    <t>[14.純仕入金額]の合計</t>
    <rPh sb="4" eb="9">
      <t>ジュンシイレキンガク</t>
    </rPh>
    <rPh sb="11" eb="13">
      <t>ゴウケイ</t>
    </rPh>
    <phoneticPr fontId="1"/>
  </si>
  <si>
    <t>[14.純仕入金額]</t>
    <rPh sb="4" eb="5">
      <t>ジュン</t>
    </rPh>
    <rPh sb="5" eb="9">
      <t>シイレキンガク</t>
    </rPh>
    <phoneticPr fontId="1"/>
  </si>
  <si>
    <t>[14.純仕入金額]</t>
    <rPh sb="4" eb="9">
      <t>ジュンシイレキンガク</t>
    </rPh>
    <phoneticPr fontId="1"/>
  </si>
  <si>
    <t>前年の純仕入金額がある場合は[14.純仕入金額]に100をかけて前年の[純仕入金額]で割った値、ない場合は0</t>
    <rPh sb="0" eb="2">
      <t>ゼンネン</t>
    </rPh>
    <rPh sb="3" eb="8">
      <t>ジュンシイレキンガク</t>
    </rPh>
    <rPh sb="11" eb="13">
      <t>バアイ</t>
    </rPh>
    <rPh sb="43" eb="44">
      <t>ワ</t>
    </rPh>
    <rPh sb="46" eb="47">
      <t>アタイ</t>
    </rPh>
    <rPh sb="50" eb="52">
      <t>バアイ</t>
    </rPh>
    <phoneticPr fontId="1"/>
  </si>
  <si>
    <t>[.税抜金額i+1]が０の場合、[.原価金額i+1]を表示
それ以外の場合、[.原価金額i+1]/[.税抜金額i+1]*100を表示</t>
    <rPh sb="13" eb="15">
      <t>バアイ</t>
    </rPh>
    <rPh sb="27" eb="29">
      <t>ヒョウジ</t>
    </rPh>
    <rPh sb="32" eb="34">
      <t>イガイ</t>
    </rPh>
    <rPh sb="35" eb="37">
      <t>バアイ</t>
    </rPh>
    <rPh sb="64" eb="66">
      <t>ヒョウジ</t>
    </rPh>
    <phoneticPr fontId="1"/>
  </si>
  <si>
    <t>[6.純仕入金額合計],[14.純仕入金額]</t>
    <rPh sb="3" eb="8">
      <t>ジュンシイレキンガク</t>
    </rPh>
    <rPh sb="8" eb="10">
      <t>ゴウケイ</t>
    </rPh>
    <rPh sb="16" eb="17">
      <t>ジュン</t>
    </rPh>
    <rPh sb="17" eb="21">
      <t>シイレキンガク</t>
    </rPh>
    <phoneticPr fontId="1"/>
  </si>
  <si>
    <t>[14.純仕入金額]に100をかけて[6.純仕入金額合計]で割った値</t>
    <rPh sb="4" eb="9">
      <t>ジュンシイレキンガク</t>
    </rPh>
    <rPh sb="21" eb="22">
      <t>ジュン</t>
    </rPh>
    <rPh sb="22" eb="24">
      <t>シイレ</t>
    </rPh>
    <rPh sb="24" eb="26">
      <t>キンガク</t>
    </rPh>
    <rPh sb="26" eb="28">
      <t>ゴウケイ</t>
    </rPh>
    <rPh sb="30" eb="31">
      <t>ワ</t>
    </rPh>
    <rPh sb="33" eb="34">
      <t>アタイ</t>
    </rPh>
    <phoneticPr fontId="1"/>
  </si>
  <si>
    <t>仕入先CD</t>
    <phoneticPr fontId="2"/>
  </si>
  <si>
    <t>年</t>
    <phoneticPr fontId="2"/>
  </si>
  <si>
    <t>順位</t>
    <phoneticPr fontId="2"/>
  </si>
  <si>
    <t>原価金額</t>
    <phoneticPr fontId="2"/>
  </si>
  <si>
    <t>税抜金額</t>
    <phoneticPr fontId="2"/>
  </si>
  <si>
    <t>比率</t>
    <phoneticPr fontId="2"/>
  </si>
  <si>
    <t>トータル税抜金額</t>
    <phoneticPr fontId="2"/>
  </si>
  <si>
    <t>INSERT SQL1</t>
    <phoneticPr fontId="2"/>
  </si>
  <si>
    <t>NULL</t>
    <phoneticPr fontId="2"/>
  </si>
  <si>
    <t>U.仕入先CD</t>
    <phoneticPr fontId="2"/>
  </si>
  <si>
    <t>U.年</t>
    <phoneticPr fontId="2"/>
  </si>
  <si>
    <t>U.原価金額</t>
    <phoneticPr fontId="2"/>
  </si>
  <si>
    <t>TOTAL.トータル税抜金額</t>
    <phoneticPr fontId="2"/>
  </si>
  <si>
    <t>SQL2</t>
    <phoneticPr fontId="2"/>
  </si>
  <si>
    <t>SQL2 AS U</t>
    <phoneticPr fontId="2"/>
  </si>
  <si>
    <t>SQL3</t>
    <phoneticPr fontId="2"/>
  </si>
  <si>
    <t>LEFT JOIN</t>
    <phoneticPr fontId="2"/>
  </si>
  <si>
    <t>SQL3 AS TOTAL</t>
    <phoneticPr fontId="2"/>
  </si>
  <si>
    <t xml:space="preserve"> U.年 = TOTAL.年</t>
    <phoneticPr fontId="2"/>
  </si>
  <si>
    <t>SM.仕入先CD</t>
    <phoneticPr fontId="2"/>
  </si>
  <si>
    <t xml:space="preserve">CASE WHEN MONTH(SM.仕入日付) &lt;= 3 
 THEN YEAR(SM.仕入日付) - 1
 ELSE YEAR(SM.仕入日付)
END </t>
    <phoneticPr fontId="2"/>
  </si>
  <si>
    <t>SUM(CASE WHEN SU.仕入税区分 = 1 THEN (SU.仕入金額-SU.消費税額) ELSE SU.仕入金額 END)</t>
    <phoneticPr fontId="2"/>
  </si>
  <si>
    <t>TD仕入明細 AS SM</t>
    <phoneticPr fontId="2"/>
  </si>
  <si>
    <t>TD仕入明細内訳 AS SU</t>
    <phoneticPr fontId="2"/>
  </si>
  <si>
    <t>INNER JOIN</t>
    <phoneticPr fontId="2"/>
  </si>
  <si>
    <t>TD仕入明細内訳</t>
    <phoneticPr fontId="2"/>
  </si>
  <si>
    <t>SM.仕入番号 = SU.仕入番号</t>
    <phoneticPr fontId="2"/>
  </si>
  <si>
    <t>AND</t>
    <phoneticPr fontId="2"/>
  </si>
  <si>
    <t>SM.仕入日付 &gt;= [画面.集計年開始日]</t>
    <phoneticPr fontId="2"/>
  </si>
  <si>
    <t>SM.仕入日付 &lt;= [画面.集計年終了日]</t>
    <rPh sb="18" eb="20">
      <t>シュウリョウ</t>
    </rPh>
    <phoneticPr fontId="2"/>
  </si>
  <si>
    <t>NOT</t>
    <phoneticPr fontId="2"/>
  </si>
  <si>
    <t>SM.仕入先CD IN ('3150','9999')</t>
    <phoneticPr fontId="2"/>
  </si>
  <si>
    <t>group by</t>
    <phoneticPr fontId="2"/>
  </si>
  <si>
    <t>SM.仕入先CD</t>
    <phoneticPr fontId="2"/>
  </si>
  <si>
    <t>CASE WHEN MONTH(SM.仕入日付) &lt;= 3</t>
    <phoneticPr fontId="2"/>
  </si>
  <si>
    <t>THEN YEAR(SM.仕入日付) - 1</t>
    <phoneticPr fontId="2"/>
  </si>
  <si>
    <t>ELSE YEAR(SM.仕入日付)</t>
    <phoneticPr fontId="2"/>
  </si>
  <si>
    <t>END</t>
    <phoneticPr fontId="2"/>
  </si>
  <si>
    <t>SUM(SU.仕入金額-SU.消費税額)</t>
  </si>
  <si>
    <t>MERGE INTO SQL4</t>
    <phoneticPr fontId="2"/>
  </si>
  <si>
    <t>on</t>
    <phoneticPr fontId="2"/>
  </si>
  <si>
    <t>#TMP AS A</t>
    <phoneticPr fontId="2"/>
  </si>
  <si>
    <t>using</t>
    <phoneticPr fontId="2"/>
  </si>
  <si>
    <t>merge into</t>
    <phoneticPr fontId="2"/>
  </si>
  <si>
    <t>SQL5 AS B</t>
    <phoneticPr fontId="2"/>
  </si>
  <si>
    <t>A.仕入先CD = B.仕入業者CD</t>
    <phoneticPr fontId="2"/>
  </si>
  <si>
    <t>A.年 = B.年</t>
    <phoneticPr fontId="2"/>
  </si>
  <si>
    <t>matched</t>
    <phoneticPr fontId="2"/>
  </si>
  <si>
    <t>WHEN MATCHED THEN</t>
    <phoneticPr fontId="2"/>
  </si>
  <si>
    <t>UPDATE</t>
    <phoneticPr fontId="2"/>
  </si>
  <si>
    <t>SET A.税抜金額 = A.税抜金額 + B.税抜金額</t>
    <phoneticPr fontId="2"/>
  </si>
  <si>
    <t>WHEN NOT MATCHED THEN</t>
    <phoneticPr fontId="2"/>
  </si>
  <si>
    <t>INSERT</t>
    <phoneticPr fontId="2"/>
  </si>
  <si>
    <t>insert</t>
    <phoneticPr fontId="2"/>
  </si>
  <si>
    <t>仕入先CD</t>
  </si>
  <si>
    <t>B.仕入業者CD</t>
    <phoneticPr fontId="2"/>
  </si>
  <si>
    <t>B.年</t>
    <phoneticPr fontId="2"/>
  </si>
  <si>
    <t>B.税抜金額</t>
    <phoneticPr fontId="2"/>
  </si>
  <si>
    <t>UPDATE SQL5</t>
    <phoneticPr fontId="2"/>
  </si>
  <si>
    <t>update</t>
    <phoneticPr fontId="2"/>
  </si>
  <si>
    <t>#tmp</t>
    <phoneticPr fontId="2"/>
  </si>
  <si>
    <t>#TMP</t>
    <phoneticPr fontId="2"/>
  </si>
  <si>
    <t>set</t>
    <phoneticPr fontId="2"/>
  </si>
  <si>
    <t>JN.順位</t>
    <phoneticPr fontId="2"/>
  </si>
  <si>
    <t>SQL6 AS JN</t>
    <phoneticPr fontId="2"/>
  </si>
  <si>
    <t>SQL6</t>
    <phoneticPr fontId="2"/>
  </si>
  <si>
    <t>#TMP.仕入先CD = JN.仕入先CD</t>
    <phoneticPr fontId="2"/>
  </si>
  <si>
    <t>#TMP.年 = JN.年</t>
    <phoneticPr fontId="2"/>
  </si>
  <si>
    <t>SQL6</t>
    <phoneticPr fontId="2"/>
  </si>
  <si>
    <t>順位</t>
    <phoneticPr fontId="2"/>
  </si>
  <si>
    <t>ROW_NUMBER() OVER(PARTITION BY #TMP.年 ORDER BY #TMP.原価金額 DESC)</t>
    <phoneticPr fontId="2"/>
  </si>
  <si>
    <t>#TMP.仕入先CD</t>
    <rPh sb="5" eb="8">
      <t>シイレサキ</t>
    </rPh>
    <phoneticPr fontId="2"/>
  </si>
  <si>
    <t>#TMP.年</t>
    <rPh sb="5" eb="6">
      <t>ネン</t>
    </rPh>
    <phoneticPr fontId="2"/>
  </si>
  <si>
    <t>SQL7</t>
    <phoneticPr fontId="2"/>
  </si>
  <si>
    <t>TMP.仕入先CD</t>
  </si>
  <si>
    <t>SI.仕入先名1</t>
  </si>
  <si>
    <t>SI.仕入先名2</t>
  </si>
  <si>
    <t>TMP.順位1</t>
  </si>
  <si>
    <t>TMP.原価金額1</t>
  </si>
  <si>
    <t>TMP.税抜金額1</t>
  </si>
  <si>
    <t>TMP.比率1</t>
  </si>
  <si>
    <t>TMP.順位2</t>
  </si>
  <si>
    <t>TMP.原価金額2</t>
  </si>
  <si>
    <t>TMP.税抜金額2</t>
  </si>
  <si>
    <t>TMP.比率2</t>
  </si>
  <si>
    <t>TMP.順位3</t>
  </si>
  <si>
    <t>TMP.原価金額3</t>
  </si>
  <si>
    <t>TMP.税抜金額3</t>
  </si>
  <si>
    <t>TMP.比率3</t>
  </si>
  <si>
    <t>TMP.順位4</t>
  </si>
  <si>
    <t>TMP.原価金額4</t>
  </si>
  <si>
    <t>TMP.税抜金額4</t>
  </si>
  <si>
    <t>TMP.比率4</t>
  </si>
  <si>
    <t>TMP.順位5</t>
  </si>
  <si>
    <t>TMP.原価金額5</t>
  </si>
  <si>
    <t>TMP.税抜金額5</t>
  </si>
  <si>
    <t>TMP.比率5</t>
  </si>
  <si>
    <t>TMP.順位6</t>
  </si>
  <si>
    <t>TMP.原価金額6</t>
  </si>
  <si>
    <t>TMP.税抜金額6</t>
  </si>
  <si>
    <t>TMP.比率6</t>
  </si>
  <si>
    <t>TMP.順位7</t>
  </si>
  <si>
    <t>TMP.原価金額7</t>
  </si>
  <si>
    <t>TMP.税抜金額7</t>
  </si>
  <si>
    <t>TMP.比率7</t>
  </si>
  <si>
    <t>TMP.順位8</t>
  </si>
  <si>
    <t>TMP.原価金額8</t>
  </si>
  <si>
    <t>TMP.税抜金額8</t>
  </si>
  <si>
    <t>TMP.比率8</t>
  </si>
  <si>
    <t>TMP.順位9</t>
  </si>
  <si>
    <t>TMP.原価金額9</t>
  </si>
  <si>
    <t>TMP.税抜金額9</t>
  </si>
  <si>
    <t>TMP.比率9</t>
  </si>
  <si>
    <t>TMP.順位10</t>
  </si>
  <si>
    <t>TMP.原価金額10</t>
  </si>
  <si>
    <t>TMP.税抜金額10</t>
  </si>
  <si>
    <t>TMP.比率10</t>
  </si>
  <si>
    <t>仕入先名1</t>
  </si>
  <si>
    <t>仕入先名2</t>
  </si>
  <si>
    <t>順位1</t>
  </si>
  <si>
    <t>原価金額1</t>
  </si>
  <si>
    <t>税抜金額1</t>
  </si>
  <si>
    <t>比率1</t>
  </si>
  <si>
    <t>順位2</t>
  </si>
  <si>
    <t>原価金額2</t>
  </si>
  <si>
    <t>税抜金額2</t>
  </si>
  <si>
    <t>比率2</t>
  </si>
  <si>
    <t>順位3</t>
  </si>
  <si>
    <t>原価金額3</t>
  </si>
  <si>
    <t>税抜金額3</t>
  </si>
  <si>
    <t>比率3</t>
  </si>
  <si>
    <t>順位4</t>
  </si>
  <si>
    <t>原価金額4</t>
  </si>
  <si>
    <t>税抜金額4</t>
  </si>
  <si>
    <t>比率4</t>
  </si>
  <si>
    <t>順位5</t>
  </si>
  <si>
    <t>原価金額5</t>
  </si>
  <si>
    <t>税抜金額5</t>
  </si>
  <si>
    <t>比率5</t>
  </si>
  <si>
    <t>順位6</t>
  </si>
  <si>
    <t>原価金額6</t>
  </si>
  <si>
    <t>税抜金額6</t>
  </si>
  <si>
    <t>比率6</t>
  </si>
  <si>
    <t>順位7</t>
  </si>
  <si>
    <t>原価金額7</t>
  </si>
  <si>
    <t>税抜金額7</t>
  </si>
  <si>
    <t>比率7</t>
  </si>
  <si>
    <t>順位8</t>
  </si>
  <si>
    <t>原価金額8</t>
  </si>
  <si>
    <t>税抜金額8</t>
  </si>
  <si>
    <t>比率8</t>
  </si>
  <si>
    <t>順位9</t>
  </si>
  <si>
    <t>原価金額9</t>
  </si>
  <si>
    <t>税抜金額9</t>
  </si>
  <si>
    <t>比率9</t>
  </si>
  <si>
    <t>順位10</t>
  </si>
  <si>
    <t>原価金額10</t>
  </si>
  <si>
    <t>税抜金額10</t>
  </si>
  <si>
    <t>比率10</t>
  </si>
  <si>
    <t>SQL8</t>
    <phoneticPr fontId="2"/>
  </si>
  <si>
    <t>SQL8 AS TMP</t>
    <phoneticPr fontId="2"/>
  </si>
  <si>
    <t>TM仕入先 AS SI</t>
    <phoneticPr fontId="2"/>
  </si>
  <si>
    <t>TM仕入先</t>
    <phoneticPr fontId="2"/>
  </si>
  <si>
    <t>TMP.仕入先CD = SI.仕入先CD</t>
    <phoneticPr fontId="2"/>
  </si>
  <si>
    <t>TMP.仕入先CD</t>
    <phoneticPr fontId="2"/>
  </si>
  <si>
    <t>順位1</t>
    <phoneticPr fontId="2"/>
  </si>
  <si>
    <t>仕入先CD</t>
    <phoneticPr fontId="2"/>
  </si>
  <si>
    <t>原価金額1</t>
    <phoneticPr fontId="2"/>
  </si>
  <si>
    <t>税抜金額1</t>
    <phoneticPr fontId="2"/>
  </si>
  <si>
    <t>比率1</t>
    <phoneticPr fontId="2"/>
  </si>
  <si>
    <t>SUM(CASE WHEN TMP.年 = [仕入期間年数が２以上] THEN TMP.原価金額 ELSE 0 END)</t>
  </si>
  <si>
    <t>SUM(CASE WHEN TMP.年 = [仕入期間年数が２以上] THEN TMP.税抜金額 ELSE 0 END)</t>
  </si>
  <si>
    <t>SUM(CASE WHEN TMP.年 = [仕入期間年数が２以上] THEN TMP.比率 ELSE 0 END)</t>
  </si>
  <si>
    <t>SUM(CASE WHEN TMP.年 = [仕入期間年数が３以上] THEN TMP.順位 ELSE 0 END)</t>
  </si>
  <si>
    <t>SUM(CASE WHEN TMP.年 = [仕入期間年数が３以上] THEN TMP.原価金額 ELSE 0 END)</t>
  </si>
  <si>
    <t>SUM(CASE WHEN TMP.年 = [仕入期間年数が３以上] THEN TMP.税抜金額 ELSE 0 END)</t>
  </si>
  <si>
    <t>SUM(CASE WHEN TMP.年 = [仕入期間年数が３以上] THEN TMP.比率 ELSE 0 END)</t>
  </si>
  <si>
    <t>SUM(CASE WHEN TMP.年 = [仕入期間年数が４以上] THEN TMP.順位 ELSE 0 END)</t>
  </si>
  <si>
    <t>SUM(CASE WHEN TMP.年 = [仕入期間年数が４以上] THEN TMP.原価金額 ELSE 0 END)</t>
  </si>
  <si>
    <t>SUM(CASE WHEN TMP.年 = [仕入期間年数が４以上] THEN TMP.税抜金額 ELSE 0 END)</t>
  </si>
  <si>
    <t>SUM(CASE WHEN TMP.年 = [仕入期間年数が４以上] THEN TMP.比率 ELSE 0 END)</t>
  </si>
  <si>
    <t>SUM(CASE WHEN TMP.年 = [仕入期間年数が５以上] THEN TMP.順位 ELSE 0 END)</t>
  </si>
  <si>
    <t>SUM(CASE WHEN TMP.年 = [仕入期間年数が５以上] THEN TMP.原価金額 ELSE 0 END)</t>
  </si>
  <si>
    <t>SUM(CASE WHEN TMP.年 = [仕入期間年数が５以上] THEN TMP.税抜金額 ELSE 0 END)</t>
  </si>
  <si>
    <t>SUM(CASE WHEN TMP.年 = [仕入期間年数が５以上] THEN TMP.比率 ELSE 0 END)</t>
  </si>
  <si>
    <t>SUM(CASE WHEN TMP.年 = [仕入期間年数が６以上] THEN TMP.順位 ELSE 0 END)</t>
  </si>
  <si>
    <t>SUM(CASE WHEN TMP.年 = [仕入期間年数が６以上] THEN TMP.原価金額 ELSE 0 END)</t>
  </si>
  <si>
    <t>SUM(CASE WHEN TMP.年 = [仕入期間年数が６以上] THEN TMP.税抜金額 ELSE 0 END)</t>
  </si>
  <si>
    <t>SUM(CASE WHEN TMP.年 = [仕入期間年数が６以上] THEN TMP.比率 ELSE 0 END)</t>
  </si>
  <si>
    <t>SUM(CASE WHEN TMP.年 = [仕入期間年数が７以上] THEN TMP.順位 ELSE 0 END)</t>
  </si>
  <si>
    <t>SUM(CASE WHEN TMP.年 = [仕入期間年数が７以上] THEN TMP.原価金額 ELSE 0 END)</t>
  </si>
  <si>
    <t>SUM(CASE WHEN TMP.年 = [仕入期間年数が７以上] THEN TMP.税抜金額 ELSE 0 END)</t>
  </si>
  <si>
    <t>SUM(CASE WHEN TMP.年 = [仕入期間年数が７以上] THEN TMP.比率 ELSE 0 END)</t>
  </si>
  <si>
    <t>SUM(CASE WHEN TMP.年 = [仕入期間年数が８以上] THEN TMP.順位 ELSE 0 END)</t>
  </si>
  <si>
    <t>SUM(CASE WHEN TMP.年 = [仕入期間年数が８以上] THEN TMP.原価金額 ELSE 0 END)</t>
  </si>
  <si>
    <t>SUM(CASE WHEN TMP.年 = [仕入期間年数が８以上] THEN TMP.税抜金額 ELSE 0 END)</t>
  </si>
  <si>
    <t>SUM(CASE WHEN TMP.年 = [仕入期間年数が８以上] THEN TMP.比率 ELSE 0 END)</t>
  </si>
  <si>
    <t>SUM(CASE WHEN TMP.年 = [仕入期間年数が９以上] THEN TMP.順位 ELSE 0 END)</t>
  </si>
  <si>
    <t>SUM(CASE WHEN TMP.年 = [仕入期間年数が９以上] THEN TMP.原価金額 ELSE 0 END)</t>
  </si>
  <si>
    <t>SUM(CASE WHEN TMP.年 = [仕入期間年数が９以上] THEN TMP.税抜金額 ELSE 0 END)</t>
  </si>
  <si>
    <t>SUM(CASE WHEN TMP.年 = [仕入期間年数が９以上] THEN TMP.比率 ELSE 0 END)</t>
  </si>
  <si>
    <t>SUM(CASE WHEN TMP.年 = [仕入期間年数が１０以上] THEN TMP.順位 ELSE 0 END)</t>
  </si>
  <si>
    <t>SUM(CASE WHEN TMP.年 = [仕入期間年数が１０以上] THEN TMP.原価金額 ELSE 0 END)</t>
  </si>
  <si>
    <t>SUM(CASE WHEN TMP.年 = [仕入期間年数が１０以上] THEN TMP.税抜金額 ELSE 0 END)</t>
  </si>
  <si>
    <t>SUM(CASE WHEN TMP.年 = [仕入期間年数が１０以上] THEN TMP.比率 ELSE 0 END)</t>
  </si>
  <si>
    <t>SUM(CASE WHEN TMP.年 = [仕入期間年数が２以上] THEN TMP.順位 ELSE 0 END)</t>
    <phoneticPr fontId="2"/>
  </si>
  <si>
    <t>SUM(CASE WHEN TMP.年 = [仕入期間年数が１以上] THEN TMP.比率 ELSE 0 END)</t>
    <phoneticPr fontId="2"/>
  </si>
  <si>
    <t>SUM(CASE WHEN TMP.年 = [仕入期間年数が１以上] THEN TMP.税抜金額 ELSE 0 END)</t>
    <phoneticPr fontId="2"/>
  </si>
  <si>
    <t>SUM(CASE WHEN TMP.年 = [仕入期間年数が１以上] THEN TMP.原価金額 ELSE 0 END)</t>
    <phoneticPr fontId="2"/>
  </si>
  <si>
    <t>SUM(CASE WHEN TMP.年 = [仕入期間年数が１以上] THEN TMP.順位 ELSE 0 END)</t>
    <phoneticPr fontId="2"/>
  </si>
  <si>
    <t>group by</t>
    <phoneticPr fontId="2"/>
  </si>
  <si>
    <t>[SQL7.仕入先CD]</t>
    <rPh sb="6" eb="9">
      <t>シイレサキ</t>
    </rPh>
    <phoneticPr fontId="1"/>
  </si>
  <si>
    <t>[SQL7.仕入先名1]</t>
    <rPh sb="6" eb="10">
      <t>シイレサキメイ</t>
    </rPh>
    <phoneticPr fontId="1"/>
  </si>
  <si>
    <t>[SQL7.仕入先名2]</t>
    <rPh sb="6" eb="10">
      <t>シイレサキメイ</t>
    </rPh>
    <phoneticPr fontId="1"/>
  </si>
  <si>
    <t>[SQL7.順位i+1]</t>
    <rPh sb="6" eb="8">
      <t>ジュンイ</t>
    </rPh>
    <phoneticPr fontId="1"/>
  </si>
  <si>
    <t>[SQL7.税抜金額i+1]</t>
    <rPh sb="6" eb="7">
      <t>ゼイ</t>
    </rPh>
    <rPh sb="7" eb="8">
      <t>ヌ</t>
    </rPh>
    <rPh sb="8" eb="10">
      <t>キンガク</t>
    </rPh>
    <phoneticPr fontId="1"/>
  </si>
  <si>
    <t>[SQL7.原価金額i+1][SQL7.税抜金額i+1]</t>
    <rPh sb="6" eb="10">
      <t>ゲンカキンガク</t>
    </rPh>
    <phoneticPr fontId="1"/>
  </si>
  <si>
    <t>[SQL7.原価金額i+1]</t>
    <phoneticPr fontId="1"/>
  </si>
  <si>
    <t>A3横</t>
    <rPh sb="2" eb="3">
      <t>ヨコ</t>
    </rPh>
    <phoneticPr fontId="2"/>
  </si>
  <si>
    <t>大谷</t>
    <rPh sb="0" eb="2">
      <t>オオタニ</t>
    </rPh>
    <phoneticPr fontId="2"/>
  </si>
  <si>
    <t>受発注システム</t>
    <phoneticPr fontId="2"/>
  </si>
  <si>
    <t>受発注</t>
    <phoneticPr fontId="2"/>
  </si>
  <si>
    <t>システム分類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</si>
</sst>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&quot;¥&quot;#,##0_);[Red]\(&quot;¥&quot;#,##0\)"/>
    <numFmt numFmtId="177" formatCode="0.0_ "/>
    <numFmt numFmtId="178" formatCode="#,##0.0;[Red]\-#,##0.0"/>
    <numFmt numFmtId="179" formatCode="0.0;[Red]\-0.0;0.0"/>
    <numFmt numFmtId="180" formatCode="0.0;[Red]\-0.0;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9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</cellStyleXfs>
  <cellXfs count="2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7" fontId="3" fillId="2" borderId="5" xfId="0" applyNumberFormat="1" applyFont="1" applyFill="1" applyBorder="1" applyAlignment="1">
      <alignment horizontal="center" vertical="center"/>
    </xf>
    <xf numFmtId="177" fontId="3" fillId="2" borderId="6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9" fillId="0" borderId="0" xfId="2">
      <alignment vertical="center"/>
    </xf>
    <xf numFmtId="0" fontId="9" fillId="0" borderId="0" xfId="2" applyAlignment="1">
      <alignment horizontal="center" vertical="center"/>
    </xf>
    <xf numFmtId="0" fontId="9" fillId="0" borderId="0" xfId="2" applyAlignment="1">
      <alignment horizontal="right" vertical="center"/>
    </xf>
    <xf numFmtId="0" fontId="9" fillId="0" borderId="41" xfId="2" applyBorder="1">
      <alignment vertical="center"/>
    </xf>
    <xf numFmtId="0" fontId="9" fillId="0" borderId="42" xfId="2" applyBorder="1">
      <alignment vertical="center"/>
    </xf>
    <xf numFmtId="0" fontId="9" fillId="0" borderId="43" xfId="2" applyBorder="1">
      <alignment vertical="center"/>
    </xf>
    <xf numFmtId="0" fontId="9" fillId="0" borderId="47" xfId="2" applyBorder="1">
      <alignment vertical="center"/>
    </xf>
    <xf numFmtId="0" fontId="9" fillId="0" borderId="48" xfId="2" applyBorder="1">
      <alignment vertical="center"/>
    </xf>
    <xf numFmtId="0" fontId="9" fillId="0" borderId="0" xfId="2" applyBorder="1">
      <alignment vertical="center"/>
    </xf>
    <xf numFmtId="3" fontId="9" fillId="0" borderId="5" xfId="2" applyNumberFormat="1" applyBorder="1">
      <alignment vertical="center"/>
    </xf>
    <xf numFmtId="4" fontId="9" fillId="0" borderId="1" xfId="2" applyNumberFormat="1" applyBorder="1">
      <alignment vertical="center"/>
    </xf>
    <xf numFmtId="0" fontId="9" fillId="0" borderId="50" xfId="2" applyBorder="1" applyAlignment="1">
      <alignment horizontal="center" vertical="center"/>
    </xf>
    <xf numFmtId="0" fontId="9" fillId="0" borderId="51" xfId="2" applyBorder="1">
      <alignment vertical="center"/>
    </xf>
    <xf numFmtId="0" fontId="9" fillId="0" borderId="52" xfId="2" applyBorder="1">
      <alignment vertical="center"/>
    </xf>
    <xf numFmtId="0" fontId="9" fillId="0" borderId="53" xfId="2" applyBorder="1">
      <alignment vertical="center"/>
    </xf>
    <xf numFmtId="0" fontId="9" fillId="0" borderId="54" xfId="2" applyBorder="1" applyAlignment="1">
      <alignment horizontal="center" vertical="center"/>
    </xf>
    <xf numFmtId="0" fontId="9" fillId="0" borderId="55" xfId="2" applyBorder="1" applyAlignment="1">
      <alignment horizontal="center" vertical="center"/>
    </xf>
    <xf numFmtId="0" fontId="9" fillId="0" borderId="56" xfId="2" applyBorder="1" applyAlignment="1">
      <alignment horizontal="center" vertical="center"/>
    </xf>
    <xf numFmtId="0" fontId="9" fillId="0" borderId="57" xfId="2" applyFill="1" applyBorder="1">
      <alignment vertical="center"/>
    </xf>
    <xf numFmtId="0" fontId="9" fillId="0" borderId="9" xfId="2" applyFill="1" applyBorder="1">
      <alignment vertical="center"/>
    </xf>
    <xf numFmtId="0" fontId="9" fillId="0" borderId="58" xfId="2" applyFill="1" applyBorder="1">
      <alignment vertical="center"/>
    </xf>
    <xf numFmtId="38" fontId="11" fillId="0" borderId="9" xfId="4" applyFont="1" applyFill="1" applyBorder="1">
      <alignment vertical="center"/>
    </xf>
    <xf numFmtId="179" fontId="9" fillId="0" borderId="58" xfId="2" applyNumberFormat="1" applyFill="1" applyBorder="1">
      <alignment vertical="center"/>
    </xf>
    <xf numFmtId="0" fontId="9" fillId="0" borderId="49" xfId="2" applyBorder="1">
      <alignment vertical="center"/>
    </xf>
    <xf numFmtId="0" fontId="9" fillId="0" borderId="1" xfId="2" applyBorder="1">
      <alignment vertical="center"/>
    </xf>
    <xf numFmtId="0" fontId="9" fillId="0" borderId="59" xfId="2" applyBorder="1">
      <alignment vertical="center"/>
    </xf>
    <xf numFmtId="179" fontId="9" fillId="0" borderId="59" xfId="2" applyNumberFormat="1" applyBorder="1">
      <alignment vertical="center"/>
    </xf>
    <xf numFmtId="38" fontId="11" fillId="0" borderId="0" xfId="4" applyFont="1" applyBorder="1">
      <alignment vertical="center"/>
    </xf>
    <xf numFmtId="180" fontId="9" fillId="0" borderId="0" xfId="2" applyNumberFormat="1" applyBorder="1">
      <alignment vertical="center"/>
    </xf>
    <xf numFmtId="38" fontId="11" fillId="0" borderId="0" xfId="4" applyFont="1">
      <alignment vertical="center"/>
    </xf>
    <xf numFmtId="0" fontId="9" fillId="0" borderId="0" xfId="2" applyAlignment="1">
      <alignment horizontal="left" vertical="center"/>
    </xf>
    <xf numFmtId="178" fontId="0" fillId="0" borderId="9" xfId="3" applyNumberFormat="1" applyFont="1" applyFill="1" applyBorder="1">
      <alignment vertical="center"/>
    </xf>
    <xf numFmtId="0" fontId="3" fillId="2" borderId="41" xfId="0" applyFont="1" applyFill="1" applyBorder="1" applyAlignment="1">
      <alignment horizontal="left" vertical="center"/>
    </xf>
    <xf numFmtId="0" fontId="3" fillId="2" borderId="43" xfId="0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3" fillId="2" borderId="67" xfId="0" quotePrefix="1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3" fillId="2" borderId="47" xfId="0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70" xfId="0" quotePrefix="1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72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73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74" xfId="0" applyFont="1" applyFill="1" applyBorder="1">
      <alignment vertical="center"/>
    </xf>
    <xf numFmtId="0" fontId="13" fillId="2" borderId="2" xfId="0" applyFont="1" applyFill="1" applyBorder="1">
      <alignment vertical="center"/>
    </xf>
    <xf numFmtId="0" fontId="13" fillId="2" borderId="70" xfId="0" applyFont="1" applyFill="1" applyBorder="1">
      <alignment vertical="center"/>
    </xf>
    <xf numFmtId="0" fontId="12" fillId="2" borderId="0" xfId="0" applyFont="1" applyFill="1" applyBorder="1">
      <alignment vertical="center"/>
    </xf>
    <xf numFmtId="0" fontId="12" fillId="2" borderId="0" xfId="0" applyFont="1" applyFill="1" applyBorder="1" applyAlignment="1">
      <alignment horizontal="center" vertical="center"/>
    </xf>
    <xf numFmtId="0" fontId="12" fillId="2" borderId="70" xfId="0" applyFont="1" applyFill="1" applyBorder="1">
      <alignment vertical="center"/>
    </xf>
    <xf numFmtId="0" fontId="12" fillId="2" borderId="70" xfId="0" quotePrefix="1" applyFont="1" applyFill="1" applyBorder="1">
      <alignment vertical="center"/>
    </xf>
    <xf numFmtId="0" fontId="3" fillId="2" borderId="70" xfId="0" quotePrefix="1" applyFont="1" applyFill="1" applyBorder="1" applyAlignment="1">
      <alignment vertical="center"/>
    </xf>
    <xf numFmtId="0" fontId="3" fillId="2" borderId="51" xfId="0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12" fillId="2" borderId="0" xfId="0" applyFont="1" applyFill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47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2" fillId="2" borderId="60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177" fontId="3" fillId="2" borderId="5" xfId="0" applyNumberFormat="1" applyFont="1" applyFill="1" applyBorder="1" applyAlignment="1">
      <alignment horizontal="center" vertical="center"/>
    </xf>
    <xf numFmtId="177" fontId="3" fillId="2" borderId="6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3" fontId="3" fillId="2" borderId="5" xfId="0" applyNumberFormat="1" applyFont="1" applyFill="1" applyBorder="1" applyAlignment="1">
      <alignment horizontal="center" vertical="center"/>
    </xf>
    <xf numFmtId="0" fontId="3" fillId="2" borderId="6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2" borderId="55" xfId="0" applyFont="1" applyFill="1" applyBorder="1" applyAlignment="1">
      <alignment horizontal="center" vertical="center" shrinkToFit="1"/>
    </xf>
    <xf numFmtId="0" fontId="3" fillId="2" borderId="63" xfId="0" applyFont="1" applyFill="1" applyBorder="1" applyAlignment="1">
      <alignment horizontal="center" vertical="center" shrinkToFit="1"/>
    </xf>
    <xf numFmtId="0" fontId="3" fillId="2" borderId="64" xfId="0" applyFont="1" applyFill="1" applyBorder="1" applyAlignment="1">
      <alignment horizontal="center" vertical="center" shrinkToFit="1"/>
    </xf>
    <xf numFmtId="0" fontId="3" fillId="2" borderId="65" xfId="0" applyFont="1" applyFill="1" applyBorder="1" applyAlignment="1">
      <alignment horizontal="center" vertical="center" shrinkToFit="1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60" xfId="0" applyFont="1" applyFill="1" applyBorder="1" applyAlignment="1">
      <alignment horizontal="center" vertical="center"/>
    </xf>
    <xf numFmtId="0" fontId="3" fillId="3" borderId="61" xfId="0" applyFont="1" applyFill="1" applyBorder="1" applyAlignment="1">
      <alignment horizontal="center" vertical="center"/>
    </xf>
    <xf numFmtId="0" fontId="3" fillId="3" borderId="6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7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71" xfId="0" applyFont="1" applyFill="1" applyBorder="1" applyAlignment="1">
      <alignment horizontal="left" vertical="center" wrapText="1"/>
    </xf>
    <xf numFmtId="14" fontId="3" fillId="2" borderId="55" xfId="0" applyNumberFormat="1" applyFont="1" applyFill="1" applyBorder="1" applyAlignment="1">
      <alignment horizontal="center" vertical="center" shrinkToFit="1"/>
    </xf>
    <xf numFmtId="0" fontId="3" fillId="2" borderId="59" xfId="0" applyFont="1" applyFill="1" applyBorder="1" applyAlignment="1">
      <alignment horizontal="center" vertical="center" shrinkToFit="1"/>
    </xf>
    <xf numFmtId="0" fontId="3" fillId="2" borderId="56" xfId="0" applyFont="1" applyFill="1" applyBorder="1" applyAlignment="1">
      <alignment horizontal="center" vertical="center" shrinkToFit="1"/>
    </xf>
    <xf numFmtId="0" fontId="3" fillId="3" borderId="46" xfId="0" applyFont="1" applyFill="1" applyBorder="1" applyAlignment="1">
      <alignment horizontal="center" vertical="center"/>
    </xf>
    <xf numFmtId="0" fontId="9" fillId="0" borderId="0" xfId="2" applyAlignment="1">
      <alignment horizontal="left" vertical="center"/>
    </xf>
    <xf numFmtId="0" fontId="9" fillId="0" borderId="44" xfId="2" applyBorder="1" applyAlignment="1">
      <alignment horizontal="center" vertical="center"/>
    </xf>
    <xf numFmtId="0" fontId="9" fillId="0" borderId="45" xfId="2" applyBorder="1" applyAlignment="1">
      <alignment horizontal="center" vertical="center"/>
    </xf>
    <xf numFmtId="0" fontId="9" fillId="0" borderId="46" xfId="2" applyBorder="1" applyAlignment="1">
      <alignment horizontal="center" vertical="center"/>
    </xf>
    <xf numFmtId="0" fontId="9" fillId="0" borderId="49" xfId="2" applyBorder="1" applyAlignment="1">
      <alignment horizontal="center" vertical="center"/>
    </xf>
    <xf numFmtId="0" fontId="9" fillId="0" borderId="1" xfId="2" applyBorder="1" applyAlignment="1">
      <alignment horizontal="center" vertical="center"/>
    </xf>
  </cellXfs>
  <cellStyles count="5">
    <cellStyle name="桁区切り 2" xfId="4"/>
    <cellStyle name="通貨 2" xfId="3"/>
    <cellStyle name="標準" xfId="0" builtinId="0"/>
    <cellStyle name="標準 2" xfId="2"/>
    <cellStyle name="標準 2 2" xfId="1"/>
  </cellStyles>
  <dxfs count="5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</xdr:row>
      <xdr:rowOff>44824</xdr:rowOff>
    </xdr:from>
    <xdr:to>
      <xdr:col>53</xdr:col>
      <xdr:colOff>64409</xdr:colOff>
      <xdr:row>17</xdr:row>
      <xdr:rowOff>89648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1676400"/>
          <a:ext cx="13681797" cy="2303930"/>
        </a:xfrm>
        <a:prstGeom prst="rect">
          <a:avLst/>
        </a:prstGeom>
      </xdr:spPr>
    </xdr:pic>
    <xdr:clientData/>
  </xdr:twoCellAnchor>
  <xdr:twoCellAnchor>
    <xdr:from>
      <xdr:col>10</xdr:col>
      <xdr:colOff>188259</xdr:colOff>
      <xdr:row>13</xdr:row>
      <xdr:rowOff>134472</xdr:rowOff>
    </xdr:from>
    <xdr:to>
      <xdr:col>11</xdr:col>
      <xdr:colOff>251011</xdr:colOff>
      <xdr:row>14</xdr:row>
      <xdr:rowOff>206190</xdr:rowOff>
    </xdr:to>
    <xdr:sp macro="" textlink="">
      <xdr:nvSpPr>
        <xdr:cNvPr id="3" name="正方形/長方形 2"/>
        <xdr:cNvSpPr/>
      </xdr:nvSpPr>
      <xdr:spPr>
        <a:xfrm>
          <a:off x="2770094" y="302110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259976</xdr:colOff>
      <xdr:row>13</xdr:row>
      <xdr:rowOff>143437</xdr:rowOff>
    </xdr:from>
    <xdr:to>
      <xdr:col>17</xdr:col>
      <xdr:colOff>44823</xdr:colOff>
      <xdr:row>14</xdr:row>
      <xdr:rowOff>215155</xdr:rowOff>
    </xdr:to>
    <xdr:sp macro="" textlink="">
      <xdr:nvSpPr>
        <xdr:cNvPr id="5" name="正方形/長方形 4"/>
        <xdr:cNvSpPr/>
      </xdr:nvSpPr>
      <xdr:spPr>
        <a:xfrm>
          <a:off x="4231341" y="303007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62752</xdr:colOff>
      <xdr:row>7</xdr:row>
      <xdr:rowOff>107576</xdr:rowOff>
    </xdr:from>
    <xdr:to>
      <xdr:col>15</xdr:col>
      <xdr:colOff>125504</xdr:colOff>
      <xdr:row>8</xdr:row>
      <xdr:rowOff>179295</xdr:rowOff>
    </xdr:to>
    <xdr:sp macro="" textlink="">
      <xdr:nvSpPr>
        <xdr:cNvPr id="6" name="正方形/長方形 5"/>
        <xdr:cNvSpPr/>
      </xdr:nvSpPr>
      <xdr:spPr>
        <a:xfrm>
          <a:off x="3756211" y="148814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0</xdr:colOff>
      <xdr:row>13</xdr:row>
      <xdr:rowOff>143436</xdr:rowOff>
    </xdr:from>
    <xdr:to>
      <xdr:col>8</xdr:col>
      <xdr:colOff>62752</xdr:colOff>
      <xdr:row>14</xdr:row>
      <xdr:rowOff>215154</xdr:rowOff>
    </xdr:to>
    <xdr:sp macro="" textlink="">
      <xdr:nvSpPr>
        <xdr:cNvPr id="7" name="正方形/長方形 6"/>
        <xdr:cNvSpPr/>
      </xdr:nvSpPr>
      <xdr:spPr>
        <a:xfrm>
          <a:off x="1748118" y="303007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19</xdr:col>
      <xdr:colOff>215153</xdr:colOff>
      <xdr:row>13</xdr:row>
      <xdr:rowOff>134472</xdr:rowOff>
    </xdr:from>
    <xdr:to>
      <xdr:col>20</xdr:col>
      <xdr:colOff>277905</xdr:colOff>
      <xdr:row>14</xdr:row>
      <xdr:rowOff>206190</xdr:rowOff>
    </xdr:to>
    <xdr:sp macro="" textlink="">
      <xdr:nvSpPr>
        <xdr:cNvPr id="8" name="正方形/長方形 7"/>
        <xdr:cNvSpPr/>
      </xdr:nvSpPr>
      <xdr:spPr>
        <a:xfrm>
          <a:off x="5298141" y="302110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233082</xdr:colOff>
      <xdr:row>13</xdr:row>
      <xdr:rowOff>143436</xdr:rowOff>
    </xdr:from>
    <xdr:to>
      <xdr:col>23</xdr:col>
      <xdr:colOff>17928</xdr:colOff>
      <xdr:row>14</xdr:row>
      <xdr:rowOff>215154</xdr:rowOff>
    </xdr:to>
    <xdr:sp macro="" textlink="">
      <xdr:nvSpPr>
        <xdr:cNvPr id="9" name="正方形/長方形 8"/>
        <xdr:cNvSpPr/>
      </xdr:nvSpPr>
      <xdr:spPr>
        <a:xfrm>
          <a:off x="5871882" y="303007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24</xdr:col>
      <xdr:colOff>161365</xdr:colOff>
      <xdr:row>13</xdr:row>
      <xdr:rowOff>143436</xdr:rowOff>
    </xdr:from>
    <xdr:to>
      <xdr:col>25</xdr:col>
      <xdr:colOff>224117</xdr:colOff>
      <xdr:row>14</xdr:row>
      <xdr:rowOff>215154</xdr:rowOff>
    </xdr:to>
    <xdr:sp macro="" textlink="">
      <xdr:nvSpPr>
        <xdr:cNvPr id="10" name="正方形/長方形 9"/>
        <xdr:cNvSpPr/>
      </xdr:nvSpPr>
      <xdr:spPr>
        <a:xfrm>
          <a:off x="6633883" y="303007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161365</xdr:colOff>
      <xdr:row>13</xdr:row>
      <xdr:rowOff>134471</xdr:rowOff>
    </xdr:from>
    <xdr:to>
      <xdr:col>28</xdr:col>
      <xdr:colOff>224117</xdr:colOff>
      <xdr:row>14</xdr:row>
      <xdr:rowOff>206189</xdr:rowOff>
    </xdr:to>
    <xdr:sp macro="" textlink="">
      <xdr:nvSpPr>
        <xdr:cNvPr id="11" name="正方形/長方形 10"/>
        <xdr:cNvSpPr/>
      </xdr:nvSpPr>
      <xdr:spPr>
        <a:xfrm>
          <a:off x="7467600" y="302110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32</xdr:col>
      <xdr:colOff>143435</xdr:colOff>
      <xdr:row>13</xdr:row>
      <xdr:rowOff>143436</xdr:rowOff>
    </xdr:from>
    <xdr:to>
      <xdr:col>33</xdr:col>
      <xdr:colOff>206187</xdr:colOff>
      <xdr:row>14</xdr:row>
      <xdr:rowOff>215154</xdr:rowOff>
    </xdr:to>
    <xdr:sp macro="" textlink="">
      <xdr:nvSpPr>
        <xdr:cNvPr id="12" name="正方形/長方形 11"/>
        <xdr:cNvSpPr/>
      </xdr:nvSpPr>
      <xdr:spPr>
        <a:xfrm>
          <a:off x="8839200" y="303007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107577</xdr:colOff>
      <xdr:row>7</xdr:row>
      <xdr:rowOff>116542</xdr:rowOff>
    </xdr:from>
    <xdr:to>
      <xdr:col>18</xdr:col>
      <xdr:colOff>170329</xdr:colOff>
      <xdr:row>8</xdr:row>
      <xdr:rowOff>188261</xdr:rowOff>
    </xdr:to>
    <xdr:sp macro="" textlink="">
      <xdr:nvSpPr>
        <xdr:cNvPr id="18" name="正方形/長方形 17"/>
        <xdr:cNvSpPr/>
      </xdr:nvSpPr>
      <xdr:spPr>
        <a:xfrm>
          <a:off x="4634753" y="149710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24</xdr:col>
      <xdr:colOff>152401</xdr:colOff>
      <xdr:row>11</xdr:row>
      <xdr:rowOff>53789</xdr:rowOff>
    </xdr:from>
    <xdr:to>
      <xdr:col>25</xdr:col>
      <xdr:colOff>215153</xdr:colOff>
      <xdr:row>12</xdr:row>
      <xdr:rowOff>125507</xdr:rowOff>
    </xdr:to>
    <xdr:sp macro="" textlink="">
      <xdr:nvSpPr>
        <xdr:cNvPr id="22" name="正方形/長方形 21"/>
        <xdr:cNvSpPr/>
      </xdr:nvSpPr>
      <xdr:spPr>
        <a:xfrm>
          <a:off x="6624919" y="24384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161365</xdr:colOff>
      <xdr:row>11</xdr:row>
      <xdr:rowOff>44825</xdr:rowOff>
    </xdr:from>
    <xdr:to>
      <xdr:col>28</xdr:col>
      <xdr:colOff>224117</xdr:colOff>
      <xdr:row>12</xdr:row>
      <xdr:rowOff>116543</xdr:rowOff>
    </xdr:to>
    <xdr:sp macro="" textlink="">
      <xdr:nvSpPr>
        <xdr:cNvPr id="23" name="正方形/長方形 22"/>
        <xdr:cNvSpPr/>
      </xdr:nvSpPr>
      <xdr:spPr>
        <a:xfrm>
          <a:off x="7467600" y="242943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19</xdr:col>
      <xdr:colOff>215154</xdr:colOff>
      <xdr:row>10</xdr:row>
      <xdr:rowOff>62755</xdr:rowOff>
    </xdr:from>
    <xdr:to>
      <xdr:col>21</xdr:col>
      <xdr:colOff>0</xdr:colOff>
      <xdr:row>11</xdr:row>
      <xdr:rowOff>134473</xdr:rowOff>
    </xdr:to>
    <xdr:sp macro="" textlink="">
      <xdr:nvSpPr>
        <xdr:cNvPr id="24" name="正方形/長方形 23"/>
        <xdr:cNvSpPr/>
      </xdr:nvSpPr>
      <xdr:spPr>
        <a:xfrm>
          <a:off x="5298142" y="219635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245839</xdr:colOff>
      <xdr:row>45</xdr:row>
      <xdr:rowOff>49036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4327599" cy="10107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86" t="s">
        <v>0</v>
      </c>
      <c r="C2" s="169"/>
      <c r="D2" s="169"/>
      <c r="E2" s="169"/>
      <c r="F2" s="169"/>
      <c r="G2" s="169"/>
      <c r="H2" s="169" t="s">
        <v>17</v>
      </c>
      <c r="I2" s="169"/>
      <c r="J2" s="169"/>
      <c r="K2" s="169"/>
      <c r="L2" s="169" t="s">
        <v>369</v>
      </c>
      <c r="M2" s="169"/>
      <c r="N2" s="169"/>
      <c r="O2" s="169"/>
      <c r="P2" s="169"/>
      <c r="Q2" s="169"/>
      <c r="R2" s="169" t="s">
        <v>2</v>
      </c>
      <c r="S2" s="169"/>
      <c r="T2" s="169"/>
      <c r="U2" s="169"/>
      <c r="V2" s="169"/>
      <c r="W2" s="169"/>
      <c r="X2" s="181" t="s">
        <v>3</v>
      </c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3"/>
      <c r="AK2" s="181" t="s">
        <v>31</v>
      </c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3"/>
      <c r="AX2" s="169" t="s">
        <v>5</v>
      </c>
      <c r="AY2" s="169"/>
      <c r="AZ2" s="169"/>
      <c r="BA2" s="169"/>
      <c r="BB2" s="169" t="s">
        <v>4</v>
      </c>
      <c r="BC2" s="169"/>
      <c r="BD2" s="169"/>
      <c r="BE2" s="169"/>
      <c r="BF2" s="169" t="s">
        <v>6</v>
      </c>
      <c r="BG2" s="169"/>
      <c r="BH2" s="169"/>
      <c r="BI2" s="169"/>
      <c r="BJ2" s="169" t="s">
        <v>7</v>
      </c>
      <c r="BK2" s="169"/>
      <c r="BL2" s="169"/>
      <c r="BM2" s="170"/>
      <c r="BN2" s="14"/>
    </row>
    <row r="3" spans="1:66" ht="20.100000000000001" customHeight="1" x14ac:dyDescent="0.45">
      <c r="A3" s="8"/>
      <c r="B3" s="184" t="s">
        <v>367</v>
      </c>
      <c r="C3" s="172"/>
      <c r="D3" s="172"/>
      <c r="E3" s="172"/>
      <c r="F3" s="172"/>
      <c r="G3" s="172"/>
      <c r="H3" s="172" t="str">
        <f ca="1">LEFT($X$3,FIND("_",$X$3)-1)</f>
        <v>TK0200</v>
      </c>
      <c r="I3" s="172"/>
      <c r="J3" s="172"/>
      <c r="K3" s="172"/>
      <c r="L3" s="172" t="s">
        <v>368</v>
      </c>
      <c r="M3" s="172"/>
      <c r="N3" s="172"/>
      <c r="O3" s="172"/>
      <c r="P3" s="172"/>
      <c r="Q3" s="172"/>
      <c r="R3" s="185" t="str">
        <f ca="1">MID($X$3,FIND("_",$X$3,FIND("_",$X$3)+1)+1,LEN($X$3)-FIND("_",$X$3,FIND("_",$X$3)+1))</f>
        <v>帳票設計書</v>
      </c>
      <c r="S3" s="172"/>
      <c r="T3" s="172"/>
      <c r="U3" s="172"/>
      <c r="V3" s="172"/>
      <c r="W3" s="172"/>
      <c r="X3" s="175" t="str">
        <f ca="1">REPLACE(LEFT(CELL("filename",$B$2),FIND(".x",CELL("filename",$B$2))-1),1,FIND("[",CELL("filename",$B$2)),)</f>
        <v>TK0200_仕入別年間仕入順位推移表_帳票設計書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  <c r="AK3" s="175" t="str">
        <f ca="1">MID($X$3,FIND("_",$X$3)+1,FIND("_",$X$3,FIND("_",$X$3)+1)-FIND("_",$X$3)-1)</f>
        <v>仕入別年間仕入順位推移表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7"/>
      <c r="AX3" s="171">
        <v>45581</v>
      </c>
      <c r="AY3" s="172"/>
      <c r="AZ3" s="172"/>
      <c r="BA3" s="172"/>
      <c r="BB3" s="172" t="s">
        <v>366</v>
      </c>
      <c r="BC3" s="172"/>
      <c r="BD3" s="172"/>
      <c r="BE3" s="172"/>
      <c r="BF3" s="171">
        <v>45581</v>
      </c>
      <c r="BG3" s="172"/>
      <c r="BH3" s="172"/>
      <c r="BI3" s="172"/>
      <c r="BJ3" s="172" t="s">
        <v>366</v>
      </c>
      <c r="BK3" s="172"/>
      <c r="BL3" s="172"/>
      <c r="BM3" s="174"/>
      <c r="BN3" s="14"/>
    </row>
    <row r="4" spans="1:66" ht="20.100000000000001" customHeight="1" thickBot="1" x14ac:dyDescent="0.5">
      <c r="A4" s="8"/>
      <c r="B4" s="177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8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80"/>
      <c r="AK4" s="178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80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3"/>
      <c r="BL4" s="173"/>
      <c r="BM4" s="175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68" t="s">
        <v>8</v>
      </c>
      <c r="D8" s="168"/>
      <c r="E8" s="168"/>
      <c r="F8" s="168"/>
      <c r="G8" s="168" t="s">
        <v>9</v>
      </c>
      <c r="H8" s="168"/>
      <c r="I8" s="168"/>
      <c r="J8" s="168"/>
      <c r="K8" s="168" t="s">
        <v>10</v>
      </c>
      <c r="L8" s="168"/>
      <c r="M8" s="168"/>
      <c r="N8" s="168"/>
      <c r="O8" s="168" t="s">
        <v>11</v>
      </c>
      <c r="P8" s="168"/>
      <c r="Q8" s="168"/>
      <c r="R8" s="168"/>
      <c r="S8" s="168"/>
      <c r="T8" s="168"/>
      <c r="U8" s="168"/>
      <c r="V8" s="168"/>
      <c r="W8" s="168"/>
      <c r="X8" s="168"/>
      <c r="Y8" s="168" t="s">
        <v>12</v>
      </c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  <c r="BH8" s="168"/>
      <c r="BI8" s="168"/>
      <c r="BJ8" s="168"/>
      <c r="BK8" s="168"/>
      <c r="BL8" s="168"/>
      <c r="BM8" s="7"/>
      <c r="BN8" s="14"/>
    </row>
    <row r="9" spans="1:66" ht="20.100000000000001" customHeight="1" x14ac:dyDescent="0.45">
      <c r="A9" s="8"/>
      <c r="B9" s="7"/>
      <c r="C9" s="167">
        <v>45581</v>
      </c>
      <c r="D9" s="165"/>
      <c r="E9" s="165"/>
      <c r="F9" s="166"/>
      <c r="G9" s="161" t="s">
        <v>16</v>
      </c>
      <c r="H9" s="162"/>
      <c r="I9" s="162"/>
      <c r="J9" s="163"/>
      <c r="K9" s="164" t="s">
        <v>366</v>
      </c>
      <c r="L9" s="165"/>
      <c r="M9" s="165"/>
      <c r="N9" s="166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67"/>
      <c r="D10" s="165"/>
      <c r="E10" s="165"/>
      <c r="F10" s="166"/>
      <c r="G10" s="161"/>
      <c r="H10" s="162"/>
      <c r="I10" s="162"/>
      <c r="J10" s="163"/>
      <c r="K10" s="164"/>
      <c r="L10" s="165"/>
      <c r="M10" s="165"/>
      <c r="N10" s="16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67"/>
      <c r="D11" s="165"/>
      <c r="E11" s="165"/>
      <c r="F11" s="166"/>
      <c r="G11" s="161"/>
      <c r="H11" s="162"/>
      <c r="I11" s="162"/>
      <c r="J11" s="163"/>
      <c r="K11" s="164"/>
      <c r="L11" s="165"/>
      <c r="M11" s="165"/>
      <c r="N11" s="16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67"/>
      <c r="D36" s="165"/>
      <c r="E36" s="165"/>
      <c r="F36" s="166"/>
      <c r="G36" s="161"/>
      <c r="H36" s="162"/>
      <c r="I36" s="162"/>
      <c r="J36" s="163"/>
      <c r="K36" s="164"/>
      <c r="L36" s="165"/>
      <c r="M36" s="165"/>
      <c r="N36" s="16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67"/>
      <c r="D37" s="165"/>
      <c r="E37" s="165"/>
      <c r="F37" s="166"/>
      <c r="G37" s="161"/>
      <c r="H37" s="162"/>
      <c r="I37" s="162"/>
      <c r="J37" s="163"/>
      <c r="K37" s="164"/>
      <c r="L37" s="165"/>
      <c r="M37" s="165"/>
      <c r="N37" s="16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67"/>
      <c r="D38" s="165"/>
      <c r="E38" s="165"/>
      <c r="F38" s="166"/>
      <c r="G38" s="161"/>
      <c r="H38" s="162"/>
      <c r="I38" s="162"/>
      <c r="J38" s="163"/>
      <c r="K38" s="164"/>
      <c r="L38" s="165"/>
      <c r="M38" s="165"/>
      <c r="N38" s="16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67"/>
      <c r="D39" s="165"/>
      <c r="E39" s="165"/>
      <c r="F39" s="166"/>
      <c r="G39" s="161"/>
      <c r="H39" s="162"/>
      <c r="I39" s="162"/>
      <c r="J39" s="163"/>
      <c r="K39" s="164"/>
      <c r="L39" s="165"/>
      <c r="M39" s="165"/>
      <c r="N39" s="16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67"/>
      <c r="D40" s="165"/>
      <c r="E40" s="165"/>
      <c r="F40" s="166"/>
      <c r="G40" s="161"/>
      <c r="H40" s="162"/>
      <c r="I40" s="162"/>
      <c r="J40" s="163"/>
      <c r="K40" s="164"/>
      <c r="L40" s="165"/>
      <c r="M40" s="165"/>
      <c r="N40" s="16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67"/>
      <c r="D41" s="165"/>
      <c r="E41" s="165"/>
      <c r="F41" s="166"/>
      <c r="G41" s="161"/>
      <c r="H41" s="162"/>
      <c r="I41" s="162"/>
      <c r="J41" s="163"/>
      <c r="K41" s="164"/>
      <c r="L41" s="165"/>
      <c r="M41" s="165"/>
      <c r="N41" s="16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67"/>
      <c r="D42" s="165"/>
      <c r="E42" s="165"/>
      <c r="F42" s="166"/>
      <c r="G42" s="161"/>
      <c r="H42" s="162"/>
      <c r="I42" s="162"/>
      <c r="J42" s="163"/>
      <c r="K42" s="164"/>
      <c r="L42" s="165"/>
      <c r="M42" s="165"/>
      <c r="N42" s="16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67"/>
      <c r="D43" s="165"/>
      <c r="E43" s="165"/>
      <c r="F43" s="166"/>
      <c r="G43" s="161"/>
      <c r="H43" s="162"/>
      <c r="I43" s="162"/>
      <c r="J43" s="163"/>
      <c r="K43" s="164"/>
      <c r="L43" s="165"/>
      <c r="M43" s="165"/>
      <c r="N43" s="16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67"/>
      <c r="D44" s="165"/>
      <c r="E44" s="165"/>
      <c r="F44" s="166"/>
      <c r="G44" s="161"/>
      <c r="H44" s="162"/>
      <c r="I44" s="162"/>
      <c r="J44" s="163"/>
      <c r="K44" s="164"/>
      <c r="L44" s="165"/>
      <c r="M44" s="165"/>
      <c r="N44" s="16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67"/>
      <c r="D45" s="165"/>
      <c r="E45" s="165"/>
      <c r="F45" s="166"/>
      <c r="G45" s="161"/>
      <c r="H45" s="162"/>
      <c r="I45" s="162"/>
      <c r="J45" s="163"/>
      <c r="K45" s="164"/>
      <c r="L45" s="165"/>
      <c r="M45" s="165"/>
      <c r="N45" s="16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67"/>
      <c r="D46" s="165"/>
      <c r="E46" s="165"/>
      <c r="F46" s="166"/>
      <c r="G46" s="161"/>
      <c r="H46" s="162"/>
      <c r="I46" s="162"/>
      <c r="J46" s="163"/>
      <c r="K46" s="164"/>
      <c r="L46" s="165"/>
      <c r="M46" s="165"/>
      <c r="N46" s="16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67"/>
      <c r="D47" s="165"/>
      <c r="E47" s="165"/>
      <c r="F47" s="166"/>
      <c r="G47" s="161"/>
      <c r="H47" s="162"/>
      <c r="I47" s="162"/>
      <c r="J47" s="163"/>
      <c r="K47" s="164"/>
      <c r="L47" s="165"/>
      <c r="M47" s="165"/>
      <c r="N47" s="16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86" t="s">
        <v>0</v>
      </c>
      <c r="C2" s="169"/>
      <c r="D2" s="169"/>
      <c r="E2" s="169"/>
      <c r="F2" s="169"/>
      <c r="G2" s="169"/>
      <c r="H2" s="169" t="s">
        <v>17</v>
      </c>
      <c r="I2" s="169"/>
      <c r="J2" s="169"/>
      <c r="K2" s="169"/>
      <c r="L2" s="169" t="s">
        <v>369</v>
      </c>
      <c r="M2" s="169"/>
      <c r="N2" s="169"/>
      <c r="O2" s="169"/>
      <c r="P2" s="169"/>
      <c r="Q2" s="169"/>
      <c r="R2" s="169" t="s">
        <v>2</v>
      </c>
      <c r="S2" s="169"/>
      <c r="T2" s="169"/>
      <c r="U2" s="169"/>
      <c r="V2" s="169"/>
      <c r="W2" s="169"/>
      <c r="X2" s="181" t="s">
        <v>3</v>
      </c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3"/>
      <c r="AK2" s="181" t="s">
        <v>32</v>
      </c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3"/>
      <c r="AX2" s="169" t="s">
        <v>5</v>
      </c>
      <c r="AY2" s="169"/>
      <c r="AZ2" s="169"/>
      <c r="BA2" s="169"/>
      <c r="BB2" s="169" t="s">
        <v>4</v>
      </c>
      <c r="BC2" s="169"/>
      <c r="BD2" s="169"/>
      <c r="BE2" s="169"/>
      <c r="BF2" s="169" t="s">
        <v>6</v>
      </c>
      <c r="BG2" s="169"/>
      <c r="BH2" s="169"/>
      <c r="BI2" s="169"/>
      <c r="BJ2" s="169" t="s">
        <v>7</v>
      </c>
      <c r="BK2" s="169"/>
      <c r="BL2" s="169"/>
      <c r="BM2" s="170"/>
      <c r="BN2" s="35"/>
    </row>
    <row r="3" spans="1:66" ht="20.100000000000001" customHeight="1" x14ac:dyDescent="0.45">
      <c r="A3" s="32"/>
      <c r="B3" s="184" t="str">
        <f>変更履歴!B3</f>
        <v>受発注システム</v>
      </c>
      <c r="C3" s="172"/>
      <c r="D3" s="172"/>
      <c r="E3" s="172"/>
      <c r="F3" s="172"/>
      <c r="G3" s="172"/>
      <c r="H3" s="172" t="str">
        <f ca="1">変更履歴!H3</f>
        <v>TK0200</v>
      </c>
      <c r="I3" s="172"/>
      <c r="J3" s="172"/>
      <c r="K3" s="172"/>
      <c r="L3" s="172" t="str">
        <f>変更履歴!L3</f>
        <v>受発注</v>
      </c>
      <c r="M3" s="172"/>
      <c r="N3" s="172"/>
      <c r="O3" s="172"/>
      <c r="P3" s="172"/>
      <c r="Q3" s="172"/>
      <c r="R3" s="172" t="str">
        <f ca="1">変更履歴!R3</f>
        <v>帳票設計書</v>
      </c>
      <c r="S3" s="172"/>
      <c r="T3" s="172"/>
      <c r="U3" s="172"/>
      <c r="V3" s="172"/>
      <c r="W3" s="172"/>
      <c r="X3" s="175" t="str">
        <f ca="1">変更履歴!X3</f>
        <v>TK0200_仕入別年間仕入順位推移表_帳票設計書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  <c r="AK3" s="175" t="str">
        <f ca="1">変更履歴!AK3</f>
        <v>仕入別年間仕入順位推移表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7"/>
      <c r="AX3" s="171">
        <f>変更履歴!AX3</f>
        <v>45581</v>
      </c>
      <c r="AY3" s="171"/>
      <c r="AZ3" s="171"/>
      <c r="BA3" s="171"/>
      <c r="BB3" s="172" t="str">
        <f>変更履歴!BB3</f>
        <v>大谷</v>
      </c>
      <c r="BC3" s="172"/>
      <c r="BD3" s="172"/>
      <c r="BE3" s="172"/>
      <c r="BF3" s="171">
        <f>変更履歴!BF3</f>
        <v>45581</v>
      </c>
      <c r="BG3" s="171"/>
      <c r="BH3" s="171"/>
      <c r="BI3" s="171"/>
      <c r="BJ3" s="172" t="str">
        <f>変更履歴!BJ3</f>
        <v>大谷</v>
      </c>
      <c r="BK3" s="172"/>
      <c r="BL3" s="172"/>
      <c r="BM3" s="174"/>
      <c r="BN3" s="35"/>
    </row>
    <row r="4" spans="1:66" ht="20.100000000000001" customHeight="1" thickBot="1" x14ac:dyDescent="0.5">
      <c r="A4" s="32"/>
      <c r="B4" s="177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8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80"/>
      <c r="AK4" s="178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80"/>
      <c r="AX4" s="187"/>
      <c r="AY4" s="187"/>
      <c r="AZ4" s="187"/>
      <c r="BA4" s="187"/>
      <c r="BB4" s="173"/>
      <c r="BC4" s="173"/>
      <c r="BD4" s="173"/>
      <c r="BE4" s="173"/>
      <c r="BF4" s="187"/>
      <c r="BG4" s="187"/>
      <c r="BH4" s="187"/>
      <c r="BI4" s="187"/>
      <c r="BJ4" s="173"/>
      <c r="BK4" s="173"/>
      <c r="BL4" s="173"/>
      <c r="BM4" s="175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仕入別年間仕入順位推移表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57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53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54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55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56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56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56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365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 t="s">
        <v>121</v>
      </c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86" t="s">
        <v>0</v>
      </c>
      <c r="C2" s="169"/>
      <c r="D2" s="169"/>
      <c r="E2" s="169"/>
      <c r="F2" s="169"/>
      <c r="G2" s="169"/>
      <c r="H2" s="169" t="s">
        <v>17</v>
      </c>
      <c r="I2" s="169"/>
      <c r="J2" s="169"/>
      <c r="K2" s="169"/>
      <c r="L2" s="169" t="s">
        <v>369</v>
      </c>
      <c r="M2" s="169"/>
      <c r="N2" s="169"/>
      <c r="O2" s="169"/>
      <c r="P2" s="169"/>
      <c r="Q2" s="169"/>
      <c r="R2" s="169" t="s">
        <v>2</v>
      </c>
      <c r="S2" s="169"/>
      <c r="T2" s="169"/>
      <c r="U2" s="169"/>
      <c r="V2" s="169"/>
      <c r="W2" s="169"/>
      <c r="X2" s="181" t="s">
        <v>3</v>
      </c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3"/>
      <c r="AK2" s="181" t="s">
        <v>32</v>
      </c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3"/>
      <c r="AX2" s="169" t="s">
        <v>5</v>
      </c>
      <c r="AY2" s="169"/>
      <c r="AZ2" s="169"/>
      <c r="BA2" s="169"/>
      <c r="BB2" s="169" t="s">
        <v>4</v>
      </c>
      <c r="BC2" s="169"/>
      <c r="BD2" s="169"/>
      <c r="BE2" s="169"/>
      <c r="BF2" s="169" t="s">
        <v>6</v>
      </c>
      <c r="BG2" s="169"/>
      <c r="BH2" s="169"/>
      <c r="BI2" s="169"/>
      <c r="BJ2" s="169" t="s">
        <v>7</v>
      </c>
      <c r="BK2" s="169"/>
      <c r="BL2" s="169"/>
      <c r="BM2" s="170"/>
      <c r="BN2" s="15"/>
    </row>
    <row r="3" spans="1:66" ht="20.100000000000001" customHeight="1" x14ac:dyDescent="0.45">
      <c r="A3" s="9"/>
      <c r="B3" s="184" t="str">
        <f>変更履歴!B3</f>
        <v>受発注システム</v>
      </c>
      <c r="C3" s="172"/>
      <c r="D3" s="172"/>
      <c r="E3" s="172"/>
      <c r="F3" s="172"/>
      <c r="G3" s="172"/>
      <c r="H3" s="172" t="str">
        <f ca="1">変更履歴!H3</f>
        <v>TK0200</v>
      </c>
      <c r="I3" s="172"/>
      <c r="J3" s="172"/>
      <c r="K3" s="172"/>
      <c r="L3" s="172" t="str">
        <f>変更履歴!L3</f>
        <v>受発注</v>
      </c>
      <c r="M3" s="172"/>
      <c r="N3" s="172"/>
      <c r="O3" s="172"/>
      <c r="P3" s="172"/>
      <c r="Q3" s="172"/>
      <c r="R3" s="172" t="str">
        <f ca="1">変更履歴!R3</f>
        <v>帳票設計書</v>
      </c>
      <c r="S3" s="172"/>
      <c r="T3" s="172"/>
      <c r="U3" s="172"/>
      <c r="V3" s="172"/>
      <c r="W3" s="172"/>
      <c r="X3" s="175" t="str">
        <f ca="1">変更履歴!X3</f>
        <v>TK0200_仕入別年間仕入順位推移表_帳票設計書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  <c r="AK3" s="175" t="str">
        <f ca="1">変更履歴!AK3</f>
        <v>仕入別年間仕入順位推移表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7"/>
      <c r="AX3" s="171">
        <f>変更履歴!AX3</f>
        <v>45581</v>
      </c>
      <c r="AY3" s="171"/>
      <c r="AZ3" s="171"/>
      <c r="BA3" s="171"/>
      <c r="BB3" s="172" t="str">
        <f>変更履歴!BB3</f>
        <v>大谷</v>
      </c>
      <c r="BC3" s="172"/>
      <c r="BD3" s="172"/>
      <c r="BE3" s="172"/>
      <c r="BF3" s="171">
        <f>変更履歴!BF3</f>
        <v>45581</v>
      </c>
      <c r="BG3" s="171"/>
      <c r="BH3" s="171"/>
      <c r="BI3" s="171"/>
      <c r="BJ3" s="172" t="str">
        <f>変更履歴!BJ3</f>
        <v>大谷</v>
      </c>
      <c r="BK3" s="172"/>
      <c r="BL3" s="172"/>
      <c r="BM3" s="174"/>
      <c r="BN3" s="15"/>
    </row>
    <row r="4" spans="1:66" ht="20.100000000000001" customHeight="1" thickBot="1" x14ac:dyDescent="0.5">
      <c r="A4" s="9"/>
      <c r="B4" s="177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8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80"/>
      <c r="AK4" s="178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80"/>
      <c r="AX4" s="187"/>
      <c r="AY4" s="187"/>
      <c r="AZ4" s="187"/>
      <c r="BA4" s="187"/>
      <c r="BB4" s="173"/>
      <c r="BC4" s="173"/>
      <c r="BD4" s="173"/>
      <c r="BE4" s="173"/>
      <c r="BF4" s="187"/>
      <c r="BG4" s="187"/>
      <c r="BH4" s="187"/>
      <c r="BI4" s="187"/>
      <c r="BJ4" s="173"/>
      <c r="BK4" s="173"/>
      <c r="BL4" s="173"/>
      <c r="BM4" s="175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21" width="3.69921875" style="6" customWidth="1"/>
    <col min="22" max="27" width="6.59765625" style="6" customWidth="1"/>
    <col min="28" max="43" width="7.69921875" style="6" customWidth="1"/>
    <col min="44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86" t="s">
        <v>0</v>
      </c>
      <c r="C2" s="169"/>
      <c r="D2" s="169"/>
      <c r="E2" s="169"/>
      <c r="F2" s="169"/>
      <c r="G2" s="169"/>
      <c r="H2" s="169" t="s">
        <v>17</v>
      </c>
      <c r="I2" s="169"/>
      <c r="J2" s="169"/>
      <c r="K2" s="169"/>
      <c r="L2" s="169" t="s">
        <v>369</v>
      </c>
      <c r="M2" s="169"/>
      <c r="N2" s="169"/>
      <c r="O2" s="169"/>
      <c r="P2" s="169"/>
      <c r="Q2" s="169"/>
      <c r="R2" s="169" t="s">
        <v>2</v>
      </c>
      <c r="S2" s="169"/>
      <c r="T2" s="169"/>
      <c r="U2" s="169"/>
      <c r="V2" s="169"/>
      <c r="W2" s="169"/>
      <c r="X2" s="181" t="s">
        <v>3</v>
      </c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3"/>
      <c r="AK2" s="181" t="s">
        <v>32</v>
      </c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3"/>
      <c r="AX2" s="169" t="s">
        <v>5</v>
      </c>
      <c r="AY2" s="169"/>
      <c r="AZ2" s="169"/>
      <c r="BA2" s="169"/>
      <c r="BB2" s="169" t="s">
        <v>4</v>
      </c>
      <c r="BC2" s="169"/>
      <c r="BD2" s="169"/>
      <c r="BE2" s="169"/>
      <c r="BF2" s="169" t="s">
        <v>6</v>
      </c>
      <c r="BG2" s="169"/>
      <c r="BH2" s="169"/>
      <c r="BI2" s="169"/>
      <c r="BJ2" s="169" t="s">
        <v>7</v>
      </c>
      <c r="BK2" s="169"/>
      <c r="BL2" s="169"/>
      <c r="BM2" s="170"/>
      <c r="BN2" s="15"/>
    </row>
    <row r="3" spans="1:85" ht="20.100000000000001" customHeight="1" x14ac:dyDescent="0.45">
      <c r="A3" s="9"/>
      <c r="B3" s="184" t="str">
        <f>変更履歴!B3</f>
        <v>受発注システム</v>
      </c>
      <c r="C3" s="172"/>
      <c r="D3" s="172"/>
      <c r="E3" s="172"/>
      <c r="F3" s="172"/>
      <c r="G3" s="172"/>
      <c r="H3" s="172" t="str">
        <f ca="1">変更履歴!H3</f>
        <v>TK0200</v>
      </c>
      <c r="I3" s="172"/>
      <c r="J3" s="172"/>
      <c r="K3" s="172"/>
      <c r="L3" s="172" t="str">
        <f>変更履歴!L3</f>
        <v>受発注</v>
      </c>
      <c r="M3" s="172"/>
      <c r="N3" s="172"/>
      <c r="O3" s="172"/>
      <c r="P3" s="172"/>
      <c r="Q3" s="172"/>
      <c r="R3" s="172" t="str">
        <f ca="1">変更履歴!R3</f>
        <v>帳票設計書</v>
      </c>
      <c r="S3" s="172"/>
      <c r="T3" s="172"/>
      <c r="U3" s="172"/>
      <c r="V3" s="172"/>
      <c r="W3" s="172"/>
      <c r="X3" s="175" t="str">
        <f ca="1">変更履歴!X3</f>
        <v>TK0200_仕入別年間仕入順位推移表_帳票設計書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  <c r="AK3" s="175" t="str">
        <f ca="1">変更履歴!AK3</f>
        <v>仕入別年間仕入順位推移表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7"/>
      <c r="AX3" s="171">
        <f>変更履歴!AX3</f>
        <v>45581</v>
      </c>
      <c r="AY3" s="171"/>
      <c r="AZ3" s="171"/>
      <c r="BA3" s="171"/>
      <c r="BB3" s="172" t="str">
        <f>変更履歴!BB3</f>
        <v>大谷</v>
      </c>
      <c r="BC3" s="172"/>
      <c r="BD3" s="172"/>
      <c r="BE3" s="172"/>
      <c r="BF3" s="171">
        <f>変更履歴!BF3</f>
        <v>45581</v>
      </c>
      <c r="BG3" s="171"/>
      <c r="BH3" s="171"/>
      <c r="BI3" s="171"/>
      <c r="BJ3" s="172" t="str">
        <f>変更履歴!BJ3</f>
        <v>大谷</v>
      </c>
      <c r="BK3" s="172"/>
      <c r="BL3" s="172"/>
      <c r="BM3" s="174"/>
      <c r="BN3" s="15"/>
    </row>
    <row r="4" spans="1:85" ht="20.100000000000001" customHeight="1" thickBot="1" x14ac:dyDescent="0.5">
      <c r="A4" s="9"/>
      <c r="B4" s="177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8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80"/>
      <c r="AK4" s="178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80"/>
      <c r="AX4" s="187"/>
      <c r="AY4" s="187"/>
      <c r="AZ4" s="187"/>
      <c r="BA4" s="187"/>
      <c r="BB4" s="173"/>
      <c r="BC4" s="173"/>
      <c r="BD4" s="173"/>
      <c r="BE4" s="173"/>
      <c r="BF4" s="187"/>
      <c r="BG4" s="187"/>
      <c r="BH4" s="187"/>
      <c r="BI4" s="187"/>
      <c r="BJ4" s="173"/>
      <c r="BK4" s="173"/>
      <c r="BL4" s="173"/>
      <c r="BM4" s="175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98" t="s">
        <v>20</v>
      </c>
      <c r="F10" s="199"/>
      <c r="G10" s="199"/>
      <c r="H10" s="199"/>
      <c r="I10" s="199"/>
      <c r="J10" s="199"/>
      <c r="K10" s="199"/>
      <c r="L10" s="200"/>
      <c r="M10" s="201" t="s">
        <v>24</v>
      </c>
      <c r="N10" s="202"/>
      <c r="O10" s="202"/>
      <c r="P10" s="201" t="s">
        <v>33</v>
      </c>
      <c r="Q10" s="202"/>
      <c r="R10" s="202"/>
      <c r="S10" s="201" t="s">
        <v>34</v>
      </c>
      <c r="T10" s="202"/>
      <c r="U10" s="202"/>
      <c r="V10" s="201" t="s">
        <v>36</v>
      </c>
      <c r="W10" s="202"/>
      <c r="X10" s="202"/>
      <c r="Y10" s="202"/>
      <c r="Z10" s="202"/>
      <c r="AA10" s="207"/>
      <c r="AB10" s="201" t="s">
        <v>35</v>
      </c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2"/>
      <c r="AP10" s="202"/>
      <c r="AQ10" s="207"/>
      <c r="AR10" s="201" t="s">
        <v>42</v>
      </c>
      <c r="AS10" s="202"/>
      <c r="AT10" s="202"/>
      <c r="AU10" s="202"/>
      <c r="AV10" s="202"/>
      <c r="AW10" s="207"/>
      <c r="AX10" s="201" t="s">
        <v>43</v>
      </c>
      <c r="AY10" s="202"/>
      <c r="AZ10" s="202"/>
      <c r="BA10" s="202"/>
      <c r="BB10" s="202"/>
      <c r="BC10" s="202"/>
      <c r="BD10" s="202"/>
      <c r="BE10" s="202"/>
      <c r="BF10" s="202"/>
      <c r="BG10" s="202"/>
      <c r="BH10" s="202"/>
      <c r="BI10" s="202"/>
      <c r="BJ10" s="202"/>
      <c r="BK10" s="202"/>
      <c r="BL10" s="202"/>
      <c r="BM10" s="202"/>
      <c r="BN10" s="202"/>
      <c r="BO10" s="202"/>
      <c r="BP10" s="202"/>
      <c r="BQ10" s="202"/>
      <c r="BR10" s="202"/>
      <c r="BS10" s="202"/>
      <c r="BT10" s="208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95" t="s">
        <v>74</v>
      </c>
      <c r="F11" s="196"/>
      <c r="G11" s="196"/>
      <c r="H11" s="196"/>
      <c r="I11" s="196"/>
      <c r="J11" s="196"/>
      <c r="K11" s="196"/>
      <c r="L11" s="197"/>
      <c r="M11" s="164" t="s">
        <v>38</v>
      </c>
      <c r="N11" s="165"/>
      <c r="O11" s="165"/>
      <c r="P11" s="164" t="s">
        <v>72</v>
      </c>
      <c r="Q11" s="165"/>
      <c r="R11" s="165"/>
      <c r="S11" s="164">
        <v>4</v>
      </c>
      <c r="T11" s="165"/>
      <c r="U11" s="165"/>
      <c r="V11" s="188" t="s">
        <v>76</v>
      </c>
      <c r="W11" s="189"/>
      <c r="X11" s="189"/>
      <c r="Y11" s="189"/>
      <c r="Z11" s="189"/>
      <c r="AA11" s="190"/>
      <c r="AB11" s="188" t="s">
        <v>122</v>
      </c>
      <c r="AC11" s="189"/>
      <c r="AD11" s="189"/>
      <c r="AE11" s="189"/>
      <c r="AF11" s="189"/>
      <c r="AG11" s="189"/>
      <c r="AH11" s="189"/>
      <c r="AI11" s="189"/>
      <c r="AJ11" s="189"/>
      <c r="AK11" s="189"/>
      <c r="AL11" s="189"/>
      <c r="AM11" s="189"/>
      <c r="AN11" s="189"/>
      <c r="AO11" s="189"/>
      <c r="AP11" s="189"/>
      <c r="AQ11" s="190"/>
      <c r="AR11" s="164" t="s">
        <v>122</v>
      </c>
      <c r="AS11" s="165"/>
      <c r="AT11" s="165"/>
      <c r="AU11" s="165"/>
      <c r="AV11" s="165"/>
      <c r="AW11" s="166"/>
      <c r="AX11" s="191"/>
      <c r="AY11" s="192"/>
      <c r="AZ11" s="192"/>
      <c r="BA11" s="192"/>
      <c r="BB11" s="192"/>
      <c r="BC11" s="192"/>
      <c r="BD11" s="192"/>
      <c r="BE11" s="192"/>
      <c r="BF11" s="192"/>
      <c r="BG11" s="192"/>
      <c r="BH11" s="192"/>
      <c r="BI11" s="192"/>
      <c r="BJ11" s="192"/>
      <c r="BK11" s="192"/>
      <c r="BL11" s="192"/>
      <c r="BM11" s="192"/>
      <c r="BN11" s="192"/>
      <c r="BO11" s="192"/>
      <c r="BP11" s="192"/>
      <c r="BQ11" s="192"/>
      <c r="BR11" s="192"/>
      <c r="BS11" s="192"/>
      <c r="BT11" s="193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95" t="s">
        <v>75</v>
      </c>
      <c r="F12" s="196"/>
      <c r="G12" s="196"/>
      <c r="H12" s="196"/>
      <c r="I12" s="196"/>
      <c r="J12" s="196"/>
      <c r="K12" s="196"/>
      <c r="L12" s="197"/>
      <c r="M12" s="164" t="s">
        <v>38</v>
      </c>
      <c r="N12" s="165"/>
      <c r="O12" s="165"/>
      <c r="P12" s="164" t="s">
        <v>72</v>
      </c>
      <c r="Q12" s="165"/>
      <c r="R12" s="165"/>
      <c r="S12" s="164">
        <v>4</v>
      </c>
      <c r="T12" s="165"/>
      <c r="U12" s="165"/>
      <c r="V12" s="188" t="s">
        <v>77</v>
      </c>
      <c r="W12" s="189"/>
      <c r="X12" s="189"/>
      <c r="Y12" s="189"/>
      <c r="Z12" s="189"/>
      <c r="AA12" s="190"/>
      <c r="AB12" s="188" t="s">
        <v>123</v>
      </c>
      <c r="AC12" s="189"/>
      <c r="AD12" s="189"/>
      <c r="AE12" s="189"/>
      <c r="AF12" s="189"/>
      <c r="AG12" s="189"/>
      <c r="AH12" s="189"/>
      <c r="AI12" s="189"/>
      <c r="AJ12" s="189"/>
      <c r="AK12" s="189"/>
      <c r="AL12" s="189"/>
      <c r="AM12" s="189"/>
      <c r="AN12" s="189"/>
      <c r="AO12" s="189"/>
      <c r="AP12" s="189"/>
      <c r="AQ12" s="190"/>
      <c r="AR12" s="164" t="s">
        <v>123</v>
      </c>
      <c r="AS12" s="165"/>
      <c r="AT12" s="165"/>
      <c r="AU12" s="165"/>
      <c r="AV12" s="165"/>
      <c r="AW12" s="166"/>
      <c r="AX12" s="191"/>
      <c r="AY12" s="192"/>
      <c r="AZ12" s="192"/>
      <c r="BA12" s="192"/>
      <c r="BB12" s="192"/>
      <c r="BC12" s="192"/>
      <c r="BD12" s="192"/>
      <c r="BE12" s="192"/>
      <c r="BF12" s="192"/>
      <c r="BG12" s="192"/>
      <c r="BH12" s="192"/>
      <c r="BI12" s="192"/>
      <c r="BJ12" s="192"/>
      <c r="BK12" s="192"/>
      <c r="BL12" s="192"/>
      <c r="BM12" s="192"/>
      <c r="BN12" s="192"/>
      <c r="BO12" s="192"/>
      <c r="BP12" s="192"/>
      <c r="BQ12" s="192"/>
      <c r="BR12" s="192"/>
      <c r="BS12" s="192"/>
      <c r="BT12" s="193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2"/>
      <c r="D13" s="37">
        <v>3</v>
      </c>
      <c r="E13" s="195" t="s">
        <v>126</v>
      </c>
      <c r="F13" s="196"/>
      <c r="G13" s="196"/>
      <c r="H13" s="196"/>
      <c r="I13" s="196"/>
      <c r="J13" s="196"/>
      <c r="K13" s="196"/>
      <c r="L13" s="197"/>
      <c r="M13" s="164" t="s">
        <v>38</v>
      </c>
      <c r="N13" s="165"/>
      <c r="O13" s="165"/>
      <c r="P13" s="164" t="s">
        <v>72</v>
      </c>
      <c r="Q13" s="165"/>
      <c r="R13" s="165"/>
      <c r="S13" s="164">
        <v>11</v>
      </c>
      <c r="T13" s="165"/>
      <c r="U13" s="165"/>
      <c r="V13" s="188" t="s">
        <v>76</v>
      </c>
      <c r="W13" s="189"/>
      <c r="X13" s="189"/>
      <c r="Y13" s="189"/>
      <c r="Z13" s="189"/>
      <c r="AA13" s="190"/>
      <c r="AB13" s="188" t="s">
        <v>125</v>
      </c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90"/>
      <c r="AR13" s="164" t="s">
        <v>124</v>
      </c>
      <c r="AS13" s="165"/>
      <c r="AT13" s="165"/>
      <c r="AU13" s="165"/>
      <c r="AV13" s="165"/>
      <c r="AW13" s="166"/>
      <c r="AX13" s="191"/>
      <c r="AY13" s="192"/>
      <c r="AZ13" s="192"/>
      <c r="BA13" s="192"/>
      <c r="BB13" s="192"/>
      <c r="BC13" s="192"/>
      <c r="BD13" s="192"/>
      <c r="BE13" s="192"/>
      <c r="BF13" s="192"/>
      <c r="BG13" s="192"/>
      <c r="BH13" s="192"/>
      <c r="BI13" s="192"/>
      <c r="BJ13" s="192"/>
      <c r="BK13" s="192"/>
      <c r="BL13" s="192"/>
      <c r="BM13" s="192"/>
      <c r="BN13" s="192"/>
      <c r="BO13" s="192"/>
      <c r="BP13" s="192"/>
      <c r="BQ13" s="192"/>
      <c r="BR13" s="192"/>
      <c r="BS13" s="192"/>
      <c r="BT13" s="193"/>
      <c r="BU13" s="41"/>
      <c r="BV13" s="40"/>
      <c r="BW13" s="41"/>
      <c r="BX13" s="41"/>
      <c r="BY13" s="41"/>
      <c r="BZ13" s="41"/>
      <c r="CA13" s="41"/>
      <c r="CB13" s="30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95" t="s">
        <v>127</v>
      </c>
      <c r="F14" s="196"/>
      <c r="G14" s="196"/>
      <c r="H14" s="196"/>
      <c r="I14" s="196"/>
      <c r="J14" s="196"/>
      <c r="K14" s="196"/>
      <c r="L14" s="197"/>
      <c r="M14" s="164" t="s">
        <v>47</v>
      </c>
      <c r="N14" s="165"/>
      <c r="O14" s="166"/>
      <c r="P14" s="164" t="s">
        <v>72</v>
      </c>
      <c r="Q14" s="165"/>
      <c r="R14" s="166"/>
      <c r="S14" s="164">
        <v>5</v>
      </c>
      <c r="T14" s="165"/>
      <c r="U14" s="165"/>
      <c r="V14" s="191" t="s">
        <v>136</v>
      </c>
      <c r="W14" s="192"/>
      <c r="X14" s="192"/>
      <c r="Y14" s="192"/>
      <c r="Z14" s="192"/>
      <c r="AA14" s="194"/>
      <c r="AB14" s="188" t="s">
        <v>137</v>
      </c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90"/>
      <c r="AR14" s="204">
        <v>9999</v>
      </c>
      <c r="AS14" s="165"/>
      <c r="AT14" s="165"/>
      <c r="AU14" s="165"/>
      <c r="AV14" s="165"/>
      <c r="AW14" s="166"/>
      <c r="AX14" s="191"/>
      <c r="AY14" s="192"/>
      <c r="AZ14" s="192"/>
      <c r="BA14" s="192"/>
      <c r="BB14" s="192"/>
      <c r="BC14" s="192"/>
      <c r="BD14" s="192"/>
      <c r="BE14" s="192"/>
      <c r="BF14" s="192"/>
      <c r="BG14" s="192"/>
      <c r="BH14" s="192"/>
      <c r="BI14" s="192"/>
      <c r="BJ14" s="192"/>
      <c r="BK14" s="192"/>
      <c r="BL14" s="192"/>
      <c r="BM14" s="192"/>
      <c r="BN14" s="192"/>
      <c r="BO14" s="192"/>
      <c r="BP14" s="192"/>
      <c r="BQ14" s="192"/>
      <c r="BR14" s="192"/>
      <c r="BS14" s="192"/>
      <c r="BT14" s="193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95" t="s">
        <v>128</v>
      </c>
      <c r="F15" s="196"/>
      <c r="G15" s="196"/>
      <c r="H15" s="196"/>
      <c r="I15" s="196"/>
      <c r="J15" s="196"/>
      <c r="K15" s="196"/>
      <c r="L15" s="197"/>
      <c r="M15" s="164" t="s">
        <v>47</v>
      </c>
      <c r="N15" s="165"/>
      <c r="O15" s="166"/>
      <c r="P15" s="164" t="s">
        <v>72</v>
      </c>
      <c r="Q15" s="165"/>
      <c r="R15" s="166"/>
      <c r="S15" s="164">
        <v>4</v>
      </c>
      <c r="T15" s="165"/>
      <c r="U15" s="165"/>
      <c r="V15" s="191" t="s">
        <v>138</v>
      </c>
      <c r="W15" s="192"/>
      <c r="X15" s="192"/>
      <c r="Y15" s="192"/>
      <c r="Z15" s="192"/>
      <c r="AA15" s="194"/>
      <c r="AB15" s="188" t="s">
        <v>139</v>
      </c>
      <c r="AC15" s="189"/>
      <c r="AD15" s="189"/>
      <c r="AE15" s="189"/>
      <c r="AF15" s="189"/>
      <c r="AG15" s="189"/>
      <c r="AH15" s="189"/>
      <c r="AI15" s="189"/>
      <c r="AJ15" s="189"/>
      <c r="AK15" s="189"/>
      <c r="AL15" s="189"/>
      <c r="AM15" s="189"/>
      <c r="AN15" s="189"/>
      <c r="AO15" s="189"/>
      <c r="AP15" s="189"/>
      <c r="AQ15" s="190"/>
      <c r="AR15" s="164">
        <v>9.99</v>
      </c>
      <c r="AS15" s="165"/>
      <c r="AT15" s="165"/>
      <c r="AU15" s="165"/>
      <c r="AV15" s="165"/>
      <c r="AW15" s="166"/>
      <c r="AX15" s="191"/>
      <c r="AY15" s="192"/>
      <c r="AZ15" s="192"/>
      <c r="BA15" s="192"/>
      <c r="BB15" s="192"/>
      <c r="BC15" s="192"/>
      <c r="BD15" s="192"/>
      <c r="BE15" s="192"/>
      <c r="BF15" s="192"/>
      <c r="BG15" s="192"/>
      <c r="BH15" s="192"/>
      <c r="BI15" s="192"/>
      <c r="BJ15" s="192"/>
      <c r="BK15" s="192"/>
      <c r="BL15" s="192"/>
      <c r="BM15" s="192"/>
      <c r="BN15" s="192"/>
      <c r="BO15" s="192"/>
      <c r="BP15" s="192"/>
      <c r="BQ15" s="192"/>
      <c r="BR15" s="192"/>
      <c r="BS15" s="192"/>
      <c r="BT15" s="193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6"/>
      <c r="D16" s="37">
        <v>6</v>
      </c>
      <c r="E16" s="195" t="s">
        <v>129</v>
      </c>
      <c r="F16" s="196"/>
      <c r="G16" s="196"/>
      <c r="H16" s="196"/>
      <c r="I16" s="196"/>
      <c r="J16" s="196"/>
      <c r="K16" s="196"/>
      <c r="L16" s="197"/>
      <c r="M16" s="164" t="s">
        <v>47</v>
      </c>
      <c r="N16" s="165"/>
      <c r="O16" s="166"/>
      <c r="P16" s="164" t="s">
        <v>72</v>
      </c>
      <c r="Q16" s="165"/>
      <c r="R16" s="166"/>
      <c r="S16" s="164">
        <v>10</v>
      </c>
      <c r="T16" s="165"/>
      <c r="U16" s="165"/>
      <c r="V16" s="191" t="s">
        <v>141</v>
      </c>
      <c r="W16" s="192"/>
      <c r="X16" s="192"/>
      <c r="Y16" s="192"/>
      <c r="Z16" s="192"/>
      <c r="AA16" s="194"/>
      <c r="AB16" s="188" t="s">
        <v>140</v>
      </c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90"/>
      <c r="AR16" s="204">
        <v>9999</v>
      </c>
      <c r="AS16" s="165"/>
      <c r="AT16" s="165"/>
      <c r="AU16" s="165"/>
      <c r="AV16" s="165"/>
      <c r="AW16" s="166"/>
      <c r="AX16" s="191"/>
      <c r="AY16" s="192"/>
      <c r="AZ16" s="192"/>
      <c r="BA16" s="192"/>
      <c r="BB16" s="192"/>
      <c r="BC16" s="192"/>
      <c r="BD16" s="192"/>
      <c r="BE16" s="192"/>
      <c r="BF16" s="192"/>
      <c r="BG16" s="192"/>
      <c r="BH16" s="192"/>
      <c r="BI16" s="192"/>
      <c r="BJ16" s="192"/>
      <c r="BK16" s="192"/>
      <c r="BL16" s="192"/>
      <c r="BM16" s="192"/>
      <c r="BN16" s="192"/>
      <c r="BO16" s="192"/>
      <c r="BP16" s="192"/>
      <c r="BQ16" s="192"/>
      <c r="BR16" s="192"/>
      <c r="BS16" s="192"/>
      <c r="BT16" s="193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29"/>
      <c r="B17" s="35"/>
      <c r="C17"/>
      <c r="D17" s="37">
        <v>7</v>
      </c>
      <c r="E17" s="195" t="s">
        <v>69</v>
      </c>
      <c r="F17" s="196"/>
      <c r="G17" s="196"/>
      <c r="H17" s="196"/>
      <c r="I17" s="196"/>
      <c r="J17" s="196"/>
      <c r="K17" s="196"/>
      <c r="L17" s="197"/>
      <c r="M17" s="164" t="s">
        <v>38</v>
      </c>
      <c r="N17" s="165"/>
      <c r="O17" s="166"/>
      <c r="P17" s="164" t="s">
        <v>72</v>
      </c>
      <c r="Q17" s="165"/>
      <c r="R17" s="166"/>
      <c r="S17" s="164">
        <v>4</v>
      </c>
      <c r="T17" s="165"/>
      <c r="U17" s="165"/>
      <c r="V17" s="191" t="s">
        <v>358</v>
      </c>
      <c r="W17" s="192"/>
      <c r="X17" s="192"/>
      <c r="Y17" s="192"/>
      <c r="Z17" s="192"/>
      <c r="AA17" s="194"/>
      <c r="AB17" s="188"/>
      <c r="AC17" s="189"/>
      <c r="AD17" s="189"/>
      <c r="AE17" s="189"/>
      <c r="AF17" s="189"/>
      <c r="AG17" s="189"/>
      <c r="AH17" s="189"/>
      <c r="AI17" s="189"/>
      <c r="AJ17" s="189"/>
      <c r="AK17" s="189"/>
      <c r="AL17" s="189"/>
      <c r="AM17" s="189"/>
      <c r="AN17" s="189"/>
      <c r="AO17" s="189"/>
      <c r="AP17" s="189"/>
      <c r="AQ17" s="190"/>
      <c r="AR17" s="164"/>
      <c r="AS17" s="165"/>
      <c r="AT17" s="165"/>
      <c r="AU17" s="165"/>
      <c r="AV17" s="165"/>
      <c r="AW17" s="166"/>
      <c r="AX17" s="191"/>
      <c r="AY17" s="192"/>
      <c r="AZ17" s="192"/>
      <c r="BA17" s="192"/>
      <c r="BB17" s="192"/>
      <c r="BC17" s="192"/>
      <c r="BD17" s="192"/>
      <c r="BE17" s="192"/>
      <c r="BF17" s="192"/>
      <c r="BG17" s="192"/>
      <c r="BH17" s="192"/>
      <c r="BI17" s="192"/>
      <c r="BJ17" s="192"/>
      <c r="BK17" s="192"/>
      <c r="BL17" s="192"/>
      <c r="BM17" s="192"/>
      <c r="BN17" s="192"/>
      <c r="BO17" s="192"/>
      <c r="BP17" s="192"/>
      <c r="BQ17" s="192"/>
      <c r="BR17" s="192"/>
      <c r="BS17" s="192"/>
      <c r="BT17" s="193"/>
      <c r="BU17" s="41"/>
      <c r="BV17" s="40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</row>
    <row r="18" spans="1:85" s="5" customFormat="1" ht="20.100000000000001" customHeight="1" x14ac:dyDescent="0.45">
      <c r="A18" s="29"/>
      <c r="B18" s="35"/>
      <c r="C18"/>
      <c r="D18" s="37">
        <v>8</v>
      </c>
      <c r="E18" s="195" t="s">
        <v>70</v>
      </c>
      <c r="F18" s="196"/>
      <c r="G18" s="196"/>
      <c r="H18" s="196"/>
      <c r="I18" s="196"/>
      <c r="J18" s="196"/>
      <c r="K18" s="196"/>
      <c r="L18" s="197"/>
      <c r="M18" s="164" t="s">
        <v>38</v>
      </c>
      <c r="N18" s="165"/>
      <c r="O18" s="166"/>
      <c r="P18" s="164" t="s">
        <v>73</v>
      </c>
      <c r="Q18" s="165"/>
      <c r="R18" s="166"/>
      <c r="S18" s="164">
        <v>7</v>
      </c>
      <c r="T18" s="165"/>
      <c r="U18" s="165"/>
      <c r="V18" s="191" t="s">
        <v>359</v>
      </c>
      <c r="W18" s="192"/>
      <c r="X18" s="192"/>
      <c r="Y18" s="192"/>
      <c r="Z18" s="192"/>
      <c r="AA18" s="194"/>
      <c r="AB18" s="188"/>
      <c r="AC18" s="189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  <c r="AQ18" s="190"/>
      <c r="AR18" s="164"/>
      <c r="AS18" s="165"/>
      <c r="AT18" s="165"/>
      <c r="AU18" s="165"/>
      <c r="AV18" s="165"/>
      <c r="AW18" s="166"/>
      <c r="AX18" s="191"/>
      <c r="AY18" s="192"/>
      <c r="AZ18" s="192"/>
      <c r="BA18" s="192"/>
      <c r="BB18" s="192"/>
      <c r="BC18" s="192"/>
      <c r="BD18" s="192"/>
      <c r="BE18" s="192"/>
      <c r="BF18" s="192"/>
      <c r="BG18" s="192"/>
      <c r="BH18" s="192"/>
      <c r="BI18" s="192"/>
      <c r="BJ18" s="192"/>
      <c r="BK18" s="192"/>
      <c r="BL18" s="192"/>
      <c r="BM18" s="192"/>
      <c r="BN18" s="192"/>
      <c r="BO18" s="192"/>
      <c r="BP18" s="192"/>
      <c r="BQ18" s="192"/>
      <c r="BR18" s="192"/>
      <c r="BS18" s="192"/>
      <c r="BT18" s="193"/>
      <c r="BU18" s="41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</row>
    <row r="19" spans="1:85" s="5" customFormat="1" ht="20.100000000000001" customHeight="1" x14ac:dyDescent="0.45">
      <c r="A19" s="29"/>
      <c r="B19" s="35"/>
      <c r="C19"/>
      <c r="D19" s="37">
        <v>9</v>
      </c>
      <c r="E19" s="195" t="s">
        <v>71</v>
      </c>
      <c r="F19" s="196"/>
      <c r="G19" s="196"/>
      <c r="H19" s="196"/>
      <c r="I19" s="196"/>
      <c r="J19" s="196"/>
      <c r="K19" s="196"/>
      <c r="L19" s="197"/>
      <c r="M19" s="164" t="s">
        <v>38</v>
      </c>
      <c r="N19" s="165"/>
      <c r="O19" s="166"/>
      <c r="P19" s="164" t="s">
        <v>73</v>
      </c>
      <c r="Q19" s="165"/>
      <c r="R19" s="166"/>
      <c r="S19" s="164">
        <v>5</v>
      </c>
      <c r="T19" s="165"/>
      <c r="U19" s="165"/>
      <c r="V19" s="191" t="s">
        <v>360</v>
      </c>
      <c r="W19" s="192"/>
      <c r="X19" s="192"/>
      <c r="Y19" s="192"/>
      <c r="Z19" s="192"/>
      <c r="AA19" s="194"/>
      <c r="AB19" s="188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189"/>
      <c r="AP19" s="189"/>
      <c r="AQ19" s="190"/>
      <c r="AR19" s="164"/>
      <c r="AS19" s="165"/>
      <c r="AT19" s="165"/>
      <c r="AU19" s="165"/>
      <c r="AV19" s="165"/>
      <c r="AW19" s="166"/>
      <c r="AX19" s="191"/>
      <c r="AY19" s="192"/>
      <c r="AZ19" s="192"/>
      <c r="BA19" s="192"/>
      <c r="BB19" s="192"/>
      <c r="BC19" s="192"/>
      <c r="BD19" s="192"/>
      <c r="BE19" s="192"/>
      <c r="BF19" s="192"/>
      <c r="BG19" s="192"/>
      <c r="BH19" s="192"/>
      <c r="BI19" s="192"/>
      <c r="BJ19" s="192"/>
      <c r="BK19" s="192"/>
      <c r="BL19" s="192"/>
      <c r="BM19" s="192"/>
      <c r="BN19" s="192"/>
      <c r="BO19" s="192"/>
      <c r="BP19" s="192"/>
      <c r="BQ19" s="192"/>
      <c r="BR19" s="192"/>
      <c r="BS19" s="192"/>
      <c r="BT19" s="193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95" t="s">
        <v>130</v>
      </c>
      <c r="F20" s="196"/>
      <c r="G20" s="196"/>
      <c r="H20" s="196"/>
      <c r="I20" s="196"/>
      <c r="J20" s="196"/>
      <c r="K20" s="196"/>
      <c r="L20" s="197"/>
      <c r="M20" s="164" t="s">
        <v>38</v>
      </c>
      <c r="N20" s="165"/>
      <c r="O20" s="166"/>
      <c r="P20" s="164" t="s">
        <v>72</v>
      </c>
      <c r="Q20" s="165"/>
      <c r="R20" s="166"/>
      <c r="S20" s="164">
        <v>4</v>
      </c>
      <c r="T20" s="165"/>
      <c r="U20" s="165"/>
      <c r="V20" s="191" t="s">
        <v>361</v>
      </c>
      <c r="W20" s="192"/>
      <c r="X20" s="192"/>
      <c r="Y20" s="192"/>
      <c r="Z20" s="192"/>
      <c r="AA20" s="194"/>
      <c r="AB20" s="188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189"/>
      <c r="AP20" s="189"/>
      <c r="AQ20" s="190"/>
      <c r="AR20" s="164"/>
      <c r="AS20" s="165"/>
      <c r="AT20" s="165"/>
      <c r="AU20" s="165"/>
      <c r="AV20" s="165"/>
      <c r="AW20" s="166"/>
      <c r="AX20" s="191"/>
      <c r="AY20" s="192"/>
      <c r="AZ20" s="192"/>
      <c r="BA20" s="192"/>
      <c r="BB20" s="192"/>
      <c r="BC20" s="192"/>
      <c r="BD20" s="192"/>
      <c r="BE20" s="192"/>
      <c r="BF20" s="192"/>
      <c r="BG20" s="192"/>
      <c r="BH20" s="192"/>
      <c r="BI20" s="192"/>
      <c r="BJ20" s="192"/>
      <c r="BK20" s="192"/>
      <c r="BL20" s="192"/>
      <c r="BM20" s="192"/>
      <c r="BN20" s="192"/>
      <c r="BO20" s="192"/>
      <c r="BP20" s="192"/>
      <c r="BQ20" s="192"/>
      <c r="BR20" s="192"/>
      <c r="BS20" s="192"/>
      <c r="BT20" s="193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95" t="s">
        <v>131</v>
      </c>
      <c r="F21" s="196"/>
      <c r="G21" s="196"/>
      <c r="H21" s="196"/>
      <c r="I21" s="196"/>
      <c r="J21" s="196"/>
      <c r="K21" s="196"/>
      <c r="L21" s="197"/>
      <c r="M21" s="164" t="s">
        <v>47</v>
      </c>
      <c r="N21" s="165"/>
      <c r="O21" s="166"/>
      <c r="P21" s="164" t="s">
        <v>72</v>
      </c>
      <c r="Q21" s="165"/>
      <c r="R21" s="166"/>
      <c r="S21" s="164">
        <v>3</v>
      </c>
      <c r="T21" s="165"/>
      <c r="U21" s="165"/>
      <c r="V21" s="191" t="s">
        <v>142</v>
      </c>
      <c r="W21" s="192"/>
      <c r="X21" s="192"/>
      <c r="Y21" s="192"/>
      <c r="Z21" s="192"/>
      <c r="AA21" s="194"/>
      <c r="AB21" s="188" t="s">
        <v>143</v>
      </c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189"/>
      <c r="AP21" s="189"/>
      <c r="AQ21" s="190"/>
      <c r="AR21" s="164">
        <v>9.9</v>
      </c>
      <c r="AS21" s="165"/>
      <c r="AT21" s="165"/>
      <c r="AU21" s="165"/>
      <c r="AV21" s="165"/>
      <c r="AW21" s="166"/>
      <c r="AX21" s="191"/>
      <c r="AY21" s="192"/>
      <c r="AZ21" s="192"/>
      <c r="BA21" s="192"/>
      <c r="BB21" s="192"/>
      <c r="BC21" s="192"/>
      <c r="BD21" s="192"/>
      <c r="BE21" s="192"/>
      <c r="BF21" s="192"/>
      <c r="BG21" s="192"/>
      <c r="BH21" s="192"/>
      <c r="BI21" s="192"/>
      <c r="BJ21" s="192"/>
      <c r="BK21" s="192"/>
      <c r="BL21" s="192"/>
      <c r="BM21" s="192"/>
      <c r="BN21" s="192"/>
      <c r="BO21" s="192"/>
      <c r="BP21" s="192"/>
      <c r="BQ21" s="192"/>
      <c r="BR21" s="192"/>
      <c r="BS21" s="192"/>
      <c r="BT21" s="193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95" t="s">
        <v>132</v>
      </c>
      <c r="F22" s="196"/>
      <c r="G22" s="196"/>
      <c r="H22" s="196"/>
      <c r="I22" s="196"/>
      <c r="J22" s="196"/>
      <c r="K22" s="196"/>
      <c r="L22" s="197"/>
      <c r="M22" s="164" t="s">
        <v>47</v>
      </c>
      <c r="N22" s="165"/>
      <c r="O22" s="166"/>
      <c r="P22" s="164" t="s">
        <v>72</v>
      </c>
      <c r="Q22" s="165"/>
      <c r="R22" s="166"/>
      <c r="S22" s="164">
        <v>4</v>
      </c>
      <c r="T22" s="165"/>
      <c r="U22" s="165"/>
      <c r="V22" s="191" t="s">
        <v>362</v>
      </c>
      <c r="W22" s="192"/>
      <c r="X22" s="192"/>
      <c r="Y22" s="192"/>
      <c r="Z22" s="192"/>
      <c r="AA22" s="194"/>
      <c r="AB22" s="188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90"/>
      <c r="AR22" s="204">
        <v>9999</v>
      </c>
      <c r="AS22" s="205"/>
      <c r="AT22" s="205"/>
      <c r="AU22" s="205"/>
      <c r="AV22" s="205"/>
      <c r="AW22" s="206"/>
      <c r="AX22" s="191"/>
      <c r="AY22" s="192"/>
      <c r="AZ22" s="192"/>
      <c r="BA22" s="192"/>
      <c r="BB22" s="192"/>
      <c r="BC22" s="192"/>
      <c r="BD22" s="192"/>
      <c r="BE22" s="192"/>
      <c r="BF22" s="192"/>
      <c r="BG22" s="192"/>
      <c r="BH22" s="192"/>
      <c r="BI22" s="192"/>
      <c r="BJ22" s="192"/>
      <c r="BK22" s="192"/>
      <c r="BL22" s="192"/>
      <c r="BM22" s="192"/>
      <c r="BN22" s="192"/>
      <c r="BO22" s="192"/>
      <c r="BP22" s="192"/>
      <c r="BQ22" s="192"/>
      <c r="BR22" s="192"/>
      <c r="BS22" s="192"/>
      <c r="BT22" s="193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31.95" customHeight="1" x14ac:dyDescent="0.45">
      <c r="A23" s="29"/>
      <c r="B23" s="35"/>
      <c r="C23"/>
      <c r="D23" s="37">
        <v>13</v>
      </c>
      <c r="E23" s="195" t="s">
        <v>133</v>
      </c>
      <c r="F23" s="196"/>
      <c r="G23" s="196"/>
      <c r="H23" s="196"/>
      <c r="I23" s="196"/>
      <c r="J23" s="196"/>
      <c r="K23" s="196"/>
      <c r="L23" s="197"/>
      <c r="M23" s="164" t="s">
        <v>47</v>
      </c>
      <c r="N23" s="165"/>
      <c r="O23" s="166"/>
      <c r="P23" s="164" t="s">
        <v>72</v>
      </c>
      <c r="Q23" s="165"/>
      <c r="R23" s="166"/>
      <c r="S23" s="164">
        <v>4</v>
      </c>
      <c r="T23" s="165"/>
      <c r="U23" s="165"/>
      <c r="V23" s="191" t="s">
        <v>363</v>
      </c>
      <c r="W23" s="192"/>
      <c r="X23" s="192"/>
      <c r="Y23" s="192"/>
      <c r="Z23" s="192"/>
      <c r="AA23" s="194"/>
      <c r="AB23" s="203" t="s">
        <v>144</v>
      </c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90"/>
      <c r="AR23" s="164">
        <v>9.9</v>
      </c>
      <c r="AS23" s="165"/>
      <c r="AT23" s="165"/>
      <c r="AU23" s="165"/>
      <c r="AV23" s="165"/>
      <c r="AW23" s="166"/>
      <c r="AX23" s="191"/>
      <c r="AY23" s="192"/>
      <c r="AZ23" s="192"/>
      <c r="BA23" s="192"/>
      <c r="BB23" s="192"/>
      <c r="BC23" s="192"/>
      <c r="BD23" s="192"/>
      <c r="BE23" s="192"/>
      <c r="BF23" s="192"/>
      <c r="BG23" s="192"/>
      <c r="BH23" s="192"/>
      <c r="BI23" s="192"/>
      <c r="BJ23" s="192"/>
      <c r="BK23" s="192"/>
      <c r="BL23" s="192"/>
      <c r="BM23" s="192"/>
      <c r="BN23" s="192"/>
      <c r="BO23" s="192"/>
      <c r="BP23" s="192"/>
      <c r="BQ23" s="192"/>
      <c r="BR23" s="192"/>
      <c r="BS23" s="192"/>
      <c r="BT23" s="193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95" t="s">
        <v>134</v>
      </c>
      <c r="F24" s="196"/>
      <c r="G24" s="196"/>
      <c r="H24" s="196"/>
      <c r="I24" s="196"/>
      <c r="J24" s="196"/>
      <c r="K24" s="196"/>
      <c r="L24" s="197"/>
      <c r="M24" s="164" t="s">
        <v>47</v>
      </c>
      <c r="N24" s="165"/>
      <c r="O24" s="166"/>
      <c r="P24" s="164" t="s">
        <v>72</v>
      </c>
      <c r="Q24" s="165"/>
      <c r="R24" s="166"/>
      <c r="S24" s="164">
        <v>10</v>
      </c>
      <c r="T24" s="165"/>
      <c r="U24" s="165"/>
      <c r="V24" s="191" t="s">
        <v>364</v>
      </c>
      <c r="W24" s="192"/>
      <c r="X24" s="192"/>
      <c r="Y24" s="192"/>
      <c r="Z24" s="192"/>
      <c r="AA24" s="194"/>
      <c r="AB24" s="188"/>
      <c r="AC24" s="189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/>
      <c r="AP24" s="189"/>
      <c r="AQ24" s="190"/>
      <c r="AR24" s="204">
        <v>9999</v>
      </c>
      <c r="AS24" s="165"/>
      <c r="AT24" s="165"/>
      <c r="AU24" s="165"/>
      <c r="AV24" s="165"/>
      <c r="AW24" s="166"/>
      <c r="AX24" s="191"/>
      <c r="AY24" s="192"/>
      <c r="AZ24" s="192"/>
      <c r="BA24" s="192"/>
      <c r="BB24" s="192"/>
      <c r="BC24" s="192"/>
      <c r="BD24" s="192"/>
      <c r="BE24" s="192"/>
      <c r="BF24" s="192"/>
      <c r="BG24" s="192"/>
      <c r="BH24" s="192"/>
      <c r="BI24" s="192"/>
      <c r="BJ24" s="192"/>
      <c r="BK24" s="192"/>
      <c r="BL24" s="192"/>
      <c r="BM24" s="192"/>
      <c r="BN24" s="192"/>
      <c r="BO24" s="192"/>
      <c r="BP24" s="192"/>
      <c r="BQ24" s="192"/>
      <c r="BR24" s="192"/>
      <c r="BS24" s="192"/>
      <c r="BT24" s="193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ht="20.100000000000001" customHeight="1" thickBot="1" x14ac:dyDescent="0.5">
      <c r="A25" s="29"/>
      <c r="B25" s="44"/>
      <c r="C25"/>
      <c r="D25" s="37">
        <v>15</v>
      </c>
      <c r="E25" s="195" t="s">
        <v>135</v>
      </c>
      <c r="F25" s="196"/>
      <c r="G25" s="196"/>
      <c r="H25" s="196"/>
      <c r="I25" s="196"/>
      <c r="J25" s="196"/>
      <c r="K25" s="196"/>
      <c r="L25" s="197"/>
      <c r="M25" s="164" t="s">
        <v>47</v>
      </c>
      <c r="N25" s="165"/>
      <c r="O25" s="166"/>
      <c r="P25" s="164" t="s">
        <v>72</v>
      </c>
      <c r="Q25" s="165"/>
      <c r="R25" s="166"/>
      <c r="S25" s="164">
        <v>3</v>
      </c>
      <c r="T25" s="165"/>
      <c r="U25" s="165"/>
      <c r="V25" s="191" t="s">
        <v>145</v>
      </c>
      <c r="W25" s="192"/>
      <c r="X25" s="192"/>
      <c r="Y25" s="192"/>
      <c r="Z25" s="192"/>
      <c r="AA25" s="194"/>
      <c r="AB25" s="188" t="s">
        <v>146</v>
      </c>
      <c r="AC25" s="189"/>
      <c r="AD25" s="189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  <c r="AO25" s="189"/>
      <c r="AP25" s="189"/>
      <c r="AQ25" s="190"/>
      <c r="AR25" s="164">
        <v>9.9</v>
      </c>
      <c r="AS25" s="165"/>
      <c r="AT25" s="165"/>
      <c r="AU25" s="165"/>
      <c r="AV25" s="165"/>
      <c r="AW25" s="166"/>
      <c r="AX25" s="191"/>
      <c r="AY25" s="192"/>
      <c r="AZ25" s="192"/>
      <c r="BA25" s="192"/>
      <c r="BB25" s="192"/>
      <c r="BC25" s="192"/>
      <c r="BD25" s="192"/>
      <c r="BE25" s="192"/>
      <c r="BF25" s="192"/>
      <c r="BG25" s="192"/>
      <c r="BH25" s="192"/>
      <c r="BI25" s="192"/>
      <c r="BJ25" s="192"/>
      <c r="BK25" s="192"/>
      <c r="BL25" s="192"/>
      <c r="BM25" s="192"/>
      <c r="BN25" s="192"/>
      <c r="BO25" s="192"/>
      <c r="BP25" s="192"/>
      <c r="BQ25" s="192"/>
      <c r="BR25" s="192"/>
      <c r="BS25" s="192"/>
      <c r="BT25" s="193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ht="20.100000000000001" customHeight="1" thickTop="1" thickBot="1" x14ac:dyDescent="0.5">
      <c r="A26" s="29"/>
      <c r="B26" s="40"/>
      <c r="C26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46"/>
      <c r="BR26" s="46"/>
      <c r="BS26" s="46"/>
      <c r="BT26" s="46"/>
      <c r="BU26" s="28"/>
    </row>
    <row r="27" spans="1:85" ht="20.100000000000001" customHeight="1" thickTop="1" x14ac:dyDescent="0.45">
      <c r="A27" s="29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33"/>
      <c r="BD27" s="33"/>
      <c r="BE27" s="33"/>
      <c r="BF27" s="33"/>
      <c r="BG27" s="33"/>
      <c r="BH27" s="33"/>
      <c r="BI27" s="42"/>
      <c r="BJ27" s="42"/>
      <c r="BK27" s="42"/>
      <c r="BL27" s="42"/>
      <c r="BM27" s="42"/>
      <c r="BN27" s="42"/>
      <c r="BO27" s="42"/>
      <c r="BP27" s="41"/>
    </row>
    <row r="28" spans="1:85" ht="20.100000000000001" customHeight="1" x14ac:dyDescent="0.45"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</row>
    <row r="29" spans="1:85" ht="20.100000000000001" customHeight="1" x14ac:dyDescent="0.45"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31"/>
      <c r="BH29" s="31"/>
      <c r="BI29" s="31"/>
      <c r="BJ29" s="31"/>
      <c r="BK29" s="31"/>
      <c r="BL29" s="31"/>
      <c r="BM29" s="31"/>
      <c r="BN29" s="31"/>
      <c r="BO29" s="31"/>
      <c r="BP29" s="31"/>
    </row>
    <row r="30" spans="1:85" ht="20.100000000000001" customHeight="1" x14ac:dyDescent="0.45"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31"/>
      <c r="BH30" s="31"/>
      <c r="BI30" s="31"/>
      <c r="BJ30" s="31"/>
      <c r="BK30" s="31"/>
      <c r="BL30" s="31"/>
      <c r="BM30" s="31"/>
      <c r="BN30" s="31"/>
      <c r="BO30" s="31"/>
      <c r="BP30" s="31"/>
    </row>
    <row r="31" spans="1:85" ht="20.100000000000001" customHeight="1" x14ac:dyDescent="0.45"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31"/>
      <c r="BH31" s="31"/>
      <c r="BI31" s="31"/>
      <c r="BJ31" s="31"/>
      <c r="BK31" s="31"/>
      <c r="BL31" s="31"/>
      <c r="BM31" s="31"/>
      <c r="BN31" s="31"/>
      <c r="BO31" s="31"/>
      <c r="BP31" s="31"/>
    </row>
    <row r="32" spans="1:85" ht="20.100000000000001" customHeight="1" x14ac:dyDescent="0.45"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31"/>
      <c r="BH32" s="31"/>
      <c r="BI32" s="31"/>
      <c r="BJ32" s="31"/>
      <c r="BK32" s="31"/>
      <c r="BL32" s="31"/>
      <c r="BM32" s="31"/>
      <c r="BN32" s="31"/>
      <c r="BO32" s="31"/>
      <c r="BP32" s="31"/>
    </row>
    <row r="33" spans="1:68" ht="20.100000000000001" customHeight="1" x14ac:dyDescent="0.45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31"/>
      <c r="BH33" s="31"/>
      <c r="BI33" s="31"/>
      <c r="BJ33" s="31"/>
      <c r="BK33" s="31"/>
      <c r="BL33" s="31"/>
      <c r="BM33" s="31"/>
      <c r="BN33" s="31"/>
      <c r="BO33" s="31"/>
      <c r="BP33" s="31"/>
    </row>
    <row r="34" spans="1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31"/>
      <c r="BH34" s="31"/>
      <c r="BI34" s="31"/>
      <c r="BJ34" s="31"/>
      <c r="BK34" s="31"/>
      <c r="BL34" s="31"/>
      <c r="BM34" s="31"/>
      <c r="BN34" s="31"/>
      <c r="BO34" s="31"/>
      <c r="BP34" s="31"/>
    </row>
    <row r="35" spans="1:68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1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1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1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1:68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1:68" ht="20.100000000000001" customHeight="1" x14ac:dyDescent="0.45">
      <c r="B40" s="3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1:68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31"/>
      <c r="BP41" s="31"/>
    </row>
    <row r="42" spans="1:68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31"/>
      <c r="BP42" s="31"/>
    </row>
    <row r="43" spans="1:68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31"/>
      <c r="BP43" s="31"/>
    </row>
    <row r="44" spans="1:68" ht="20.100000000000001" customHeight="1" x14ac:dyDescent="0.45">
      <c r="A44" s="29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31"/>
      <c r="BP44" s="31"/>
    </row>
    <row r="45" spans="1:68" ht="20.100000000000001" customHeight="1" x14ac:dyDescent="0.45">
      <c r="A45" s="29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31"/>
      <c r="BP45" s="31"/>
    </row>
    <row r="46" spans="1:68" ht="20.100000000000001" customHeight="1" x14ac:dyDescent="0.4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</row>
    <row r="47" spans="1:68" ht="20.100000000000001" customHeight="1" x14ac:dyDescent="0.4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</row>
    <row r="48" spans="1:68" ht="20.100000000000001" customHeight="1" x14ac:dyDescent="0.4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</row>
  </sheetData>
  <mergeCells count="148">
    <mergeCell ref="AX13:BT13"/>
    <mergeCell ref="AR10:AW10"/>
    <mergeCell ref="AR11:AW11"/>
    <mergeCell ref="AR12:AW12"/>
    <mergeCell ref="AR14:AW14"/>
    <mergeCell ref="AR15:AW15"/>
    <mergeCell ref="AR16:AW16"/>
    <mergeCell ref="P13:R13"/>
    <mergeCell ref="S13:U13"/>
    <mergeCell ref="V13:AA13"/>
    <mergeCell ref="AB13:AQ13"/>
    <mergeCell ref="AR13:AW13"/>
    <mergeCell ref="AX10:BT10"/>
    <mergeCell ref="AX11:BT11"/>
    <mergeCell ref="AX12:BT12"/>
    <mergeCell ref="S10:U10"/>
    <mergeCell ref="V10:AA10"/>
    <mergeCell ref="V11:AA11"/>
    <mergeCell ref="V12:AA12"/>
    <mergeCell ref="AB10:AQ10"/>
    <mergeCell ref="AB11:AQ11"/>
    <mergeCell ref="AB12:AQ12"/>
    <mergeCell ref="AB14:AQ14"/>
    <mergeCell ref="AB15:AQ15"/>
    <mergeCell ref="AX25:BT25"/>
    <mergeCell ref="AX18:BT18"/>
    <mergeCell ref="AX19:BT19"/>
    <mergeCell ref="AX20:BT20"/>
    <mergeCell ref="AX21:BT21"/>
    <mergeCell ref="AX22:BT22"/>
    <mergeCell ref="AX16:BT16"/>
    <mergeCell ref="AX17:BT17"/>
    <mergeCell ref="AB22:AQ22"/>
    <mergeCell ref="AB23:AQ23"/>
    <mergeCell ref="AB24:AQ24"/>
    <mergeCell ref="AB25:AQ25"/>
    <mergeCell ref="AX23:BT23"/>
    <mergeCell ref="AX24:BT24"/>
    <mergeCell ref="AR25:AW25"/>
    <mergeCell ref="AB21:AQ21"/>
    <mergeCell ref="AR21:AW21"/>
    <mergeCell ref="AR22:AW22"/>
    <mergeCell ref="AR23:AW23"/>
    <mergeCell ref="AR24:AW24"/>
    <mergeCell ref="E13:L13"/>
    <mergeCell ref="M13:O13"/>
    <mergeCell ref="X2:AJ2"/>
    <mergeCell ref="X3:AJ4"/>
    <mergeCell ref="R3:W4"/>
    <mergeCell ref="P10:R10"/>
    <mergeCell ref="P11:R11"/>
    <mergeCell ref="P12:R12"/>
    <mergeCell ref="V22:AA22"/>
    <mergeCell ref="P17:R17"/>
    <mergeCell ref="P18:R18"/>
    <mergeCell ref="P19:R19"/>
    <mergeCell ref="P20:R20"/>
    <mergeCell ref="P21:R21"/>
    <mergeCell ref="V21:AA21"/>
    <mergeCell ref="V17:AA17"/>
    <mergeCell ref="V18:AA18"/>
    <mergeCell ref="V19:AA19"/>
    <mergeCell ref="V20:AA20"/>
    <mergeCell ref="S11:U11"/>
    <mergeCell ref="S12:U12"/>
    <mergeCell ref="S14:U14"/>
    <mergeCell ref="S15:U15"/>
    <mergeCell ref="S16:U16"/>
    <mergeCell ref="B3:G4"/>
    <mergeCell ref="H3:K4"/>
    <mergeCell ref="L3:Q4"/>
    <mergeCell ref="E12:L12"/>
    <mergeCell ref="B2:G2"/>
    <mergeCell ref="H2:K2"/>
    <mergeCell ref="L2:Q2"/>
    <mergeCell ref="R2:W2"/>
    <mergeCell ref="E10:L10"/>
    <mergeCell ref="E11:L11"/>
    <mergeCell ref="M10:O10"/>
    <mergeCell ref="M11:O11"/>
    <mergeCell ref="M12:O12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E25:L25"/>
    <mergeCell ref="E24:L24"/>
    <mergeCell ref="E21:L21"/>
    <mergeCell ref="M25:O25"/>
    <mergeCell ref="M24:O24"/>
    <mergeCell ref="V25:AA25"/>
    <mergeCell ref="P23:R23"/>
    <mergeCell ref="P24:R24"/>
    <mergeCell ref="P25:R25"/>
    <mergeCell ref="V23:AA23"/>
    <mergeCell ref="V24:AA24"/>
    <mergeCell ref="S21:U21"/>
    <mergeCell ref="P22:R22"/>
    <mergeCell ref="S22:U22"/>
    <mergeCell ref="S23:U23"/>
    <mergeCell ref="S24:U24"/>
    <mergeCell ref="S25:U25"/>
    <mergeCell ref="P14:R14"/>
    <mergeCell ref="E14:L14"/>
    <mergeCell ref="M21:O21"/>
    <mergeCell ref="M20:O20"/>
    <mergeCell ref="M19:O19"/>
    <mergeCell ref="M18:O18"/>
    <mergeCell ref="M23:O23"/>
    <mergeCell ref="M22:O22"/>
    <mergeCell ref="E22:L22"/>
    <mergeCell ref="E23:L23"/>
    <mergeCell ref="E18:L18"/>
    <mergeCell ref="E19:L19"/>
    <mergeCell ref="E20:L20"/>
    <mergeCell ref="E15:L15"/>
    <mergeCell ref="E16:L16"/>
    <mergeCell ref="M14:O14"/>
    <mergeCell ref="M15:O15"/>
    <mergeCell ref="M17:O17"/>
    <mergeCell ref="E17:L17"/>
    <mergeCell ref="M16:O16"/>
    <mergeCell ref="P16:R16"/>
    <mergeCell ref="P15:R15"/>
    <mergeCell ref="S17:U17"/>
    <mergeCell ref="S18:U18"/>
    <mergeCell ref="S19:U19"/>
    <mergeCell ref="S20:U20"/>
    <mergeCell ref="AB16:AQ16"/>
    <mergeCell ref="AX14:BT14"/>
    <mergeCell ref="AX15:BT15"/>
    <mergeCell ref="V15:AA15"/>
    <mergeCell ref="V16:AA16"/>
    <mergeCell ref="V14:AA14"/>
    <mergeCell ref="AB17:AQ17"/>
    <mergeCell ref="AB18:AQ18"/>
    <mergeCell ref="AB19:AQ19"/>
    <mergeCell ref="AB20:AQ20"/>
    <mergeCell ref="AR17:AW17"/>
    <mergeCell ref="AR18:AW18"/>
    <mergeCell ref="AR19:AW19"/>
    <mergeCell ref="AR20:AW20"/>
  </mergeCells>
  <phoneticPr fontId="1"/>
  <pageMargins left="0.70866141732283472" right="0.70866141732283472" top="0.74803149606299213" bottom="0.74803149606299213" header="0.31496062992125984" footer="0.31496062992125984"/>
  <pageSetup paperSize="9" scale="3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N11:O13 M11:M25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173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15" t="s">
        <v>0</v>
      </c>
      <c r="C2" s="216"/>
      <c r="D2" s="216"/>
      <c r="E2" s="216"/>
      <c r="F2" s="216"/>
      <c r="G2" s="216"/>
      <c r="H2" s="216" t="s">
        <v>17</v>
      </c>
      <c r="I2" s="216"/>
      <c r="J2" s="216"/>
      <c r="K2" s="216"/>
      <c r="L2" s="216" t="s">
        <v>369</v>
      </c>
      <c r="M2" s="216"/>
      <c r="N2" s="216"/>
      <c r="O2" s="216"/>
      <c r="P2" s="216"/>
      <c r="Q2" s="216"/>
      <c r="R2" s="216" t="s">
        <v>2</v>
      </c>
      <c r="S2" s="216"/>
      <c r="T2" s="216"/>
      <c r="U2" s="216"/>
      <c r="V2" s="216"/>
      <c r="W2" s="216"/>
      <c r="X2" s="217" t="s">
        <v>3</v>
      </c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9"/>
      <c r="AK2" s="217" t="s">
        <v>32</v>
      </c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9"/>
      <c r="AX2" s="216" t="s">
        <v>5</v>
      </c>
      <c r="AY2" s="216"/>
      <c r="AZ2" s="216"/>
      <c r="BA2" s="216"/>
      <c r="BB2" s="216" t="s">
        <v>4</v>
      </c>
      <c r="BC2" s="216"/>
      <c r="BD2" s="216"/>
      <c r="BE2" s="216"/>
      <c r="BF2" s="216" t="s">
        <v>6</v>
      </c>
      <c r="BG2" s="216"/>
      <c r="BH2" s="216"/>
      <c r="BI2" s="216"/>
      <c r="BJ2" s="216" t="s">
        <v>7</v>
      </c>
      <c r="BK2" s="216"/>
      <c r="BL2" s="216"/>
      <c r="BM2" s="229"/>
    </row>
    <row r="3" spans="2:65" ht="20.100000000000001" customHeight="1" x14ac:dyDescent="0.45">
      <c r="B3" s="209" t="str">
        <f>変更履歴!B3</f>
        <v>受発注システム</v>
      </c>
      <c r="C3" s="172"/>
      <c r="D3" s="172"/>
      <c r="E3" s="172"/>
      <c r="F3" s="172"/>
      <c r="G3" s="172"/>
      <c r="H3" s="172" t="str">
        <f ca="1">変更履歴!H3</f>
        <v>TK0200</v>
      </c>
      <c r="I3" s="172"/>
      <c r="J3" s="172"/>
      <c r="K3" s="172"/>
      <c r="L3" s="172" t="str">
        <f>変更履歴!L3</f>
        <v>受発注</v>
      </c>
      <c r="M3" s="172"/>
      <c r="N3" s="172"/>
      <c r="O3" s="172"/>
      <c r="P3" s="172"/>
      <c r="Q3" s="172"/>
      <c r="R3" s="172" t="str">
        <f ca="1">変更履歴!R3</f>
        <v>帳票設計書</v>
      </c>
      <c r="S3" s="172"/>
      <c r="T3" s="172"/>
      <c r="U3" s="172"/>
      <c r="V3" s="172"/>
      <c r="W3" s="172"/>
      <c r="X3" s="175" t="str">
        <f ca="1">変更履歴!X3</f>
        <v>TK0200_仕入別年間仕入順位推移表_帳票設計書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  <c r="AK3" s="175" t="str">
        <f ca="1">変更履歴!AK3</f>
        <v>仕入別年間仕入順位推移表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7"/>
      <c r="AX3" s="171">
        <f>変更履歴!AX3</f>
        <v>45581</v>
      </c>
      <c r="AY3" s="171"/>
      <c r="AZ3" s="171"/>
      <c r="BA3" s="171"/>
      <c r="BB3" s="172" t="str">
        <f>変更履歴!BB3</f>
        <v>大谷</v>
      </c>
      <c r="BC3" s="172"/>
      <c r="BD3" s="172"/>
      <c r="BE3" s="172"/>
      <c r="BF3" s="171">
        <f>変更履歴!BF3</f>
        <v>45581</v>
      </c>
      <c r="BG3" s="171"/>
      <c r="BH3" s="171"/>
      <c r="BI3" s="171"/>
      <c r="BJ3" s="172" t="str">
        <f>変更履歴!BJ3</f>
        <v>大谷</v>
      </c>
      <c r="BK3" s="172"/>
      <c r="BL3" s="172"/>
      <c r="BM3" s="227"/>
    </row>
    <row r="4" spans="2:65" ht="20.100000000000001" customHeight="1" thickBot="1" x14ac:dyDescent="0.5">
      <c r="B4" s="210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2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4"/>
      <c r="AK4" s="212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4"/>
      <c r="AX4" s="226"/>
      <c r="AY4" s="226"/>
      <c r="AZ4" s="226"/>
      <c r="BA4" s="226"/>
      <c r="BB4" s="211"/>
      <c r="BC4" s="211"/>
      <c r="BD4" s="211"/>
      <c r="BE4" s="211"/>
      <c r="BF4" s="226"/>
      <c r="BG4" s="226"/>
      <c r="BH4" s="226"/>
      <c r="BI4" s="226"/>
      <c r="BJ4" s="211"/>
      <c r="BK4" s="211"/>
      <c r="BL4" s="211"/>
      <c r="BM4" s="228"/>
    </row>
    <row r="5" spans="2:65" ht="5.0999999999999996" customHeight="1" thickBot="1" x14ac:dyDescent="0.5"/>
    <row r="6" spans="2:65" ht="20.100000000000001" customHeight="1" x14ac:dyDescent="0.45">
      <c r="B6" s="121" t="s">
        <v>154</v>
      </c>
      <c r="C6" s="122"/>
      <c r="D6" s="122"/>
      <c r="E6" s="122"/>
      <c r="F6" s="122"/>
      <c r="G6" s="123"/>
      <c r="H6" s="124" t="s">
        <v>200</v>
      </c>
      <c r="I6" s="122"/>
      <c r="J6" s="124" t="s">
        <v>208</v>
      </c>
      <c r="K6" s="122"/>
      <c r="L6" s="122"/>
      <c r="M6" s="122"/>
      <c r="N6" s="122"/>
      <c r="O6" s="122"/>
      <c r="P6" s="122"/>
      <c r="Q6" s="122"/>
      <c r="R6" s="153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3"/>
      <c r="AK6" s="125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6"/>
    </row>
    <row r="7" spans="2:65" ht="20.100000000000001" customHeight="1" x14ac:dyDescent="0.45">
      <c r="B7" s="155"/>
      <c r="C7" s="31"/>
      <c r="D7" s="31"/>
      <c r="E7" s="31"/>
      <c r="F7" s="31"/>
      <c r="G7" s="128"/>
      <c r="H7" s="132" t="s">
        <v>110</v>
      </c>
      <c r="I7" s="55"/>
      <c r="J7" s="156" t="s">
        <v>147</v>
      </c>
      <c r="K7" s="52"/>
      <c r="L7" s="52"/>
      <c r="M7" s="52"/>
      <c r="N7" s="52"/>
      <c r="O7" s="52"/>
      <c r="P7" s="52"/>
      <c r="Q7" s="157"/>
      <c r="R7" s="52" t="s">
        <v>156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57"/>
      <c r="AK7" s="130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31"/>
    </row>
    <row r="8" spans="2:65" ht="20.100000000000001" customHeight="1" x14ac:dyDescent="0.45">
      <c r="B8" s="155"/>
      <c r="C8" s="31"/>
      <c r="D8" s="31"/>
      <c r="E8" s="31"/>
      <c r="F8" s="31"/>
      <c r="G8" s="128"/>
      <c r="H8" s="129"/>
      <c r="I8" s="31"/>
      <c r="J8" s="156" t="s">
        <v>148</v>
      </c>
      <c r="K8" s="52"/>
      <c r="L8" s="52"/>
      <c r="M8" s="52"/>
      <c r="N8" s="52"/>
      <c r="O8" s="52"/>
      <c r="P8" s="52"/>
      <c r="Q8" s="157"/>
      <c r="R8" s="52" t="s">
        <v>157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57"/>
      <c r="AK8" s="130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31"/>
    </row>
    <row r="9" spans="2:65" ht="20.100000000000001" customHeight="1" x14ac:dyDescent="0.45">
      <c r="B9" s="155"/>
      <c r="C9" s="31"/>
      <c r="D9" s="31"/>
      <c r="E9" s="31"/>
      <c r="F9" s="31"/>
      <c r="G9" s="128"/>
      <c r="H9" s="129"/>
      <c r="I9" s="31"/>
      <c r="J9" s="156" t="s">
        <v>149</v>
      </c>
      <c r="K9" s="52"/>
      <c r="L9" s="52"/>
      <c r="M9" s="52"/>
      <c r="N9" s="52"/>
      <c r="O9" s="52"/>
      <c r="P9" s="52"/>
      <c r="Q9" s="157"/>
      <c r="R9" s="52" t="s">
        <v>155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57"/>
      <c r="AK9" s="130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31"/>
    </row>
    <row r="10" spans="2:65" ht="20.100000000000001" customHeight="1" x14ac:dyDescent="0.45">
      <c r="B10" s="155"/>
      <c r="C10" s="31"/>
      <c r="D10" s="31"/>
      <c r="E10" s="31"/>
      <c r="F10" s="31"/>
      <c r="G10" s="128"/>
      <c r="H10" s="129"/>
      <c r="I10" s="31"/>
      <c r="J10" s="156" t="s">
        <v>150</v>
      </c>
      <c r="K10" s="52"/>
      <c r="L10" s="52"/>
      <c r="M10" s="52"/>
      <c r="N10" s="52"/>
      <c r="O10" s="52"/>
      <c r="P10" s="52"/>
      <c r="Q10" s="157"/>
      <c r="R10" s="52" t="s">
        <v>158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57"/>
      <c r="AK10" s="130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31"/>
    </row>
    <row r="11" spans="2:65" ht="20.100000000000001" customHeight="1" x14ac:dyDescent="0.45">
      <c r="B11" s="155"/>
      <c r="C11" s="31"/>
      <c r="D11" s="31"/>
      <c r="E11" s="31"/>
      <c r="F11" s="31"/>
      <c r="G11" s="128"/>
      <c r="H11" s="31"/>
      <c r="I11" s="31"/>
      <c r="J11" s="156" t="s">
        <v>151</v>
      </c>
      <c r="K11" s="52"/>
      <c r="L11" s="52"/>
      <c r="M11" s="52"/>
      <c r="N11" s="52"/>
      <c r="O11" s="52"/>
      <c r="P11" s="52"/>
      <c r="Q11" s="157"/>
      <c r="R11" s="52" t="s">
        <v>155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57"/>
      <c r="AK11" s="130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31"/>
    </row>
    <row r="12" spans="2:65" ht="20.100000000000001" customHeight="1" x14ac:dyDescent="0.45">
      <c r="B12" s="155"/>
      <c r="C12" s="31"/>
      <c r="D12" s="31"/>
      <c r="E12" s="31"/>
      <c r="F12" s="31"/>
      <c r="G12" s="128"/>
      <c r="H12" s="31"/>
      <c r="I12" s="31"/>
      <c r="J12" s="156" t="s">
        <v>152</v>
      </c>
      <c r="K12" s="52"/>
      <c r="L12" s="52"/>
      <c r="M12" s="52"/>
      <c r="N12" s="52"/>
      <c r="O12" s="52"/>
      <c r="P12" s="52"/>
      <c r="Q12" s="157"/>
      <c r="R12" s="52" t="s">
        <v>155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57"/>
      <c r="AK12" s="130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31"/>
    </row>
    <row r="13" spans="2:65" ht="20.100000000000001" customHeight="1" x14ac:dyDescent="0.45">
      <c r="B13" s="155"/>
      <c r="C13" s="31"/>
      <c r="D13" s="31"/>
      <c r="E13" s="31"/>
      <c r="F13" s="31"/>
      <c r="G13" s="128"/>
      <c r="H13" s="31"/>
      <c r="I13" s="31"/>
      <c r="J13" s="156" t="s">
        <v>153</v>
      </c>
      <c r="K13" s="52"/>
      <c r="L13" s="52"/>
      <c r="M13" s="52"/>
      <c r="N13" s="52"/>
      <c r="O13" s="52"/>
      <c r="P13" s="52"/>
      <c r="Q13" s="157"/>
      <c r="R13" s="52" t="s">
        <v>159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57"/>
      <c r="AK13" s="130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31"/>
    </row>
    <row r="14" spans="2:65" ht="20.100000000000001" customHeight="1" x14ac:dyDescent="0.45">
      <c r="B14" s="155"/>
      <c r="C14" s="31"/>
      <c r="D14" s="31"/>
      <c r="E14" s="31"/>
      <c r="F14" s="31"/>
      <c r="G14" s="128"/>
      <c r="H14" s="132" t="s">
        <v>79</v>
      </c>
      <c r="I14" s="55"/>
      <c r="J14" s="132" t="s">
        <v>161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33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34"/>
    </row>
    <row r="15" spans="2:65" ht="20.100000000000001" customHeight="1" x14ac:dyDescent="0.45">
      <c r="B15" s="155"/>
      <c r="C15" s="31"/>
      <c r="D15" s="31"/>
      <c r="E15" s="31"/>
      <c r="F15" s="31"/>
      <c r="G15" s="128"/>
      <c r="H15" s="129"/>
      <c r="I15" s="31"/>
      <c r="J15" s="129" t="s">
        <v>164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30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31"/>
    </row>
    <row r="16" spans="2:65" ht="20.100000000000001" customHeight="1" x14ac:dyDescent="0.45">
      <c r="B16" s="127"/>
      <c r="C16" s="31"/>
      <c r="D16" s="31"/>
      <c r="E16" s="31"/>
      <c r="F16" s="31"/>
      <c r="G16" s="128"/>
      <c r="H16" s="132" t="s">
        <v>80</v>
      </c>
      <c r="I16" s="55"/>
      <c r="J16" s="132" t="s">
        <v>163</v>
      </c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133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134"/>
    </row>
    <row r="17" spans="2:61" ht="20.100000000000001" customHeight="1" x14ac:dyDescent="0.45">
      <c r="B17" s="127"/>
      <c r="C17" s="31"/>
      <c r="D17" s="31"/>
      <c r="E17" s="31"/>
      <c r="F17" s="31"/>
      <c r="G17" s="128"/>
      <c r="H17" s="129"/>
      <c r="I17" s="31"/>
      <c r="J17" s="129"/>
      <c r="K17" s="31" t="s">
        <v>162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30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31"/>
    </row>
    <row r="18" spans="2:61" ht="20.100000000000001" customHeight="1" thickBot="1" x14ac:dyDescent="0.5">
      <c r="B18" s="127"/>
      <c r="C18" s="31"/>
      <c r="D18" s="31"/>
      <c r="E18" s="31"/>
      <c r="F18" s="31"/>
      <c r="G18" s="128"/>
      <c r="H18" s="129"/>
      <c r="I18" s="31"/>
      <c r="J18" s="129"/>
      <c r="K18" s="31"/>
      <c r="L18" s="31"/>
      <c r="M18" s="31" t="s">
        <v>165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30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31"/>
    </row>
    <row r="19" spans="2:61" ht="20.100000000000001" customHeight="1" x14ac:dyDescent="0.45">
      <c r="B19" s="121" t="s">
        <v>160</v>
      </c>
      <c r="C19" s="122"/>
      <c r="D19" s="122"/>
      <c r="E19" s="122"/>
      <c r="F19" s="122"/>
      <c r="G19" s="123"/>
      <c r="H19" s="124" t="s">
        <v>110</v>
      </c>
      <c r="I19" s="122"/>
      <c r="J19" s="152" t="s">
        <v>147</v>
      </c>
      <c r="K19" s="153"/>
      <c r="L19" s="153"/>
      <c r="M19" s="153"/>
      <c r="N19" s="153"/>
      <c r="O19" s="153"/>
      <c r="P19" s="153"/>
      <c r="Q19" s="154"/>
      <c r="R19" s="153" t="s">
        <v>166</v>
      </c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4"/>
      <c r="AK19" s="125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6"/>
    </row>
    <row r="20" spans="2:61" ht="59.4" customHeight="1" x14ac:dyDescent="0.45">
      <c r="B20" s="155"/>
      <c r="C20" s="31"/>
      <c r="D20" s="31"/>
      <c r="E20" s="31"/>
      <c r="F20" s="31"/>
      <c r="G20" s="128"/>
      <c r="H20" s="129"/>
      <c r="I20" s="31"/>
      <c r="J20" s="156" t="s">
        <v>148</v>
      </c>
      <c r="K20" s="52"/>
      <c r="L20" s="52"/>
      <c r="M20" s="52"/>
      <c r="N20" s="52"/>
      <c r="O20" s="52"/>
      <c r="P20" s="52"/>
      <c r="Q20" s="157"/>
      <c r="R20" s="220" t="s">
        <v>167</v>
      </c>
      <c r="S20" s="221"/>
      <c r="T20" s="221"/>
      <c r="U20" s="221"/>
      <c r="V20" s="221"/>
      <c r="W20" s="221"/>
      <c r="X20" s="221"/>
      <c r="Y20" s="221"/>
      <c r="Z20" s="221"/>
      <c r="AA20" s="221"/>
      <c r="AB20" s="221"/>
      <c r="AC20" s="221"/>
      <c r="AD20" s="221"/>
      <c r="AE20" s="221"/>
      <c r="AF20" s="221"/>
      <c r="AG20" s="221"/>
      <c r="AH20" s="221"/>
      <c r="AI20" s="221"/>
      <c r="AJ20" s="222"/>
      <c r="AK20" s="223"/>
      <c r="AL20" s="224"/>
      <c r="AM20" s="224"/>
      <c r="AN20" s="224"/>
      <c r="AO20" s="224"/>
      <c r="AP20" s="224"/>
      <c r="AQ20" s="224"/>
      <c r="AR20" s="224"/>
      <c r="AS20" s="224"/>
      <c r="AT20" s="224"/>
      <c r="AU20" s="224"/>
      <c r="AV20" s="224"/>
      <c r="AW20" s="224"/>
      <c r="AX20" s="224"/>
      <c r="AY20" s="224"/>
      <c r="AZ20" s="224"/>
      <c r="BA20" s="224"/>
      <c r="BB20" s="224"/>
      <c r="BC20" s="224"/>
      <c r="BD20" s="224"/>
      <c r="BE20" s="224"/>
      <c r="BF20" s="224"/>
      <c r="BG20" s="224"/>
      <c r="BH20" s="224"/>
      <c r="BI20" s="225"/>
    </row>
    <row r="21" spans="2:61" ht="20.100000000000001" customHeight="1" x14ac:dyDescent="0.45">
      <c r="B21" s="155"/>
      <c r="C21" s="31"/>
      <c r="D21" s="31"/>
      <c r="E21" s="31"/>
      <c r="F21" s="31"/>
      <c r="G21" s="128"/>
      <c r="H21" s="129"/>
      <c r="I21" s="31"/>
      <c r="J21" s="156" t="s">
        <v>149</v>
      </c>
      <c r="K21" s="52"/>
      <c r="L21" s="52"/>
      <c r="M21" s="52"/>
      <c r="N21" s="52"/>
      <c r="O21" s="52"/>
      <c r="P21" s="52"/>
      <c r="Q21" s="157"/>
      <c r="R21" s="52" t="s">
        <v>155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57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31"/>
    </row>
    <row r="22" spans="2:61" ht="20.100000000000001" customHeight="1" x14ac:dyDescent="0.45">
      <c r="B22" s="155"/>
      <c r="C22" s="31"/>
      <c r="D22" s="31"/>
      <c r="E22" s="31"/>
      <c r="F22" s="31"/>
      <c r="G22" s="128"/>
      <c r="H22" s="129"/>
      <c r="I22" s="31"/>
      <c r="J22" s="156" t="s">
        <v>150</v>
      </c>
      <c r="K22" s="52"/>
      <c r="L22" s="52"/>
      <c r="M22" s="52"/>
      <c r="N22" s="52"/>
      <c r="O22" s="52"/>
      <c r="P22" s="52"/>
      <c r="Q22" s="157"/>
      <c r="R22" s="52" t="s">
        <v>168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57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31"/>
    </row>
    <row r="23" spans="2:61" ht="20.100000000000001" customHeight="1" x14ac:dyDescent="0.45">
      <c r="B23" s="155"/>
      <c r="C23" s="31"/>
      <c r="D23" s="31"/>
      <c r="E23" s="31"/>
      <c r="F23" s="31"/>
      <c r="G23" s="128"/>
      <c r="H23" s="31"/>
      <c r="I23" s="31"/>
      <c r="J23" s="156" t="s">
        <v>151</v>
      </c>
      <c r="K23" s="52"/>
      <c r="L23" s="52"/>
      <c r="M23" s="52"/>
      <c r="N23" s="52"/>
      <c r="O23" s="52"/>
      <c r="P23" s="52"/>
      <c r="Q23" s="157"/>
      <c r="R23" s="52" t="s">
        <v>155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57"/>
      <c r="AK23" s="130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31"/>
    </row>
    <row r="24" spans="2:61" ht="20.100000000000001" customHeight="1" x14ac:dyDescent="0.45">
      <c r="B24" s="155"/>
      <c r="C24" s="31"/>
      <c r="D24" s="31"/>
      <c r="E24" s="31"/>
      <c r="F24" s="31"/>
      <c r="G24" s="128"/>
      <c r="H24" s="31"/>
      <c r="I24" s="31"/>
      <c r="J24" s="156" t="s">
        <v>152</v>
      </c>
      <c r="K24" s="52"/>
      <c r="L24" s="52"/>
      <c r="M24" s="52"/>
      <c r="N24" s="52"/>
      <c r="O24" s="52"/>
      <c r="P24" s="52"/>
      <c r="Q24" s="157"/>
      <c r="R24" s="52" t="s">
        <v>155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57"/>
      <c r="AK24" s="130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31"/>
    </row>
    <row r="25" spans="2:61" ht="20.100000000000001" customHeight="1" x14ac:dyDescent="0.45">
      <c r="B25" s="155"/>
      <c r="C25" s="31"/>
      <c r="D25" s="31"/>
      <c r="E25" s="31"/>
      <c r="F25" s="31"/>
      <c r="G25" s="128"/>
      <c r="H25" s="31"/>
      <c r="I25" s="31"/>
      <c r="J25" s="156" t="s">
        <v>153</v>
      </c>
      <c r="K25" s="52"/>
      <c r="L25" s="52"/>
      <c r="M25" s="52"/>
      <c r="N25" s="52"/>
      <c r="O25" s="52"/>
      <c r="P25" s="52"/>
      <c r="Q25" s="157"/>
      <c r="R25" s="52" t="s">
        <v>155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57"/>
      <c r="AK25" s="130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31"/>
    </row>
    <row r="26" spans="2:61" ht="20.100000000000001" customHeight="1" x14ac:dyDescent="0.45">
      <c r="B26" s="155"/>
      <c r="C26" s="31"/>
      <c r="D26" s="31"/>
      <c r="E26" s="31"/>
      <c r="F26" s="31"/>
      <c r="G26" s="128"/>
      <c r="H26" s="132" t="s">
        <v>79</v>
      </c>
      <c r="I26" s="55"/>
      <c r="J26" s="132" t="s">
        <v>169</v>
      </c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133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134"/>
    </row>
    <row r="27" spans="2:61" ht="20.100000000000001" customHeight="1" x14ac:dyDescent="0.45">
      <c r="B27" s="155"/>
      <c r="C27" s="31"/>
      <c r="D27" s="31"/>
      <c r="E27" s="31"/>
      <c r="F27" s="31"/>
      <c r="G27" s="128"/>
      <c r="H27" s="129"/>
      <c r="I27" s="31"/>
      <c r="J27" s="129" t="s">
        <v>170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30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31"/>
    </row>
    <row r="28" spans="2:61" ht="20.100000000000001" customHeight="1" x14ac:dyDescent="0.45">
      <c r="B28" s="127"/>
      <c r="C28" s="31"/>
      <c r="D28" s="31"/>
      <c r="E28" s="31"/>
      <c r="F28" s="31"/>
      <c r="G28" s="128"/>
      <c r="H28" s="132" t="s">
        <v>80</v>
      </c>
      <c r="I28" s="55"/>
      <c r="J28" s="132" t="s">
        <v>171</v>
      </c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133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134"/>
    </row>
    <row r="29" spans="2:61" ht="20.100000000000001" customHeight="1" x14ac:dyDescent="0.45">
      <c r="B29" s="127"/>
      <c r="C29" s="31"/>
      <c r="D29" s="31"/>
      <c r="E29" s="31"/>
      <c r="F29" s="31"/>
      <c r="G29" s="128"/>
      <c r="H29" s="129"/>
      <c r="I29" s="31"/>
      <c r="J29" s="129"/>
      <c r="K29" s="31" t="s">
        <v>172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30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31"/>
    </row>
    <row r="30" spans="2:61" ht="20.100000000000001" customHeight="1" x14ac:dyDescent="0.45">
      <c r="B30" s="127"/>
      <c r="C30" s="31"/>
      <c r="D30" s="31"/>
      <c r="E30" s="31"/>
      <c r="F30" s="31"/>
      <c r="G30" s="128"/>
      <c r="H30" s="129"/>
      <c r="I30" s="31"/>
      <c r="J30" s="129"/>
      <c r="K30" s="31"/>
      <c r="L30" s="31"/>
      <c r="M30" s="31" t="s">
        <v>173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30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31"/>
    </row>
    <row r="31" spans="2:61" ht="20.100000000000001" customHeight="1" x14ac:dyDescent="0.45">
      <c r="B31" s="127"/>
      <c r="C31" s="31"/>
      <c r="D31" s="31"/>
      <c r="E31" s="31"/>
      <c r="F31" s="31"/>
      <c r="G31" s="128"/>
      <c r="H31" s="132" t="s">
        <v>81</v>
      </c>
      <c r="I31" s="55"/>
      <c r="J31" s="132"/>
      <c r="K31" s="55" t="s">
        <v>175</v>
      </c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133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134"/>
    </row>
    <row r="32" spans="2:61" ht="20.100000000000001" customHeight="1" x14ac:dyDescent="0.45">
      <c r="B32" s="127"/>
      <c r="C32" s="31"/>
      <c r="D32" s="31"/>
      <c r="E32" s="31"/>
      <c r="F32" s="31"/>
      <c r="G32" s="128"/>
      <c r="H32" s="129"/>
      <c r="I32" s="31"/>
      <c r="J32" s="129" t="s">
        <v>174</v>
      </c>
      <c r="K32" s="31" t="s">
        <v>176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29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31"/>
    </row>
    <row r="33" spans="2:61" ht="20.100000000000001" customHeight="1" x14ac:dyDescent="0.45">
      <c r="B33" s="127"/>
      <c r="C33" s="31"/>
      <c r="D33" s="31"/>
      <c r="E33" s="31"/>
      <c r="F33" s="31"/>
      <c r="G33" s="128"/>
      <c r="H33" s="129"/>
      <c r="I33" s="31"/>
      <c r="J33" s="129" t="s">
        <v>174</v>
      </c>
      <c r="K33" s="31" t="s">
        <v>177</v>
      </c>
      <c r="L33" s="31" t="s">
        <v>178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29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31"/>
    </row>
    <row r="34" spans="2:61" ht="20.100000000000001" customHeight="1" x14ac:dyDescent="0.45">
      <c r="B34" s="127"/>
      <c r="C34" s="31"/>
      <c r="D34" s="31"/>
      <c r="E34" s="31"/>
      <c r="F34" s="31"/>
      <c r="G34" s="128"/>
      <c r="H34" s="132" t="s">
        <v>179</v>
      </c>
      <c r="I34" s="55"/>
      <c r="J34" s="132" t="s">
        <v>180</v>
      </c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132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134"/>
    </row>
    <row r="35" spans="2:61" ht="20.100000000000001" customHeight="1" x14ac:dyDescent="0.45">
      <c r="B35" s="127"/>
      <c r="C35" s="31"/>
      <c r="D35" s="31"/>
      <c r="E35" s="31"/>
      <c r="F35" s="31"/>
      <c r="G35" s="128"/>
      <c r="H35" s="129"/>
      <c r="I35" s="31"/>
      <c r="J35" s="129" t="s">
        <v>181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129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131"/>
    </row>
    <row r="36" spans="2:61" ht="20.100000000000001" customHeight="1" x14ac:dyDescent="0.45">
      <c r="B36" s="127"/>
      <c r="C36" s="31"/>
      <c r="D36" s="31"/>
      <c r="E36" s="31"/>
      <c r="F36" s="31"/>
      <c r="G36" s="128"/>
      <c r="H36" s="129"/>
      <c r="I36" s="31"/>
      <c r="J36" s="129"/>
      <c r="K36" s="31" t="s">
        <v>182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129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131"/>
    </row>
    <row r="37" spans="2:61" ht="20.100000000000001" customHeight="1" x14ac:dyDescent="0.45">
      <c r="B37" s="127"/>
      <c r="C37" s="31"/>
      <c r="D37" s="31"/>
      <c r="E37" s="31"/>
      <c r="F37" s="31"/>
      <c r="G37" s="128"/>
      <c r="H37" s="129"/>
      <c r="I37" s="31"/>
      <c r="J37" s="129"/>
      <c r="K37" s="31" t="s">
        <v>183</v>
      </c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129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131"/>
    </row>
    <row r="38" spans="2:61" ht="20.100000000000001" customHeight="1" thickBot="1" x14ac:dyDescent="0.5">
      <c r="B38" s="127"/>
      <c r="C38" s="31"/>
      <c r="D38" s="31"/>
      <c r="E38" s="31"/>
      <c r="F38" s="31"/>
      <c r="G38" s="128"/>
      <c r="H38" s="135"/>
      <c r="I38" s="136"/>
      <c r="J38" s="135" t="s">
        <v>184</v>
      </c>
      <c r="K38" s="136"/>
      <c r="L38" s="136"/>
      <c r="M38" s="136"/>
      <c r="N38" s="136"/>
      <c r="O38" s="136"/>
      <c r="P38" s="136"/>
      <c r="Q38" s="136"/>
      <c r="R38" s="31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5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  <c r="BI38" s="138"/>
    </row>
    <row r="39" spans="2:61" ht="20.100000000000001" customHeight="1" x14ac:dyDescent="0.45">
      <c r="B39" s="121" t="s">
        <v>162</v>
      </c>
      <c r="C39" s="122"/>
      <c r="D39" s="122"/>
      <c r="E39" s="122"/>
      <c r="F39" s="122"/>
      <c r="G39" s="123"/>
      <c r="H39" s="124" t="s">
        <v>110</v>
      </c>
      <c r="I39" s="122"/>
      <c r="J39" s="152" t="s">
        <v>147</v>
      </c>
      <c r="K39" s="153"/>
      <c r="L39" s="153"/>
      <c r="M39" s="153"/>
      <c r="N39" s="153"/>
      <c r="O39" s="153"/>
      <c r="P39" s="153"/>
      <c r="Q39" s="154"/>
      <c r="R39" s="152" t="s">
        <v>155</v>
      </c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  <c r="AJ39" s="154"/>
      <c r="AK39" s="125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6"/>
    </row>
    <row r="40" spans="2:61" ht="59.4" customHeight="1" x14ac:dyDescent="0.45">
      <c r="B40" s="155"/>
      <c r="C40" s="31"/>
      <c r="D40" s="31"/>
      <c r="E40" s="31"/>
      <c r="F40" s="31"/>
      <c r="G40" s="128"/>
      <c r="H40" s="129"/>
      <c r="I40" s="31"/>
      <c r="J40" s="156" t="s">
        <v>148</v>
      </c>
      <c r="K40" s="52"/>
      <c r="L40" s="52"/>
      <c r="M40" s="52"/>
      <c r="N40" s="52"/>
      <c r="O40" s="52"/>
      <c r="P40" s="52"/>
      <c r="Q40" s="157"/>
      <c r="R40" s="220" t="s">
        <v>167</v>
      </c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2"/>
      <c r="AK40" s="223"/>
      <c r="AL40" s="224"/>
      <c r="AM40" s="224"/>
      <c r="AN40" s="224"/>
      <c r="AO40" s="224"/>
      <c r="AP40" s="224"/>
      <c r="AQ40" s="224"/>
      <c r="AR40" s="224"/>
      <c r="AS40" s="224"/>
      <c r="AT40" s="224"/>
      <c r="AU40" s="224"/>
      <c r="AV40" s="224"/>
      <c r="AW40" s="224"/>
      <c r="AX40" s="224"/>
      <c r="AY40" s="224"/>
      <c r="AZ40" s="224"/>
      <c r="BA40" s="224"/>
      <c r="BB40" s="224"/>
      <c r="BC40" s="224"/>
      <c r="BD40" s="224"/>
      <c r="BE40" s="224"/>
      <c r="BF40" s="224"/>
      <c r="BG40" s="224"/>
      <c r="BH40" s="224"/>
      <c r="BI40" s="225"/>
    </row>
    <row r="41" spans="2:61" ht="20.100000000000001" customHeight="1" x14ac:dyDescent="0.45">
      <c r="B41" s="155"/>
      <c r="C41" s="31"/>
      <c r="D41" s="31"/>
      <c r="E41" s="31"/>
      <c r="F41" s="31"/>
      <c r="G41" s="128"/>
      <c r="H41" s="129"/>
      <c r="I41" s="31"/>
      <c r="J41" s="156" t="s">
        <v>149</v>
      </c>
      <c r="K41" s="52"/>
      <c r="L41" s="52"/>
      <c r="M41" s="52"/>
      <c r="N41" s="52"/>
      <c r="O41" s="52"/>
      <c r="P41" s="52"/>
      <c r="Q41" s="157"/>
      <c r="R41" s="52" t="s">
        <v>155</v>
      </c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157"/>
      <c r="AK41" s="130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131"/>
    </row>
    <row r="42" spans="2:61" ht="20.100000000000001" customHeight="1" x14ac:dyDescent="0.45">
      <c r="B42" s="155"/>
      <c r="C42" s="31"/>
      <c r="D42" s="31"/>
      <c r="E42" s="31"/>
      <c r="F42" s="31"/>
      <c r="G42" s="128"/>
      <c r="H42" s="129"/>
      <c r="I42" s="31"/>
      <c r="J42" s="156" t="s">
        <v>150</v>
      </c>
      <c r="K42" s="52"/>
      <c r="L42" s="52"/>
      <c r="M42" s="52"/>
      <c r="N42" s="52"/>
      <c r="O42" s="52"/>
      <c r="P42" s="52"/>
      <c r="Q42" s="157"/>
      <c r="R42" s="52" t="s">
        <v>155</v>
      </c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157"/>
      <c r="AK42" s="130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131"/>
    </row>
    <row r="43" spans="2:61" ht="20.100000000000001" customHeight="1" x14ac:dyDescent="0.45">
      <c r="B43" s="155"/>
      <c r="C43" s="31"/>
      <c r="D43" s="31"/>
      <c r="E43" s="31"/>
      <c r="F43" s="31"/>
      <c r="G43" s="128"/>
      <c r="H43" s="31"/>
      <c r="I43" s="31"/>
      <c r="J43" s="156" t="s">
        <v>151</v>
      </c>
      <c r="K43" s="52"/>
      <c r="L43" s="52"/>
      <c r="M43" s="52"/>
      <c r="N43" s="52"/>
      <c r="O43" s="52"/>
      <c r="P43" s="52"/>
      <c r="Q43" s="157"/>
      <c r="R43" s="52" t="s">
        <v>155</v>
      </c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157"/>
      <c r="AK43" s="130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131"/>
    </row>
    <row r="44" spans="2:61" ht="20.100000000000001" customHeight="1" x14ac:dyDescent="0.45">
      <c r="B44" s="155"/>
      <c r="C44" s="31"/>
      <c r="D44" s="31"/>
      <c r="E44" s="31"/>
      <c r="F44" s="31"/>
      <c r="G44" s="128"/>
      <c r="H44" s="31"/>
      <c r="I44" s="31"/>
      <c r="J44" s="156" t="s">
        <v>152</v>
      </c>
      <c r="K44" s="52"/>
      <c r="L44" s="52"/>
      <c r="M44" s="52"/>
      <c r="N44" s="52"/>
      <c r="O44" s="52"/>
      <c r="P44" s="52"/>
      <c r="Q44" s="157"/>
      <c r="R44" s="52" t="s">
        <v>155</v>
      </c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157"/>
      <c r="AK44" s="130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131"/>
    </row>
    <row r="45" spans="2:61" ht="20.100000000000001" customHeight="1" x14ac:dyDescent="0.45">
      <c r="B45" s="155"/>
      <c r="C45" s="31"/>
      <c r="D45" s="31"/>
      <c r="E45" s="31"/>
      <c r="F45" s="31"/>
      <c r="G45" s="128"/>
      <c r="H45" s="31"/>
      <c r="I45" s="31"/>
      <c r="J45" s="156" t="s">
        <v>153</v>
      </c>
      <c r="K45" s="52"/>
      <c r="L45" s="52"/>
      <c r="M45" s="52"/>
      <c r="N45" s="52"/>
      <c r="O45" s="52"/>
      <c r="P45" s="52"/>
      <c r="Q45" s="157"/>
      <c r="R45" s="52" t="s">
        <v>185</v>
      </c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157"/>
      <c r="AK45" s="130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131"/>
    </row>
    <row r="46" spans="2:61" ht="20.100000000000001" customHeight="1" x14ac:dyDescent="0.45">
      <c r="B46" s="155"/>
      <c r="C46" s="31"/>
      <c r="D46" s="31"/>
      <c r="E46" s="31"/>
      <c r="F46" s="31"/>
      <c r="G46" s="128"/>
      <c r="H46" s="132" t="s">
        <v>79</v>
      </c>
      <c r="I46" s="55"/>
      <c r="J46" s="132" t="s">
        <v>169</v>
      </c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133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134"/>
    </row>
    <row r="47" spans="2:61" ht="20.100000000000001" customHeight="1" x14ac:dyDescent="0.45">
      <c r="B47" s="155"/>
      <c r="C47" s="31"/>
      <c r="D47" s="31"/>
      <c r="E47" s="31"/>
      <c r="F47" s="31"/>
      <c r="G47" s="128"/>
      <c r="H47" s="129"/>
      <c r="I47" s="31"/>
      <c r="J47" s="129" t="s">
        <v>170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130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131"/>
    </row>
    <row r="48" spans="2:61" ht="20.100000000000001" customHeight="1" x14ac:dyDescent="0.45">
      <c r="B48" s="127"/>
      <c r="C48" s="31"/>
      <c r="D48" s="31"/>
      <c r="E48" s="31"/>
      <c r="F48" s="31"/>
      <c r="G48" s="128"/>
      <c r="H48" s="132" t="s">
        <v>80</v>
      </c>
      <c r="I48" s="55"/>
      <c r="J48" s="132" t="s">
        <v>171</v>
      </c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133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134"/>
    </row>
    <row r="49" spans="2:61" ht="20.100000000000001" customHeight="1" x14ac:dyDescent="0.45">
      <c r="B49" s="127"/>
      <c r="C49" s="31"/>
      <c r="D49" s="31"/>
      <c r="E49" s="31"/>
      <c r="F49" s="31"/>
      <c r="G49" s="128"/>
      <c r="H49" s="129"/>
      <c r="I49" s="31"/>
      <c r="J49" s="129"/>
      <c r="K49" s="31" t="s">
        <v>172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130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131"/>
    </row>
    <row r="50" spans="2:61" ht="20.100000000000001" customHeight="1" x14ac:dyDescent="0.45">
      <c r="B50" s="127"/>
      <c r="C50" s="31"/>
      <c r="D50" s="31"/>
      <c r="E50" s="31"/>
      <c r="F50" s="31"/>
      <c r="G50" s="128"/>
      <c r="H50" s="129"/>
      <c r="I50" s="31"/>
      <c r="J50" s="129"/>
      <c r="K50" s="31"/>
      <c r="L50" s="31"/>
      <c r="M50" s="31" t="s">
        <v>173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130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131"/>
    </row>
    <row r="51" spans="2:61" ht="20.100000000000001" customHeight="1" x14ac:dyDescent="0.45">
      <c r="B51" s="127"/>
      <c r="C51" s="31"/>
      <c r="D51" s="31"/>
      <c r="E51" s="31"/>
      <c r="F51" s="31"/>
      <c r="G51" s="128"/>
      <c r="H51" s="132" t="s">
        <v>81</v>
      </c>
      <c r="I51" s="55"/>
      <c r="J51" s="132"/>
      <c r="K51" s="55" t="s">
        <v>175</v>
      </c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133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134"/>
    </row>
    <row r="52" spans="2:61" ht="20.100000000000001" customHeight="1" x14ac:dyDescent="0.45">
      <c r="B52" s="127"/>
      <c r="C52" s="31"/>
      <c r="D52" s="31"/>
      <c r="E52" s="31"/>
      <c r="F52" s="31"/>
      <c r="G52" s="128"/>
      <c r="H52" s="129"/>
      <c r="I52" s="31"/>
      <c r="J52" s="129" t="s">
        <v>174</v>
      </c>
      <c r="K52" s="31" t="s">
        <v>176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129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131"/>
    </row>
    <row r="53" spans="2:61" ht="20.100000000000001" customHeight="1" x14ac:dyDescent="0.45">
      <c r="B53" s="127"/>
      <c r="C53" s="31"/>
      <c r="D53" s="31"/>
      <c r="E53" s="31"/>
      <c r="F53" s="31"/>
      <c r="G53" s="128"/>
      <c r="H53" s="129"/>
      <c r="I53" s="31"/>
      <c r="J53" s="129" t="s">
        <v>174</v>
      </c>
      <c r="K53" s="31" t="s">
        <v>177</v>
      </c>
      <c r="L53" s="31" t="s">
        <v>178</v>
      </c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129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131"/>
    </row>
    <row r="54" spans="2:61" ht="20.100000000000001" customHeight="1" x14ac:dyDescent="0.45">
      <c r="B54" s="127"/>
      <c r="C54" s="31"/>
      <c r="D54" s="31"/>
      <c r="E54" s="31"/>
      <c r="F54" s="31"/>
      <c r="G54" s="128"/>
      <c r="H54" s="132" t="s">
        <v>179</v>
      </c>
      <c r="I54" s="55"/>
      <c r="J54" s="132" t="s">
        <v>181</v>
      </c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132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134"/>
    </row>
    <row r="55" spans="2:61" ht="20.100000000000001" customHeight="1" x14ac:dyDescent="0.45">
      <c r="B55" s="127"/>
      <c r="C55" s="31"/>
      <c r="D55" s="31"/>
      <c r="E55" s="31"/>
      <c r="F55" s="31"/>
      <c r="G55" s="128"/>
      <c r="H55" s="129"/>
      <c r="I55" s="31"/>
      <c r="J55" s="129"/>
      <c r="K55" s="31" t="s">
        <v>182</v>
      </c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129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131"/>
    </row>
    <row r="56" spans="2:61" ht="20.100000000000001" customHeight="1" x14ac:dyDescent="0.45">
      <c r="B56" s="127"/>
      <c r="C56" s="31"/>
      <c r="D56" s="31"/>
      <c r="E56" s="31"/>
      <c r="F56" s="31"/>
      <c r="G56" s="128"/>
      <c r="H56" s="129"/>
      <c r="I56" s="31"/>
      <c r="J56" s="129"/>
      <c r="K56" s="31" t="s">
        <v>183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129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131"/>
    </row>
    <row r="57" spans="2:61" ht="20.100000000000001" customHeight="1" thickBot="1" x14ac:dyDescent="0.5">
      <c r="B57" s="127"/>
      <c r="C57" s="31"/>
      <c r="D57" s="31"/>
      <c r="E57" s="31"/>
      <c r="F57" s="31"/>
      <c r="G57" s="128"/>
      <c r="H57" s="129"/>
      <c r="I57" s="31"/>
      <c r="J57" s="129" t="s">
        <v>184</v>
      </c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129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131"/>
    </row>
    <row r="58" spans="2:61" ht="20.100000000000001" customHeight="1" x14ac:dyDescent="0.45">
      <c r="B58" s="121" t="s">
        <v>186</v>
      </c>
      <c r="C58" s="122"/>
      <c r="D58" s="122"/>
      <c r="E58" s="122"/>
      <c r="F58" s="122"/>
      <c r="G58" s="123"/>
      <c r="H58" s="124" t="s">
        <v>190</v>
      </c>
      <c r="I58" s="122"/>
      <c r="J58" s="124" t="s">
        <v>188</v>
      </c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5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6"/>
    </row>
    <row r="59" spans="2:61" ht="20.100000000000001" customHeight="1" x14ac:dyDescent="0.45">
      <c r="B59" s="155"/>
      <c r="C59" s="31"/>
      <c r="D59" s="31"/>
      <c r="E59" s="31"/>
      <c r="F59" s="31"/>
      <c r="G59" s="128"/>
      <c r="H59" s="132" t="s">
        <v>189</v>
      </c>
      <c r="I59" s="55"/>
      <c r="J59" s="132" t="s">
        <v>191</v>
      </c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133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134"/>
    </row>
    <row r="60" spans="2:61" ht="20.100000000000001" customHeight="1" x14ac:dyDescent="0.45">
      <c r="B60" s="155"/>
      <c r="C60" s="31"/>
      <c r="D60" s="31"/>
      <c r="E60" s="31"/>
      <c r="F60" s="31"/>
      <c r="G60" s="128"/>
      <c r="H60" s="132" t="s">
        <v>187</v>
      </c>
      <c r="I60" s="55"/>
      <c r="J60" s="132"/>
      <c r="K60" s="55" t="s">
        <v>192</v>
      </c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133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134"/>
    </row>
    <row r="61" spans="2:61" ht="20.100000000000001" customHeight="1" x14ac:dyDescent="0.45">
      <c r="B61" s="155"/>
      <c r="C61" s="31"/>
      <c r="D61" s="31"/>
      <c r="E61" s="31"/>
      <c r="F61" s="31"/>
      <c r="G61" s="128"/>
      <c r="H61" s="129"/>
      <c r="I61" s="31"/>
      <c r="J61" s="129" t="s">
        <v>174</v>
      </c>
      <c r="K61" s="31" t="s">
        <v>193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130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131"/>
    </row>
    <row r="62" spans="2:61" ht="20.100000000000001" customHeight="1" x14ac:dyDescent="0.45">
      <c r="B62" s="127"/>
      <c r="C62" s="31"/>
      <c r="D62" s="31"/>
      <c r="E62" s="31"/>
      <c r="F62" s="31"/>
      <c r="G62" s="128"/>
      <c r="H62" s="132" t="s">
        <v>194</v>
      </c>
      <c r="I62" s="55"/>
      <c r="J62" s="132" t="s">
        <v>195</v>
      </c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133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134"/>
    </row>
    <row r="63" spans="2:61" ht="20.100000000000001" customHeight="1" x14ac:dyDescent="0.45">
      <c r="B63" s="127"/>
      <c r="C63" s="31"/>
      <c r="D63" s="31"/>
      <c r="E63" s="31"/>
      <c r="F63" s="31"/>
      <c r="G63" s="128"/>
      <c r="H63" s="129"/>
      <c r="I63" s="31"/>
      <c r="J63" s="129"/>
      <c r="K63" s="31" t="s">
        <v>196</v>
      </c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130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131"/>
    </row>
    <row r="64" spans="2:61" ht="20.100000000000001" customHeight="1" x14ac:dyDescent="0.45">
      <c r="B64" s="127"/>
      <c r="C64" s="31"/>
      <c r="D64" s="31"/>
      <c r="E64" s="31"/>
      <c r="F64" s="31"/>
      <c r="G64" s="128"/>
      <c r="H64" s="129"/>
      <c r="I64" s="31"/>
      <c r="J64" s="129"/>
      <c r="K64" s="31"/>
      <c r="L64" s="31"/>
      <c r="M64" s="31" t="s">
        <v>197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130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131"/>
    </row>
    <row r="65" spans="2:61" ht="20.100000000000001" customHeight="1" x14ac:dyDescent="0.45">
      <c r="B65" s="127"/>
      <c r="C65" s="31"/>
      <c r="D65" s="31"/>
      <c r="E65" s="31"/>
      <c r="F65" s="31"/>
      <c r="G65" s="128"/>
      <c r="H65" s="129"/>
      <c r="I65" s="31"/>
      <c r="J65" s="129" t="s">
        <v>198</v>
      </c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30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131"/>
    </row>
    <row r="66" spans="2:61" ht="20.100000000000001" customHeight="1" x14ac:dyDescent="0.45">
      <c r="B66" s="127"/>
      <c r="C66" s="31"/>
      <c r="D66" s="31"/>
      <c r="E66" s="31"/>
      <c r="F66" s="31"/>
      <c r="G66" s="128"/>
      <c r="H66" s="129"/>
      <c r="I66" s="31"/>
      <c r="J66" s="129"/>
      <c r="K66" s="31" t="s">
        <v>199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130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131"/>
    </row>
    <row r="67" spans="2:61" ht="19.8" customHeight="1" x14ac:dyDescent="0.45">
      <c r="B67" s="155"/>
      <c r="C67" s="31"/>
      <c r="D67" s="31"/>
      <c r="E67" s="31"/>
      <c r="F67" s="31"/>
      <c r="G67" s="128"/>
      <c r="H67" s="132" t="s">
        <v>200</v>
      </c>
      <c r="I67" s="55"/>
      <c r="J67" s="156" t="s">
        <v>147</v>
      </c>
      <c r="K67" s="52"/>
      <c r="L67" s="52"/>
      <c r="M67" s="52"/>
      <c r="N67" s="52"/>
      <c r="O67" s="52"/>
      <c r="P67" s="52"/>
      <c r="Q67" s="157"/>
      <c r="R67" s="52" t="s">
        <v>202</v>
      </c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157"/>
      <c r="AK67" s="133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134"/>
    </row>
    <row r="68" spans="2:61" ht="20.100000000000001" customHeight="1" x14ac:dyDescent="0.45">
      <c r="B68" s="155"/>
      <c r="C68" s="31"/>
      <c r="D68" s="31"/>
      <c r="E68" s="31"/>
      <c r="F68" s="31"/>
      <c r="G68" s="128"/>
      <c r="H68" s="129"/>
      <c r="I68" s="31"/>
      <c r="J68" s="156" t="s">
        <v>148</v>
      </c>
      <c r="K68" s="52"/>
      <c r="L68" s="52"/>
      <c r="M68" s="52"/>
      <c r="N68" s="52"/>
      <c r="O68" s="52"/>
      <c r="P68" s="52"/>
      <c r="Q68" s="157"/>
      <c r="R68" s="52" t="s">
        <v>203</v>
      </c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157"/>
      <c r="AK68" s="130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131"/>
    </row>
    <row r="69" spans="2:61" ht="20.100000000000001" customHeight="1" thickBot="1" x14ac:dyDescent="0.5">
      <c r="B69" s="155"/>
      <c r="C69" s="31"/>
      <c r="D69" s="31"/>
      <c r="E69" s="31"/>
      <c r="F69" s="31"/>
      <c r="G69" s="128"/>
      <c r="H69" s="129"/>
      <c r="I69" s="31"/>
      <c r="J69" s="156" t="s">
        <v>151</v>
      </c>
      <c r="K69" s="52"/>
      <c r="L69" s="52"/>
      <c r="M69" s="52"/>
      <c r="N69" s="52"/>
      <c r="O69" s="52"/>
      <c r="P69" s="52"/>
      <c r="Q69" s="157"/>
      <c r="R69" s="52" t="s">
        <v>204</v>
      </c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157"/>
      <c r="AK69" s="130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131"/>
    </row>
    <row r="70" spans="2:61" ht="20.100000000000001" customHeight="1" x14ac:dyDescent="0.45">
      <c r="B70" s="121" t="s">
        <v>205</v>
      </c>
      <c r="C70" s="122"/>
      <c r="D70" s="122"/>
      <c r="E70" s="122"/>
      <c r="F70" s="122"/>
      <c r="G70" s="123"/>
      <c r="H70" s="124" t="s">
        <v>206</v>
      </c>
      <c r="I70" s="122"/>
      <c r="J70" s="124" t="s">
        <v>207</v>
      </c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3"/>
      <c r="AK70" s="125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6"/>
    </row>
    <row r="71" spans="2:61" ht="19.8" customHeight="1" x14ac:dyDescent="0.45">
      <c r="B71" s="155"/>
      <c r="C71" s="31"/>
      <c r="D71" s="31"/>
      <c r="E71" s="31"/>
      <c r="F71" s="31"/>
      <c r="G71" s="128"/>
      <c r="H71" s="132" t="s">
        <v>209</v>
      </c>
      <c r="I71" s="55"/>
      <c r="J71" s="156" t="s">
        <v>149</v>
      </c>
      <c r="K71" s="52"/>
      <c r="L71" s="52"/>
      <c r="M71" s="52"/>
      <c r="N71" s="52"/>
      <c r="O71" s="52"/>
      <c r="P71" s="52"/>
      <c r="Q71" s="157"/>
      <c r="R71" s="52" t="s">
        <v>210</v>
      </c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157"/>
      <c r="AK71" s="130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131"/>
    </row>
    <row r="72" spans="2:61" ht="20.100000000000001" customHeight="1" x14ac:dyDescent="0.45">
      <c r="B72" s="155"/>
      <c r="C72" s="31"/>
      <c r="D72" s="31"/>
      <c r="E72" s="31"/>
      <c r="F72" s="31"/>
      <c r="G72" s="128"/>
      <c r="H72" s="132" t="s">
        <v>79</v>
      </c>
      <c r="I72" s="55"/>
      <c r="J72" s="132" t="s">
        <v>208</v>
      </c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133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134"/>
    </row>
    <row r="73" spans="2:61" ht="20.100000000000001" customHeight="1" x14ac:dyDescent="0.45">
      <c r="B73" s="155"/>
      <c r="C73" s="31"/>
      <c r="D73" s="31"/>
      <c r="E73" s="31"/>
      <c r="F73" s="31"/>
      <c r="G73" s="128"/>
      <c r="H73" s="129"/>
      <c r="I73" s="31"/>
      <c r="J73" s="129" t="s">
        <v>211</v>
      </c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130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131"/>
    </row>
    <row r="74" spans="2:61" ht="20.100000000000001" customHeight="1" x14ac:dyDescent="0.45">
      <c r="B74" s="127"/>
      <c r="C74" s="31"/>
      <c r="D74" s="31"/>
      <c r="E74" s="31"/>
      <c r="F74" s="31"/>
      <c r="G74" s="128"/>
      <c r="H74" s="132" t="s">
        <v>80</v>
      </c>
      <c r="I74" s="55"/>
      <c r="J74" s="132" t="s">
        <v>171</v>
      </c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133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134"/>
    </row>
    <row r="75" spans="2:61" ht="20.100000000000001" customHeight="1" x14ac:dyDescent="0.45">
      <c r="B75" s="127"/>
      <c r="C75" s="31"/>
      <c r="D75" s="31"/>
      <c r="E75" s="31"/>
      <c r="F75" s="31"/>
      <c r="G75" s="128"/>
      <c r="H75" s="129"/>
      <c r="I75" s="31"/>
      <c r="J75" s="129"/>
      <c r="K75" s="31" t="s">
        <v>212</v>
      </c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130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131"/>
    </row>
    <row r="76" spans="2:61" ht="20.100000000000001" customHeight="1" x14ac:dyDescent="0.45">
      <c r="B76" s="127"/>
      <c r="C76" s="31"/>
      <c r="D76" s="31"/>
      <c r="E76" s="31"/>
      <c r="F76" s="31"/>
      <c r="G76" s="128"/>
      <c r="H76" s="129"/>
      <c r="I76" s="31"/>
      <c r="J76" s="129"/>
      <c r="K76" s="31"/>
      <c r="L76" s="31"/>
      <c r="M76" s="31" t="s">
        <v>213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130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131"/>
    </row>
    <row r="77" spans="2:61" ht="20.100000000000001" customHeight="1" thickBot="1" x14ac:dyDescent="0.5">
      <c r="B77" s="127"/>
      <c r="C77" s="31"/>
      <c r="D77" s="31"/>
      <c r="E77" s="31"/>
      <c r="F77" s="31"/>
      <c r="G77" s="128"/>
      <c r="H77" s="129"/>
      <c r="I77" s="31"/>
      <c r="J77" s="129"/>
      <c r="K77" s="31"/>
      <c r="L77" s="31" t="s">
        <v>174</v>
      </c>
      <c r="M77" s="31" t="s">
        <v>214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130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131"/>
    </row>
    <row r="78" spans="2:61" ht="20.100000000000001" customHeight="1" x14ac:dyDescent="0.45">
      <c r="B78" s="121" t="s">
        <v>215</v>
      </c>
      <c r="C78" s="122"/>
      <c r="D78" s="122"/>
      <c r="E78" s="122"/>
      <c r="F78" s="122"/>
      <c r="G78" s="123"/>
      <c r="H78" s="124" t="s">
        <v>110</v>
      </c>
      <c r="I78" s="122"/>
      <c r="J78" s="152" t="s">
        <v>147</v>
      </c>
      <c r="K78" s="153"/>
      <c r="L78" s="153"/>
      <c r="M78" s="153"/>
      <c r="N78" s="153"/>
      <c r="O78" s="153"/>
      <c r="P78" s="153"/>
      <c r="Q78" s="154"/>
      <c r="R78" s="153" t="s">
        <v>218</v>
      </c>
      <c r="S78" s="153"/>
      <c r="T78" s="153"/>
      <c r="U78" s="153"/>
      <c r="V78" s="153"/>
      <c r="W78" s="153"/>
      <c r="X78" s="153"/>
      <c r="Y78" s="153"/>
      <c r="Z78" s="153"/>
      <c r="AA78" s="153"/>
      <c r="AB78" s="153"/>
      <c r="AC78" s="153"/>
      <c r="AD78" s="153"/>
      <c r="AE78" s="153"/>
      <c r="AF78" s="153"/>
      <c r="AG78" s="153"/>
      <c r="AH78" s="153"/>
      <c r="AI78" s="153"/>
      <c r="AJ78" s="154"/>
      <c r="AK78" s="125"/>
      <c r="AL78" s="122"/>
      <c r="AM78" s="122"/>
      <c r="AN78" s="122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/>
      <c r="BE78" s="122"/>
      <c r="BF78" s="122"/>
      <c r="BG78" s="122"/>
      <c r="BH78" s="122"/>
      <c r="BI78" s="126"/>
    </row>
    <row r="79" spans="2:61" ht="20.100000000000001" customHeight="1" x14ac:dyDescent="0.45">
      <c r="B79" s="155"/>
      <c r="C79" s="31"/>
      <c r="D79" s="31"/>
      <c r="E79" s="31"/>
      <c r="F79" s="31"/>
      <c r="G79" s="128"/>
      <c r="H79" s="31"/>
      <c r="I79" s="31"/>
      <c r="J79" s="156" t="s">
        <v>148</v>
      </c>
      <c r="K79" s="52"/>
      <c r="L79" s="52"/>
      <c r="M79" s="52"/>
      <c r="N79" s="52"/>
      <c r="O79" s="52"/>
      <c r="P79" s="52"/>
      <c r="Q79" s="157"/>
      <c r="R79" s="52" t="s">
        <v>219</v>
      </c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157"/>
      <c r="AK79" s="130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131"/>
    </row>
    <row r="80" spans="2:61" ht="20.100000000000001" customHeight="1" x14ac:dyDescent="0.45">
      <c r="B80" s="155"/>
      <c r="C80" s="31"/>
      <c r="D80" s="31"/>
      <c r="E80" s="31"/>
      <c r="F80" s="31"/>
      <c r="G80" s="128"/>
      <c r="H80" s="31"/>
      <c r="I80" s="31"/>
      <c r="J80" s="132" t="s">
        <v>216</v>
      </c>
      <c r="K80" s="55"/>
      <c r="L80" s="55"/>
      <c r="M80" s="55"/>
      <c r="N80" s="55"/>
      <c r="O80" s="55"/>
      <c r="P80" s="55"/>
      <c r="Q80" s="157"/>
      <c r="R80" s="55" t="s">
        <v>217</v>
      </c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130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131"/>
    </row>
    <row r="81" spans="2:61" ht="20.100000000000001" customHeight="1" thickBot="1" x14ac:dyDescent="0.5">
      <c r="B81" s="155"/>
      <c r="C81" s="31"/>
      <c r="D81" s="31"/>
      <c r="E81" s="31"/>
      <c r="F81" s="31"/>
      <c r="G81" s="128"/>
      <c r="H81" s="132" t="s">
        <v>79</v>
      </c>
      <c r="I81" s="55"/>
      <c r="J81" s="132" t="s">
        <v>208</v>
      </c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133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134"/>
    </row>
    <row r="82" spans="2:61" ht="20.100000000000001" customHeight="1" x14ac:dyDescent="0.45">
      <c r="B82" s="121" t="s">
        <v>220</v>
      </c>
      <c r="C82" s="122"/>
      <c r="D82" s="122"/>
      <c r="E82" s="122"/>
      <c r="F82" s="122"/>
      <c r="G82" s="123"/>
      <c r="H82" s="124" t="s">
        <v>110</v>
      </c>
      <c r="I82" s="122"/>
      <c r="J82" s="124" t="s">
        <v>201</v>
      </c>
      <c r="K82" s="122"/>
      <c r="L82" s="122"/>
      <c r="M82" s="122"/>
      <c r="N82" s="122"/>
      <c r="O82" s="122"/>
      <c r="P82" s="122"/>
      <c r="Q82" s="154"/>
      <c r="R82" s="153" t="s">
        <v>221</v>
      </c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3"/>
      <c r="AK82" s="125"/>
      <c r="AL82" s="122"/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22"/>
      <c r="BI82" s="126"/>
    </row>
    <row r="83" spans="2:61" ht="20.100000000000001" customHeight="1" x14ac:dyDescent="0.45">
      <c r="B83" s="155"/>
      <c r="C83" s="31"/>
      <c r="D83" s="31"/>
      <c r="E83" s="31"/>
      <c r="F83" s="31"/>
      <c r="G83" s="128"/>
      <c r="H83" s="129"/>
      <c r="I83" s="128"/>
      <c r="J83" s="156" t="s">
        <v>264</v>
      </c>
      <c r="K83" s="52"/>
      <c r="L83" s="52"/>
      <c r="M83" s="52"/>
      <c r="N83" s="52"/>
      <c r="O83" s="52"/>
      <c r="P83" s="52"/>
      <c r="Q83" s="157"/>
      <c r="R83" s="52" t="s">
        <v>222</v>
      </c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157"/>
      <c r="AK83" s="130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131"/>
    </row>
    <row r="84" spans="2:61" ht="20.100000000000001" customHeight="1" x14ac:dyDescent="0.45">
      <c r="B84" s="155"/>
      <c r="C84" s="31"/>
      <c r="D84" s="31"/>
      <c r="E84" s="31"/>
      <c r="F84" s="31"/>
      <c r="G84" s="128"/>
      <c r="H84" s="129"/>
      <c r="I84" s="31"/>
      <c r="J84" s="156" t="s">
        <v>265</v>
      </c>
      <c r="K84" s="52"/>
      <c r="L84" s="52"/>
      <c r="M84" s="52"/>
      <c r="N84" s="52"/>
      <c r="O84" s="52"/>
      <c r="P84" s="52"/>
      <c r="Q84" s="157"/>
      <c r="R84" s="52" t="s">
        <v>223</v>
      </c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157"/>
      <c r="AK84" s="130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131"/>
    </row>
    <row r="85" spans="2:61" ht="20.100000000000001" customHeight="1" x14ac:dyDescent="0.45">
      <c r="B85" s="155"/>
      <c r="C85" s="31"/>
      <c r="D85" s="31"/>
      <c r="E85" s="31"/>
      <c r="F85" s="31"/>
      <c r="G85" s="128"/>
      <c r="H85" s="129"/>
      <c r="I85" s="31"/>
      <c r="J85" s="156" t="s">
        <v>266</v>
      </c>
      <c r="K85" s="52"/>
      <c r="L85" s="52"/>
      <c r="M85" s="52"/>
      <c r="N85" s="52"/>
      <c r="O85" s="52"/>
      <c r="P85" s="52"/>
      <c r="Q85" s="157"/>
      <c r="R85" s="52" t="s">
        <v>224</v>
      </c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157"/>
      <c r="AK85" s="130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131"/>
    </row>
    <row r="86" spans="2:61" ht="20.100000000000001" customHeight="1" x14ac:dyDescent="0.45">
      <c r="B86" s="155"/>
      <c r="C86" s="31"/>
      <c r="D86" s="31"/>
      <c r="E86" s="31"/>
      <c r="F86" s="31"/>
      <c r="G86" s="128"/>
      <c r="H86" s="129"/>
      <c r="I86" s="31"/>
      <c r="J86" s="156" t="s">
        <v>267</v>
      </c>
      <c r="K86" s="52"/>
      <c r="L86" s="52"/>
      <c r="M86" s="52"/>
      <c r="N86" s="52"/>
      <c r="O86" s="52"/>
      <c r="P86" s="52"/>
      <c r="Q86" s="157"/>
      <c r="R86" s="52" t="s">
        <v>225</v>
      </c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157"/>
      <c r="AK86" s="130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131"/>
    </row>
    <row r="87" spans="2:61" ht="20.100000000000001" customHeight="1" x14ac:dyDescent="0.45">
      <c r="B87" s="155"/>
      <c r="C87" s="31"/>
      <c r="D87" s="31"/>
      <c r="E87" s="31"/>
      <c r="F87" s="31"/>
      <c r="G87" s="128"/>
      <c r="H87" s="31"/>
      <c r="I87" s="31"/>
      <c r="J87" s="156" t="s">
        <v>268</v>
      </c>
      <c r="K87" s="52"/>
      <c r="L87" s="52"/>
      <c r="M87" s="52"/>
      <c r="N87" s="52"/>
      <c r="O87" s="52"/>
      <c r="P87" s="52"/>
      <c r="Q87" s="157"/>
      <c r="R87" s="52" t="s">
        <v>226</v>
      </c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157"/>
      <c r="AK87" s="130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131"/>
    </row>
    <row r="88" spans="2:61" ht="20.100000000000001" customHeight="1" x14ac:dyDescent="0.45">
      <c r="B88" s="155"/>
      <c r="C88" s="31"/>
      <c r="D88" s="31"/>
      <c r="E88" s="31"/>
      <c r="F88" s="31"/>
      <c r="G88" s="128"/>
      <c r="H88" s="31"/>
      <c r="I88" s="31"/>
      <c r="J88" s="156" t="s">
        <v>269</v>
      </c>
      <c r="K88" s="52"/>
      <c r="L88" s="52"/>
      <c r="M88" s="52"/>
      <c r="N88" s="52"/>
      <c r="O88" s="52"/>
      <c r="P88" s="52"/>
      <c r="Q88" s="157"/>
      <c r="R88" s="52" t="s">
        <v>227</v>
      </c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157"/>
      <c r="AK88" s="130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131"/>
    </row>
    <row r="89" spans="2:61" ht="20.100000000000001" customHeight="1" x14ac:dyDescent="0.45">
      <c r="B89" s="155"/>
      <c r="C89" s="31"/>
      <c r="D89" s="31"/>
      <c r="E89" s="31"/>
      <c r="F89" s="31"/>
      <c r="G89" s="128"/>
      <c r="H89" s="31"/>
      <c r="I89" s="31"/>
      <c r="J89" s="156" t="s">
        <v>270</v>
      </c>
      <c r="K89" s="52"/>
      <c r="L89" s="52"/>
      <c r="M89" s="52"/>
      <c r="N89" s="52"/>
      <c r="O89" s="52"/>
      <c r="P89" s="52"/>
      <c r="Q89" s="157"/>
      <c r="R89" s="52" t="s">
        <v>228</v>
      </c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157"/>
      <c r="AK89" s="130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131"/>
    </row>
    <row r="90" spans="2:61" ht="20.100000000000001" customHeight="1" x14ac:dyDescent="0.45">
      <c r="B90" s="155"/>
      <c r="C90" s="31"/>
      <c r="D90" s="31"/>
      <c r="E90" s="31"/>
      <c r="F90" s="31"/>
      <c r="G90" s="128"/>
      <c r="H90" s="31"/>
      <c r="I90" s="31"/>
      <c r="J90" s="156" t="s">
        <v>271</v>
      </c>
      <c r="K90" s="52"/>
      <c r="L90" s="52"/>
      <c r="M90" s="52"/>
      <c r="N90" s="52"/>
      <c r="O90" s="52"/>
      <c r="P90" s="52"/>
      <c r="Q90" s="157"/>
      <c r="R90" s="52" t="s">
        <v>229</v>
      </c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157"/>
      <c r="AK90" s="130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131"/>
    </row>
    <row r="91" spans="2:61" ht="20.100000000000001" customHeight="1" x14ac:dyDescent="0.45">
      <c r="B91" s="155"/>
      <c r="C91" s="31"/>
      <c r="D91" s="31"/>
      <c r="E91" s="31"/>
      <c r="F91" s="31"/>
      <c r="G91" s="128"/>
      <c r="H91" s="31"/>
      <c r="I91" s="31"/>
      <c r="J91" s="156" t="s">
        <v>272</v>
      </c>
      <c r="K91" s="52"/>
      <c r="L91" s="52"/>
      <c r="M91" s="52"/>
      <c r="N91" s="52"/>
      <c r="O91" s="52"/>
      <c r="P91" s="52"/>
      <c r="Q91" s="157"/>
      <c r="R91" s="52" t="s">
        <v>230</v>
      </c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157"/>
      <c r="AK91" s="130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131"/>
    </row>
    <row r="92" spans="2:61" ht="20.100000000000001" customHeight="1" x14ac:dyDescent="0.45">
      <c r="B92" s="155"/>
      <c r="C92" s="31"/>
      <c r="D92" s="31"/>
      <c r="E92" s="31"/>
      <c r="F92" s="31"/>
      <c r="G92" s="128"/>
      <c r="H92" s="31"/>
      <c r="I92" s="31"/>
      <c r="J92" s="156" t="s">
        <v>273</v>
      </c>
      <c r="K92" s="52"/>
      <c r="L92" s="52"/>
      <c r="M92" s="52"/>
      <c r="N92" s="52"/>
      <c r="O92" s="52"/>
      <c r="P92" s="52"/>
      <c r="Q92" s="157"/>
      <c r="R92" s="52" t="s">
        <v>231</v>
      </c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157"/>
      <c r="AK92" s="130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131"/>
    </row>
    <row r="93" spans="2:61" ht="20.100000000000001" customHeight="1" x14ac:dyDescent="0.45">
      <c r="B93" s="155"/>
      <c r="C93" s="31"/>
      <c r="D93" s="31"/>
      <c r="E93" s="31"/>
      <c r="F93" s="31"/>
      <c r="G93" s="128"/>
      <c r="H93" s="31"/>
      <c r="I93" s="31"/>
      <c r="J93" s="156" t="s">
        <v>274</v>
      </c>
      <c r="K93" s="52"/>
      <c r="L93" s="52"/>
      <c r="M93" s="52"/>
      <c r="N93" s="52"/>
      <c r="O93" s="52"/>
      <c r="P93" s="52"/>
      <c r="Q93" s="157"/>
      <c r="R93" s="52" t="s">
        <v>232</v>
      </c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157"/>
      <c r="AK93" s="130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131"/>
    </row>
    <row r="94" spans="2:61" ht="20.100000000000001" customHeight="1" x14ac:dyDescent="0.45">
      <c r="B94" s="155"/>
      <c r="C94" s="31"/>
      <c r="D94" s="31"/>
      <c r="E94" s="31"/>
      <c r="F94" s="31"/>
      <c r="G94" s="128"/>
      <c r="H94" s="31"/>
      <c r="I94" s="31"/>
      <c r="J94" s="156" t="s">
        <v>275</v>
      </c>
      <c r="K94" s="52"/>
      <c r="L94" s="52"/>
      <c r="M94" s="52"/>
      <c r="N94" s="52"/>
      <c r="O94" s="52"/>
      <c r="P94" s="52"/>
      <c r="Q94" s="157"/>
      <c r="R94" s="52" t="s">
        <v>233</v>
      </c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157"/>
      <c r="AK94" s="130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131"/>
    </row>
    <row r="95" spans="2:61" ht="20.100000000000001" customHeight="1" x14ac:dyDescent="0.45">
      <c r="B95" s="155"/>
      <c r="C95" s="31"/>
      <c r="D95" s="31"/>
      <c r="E95" s="31"/>
      <c r="F95" s="31"/>
      <c r="G95" s="128"/>
      <c r="H95" s="31"/>
      <c r="I95" s="31"/>
      <c r="J95" s="156" t="s">
        <v>276</v>
      </c>
      <c r="K95" s="52"/>
      <c r="L95" s="52"/>
      <c r="M95" s="52"/>
      <c r="N95" s="52"/>
      <c r="O95" s="52"/>
      <c r="P95" s="52"/>
      <c r="Q95" s="157"/>
      <c r="R95" s="52" t="s">
        <v>234</v>
      </c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157"/>
      <c r="AK95" s="130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131"/>
    </row>
    <row r="96" spans="2:61" ht="20.100000000000001" customHeight="1" x14ac:dyDescent="0.45">
      <c r="B96" s="155"/>
      <c r="C96" s="31"/>
      <c r="D96" s="31"/>
      <c r="E96" s="31"/>
      <c r="F96" s="31"/>
      <c r="G96" s="128"/>
      <c r="H96" s="31"/>
      <c r="I96" s="31"/>
      <c r="J96" s="156" t="s">
        <v>277</v>
      </c>
      <c r="K96" s="52"/>
      <c r="L96" s="52"/>
      <c r="M96" s="52"/>
      <c r="N96" s="52"/>
      <c r="O96" s="52"/>
      <c r="P96" s="52"/>
      <c r="Q96" s="157"/>
      <c r="R96" s="52" t="s">
        <v>235</v>
      </c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157"/>
      <c r="AK96" s="130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131"/>
    </row>
    <row r="97" spans="2:61" ht="20.100000000000001" customHeight="1" x14ac:dyDescent="0.45">
      <c r="B97" s="155"/>
      <c r="C97" s="31"/>
      <c r="D97" s="31"/>
      <c r="E97" s="31"/>
      <c r="F97" s="31"/>
      <c r="G97" s="128"/>
      <c r="H97" s="31"/>
      <c r="I97" s="31"/>
      <c r="J97" s="156" t="s">
        <v>278</v>
      </c>
      <c r="K97" s="52"/>
      <c r="L97" s="52"/>
      <c r="M97" s="52"/>
      <c r="N97" s="52"/>
      <c r="O97" s="52"/>
      <c r="P97" s="52"/>
      <c r="Q97" s="157"/>
      <c r="R97" s="52" t="s">
        <v>236</v>
      </c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157"/>
      <c r="AK97" s="130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131"/>
    </row>
    <row r="98" spans="2:61" ht="20.100000000000001" customHeight="1" x14ac:dyDescent="0.45">
      <c r="B98" s="155"/>
      <c r="C98" s="31"/>
      <c r="D98" s="31"/>
      <c r="E98" s="31"/>
      <c r="F98" s="31"/>
      <c r="G98" s="128"/>
      <c r="H98" s="31"/>
      <c r="I98" s="31"/>
      <c r="J98" s="156" t="s">
        <v>279</v>
      </c>
      <c r="K98" s="52"/>
      <c r="L98" s="52"/>
      <c r="M98" s="52"/>
      <c r="N98" s="52"/>
      <c r="O98" s="52"/>
      <c r="P98" s="52"/>
      <c r="Q98" s="157"/>
      <c r="R98" s="52" t="s">
        <v>237</v>
      </c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157"/>
      <c r="AK98" s="130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131"/>
    </row>
    <row r="99" spans="2:61" ht="20.100000000000001" customHeight="1" x14ac:dyDescent="0.45">
      <c r="B99" s="155"/>
      <c r="C99" s="31"/>
      <c r="D99" s="31"/>
      <c r="E99" s="31"/>
      <c r="F99" s="31"/>
      <c r="G99" s="128"/>
      <c r="H99" s="31"/>
      <c r="I99" s="31"/>
      <c r="J99" s="156" t="s">
        <v>280</v>
      </c>
      <c r="K99" s="52"/>
      <c r="L99" s="52"/>
      <c r="M99" s="52"/>
      <c r="N99" s="52"/>
      <c r="O99" s="52"/>
      <c r="P99" s="52"/>
      <c r="Q99" s="157"/>
      <c r="R99" s="52" t="s">
        <v>238</v>
      </c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157"/>
      <c r="AK99" s="130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131"/>
    </row>
    <row r="100" spans="2:61" ht="20.100000000000001" customHeight="1" x14ac:dyDescent="0.45">
      <c r="B100" s="155"/>
      <c r="C100" s="31"/>
      <c r="D100" s="31"/>
      <c r="E100" s="31"/>
      <c r="F100" s="31"/>
      <c r="G100" s="128"/>
      <c r="H100" s="31"/>
      <c r="I100" s="31"/>
      <c r="J100" s="156" t="s">
        <v>281</v>
      </c>
      <c r="K100" s="52"/>
      <c r="L100" s="52"/>
      <c r="M100" s="52"/>
      <c r="N100" s="52"/>
      <c r="O100" s="52"/>
      <c r="P100" s="52"/>
      <c r="Q100" s="157"/>
      <c r="R100" s="52" t="s">
        <v>239</v>
      </c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157"/>
      <c r="AK100" s="130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131"/>
    </row>
    <row r="101" spans="2:61" ht="20.100000000000001" customHeight="1" x14ac:dyDescent="0.45">
      <c r="B101" s="155"/>
      <c r="C101" s="31"/>
      <c r="D101" s="31"/>
      <c r="E101" s="31"/>
      <c r="F101" s="31"/>
      <c r="G101" s="128"/>
      <c r="H101" s="31"/>
      <c r="I101" s="31"/>
      <c r="J101" s="156" t="s">
        <v>282</v>
      </c>
      <c r="K101" s="52"/>
      <c r="L101" s="52"/>
      <c r="M101" s="52"/>
      <c r="N101" s="52"/>
      <c r="O101" s="52"/>
      <c r="P101" s="52"/>
      <c r="Q101" s="157"/>
      <c r="R101" s="52" t="s">
        <v>240</v>
      </c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157"/>
      <c r="AK101" s="130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131"/>
    </row>
    <row r="102" spans="2:61" ht="20.100000000000001" customHeight="1" x14ac:dyDescent="0.45">
      <c r="B102" s="155"/>
      <c r="C102" s="31"/>
      <c r="D102" s="31"/>
      <c r="E102" s="31"/>
      <c r="F102" s="31"/>
      <c r="G102" s="128"/>
      <c r="H102" s="31"/>
      <c r="I102" s="31"/>
      <c r="J102" s="156" t="s">
        <v>283</v>
      </c>
      <c r="K102" s="52"/>
      <c r="L102" s="52"/>
      <c r="M102" s="52"/>
      <c r="N102" s="52"/>
      <c r="O102" s="52"/>
      <c r="P102" s="52"/>
      <c r="Q102" s="157"/>
      <c r="R102" s="52" t="s">
        <v>241</v>
      </c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157"/>
      <c r="AK102" s="130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131"/>
    </row>
    <row r="103" spans="2:61" ht="20.100000000000001" customHeight="1" x14ac:dyDescent="0.45">
      <c r="B103" s="155"/>
      <c r="C103" s="31"/>
      <c r="D103" s="31"/>
      <c r="E103" s="31"/>
      <c r="F103" s="31"/>
      <c r="G103" s="128"/>
      <c r="H103" s="31"/>
      <c r="I103" s="31"/>
      <c r="J103" s="156" t="s">
        <v>284</v>
      </c>
      <c r="K103" s="52"/>
      <c r="L103" s="52"/>
      <c r="M103" s="52"/>
      <c r="N103" s="52"/>
      <c r="O103" s="52"/>
      <c r="P103" s="52"/>
      <c r="Q103" s="157"/>
      <c r="R103" s="52" t="s">
        <v>242</v>
      </c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157"/>
      <c r="AK103" s="130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131"/>
    </row>
    <row r="104" spans="2:61" ht="20.100000000000001" customHeight="1" x14ac:dyDescent="0.45">
      <c r="B104" s="155"/>
      <c r="C104" s="31"/>
      <c r="D104" s="31"/>
      <c r="E104" s="31"/>
      <c r="F104" s="31"/>
      <c r="G104" s="128"/>
      <c r="H104" s="31"/>
      <c r="I104" s="31"/>
      <c r="J104" s="156" t="s">
        <v>285</v>
      </c>
      <c r="K104" s="52"/>
      <c r="L104" s="52"/>
      <c r="M104" s="52"/>
      <c r="N104" s="52"/>
      <c r="O104" s="52"/>
      <c r="P104" s="52"/>
      <c r="Q104" s="157"/>
      <c r="R104" s="52" t="s">
        <v>243</v>
      </c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157"/>
      <c r="AK104" s="130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131"/>
    </row>
    <row r="105" spans="2:61" ht="20.100000000000001" customHeight="1" x14ac:dyDescent="0.45">
      <c r="B105" s="155"/>
      <c r="C105" s="31"/>
      <c r="D105" s="31"/>
      <c r="E105" s="31"/>
      <c r="F105" s="31"/>
      <c r="G105" s="128"/>
      <c r="H105" s="31"/>
      <c r="I105" s="31"/>
      <c r="J105" s="156" t="s">
        <v>286</v>
      </c>
      <c r="K105" s="52"/>
      <c r="L105" s="52"/>
      <c r="M105" s="52"/>
      <c r="N105" s="52"/>
      <c r="O105" s="52"/>
      <c r="P105" s="52"/>
      <c r="Q105" s="157"/>
      <c r="R105" s="52" t="s">
        <v>244</v>
      </c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157"/>
      <c r="AK105" s="130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131"/>
    </row>
    <row r="106" spans="2:61" ht="20.100000000000001" customHeight="1" x14ac:dyDescent="0.45">
      <c r="B106" s="155"/>
      <c r="C106" s="31"/>
      <c r="D106" s="31"/>
      <c r="E106" s="31"/>
      <c r="F106" s="31"/>
      <c r="G106" s="128"/>
      <c r="H106" s="31"/>
      <c r="I106" s="31"/>
      <c r="J106" s="156" t="s">
        <v>287</v>
      </c>
      <c r="K106" s="52"/>
      <c r="L106" s="52"/>
      <c r="M106" s="52"/>
      <c r="N106" s="52"/>
      <c r="O106" s="52"/>
      <c r="P106" s="52"/>
      <c r="Q106" s="157"/>
      <c r="R106" s="52" t="s">
        <v>245</v>
      </c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157"/>
      <c r="AK106" s="130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131"/>
    </row>
    <row r="107" spans="2:61" ht="20.100000000000001" customHeight="1" x14ac:dyDescent="0.45">
      <c r="B107" s="155"/>
      <c r="C107" s="31"/>
      <c r="D107" s="31"/>
      <c r="E107" s="31"/>
      <c r="F107" s="31"/>
      <c r="G107" s="128"/>
      <c r="H107" s="31"/>
      <c r="I107" s="31"/>
      <c r="J107" s="156" t="s">
        <v>288</v>
      </c>
      <c r="K107" s="52"/>
      <c r="L107" s="52"/>
      <c r="M107" s="52"/>
      <c r="N107" s="52"/>
      <c r="O107" s="52"/>
      <c r="P107" s="52"/>
      <c r="Q107" s="157"/>
      <c r="R107" s="52" t="s">
        <v>246</v>
      </c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157"/>
      <c r="AK107" s="130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131"/>
    </row>
    <row r="108" spans="2:61" ht="20.100000000000001" customHeight="1" x14ac:dyDescent="0.45">
      <c r="B108" s="155"/>
      <c r="C108" s="31"/>
      <c r="D108" s="31"/>
      <c r="E108" s="31"/>
      <c r="F108" s="31"/>
      <c r="G108" s="128"/>
      <c r="H108" s="31"/>
      <c r="I108" s="31"/>
      <c r="J108" s="156" t="s">
        <v>289</v>
      </c>
      <c r="K108" s="52"/>
      <c r="L108" s="52"/>
      <c r="M108" s="52"/>
      <c r="N108" s="52"/>
      <c r="O108" s="52"/>
      <c r="P108" s="52"/>
      <c r="Q108" s="157"/>
      <c r="R108" s="52" t="s">
        <v>247</v>
      </c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157"/>
      <c r="AK108" s="130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131"/>
    </row>
    <row r="109" spans="2:61" ht="20.100000000000001" customHeight="1" x14ac:dyDescent="0.45">
      <c r="B109" s="155"/>
      <c r="C109" s="31"/>
      <c r="D109" s="31"/>
      <c r="E109" s="31"/>
      <c r="F109" s="31"/>
      <c r="G109" s="128"/>
      <c r="H109" s="31"/>
      <c r="I109" s="31"/>
      <c r="J109" s="156" t="s">
        <v>290</v>
      </c>
      <c r="K109" s="52"/>
      <c r="L109" s="52"/>
      <c r="M109" s="52"/>
      <c r="N109" s="52"/>
      <c r="O109" s="52"/>
      <c r="P109" s="52"/>
      <c r="Q109" s="157"/>
      <c r="R109" s="52" t="s">
        <v>248</v>
      </c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157"/>
      <c r="AK109" s="130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131"/>
    </row>
    <row r="110" spans="2:61" ht="20.100000000000001" customHeight="1" x14ac:dyDescent="0.45">
      <c r="B110" s="155"/>
      <c r="C110" s="31"/>
      <c r="D110" s="31"/>
      <c r="E110" s="31"/>
      <c r="F110" s="31"/>
      <c r="G110" s="128"/>
      <c r="H110" s="31"/>
      <c r="I110" s="31"/>
      <c r="J110" s="156" t="s">
        <v>291</v>
      </c>
      <c r="K110" s="52"/>
      <c r="L110" s="52"/>
      <c r="M110" s="52"/>
      <c r="N110" s="52"/>
      <c r="O110" s="52"/>
      <c r="P110" s="52"/>
      <c r="Q110" s="157"/>
      <c r="R110" s="52" t="s">
        <v>249</v>
      </c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157"/>
      <c r="AK110" s="130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131"/>
    </row>
    <row r="111" spans="2:61" ht="20.100000000000001" customHeight="1" x14ac:dyDescent="0.45">
      <c r="B111" s="155"/>
      <c r="C111" s="31"/>
      <c r="D111" s="31"/>
      <c r="E111" s="31"/>
      <c r="F111" s="31"/>
      <c r="G111" s="128"/>
      <c r="H111" s="31"/>
      <c r="I111" s="31"/>
      <c r="J111" s="156" t="s">
        <v>292</v>
      </c>
      <c r="K111" s="52"/>
      <c r="L111" s="52"/>
      <c r="M111" s="52"/>
      <c r="N111" s="52"/>
      <c r="O111" s="52"/>
      <c r="P111" s="52"/>
      <c r="Q111" s="157"/>
      <c r="R111" s="52" t="s">
        <v>250</v>
      </c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157"/>
      <c r="AK111" s="130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131"/>
    </row>
    <row r="112" spans="2:61" ht="20.100000000000001" customHeight="1" x14ac:dyDescent="0.45">
      <c r="B112" s="155"/>
      <c r="C112" s="31"/>
      <c r="D112" s="31"/>
      <c r="E112" s="31"/>
      <c r="F112" s="31"/>
      <c r="G112" s="128"/>
      <c r="H112" s="31"/>
      <c r="I112" s="31"/>
      <c r="J112" s="156" t="s">
        <v>293</v>
      </c>
      <c r="K112" s="52"/>
      <c r="L112" s="52"/>
      <c r="M112" s="52"/>
      <c r="N112" s="52"/>
      <c r="O112" s="52"/>
      <c r="P112" s="52"/>
      <c r="Q112" s="157"/>
      <c r="R112" s="52" t="s">
        <v>251</v>
      </c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157"/>
      <c r="AK112" s="130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131"/>
    </row>
    <row r="113" spans="2:61" ht="20.100000000000001" customHeight="1" x14ac:dyDescent="0.45">
      <c r="B113" s="155"/>
      <c r="C113" s="31"/>
      <c r="D113" s="31"/>
      <c r="E113" s="31"/>
      <c r="F113" s="31"/>
      <c r="G113" s="128"/>
      <c r="H113" s="31"/>
      <c r="I113" s="31"/>
      <c r="J113" s="156" t="s">
        <v>294</v>
      </c>
      <c r="K113" s="52"/>
      <c r="L113" s="52"/>
      <c r="M113" s="52"/>
      <c r="N113" s="52"/>
      <c r="O113" s="52"/>
      <c r="P113" s="52"/>
      <c r="Q113" s="157"/>
      <c r="R113" s="52" t="s">
        <v>252</v>
      </c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157"/>
      <c r="AK113" s="130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131"/>
    </row>
    <row r="114" spans="2:61" ht="20.100000000000001" customHeight="1" x14ac:dyDescent="0.45">
      <c r="B114" s="155"/>
      <c r="C114" s="31"/>
      <c r="D114" s="31"/>
      <c r="E114" s="31"/>
      <c r="F114" s="31"/>
      <c r="G114" s="128"/>
      <c r="H114" s="31"/>
      <c r="I114" s="31"/>
      <c r="J114" s="156" t="s">
        <v>295</v>
      </c>
      <c r="K114" s="52"/>
      <c r="L114" s="52"/>
      <c r="M114" s="52"/>
      <c r="N114" s="52"/>
      <c r="O114" s="52"/>
      <c r="P114" s="52"/>
      <c r="Q114" s="157"/>
      <c r="R114" s="52" t="s">
        <v>253</v>
      </c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157"/>
      <c r="AK114" s="130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131"/>
    </row>
    <row r="115" spans="2:61" ht="20.100000000000001" customHeight="1" x14ac:dyDescent="0.45">
      <c r="B115" s="155"/>
      <c r="C115" s="31"/>
      <c r="D115" s="31"/>
      <c r="E115" s="31"/>
      <c r="F115" s="31"/>
      <c r="G115" s="128"/>
      <c r="H115" s="31"/>
      <c r="I115" s="31"/>
      <c r="J115" s="156" t="s">
        <v>296</v>
      </c>
      <c r="K115" s="52"/>
      <c r="L115" s="52"/>
      <c r="M115" s="52"/>
      <c r="N115" s="52"/>
      <c r="O115" s="52"/>
      <c r="P115" s="52"/>
      <c r="Q115" s="157"/>
      <c r="R115" s="52" t="s">
        <v>254</v>
      </c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157"/>
      <c r="AK115" s="130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131"/>
    </row>
    <row r="116" spans="2:61" ht="20.100000000000001" customHeight="1" x14ac:dyDescent="0.45">
      <c r="B116" s="155"/>
      <c r="C116" s="31"/>
      <c r="D116" s="31"/>
      <c r="E116" s="31"/>
      <c r="F116" s="31"/>
      <c r="G116" s="128"/>
      <c r="H116" s="31"/>
      <c r="I116" s="31"/>
      <c r="J116" s="156" t="s">
        <v>297</v>
      </c>
      <c r="K116" s="52"/>
      <c r="L116" s="52"/>
      <c r="M116" s="52"/>
      <c r="N116" s="52"/>
      <c r="O116" s="52"/>
      <c r="P116" s="52"/>
      <c r="Q116" s="157"/>
      <c r="R116" s="52" t="s">
        <v>255</v>
      </c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157"/>
      <c r="AK116" s="130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131"/>
    </row>
    <row r="117" spans="2:61" ht="20.100000000000001" customHeight="1" x14ac:dyDescent="0.45">
      <c r="B117" s="155"/>
      <c r="C117" s="31"/>
      <c r="D117" s="31"/>
      <c r="E117" s="31"/>
      <c r="F117" s="31"/>
      <c r="G117" s="128"/>
      <c r="H117" s="31"/>
      <c r="I117" s="31"/>
      <c r="J117" s="156" t="s">
        <v>298</v>
      </c>
      <c r="K117" s="52"/>
      <c r="L117" s="52"/>
      <c r="M117" s="52"/>
      <c r="N117" s="52"/>
      <c r="O117" s="52"/>
      <c r="P117" s="52"/>
      <c r="Q117" s="157"/>
      <c r="R117" s="52" t="s">
        <v>256</v>
      </c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157"/>
      <c r="AK117" s="130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131"/>
    </row>
    <row r="118" spans="2:61" ht="20.100000000000001" customHeight="1" x14ac:dyDescent="0.45">
      <c r="B118" s="155"/>
      <c r="C118" s="31"/>
      <c r="D118" s="31"/>
      <c r="E118" s="31"/>
      <c r="F118" s="31"/>
      <c r="G118" s="128"/>
      <c r="H118" s="31"/>
      <c r="I118" s="31"/>
      <c r="J118" s="156" t="s">
        <v>299</v>
      </c>
      <c r="K118" s="52"/>
      <c r="L118" s="52"/>
      <c r="M118" s="52"/>
      <c r="N118" s="52"/>
      <c r="O118" s="52"/>
      <c r="P118" s="52"/>
      <c r="Q118" s="157"/>
      <c r="R118" s="52" t="s">
        <v>257</v>
      </c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157"/>
      <c r="AK118" s="130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131"/>
    </row>
    <row r="119" spans="2:61" ht="20.100000000000001" customHeight="1" x14ac:dyDescent="0.45">
      <c r="B119" s="155"/>
      <c r="C119" s="31"/>
      <c r="D119" s="31"/>
      <c r="E119" s="31"/>
      <c r="F119" s="31"/>
      <c r="G119" s="128"/>
      <c r="H119" s="31"/>
      <c r="I119" s="31"/>
      <c r="J119" s="156" t="s">
        <v>300</v>
      </c>
      <c r="K119" s="52"/>
      <c r="L119" s="52"/>
      <c r="M119" s="52"/>
      <c r="N119" s="52"/>
      <c r="O119" s="52"/>
      <c r="P119" s="52"/>
      <c r="Q119" s="157"/>
      <c r="R119" s="52" t="s">
        <v>258</v>
      </c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157"/>
      <c r="AK119" s="130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131"/>
    </row>
    <row r="120" spans="2:61" ht="20.100000000000001" customHeight="1" x14ac:dyDescent="0.45">
      <c r="B120" s="155"/>
      <c r="C120" s="31"/>
      <c r="D120" s="31"/>
      <c r="E120" s="31"/>
      <c r="F120" s="31"/>
      <c r="G120" s="128"/>
      <c r="H120" s="31"/>
      <c r="I120" s="31"/>
      <c r="J120" s="156" t="s">
        <v>301</v>
      </c>
      <c r="K120" s="52"/>
      <c r="L120" s="52"/>
      <c r="M120" s="52"/>
      <c r="N120" s="52"/>
      <c r="O120" s="52"/>
      <c r="P120" s="52"/>
      <c r="Q120" s="157"/>
      <c r="R120" s="52" t="s">
        <v>259</v>
      </c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157"/>
      <c r="AK120" s="130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131"/>
    </row>
    <row r="121" spans="2:61" ht="20.100000000000001" customHeight="1" x14ac:dyDescent="0.45">
      <c r="B121" s="155"/>
      <c r="C121" s="31"/>
      <c r="D121" s="31"/>
      <c r="E121" s="31"/>
      <c r="F121" s="31"/>
      <c r="G121" s="128"/>
      <c r="H121" s="31"/>
      <c r="I121" s="31"/>
      <c r="J121" s="156" t="s">
        <v>302</v>
      </c>
      <c r="K121" s="52"/>
      <c r="L121" s="52"/>
      <c r="M121" s="52"/>
      <c r="N121" s="52"/>
      <c r="O121" s="52"/>
      <c r="P121" s="52"/>
      <c r="Q121" s="157"/>
      <c r="R121" s="52" t="s">
        <v>260</v>
      </c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157"/>
      <c r="AK121" s="130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131"/>
    </row>
    <row r="122" spans="2:61" ht="20.100000000000001" customHeight="1" x14ac:dyDescent="0.45">
      <c r="B122" s="155"/>
      <c r="C122" s="31"/>
      <c r="D122" s="31"/>
      <c r="E122" s="31"/>
      <c r="F122" s="31"/>
      <c r="G122" s="128"/>
      <c r="H122" s="31"/>
      <c r="I122" s="31"/>
      <c r="J122" s="156" t="s">
        <v>303</v>
      </c>
      <c r="K122" s="52"/>
      <c r="L122" s="52"/>
      <c r="M122" s="52"/>
      <c r="N122" s="52"/>
      <c r="O122" s="52"/>
      <c r="P122" s="52"/>
      <c r="Q122" s="157"/>
      <c r="R122" s="52" t="s">
        <v>261</v>
      </c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157"/>
      <c r="AK122" s="130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131"/>
    </row>
    <row r="123" spans="2:61" ht="20.100000000000001" customHeight="1" x14ac:dyDescent="0.45">
      <c r="B123" s="155"/>
      <c r="C123" s="31"/>
      <c r="D123" s="31"/>
      <c r="E123" s="31"/>
      <c r="F123" s="31"/>
      <c r="G123" s="128"/>
      <c r="H123" s="31"/>
      <c r="I123" s="31"/>
      <c r="J123" s="156" t="s">
        <v>304</v>
      </c>
      <c r="K123" s="52"/>
      <c r="L123" s="52"/>
      <c r="M123" s="52"/>
      <c r="N123" s="52"/>
      <c r="O123" s="52"/>
      <c r="P123" s="52"/>
      <c r="Q123" s="157"/>
      <c r="R123" s="52" t="s">
        <v>262</v>
      </c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157"/>
      <c r="AK123" s="130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131"/>
    </row>
    <row r="124" spans="2:61" ht="20.100000000000001" customHeight="1" x14ac:dyDescent="0.45">
      <c r="B124" s="155"/>
      <c r="C124" s="31"/>
      <c r="D124" s="31"/>
      <c r="E124" s="31"/>
      <c r="F124" s="31"/>
      <c r="G124" s="128"/>
      <c r="H124" s="31"/>
      <c r="I124" s="31"/>
      <c r="J124" s="156" t="s">
        <v>305</v>
      </c>
      <c r="K124" s="52"/>
      <c r="L124" s="52"/>
      <c r="M124" s="52"/>
      <c r="N124" s="52"/>
      <c r="O124" s="52"/>
      <c r="P124" s="52"/>
      <c r="Q124" s="157"/>
      <c r="R124" s="52" t="s">
        <v>263</v>
      </c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157"/>
      <c r="AK124" s="130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131"/>
    </row>
    <row r="125" spans="2:61" ht="20.100000000000001" customHeight="1" x14ac:dyDescent="0.45">
      <c r="B125" s="155"/>
      <c r="C125" s="31"/>
      <c r="D125" s="31"/>
      <c r="E125" s="31"/>
      <c r="F125" s="31"/>
      <c r="G125" s="128"/>
      <c r="H125" s="132" t="s">
        <v>79</v>
      </c>
      <c r="I125" s="55"/>
      <c r="J125" s="132" t="s">
        <v>307</v>
      </c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133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  <c r="BD125" s="55"/>
      <c r="BE125" s="55"/>
      <c r="BF125" s="55"/>
      <c r="BG125" s="55"/>
      <c r="BH125" s="55"/>
      <c r="BI125" s="134"/>
    </row>
    <row r="126" spans="2:61" ht="20.100000000000001" customHeight="1" x14ac:dyDescent="0.45">
      <c r="B126" s="155"/>
      <c r="C126" s="31"/>
      <c r="D126" s="31"/>
      <c r="E126" s="31"/>
      <c r="F126" s="31"/>
      <c r="G126" s="128"/>
      <c r="H126" s="129"/>
      <c r="I126" s="31"/>
      <c r="J126" s="129" t="s">
        <v>308</v>
      </c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130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131"/>
    </row>
    <row r="127" spans="2:61" ht="20.100000000000001" customHeight="1" x14ac:dyDescent="0.45">
      <c r="B127" s="127"/>
      <c r="C127" s="31"/>
      <c r="D127" s="31"/>
      <c r="E127" s="31"/>
      <c r="F127" s="31"/>
      <c r="G127" s="128"/>
      <c r="H127" s="132" t="s">
        <v>80</v>
      </c>
      <c r="I127" s="55"/>
      <c r="J127" s="132" t="s">
        <v>171</v>
      </c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133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  <c r="BD127" s="55"/>
      <c r="BE127" s="55"/>
      <c r="BF127" s="55"/>
      <c r="BG127" s="55"/>
      <c r="BH127" s="55"/>
      <c r="BI127" s="134"/>
    </row>
    <row r="128" spans="2:61" ht="20.100000000000001" customHeight="1" x14ac:dyDescent="0.45">
      <c r="B128" s="127"/>
      <c r="C128" s="31"/>
      <c r="D128" s="31"/>
      <c r="E128" s="31"/>
      <c r="F128" s="31"/>
      <c r="G128" s="128"/>
      <c r="H128" s="129"/>
      <c r="I128" s="31"/>
      <c r="J128" s="129"/>
      <c r="K128" s="31" t="s">
        <v>309</v>
      </c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130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131"/>
    </row>
    <row r="129" spans="2:61" ht="20.100000000000001" customHeight="1" thickBot="1" x14ac:dyDescent="0.5">
      <c r="B129" s="127"/>
      <c r="C129" s="31"/>
      <c r="D129" s="31"/>
      <c r="E129" s="31"/>
      <c r="F129" s="31"/>
      <c r="G129" s="128"/>
      <c r="H129" s="129"/>
      <c r="I129" s="31"/>
      <c r="J129" s="129"/>
      <c r="K129" s="31"/>
      <c r="L129" s="31"/>
      <c r="M129" s="31" t="s">
        <v>310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130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131"/>
    </row>
    <row r="130" spans="2:61" ht="20.100000000000001" customHeight="1" x14ac:dyDescent="0.45">
      <c r="B130" s="121" t="s">
        <v>306</v>
      </c>
      <c r="C130" s="122"/>
      <c r="D130" s="122"/>
      <c r="E130" s="122"/>
      <c r="F130" s="122"/>
      <c r="G130" s="123"/>
      <c r="H130" s="124" t="s">
        <v>110</v>
      </c>
      <c r="I130" s="122"/>
      <c r="J130" s="152" t="s">
        <v>313</v>
      </c>
      <c r="K130" s="153"/>
      <c r="L130" s="153"/>
      <c r="M130" s="153"/>
      <c r="N130" s="153"/>
      <c r="O130" s="153"/>
      <c r="P130" s="153"/>
      <c r="Q130" s="154"/>
      <c r="R130" s="153" t="s">
        <v>311</v>
      </c>
      <c r="S130" s="153"/>
      <c r="T130" s="153"/>
      <c r="U130" s="153"/>
      <c r="V130" s="153"/>
      <c r="W130" s="153"/>
      <c r="X130" s="153"/>
      <c r="Y130" s="153"/>
      <c r="Z130" s="153"/>
      <c r="AA130" s="153"/>
      <c r="AB130" s="153"/>
      <c r="AC130" s="153"/>
      <c r="AD130" s="153"/>
      <c r="AE130" s="153"/>
      <c r="AF130" s="153"/>
      <c r="AG130" s="153"/>
      <c r="AH130" s="153"/>
      <c r="AI130" s="153"/>
      <c r="AJ130" s="154"/>
      <c r="AK130" s="125"/>
      <c r="AL130" s="122"/>
      <c r="AM130" s="122"/>
      <c r="AN130" s="122"/>
      <c r="AO130" s="122"/>
      <c r="AP130" s="122"/>
      <c r="AQ130" s="122"/>
      <c r="AR130" s="122"/>
      <c r="AS130" s="122"/>
      <c r="AT130" s="122"/>
      <c r="AU130" s="122"/>
      <c r="AV130" s="122"/>
      <c r="AW130" s="122"/>
      <c r="AX130" s="122"/>
      <c r="AY130" s="122"/>
      <c r="AZ130" s="122"/>
      <c r="BA130" s="122"/>
      <c r="BB130" s="122"/>
      <c r="BC130" s="122"/>
      <c r="BD130" s="122"/>
      <c r="BE130" s="122"/>
      <c r="BF130" s="122"/>
      <c r="BG130" s="122"/>
      <c r="BH130" s="122"/>
      <c r="BI130" s="126"/>
    </row>
    <row r="131" spans="2:61" ht="20.100000000000001" customHeight="1" x14ac:dyDescent="0.45">
      <c r="B131" s="155"/>
      <c r="C131" s="31"/>
      <c r="D131" s="31"/>
      <c r="E131" s="31"/>
      <c r="F131" s="31"/>
      <c r="G131" s="128"/>
      <c r="H131" s="31"/>
      <c r="I131" s="31"/>
      <c r="J131" s="156" t="s">
        <v>312</v>
      </c>
      <c r="K131" s="52"/>
      <c r="L131" s="52"/>
      <c r="M131" s="52"/>
      <c r="N131" s="52"/>
      <c r="O131" s="52"/>
      <c r="P131" s="52"/>
      <c r="Q131" s="157"/>
      <c r="R131" s="52" t="s">
        <v>356</v>
      </c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157"/>
      <c r="AK131" s="130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131"/>
    </row>
    <row r="132" spans="2:61" ht="20.100000000000001" customHeight="1" x14ac:dyDescent="0.45">
      <c r="B132" s="155"/>
      <c r="C132" s="31"/>
      <c r="D132" s="31"/>
      <c r="E132" s="31"/>
      <c r="F132" s="31"/>
      <c r="G132" s="128"/>
      <c r="H132" s="31"/>
      <c r="I132" s="31"/>
      <c r="J132" s="132" t="s">
        <v>314</v>
      </c>
      <c r="K132" s="55"/>
      <c r="L132" s="55"/>
      <c r="M132" s="55"/>
      <c r="N132" s="55"/>
      <c r="O132" s="55"/>
      <c r="P132" s="55"/>
      <c r="Q132" s="157"/>
      <c r="R132" s="55" t="s">
        <v>355</v>
      </c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130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131"/>
    </row>
    <row r="133" spans="2:61" ht="20.100000000000001" customHeight="1" x14ac:dyDescent="0.45">
      <c r="B133" s="155"/>
      <c r="C133" s="31"/>
      <c r="D133" s="31"/>
      <c r="E133" s="31"/>
      <c r="F133" s="31"/>
      <c r="G133" s="128"/>
      <c r="H133" s="31"/>
      <c r="I133" s="31"/>
      <c r="J133" s="132" t="s">
        <v>315</v>
      </c>
      <c r="K133" s="55"/>
      <c r="L133" s="55"/>
      <c r="M133" s="55"/>
      <c r="N133" s="55"/>
      <c r="O133" s="55"/>
      <c r="P133" s="55"/>
      <c r="Q133" s="157"/>
      <c r="R133" s="55" t="s">
        <v>354</v>
      </c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130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131"/>
    </row>
    <row r="134" spans="2:61" ht="20.100000000000001" customHeight="1" x14ac:dyDescent="0.45">
      <c r="B134" s="155"/>
      <c r="C134" s="31"/>
      <c r="D134" s="31"/>
      <c r="E134" s="31"/>
      <c r="F134" s="31"/>
      <c r="G134" s="128"/>
      <c r="H134" s="31"/>
      <c r="I134" s="31"/>
      <c r="J134" s="132" t="s">
        <v>316</v>
      </c>
      <c r="K134" s="55"/>
      <c r="L134" s="55"/>
      <c r="M134" s="55"/>
      <c r="N134" s="55"/>
      <c r="O134" s="55"/>
      <c r="P134" s="55"/>
      <c r="Q134" s="157"/>
      <c r="R134" s="55" t="s">
        <v>353</v>
      </c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130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131"/>
    </row>
    <row r="135" spans="2:61" ht="20.100000000000001" customHeight="1" x14ac:dyDescent="0.45">
      <c r="B135" s="155"/>
      <c r="C135" s="31"/>
      <c r="D135" s="31"/>
      <c r="E135" s="31"/>
      <c r="F135" s="31"/>
      <c r="G135" s="128"/>
      <c r="H135" s="31"/>
      <c r="I135" s="31"/>
      <c r="J135" s="132" t="s">
        <v>270</v>
      </c>
      <c r="K135" s="55"/>
      <c r="L135" s="55"/>
      <c r="M135" s="55"/>
      <c r="N135" s="55"/>
      <c r="O135" s="55"/>
      <c r="P135" s="55"/>
      <c r="Q135" s="157"/>
      <c r="R135" s="55" t="s">
        <v>352</v>
      </c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130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131"/>
    </row>
    <row r="136" spans="2:61" ht="20.100000000000001" customHeight="1" x14ac:dyDescent="0.45">
      <c r="B136" s="155"/>
      <c r="C136" s="31"/>
      <c r="D136" s="31"/>
      <c r="E136" s="31"/>
      <c r="F136" s="31"/>
      <c r="G136" s="128"/>
      <c r="H136" s="31"/>
      <c r="I136" s="31"/>
      <c r="J136" s="132" t="s">
        <v>271</v>
      </c>
      <c r="K136" s="55"/>
      <c r="L136" s="55"/>
      <c r="M136" s="55"/>
      <c r="N136" s="55"/>
      <c r="O136" s="55"/>
      <c r="P136" s="55"/>
      <c r="Q136" s="157"/>
      <c r="R136" s="55" t="s">
        <v>317</v>
      </c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130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131"/>
    </row>
    <row r="137" spans="2:61" ht="20.100000000000001" customHeight="1" x14ac:dyDescent="0.45">
      <c r="B137" s="155"/>
      <c r="C137" s="31"/>
      <c r="D137" s="31"/>
      <c r="E137" s="31"/>
      <c r="F137" s="31"/>
      <c r="G137" s="128"/>
      <c r="H137" s="31"/>
      <c r="I137" s="31"/>
      <c r="J137" s="132" t="s">
        <v>272</v>
      </c>
      <c r="K137" s="55"/>
      <c r="L137" s="55"/>
      <c r="M137" s="55"/>
      <c r="N137" s="55"/>
      <c r="O137" s="55"/>
      <c r="P137" s="55"/>
      <c r="Q137" s="157"/>
      <c r="R137" s="55" t="s">
        <v>318</v>
      </c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130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131"/>
    </row>
    <row r="138" spans="2:61" ht="20.100000000000001" customHeight="1" x14ac:dyDescent="0.45">
      <c r="B138" s="155"/>
      <c r="C138" s="31"/>
      <c r="D138" s="31"/>
      <c r="E138" s="31"/>
      <c r="F138" s="31"/>
      <c r="G138" s="128"/>
      <c r="H138" s="31"/>
      <c r="I138" s="31"/>
      <c r="J138" s="132" t="s">
        <v>273</v>
      </c>
      <c r="K138" s="55"/>
      <c r="L138" s="55"/>
      <c r="M138" s="55"/>
      <c r="N138" s="55"/>
      <c r="O138" s="55"/>
      <c r="P138" s="55"/>
      <c r="Q138" s="157"/>
      <c r="R138" s="55" t="s">
        <v>319</v>
      </c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130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131"/>
    </row>
    <row r="139" spans="2:61" ht="20.100000000000001" customHeight="1" x14ac:dyDescent="0.45">
      <c r="B139" s="155"/>
      <c r="C139" s="31"/>
      <c r="D139" s="31"/>
      <c r="E139" s="31"/>
      <c r="F139" s="31"/>
      <c r="G139" s="128"/>
      <c r="H139" s="31"/>
      <c r="I139" s="31"/>
      <c r="J139" s="132" t="s">
        <v>274</v>
      </c>
      <c r="K139" s="55"/>
      <c r="L139" s="55"/>
      <c r="M139" s="55"/>
      <c r="N139" s="55"/>
      <c r="O139" s="55"/>
      <c r="P139" s="55"/>
      <c r="Q139" s="157"/>
      <c r="R139" s="55" t="s">
        <v>320</v>
      </c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130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131"/>
    </row>
    <row r="140" spans="2:61" ht="20.100000000000001" customHeight="1" x14ac:dyDescent="0.45">
      <c r="B140" s="155"/>
      <c r="C140" s="31"/>
      <c r="D140" s="31"/>
      <c r="E140" s="31"/>
      <c r="F140" s="31"/>
      <c r="G140" s="128"/>
      <c r="H140" s="31"/>
      <c r="I140" s="31"/>
      <c r="J140" s="132" t="s">
        <v>275</v>
      </c>
      <c r="K140" s="55"/>
      <c r="L140" s="55"/>
      <c r="M140" s="55"/>
      <c r="N140" s="55"/>
      <c r="O140" s="55"/>
      <c r="P140" s="55"/>
      <c r="Q140" s="157"/>
      <c r="R140" s="55" t="s">
        <v>321</v>
      </c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130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131"/>
    </row>
    <row r="141" spans="2:61" ht="20.100000000000001" customHeight="1" x14ac:dyDescent="0.45">
      <c r="B141" s="155"/>
      <c r="C141" s="31"/>
      <c r="D141" s="31"/>
      <c r="E141" s="31"/>
      <c r="F141" s="31"/>
      <c r="G141" s="128"/>
      <c r="H141" s="31"/>
      <c r="I141" s="31"/>
      <c r="J141" s="132" t="s">
        <v>276</v>
      </c>
      <c r="K141" s="55"/>
      <c r="L141" s="55"/>
      <c r="M141" s="55"/>
      <c r="N141" s="55"/>
      <c r="O141" s="55"/>
      <c r="P141" s="55"/>
      <c r="Q141" s="157"/>
      <c r="R141" s="55" t="s">
        <v>322</v>
      </c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130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131"/>
    </row>
    <row r="142" spans="2:61" ht="20.100000000000001" customHeight="1" x14ac:dyDescent="0.45">
      <c r="B142" s="155"/>
      <c r="C142" s="31"/>
      <c r="D142" s="31"/>
      <c r="E142" s="31"/>
      <c r="F142" s="31"/>
      <c r="G142" s="128"/>
      <c r="H142" s="31"/>
      <c r="I142" s="31"/>
      <c r="J142" s="132" t="s">
        <v>277</v>
      </c>
      <c r="K142" s="55"/>
      <c r="L142" s="55"/>
      <c r="M142" s="55"/>
      <c r="N142" s="55"/>
      <c r="O142" s="55"/>
      <c r="P142" s="55"/>
      <c r="Q142" s="157"/>
      <c r="R142" s="55" t="s">
        <v>323</v>
      </c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130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131"/>
    </row>
    <row r="143" spans="2:61" ht="20.100000000000001" customHeight="1" x14ac:dyDescent="0.45">
      <c r="B143" s="155"/>
      <c r="C143" s="31"/>
      <c r="D143" s="31"/>
      <c r="E143" s="31"/>
      <c r="F143" s="31"/>
      <c r="G143" s="128"/>
      <c r="H143" s="31"/>
      <c r="I143" s="31"/>
      <c r="J143" s="132" t="s">
        <v>278</v>
      </c>
      <c r="K143" s="55"/>
      <c r="L143" s="55"/>
      <c r="M143" s="55"/>
      <c r="N143" s="55"/>
      <c r="O143" s="55"/>
      <c r="P143" s="55"/>
      <c r="Q143" s="157"/>
      <c r="R143" s="55" t="s">
        <v>324</v>
      </c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130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131"/>
    </row>
    <row r="144" spans="2:61" ht="20.100000000000001" customHeight="1" x14ac:dyDescent="0.45">
      <c r="B144" s="155"/>
      <c r="C144" s="31"/>
      <c r="D144" s="31"/>
      <c r="E144" s="31"/>
      <c r="F144" s="31"/>
      <c r="G144" s="128"/>
      <c r="H144" s="31"/>
      <c r="I144" s="31"/>
      <c r="J144" s="132" t="s">
        <v>279</v>
      </c>
      <c r="K144" s="55"/>
      <c r="L144" s="55"/>
      <c r="M144" s="55"/>
      <c r="N144" s="55"/>
      <c r="O144" s="55"/>
      <c r="P144" s="55"/>
      <c r="Q144" s="157"/>
      <c r="R144" s="55" t="s">
        <v>325</v>
      </c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130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131"/>
    </row>
    <row r="145" spans="2:61" ht="20.100000000000001" customHeight="1" x14ac:dyDescent="0.45">
      <c r="B145" s="155"/>
      <c r="C145" s="31"/>
      <c r="D145" s="31"/>
      <c r="E145" s="31"/>
      <c r="F145" s="31"/>
      <c r="G145" s="128"/>
      <c r="H145" s="31"/>
      <c r="I145" s="31"/>
      <c r="J145" s="132" t="s">
        <v>280</v>
      </c>
      <c r="K145" s="55"/>
      <c r="L145" s="55"/>
      <c r="M145" s="55"/>
      <c r="N145" s="55"/>
      <c r="O145" s="55"/>
      <c r="P145" s="55"/>
      <c r="Q145" s="157"/>
      <c r="R145" s="55" t="s">
        <v>326</v>
      </c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130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131"/>
    </row>
    <row r="146" spans="2:61" ht="20.100000000000001" customHeight="1" x14ac:dyDescent="0.45">
      <c r="B146" s="155"/>
      <c r="C146" s="31"/>
      <c r="D146" s="31"/>
      <c r="E146" s="31"/>
      <c r="F146" s="31"/>
      <c r="G146" s="128"/>
      <c r="H146" s="31"/>
      <c r="I146" s="31"/>
      <c r="J146" s="132" t="s">
        <v>281</v>
      </c>
      <c r="K146" s="55"/>
      <c r="L146" s="55"/>
      <c r="M146" s="55"/>
      <c r="N146" s="55"/>
      <c r="O146" s="55"/>
      <c r="P146" s="55"/>
      <c r="Q146" s="157"/>
      <c r="R146" s="55" t="s">
        <v>327</v>
      </c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130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131"/>
    </row>
    <row r="147" spans="2:61" ht="20.100000000000001" customHeight="1" x14ac:dyDescent="0.45">
      <c r="B147" s="155"/>
      <c r="C147" s="31"/>
      <c r="D147" s="31"/>
      <c r="E147" s="31"/>
      <c r="F147" s="31"/>
      <c r="G147" s="128"/>
      <c r="H147" s="31"/>
      <c r="I147" s="31"/>
      <c r="J147" s="132" t="s">
        <v>282</v>
      </c>
      <c r="K147" s="55"/>
      <c r="L147" s="55"/>
      <c r="M147" s="55"/>
      <c r="N147" s="55"/>
      <c r="O147" s="55"/>
      <c r="P147" s="55"/>
      <c r="Q147" s="157"/>
      <c r="R147" s="55" t="s">
        <v>328</v>
      </c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130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131"/>
    </row>
    <row r="148" spans="2:61" ht="20.100000000000001" customHeight="1" x14ac:dyDescent="0.45">
      <c r="B148" s="155"/>
      <c r="C148" s="31"/>
      <c r="D148" s="31"/>
      <c r="E148" s="31"/>
      <c r="F148" s="31"/>
      <c r="G148" s="128"/>
      <c r="H148" s="31"/>
      <c r="I148" s="31"/>
      <c r="J148" s="132" t="s">
        <v>283</v>
      </c>
      <c r="K148" s="55"/>
      <c r="L148" s="55"/>
      <c r="M148" s="55"/>
      <c r="N148" s="55"/>
      <c r="O148" s="55"/>
      <c r="P148" s="55"/>
      <c r="Q148" s="157"/>
      <c r="R148" s="55" t="s">
        <v>329</v>
      </c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130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131"/>
    </row>
    <row r="149" spans="2:61" ht="20.100000000000001" customHeight="1" x14ac:dyDescent="0.45">
      <c r="B149" s="155"/>
      <c r="C149" s="31"/>
      <c r="D149" s="31"/>
      <c r="E149" s="31"/>
      <c r="F149" s="31"/>
      <c r="G149" s="128"/>
      <c r="H149" s="31"/>
      <c r="I149" s="31"/>
      <c r="J149" s="132" t="s">
        <v>284</v>
      </c>
      <c r="K149" s="55"/>
      <c r="L149" s="55"/>
      <c r="M149" s="55"/>
      <c r="N149" s="55"/>
      <c r="O149" s="55"/>
      <c r="P149" s="55"/>
      <c r="Q149" s="157"/>
      <c r="R149" s="55" t="s">
        <v>330</v>
      </c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130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131"/>
    </row>
    <row r="150" spans="2:61" ht="20.100000000000001" customHeight="1" x14ac:dyDescent="0.45">
      <c r="B150" s="155"/>
      <c r="C150" s="31"/>
      <c r="D150" s="31"/>
      <c r="E150" s="31"/>
      <c r="F150" s="31"/>
      <c r="G150" s="128"/>
      <c r="H150" s="31"/>
      <c r="I150" s="31"/>
      <c r="J150" s="132" t="s">
        <v>285</v>
      </c>
      <c r="K150" s="55"/>
      <c r="L150" s="55"/>
      <c r="M150" s="55"/>
      <c r="N150" s="55"/>
      <c r="O150" s="55"/>
      <c r="P150" s="55"/>
      <c r="Q150" s="157"/>
      <c r="R150" s="55" t="s">
        <v>331</v>
      </c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130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131"/>
    </row>
    <row r="151" spans="2:61" ht="20.100000000000001" customHeight="1" x14ac:dyDescent="0.45">
      <c r="B151" s="155"/>
      <c r="C151" s="31"/>
      <c r="D151" s="31"/>
      <c r="E151" s="31"/>
      <c r="F151" s="31"/>
      <c r="G151" s="128"/>
      <c r="H151" s="31"/>
      <c r="I151" s="31"/>
      <c r="J151" s="132" t="s">
        <v>286</v>
      </c>
      <c r="K151" s="55"/>
      <c r="L151" s="55"/>
      <c r="M151" s="55"/>
      <c r="N151" s="55"/>
      <c r="O151" s="55"/>
      <c r="P151" s="55"/>
      <c r="Q151" s="157"/>
      <c r="R151" s="55" t="s">
        <v>332</v>
      </c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130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131"/>
    </row>
    <row r="152" spans="2:61" ht="20.100000000000001" customHeight="1" x14ac:dyDescent="0.45">
      <c r="B152" s="155"/>
      <c r="C152" s="31"/>
      <c r="D152" s="31"/>
      <c r="E152" s="31"/>
      <c r="F152" s="31"/>
      <c r="G152" s="128"/>
      <c r="H152" s="31"/>
      <c r="I152" s="31"/>
      <c r="J152" s="132" t="s">
        <v>287</v>
      </c>
      <c r="K152" s="55"/>
      <c r="L152" s="55"/>
      <c r="M152" s="55"/>
      <c r="N152" s="55"/>
      <c r="O152" s="55"/>
      <c r="P152" s="55"/>
      <c r="Q152" s="157"/>
      <c r="R152" s="55" t="s">
        <v>333</v>
      </c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130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131"/>
    </row>
    <row r="153" spans="2:61" ht="20.100000000000001" customHeight="1" x14ac:dyDescent="0.45">
      <c r="B153" s="155"/>
      <c r="C153" s="31"/>
      <c r="D153" s="31"/>
      <c r="E153" s="31"/>
      <c r="F153" s="31"/>
      <c r="G153" s="128"/>
      <c r="H153" s="31"/>
      <c r="I153" s="31"/>
      <c r="J153" s="132" t="s">
        <v>288</v>
      </c>
      <c r="K153" s="55"/>
      <c r="L153" s="55"/>
      <c r="M153" s="55"/>
      <c r="N153" s="55"/>
      <c r="O153" s="55"/>
      <c r="P153" s="55"/>
      <c r="Q153" s="157"/>
      <c r="R153" s="55" t="s">
        <v>334</v>
      </c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130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131"/>
    </row>
    <row r="154" spans="2:61" ht="20.100000000000001" customHeight="1" x14ac:dyDescent="0.45">
      <c r="B154" s="155"/>
      <c r="C154" s="31"/>
      <c r="D154" s="31"/>
      <c r="E154" s="31"/>
      <c r="F154" s="31"/>
      <c r="G154" s="128"/>
      <c r="H154" s="31"/>
      <c r="I154" s="31"/>
      <c r="J154" s="132" t="s">
        <v>289</v>
      </c>
      <c r="K154" s="55"/>
      <c r="L154" s="55"/>
      <c r="M154" s="55"/>
      <c r="N154" s="55"/>
      <c r="O154" s="55"/>
      <c r="P154" s="55"/>
      <c r="Q154" s="157"/>
      <c r="R154" s="55" t="s">
        <v>335</v>
      </c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130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131"/>
    </row>
    <row r="155" spans="2:61" ht="20.100000000000001" customHeight="1" x14ac:dyDescent="0.45">
      <c r="B155" s="155"/>
      <c r="C155" s="31"/>
      <c r="D155" s="31"/>
      <c r="E155" s="31"/>
      <c r="F155" s="31"/>
      <c r="G155" s="128"/>
      <c r="H155" s="31"/>
      <c r="I155" s="31"/>
      <c r="J155" s="132" t="s">
        <v>290</v>
      </c>
      <c r="K155" s="55"/>
      <c r="L155" s="55"/>
      <c r="M155" s="55"/>
      <c r="N155" s="55"/>
      <c r="O155" s="55"/>
      <c r="P155" s="55"/>
      <c r="Q155" s="157"/>
      <c r="R155" s="55" t="s">
        <v>336</v>
      </c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130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131"/>
    </row>
    <row r="156" spans="2:61" ht="20.100000000000001" customHeight="1" x14ac:dyDescent="0.45">
      <c r="B156" s="155"/>
      <c r="C156" s="31"/>
      <c r="D156" s="31"/>
      <c r="E156" s="31"/>
      <c r="F156" s="31"/>
      <c r="G156" s="128"/>
      <c r="H156" s="31"/>
      <c r="I156" s="31"/>
      <c r="J156" s="132" t="s">
        <v>291</v>
      </c>
      <c r="K156" s="55"/>
      <c r="L156" s="55"/>
      <c r="M156" s="55"/>
      <c r="N156" s="55"/>
      <c r="O156" s="55"/>
      <c r="P156" s="55"/>
      <c r="Q156" s="157"/>
      <c r="R156" s="55" t="s">
        <v>337</v>
      </c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130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131"/>
    </row>
    <row r="157" spans="2:61" ht="20.100000000000001" customHeight="1" x14ac:dyDescent="0.45">
      <c r="B157" s="155"/>
      <c r="C157" s="31"/>
      <c r="D157" s="31"/>
      <c r="E157" s="31"/>
      <c r="F157" s="31"/>
      <c r="G157" s="128"/>
      <c r="H157" s="31"/>
      <c r="I157" s="31"/>
      <c r="J157" s="132" t="s">
        <v>292</v>
      </c>
      <c r="K157" s="55"/>
      <c r="L157" s="55"/>
      <c r="M157" s="55"/>
      <c r="N157" s="55"/>
      <c r="O157" s="55"/>
      <c r="P157" s="55"/>
      <c r="Q157" s="157"/>
      <c r="R157" s="55" t="s">
        <v>338</v>
      </c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130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131"/>
    </row>
    <row r="158" spans="2:61" ht="20.100000000000001" customHeight="1" x14ac:dyDescent="0.45">
      <c r="B158" s="155"/>
      <c r="C158" s="31"/>
      <c r="D158" s="31"/>
      <c r="E158" s="31"/>
      <c r="F158" s="31"/>
      <c r="G158" s="128"/>
      <c r="H158" s="31"/>
      <c r="I158" s="31"/>
      <c r="J158" s="132" t="s">
        <v>293</v>
      </c>
      <c r="K158" s="55"/>
      <c r="L158" s="55"/>
      <c r="M158" s="55"/>
      <c r="N158" s="55"/>
      <c r="O158" s="55"/>
      <c r="P158" s="55"/>
      <c r="Q158" s="157"/>
      <c r="R158" s="55" t="s">
        <v>339</v>
      </c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130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131"/>
    </row>
    <row r="159" spans="2:61" ht="20.100000000000001" customHeight="1" x14ac:dyDescent="0.45">
      <c r="B159" s="155"/>
      <c r="C159" s="31"/>
      <c r="D159" s="31"/>
      <c r="E159" s="31"/>
      <c r="F159" s="31"/>
      <c r="G159" s="128"/>
      <c r="H159" s="31"/>
      <c r="I159" s="31"/>
      <c r="J159" s="132" t="s">
        <v>294</v>
      </c>
      <c r="K159" s="55"/>
      <c r="L159" s="55"/>
      <c r="M159" s="55"/>
      <c r="N159" s="55"/>
      <c r="O159" s="55"/>
      <c r="P159" s="55"/>
      <c r="Q159" s="157"/>
      <c r="R159" s="55" t="s">
        <v>340</v>
      </c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130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131"/>
    </row>
    <row r="160" spans="2:61" ht="20.100000000000001" customHeight="1" x14ac:dyDescent="0.45">
      <c r="B160" s="155"/>
      <c r="C160" s="31"/>
      <c r="D160" s="31"/>
      <c r="E160" s="31"/>
      <c r="F160" s="31"/>
      <c r="G160" s="128"/>
      <c r="H160" s="31"/>
      <c r="I160" s="31"/>
      <c r="J160" s="132" t="s">
        <v>295</v>
      </c>
      <c r="K160" s="55"/>
      <c r="L160" s="55"/>
      <c r="M160" s="55"/>
      <c r="N160" s="55"/>
      <c r="O160" s="55"/>
      <c r="P160" s="55"/>
      <c r="Q160" s="157"/>
      <c r="R160" s="55" t="s">
        <v>341</v>
      </c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130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131"/>
    </row>
    <row r="161" spans="2:61" ht="20.100000000000001" customHeight="1" x14ac:dyDescent="0.45">
      <c r="B161" s="155"/>
      <c r="C161" s="31"/>
      <c r="D161" s="31"/>
      <c r="E161" s="31"/>
      <c r="F161" s="31"/>
      <c r="G161" s="128"/>
      <c r="H161" s="31"/>
      <c r="I161" s="31"/>
      <c r="J161" s="132" t="s">
        <v>296</v>
      </c>
      <c r="K161" s="55"/>
      <c r="L161" s="55"/>
      <c r="M161" s="55"/>
      <c r="N161" s="55"/>
      <c r="O161" s="55"/>
      <c r="P161" s="55"/>
      <c r="Q161" s="157"/>
      <c r="R161" s="55" t="s">
        <v>342</v>
      </c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130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131"/>
    </row>
    <row r="162" spans="2:61" ht="20.100000000000001" customHeight="1" x14ac:dyDescent="0.45">
      <c r="B162" s="155"/>
      <c r="C162" s="31"/>
      <c r="D162" s="31"/>
      <c r="E162" s="31"/>
      <c r="F162" s="31"/>
      <c r="G162" s="128"/>
      <c r="H162" s="31"/>
      <c r="I162" s="31"/>
      <c r="J162" s="132" t="s">
        <v>297</v>
      </c>
      <c r="K162" s="55"/>
      <c r="L162" s="55"/>
      <c r="M162" s="55"/>
      <c r="N162" s="55"/>
      <c r="O162" s="55"/>
      <c r="P162" s="55"/>
      <c r="Q162" s="157"/>
      <c r="R162" s="55" t="s">
        <v>343</v>
      </c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130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131"/>
    </row>
    <row r="163" spans="2:61" ht="20.100000000000001" customHeight="1" x14ac:dyDescent="0.45">
      <c r="B163" s="155"/>
      <c r="C163" s="31"/>
      <c r="D163" s="31"/>
      <c r="E163" s="31"/>
      <c r="F163" s="31"/>
      <c r="G163" s="128"/>
      <c r="H163" s="31"/>
      <c r="I163" s="31"/>
      <c r="J163" s="132" t="s">
        <v>298</v>
      </c>
      <c r="K163" s="55"/>
      <c r="L163" s="55"/>
      <c r="M163" s="55"/>
      <c r="N163" s="55"/>
      <c r="O163" s="55"/>
      <c r="P163" s="55"/>
      <c r="Q163" s="157"/>
      <c r="R163" s="55" t="s">
        <v>344</v>
      </c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130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131"/>
    </row>
    <row r="164" spans="2:61" ht="20.100000000000001" customHeight="1" x14ac:dyDescent="0.45">
      <c r="B164" s="155"/>
      <c r="C164" s="31"/>
      <c r="D164" s="31"/>
      <c r="E164" s="31"/>
      <c r="F164" s="31"/>
      <c r="G164" s="128"/>
      <c r="H164" s="31"/>
      <c r="I164" s="31"/>
      <c r="J164" s="132" t="s">
        <v>299</v>
      </c>
      <c r="K164" s="55"/>
      <c r="L164" s="55"/>
      <c r="M164" s="55"/>
      <c r="N164" s="55"/>
      <c r="O164" s="55"/>
      <c r="P164" s="55"/>
      <c r="Q164" s="157"/>
      <c r="R164" s="55" t="s">
        <v>345</v>
      </c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130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131"/>
    </row>
    <row r="165" spans="2:61" ht="20.100000000000001" customHeight="1" x14ac:dyDescent="0.45">
      <c r="B165" s="155"/>
      <c r="C165" s="31"/>
      <c r="D165" s="31"/>
      <c r="E165" s="31"/>
      <c r="F165" s="31"/>
      <c r="G165" s="128"/>
      <c r="H165" s="31"/>
      <c r="I165" s="31"/>
      <c r="J165" s="132" t="s">
        <v>300</v>
      </c>
      <c r="K165" s="55"/>
      <c r="L165" s="55"/>
      <c r="M165" s="55"/>
      <c r="N165" s="55"/>
      <c r="O165" s="55"/>
      <c r="P165" s="55"/>
      <c r="Q165" s="157"/>
      <c r="R165" s="55" t="s">
        <v>346</v>
      </c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130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131"/>
    </row>
    <row r="166" spans="2:61" ht="20.100000000000001" customHeight="1" x14ac:dyDescent="0.45">
      <c r="B166" s="155"/>
      <c r="C166" s="31"/>
      <c r="D166" s="31"/>
      <c r="E166" s="31"/>
      <c r="F166" s="31"/>
      <c r="G166" s="128"/>
      <c r="H166" s="31"/>
      <c r="I166" s="31"/>
      <c r="J166" s="132" t="s">
        <v>301</v>
      </c>
      <c r="K166" s="55"/>
      <c r="L166" s="55"/>
      <c r="M166" s="55"/>
      <c r="N166" s="55"/>
      <c r="O166" s="55"/>
      <c r="P166" s="55"/>
      <c r="Q166" s="157"/>
      <c r="R166" s="55" t="s">
        <v>347</v>
      </c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130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131"/>
    </row>
    <row r="167" spans="2:61" ht="20.100000000000001" customHeight="1" x14ac:dyDescent="0.45">
      <c r="B167" s="155"/>
      <c r="C167" s="31"/>
      <c r="D167" s="31"/>
      <c r="E167" s="31"/>
      <c r="F167" s="31"/>
      <c r="G167" s="128"/>
      <c r="H167" s="31"/>
      <c r="I167" s="31"/>
      <c r="J167" s="132" t="s">
        <v>302</v>
      </c>
      <c r="K167" s="55"/>
      <c r="L167" s="55"/>
      <c r="M167" s="55"/>
      <c r="N167" s="55"/>
      <c r="O167" s="55"/>
      <c r="P167" s="55"/>
      <c r="Q167" s="157"/>
      <c r="R167" s="55" t="s">
        <v>348</v>
      </c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130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131"/>
    </row>
    <row r="168" spans="2:61" ht="20.100000000000001" customHeight="1" x14ac:dyDescent="0.45">
      <c r="B168" s="155"/>
      <c r="C168" s="31"/>
      <c r="D168" s="31"/>
      <c r="E168" s="31"/>
      <c r="F168" s="31"/>
      <c r="G168" s="128"/>
      <c r="H168" s="31"/>
      <c r="I168" s="31"/>
      <c r="J168" s="132" t="s">
        <v>303</v>
      </c>
      <c r="K168" s="55"/>
      <c r="L168" s="55"/>
      <c r="M168" s="55"/>
      <c r="N168" s="55"/>
      <c r="O168" s="55"/>
      <c r="P168" s="55"/>
      <c r="Q168" s="157"/>
      <c r="R168" s="55" t="s">
        <v>349</v>
      </c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130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131"/>
    </row>
    <row r="169" spans="2:61" ht="20.100000000000001" customHeight="1" x14ac:dyDescent="0.45">
      <c r="B169" s="155"/>
      <c r="C169" s="31"/>
      <c r="D169" s="31"/>
      <c r="E169" s="31"/>
      <c r="F169" s="31"/>
      <c r="G169" s="128"/>
      <c r="H169" s="31"/>
      <c r="I169" s="31"/>
      <c r="J169" s="132" t="s">
        <v>304</v>
      </c>
      <c r="K169" s="55"/>
      <c r="L169" s="55"/>
      <c r="M169" s="55"/>
      <c r="N169" s="55"/>
      <c r="O169" s="55"/>
      <c r="P169" s="55"/>
      <c r="Q169" s="157"/>
      <c r="R169" s="55" t="s">
        <v>350</v>
      </c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130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131"/>
    </row>
    <row r="170" spans="2:61" ht="20.100000000000001" customHeight="1" x14ac:dyDescent="0.45">
      <c r="B170" s="155"/>
      <c r="C170" s="31"/>
      <c r="D170" s="31"/>
      <c r="E170" s="31"/>
      <c r="F170" s="31"/>
      <c r="G170" s="128"/>
      <c r="H170" s="31"/>
      <c r="I170" s="31"/>
      <c r="J170" s="132" t="s">
        <v>305</v>
      </c>
      <c r="K170" s="55"/>
      <c r="L170" s="55"/>
      <c r="M170" s="55"/>
      <c r="N170" s="55"/>
      <c r="O170" s="55"/>
      <c r="P170" s="55"/>
      <c r="Q170" s="157"/>
      <c r="R170" s="55" t="s">
        <v>351</v>
      </c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130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131"/>
    </row>
    <row r="171" spans="2:61" ht="20.100000000000001" customHeight="1" x14ac:dyDescent="0.45">
      <c r="B171" s="155"/>
      <c r="C171" s="31"/>
      <c r="D171" s="31"/>
      <c r="E171" s="31"/>
      <c r="F171" s="31"/>
      <c r="G171" s="128"/>
      <c r="H171" s="132" t="s">
        <v>79</v>
      </c>
      <c r="I171" s="55"/>
      <c r="J171" s="132" t="s">
        <v>208</v>
      </c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130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131"/>
    </row>
    <row r="172" spans="2:61" ht="20.100000000000001" customHeight="1" thickBot="1" x14ac:dyDescent="0.5">
      <c r="B172" s="155"/>
      <c r="C172" s="31"/>
      <c r="D172" s="31"/>
      <c r="E172" s="31"/>
      <c r="F172" s="31"/>
      <c r="G172" s="128"/>
      <c r="H172" s="132" t="s">
        <v>357</v>
      </c>
      <c r="I172" s="55"/>
      <c r="J172" s="132" t="s">
        <v>311</v>
      </c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133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  <c r="BD172" s="55"/>
      <c r="BE172" s="55"/>
      <c r="BF172" s="55"/>
      <c r="BG172" s="55"/>
      <c r="BH172" s="55"/>
      <c r="BI172" s="134"/>
    </row>
    <row r="173" spans="2:61" ht="5.0999999999999996" customHeight="1" x14ac:dyDescent="0.45"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O173" s="122"/>
      <c r="AP173" s="122"/>
      <c r="AQ173" s="122"/>
      <c r="AR173" s="122"/>
      <c r="AS173" s="122"/>
      <c r="AT173" s="122"/>
      <c r="AU173" s="122"/>
      <c r="AV173" s="122"/>
      <c r="AW173" s="122"/>
      <c r="AX173" s="122"/>
      <c r="AY173" s="122"/>
      <c r="AZ173" s="122"/>
      <c r="BA173" s="122"/>
      <c r="BB173" s="122"/>
      <c r="BC173" s="122"/>
      <c r="BD173" s="122"/>
      <c r="BE173" s="122"/>
      <c r="BF173" s="122"/>
      <c r="BG173" s="122"/>
      <c r="BH173" s="122"/>
      <c r="BI173" s="122"/>
    </row>
  </sheetData>
  <mergeCells count="24">
    <mergeCell ref="R40:AJ40"/>
    <mergeCell ref="AK40:BI40"/>
    <mergeCell ref="BF3:BI4"/>
    <mergeCell ref="BJ3:BM4"/>
    <mergeCell ref="AX2:BA2"/>
    <mergeCell ref="BB2:BE2"/>
    <mergeCell ref="BF2:BI2"/>
    <mergeCell ref="BJ2:BM2"/>
    <mergeCell ref="AK20:BI20"/>
    <mergeCell ref="R20:AJ20"/>
    <mergeCell ref="AK3:AW4"/>
    <mergeCell ref="AK2:AW2"/>
    <mergeCell ref="AX3:BA4"/>
    <mergeCell ref="BB3:BE4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15" t="s">
        <v>0</v>
      </c>
      <c r="C2" s="216"/>
      <c r="D2" s="216"/>
      <c r="E2" s="216"/>
      <c r="F2" s="216"/>
      <c r="G2" s="216"/>
      <c r="H2" s="216" t="s">
        <v>17</v>
      </c>
      <c r="I2" s="216"/>
      <c r="J2" s="216"/>
      <c r="K2" s="216"/>
      <c r="L2" s="216" t="s">
        <v>1</v>
      </c>
      <c r="M2" s="216"/>
      <c r="N2" s="216"/>
      <c r="O2" s="216"/>
      <c r="P2" s="216"/>
      <c r="Q2" s="216"/>
      <c r="R2" s="216" t="s">
        <v>2</v>
      </c>
      <c r="S2" s="216"/>
      <c r="T2" s="216"/>
      <c r="U2" s="216"/>
      <c r="V2" s="216"/>
      <c r="W2" s="216"/>
      <c r="X2" s="217" t="s">
        <v>3</v>
      </c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9"/>
      <c r="AK2" s="217" t="s">
        <v>32</v>
      </c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9"/>
      <c r="AX2" s="216" t="s">
        <v>5</v>
      </c>
      <c r="AY2" s="216"/>
      <c r="AZ2" s="216"/>
      <c r="BA2" s="216"/>
      <c r="BB2" s="216" t="s">
        <v>4</v>
      </c>
      <c r="BC2" s="216"/>
      <c r="BD2" s="216"/>
      <c r="BE2" s="216"/>
      <c r="BF2" s="216" t="s">
        <v>6</v>
      </c>
      <c r="BG2" s="216"/>
      <c r="BH2" s="216"/>
      <c r="BI2" s="216"/>
      <c r="BJ2" s="216" t="s">
        <v>7</v>
      </c>
      <c r="BK2" s="216"/>
      <c r="BL2" s="216"/>
      <c r="BM2" s="229"/>
    </row>
    <row r="3" spans="2:65" ht="20.100000000000001" customHeight="1" x14ac:dyDescent="0.45">
      <c r="B3" s="209" t="str">
        <f>変更履歴!B3</f>
        <v>受発注システム</v>
      </c>
      <c r="C3" s="172"/>
      <c r="D3" s="172"/>
      <c r="E3" s="172"/>
      <c r="F3" s="172"/>
      <c r="G3" s="172"/>
      <c r="H3" s="172" t="str">
        <f ca="1">変更履歴!H3</f>
        <v>TK0200</v>
      </c>
      <c r="I3" s="172"/>
      <c r="J3" s="172"/>
      <c r="K3" s="172"/>
      <c r="L3" s="172" t="str">
        <f>変更履歴!L3</f>
        <v>受発注</v>
      </c>
      <c r="M3" s="172"/>
      <c r="N3" s="172"/>
      <c r="O3" s="172"/>
      <c r="P3" s="172"/>
      <c r="Q3" s="172"/>
      <c r="R3" s="172" t="str">
        <f ca="1">変更履歴!R3</f>
        <v>帳票設計書</v>
      </c>
      <c r="S3" s="172"/>
      <c r="T3" s="172"/>
      <c r="U3" s="172"/>
      <c r="V3" s="172"/>
      <c r="W3" s="172"/>
      <c r="X3" s="175" t="str">
        <f ca="1">変更履歴!X3</f>
        <v>TK0200_仕入別年間仕入順位推移表_帳票設計書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  <c r="AK3" s="175" t="str">
        <f ca="1">変更履歴!AK3</f>
        <v>仕入別年間仕入順位推移表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7"/>
      <c r="AX3" s="171">
        <f>変更履歴!AX3</f>
        <v>45581</v>
      </c>
      <c r="AY3" s="171"/>
      <c r="AZ3" s="171"/>
      <c r="BA3" s="171"/>
      <c r="BB3" s="172" t="str">
        <f>変更履歴!BB3</f>
        <v>大谷</v>
      </c>
      <c r="BC3" s="172"/>
      <c r="BD3" s="172"/>
      <c r="BE3" s="172"/>
      <c r="BF3" s="171">
        <f>変更履歴!BF3</f>
        <v>45581</v>
      </c>
      <c r="BG3" s="171"/>
      <c r="BH3" s="171"/>
      <c r="BI3" s="171"/>
      <c r="BJ3" s="172" t="str">
        <f>変更履歴!BJ3</f>
        <v>大谷</v>
      </c>
      <c r="BK3" s="172"/>
      <c r="BL3" s="172"/>
      <c r="BM3" s="227"/>
    </row>
    <row r="4" spans="2:65" ht="20.100000000000001" customHeight="1" thickBot="1" x14ac:dyDescent="0.5">
      <c r="B4" s="210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2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4"/>
      <c r="AK4" s="212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4"/>
      <c r="AX4" s="226"/>
      <c r="AY4" s="226"/>
      <c r="AZ4" s="226"/>
      <c r="BA4" s="226"/>
      <c r="BB4" s="211"/>
      <c r="BC4" s="211"/>
      <c r="BD4" s="211"/>
      <c r="BE4" s="211"/>
      <c r="BF4" s="226"/>
      <c r="BG4" s="226"/>
      <c r="BH4" s="226"/>
      <c r="BI4" s="226"/>
      <c r="BJ4" s="211"/>
      <c r="BK4" s="211"/>
      <c r="BL4" s="211"/>
      <c r="BM4" s="228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21" t="s">
        <v>82</v>
      </c>
      <c r="C7" s="122"/>
      <c r="D7" s="122"/>
      <c r="E7" s="122"/>
      <c r="F7" s="122"/>
      <c r="G7" s="122"/>
      <c r="H7" s="124" t="s">
        <v>110</v>
      </c>
      <c r="I7" s="123"/>
      <c r="J7" s="158" t="s">
        <v>20</v>
      </c>
      <c r="K7" s="153"/>
      <c r="L7" s="153"/>
      <c r="M7" s="153"/>
      <c r="N7" s="153"/>
      <c r="O7" s="153"/>
      <c r="P7" s="153"/>
      <c r="Q7" s="153"/>
      <c r="R7" s="158" t="s">
        <v>111</v>
      </c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4"/>
      <c r="AK7" s="125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6"/>
      <c r="BJ7" s="29"/>
      <c r="BK7" s="29"/>
      <c r="BL7" s="29"/>
      <c r="BM7" s="29"/>
    </row>
    <row r="8" spans="2:65" ht="20.100000000000001" customHeight="1" x14ac:dyDescent="0.45">
      <c r="B8" s="155"/>
      <c r="C8" s="31"/>
      <c r="D8" s="31"/>
      <c r="E8" s="31"/>
      <c r="F8" s="31"/>
      <c r="G8" s="31"/>
      <c r="H8" s="129"/>
      <c r="I8" s="128"/>
      <c r="J8" s="156" t="s">
        <v>112</v>
      </c>
      <c r="K8" s="52"/>
      <c r="L8" s="52"/>
      <c r="M8" s="52"/>
      <c r="N8" s="52"/>
      <c r="O8" s="52"/>
      <c r="P8" s="52"/>
      <c r="Q8" s="52"/>
      <c r="R8" s="156" t="s">
        <v>113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57"/>
      <c r="AK8" s="130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31"/>
      <c r="BJ8" s="29"/>
      <c r="BK8" s="29"/>
      <c r="BL8" s="29"/>
      <c r="BM8" s="29"/>
    </row>
    <row r="9" spans="2:65" ht="20.100000000000001" customHeight="1" x14ac:dyDescent="0.45">
      <c r="B9" s="155"/>
      <c r="C9" s="31"/>
      <c r="D9" s="31"/>
      <c r="E9" s="31"/>
      <c r="F9" s="31"/>
      <c r="G9" s="31"/>
      <c r="H9" s="135"/>
      <c r="I9" s="159"/>
      <c r="J9" s="156" t="s">
        <v>114</v>
      </c>
      <c r="K9" s="52"/>
      <c r="L9" s="52"/>
      <c r="M9" s="52"/>
      <c r="N9" s="52"/>
      <c r="O9" s="52"/>
      <c r="P9" s="52"/>
      <c r="Q9" s="52"/>
      <c r="R9" s="156" t="s">
        <v>115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57"/>
      <c r="AK9" s="137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8"/>
      <c r="BJ9" s="29"/>
      <c r="BK9" s="29"/>
      <c r="BL9" s="29"/>
      <c r="BM9" s="29"/>
    </row>
    <row r="10" spans="2:65" ht="20.100000000000001" customHeight="1" x14ac:dyDescent="0.45">
      <c r="B10" s="155"/>
      <c r="C10" s="31"/>
      <c r="D10" s="31"/>
      <c r="E10" s="31"/>
      <c r="F10" s="31"/>
      <c r="G10" s="128"/>
      <c r="H10" s="129" t="s">
        <v>83</v>
      </c>
      <c r="I10" s="31"/>
      <c r="J10" s="143" t="s">
        <v>84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30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31"/>
      <c r="BJ10" s="29"/>
      <c r="BK10" s="29"/>
      <c r="BL10" s="29"/>
      <c r="BM10" s="29"/>
    </row>
    <row r="11" spans="2:65" ht="20.100000000000001" customHeight="1" x14ac:dyDescent="0.45">
      <c r="B11" s="127"/>
      <c r="C11" s="31"/>
      <c r="D11" s="31"/>
      <c r="E11" s="31"/>
      <c r="F11" s="31"/>
      <c r="G11" s="128"/>
      <c r="H11" s="129"/>
      <c r="I11" s="31"/>
      <c r="J11" s="129" t="s">
        <v>85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30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31"/>
      <c r="BJ11" s="29"/>
      <c r="BK11" s="29"/>
      <c r="BL11" s="29"/>
      <c r="BM11" s="29"/>
    </row>
    <row r="12" spans="2:65" ht="20.100000000000001" customHeight="1" x14ac:dyDescent="0.45">
      <c r="B12" s="127"/>
      <c r="C12" s="31"/>
      <c r="D12" s="31"/>
      <c r="E12" s="31"/>
      <c r="F12" s="31"/>
      <c r="G12" s="128"/>
      <c r="H12" s="129"/>
      <c r="I12" s="31"/>
      <c r="J12" s="129" t="s">
        <v>86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30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31"/>
      <c r="BJ12" s="29"/>
      <c r="BK12" s="29"/>
      <c r="BL12" s="29"/>
      <c r="BM12" s="29"/>
    </row>
    <row r="13" spans="2:65" ht="20.100000000000001" customHeight="1" x14ac:dyDescent="0.45">
      <c r="B13" s="127"/>
      <c r="C13" s="31"/>
      <c r="D13" s="31"/>
      <c r="E13" s="31"/>
      <c r="F13" s="31"/>
      <c r="G13" s="128"/>
      <c r="H13" s="129"/>
      <c r="I13" s="31"/>
      <c r="J13" s="129" t="s">
        <v>87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30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31"/>
      <c r="BJ13" s="29"/>
      <c r="BK13" s="29"/>
      <c r="BL13" s="29"/>
      <c r="BM13" s="29"/>
    </row>
    <row r="14" spans="2:65" ht="20.100000000000001" customHeight="1" x14ac:dyDescent="0.45">
      <c r="B14" s="127"/>
      <c r="C14" s="31"/>
      <c r="D14" s="31"/>
      <c r="E14" s="31"/>
      <c r="F14" s="31"/>
      <c r="G14" s="128"/>
      <c r="H14" s="132" t="s">
        <v>88</v>
      </c>
      <c r="I14" s="55"/>
      <c r="J14" s="139" t="s">
        <v>89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33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34"/>
      <c r="BJ14" s="29"/>
      <c r="BK14" s="29"/>
      <c r="BL14" s="29"/>
      <c r="BM14" s="29"/>
    </row>
    <row r="15" spans="2:65" ht="20.100000000000001" customHeight="1" x14ac:dyDescent="0.45">
      <c r="B15" s="127"/>
      <c r="C15" s="31"/>
      <c r="D15" s="31"/>
      <c r="E15" s="31"/>
      <c r="F15" s="31"/>
      <c r="G15" s="128"/>
      <c r="H15" s="129"/>
      <c r="I15" s="31"/>
      <c r="J15" s="140"/>
      <c r="K15" s="141" t="s">
        <v>90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30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31"/>
      <c r="BJ15" s="29"/>
      <c r="BK15" s="29"/>
      <c r="BL15" s="29"/>
      <c r="BM15" s="29"/>
    </row>
    <row r="16" spans="2:65" ht="20.100000000000001" customHeight="1" x14ac:dyDescent="0.45">
      <c r="B16" s="127"/>
      <c r="C16" s="31"/>
      <c r="D16" s="31"/>
      <c r="E16" s="31"/>
      <c r="F16" s="31"/>
      <c r="G16" s="128"/>
      <c r="H16" s="129"/>
      <c r="I16" s="31"/>
      <c r="J16" s="129"/>
      <c r="K16" s="29"/>
      <c r="L16" s="142"/>
      <c r="M16" s="141" t="s">
        <v>91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30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31"/>
      <c r="BJ16" s="29"/>
      <c r="BK16" s="29"/>
      <c r="BL16" s="29"/>
      <c r="BM16" s="29"/>
    </row>
    <row r="17" spans="2:65" ht="20.100000000000001" customHeight="1" x14ac:dyDescent="0.45">
      <c r="B17" s="127"/>
      <c r="C17" s="31"/>
      <c r="D17" s="31"/>
      <c r="E17" s="31"/>
      <c r="F17" s="31"/>
      <c r="G17" s="128"/>
      <c r="H17" s="129"/>
      <c r="I17" s="31"/>
      <c r="J17" s="129"/>
      <c r="K17" s="29"/>
      <c r="L17" s="142" t="s">
        <v>92</v>
      </c>
      <c r="M17" s="141" t="s">
        <v>91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30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31"/>
      <c r="BJ17" s="29"/>
      <c r="BK17" s="29"/>
      <c r="BL17" s="29"/>
      <c r="BM17" s="29"/>
    </row>
    <row r="18" spans="2:65" ht="20.100000000000001" customHeight="1" x14ac:dyDescent="0.45">
      <c r="B18" s="127"/>
      <c r="C18" s="31"/>
      <c r="D18" s="31"/>
      <c r="E18" s="31"/>
      <c r="F18" s="31"/>
      <c r="G18" s="128"/>
      <c r="H18" s="129"/>
      <c r="I18" s="31"/>
      <c r="J18" s="129"/>
      <c r="K18" s="29"/>
      <c r="L18" s="142" t="s">
        <v>93</v>
      </c>
      <c r="M18" s="141" t="s">
        <v>91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30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31"/>
      <c r="BJ18" s="29"/>
      <c r="BK18" s="29"/>
      <c r="BL18" s="29"/>
      <c r="BM18" s="29"/>
    </row>
    <row r="19" spans="2:65" ht="20.100000000000001" customHeight="1" x14ac:dyDescent="0.45">
      <c r="B19" s="127"/>
      <c r="C19" s="31"/>
      <c r="D19" s="31"/>
      <c r="E19" s="31"/>
      <c r="F19" s="31"/>
      <c r="G19" s="128"/>
      <c r="H19" s="129"/>
      <c r="I19" s="31"/>
      <c r="J19" s="129" t="s">
        <v>94</v>
      </c>
      <c r="K19" s="142"/>
      <c r="L19" s="14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30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31"/>
      <c r="BJ19" s="29"/>
      <c r="BK19" s="29"/>
      <c r="BL19" s="29"/>
      <c r="BM19" s="29"/>
    </row>
    <row r="20" spans="2:65" ht="20.100000000000001" customHeight="1" x14ac:dyDescent="0.45">
      <c r="B20" s="127"/>
      <c r="C20" s="31"/>
      <c r="D20" s="31"/>
      <c r="E20" s="31"/>
      <c r="F20" s="31"/>
      <c r="G20" s="128"/>
      <c r="H20" s="129"/>
      <c r="I20" s="31"/>
      <c r="J20" s="129"/>
      <c r="K20" s="31" t="s">
        <v>95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30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31"/>
      <c r="BJ20" s="29"/>
      <c r="BK20" s="29"/>
      <c r="BL20" s="29"/>
      <c r="BM20" s="29"/>
    </row>
    <row r="21" spans="2:65" ht="20.100000000000001" customHeight="1" x14ac:dyDescent="0.45">
      <c r="B21" s="127"/>
      <c r="C21" s="31"/>
      <c r="D21" s="31"/>
      <c r="E21" s="31"/>
      <c r="F21" s="31"/>
      <c r="G21" s="128"/>
      <c r="H21" s="129"/>
      <c r="I21" s="31"/>
      <c r="J21" s="129"/>
      <c r="K21" s="29"/>
      <c r="L21" s="31"/>
      <c r="M21" s="31" t="s">
        <v>96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30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31"/>
    </row>
    <row r="22" spans="2:65" ht="20.100000000000001" customHeight="1" x14ac:dyDescent="0.45">
      <c r="B22" s="127"/>
      <c r="C22" s="31"/>
      <c r="D22" s="31"/>
      <c r="E22" s="31"/>
      <c r="F22" s="31"/>
      <c r="G22" s="128"/>
      <c r="H22" s="135"/>
      <c r="I22" s="136"/>
      <c r="J22" s="135"/>
      <c r="K22" s="136"/>
      <c r="L22" s="136" t="s">
        <v>92</v>
      </c>
      <c r="M22" s="136" t="s">
        <v>97</v>
      </c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7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8"/>
    </row>
    <row r="23" spans="2:65" ht="20.100000000000001" customHeight="1" x14ac:dyDescent="0.45">
      <c r="B23" s="127"/>
      <c r="C23" s="31"/>
      <c r="D23" s="31"/>
      <c r="E23" s="31"/>
      <c r="F23" s="31"/>
      <c r="G23" s="128"/>
      <c r="H23" s="129" t="s">
        <v>98</v>
      </c>
      <c r="I23" s="31"/>
      <c r="J23" s="143"/>
      <c r="K23" s="141" t="s">
        <v>99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44" t="s">
        <v>100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31"/>
    </row>
    <row r="24" spans="2:65" ht="20.100000000000001" customHeight="1" x14ac:dyDescent="0.45">
      <c r="B24" s="127"/>
      <c r="C24" s="31"/>
      <c r="D24" s="31"/>
      <c r="E24" s="31"/>
      <c r="F24" s="31"/>
      <c r="G24" s="128"/>
      <c r="H24" s="129"/>
      <c r="I24" s="31"/>
      <c r="J24" s="143" t="s">
        <v>92</v>
      </c>
      <c r="K24" s="141" t="s">
        <v>101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30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31"/>
    </row>
    <row r="25" spans="2:65" ht="20.100000000000001" customHeight="1" x14ac:dyDescent="0.45">
      <c r="B25" s="127"/>
      <c r="C25" s="31"/>
      <c r="D25" s="31"/>
      <c r="E25" s="31"/>
      <c r="F25" s="31"/>
      <c r="G25" s="128"/>
      <c r="H25" s="129"/>
      <c r="I25" s="31"/>
      <c r="J25" s="143" t="s">
        <v>93</v>
      </c>
      <c r="K25" s="141" t="s">
        <v>101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30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31"/>
    </row>
    <row r="26" spans="2:65" ht="20.100000000000001" customHeight="1" x14ac:dyDescent="0.45">
      <c r="B26" s="127"/>
      <c r="C26" s="31"/>
      <c r="D26" s="31"/>
      <c r="E26" s="31"/>
      <c r="F26" s="31"/>
      <c r="G26" s="128"/>
      <c r="H26" s="129"/>
      <c r="I26" s="31"/>
      <c r="J26" s="143" t="s">
        <v>102</v>
      </c>
      <c r="K26" s="14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30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31"/>
    </row>
    <row r="27" spans="2:65" ht="20.100000000000001" customHeight="1" x14ac:dyDescent="0.45">
      <c r="B27" s="127"/>
      <c r="C27" s="31"/>
      <c r="D27" s="31"/>
      <c r="E27" s="31"/>
      <c r="F27" s="31"/>
      <c r="G27" s="128"/>
      <c r="H27" s="129"/>
      <c r="I27" s="31"/>
      <c r="J27" s="129"/>
      <c r="K27" s="31" t="s">
        <v>103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45" t="s">
        <v>104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31"/>
    </row>
    <row r="28" spans="2:65" ht="20.100000000000001" customHeight="1" x14ac:dyDescent="0.45">
      <c r="B28" s="127"/>
      <c r="C28" s="31"/>
      <c r="D28" s="31"/>
      <c r="E28" s="31"/>
      <c r="F28" s="31"/>
      <c r="G28" s="128"/>
      <c r="H28" s="129"/>
      <c r="I28" s="31"/>
      <c r="J28" s="129" t="s">
        <v>92</v>
      </c>
      <c r="K28" s="31" t="s">
        <v>105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29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31"/>
    </row>
    <row r="29" spans="2:65" ht="20.100000000000001" customHeight="1" x14ac:dyDescent="0.45">
      <c r="B29" s="127"/>
      <c r="C29" s="31"/>
      <c r="D29" s="31"/>
      <c r="E29" s="31"/>
      <c r="F29" s="31"/>
      <c r="G29" s="128"/>
      <c r="H29" s="129"/>
      <c r="I29" s="31"/>
      <c r="J29" s="143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29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31"/>
    </row>
    <row r="30" spans="2:65" ht="20.100000000000001" customHeight="1" x14ac:dyDescent="0.45">
      <c r="B30" s="127"/>
      <c r="C30" s="31"/>
      <c r="D30" s="31"/>
      <c r="E30" s="31"/>
      <c r="F30" s="31"/>
      <c r="G30" s="128"/>
      <c r="H30" s="129"/>
      <c r="I30" s="31"/>
      <c r="J30" s="129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29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31"/>
    </row>
    <row r="31" spans="2:65" ht="20.100000000000001" customHeight="1" x14ac:dyDescent="0.45">
      <c r="B31" s="127"/>
      <c r="C31" s="31"/>
      <c r="D31" s="31"/>
      <c r="E31" s="31"/>
      <c r="F31" s="31"/>
      <c r="G31" s="128"/>
      <c r="H31" s="135"/>
      <c r="I31" s="136"/>
      <c r="J31" s="135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5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8"/>
    </row>
    <row r="32" spans="2:65" ht="20.100000000000001" customHeight="1" x14ac:dyDescent="0.45">
      <c r="B32" s="127"/>
      <c r="C32" s="31"/>
      <c r="D32" s="31"/>
      <c r="E32" s="31"/>
      <c r="F32" s="31"/>
      <c r="G32" s="128"/>
      <c r="H32" s="129" t="s">
        <v>106</v>
      </c>
      <c r="I32" s="31"/>
      <c r="J32" s="143" t="s">
        <v>107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29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31"/>
    </row>
    <row r="33" spans="2:61" ht="20.100000000000001" customHeight="1" x14ac:dyDescent="0.45">
      <c r="B33" s="127"/>
      <c r="C33" s="31"/>
      <c r="D33" s="31"/>
      <c r="E33" s="31"/>
      <c r="F33" s="31"/>
      <c r="G33" s="128"/>
      <c r="H33" s="129"/>
      <c r="I33" s="31"/>
      <c r="J33" s="143" t="s">
        <v>108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29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31"/>
    </row>
    <row r="34" spans="2:61" ht="20.100000000000001" customHeight="1" thickBot="1" x14ac:dyDescent="0.5">
      <c r="B34" s="146"/>
      <c r="C34" s="147"/>
      <c r="D34" s="147"/>
      <c r="E34" s="147"/>
      <c r="F34" s="147"/>
      <c r="G34" s="148"/>
      <c r="H34" s="149"/>
      <c r="I34" s="147"/>
      <c r="J34" s="149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9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  <c r="BI34" s="150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51" t="s">
        <v>109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5.796875" style="29" bestFit="1" customWidth="1"/>
    <col min="5" max="5" width="32" style="29" bestFit="1" customWidth="1"/>
    <col min="6" max="6" width="32" style="29" customWidth="1"/>
    <col min="7" max="16384" width="8.796875" style="29"/>
  </cols>
  <sheetData>
    <row r="2" spans="2:7" ht="19.2" thickBot="1" x14ac:dyDescent="0.5">
      <c r="B2" s="87" t="s">
        <v>48</v>
      </c>
    </row>
    <row r="3" spans="2:7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160" t="s">
        <v>119</v>
      </c>
      <c r="G3" s="78" t="s">
        <v>51</v>
      </c>
    </row>
    <row r="4" spans="2:7" x14ac:dyDescent="0.45">
      <c r="B4" s="37">
        <v>1</v>
      </c>
      <c r="C4" s="79" t="s">
        <v>116</v>
      </c>
      <c r="D4" s="79"/>
      <c r="E4" s="80" t="s">
        <v>117</v>
      </c>
      <c r="F4" s="80" t="s">
        <v>120</v>
      </c>
      <c r="G4" s="81" t="s">
        <v>118</v>
      </c>
    </row>
    <row r="5" spans="2:7" x14ac:dyDescent="0.45">
      <c r="B5" s="37">
        <v>2</v>
      </c>
      <c r="C5" s="79"/>
      <c r="D5" s="79"/>
      <c r="E5" s="82"/>
      <c r="F5" s="82"/>
      <c r="G5" s="81"/>
    </row>
    <row r="6" spans="2:7" x14ac:dyDescent="0.45">
      <c r="B6" s="37">
        <v>3</v>
      </c>
      <c r="C6" s="79"/>
      <c r="D6" s="79"/>
      <c r="E6" s="82"/>
      <c r="F6" s="82"/>
      <c r="G6" s="81"/>
    </row>
    <row r="7" spans="2:7" x14ac:dyDescent="0.45">
      <c r="B7" s="37">
        <v>4</v>
      </c>
      <c r="C7" s="79"/>
      <c r="D7" s="79"/>
      <c r="E7" s="82"/>
      <c r="F7" s="82"/>
      <c r="G7" s="81"/>
    </row>
    <row r="8" spans="2:7" x14ac:dyDescent="0.45">
      <c r="B8" s="37">
        <v>5</v>
      </c>
      <c r="C8" s="79"/>
      <c r="D8" s="79"/>
      <c r="E8" s="82"/>
      <c r="F8" s="82"/>
      <c r="G8" s="81"/>
    </row>
    <row r="9" spans="2:7" x14ac:dyDescent="0.45">
      <c r="B9" s="37">
        <v>6</v>
      </c>
      <c r="C9" s="79"/>
      <c r="D9" s="79"/>
      <c r="E9" s="82"/>
      <c r="F9" s="82"/>
      <c r="G9" s="81"/>
    </row>
    <row r="10" spans="2:7" x14ac:dyDescent="0.45">
      <c r="B10" s="37">
        <v>7</v>
      </c>
      <c r="C10" s="79"/>
      <c r="D10" s="79"/>
      <c r="E10" s="82"/>
      <c r="F10" s="82"/>
      <c r="G10" s="81"/>
    </row>
    <row r="11" spans="2:7" x14ac:dyDescent="0.45">
      <c r="B11" s="37">
        <v>8</v>
      </c>
      <c r="C11" s="79"/>
      <c r="D11" s="79"/>
      <c r="E11" s="82"/>
      <c r="F11" s="82"/>
      <c r="G11" s="81"/>
    </row>
    <row r="12" spans="2:7" x14ac:dyDescent="0.45">
      <c r="B12" s="37">
        <v>9</v>
      </c>
      <c r="C12" s="79"/>
      <c r="D12" s="79"/>
      <c r="E12" s="82"/>
      <c r="F12" s="82"/>
      <c r="G12" s="81"/>
    </row>
    <row r="13" spans="2:7" x14ac:dyDescent="0.45">
      <c r="B13" s="37">
        <v>10</v>
      </c>
      <c r="C13" s="79"/>
      <c r="D13" s="79"/>
      <c r="E13" s="82"/>
      <c r="F13" s="82"/>
      <c r="G13" s="81"/>
    </row>
    <row r="14" spans="2:7" x14ac:dyDescent="0.45">
      <c r="B14" s="37">
        <v>11</v>
      </c>
      <c r="C14" s="79"/>
      <c r="D14" s="79"/>
      <c r="E14" s="82"/>
      <c r="F14" s="82"/>
      <c r="G14" s="81"/>
    </row>
    <row r="15" spans="2:7" x14ac:dyDescent="0.45">
      <c r="B15" s="37">
        <v>12</v>
      </c>
      <c r="C15" s="79"/>
      <c r="D15" s="79"/>
      <c r="E15" s="82"/>
      <c r="F15" s="82"/>
      <c r="G15" s="81"/>
    </row>
    <row r="16" spans="2:7" x14ac:dyDescent="0.45">
      <c r="B16" s="37">
        <v>13</v>
      </c>
      <c r="C16" s="79"/>
      <c r="D16" s="79"/>
      <c r="E16" s="82"/>
      <c r="F16" s="82"/>
      <c r="G16" s="81"/>
    </row>
    <row r="17" spans="2:7" x14ac:dyDescent="0.45">
      <c r="B17" s="37">
        <v>14</v>
      </c>
      <c r="C17" s="79"/>
      <c r="D17" s="79"/>
      <c r="E17" s="82"/>
      <c r="F17" s="82"/>
      <c r="G17" s="81"/>
    </row>
    <row r="18" spans="2:7" x14ac:dyDescent="0.45">
      <c r="B18" s="37">
        <v>15</v>
      </c>
      <c r="C18" s="79"/>
      <c r="D18" s="79"/>
      <c r="E18" s="82"/>
      <c r="F18" s="82"/>
      <c r="G18" s="81"/>
    </row>
    <row r="19" spans="2:7" x14ac:dyDescent="0.45">
      <c r="B19" s="37">
        <v>16</v>
      </c>
      <c r="C19" s="79"/>
      <c r="D19" s="79"/>
      <c r="E19" s="82"/>
      <c r="F19" s="82"/>
      <c r="G19" s="81"/>
    </row>
    <row r="20" spans="2:7" x14ac:dyDescent="0.45">
      <c r="B20" s="37">
        <v>17</v>
      </c>
      <c r="C20" s="79"/>
      <c r="D20" s="79"/>
      <c r="E20" s="82"/>
      <c r="F20" s="82"/>
      <c r="G20" s="81"/>
    </row>
    <row r="21" spans="2:7" x14ac:dyDescent="0.45">
      <c r="B21" s="37">
        <v>18</v>
      </c>
      <c r="C21" s="79"/>
      <c r="D21" s="79"/>
      <c r="E21" s="82"/>
      <c r="F21" s="82"/>
      <c r="G21" s="81"/>
    </row>
    <row r="22" spans="2:7" x14ac:dyDescent="0.45">
      <c r="B22" s="37">
        <v>19</v>
      </c>
      <c r="C22" s="79"/>
      <c r="D22" s="79"/>
      <c r="E22" s="82"/>
      <c r="F22" s="82"/>
      <c r="G22" s="81"/>
    </row>
    <row r="23" spans="2:7" x14ac:dyDescent="0.45">
      <c r="B23" s="37">
        <v>20</v>
      </c>
      <c r="C23" s="79"/>
      <c r="D23" s="79"/>
      <c r="E23" s="82"/>
      <c r="F23" s="82"/>
      <c r="G23" s="81"/>
    </row>
    <row r="24" spans="2:7" x14ac:dyDescent="0.45">
      <c r="B24" s="37">
        <v>21</v>
      </c>
      <c r="C24" s="79"/>
      <c r="D24" s="79"/>
      <c r="E24" s="82"/>
      <c r="F24" s="82"/>
      <c r="G24" s="81"/>
    </row>
    <row r="25" spans="2:7" x14ac:dyDescent="0.45">
      <c r="B25" s="37">
        <v>22</v>
      </c>
      <c r="C25" s="79"/>
      <c r="D25" s="79"/>
      <c r="E25" s="82"/>
      <c r="F25" s="82"/>
      <c r="G25" s="81"/>
    </row>
    <row r="26" spans="2:7" x14ac:dyDescent="0.45">
      <c r="B26" s="37">
        <v>23</v>
      </c>
      <c r="C26" s="79"/>
      <c r="D26" s="79"/>
      <c r="E26" s="82"/>
      <c r="F26" s="82"/>
      <c r="G26" s="81"/>
    </row>
    <row r="27" spans="2:7" x14ac:dyDescent="0.45">
      <c r="B27" s="37">
        <v>24</v>
      </c>
      <c r="C27" s="79"/>
      <c r="D27" s="79"/>
      <c r="E27" s="82"/>
      <c r="F27" s="82"/>
      <c r="G27" s="81"/>
    </row>
    <row r="28" spans="2:7" x14ac:dyDescent="0.45">
      <c r="B28" s="37">
        <v>25</v>
      </c>
      <c r="C28" s="79"/>
      <c r="D28" s="79"/>
      <c r="E28" s="82"/>
      <c r="F28" s="82"/>
      <c r="G28" s="81"/>
    </row>
    <row r="29" spans="2:7" x14ac:dyDescent="0.45">
      <c r="B29" s="37">
        <v>26</v>
      </c>
      <c r="C29" s="79"/>
      <c r="D29" s="79"/>
      <c r="E29" s="82"/>
      <c r="F29" s="82"/>
      <c r="G29" s="81"/>
    </row>
    <row r="30" spans="2:7" x14ac:dyDescent="0.45">
      <c r="B30" s="37">
        <v>27</v>
      </c>
      <c r="C30" s="79"/>
      <c r="D30" s="79"/>
      <c r="E30" s="82"/>
      <c r="F30" s="82"/>
      <c r="G30" s="81"/>
    </row>
    <row r="31" spans="2:7" x14ac:dyDescent="0.45">
      <c r="B31" s="37">
        <v>28</v>
      </c>
      <c r="C31" s="79"/>
      <c r="D31" s="79"/>
      <c r="E31" s="82"/>
      <c r="F31" s="82"/>
      <c r="G31" s="81"/>
    </row>
    <row r="32" spans="2:7" x14ac:dyDescent="0.45">
      <c r="B32" s="37">
        <v>29</v>
      </c>
      <c r="C32" s="79"/>
      <c r="D32" s="79"/>
      <c r="E32" s="82"/>
      <c r="F32" s="82"/>
      <c r="G32" s="81"/>
    </row>
    <row r="33" spans="2:7" x14ac:dyDescent="0.45">
      <c r="B33" s="37">
        <v>30</v>
      </c>
      <c r="C33" s="79"/>
      <c r="D33" s="79"/>
      <c r="E33" s="82"/>
      <c r="F33" s="82"/>
      <c r="G33" s="81"/>
    </row>
    <row r="34" spans="2:7" x14ac:dyDescent="0.45">
      <c r="B34" s="37">
        <v>31</v>
      </c>
      <c r="C34" s="79"/>
      <c r="D34" s="79"/>
      <c r="E34" s="82"/>
      <c r="F34" s="82"/>
      <c r="G34" s="81"/>
    </row>
    <row r="35" spans="2:7" x14ac:dyDescent="0.45">
      <c r="B35" s="37">
        <v>32</v>
      </c>
      <c r="C35" s="79"/>
      <c r="D35" s="79"/>
      <c r="E35" s="82"/>
      <c r="F35" s="82"/>
      <c r="G35" s="81"/>
    </row>
    <row r="36" spans="2:7" x14ac:dyDescent="0.45">
      <c r="B36" s="37">
        <v>33</v>
      </c>
      <c r="C36" s="79"/>
      <c r="D36" s="79"/>
      <c r="E36" s="82"/>
      <c r="F36" s="82"/>
      <c r="G36" s="81"/>
    </row>
    <row r="37" spans="2:7" x14ac:dyDescent="0.45">
      <c r="B37" s="37">
        <v>34</v>
      </c>
      <c r="C37" s="79"/>
      <c r="D37" s="79"/>
      <c r="E37" s="82"/>
      <c r="F37" s="82"/>
      <c r="G37" s="81"/>
    </row>
    <row r="38" spans="2:7" x14ac:dyDescent="0.45">
      <c r="B38" s="37">
        <v>35</v>
      </c>
      <c r="C38" s="79"/>
      <c r="D38" s="79"/>
      <c r="E38" s="82"/>
      <c r="F38" s="82"/>
      <c r="G38" s="81"/>
    </row>
    <row r="39" spans="2:7" x14ac:dyDescent="0.45">
      <c r="B39" s="37">
        <v>36</v>
      </c>
      <c r="C39" s="79"/>
      <c r="D39" s="79"/>
      <c r="E39" s="82"/>
      <c r="F39" s="82"/>
      <c r="G39" s="81"/>
    </row>
    <row r="40" spans="2:7" x14ac:dyDescent="0.45">
      <c r="B40" s="37">
        <v>37</v>
      </c>
      <c r="C40" s="79"/>
      <c r="D40" s="79"/>
      <c r="E40" s="82"/>
      <c r="F40" s="82"/>
      <c r="G40" s="81"/>
    </row>
    <row r="41" spans="2:7" x14ac:dyDescent="0.45">
      <c r="B41" s="37">
        <v>38</v>
      </c>
      <c r="C41" s="79"/>
      <c r="D41" s="79"/>
      <c r="E41" s="82"/>
      <c r="F41" s="82"/>
      <c r="G41" s="81"/>
    </row>
    <row r="42" spans="2:7" x14ac:dyDescent="0.45">
      <c r="B42" s="37">
        <v>39</v>
      </c>
      <c r="C42" s="79"/>
      <c r="D42" s="79"/>
      <c r="E42" s="82"/>
      <c r="F42" s="82"/>
      <c r="G42" s="81"/>
    </row>
    <row r="43" spans="2:7" x14ac:dyDescent="0.45">
      <c r="B43" s="37">
        <v>40</v>
      </c>
      <c r="C43" s="79"/>
      <c r="D43" s="79"/>
      <c r="E43" s="82"/>
      <c r="F43" s="82"/>
      <c r="G43" s="81"/>
    </row>
    <row r="44" spans="2:7" x14ac:dyDescent="0.45">
      <c r="B44" s="37">
        <v>41</v>
      </c>
      <c r="C44" s="79"/>
      <c r="D44" s="79"/>
      <c r="E44" s="82"/>
      <c r="F44" s="82"/>
      <c r="G44" s="81"/>
    </row>
    <row r="45" spans="2:7" x14ac:dyDescent="0.45">
      <c r="B45" s="37">
        <v>42</v>
      </c>
      <c r="C45" s="79"/>
      <c r="D45" s="79"/>
      <c r="E45" s="82"/>
      <c r="F45" s="82"/>
      <c r="G45" s="81"/>
    </row>
    <row r="46" spans="2:7" x14ac:dyDescent="0.45">
      <c r="B46" s="37">
        <v>43</v>
      </c>
      <c r="C46" s="79"/>
      <c r="D46" s="79"/>
      <c r="E46" s="82"/>
      <c r="F46" s="82"/>
      <c r="G46" s="81"/>
    </row>
    <row r="47" spans="2:7" x14ac:dyDescent="0.45">
      <c r="B47" s="37">
        <v>44</v>
      </c>
      <c r="C47" s="79"/>
      <c r="D47" s="79"/>
      <c r="E47" s="82"/>
      <c r="F47" s="82"/>
      <c r="G47" s="81"/>
    </row>
    <row r="48" spans="2:7" x14ac:dyDescent="0.45">
      <c r="B48" s="37">
        <v>45</v>
      </c>
      <c r="C48" s="79"/>
      <c r="D48" s="79"/>
      <c r="E48" s="82"/>
      <c r="F48" s="82"/>
      <c r="G48" s="81"/>
    </row>
    <row r="49" spans="2:7" x14ac:dyDescent="0.45">
      <c r="B49" s="37">
        <v>46</v>
      </c>
      <c r="C49" s="79"/>
      <c r="D49" s="79"/>
      <c r="E49" s="82"/>
      <c r="F49" s="82"/>
      <c r="G49" s="81"/>
    </row>
    <row r="50" spans="2:7" x14ac:dyDescent="0.45">
      <c r="B50" s="37">
        <v>47</v>
      </c>
      <c r="C50" s="79"/>
      <c r="D50" s="79"/>
      <c r="E50" s="82"/>
      <c r="F50" s="82"/>
      <c r="G50" s="81"/>
    </row>
    <row r="51" spans="2:7" x14ac:dyDescent="0.45">
      <c r="B51" s="37">
        <v>48</v>
      </c>
      <c r="C51" s="79"/>
      <c r="D51" s="79"/>
      <c r="E51" s="82"/>
      <c r="F51" s="82"/>
      <c r="G51" s="81"/>
    </row>
    <row r="52" spans="2:7" x14ac:dyDescent="0.45">
      <c r="B52" s="37">
        <v>49</v>
      </c>
      <c r="C52" s="79"/>
      <c r="D52" s="79"/>
      <c r="E52" s="82"/>
      <c r="F52" s="82"/>
      <c r="G52" s="81"/>
    </row>
    <row r="53" spans="2:7" x14ac:dyDescent="0.45">
      <c r="B53" s="37">
        <v>50</v>
      </c>
      <c r="C53" s="79"/>
      <c r="D53" s="79"/>
      <c r="E53" s="82"/>
      <c r="F53" s="82"/>
      <c r="G53" s="81"/>
    </row>
    <row r="54" spans="2:7" ht="18.600000000000001" thickBot="1" x14ac:dyDescent="0.5">
      <c r="B54" s="83">
        <v>51</v>
      </c>
      <c r="C54" s="84"/>
      <c r="D54" s="84"/>
      <c r="E54" s="85"/>
      <c r="F54" s="85"/>
      <c r="G54" s="86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P10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3.2" x14ac:dyDescent="0.45"/>
  <cols>
    <col min="1" max="1" width="8.69921875" style="89" customWidth="1"/>
    <col min="2" max="2" width="12.296875" style="89" customWidth="1"/>
    <col min="3" max="3" width="9" style="89" customWidth="1"/>
    <col min="4" max="4" width="4.8984375" style="89" bestFit="1" customWidth="1"/>
    <col min="5" max="5" width="6.3984375" style="89" bestFit="1" customWidth="1"/>
    <col min="6" max="6" width="6.3984375" style="89" hidden="1" customWidth="1"/>
    <col min="7" max="7" width="7" style="89" customWidth="1"/>
    <col min="8" max="8" width="11.59765625" style="118" bestFit="1" customWidth="1"/>
    <col min="9" max="9" width="6.5" style="89" bestFit="1" customWidth="1"/>
    <col min="10" max="10" width="4.8984375" style="89" bestFit="1" customWidth="1"/>
    <col min="11" max="11" width="6.3984375" style="89" bestFit="1" customWidth="1"/>
    <col min="12" max="12" width="6.3984375" style="89" hidden="1" customWidth="1"/>
    <col min="13" max="13" width="7" style="89" customWidth="1"/>
    <col min="14" max="14" width="11.59765625" style="118" bestFit="1" customWidth="1"/>
    <col min="15" max="15" width="6.5" style="89" bestFit="1" customWidth="1"/>
    <col min="16" max="16" width="0.3984375" style="89" customWidth="1"/>
    <col min="17" max="256" width="8.796875" style="89"/>
    <col min="257" max="257" width="8.69921875" style="89" customWidth="1"/>
    <col min="258" max="258" width="12.296875" style="89" customWidth="1"/>
    <col min="259" max="259" width="9" style="89" customWidth="1"/>
    <col min="260" max="260" width="4.8984375" style="89" bestFit="1" customWidth="1"/>
    <col min="261" max="261" width="6.3984375" style="89" bestFit="1" customWidth="1"/>
    <col min="262" max="262" width="0" style="89" hidden="1" customWidth="1"/>
    <col min="263" max="263" width="7" style="89" customWidth="1"/>
    <col min="264" max="264" width="11.59765625" style="89" bestFit="1" customWidth="1"/>
    <col min="265" max="265" width="6.5" style="89" bestFit="1" customWidth="1"/>
    <col min="266" max="266" width="4.8984375" style="89" bestFit="1" customWidth="1"/>
    <col min="267" max="267" width="6.3984375" style="89" bestFit="1" customWidth="1"/>
    <col min="268" max="268" width="0" style="89" hidden="1" customWidth="1"/>
    <col min="269" max="269" width="7" style="89" customWidth="1"/>
    <col min="270" max="270" width="11.59765625" style="89" bestFit="1" customWidth="1"/>
    <col min="271" max="271" width="6.5" style="89" bestFit="1" customWidth="1"/>
    <col min="272" max="272" width="0.3984375" style="89" customWidth="1"/>
    <col min="273" max="512" width="8.796875" style="89"/>
    <col min="513" max="513" width="8.69921875" style="89" customWidth="1"/>
    <col min="514" max="514" width="12.296875" style="89" customWidth="1"/>
    <col min="515" max="515" width="9" style="89" customWidth="1"/>
    <col min="516" max="516" width="4.8984375" style="89" bestFit="1" customWidth="1"/>
    <col min="517" max="517" width="6.3984375" style="89" bestFit="1" customWidth="1"/>
    <col min="518" max="518" width="0" style="89" hidden="1" customWidth="1"/>
    <col min="519" max="519" width="7" style="89" customWidth="1"/>
    <col min="520" max="520" width="11.59765625" style="89" bestFit="1" customWidth="1"/>
    <col min="521" max="521" width="6.5" style="89" bestFit="1" customWidth="1"/>
    <col min="522" max="522" width="4.8984375" style="89" bestFit="1" customWidth="1"/>
    <col min="523" max="523" width="6.3984375" style="89" bestFit="1" customWidth="1"/>
    <col min="524" max="524" width="0" style="89" hidden="1" customWidth="1"/>
    <col min="525" max="525" width="7" style="89" customWidth="1"/>
    <col min="526" max="526" width="11.59765625" style="89" bestFit="1" customWidth="1"/>
    <col min="527" max="527" width="6.5" style="89" bestFit="1" customWidth="1"/>
    <col min="528" max="528" width="0.3984375" style="89" customWidth="1"/>
    <col min="529" max="768" width="8.796875" style="89"/>
    <col min="769" max="769" width="8.69921875" style="89" customWidth="1"/>
    <col min="770" max="770" width="12.296875" style="89" customWidth="1"/>
    <col min="771" max="771" width="9" style="89" customWidth="1"/>
    <col min="772" max="772" width="4.8984375" style="89" bestFit="1" customWidth="1"/>
    <col min="773" max="773" width="6.3984375" style="89" bestFit="1" customWidth="1"/>
    <col min="774" max="774" width="0" style="89" hidden="1" customWidth="1"/>
    <col min="775" max="775" width="7" style="89" customWidth="1"/>
    <col min="776" max="776" width="11.59765625" style="89" bestFit="1" customWidth="1"/>
    <col min="777" max="777" width="6.5" style="89" bestFit="1" customWidth="1"/>
    <col min="778" max="778" width="4.8984375" style="89" bestFit="1" customWidth="1"/>
    <col min="779" max="779" width="6.3984375" style="89" bestFit="1" customWidth="1"/>
    <col min="780" max="780" width="0" style="89" hidden="1" customWidth="1"/>
    <col min="781" max="781" width="7" style="89" customWidth="1"/>
    <col min="782" max="782" width="11.59765625" style="89" bestFit="1" customWidth="1"/>
    <col min="783" max="783" width="6.5" style="89" bestFit="1" customWidth="1"/>
    <col min="784" max="784" width="0.3984375" style="89" customWidth="1"/>
    <col min="785" max="1024" width="8.796875" style="89"/>
    <col min="1025" max="1025" width="8.69921875" style="89" customWidth="1"/>
    <col min="1026" max="1026" width="12.296875" style="89" customWidth="1"/>
    <col min="1027" max="1027" width="9" style="89" customWidth="1"/>
    <col min="1028" max="1028" width="4.8984375" style="89" bestFit="1" customWidth="1"/>
    <col min="1029" max="1029" width="6.3984375" style="89" bestFit="1" customWidth="1"/>
    <col min="1030" max="1030" width="0" style="89" hidden="1" customWidth="1"/>
    <col min="1031" max="1031" width="7" style="89" customWidth="1"/>
    <col min="1032" max="1032" width="11.59765625" style="89" bestFit="1" customWidth="1"/>
    <col min="1033" max="1033" width="6.5" style="89" bestFit="1" customWidth="1"/>
    <col min="1034" max="1034" width="4.8984375" style="89" bestFit="1" customWidth="1"/>
    <col min="1035" max="1035" width="6.3984375" style="89" bestFit="1" customWidth="1"/>
    <col min="1036" max="1036" width="0" style="89" hidden="1" customWidth="1"/>
    <col min="1037" max="1037" width="7" style="89" customWidth="1"/>
    <col min="1038" max="1038" width="11.59765625" style="89" bestFit="1" customWidth="1"/>
    <col min="1039" max="1039" width="6.5" style="89" bestFit="1" customWidth="1"/>
    <col min="1040" max="1040" width="0.3984375" style="89" customWidth="1"/>
    <col min="1041" max="1280" width="8.796875" style="89"/>
    <col min="1281" max="1281" width="8.69921875" style="89" customWidth="1"/>
    <col min="1282" max="1282" width="12.296875" style="89" customWidth="1"/>
    <col min="1283" max="1283" width="9" style="89" customWidth="1"/>
    <col min="1284" max="1284" width="4.8984375" style="89" bestFit="1" customWidth="1"/>
    <col min="1285" max="1285" width="6.3984375" style="89" bestFit="1" customWidth="1"/>
    <col min="1286" max="1286" width="0" style="89" hidden="1" customWidth="1"/>
    <col min="1287" max="1287" width="7" style="89" customWidth="1"/>
    <col min="1288" max="1288" width="11.59765625" style="89" bestFit="1" customWidth="1"/>
    <col min="1289" max="1289" width="6.5" style="89" bestFit="1" customWidth="1"/>
    <col min="1290" max="1290" width="4.8984375" style="89" bestFit="1" customWidth="1"/>
    <col min="1291" max="1291" width="6.3984375" style="89" bestFit="1" customWidth="1"/>
    <col min="1292" max="1292" width="0" style="89" hidden="1" customWidth="1"/>
    <col min="1293" max="1293" width="7" style="89" customWidth="1"/>
    <col min="1294" max="1294" width="11.59765625" style="89" bestFit="1" customWidth="1"/>
    <col min="1295" max="1295" width="6.5" style="89" bestFit="1" customWidth="1"/>
    <col min="1296" max="1296" width="0.3984375" style="89" customWidth="1"/>
    <col min="1297" max="1536" width="8.796875" style="89"/>
    <col min="1537" max="1537" width="8.69921875" style="89" customWidth="1"/>
    <col min="1538" max="1538" width="12.296875" style="89" customWidth="1"/>
    <col min="1539" max="1539" width="9" style="89" customWidth="1"/>
    <col min="1540" max="1540" width="4.8984375" style="89" bestFit="1" customWidth="1"/>
    <col min="1541" max="1541" width="6.3984375" style="89" bestFit="1" customWidth="1"/>
    <col min="1542" max="1542" width="0" style="89" hidden="1" customWidth="1"/>
    <col min="1543" max="1543" width="7" style="89" customWidth="1"/>
    <col min="1544" max="1544" width="11.59765625" style="89" bestFit="1" customWidth="1"/>
    <col min="1545" max="1545" width="6.5" style="89" bestFit="1" customWidth="1"/>
    <col min="1546" max="1546" width="4.8984375" style="89" bestFit="1" customWidth="1"/>
    <col min="1547" max="1547" width="6.3984375" style="89" bestFit="1" customWidth="1"/>
    <col min="1548" max="1548" width="0" style="89" hidden="1" customWidth="1"/>
    <col min="1549" max="1549" width="7" style="89" customWidth="1"/>
    <col min="1550" max="1550" width="11.59765625" style="89" bestFit="1" customWidth="1"/>
    <col min="1551" max="1551" width="6.5" style="89" bestFit="1" customWidth="1"/>
    <col min="1552" max="1552" width="0.3984375" style="89" customWidth="1"/>
    <col min="1553" max="1792" width="8.796875" style="89"/>
    <col min="1793" max="1793" width="8.69921875" style="89" customWidth="1"/>
    <col min="1794" max="1794" width="12.296875" style="89" customWidth="1"/>
    <col min="1795" max="1795" width="9" style="89" customWidth="1"/>
    <col min="1796" max="1796" width="4.8984375" style="89" bestFit="1" customWidth="1"/>
    <col min="1797" max="1797" width="6.3984375" style="89" bestFit="1" customWidth="1"/>
    <col min="1798" max="1798" width="0" style="89" hidden="1" customWidth="1"/>
    <col min="1799" max="1799" width="7" style="89" customWidth="1"/>
    <col min="1800" max="1800" width="11.59765625" style="89" bestFit="1" customWidth="1"/>
    <col min="1801" max="1801" width="6.5" style="89" bestFit="1" customWidth="1"/>
    <col min="1802" max="1802" width="4.8984375" style="89" bestFit="1" customWidth="1"/>
    <col min="1803" max="1803" width="6.3984375" style="89" bestFit="1" customWidth="1"/>
    <col min="1804" max="1804" width="0" style="89" hidden="1" customWidth="1"/>
    <col min="1805" max="1805" width="7" style="89" customWidth="1"/>
    <col min="1806" max="1806" width="11.59765625" style="89" bestFit="1" customWidth="1"/>
    <col min="1807" max="1807" width="6.5" style="89" bestFit="1" customWidth="1"/>
    <col min="1808" max="1808" width="0.3984375" style="89" customWidth="1"/>
    <col min="1809" max="2048" width="8.796875" style="89"/>
    <col min="2049" max="2049" width="8.69921875" style="89" customWidth="1"/>
    <col min="2050" max="2050" width="12.296875" style="89" customWidth="1"/>
    <col min="2051" max="2051" width="9" style="89" customWidth="1"/>
    <col min="2052" max="2052" width="4.8984375" style="89" bestFit="1" customWidth="1"/>
    <col min="2053" max="2053" width="6.3984375" style="89" bestFit="1" customWidth="1"/>
    <col min="2054" max="2054" width="0" style="89" hidden="1" customWidth="1"/>
    <col min="2055" max="2055" width="7" style="89" customWidth="1"/>
    <col min="2056" max="2056" width="11.59765625" style="89" bestFit="1" customWidth="1"/>
    <col min="2057" max="2057" width="6.5" style="89" bestFit="1" customWidth="1"/>
    <col min="2058" max="2058" width="4.8984375" style="89" bestFit="1" customWidth="1"/>
    <col min="2059" max="2059" width="6.3984375" style="89" bestFit="1" customWidth="1"/>
    <col min="2060" max="2060" width="0" style="89" hidden="1" customWidth="1"/>
    <col min="2061" max="2061" width="7" style="89" customWidth="1"/>
    <col min="2062" max="2062" width="11.59765625" style="89" bestFit="1" customWidth="1"/>
    <col min="2063" max="2063" width="6.5" style="89" bestFit="1" customWidth="1"/>
    <col min="2064" max="2064" width="0.3984375" style="89" customWidth="1"/>
    <col min="2065" max="2304" width="8.796875" style="89"/>
    <col min="2305" max="2305" width="8.69921875" style="89" customWidth="1"/>
    <col min="2306" max="2306" width="12.296875" style="89" customWidth="1"/>
    <col min="2307" max="2307" width="9" style="89" customWidth="1"/>
    <col min="2308" max="2308" width="4.8984375" style="89" bestFit="1" customWidth="1"/>
    <col min="2309" max="2309" width="6.3984375" style="89" bestFit="1" customWidth="1"/>
    <col min="2310" max="2310" width="0" style="89" hidden="1" customWidth="1"/>
    <col min="2311" max="2311" width="7" style="89" customWidth="1"/>
    <col min="2312" max="2312" width="11.59765625" style="89" bestFit="1" customWidth="1"/>
    <col min="2313" max="2313" width="6.5" style="89" bestFit="1" customWidth="1"/>
    <col min="2314" max="2314" width="4.8984375" style="89" bestFit="1" customWidth="1"/>
    <col min="2315" max="2315" width="6.3984375" style="89" bestFit="1" customWidth="1"/>
    <col min="2316" max="2316" width="0" style="89" hidden="1" customWidth="1"/>
    <col min="2317" max="2317" width="7" style="89" customWidth="1"/>
    <col min="2318" max="2318" width="11.59765625" style="89" bestFit="1" customWidth="1"/>
    <col min="2319" max="2319" width="6.5" style="89" bestFit="1" customWidth="1"/>
    <col min="2320" max="2320" width="0.3984375" style="89" customWidth="1"/>
    <col min="2321" max="2560" width="8.796875" style="89"/>
    <col min="2561" max="2561" width="8.69921875" style="89" customWidth="1"/>
    <col min="2562" max="2562" width="12.296875" style="89" customWidth="1"/>
    <col min="2563" max="2563" width="9" style="89" customWidth="1"/>
    <col min="2564" max="2564" width="4.8984375" style="89" bestFit="1" customWidth="1"/>
    <col min="2565" max="2565" width="6.3984375" style="89" bestFit="1" customWidth="1"/>
    <col min="2566" max="2566" width="0" style="89" hidden="1" customWidth="1"/>
    <col min="2567" max="2567" width="7" style="89" customWidth="1"/>
    <col min="2568" max="2568" width="11.59765625" style="89" bestFit="1" customWidth="1"/>
    <col min="2569" max="2569" width="6.5" style="89" bestFit="1" customWidth="1"/>
    <col min="2570" max="2570" width="4.8984375" style="89" bestFit="1" customWidth="1"/>
    <col min="2571" max="2571" width="6.3984375" style="89" bestFit="1" customWidth="1"/>
    <col min="2572" max="2572" width="0" style="89" hidden="1" customWidth="1"/>
    <col min="2573" max="2573" width="7" style="89" customWidth="1"/>
    <col min="2574" max="2574" width="11.59765625" style="89" bestFit="1" customWidth="1"/>
    <col min="2575" max="2575" width="6.5" style="89" bestFit="1" customWidth="1"/>
    <col min="2576" max="2576" width="0.3984375" style="89" customWidth="1"/>
    <col min="2577" max="2816" width="8.796875" style="89"/>
    <col min="2817" max="2817" width="8.69921875" style="89" customWidth="1"/>
    <col min="2818" max="2818" width="12.296875" style="89" customWidth="1"/>
    <col min="2819" max="2819" width="9" style="89" customWidth="1"/>
    <col min="2820" max="2820" width="4.8984375" style="89" bestFit="1" customWidth="1"/>
    <col min="2821" max="2821" width="6.3984375" style="89" bestFit="1" customWidth="1"/>
    <col min="2822" max="2822" width="0" style="89" hidden="1" customWidth="1"/>
    <col min="2823" max="2823" width="7" style="89" customWidth="1"/>
    <col min="2824" max="2824" width="11.59765625" style="89" bestFit="1" customWidth="1"/>
    <col min="2825" max="2825" width="6.5" style="89" bestFit="1" customWidth="1"/>
    <col min="2826" max="2826" width="4.8984375" style="89" bestFit="1" customWidth="1"/>
    <col min="2827" max="2827" width="6.3984375" style="89" bestFit="1" customWidth="1"/>
    <col min="2828" max="2828" width="0" style="89" hidden="1" customWidth="1"/>
    <col min="2829" max="2829" width="7" style="89" customWidth="1"/>
    <col min="2830" max="2830" width="11.59765625" style="89" bestFit="1" customWidth="1"/>
    <col min="2831" max="2831" width="6.5" style="89" bestFit="1" customWidth="1"/>
    <col min="2832" max="2832" width="0.3984375" style="89" customWidth="1"/>
    <col min="2833" max="3072" width="8.796875" style="89"/>
    <col min="3073" max="3073" width="8.69921875" style="89" customWidth="1"/>
    <col min="3074" max="3074" width="12.296875" style="89" customWidth="1"/>
    <col min="3075" max="3075" width="9" style="89" customWidth="1"/>
    <col min="3076" max="3076" width="4.8984375" style="89" bestFit="1" customWidth="1"/>
    <col min="3077" max="3077" width="6.3984375" style="89" bestFit="1" customWidth="1"/>
    <col min="3078" max="3078" width="0" style="89" hidden="1" customWidth="1"/>
    <col min="3079" max="3079" width="7" style="89" customWidth="1"/>
    <col min="3080" max="3080" width="11.59765625" style="89" bestFit="1" customWidth="1"/>
    <col min="3081" max="3081" width="6.5" style="89" bestFit="1" customWidth="1"/>
    <col min="3082" max="3082" width="4.8984375" style="89" bestFit="1" customWidth="1"/>
    <col min="3083" max="3083" width="6.3984375" style="89" bestFit="1" customWidth="1"/>
    <col min="3084" max="3084" width="0" style="89" hidden="1" customWidth="1"/>
    <col min="3085" max="3085" width="7" style="89" customWidth="1"/>
    <col min="3086" max="3086" width="11.59765625" style="89" bestFit="1" customWidth="1"/>
    <col min="3087" max="3087" width="6.5" style="89" bestFit="1" customWidth="1"/>
    <col min="3088" max="3088" width="0.3984375" style="89" customWidth="1"/>
    <col min="3089" max="3328" width="8.796875" style="89"/>
    <col min="3329" max="3329" width="8.69921875" style="89" customWidth="1"/>
    <col min="3330" max="3330" width="12.296875" style="89" customWidth="1"/>
    <col min="3331" max="3331" width="9" style="89" customWidth="1"/>
    <col min="3332" max="3332" width="4.8984375" style="89" bestFit="1" customWidth="1"/>
    <col min="3333" max="3333" width="6.3984375" style="89" bestFit="1" customWidth="1"/>
    <col min="3334" max="3334" width="0" style="89" hidden="1" customWidth="1"/>
    <col min="3335" max="3335" width="7" style="89" customWidth="1"/>
    <col min="3336" max="3336" width="11.59765625" style="89" bestFit="1" customWidth="1"/>
    <col min="3337" max="3337" width="6.5" style="89" bestFit="1" customWidth="1"/>
    <col min="3338" max="3338" width="4.8984375" style="89" bestFit="1" customWidth="1"/>
    <col min="3339" max="3339" width="6.3984375" style="89" bestFit="1" customWidth="1"/>
    <col min="3340" max="3340" width="0" style="89" hidden="1" customWidth="1"/>
    <col min="3341" max="3341" width="7" style="89" customWidth="1"/>
    <col min="3342" max="3342" width="11.59765625" style="89" bestFit="1" customWidth="1"/>
    <col min="3343" max="3343" width="6.5" style="89" bestFit="1" customWidth="1"/>
    <col min="3344" max="3344" width="0.3984375" style="89" customWidth="1"/>
    <col min="3345" max="3584" width="8.796875" style="89"/>
    <col min="3585" max="3585" width="8.69921875" style="89" customWidth="1"/>
    <col min="3586" max="3586" width="12.296875" style="89" customWidth="1"/>
    <col min="3587" max="3587" width="9" style="89" customWidth="1"/>
    <col min="3588" max="3588" width="4.8984375" style="89" bestFit="1" customWidth="1"/>
    <col min="3589" max="3589" width="6.3984375" style="89" bestFit="1" customWidth="1"/>
    <col min="3590" max="3590" width="0" style="89" hidden="1" customWidth="1"/>
    <col min="3591" max="3591" width="7" style="89" customWidth="1"/>
    <col min="3592" max="3592" width="11.59765625" style="89" bestFit="1" customWidth="1"/>
    <col min="3593" max="3593" width="6.5" style="89" bestFit="1" customWidth="1"/>
    <col min="3594" max="3594" width="4.8984375" style="89" bestFit="1" customWidth="1"/>
    <col min="3595" max="3595" width="6.3984375" style="89" bestFit="1" customWidth="1"/>
    <col min="3596" max="3596" width="0" style="89" hidden="1" customWidth="1"/>
    <col min="3597" max="3597" width="7" style="89" customWidth="1"/>
    <col min="3598" max="3598" width="11.59765625" style="89" bestFit="1" customWidth="1"/>
    <col min="3599" max="3599" width="6.5" style="89" bestFit="1" customWidth="1"/>
    <col min="3600" max="3600" width="0.3984375" style="89" customWidth="1"/>
    <col min="3601" max="3840" width="8.796875" style="89"/>
    <col min="3841" max="3841" width="8.69921875" style="89" customWidth="1"/>
    <col min="3842" max="3842" width="12.296875" style="89" customWidth="1"/>
    <col min="3843" max="3843" width="9" style="89" customWidth="1"/>
    <col min="3844" max="3844" width="4.8984375" style="89" bestFit="1" customWidth="1"/>
    <col min="3845" max="3845" width="6.3984375" style="89" bestFit="1" customWidth="1"/>
    <col min="3846" max="3846" width="0" style="89" hidden="1" customWidth="1"/>
    <col min="3847" max="3847" width="7" style="89" customWidth="1"/>
    <col min="3848" max="3848" width="11.59765625" style="89" bestFit="1" customWidth="1"/>
    <col min="3849" max="3849" width="6.5" style="89" bestFit="1" customWidth="1"/>
    <col min="3850" max="3850" width="4.8984375" style="89" bestFit="1" customWidth="1"/>
    <col min="3851" max="3851" width="6.3984375" style="89" bestFit="1" customWidth="1"/>
    <col min="3852" max="3852" width="0" style="89" hidden="1" customWidth="1"/>
    <col min="3853" max="3853" width="7" style="89" customWidth="1"/>
    <col min="3854" max="3854" width="11.59765625" style="89" bestFit="1" customWidth="1"/>
    <col min="3855" max="3855" width="6.5" style="89" bestFit="1" customWidth="1"/>
    <col min="3856" max="3856" width="0.3984375" style="89" customWidth="1"/>
    <col min="3857" max="4096" width="8.796875" style="89"/>
    <col min="4097" max="4097" width="8.69921875" style="89" customWidth="1"/>
    <col min="4098" max="4098" width="12.296875" style="89" customWidth="1"/>
    <col min="4099" max="4099" width="9" style="89" customWidth="1"/>
    <col min="4100" max="4100" width="4.8984375" style="89" bestFit="1" customWidth="1"/>
    <col min="4101" max="4101" width="6.3984375" style="89" bestFit="1" customWidth="1"/>
    <col min="4102" max="4102" width="0" style="89" hidden="1" customWidth="1"/>
    <col min="4103" max="4103" width="7" style="89" customWidth="1"/>
    <col min="4104" max="4104" width="11.59765625" style="89" bestFit="1" customWidth="1"/>
    <col min="4105" max="4105" width="6.5" style="89" bestFit="1" customWidth="1"/>
    <col min="4106" max="4106" width="4.8984375" style="89" bestFit="1" customWidth="1"/>
    <col min="4107" max="4107" width="6.3984375" style="89" bestFit="1" customWidth="1"/>
    <col min="4108" max="4108" width="0" style="89" hidden="1" customWidth="1"/>
    <col min="4109" max="4109" width="7" style="89" customWidth="1"/>
    <col min="4110" max="4110" width="11.59765625" style="89" bestFit="1" customWidth="1"/>
    <col min="4111" max="4111" width="6.5" style="89" bestFit="1" customWidth="1"/>
    <col min="4112" max="4112" width="0.3984375" style="89" customWidth="1"/>
    <col min="4113" max="4352" width="8.796875" style="89"/>
    <col min="4353" max="4353" width="8.69921875" style="89" customWidth="1"/>
    <col min="4354" max="4354" width="12.296875" style="89" customWidth="1"/>
    <col min="4355" max="4355" width="9" style="89" customWidth="1"/>
    <col min="4356" max="4356" width="4.8984375" style="89" bestFit="1" customWidth="1"/>
    <col min="4357" max="4357" width="6.3984375" style="89" bestFit="1" customWidth="1"/>
    <col min="4358" max="4358" width="0" style="89" hidden="1" customWidth="1"/>
    <col min="4359" max="4359" width="7" style="89" customWidth="1"/>
    <col min="4360" max="4360" width="11.59765625" style="89" bestFit="1" customWidth="1"/>
    <col min="4361" max="4361" width="6.5" style="89" bestFit="1" customWidth="1"/>
    <col min="4362" max="4362" width="4.8984375" style="89" bestFit="1" customWidth="1"/>
    <col min="4363" max="4363" width="6.3984375" style="89" bestFit="1" customWidth="1"/>
    <col min="4364" max="4364" width="0" style="89" hidden="1" customWidth="1"/>
    <col min="4365" max="4365" width="7" style="89" customWidth="1"/>
    <col min="4366" max="4366" width="11.59765625" style="89" bestFit="1" customWidth="1"/>
    <col min="4367" max="4367" width="6.5" style="89" bestFit="1" customWidth="1"/>
    <col min="4368" max="4368" width="0.3984375" style="89" customWidth="1"/>
    <col min="4369" max="4608" width="8.796875" style="89"/>
    <col min="4609" max="4609" width="8.69921875" style="89" customWidth="1"/>
    <col min="4610" max="4610" width="12.296875" style="89" customWidth="1"/>
    <col min="4611" max="4611" width="9" style="89" customWidth="1"/>
    <col min="4612" max="4612" width="4.8984375" style="89" bestFit="1" customWidth="1"/>
    <col min="4613" max="4613" width="6.3984375" style="89" bestFit="1" customWidth="1"/>
    <col min="4614" max="4614" width="0" style="89" hidden="1" customWidth="1"/>
    <col min="4615" max="4615" width="7" style="89" customWidth="1"/>
    <col min="4616" max="4616" width="11.59765625" style="89" bestFit="1" customWidth="1"/>
    <col min="4617" max="4617" width="6.5" style="89" bestFit="1" customWidth="1"/>
    <col min="4618" max="4618" width="4.8984375" style="89" bestFit="1" customWidth="1"/>
    <col min="4619" max="4619" width="6.3984375" style="89" bestFit="1" customWidth="1"/>
    <col min="4620" max="4620" width="0" style="89" hidden="1" customWidth="1"/>
    <col min="4621" max="4621" width="7" style="89" customWidth="1"/>
    <col min="4622" max="4622" width="11.59765625" style="89" bestFit="1" customWidth="1"/>
    <col min="4623" max="4623" width="6.5" style="89" bestFit="1" customWidth="1"/>
    <col min="4624" max="4624" width="0.3984375" style="89" customWidth="1"/>
    <col min="4625" max="4864" width="8.796875" style="89"/>
    <col min="4865" max="4865" width="8.69921875" style="89" customWidth="1"/>
    <col min="4866" max="4866" width="12.296875" style="89" customWidth="1"/>
    <col min="4867" max="4867" width="9" style="89" customWidth="1"/>
    <col min="4868" max="4868" width="4.8984375" style="89" bestFit="1" customWidth="1"/>
    <col min="4869" max="4869" width="6.3984375" style="89" bestFit="1" customWidth="1"/>
    <col min="4870" max="4870" width="0" style="89" hidden="1" customWidth="1"/>
    <col min="4871" max="4871" width="7" style="89" customWidth="1"/>
    <col min="4872" max="4872" width="11.59765625" style="89" bestFit="1" customWidth="1"/>
    <col min="4873" max="4873" width="6.5" style="89" bestFit="1" customWidth="1"/>
    <col min="4874" max="4874" width="4.8984375" style="89" bestFit="1" customWidth="1"/>
    <col min="4875" max="4875" width="6.3984375" style="89" bestFit="1" customWidth="1"/>
    <col min="4876" max="4876" width="0" style="89" hidden="1" customWidth="1"/>
    <col min="4877" max="4877" width="7" style="89" customWidth="1"/>
    <col min="4878" max="4878" width="11.59765625" style="89" bestFit="1" customWidth="1"/>
    <col min="4879" max="4879" width="6.5" style="89" bestFit="1" customWidth="1"/>
    <col min="4880" max="4880" width="0.3984375" style="89" customWidth="1"/>
    <col min="4881" max="5120" width="8.796875" style="89"/>
    <col min="5121" max="5121" width="8.69921875" style="89" customWidth="1"/>
    <col min="5122" max="5122" width="12.296875" style="89" customWidth="1"/>
    <col min="5123" max="5123" width="9" style="89" customWidth="1"/>
    <col min="5124" max="5124" width="4.8984375" style="89" bestFit="1" customWidth="1"/>
    <col min="5125" max="5125" width="6.3984375" style="89" bestFit="1" customWidth="1"/>
    <col min="5126" max="5126" width="0" style="89" hidden="1" customWidth="1"/>
    <col min="5127" max="5127" width="7" style="89" customWidth="1"/>
    <col min="5128" max="5128" width="11.59765625" style="89" bestFit="1" customWidth="1"/>
    <col min="5129" max="5129" width="6.5" style="89" bestFit="1" customWidth="1"/>
    <col min="5130" max="5130" width="4.8984375" style="89" bestFit="1" customWidth="1"/>
    <col min="5131" max="5131" width="6.3984375" style="89" bestFit="1" customWidth="1"/>
    <col min="5132" max="5132" width="0" style="89" hidden="1" customWidth="1"/>
    <col min="5133" max="5133" width="7" style="89" customWidth="1"/>
    <col min="5134" max="5134" width="11.59765625" style="89" bestFit="1" customWidth="1"/>
    <col min="5135" max="5135" width="6.5" style="89" bestFit="1" customWidth="1"/>
    <col min="5136" max="5136" width="0.3984375" style="89" customWidth="1"/>
    <col min="5137" max="5376" width="8.796875" style="89"/>
    <col min="5377" max="5377" width="8.69921875" style="89" customWidth="1"/>
    <col min="5378" max="5378" width="12.296875" style="89" customWidth="1"/>
    <col min="5379" max="5379" width="9" style="89" customWidth="1"/>
    <col min="5380" max="5380" width="4.8984375" style="89" bestFit="1" customWidth="1"/>
    <col min="5381" max="5381" width="6.3984375" style="89" bestFit="1" customWidth="1"/>
    <col min="5382" max="5382" width="0" style="89" hidden="1" customWidth="1"/>
    <col min="5383" max="5383" width="7" style="89" customWidth="1"/>
    <col min="5384" max="5384" width="11.59765625" style="89" bestFit="1" customWidth="1"/>
    <col min="5385" max="5385" width="6.5" style="89" bestFit="1" customWidth="1"/>
    <col min="5386" max="5386" width="4.8984375" style="89" bestFit="1" customWidth="1"/>
    <col min="5387" max="5387" width="6.3984375" style="89" bestFit="1" customWidth="1"/>
    <col min="5388" max="5388" width="0" style="89" hidden="1" customWidth="1"/>
    <col min="5389" max="5389" width="7" style="89" customWidth="1"/>
    <col min="5390" max="5390" width="11.59765625" style="89" bestFit="1" customWidth="1"/>
    <col min="5391" max="5391" width="6.5" style="89" bestFit="1" customWidth="1"/>
    <col min="5392" max="5392" width="0.3984375" style="89" customWidth="1"/>
    <col min="5393" max="5632" width="8.796875" style="89"/>
    <col min="5633" max="5633" width="8.69921875" style="89" customWidth="1"/>
    <col min="5634" max="5634" width="12.296875" style="89" customWidth="1"/>
    <col min="5635" max="5635" width="9" style="89" customWidth="1"/>
    <col min="5636" max="5636" width="4.8984375" style="89" bestFit="1" customWidth="1"/>
    <col min="5637" max="5637" width="6.3984375" style="89" bestFit="1" customWidth="1"/>
    <col min="5638" max="5638" width="0" style="89" hidden="1" customWidth="1"/>
    <col min="5639" max="5639" width="7" style="89" customWidth="1"/>
    <col min="5640" max="5640" width="11.59765625" style="89" bestFit="1" customWidth="1"/>
    <col min="5641" max="5641" width="6.5" style="89" bestFit="1" customWidth="1"/>
    <col min="5642" max="5642" width="4.8984375" style="89" bestFit="1" customWidth="1"/>
    <col min="5643" max="5643" width="6.3984375" style="89" bestFit="1" customWidth="1"/>
    <col min="5644" max="5644" width="0" style="89" hidden="1" customWidth="1"/>
    <col min="5645" max="5645" width="7" style="89" customWidth="1"/>
    <col min="5646" max="5646" width="11.59765625" style="89" bestFit="1" customWidth="1"/>
    <col min="5647" max="5647" width="6.5" style="89" bestFit="1" customWidth="1"/>
    <col min="5648" max="5648" width="0.3984375" style="89" customWidth="1"/>
    <col min="5649" max="5888" width="8.796875" style="89"/>
    <col min="5889" max="5889" width="8.69921875" style="89" customWidth="1"/>
    <col min="5890" max="5890" width="12.296875" style="89" customWidth="1"/>
    <col min="5891" max="5891" width="9" style="89" customWidth="1"/>
    <col min="5892" max="5892" width="4.8984375" style="89" bestFit="1" customWidth="1"/>
    <col min="5893" max="5893" width="6.3984375" style="89" bestFit="1" customWidth="1"/>
    <col min="5894" max="5894" width="0" style="89" hidden="1" customWidth="1"/>
    <col min="5895" max="5895" width="7" style="89" customWidth="1"/>
    <col min="5896" max="5896" width="11.59765625" style="89" bestFit="1" customWidth="1"/>
    <col min="5897" max="5897" width="6.5" style="89" bestFit="1" customWidth="1"/>
    <col min="5898" max="5898" width="4.8984375" style="89" bestFit="1" customWidth="1"/>
    <col min="5899" max="5899" width="6.3984375" style="89" bestFit="1" customWidth="1"/>
    <col min="5900" max="5900" width="0" style="89" hidden="1" customWidth="1"/>
    <col min="5901" max="5901" width="7" style="89" customWidth="1"/>
    <col min="5902" max="5902" width="11.59765625" style="89" bestFit="1" customWidth="1"/>
    <col min="5903" max="5903" width="6.5" style="89" bestFit="1" customWidth="1"/>
    <col min="5904" max="5904" width="0.3984375" style="89" customWidth="1"/>
    <col min="5905" max="6144" width="8.796875" style="89"/>
    <col min="6145" max="6145" width="8.69921875" style="89" customWidth="1"/>
    <col min="6146" max="6146" width="12.296875" style="89" customWidth="1"/>
    <col min="6147" max="6147" width="9" style="89" customWidth="1"/>
    <col min="6148" max="6148" width="4.8984375" style="89" bestFit="1" customWidth="1"/>
    <col min="6149" max="6149" width="6.3984375" style="89" bestFit="1" customWidth="1"/>
    <col min="6150" max="6150" width="0" style="89" hidden="1" customWidth="1"/>
    <col min="6151" max="6151" width="7" style="89" customWidth="1"/>
    <col min="6152" max="6152" width="11.59765625" style="89" bestFit="1" customWidth="1"/>
    <col min="6153" max="6153" width="6.5" style="89" bestFit="1" customWidth="1"/>
    <col min="6154" max="6154" width="4.8984375" style="89" bestFit="1" customWidth="1"/>
    <col min="6155" max="6155" width="6.3984375" style="89" bestFit="1" customWidth="1"/>
    <col min="6156" max="6156" width="0" style="89" hidden="1" customWidth="1"/>
    <col min="6157" max="6157" width="7" style="89" customWidth="1"/>
    <col min="6158" max="6158" width="11.59765625" style="89" bestFit="1" customWidth="1"/>
    <col min="6159" max="6159" width="6.5" style="89" bestFit="1" customWidth="1"/>
    <col min="6160" max="6160" width="0.3984375" style="89" customWidth="1"/>
    <col min="6161" max="6400" width="8.796875" style="89"/>
    <col min="6401" max="6401" width="8.69921875" style="89" customWidth="1"/>
    <col min="6402" max="6402" width="12.296875" style="89" customWidth="1"/>
    <col min="6403" max="6403" width="9" style="89" customWidth="1"/>
    <col min="6404" max="6404" width="4.8984375" style="89" bestFit="1" customWidth="1"/>
    <col min="6405" max="6405" width="6.3984375" style="89" bestFit="1" customWidth="1"/>
    <col min="6406" max="6406" width="0" style="89" hidden="1" customWidth="1"/>
    <col min="6407" max="6407" width="7" style="89" customWidth="1"/>
    <col min="6408" max="6408" width="11.59765625" style="89" bestFit="1" customWidth="1"/>
    <col min="6409" max="6409" width="6.5" style="89" bestFit="1" customWidth="1"/>
    <col min="6410" max="6410" width="4.8984375" style="89" bestFit="1" customWidth="1"/>
    <col min="6411" max="6411" width="6.3984375" style="89" bestFit="1" customWidth="1"/>
    <col min="6412" max="6412" width="0" style="89" hidden="1" customWidth="1"/>
    <col min="6413" max="6413" width="7" style="89" customWidth="1"/>
    <col min="6414" max="6414" width="11.59765625" style="89" bestFit="1" customWidth="1"/>
    <col min="6415" max="6415" width="6.5" style="89" bestFit="1" customWidth="1"/>
    <col min="6416" max="6416" width="0.3984375" style="89" customWidth="1"/>
    <col min="6417" max="6656" width="8.796875" style="89"/>
    <col min="6657" max="6657" width="8.69921875" style="89" customWidth="1"/>
    <col min="6658" max="6658" width="12.296875" style="89" customWidth="1"/>
    <col min="6659" max="6659" width="9" style="89" customWidth="1"/>
    <col min="6660" max="6660" width="4.8984375" style="89" bestFit="1" customWidth="1"/>
    <col min="6661" max="6661" width="6.3984375" style="89" bestFit="1" customWidth="1"/>
    <col min="6662" max="6662" width="0" style="89" hidden="1" customWidth="1"/>
    <col min="6663" max="6663" width="7" style="89" customWidth="1"/>
    <col min="6664" max="6664" width="11.59765625" style="89" bestFit="1" customWidth="1"/>
    <col min="6665" max="6665" width="6.5" style="89" bestFit="1" customWidth="1"/>
    <col min="6666" max="6666" width="4.8984375" style="89" bestFit="1" customWidth="1"/>
    <col min="6667" max="6667" width="6.3984375" style="89" bestFit="1" customWidth="1"/>
    <col min="6668" max="6668" width="0" style="89" hidden="1" customWidth="1"/>
    <col min="6669" max="6669" width="7" style="89" customWidth="1"/>
    <col min="6670" max="6670" width="11.59765625" style="89" bestFit="1" customWidth="1"/>
    <col min="6671" max="6671" width="6.5" style="89" bestFit="1" customWidth="1"/>
    <col min="6672" max="6672" width="0.3984375" style="89" customWidth="1"/>
    <col min="6673" max="6912" width="8.796875" style="89"/>
    <col min="6913" max="6913" width="8.69921875" style="89" customWidth="1"/>
    <col min="6914" max="6914" width="12.296875" style="89" customWidth="1"/>
    <col min="6915" max="6915" width="9" style="89" customWidth="1"/>
    <col min="6916" max="6916" width="4.8984375" style="89" bestFit="1" customWidth="1"/>
    <col min="6917" max="6917" width="6.3984375" style="89" bestFit="1" customWidth="1"/>
    <col min="6918" max="6918" width="0" style="89" hidden="1" customWidth="1"/>
    <col min="6919" max="6919" width="7" style="89" customWidth="1"/>
    <col min="6920" max="6920" width="11.59765625" style="89" bestFit="1" customWidth="1"/>
    <col min="6921" max="6921" width="6.5" style="89" bestFit="1" customWidth="1"/>
    <col min="6922" max="6922" width="4.8984375" style="89" bestFit="1" customWidth="1"/>
    <col min="6923" max="6923" width="6.3984375" style="89" bestFit="1" customWidth="1"/>
    <col min="6924" max="6924" width="0" style="89" hidden="1" customWidth="1"/>
    <col min="6925" max="6925" width="7" style="89" customWidth="1"/>
    <col min="6926" max="6926" width="11.59765625" style="89" bestFit="1" customWidth="1"/>
    <col min="6927" max="6927" width="6.5" style="89" bestFit="1" customWidth="1"/>
    <col min="6928" max="6928" width="0.3984375" style="89" customWidth="1"/>
    <col min="6929" max="7168" width="8.796875" style="89"/>
    <col min="7169" max="7169" width="8.69921875" style="89" customWidth="1"/>
    <col min="7170" max="7170" width="12.296875" style="89" customWidth="1"/>
    <col min="7171" max="7171" width="9" style="89" customWidth="1"/>
    <col min="7172" max="7172" width="4.8984375" style="89" bestFit="1" customWidth="1"/>
    <col min="7173" max="7173" width="6.3984375" style="89" bestFit="1" customWidth="1"/>
    <col min="7174" max="7174" width="0" style="89" hidden="1" customWidth="1"/>
    <col min="7175" max="7175" width="7" style="89" customWidth="1"/>
    <col min="7176" max="7176" width="11.59765625" style="89" bestFit="1" customWidth="1"/>
    <col min="7177" max="7177" width="6.5" style="89" bestFit="1" customWidth="1"/>
    <col min="7178" max="7178" width="4.8984375" style="89" bestFit="1" customWidth="1"/>
    <col min="7179" max="7179" width="6.3984375" style="89" bestFit="1" customWidth="1"/>
    <col min="7180" max="7180" width="0" style="89" hidden="1" customWidth="1"/>
    <col min="7181" max="7181" width="7" style="89" customWidth="1"/>
    <col min="7182" max="7182" width="11.59765625" style="89" bestFit="1" customWidth="1"/>
    <col min="7183" max="7183" width="6.5" style="89" bestFit="1" customWidth="1"/>
    <col min="7184" max="7184" width="0.3984375" style="89" customWidth="1"/>
    <col min="7185" max="7424" width="8.796875" style="89"/>
    <col min="7425" max="7425" width="8.69921875" style="89" customWidth="1"/>
    <col min="7426" max="7426" width="12.296875" style="89" customWidth="1"/>
    <col min="7427" max="7427" width="9" style="89" customWidth="1"/>
    <col min="7428" max="7428" width="4.8984375" style="89" bestFit="1" customWidth="1"/>
    <col min="7429" max="7429" width="6.3984375" style="89" bestFit="1" customWidth="1"/>
    <col min="7430" max="7430" width="0" style="89" hidden="1" customWidth="1"/>
    <col min="7431" max="7431" width="7" style="89" customWidth="1"/>
    <col min="7432" max="7432" width="11.59765625" style="89" bestFit="1" customWidth="1"/>
    <col min="7433" max="7433" width="6.5" style="89" bestFit="1" customWidth="1"/>
    <col min="7434" max="7434" width="4.8984375" style="89" bestFit="1" customWidth="1"/>
    <col min="7435" max="7435" width="6.3984375" style="89" bestFit="1" customWidth="1"/>
    <col min="7436" max="7436" width="0" style="89" hidden="1" customWidth="1"/>
    <col min="7437" max="7437" width="7" style="89" customWidth="1"/>
    <col min="7438" max="7438" width="11.59765625" style="89" bestFit="1" customWidth="1"/>
    <col min="7439" max="7439" width="6.5" style="89" bestFit="1" customWidth="1"/>
    <col min="7440" max="7440" width="0.3984375" style="89" customWidth="1"/>
    <col min="7441" max="7680" width="8.796875" style="89"/>
    <col min="7681" max="7681" width="8.69921875" style="89" customWidth="1"/>
    <col min="7682" max="7682" width="12.296875" style="89" customWidth="1"/>
    <col min="7683" max="7683" width="9" style="89" customWidth="1"/>
    <col min="7684" max="7684" width="4.8984375" style="89" bestFit="1" customWidth="1"/>
    <col min="7685" max="7685" width="6.3984375" style="89" bestFit="1" customWidth="1"/>
    <col min="7686" max="7686" width="0" style="89" hidden="1" customWidth="1"/>
    <col min="7687" max="7687" width="7" style="89" customWidth="1"/>
    <col min="7688" max="7688" width="11.59765625" style="89" bestFit="1" customWidth="1"/>
    <col min="7689" max="7689" width="6.5" style="89" bestFit="1" customWidth="1"/>
    <col min="7690" max="7690" width="4.8984375" style="89" bestFit="1" customWidth="1"/>
    <col min="7691" max="7691" width="6.3984375" style="89" bestFit="1" customWidth="1"/>
    <col min="7692" max="7692" width="0" style="89" hidden="1" customWidth="1"/>
    <col min="7693" max="7693" width="7" style="89" customWidth="1"/>
    <col min="7694" max="7694" width="11.59765625" style="89" bestFit="1" customWidth="1"/>
    <col min="7695" max="7695" width="6.5" style="89" bestFit="1" customWidth="1"/>
    <col min="7696" max="7696" width="0.3984375" style="89" customWidth="1"/>
    <col min="7697" max="7936" width="8.796875" style="89"/>
    <col min="7937" max="7937" width="8.69921875" style="89" customWidth="1"/>
    <col min="7938" max="7938" width="12.296875" style="89" customWidth="1"/>
    <col min="7939" max="7939" width="9" style="89" customWidth="1"/>
    <col min="7940" max="7940" width="4.8984375" style="89" bestFit="1" customWidth="1"/>
    <col min="7941" max="7941" width="6.3984375" style="89" bestFit="1" customWidth="1"/>
    <col min="7942" max="7942" width="0" style="89" hidden="1" customWidth="1"/>
    <col min="7943" max="7943" width="7" style="89" customWidth="1"/>
    <col min="7944" max="7944" width="11.59765625" style="89" bestFit="1" customWidth="1"/>
    <col min="7945" max="7945" width="6.5" style="89" bestFit="1" customWidth="1"/>
    <col min="7946" max="7946" width="4.8984375" style="89" bestFit="1" customWidth="1"/>
    <col min="7947" max="7947" width="6.3984375" style="89" bestFit="1" customWidth="1"/>
    <col min="7948" max="7948" width="0" style="89" hidden="1" customWidth="1"/>
    <col min="7949" max="7949" width="7" style="89" customWidth="1"/>
    <col min="7950" max="7950" width="11.59765625" style="89" bestFit="1" customWidth="1"/>
    <col min="7951" max="7951" width="6.5" style="89" bestFit="1" customWidth="1"/>
    <col min="7952" max="7952" width="0.3984375" style="89" customWidth="1"/>
    <col min="7953" max="8192" width="8.796875" style="89"/>
    <col min="8193" max="8193" width="8.69921875" style="89" customWidth="1"/>
    <col min="8194" max="8194" width="12.296875" style="89" customWidth="1"/>
    <col min="8195" max="8195" width="9" style="89" customWidth="1"/>
    <col min="8196" max="8196" width="4.8984375" style="89" bestFit="1" customWidth="1"/>
    <col min="8197" max="8197" width="6.3984375" style="89" bestFit="1" customWidth="1"/>
    <col min="8198" max="8198" width="0" style="89" hidden="1" customWidth="1"/>
    <col min="8199" max="8199" width="7" style="89" customWidth="1"/>
    <col min="8200" max="8200" width="11.59765625" style="89" bestFit="1" customWidth="1"/>
    <col min="8201" max="8201" width="6.5" style="89" bestFit="1" customWidth="1"/>
    <col min="8202" max="8202" width="4.8984375" style="89" bestFit="1" customWidth="1"/>
    <col min="8203" max="8203" width="6.3984375" style="89" bestFit="1" customWidth="1"/>
    <col min="8204" max="8204" width="0" style="89" hidden="1" customWidth="1"/>
    <col min="8205" max="8205" width="7" style="89" customWidth="1"/>
    <col min="8206" max="8206" width="11.59765625" style="89" bestFit="1" customWidth="1"/>
    <col min="8207" max="8207" width="6.5" style="89" bestFit="1" customWidth="1"/>
    <col min="8208" max="8208" width="0.3984375" style="89" customWidth="1"/>
    <col min="8209" max="8448" width="8.796875" style="89"/>
    <col min="8449" max="8449" width="8.69921875" style="89" customWidth="1"/>
    <col min="8450" max="8450" width="12.296875" style="89" customWidth="1"/>
    <col min="8451" max="8451" width="9" style="89" customWidth="1"/>
    <col min="8452" max="8452" width="4.8984375" style="89" bestFit="1" customWidth="1"/>
    <col min="8453" max="8453" width="6.3984375" style="89" bestFit="1" customWidth="1"/>
    <col min="8454" max="8454" width="0" style="89" hidden="1" customWidth="1"/>
    <col min="8455" max="8455" width="7" style="89" customWidth="1"/>
    <col min="8456" max="8456" width="11.59765625" style="89" bestFit="1" customWidth="1"/>
    <col min="8457" max="8457" width="6.5" style="89" bestFit="1" customWidth="1"/>
    <col min="8458" max="8458" width="4.8984375" style="89" bestFit="1" customWidth="1"/>
    <col min="8459" max="8459" width="6.3984375" style="89" bestFit="1" customWidth="1"/>
    <col min="8460" max="8460" width="0" style="89" hidden="1" customWidth="1"/>
    <col min="8461" max="8461" width="7" style="89" customWidth="1"/>
    <col min="8462" max="8462" width="11.59765625" style="89" bestFit="1" customWidth="1"/>
    <col min="8463" max="8463" width="6.5" style="89" bestFit="1" customWidth="1"/>
    <col min="8464" max="8464" width="0.3984375" style="89" customWidth="1"/>
    <col min="8465" max="8704" width="8.796875" style="89"/>
    <col min="8705" max="8705" width="8.69921875" style="89" customWidth="1"/>
    <col min="8706" max="8706" width="12.296875" style="89" customWidth="1"/>
    <col min="8707" max="8707" width="9" style="89" customWidth="1"/>
    <col min="8708" max="8708" width="4.8984375" style="89" bestFit="1" customWidth="1"/>
    <col min="8709" max="8709" width="6.3984375" style="89" bestFit="1" customWidth="1"/>
    <col min="8710" max="8710" width="0" style="89" hidden="1" customWidth="1"/>
    <col min="8711" max="8711" width="7" style="89" customWidth="1"/>
    <col min="8712" max="8712" width="11.59765625" style="89" bestFit="1" customWidth="1"/>
    <col min="8713" max="8713" width="6.5" style="89" bestFit="1" customWidth="1"/>
    <col min="8714" max="8714" width="4.8984375" style="89" bestFit="1" customWidth="1"/>
    <col min="8715" max="8715" width="6.3984375" style="89" bestFit="1" customWidth="1"/>
    <col min="8716" max="8716" width="0" style="89" hidden="1" customWidth="1"/>
    <col min="8717" max="8717" width="7" style="89" customWidth="1"/>
    <col min="8718" max="8718" width="11.59765625" style="89" bestFit="1" customWidth="1"/>
    <col min="8719" max="8719" width="6.5" style="89" bestFit="1" customWidth="1"/>
    <col min="8720" max="8720" width="0.3984375" style="89" customWidth="1"/>
    <col min="8721" max="8960" width="8.796875" style="89"/>
    <col min="8961" max="8961" width="8.69921875" style="89" customWidth="1"/>
    <col min="8962" max="8962" width="12.296875" style="89" customWidth="1"/>
    <col min="8963" max="8963" width="9" style="89" customWidth="1"/>
    <col min="8964" max="8964" width="4.8984375" style="89" bestFit="1" customWidth="1"/>
    <col min="8965" max="8965" width="6.3984375" style="89" bestFit="1" customWidth="1"/>
    <col min="8966" max="8966" width="0" style="89" hidden="1" customWidth="1"/>
    <col min="8967" max="8967" width="7" style="89" customWidth="1"/>
    <col min="8968" max="8968" width="11.59765625" style="89" bestFit="1" customWidth="1"/>
    <col min="8969" max="8969" width="6.5" style="89" bestFit="1" customWidth="1"/>
    <col min="8970" max="8970" width="4.8984375" style="89" bestFit="1" customWidth="1"/>
    <col min="8971" max="8971" width="6.3984375" style="89" bestFit="1" customWidth="1"/>
    <col min="8972" max="8972" width="0" style="89" hidden="1" customWidth="1"/>
    <col min="8973" max="8973" width="7" style="89" customWidth="1"/>
    <col min="8974" max="8974" width="11.59765625" style="89" bestFit="1" customWidth="1"/>
    <col min="8975" max="8975" width="6.5" style="89" bestFit="1" customWidth="1"/>
    <col min="8976" max="8976" width="0.3984375" style="89" customWidth="1"/>
    <col min="8977" max="9216" width="8.796875" style="89"/>
    <col min="9217" max="9217" width="8.69921875" style="89" customWidth="1"/>
    <col min="9218" max="9218" width="12.296875" style="89" customWidth="1"/>
    <col min="9219" max="9219" width="9" style="89" customWidth="1"/>
    <col min="9220" max="9220" width="4.8984375" style="89" bestFit="1" customWidth="1"/>
    <col min="9221" max="9221" width="6.3984375" style="89" bestFit="1" customWidth="1"/>
    <col min="9222" max="9222" width="0" style="89" hidden="1" customWidth="1"/>
    <col min="9223" max="9223" width="7" style="89" customWidth="1"/>
    <col min="9224" max="9224" width="11.59765625" style="89" bestFit="1" customWidth="1"/>
    <col min="9225" max="9225" width="6.5" style="89" bestFit="1" customWidth="1"/>
    <col min="9226" max="9226" width="4.8984375" style="89" bestFit="1" customWidth="1"/>
    <col min="9227" max="9227" width="6.3984375" style="89" bestFit="1" customWidth="1"/>
    <col min="9228" max="9228" width="0" style="89" hidden="1" customWidth="1"/>
    <col min="9229" max="9229" width="7" style="89" customWidth="1"/>
    <col min="9230" max="9230" width="11.59765625" style="89" bestFit="1" customWidth="1"/>
    <col min="9231" max="9231" width="6.5" style="89" bestFit="1" customWidth="1"/>
    <col min="9232" max="9232" width="0.3984375" style="89" customWidth="1"/>
    <col min="9233" max="9472" width="8.796875" style="89"/>
    <col min="9473" max="9473" width="8.69921875" style="89" customWidth="1"/>
    <col min="9474" max="9474" width="12.296875" style="89" customWidth="1"/>
    <col min="9475" max="9475" width="9" style="89" customWidth="1"/>
    <col min="9476" max="9476" width="4.8984375" style="89" bestFit="1" customWidth="1"/>
    <col min="9477" max="9477" width="6.3984375" style="89" bestFit="1" customWidth="1"/>
    <col min="9478" max="9478" width="0" style="89" hidden="1" customWidth="1"/>
    <col min="9479" max="9479" width="7" style="89" customWidth="1"/>
    <col min="9480" max="9480" width="11.59765625" style="89" bestFit="1" customWidth="1"/>
    <col min="9481" max="9481" width="6.5" style="89" bestFit="1" customWidth="1"/>
    <col min="9482" max="9482" width="4.8984375" style="89" bestFit="1" customWidth="1"/>
    <col min="9483" max="9483" width="6.3984375" style="89" bestFit="1" customWidth="1"/>
    <col min="9484" max="9484" width="0" style="89" hidden="1" customWidth="1"/>
    <col min="9485" max="9485" width="7" style="89" customWidth="1"/>
    <col min="9486" max="9486" width="11.59765625" style="89" bestFit="1" customWidth="1"/>
    <col min="9487" max="9487" width="6.5" style="89" bestFit="1" customWidth="1"/>
    <col min="9488" max="9488" width="0.3984375" style="89" customWidth="1"/>
    <col min="9489" max="9728" width="8.796875" style="89"/>
    <col min="9729" max="9729" width="8.69921875" style="89" customWidth="1"/>
    <col min="9730" max="9730" width="12.296875" style="89" customWidth="1"/>
    <col min="9731" max="9731" width="9" style="89" customWidth="1"/>
    <col min="9732" max="9732" width="4.8984375" style="89" bestFit="1" customWidth="1"/>
    <col min="9733" max="9733" width="6.3984375" style="89" bestFit="1" customWidth="1"/>
    <col min="9734" max="9734" width="0" style="89" hidden="1" customWidth="1"/>
    <col min="9735" max="9735" width="7" style="89" customWidth="1"/>
    <col min="9736" max="9736" width="11.59765625" style="89" bestFit="1" customWidth="1"/>
    <col min="9737" max="9737" width="6.5" style="89" bestFit="1" customWidth="1"/>
    <col min="9738" max="9738" width="4.8984375" style="89" bestFit="1" customWidth="1"/>
    <col min="9739" max="9739" width="6.3984375" style="89" bestFit="1" customWidth="1"/>
    <col min="9740" max="9740" width="0" style="89" hidden="1" customWidth="1"/>
    <col min="9741" max="9741" width="7" style="89" customWidth="1"/>
    <col min="9742" max="9742" width="11.59765625" style="89" bestFit="1" customWidth="1"/>
    <col min="9743" max="9743" width="6.5" style="89" bestFit="1" customWidth="1"/>
    <col min="9744" max="9744" width="0.3984375" style="89" customWidth="1"/>
    <col min="9745" max="9984" width="8.796875" style="89"/>
    <col min="9985" max="9985" width="8.69921875" style="89" customWidth="1"/>
    <col min="9986" max="9986" width="12.296875" style="89" customWidth="1"/>
    <col min="9987" max="9987" width="9" style="89" customWidth="1"/>
    <col min="9988" max="9988" width="4.8984375" style="89" bestFit="1" customWidth="1"/>
    <col min="9989" max="9989" width="6.3984375" style="89" bestFit="1" customWidth="1"/>
    <col min="9990" max="9990" width="0" style="89" hidden="1" customWidth="1"/>
    <col min="9991" max="9991" width="7" style="89" customWidth="1"/>
    <col min="9992" max="9992" width="11.59765625" style="89" bestFit="1" customWidth="1"/>
    <col min="9993" max="9993" width="6.5" style="89" bestFit="1" customWidth="1"/>
    <col min="9994" max="9994" width="4.8984375" style="89" bestFit="1" customWidth="1"/>
    <col min="9995" max="9995" width="6.3984375" style="89" bestFit="1" customWidth="1"/>
    <col min="9996" max="9996" width="0" style="89" hidden="1" customWidth="1"/>
    <col min="9997" max="9997" width="7" style="89" customWidth="1"/>
    <col min="9998" max="9998" width="11.59765625" style="89" bestFit="1" customWidth="1"/>
    <col min="9999" max="9999" width="6.5" style="89" bestFit="1" customWidth="1"/>
    <col min="10000" max="10000" width="0.3984375" style="89" customWidth="1"/>
    <col min="10001" max="10240" width="8.796875" style="89"/>
    <col min="10241" max="10241" width="8.69921875" style="89" customWidth="1"/>
    <col min="10242" max="10242" width="12.296875" style="89" customWidth="1"/>
    <col min="10243" max="10243" width="9" style="89" customWidth="1"/>
    <col min="10244" max="10244" width="4.8984375" style="89" bestFit="1" customWidth="1"/>
    <col min="10245" max="10245" width="6.3984375" style="89" bestFit="1" customWidth="1"/>
    <col min="10246" max="10246" width="0" style="89" hidden="1" customWidth="1"/>
    <col min="10247" max="10247" width="7" style="89" customWidth="1"/>
    <col min="10248" max="10248" width="11.59765625" style="89" bestFit="1" customWidth="1"/>
    <col min="10249" max="10249" width="6.5" style="89" bestFit="1" customWidth="1"/>
    <col min="10250" max="10250" width="4.8984375" style="89" bestFit="1" customWidth="1"/>
    <col min="10251" max="10251" width="6.3984375" style="89" bestFit="1" customWidth="1"/>
    <col min="10252" max="10252" width="0" style="89" hidden="1" customWidth="1"/>
    <col min="10253" max="10253" width="7" style="89" customWidth="1"/>
    <col min="10254" max="10254" width="11.59765625" style="89" bestFit="1" customWidth="1"/>
    <col min="10255" max="10255" width="6.5" style="89" bestFit="1" customWidth="1"/>
    <col min="10256" max="10256" width="0.3984375" style="89" customWidth="1"/>
    <col min="10257" max="10496" width="8.796875" style="89"/>
    <col min="10497" max="10497" width="8.69921875" style="89" customWidth="1"/>
    <col min="10498" max="10498" width="12.296875" style="89" customWidth="1"/>
    <col min="10499" max="10499" width="9" style="89" customWidth="1"/>
    <col min="10500" max="10500" width="4.8984375" style="89" bestFit="1" customWidth="1"/>
    <col min="10501" max="10501" width="6.3984375" style="89" bestFit="1" customWidth="1"/>
    <col min="10502" max="10502" width="0" style="89" hidden="1" customWidth="1"/>
    <col min="10503" max="10503" width="7" style="89" customWidth="1"/>
    <col min="10504" max="10504" width="11.59765625" style="89" bestFit="1" customWidth="1"/>
    <col min="10505" max="10505" width="6.5" style="89" bestFit="1" customWidth="1"/>
    <col min="10506" max="10506" width="4.8984375" style="89" bestFit="1" customWidth="1"/>
    <col min="10507" max="10507" width="6.3984375" style="89" bestFit="1" customWidth="1"/>
    <col min="10508" max="10508" width="0" style="89" hidden="1" customWidth="1"/>
    <col min="10509" max="10509" width="7" style="89" customWidth="1"/>
    <col min="10510" max="10510" width="11.59765625" style="89" bestFit="1" customWidth="1"/>
    <col min="10511" max="10511" width="6.5" style="89" bestFit="1" customWidth="1"/>
    <col min="10512" max="10512" width="0.3984375" style="89" customWidth="1"/>
    <col min="10513" max="10752" width="8.796875" style="89"/>
    <col min="10753" max="10753" width="8.69921875" style="89" customWidth="1"/>
    <col min="10754" max="10754" width="12.296875" style="89" customWidth="1"/>
    <col min="10755" max="10755" width="9" style="89" customWidth="1"/>
    <col min="10756" max="10756" width="4.8984375" style="89" bestFit="1" customWidth="1"/>
    <col min="10757" max="10757" width="6.3984375" style="89" bestFit="1" customWidth="1"/>
    <col min="10758" max="10758" width="0" style="89" hidden="1" customWidth="1"/>
    <col min="10759" max="10759" width="7" style="89" customWidth="1"/>
    <col min="10760" max="10760" width="11.59765625" style="89" bestFit="1" customWidth="1"/>
    <col min="10761" max="10761" width="6.5" style="89" bestFit="1" customWidth="1"/>
    <col min="10762" max="10762" width="4.8984375" style="89" bestFit="1" customWidth="1"/>
    <col min="10763" max="10763" width="6.3984375" style="89" bestFit="1" customWidth="1"/>
    <col min="10764" max="10764" width="0" style="89" hidden="1" customWidth="1"/>
    <col min="10765" max="10765" width="7" style="89" customWidth="1"/>
    <col min="10766" max="10766" width="11.59765625" style="89" bestFit="1" customWidth="1"/>
    <col min="10767" max="10767" width="6.5" style="89" bestFit="1" customWidth="1"/>
    <col min="10768" max="10768" width="0.3984375" style="89" customWidth="1"/>
    <col min="10769" max="11008" width="8.796875" style="89"/>
    <col min="11009" max="11009" width="8.69921875" style="89" customWidth="1"/>
    <col min="11010" max="11010" width="12.296875" style="89" customWidth="1"/>
    <col min="11011" max="11011" width="9" style="89" customWidth="1"/>
    <col min="11012" max="11012" width="4.8984375" style="89" bestFit="1" customWidth="1"/>
    <col min="11013" max="11013" width="6.3984375" style="89" bestFit="1" customWidth="1"/>
    <col min="11014" max="11014" width="0" style="89" hidden="1" customWidth="1"/>
    <col min="11015" max="11015" width="7" style="89" customWidth="1"/>
    <col min="11016" max="11016" width="11.59765625" style="89" bestFit="1" customWidth="1"/>
    <col min="11017" max="11017" width="6.5" style="89" bestFit="1" customWidth="1"/>
    <col min="11018" max="11018" width="4.8984375" style="89" bestFit="1" customWidth="1"/>
    <col min="11019" max="11019" width="6.3984375" style="89" bestFit="1" customWidth="1"/>
    <col min="11020" max="11020" width="0" style="89" hidden="1" customWidth="1"/>
    <col min="11021" max="11021" width="7" style="89" customWidth="1"/>
    <col min="11022" max="11022" width="11.59765625" style="89" bestFit="1" customWidth="1"/>
    <col min="11023" max="11023" width="6.5" style="89" bestFit="1" customWidth="1"/>
    <col min="11024" max="11024" width="0.3984375" style="89" customWidth="1"/>
    <col min="11025" max="11264" width="8.796875" style="89"/>
    <col min="11265" max="11265" width="8.69921875" style="89" customWidth="1"/>
    <col min="11266" max="11266" width="12.296875" style="89" customWidth="1"/>
    <col min="11267" max="11267" width="9" style="89" customWidth="1"/>
    <col min="11268" max="11268" width="4.8984375" style="89" bestFit="1" customWidth="1"/>
    <col min="11269" max="11269" width="6.3984375" style="89" bestFit="1" customWidth="1"/>
    <col min="11270" max="11270" width="0" style="89" hidden="1" customWidth="1"/>
    <col min="11271" max="11271" width="7" style="89" customWidth="1"/>
    <col min="11272" max="11272" width="11.59765625" style="89" bestFit="1" customWidth="1"/>
    <col min="11273" max="11273" width="6.5" style="89" bestFit="1" customWidth="1"/>
    <col min="11274" max="11274" width="4.8984375" style="89" bestFit="1" customWidth="1"/>
    <col min="11275" max="11275" width="6.3984375" style="89" bestFit="1" customWidth="1"/>
    <col min="11276" max="11276" width="0" style="89" hidden="1" customWidth="1"/>
    <col min="11277" max="11277" width="7" style="89" customWidth="1"/>
    <col min="11278" max="11278" width="11.59765625" style="89" bestFit="1" customWidth="1"/>
    <col min="11279" max="11279" width="6.5" style="89" bestFit="1" customWidth="1"/>
    <col min="11280" max="11280" width="0.3984375" style="89" customWidth="1"/>
    <col min="11281" max="11520" width="8.796875" style="89"/>
    <col min="11521" max="11521" width="8.69921875" style="89" customWidth="1"/>
    <col min="11522" max="11522" width="12.296875" style="89" customWidth="1"/>
    <col min="11523" max="11523" width="9" style="89" customWidth="1"/>
    <col min="11524" max="11524" width="4.8984375" style="89" bestFit="1" customWidth="1"/>
    <col min="11525" max="11525" width="6.3984375" style="89" bestFit="1" customWidth="1"/>
    <col min="11526" max="11526" width="0" style="89" hidden="1" customWidth="1"/>
    <col min="11527" max="11527" width="7" style="89" customWidth="1"/>
    <col min="11528" max="11528" width="11.59765625" style="89" bestFit="1" customWidth="1"/>
    <col min="11529" max="11529" width="6.5" style="89" bestFit="1" customWidth="1"/>
    <col min="11530" max="11530" width="4.8984375" style="89" bestFit="1" customWidth="1"/>
    <col min="11531" max="11531" width="6.3984375" style="89" bestFit="1" customWidth="1"/>
    <col min="11532" max="11532" width="0" style="89" hidden="1" customWidth="1"/>
    <col min="11533" max="11533" width="7" style="89" customWidth="1"/>
    <col min="11534" max="11534" width="11.59765625" style="89" bestFit="1" customWidth="1"/>
    <col min="11535" max="11535" width="6.5" style="89" bestFit="1" customWidth="1"/>
    <col min="11536" max="11536" width="0.3984375" style="89" customWidth="1"/>
    <col min="11537" max="11776" width="8.796875" style="89"/>
    <col min="11777" max="11777" width="8.69921875" style="89" customWidth="1"/>
    <col min="11778" max="11778" width="12.296875" style="89" customWidth="1"/>
    <col min="11779" max="11779" width="9" style="89" customWidth="1"/>
    <col min="11780" max="11780" width="4.8984375" style="89" bestFit="1" customWidth="1"/>
    <col min="11781" max="11781" width="6.3984375" style="89" bestFit="1" customWidth="1"/>
    <col min="11782" max="11782" width="0" style="89" hidden="1" customWidth="1"/>
    <col min="11783" max="11783" width="7" style="89" customWidth="1"/>
    <col min="11784" max="11784" width="11.59765625" style="89" bestFit="1" customWidth="1"/>
    <col min="11785" max="11785" width="6.5" style="89" bestFit="1" customWidth="1"/>
    <col min="11786" max="11786" width="4.8984375" style="89" bestFit="1" customWidth="1"/>
    <col min="11787" max="11787" width="6.3984375" style="89" bestFit="1" customWidth="1"/>
    <col min="11788" max="11788" width="0" style="89" hidden="1" customWidth="1"/>
    <col min="11789" max="11789" width="7" style="89" customWidth="1"/>
    <col min="11790" max="11790" width="11.59765625" style="89" bestFit="1" customWidth="1"/>
    <col min="11791" max="11791" width="6.5" style="89" bestFit="1" customWidth="1"/>
    <col min="11792" max="11792" width="0.3984375" style="89" customWidth="1"/>
    <col min="11793" max="12032" width="8.796875" style="89"/>
    <col min="12033" max="12033" width="8.69921875" style="89" customWidth="1"/>
    <col min="12034" max="12034" width="12.296875" style="89" customWidth="1"/>
    <col min="12035" max="12035" width="9" style="89" customWidth="1"/>
    <col min="12036" max="12036" width="4.8984375" style="89" bestFit="1" customWidth="1"/>
    <col min="12037" max="12037" width="6.3984375" style="89" bestFit="1" customWidth="1"/>
    <col min="12038" max="12038" width="0" style="89" hidden="1" customWidth="1"/>
    <col min="12039" max="12039" width="7" style="89" customWidth="1"/>
    <col min="12040" max="12040" width="11.59765625" style="89" bestFit="1" customWidth="1"/>
    <col min="12041" max="12041" width="6.5" style="89" bestFit="1" customWidth="1"/>
    <col min="12042" max="12042" width="4.8984375" style="89" bestFit="1" customWidth="1"/>
    <col min="12043" max="12043" width="6.3984375" style="89" bestFit="1" customWidth="1"/>
    <col min="12044" max="12044" width="0" style="89" hidden="1" customWidth="1"/>
    <col min="12045" max="12045" width="7" style="89" customWidth="1"/>
    <col min="12046" max="12046" width="11.59765625" style="89" bestFit="1" customWidth="1"/>
    <col min="12047" max="12047" width="6.5" style="89" bestFit="1" customWidth="1"/>
    <col min="12048" max="12048" width="0.3984375" style="89" customWidth="1"/>
    <col min="12049" max="12288" width="8.796875" style="89"/>
    <col min="12289" max="12289" width="8.69921875" style="89" customWidth="1"/>
    <col min="12290" max="12290" width="12.296875" style="89" customWidth="1"/>
    <col min="12291" max="12291" width="9" style="89" customWidth="1"/>
    <col min="12292" max="12292" width="4.8984375" style="89" bestFit="1" customWidth="1"/>
    <col min="12293" max="12293" width="6.3984375" style="89" bestFit="1" customWidth="1"/>
    <col min="12294" max="12294" width="0" style="89" hidden="1" customWidth="1"/>
    <col min="12295" max="12295" width="7" style="89" customWidth="1"/>
    <col min="12296" max="12296" width="11.59765625" style="89" bestFit="1" customWidth="1"/>
    <col min="12297" max="12297" width="6.5" style="89" bestFit="1" customWidth="1"/>
    <col min="12298" max="12298" width="4.8984375" style="89" bestFit="1" customWidth="1"/>
    <col min="12299" max="12299" width="6.3984375" style="89" bestFit="1" customWidth="1"/>
    <col min="12300" max="12300" width="0" style="89" hidden="1" customWidth="1"/>
    <col min="12301" max="12301" width="7" style="89" customWidth="1"/>
    <col min="12302" max="12302" width="11.59765625" style="89" bestFit="1" customWidth="1"/>
    <col min="12303" max="12303" width="6.5" style="89" bestFit="1" customWidth="1"/>
    <col min="12304" max="12304" width="0.3984375" style="89" customWidth="1"/>
    <col min="12305" max="12544" width="8.796875" style="89"/>
    <col min="12545" max="12545" width="8.69921875" style="89" customWidth="1"/>
    <col min="12546" max="12546" width="12.296875" style="89" customWidth="1"/>
    <col min="12547" max="12547" width="9" style="89" customWidth="1"/>
    <col min="12548" max="12548" width="4.8984375" style="89" bestFit="1" customWidth="1"/>
    <col min="12549" max="12549" width="6.3984375" style="89" bestFit="1" customWidth="1"/>
    <col min="12550" max="12550" width="0" style="89" hidden="1" customWidth="1"/>
    <col min="12551" max="12551" width="7" style="89" customWidth="1"/>
    <col min="12552" max="12552" width="11.59765625" style="89" bestFit="1" customWidth="1"/>
    <col min="12553" max="12553" width="6.5" style="89" bestFit="1" customWidth="1"/>
    <col min="12554" max="12554" width="4.8984375" style="89" bestFit="1" customWidth="1"/>
    <col min="12555" max="12555" width="6.3984375" style="89" bestFit="1" customWidth="1"/>
    <col min="12556" max="12556" width="0" style="89" hidden="1" customWidth="1"/>
    <col min="12557" max="12557" width="7" style="89" customWidth="1"/>
    <col min="12558" max="12558" width="11.59765625" style="89" bestFit="1" customWidth="1"/>
    <col min="12559" max="12559" width="6.5" style="89" bestFit="1" customWidth="1"/>
    <col min="12560" max="12560" width="0.3984375" style="89" customWidth="1"/>
    <col min="12561" max="12800" width="8.796875" style="89"/>
    <col min="12801" max="12801" width="8.69921875" style="89" customWidth="1"/>
    <col min="12802" max="12802" width="12.296875" style="89" customWidth="1"/>
    <col min="12803" max="12803" width="9" style="89" customWidth="1"/>
    <col min="12804" max="12804" width="4.8984375" style="89" bestFit="1" customWidth="1"/>
    <col min="12805" max="12805" width="6.3984375" style="89" bestFit="1" customWidth="1"/>
    <col min="12806" max="12806" width="0" style="89" hidden="1" customWidth="1"/>
    <col min="12807" max="12807" width="7" style="89" customWidth="1"/>
    <col min="12808" max="12808" width="11.59765625" style="89" bestFit="1" customWidth="1"/>
    <col min="12809" max="12809" width="6.5" style="89" bestFit="1" customWidth="1"/>
    <col min="12810" max="12810" width="4.8984375" style="89" bestFit="1" customWidth="1"/>
    <col min="12811" max="12811" width="6.3984375" style="89" bestFit="1" customWidth="1"/>
    <col min="12812" max="12812" width="0" style="89" hidden="1" customWidth="1"/>
    <col min="12813" max="12813" width="7" style="89" customWidth="1"/>
    <col min="12814" max="12814" width="11.59765625" style="89" bestFit="1" customWidth="1"/>
    <col min="12815" max="12815" width="6.5" style="89" bestFit="1" customWidth="1"/>
    <col min="12816" max="12816" width="0.3984375" style="89" customWidth="1"/>
    <col min="12817" max="13056" width="8.796875" style="89"/>
    <col min="13057" max="13057" width="8.69921875" style="89" customWidth="1"/>
    <col min="13058" max="13058" width="12.296875" style="89" customWidth="1"/>
    <col min="13059" max="13059" width="9" style="89" customWidth="1"/>
    <col min="13060" max="13060" width="4.8984375" style="89" bestFit="1" customWidth="1"/>
    <col min="13061" max="13061" width="6.3984375" style="89" bestFit="1" customWidth="1"/>
    <col min="13062" max="13062" width="0" style="89" hidden="1" customWidth="1"/>
    <col min="13063" max="13063" width="7" style="89" customWidth="1"/>
    <col min="13064" max="13064" width="11.59765625" style="89" bestFit="1" customWidth="1"/>
    <col min="13065" max="13065" width="6.5" style="89" bestFit="1" customWidth="1"/>
    <col min="13066" max="13066" width="4.8984375" style="89" bestFit="1" customWidth="1"/>
    <col min="13067" max="13067" width="6.3984375" style="89" bestFit="1" customWidth="1"/>
    <col min="13068" max="13068" width="0" style="89" hidden="1" customWidth="1"/>
    <col min="13069" max="13069" width="7" style="89" customWidth="1"/>
    <col min="13070" max="13070" width="11.59765625" style="89" bestFit="1" customWidth="1"/>
    <col min="13071" max="13071" width="6.5" style="89" bestFit="1" customWidth="1"/>
    <col min="13072" max="13072" width="0.3984375" style="89" customWidth="1"/>
    <col min="13073" max="13312" width="8.796875" style="89"/>
    <col min="13313" max="13313" width="8.69921875" style="89" customWidth="1"/>
    <col min="13314" max="13314" width="12.296875" style="89" customWidth="1"/>
    <col min="13315" max="13315" width="9" style="89" customWidth="1"/>
    <col min="13316" max="13316" width="4.8984375" style="89" bestFit="1" customWidth="1"/>
    <col min="13317" max="13317" width="6.3984375" style="89" bestFit="1" customWidth="1"/>
    <col min="13318" max="13318" width="0" style="89" hidden="1" customWidth="1"/>
    <col min="13319" max="13319" width="7" style="89" customWidth="1"/>
    <col min="13320" max="13320" width="11.59765625" style="89" bestFit="1" customWidth="1"/>
    <col min="13321" max="13321" width="6.5" style="89" bestFit="1" customWidth="1"/>
    <col min="13322" max="13322" width="4.8984375" style="89" bestFit="1" customWidth="1"/>
    <col min="13323" max="13323" width="6.3984375" style="89" bestFit="1" customWidth="1"/>
    <col min="13324" max="13324" width="0" style="89" hidden="1" customWidth="1"/>
    <col min="13325" max="13325" width="7" style="89" customWidth="1"/>
    <col min="13326" max="13326" width="11.59765625" style="89" bestFit="1" customWidth="1"/>
    <col min="13327" max="13327" width="6.5" style="89" bestFit="1" customWidth="1"/>
    <col min="13328" max="13328" width="0.3984375" style="89" customWidth="1"/>
    <col min="13329" max="13568" width="8.796875" style="89"/>
    <col min="13569" max="13569" width="8.69921875" style="89" customWidth="1"/>
    <col min="13570" max="13570" width="12.296875" style="89" customWidth="1"/>
    <col min="13571" max="13571" width="9" style="89" customWidth="1"/>
    <col min="13572" max="13572" width="4.8984375" style="89" bestFit="1" customWidth="1"/>
    <col min="13573" max="13573" width="6.3984375" style="89" bestFit="1" customWidth="1"/>
    <col min="13574" max="13574" width="0" style="89" hidden="1" customWidth="1"/>
    <col min="13575" max="13575" width="7" style="89" customWidth="1"/>
    <col min="13576" max="13576" width="11.59765625" style="89" bestFit="1" customWidth="1"/>
    <col min="13577" max="13577" width="6.5" style="89" bestFit="1" customWidth="1"/>
    <col min="13578" max="13578" width="4.8984375" style="89" bestFit="1" customWidth="1"/>
    <col min="13579" max="13579" width="6.3984375" style="89" bestFit="1" customWidth="1"/>
    <col min="13580" max="13580" width="0" style="89" hidden="1" customWidth="1"/>
    <col min="13581" max="13581" width="7" style="89" customWidth="1"/>
    <col min="13582" max="13582" width="11.59765625" style="89" bestFit="1" customWidth="1"/>
    <col min="13583" max="13583" width="6.5" style="89" bestFit="1" customWidth="1"/>
    <col min="13584" max="13584" width="0.3984375" style="89" customWidth="1"/>
    <col min="13585" max="13824" width="8.796875" style="89"/>
    <col min="13825" max="13825" width="8.69921875" style="89" customWidth="1"/>
    <col min="13826" max="13826" width="12.296875" style="89" customWidth="1"/>
    <col min="13827" max="13827" width="9" style="89" customWidth="1"/>
    <col min="13828" max="13828" width="4.8984375" style="89" bestFit="1" customWidth="1"/>
    <col min="13829" max="13829" width="6.3984375" style="89" bestFit="1" customWidth="1"/>
    <col min="13830" max="13830" width="0" style="89" hidden="1" customWidth="1"/>
    <col min="13831" max="13831" width="7" style="89" customWidth="1"/>
    <col min="13832" max="13832" width="11.59765625" style="89" bestFit="1" customWidth="1"/>
    <col min="13833" max="13833" width="6.5" style="89" bestFit="1" customWidth="1"/>
    <col min="13834" max="13834" width="4.8984375" style="89" bestFit="1" customWidth="1"/>
    <col min="13835" max="13835" width="6.3984375" style="89" bestFit="1" customWidth="1"/>
    <col min="13836" max="13836" width="0" style="89" hidden="1" customWidth="1"/>
    <col min="13837" max="13837" width="7" style="89" customWidth="1"/>
    <col min="13838" max="13838" width="11.59765625" style="89" bestFit="1" customWidth="1"/>
    <col min="13839" max="13839" width="6.5" style="89" bestFit="1" customWidth="1"/>
    <col min="13840" max="13840" width="0.3984375" style="89" customWidth="1"/>
    <col min="13841" max="14080" width="8.796875" style="89"/>
    <col min="14081" max="14081" width="8.69921875" style="89" customWidth="1"/>
    <col min="14082" max="14082" width="12.296875" style="89" customWidth="1"/>
    <col min="14083" max="14083" width="9" style="89" customWidth="1"/>
    <col min="14084" max="14084" width="4.8984375" style="89" bestFit="1" customWidth="1"/>
    <col min="14085" max="14085" width="6.3984375" style="89" bestFit="1" customWidth="1"/>
    <col min="14086" max="14086" width="0" style="89" hidden="1" customWidth="1"/>
    <col min="14087" max="14087" width="7" style="89" customWidth="1"/>
    <col min="14088" max="14088" width="11.59765625" style="89" bestFit="1" customWidth="1"/>
    <col min="14089" max="14089" width="6.5" style="89" bestFit="1" customWidth="1"/>
    <col min="14090" max="14090" width="4.8984375" style="89" bestFit="1" customWidth="1"/>
    <col min="14091" max="14091" width="6.3984375" style="89" bestFit="1" customWidth="1"/>
    <col min="14092" max="14092" width="0" style="89" hidden="1" customWidth="1"/>
    <col min="14093" max="14093" width="7" style="89" customWidth="1"/>
    <col min="14094" max="14094" width="11.59765625" style="89" bestFit="1" customWidth="1"/>
    <col min="14095" max="14095" width="6.5" style="89" bestFit="1" customWidth="1"/>
    <col min="14096" max="14096" width="0.3984375" style="89" customWidth="1"/>
    <col min="14097" max="14336" width="8.796875" style="89"/>
    <col min="14337" max="14337" width="8.69921875" style="89" customWidth="1"/>
    <col min="14338" max="14338" width="12.296875" style="89" customWidth="1"/>
    <col min="14339" max="14339" width="9" style="89" customWidth="1"/>
    <col min="14340" max="14340" width="4.8984375" style="89" bestFit="1" customWidth="1"/>
    <col min="14341" max="14341" width="6.3984375" style="89" bestFit="1" customWidth="1"/>
    <col min="14342" max="14342" width="0" style="89" hidden="1" customWidth="1"/>
    <col min="14343" max="14343" width="7" style="89" customWidth="1"/>
    <col min="14344" max="14344" width="11.59765625" style="89" bestFit="1" customWidth="1"/>
    <col min="14345" max="14345" width="6.5" style="89" bestFit="1" customWidth="1"/>
    <col min="14346" max="14346" width="4.8984375" style="89" bestFit="1" customWidth="1"/>
    <col min="14347" max="14347" width="6.3984375" style="89" bestFit="1" customWidth="1"/>
    <col min="14348" max="14348" width="0" style="89" hidden="1" customWidth="1"/>
    <col min="14349" max="14349" width="7" style="89" customWidth="1"/>
    <col min="14350" max="14350" width="11.59765625" style="89" bestFit="1" customWidth="1"/>
    <col min="14351" max="14351" width="6.5" style="89" bestFit="1" customWidth="1"/>
    <col min="14352" max="14352" width="0.3984375" style="89" customWidth="1"/>
    <col min="14353" max="14592" width="8.796875" style="89"/>
    <col min="14593" max="14593" width="8.69921875" style="89" customWidth="1"/>
    <col min="14594" max="14594" width="12.296875" style="89" customWidth="1"/>
    <col min="14595" max="14595" width="9" style="89" customWidth="1"/>
    <col min="14596" max="14596" width="4.8984375" style="89" bestFit="1" customWidth="1"/>
    <col min="14597" max="14597" width="6.3984375" style="89" bestFit="1" customWidth="1"/>
    <col min="14598" max="14598" width="0" style="89" hidden="1" customWidth="1"/>
    <col min="14599" max="14599" width="7" style="89" customWidth="1"/>
    <col min="14600" max="14600" width="11.59765625" style="89" bestFit="1" customWidth="1"/>
    <col min="14601" max="14601" width="6.5" style="89" bestFit="1" customWidth="1"/>
    <col min="14602" max="14602" width="4.8984375" style="89" bestFit="1" customWidth="1"/>
    <col min="14603" max="14603" width="6.3984375" style="89" bestFit="1" customWidth="1"/>
    <col min="14604" max="14604" width="0" style="89" hidden="1" customWidth="1"/>
    <col min="14605" max="14605" width="7" style="89" customWidth="1"/>
    <col min="14606" max="14606" width="11.59765625" style="89" bestFit="1" customWidth="1"/>
    <col min="14607" max="14607" width="6.5" style="89" bestFit="1" customWidth="1"/>
    <col min="14608" max="14608" width="0.3984375" style="89" customWidth="1"/>
    <col min="14609" max="14848" width="8.796875" style="89"/>
    <col min="14849" max="14849" width="8.69921875" style="89" customWidth="1"/>
    <col min="14850" max="14850" width="12.296875" style="89" customWidth="1"/>
    <col min="14851" max="14851" width="9" style="89" customWidth="1"/>
    <col min="14852" max="14852" width="4.8984375" style="89" bestFit="1" customWidth="1"/>
    <col min="14853" max="14853" width="6.3984375" style="89" bestFit="1" customWidth="1"/>
    <col min="14854" max="14854" width="0" style="89" hidden="1" customWidth="1"/>
    <col min="14855" max="14855" width="7" style="89" customWidth="1"/>
    <col min="14856" max="14856" width="11.59765625" style="89" bestFit="1" customWidth="1"/>
    <col min="14857" max="14857" width="6.5" style="89" bestFit="1" customWidth="1"/>
    <col min="14858" max="14858" width="4.8984375" style="89" bestFit="1" customWidth="1"/>
    <col min="14859" max="14859" width="6.3984375" style="89" bestFit="1" customWidth="1"/>
    <col min="14860" max="14860" width="0" style="89" hidden="1" customWidth="1"/>
    <col min="14861" max="14861" width="7" style="89" customWidth="1"/>
    <col min="14862" max="14862" width="11.59765625" style="89" bestFit="1" customWidth="1"/>
    <col min="14863" max="14863" width="6.5" style="89" bestFit="1" customWidth="1"/>
    <col min="14864" max="14864" width="0.3984375" style="89" customWidth="1"/>
    <col min="14865" max="15104" width="8.796875" style="89"/>
    <col min="15105" max="15105" width="8.69921875" style="89" customWidth="1"/>
    <col min="15106" max="15106" width="12.296875" style="89" customWidth="1"/>
    <col min="15107" max="15107" width="9" style="89" customWidth="1"/>
    <col min="15108" max="15108" width="4.8984375" style="89" bestFit="1" customWidth="1"/>
    <col min="15109" max="15109" width="6.3984375" style="89" bestFit="1" customWidth="1"/>
    <col min="15110" max="15110" width="0" style="89" hidden="1" customWidth="1"/>
    <col min="15111" max="15111" width="7" style="89" customWidth="1"/>
    <col min="15112" max="15112" width="11.59765625" style="89" bestFit="1" customWidth="1"/>
    <col min="15113" max="15113" width="6.5" style="89" bestFit="1" customWidth="1"/>
    <col min="15114" max="15114" width="4.8984375" style="89" bestFit="1" customWidth="1"/>
    <col min="15115" max="15115" width="6.3984375" style="89" bestFit="1" customWidth="1"/>
    <col min="15116" max="15116" width="0" style="89" hidden="1" customWidth="1"/>
    <col min="15117" max="15117" width="7" style="89" customWidth="1"/>
    <col min="15118" max="15118" width="11.59765625" style="89" bestFit="1" customWidth="1"/>
    <col min="15119" max="15119" width="6.5" style="89" bestFit="1" customWidth="1"/>
    <col min="15120" max="15120" width="0.3984375" style="89" customWidth="1"/>
    <col min="15121" max="15360" width="8.796875" style="89"/>
    <col min="15361" max="15361" width="8.69921875" style="89" customWidth="1"/>
    <col min="15362" max="15362" width="12.296875" style="89" customWidth="1"/>
    <col min="15363" max="15363" width="9" style="89" customWidth="1"/>
    <col min="15364" max="15364" width="4.8984375" style="89" bestFit="1" customWidth="1"/>
    <col min="15365" max="15365" width="6.3984375" style="89" bestFit="1" customWidth="1"/>
    <col min="15366" max="15366" width="0" style="89" hidden="1" customWidth="1"/>
    <col min="15367" max="15367" width="7" style="89" customWidth="1"/>
    <col min="15368" max="15368" width="11.59765625" style="89" bestFit="1" customWidth="1"/>
    <col min="15369" max="15369" width="6.5" style="89" bestFit="1" customWidth="1"/>
    <col min="15370" max="15370" width="4.8984375" style="89" bestFit="1" customWidth="1"/>
    <col min="15371" max="15371" width="6.3984375" style="89" bestFit="1" customWidth="1"/>
    <col min="15372" max="15372" width="0" style="89" hidden="1" customWidth="1"/>
    <col min="15373" max="15373" width="7" style="89" customWidth="1"/>
    <col min="15374" max="15374" width="11.59765625" style="89" bestFit="1" customWidth="1"/>
    <col min="15375" max="15375" width="6.5" style="89" bestFit="1" customWidth="1"/>
    <col min="15376" max="15376" width="0.3984375" style="89" customWidth="1"/>
    <col min="15377" max="15616" width="8.796875" style="89"/>
    <col min="15617" max="15617" width="8.69921875" style="89" customWidth="1"/>
    <col min="15618" max="15618" width="12.296875" style="89" customWidth="1"/>
    <col min="15619" max="15619" width="9" style="89" customWidth="1"/>
    <col min="15620" max="15620" width="4.8984375" style="89" bestFit="1" customWidth="1"/>
    <col min="15621" max="15621" width="6.3984375" style="89" bestFit="1" customWidth="1"/>
    <col min="15622" max="15622" width="0" style="89" hidden="1" customWidth="1"/>
    <col min="15623" max="15623" width="7" style="89" customWidth="1"/>
    <col min="15624" max="15624" width="11.59765625" style="89" bestFit="1" customWidth="1"/>
    <col min="15625" max="15625" width="6.5" style="89" bestFit="1" customWidth="1"/>
    <col min="15626" max="15626" width="4.8984375" style="89" bestFit="1" customWidth="1"/>
    <col min="15627" max="15627" width="6.3984375" style="89" bestFit="1" customWidth="1"/>
    <col min="15628" max="15628" width="0" style="89" hidden="1" customWidth="1"/>
    <col min="15629" max="15629" width="7" style="89" customWidth="1"/>
    <col min="15630" max="15630" width="11.59765625" style="89" bestFit="1" customWidth="1"/>
    <col min="15631" max="15631" width="6.5" style="89" bestFit="1" customWidth="1"/>
    <col min="15632" max="15632" width="0.3984375" style="89" customWidth="1"/>
    <col min="15633" max="15872" width="8.796875" style="89"/>
    <col min="15873" max="15873" width="8.69921875" style="89" customWidth="1"/>
    <col min="15874" max="15874" width="12.296875" style="89" customWidth="1"/>
    <col min="15875" max="15875" width="9" style="89" customWidth="1"/>
    <col min="15876" max="15876" width="4.8984375" style="89" bestFit="1" customWidth="1"/>
    <col min="15877" max="15877" width="6.3984375" style="89" bestFit="1" customWidth="1"/>
    <col min="15878" max="15878" width="0" style="89" hidden="1" customWidth="1"/>
    <col min="15879" max="15879" width="7" style="89" customWidth="1"/>
    <col min="15880" max="15880" width="11.59765625" style="89" bestFit="1" customWidth="1"/>
    <col min="15881" max="15881" width="6.5" style="89" bestFit="1" customWidth="1"/>
    <col min="15882" max="15882" width="4.8984375" style="89" bestFit="1" customWidth="1"/>
    <col min="15883" max="15883" width="6.3984375" style="89" bestFit="1" customWidth="1"/>
    <col min="15884" max="15884" width="0" style="89" hidden="1" customWidth="1"/>
    <col min="15885" max="15885" width="7" style="89" customWidth="1"/>
    <col min="15886" max="15886" width="11.59765625" style="89" bestFit="1" customWidth="1"/>
    <col min="15887" max="15887" width="6.5" style="89" bestFit="1" customWidth="1"/>
    <col min="15888" max="15888" width="0.3984375" style="89" customWidth="1"/>
    <col min="15889" max="16128" width="8.796875" style="89"/>
    <col min="16129" max="16129" width="8.69921875" style="89" customWidth="1"/>
    <col min="16130" max="16130" width="12.296875" style="89" customWidth="1"/>
    <col min="16131" max="16131" width="9" style="89" customWidth="1"/>
    <col min="16132" max="16132" width="4.8984375" style="89" bestFit="1" customWidth="1"/>
    <col min="16133" max="16133" width="6.3984375" style="89" bestFit="1" customWidth="1"/>
    <col min="16134" max="16134" width="0" style="89" hidden="1" customWidth="1"/>
    <col min="16135" max="16135" width="7" style="89" customWidth="1"/>
    <col min="16136" max="16136" width="11.59765625" style="89" bestFit="1" customWidth="1"/>
    <col min="16137" max="16137" width="6.5" style="89" bestFit="1" customWidth="1"/>
    <col min="16138" max="16138" width="4.8984375" style="89" bestFit="1" customWidth="1"/>
    <col min="16139" max="16139" width="6.3984375" style="89" bestFit="1" customWidth="1"/>
    <col min="16140" max="16140" width="0" style="89" hidden="1" customWidth="1"/>
    <col min="16141" max="16141" width="7" style="89" customWidth="1"/>
    <col min="16142" max="16142" width="11.59765625" style="89" bestFit="1" customWidth="1"/>
    <col min="16143" max="16143" width="6.5" style="89" bestFit="1" customWidth="1"/>
    <col min="16144" max="16144" width="0.3984375" style="89" customWidth="1"/>
    <col min="16145" max="16384" width="8.796875" style="89"/>
  </cols>
  <sheetData>
    <row r="1" spans="1:16" x14ac:dyDescent="0.45">
      <c r="B1" s="90"/>
      <c r="C1" s="91" t="s">
        <v>58</v>
      </c>
      <c r="D1" s="91"/>
      <c r="E1" s="91"/>
      <c r="F1" s="91"/>
      <c r="G1" s="91"/>
      <c r="H1" s="89"/>
      <c r="J1" s="91"/>
      <c r="K1" s="91"/>
      <c r="L1" s="91"/>
      <c r="M1" s="91"/>
      <c r="N1" s="89"/>
    </row>
    <row r="2" spans="1:16" ht="13.8" thickBot="1" x14ac:dyDescent="0.5">
      <c r="A2" s="89" t="s">
        <v>78</v>
      </c>
      <c r="H2" s="89"/>
      <c r="N2" s="89"/>
    </row>
    <row r="3" spans="1:16" x14ac:dyDescent="0.45">
      <c r="A3" s="92"/>
      <c r="B3" s="93"/>
      <c r="C3" s="94"/>
      <c r="D3" s="231"/>
      <c r="E3" s="232"/>
      <c r="F3" s="232"/>
      <c r="G3" s="232"/>
      <c r="H3" s="232"/>
      <c r="I3" s="233"/>
      <c r="J3" s="231"/>
      <c r="K3" s="232"/>
      <c r="L3" s="232"/>
      <c r="M3" s="232"/>
      <c r="N3" s="232"/>
      <c r="O3" s="233"/>
    </row>
    <row r="4" spans="1:16" x14ac:dyDescent="0.45">
      <c r="A4" s="95"/>
      <c r="B4" s="96"/>
      <c r="C4" s="97"/>
      <c r="D4" s="234" t="s">
        <v>59</v>
      </c>
      <c r="E4" s="235"/>
      <c r="F4" s="98">
        <f>SUM(F6:F7)</f>
        <v>0</v>
      </c>
      <c r="G4" s="99">
        <f>IF(ISERROR(H4*100/F4),0,H4*100/F4)</f>
        <v>0</v>
      </c>
      <c r="H4" s="98">
        <f>SUM(H6:H7)</f>
        <v>0</v>
      </c>
      <c r="I4" s="100"/>
      <c r="J4" s="234" t="s">
        <v>59</v>
      </c>
      <c r="K4" s="235"/>
      <c r="L4" s="98">
        <f>SUM(L6:L7)</f>
        <v>0</v>
      </c>
      <c r="M4" s="99">
        <f>IF(ISERROR(N4*100/L4),0,N4*100/L4)</f>
        <v>0</v>
      </c>
      <c r="N4" s="98">
        <f>SUM(N6:N7)</f>
        <v>0</v>
      </c>
      <c r="O4" s="100"/>
    </row>
    <row r="5" spans="1:16" ht="13.8" thickBot="1" x14ac:dyDescent="0.5">
      <c r="A5" s="101" t="s">
        <v>60</v>
      </c>
      <c r="B5" s="102" t="s">
        <v>61</v>
      </c>
      <c r="C5" s="103" t="s">
        <v>62</v>
      </c>
      <c r="D5" s="104" t="s">
        <v>63</v>
      </c>
      <c r="E5" s="105" t="s">
        <v>64</v>
      </c>
      <c r="F5" s="105" t="s">
        <v>65</v>
      </c>
      <c r="G5" s="105" t="s">
        <v>66</v>
      </c>
      <c r="H5" s="105" t="s">
        <v>67</v>
      </c>
      <c r="I5" s="106" t="s">
        <v>68</v>
      </c>
      <c r="J5" s="104" t="s">
        <v>63</v>
      </c>
      <c r="K5" s="105" t="s">
        <v>64</v>
      </c>
      <c r="L5" s="105" t="s">
        <v>65</v>
      </c>
      <c r="M5" s="105" t="s">
        <v>66</v>
      </c>
      <c r="N5" s="105" t="s">
        <v>67</v>
      </c>
      <c r="O5" s="106" t="s">
        <v>68</v>
      </c>
    </row>
    <row r="6" spans="1:16" ht="19.5" customHeight="1" x14ac:dyDescent="0.45">
      <c r="A6" s="107"/>
      <c r="B6" s="108"/>
      <c r="C6" s="109"/>
      <c r="D6" s="107"/>
      <c r="E6" s="120">
        <f ca="1">IF(ISERROR(H6*100/OFFSET(H6,0,-6)),0,IF(OFFSET(H6,0,-6)=0,0,H6*100/OFFSET(H6,0,-6)))</f>
        <v>0</v>
      </c>
      <c r="F6" s="120"/>
      <c r="G6" s="120"/>
      <c r="H6" s="110"/>
      <c r="I6" s="111">
        <f>IF(H6=0,0,H6*100/H$4)</f>
        <v>0</v>
      </c>
      <c r="J6" s="107"/>
      <c r="K6" s="120">
        <f ca="1">IF(ISERROR(N6*100/OFFSET(N6,0,-6)),0,IF(OFFSET(N6,0,-6)=0,0,N6*100/OFFSET(N6,0,-6)))</f>
        <v>0</v>
      </c>
      <c r="L6" s="120"/>
      <c r="M6" s="120"/>
      <c r="N6" s="110"/>
      <c r="O6" s="111">
        <f>IF(N6=0,0,N6*100/N$4)</f>
        <v>0</v>
      </c>
      <c r="P6" s="95"/>
    </row>
    <row r="7" spans="1:16" ht="19.5" customHeight="1" x14ac:dyDescent="0.45">
      <c r="A7" s="112"/>
      <c r="B7" s="113"/>
      <c r="C7" s="114"/>
      <c r="D7" s="107"/>
      <c r="E7" s="120">
        <f ca="1">IF(ISERROR(H7*100/OFFSET(H7,0,-6)),0,IF(OFFSET(H7,0,-6)=0,0,H7*100/OFFSET(H7,0,-6)))</f>
        <v>0</v>
      </c>
      <c r="F7" s="120"/>
      <c r="G7" s="120"/>
      <c r="H7" s="110"/>
      <c r="I7" s="115">
        <f>IF(H7=0,0,H7*100/H$4)</f>
        <v>0</v>
      </c>
      <c r="J7" s="107"/>
      <c r="K7" s="120">
        <f ca="1">IF(ISERROR(N7*100/OFFSET(N7,0,-6)),0,IF(OFFSET(N7,0,-6)=0,0,N7*100/OFFSET(N7,0,-6)))</f>
        <v>0</v>
      </c>
      <c r="L7" s="120"/>
      <c r="M7" s="120"/>
      <c r="N7" s="110"/>
      <c r="O7" s="115">
        <f>IF(N7=0,0,N7*100/N$4)</f>
        <v>0</v>
      </c>
      <c r="P7" s="95"/>
    </row>
    <row r="9" spans="1:16" x14ac:dyDescent="0.45">
      <c r="B9" s="230"/>
      <c r="C9" s="230"/>
      <c r="D9" s="119"/>
      <c r="E9" s="119"/>
      <c r="F9" s="119"/>
      <c r="G9" s="119"/>
      <c r="H9" s="116"/>
      <c r="I9" s="117"/>
      <c r="J9" s="119"/>
      <c r="K9" s="119"/>
      <c r="L9" s="119"/>
      <c r="M9" s="119"/>
      <c r="N9" s="116"/>
      <c r="O9" s="117"/>
    </row>
    <row r="10" spans="1:16" x14ac:dyDescent="0.45">
      <c r="B10" s="230"/>
      <c r="C10" s="230"/>
      <c r="D10" s="119"/>
      <c r="E10" s="119"/>
      <c r="F10" s="119"/>
      <c r="G10" s="119"/>
      <c r="H10" s="116"/>
      <c r="I10" s="117"/>
      <c r="J10" s="119"/>
      <c r="K10" s="119"/>
      <c r="L10" s="119"/>
      <c r="M10" s="119"/>
      <c r="N10" s="116"/>
      <c r="O10" s="117"/>
    </row>
  </sheetData>
  <mergeCells count="6">
    <mergeCell ref="B10:C10"/>
    <mergeCell ref="D3:I3"/>
    <mergeCell ref="J3:O3"/>
    <mergeCell ref="D4:E4"/>
    <mergeCell ref="J4:K4"/>
    <mergeCell ref="B9:C9"/>
  </mergeCells>
  <phoneticPr fontId="2"/>
  <conditionalFormatting sqref="J6:J7 D6:D7">
    <cfRule type="expression" dxfId="4" priority="1" stopIfTrue="1">
      <formula>D6&gt;OFFSET(D6,0,-4)</formula>
    </cfRule>
  </conditionalFormatting>
  <conditionalFormatting sqref="E6:F7 K6:L7">
    <cfRule type="expression" dxfId="3" priority="2" stopIfTrue="1">
      <formula>IF(ISERROR(H6*100/OFFSET(H6,0,-4)),FALSE,E6&lt;100)</formula>
    </cfRule>
  </conditionalFormatting>
  <conditionalFormatting sqref="G4 M4">
    <cfRule type="expression" dxfId="2" priority="3" stopIfTrue="1">
      <formula>G4&gt;=90</formula>
    </cfRule>
  </conditionalFormatting>
  <conditionalFormatting sqref="G6:G7 M6:M7">
    <cfRule type="expression" dxfId="1" priority="4" stopIfTrue="1">
      <formula>IF(ISERROR(I6*100/OFFSET(I6,0,-6)),FALSE,G6&lt;100)</formula>
    </cfRule>
  </conditionalFormatting>
  <conditionalFormatting sqref="N6:N7 H6:H7">
    <cfRule type="expression" dxfId="0" priority="5" stopIfTrue="1">
      <formula>IF(ISERROR(H6*100/OFFSET(H6,0,-6)),FALSE,E6&lt;100)</formula>
    </cfRule>
  </conditionalFormatting>
  <pageMargins left="0.7" right="0.5" top="0.75" bottom="0.5" header="0.3" footer="0.3"/>
  <pageSetup paperSize="8" orientation="landscape" r:id="rId1"/>
  <headerFooter>
    <oddFooter>&amp;C㈱三和商研&amp;P/&amp;N&amp;R©2024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17</vt:i4>
      </vt:variant>
    </vt:vector>
  </HeadingPairs>
  <TitlesOfParts>
    <vt:vector size="27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別紙_印刷レイアウト</vt:lpstr>
      <vt:lpstr>参照</vt:lpstr>
      <vt:lpstr>別紙_テンプレート!CoreCells</vt:lpstr>
      <vt:lpstr>別紙_テンプレート!NenRetu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変更履歴!Print_Titles</vt:lpstr>
      <vt:lpstr>別紙_テンプレート!YearNamePos</vt:lpstr>
      <vt:lpstr>別紙_テンプレート!集計範囲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2025-05-24T05:35:16Z</dcterms:modified>
</cp:coreProperties>
</file>